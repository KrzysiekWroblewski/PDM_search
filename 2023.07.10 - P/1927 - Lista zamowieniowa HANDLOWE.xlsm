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/>
  <mc:AlternateContent xmlns:mc="http://schemas.openxmlformats.org/markup-compatibility/2006">
    <mc:Choice Requires="x15">
      <x15ac:absPath xmlns:x15ac="http://schemas.microsoft.com/office/spreadsheetml/2010/11/ac" url="Z:\3. MS\1927 - Linia do klamek BMW G45\"/>
    </mc:Choice>
  </mc:AlternateContent>
  <bookViews>
    <workbookView xWindow="-32770" yWindow="-32770" windowWidth="24000" windowHeight="10620" tabRatio="297" activeTab="1"/>
  </bookViews>
  <sheets>
    <sheet name="POMOC" sheetId="1" r:id="rId1"/>
    <sheet name="Handlówka" sheetId="4" r:id="rId2"/>
    <sheet name="Profile" sheetId="6" r:id="rId3"/>
  </sheets>
  <functionGroups builtInGroupCount="18"/>
  <definedNames>
    <definedName name="_xlnm._FilterDatabase" localSheetId="1" hidden="1">Handlówka!$A$6:$AH$6</definedName>
    <definedName name="_xlnm.Print_Area" localSheetId="1">Handlówka!$A$2:$AH$6</definedName>
  </definedNames>
  <calcPr calcId="181029"/>
  <fileRecoveryPr autoRecover="0"/>
</workbook>
</file>

<file path=xl/calcChain.xml><?xml version="1.0" encoding="utf-8"?>
<calcChain xmlns="http://schemas.openxmlformats.org/spreadsheetml/2006/main">
  <c r="P45" i="4" l="1"/>
  <c r="Q45" i="4"/>
  <c r="R45" i="4"/>
  <c r="S45" i="4"/>
  <c r="T45" i="4"/>
  <c r="U45" i="4"/>
  <c r="V45" i="4"/>
  <c r="W45" i="4"/>
  <c r="X45" i="4"/>
  <c r="Y45" i="4"/>
  <c r="Z45" i="4"/>
  <c r="AB45" i="4"/>
  <c r="AA44" i="4"/>
  <c r="AC44" i="4"/>
  <c r="AK44" i="4"/>
  <c r="AA113" i="4"/>
  <c r="AC113" i="4"/>
  <c r="AK113" i="4"/>
  <c r="AA114" i="4"/>
  <c r="AC114" i="4"/>
  <c r="AK114" i="4"/>
  <c r="AA115" i="4"/>
  <c r="AC115" i="4"/>
  <c r="AK115" i="4"/>
  <c r="AA368" i="4"/>
  <c r="AC368" i="4"/>
  <c r="AK368" i="4"/>
  <c r="AA116" i="4"/>
  <c r="AC116" i="4"/>
  <c r="AK116" i="4"/>
  <c r="AA117" i="4"/>
  <c r="AC117" i="4"/>
  <c r="AK117" i="4"/>
  <c r="AA118" i="4"/>
  <c r="AC118" i="4"/>
  <c r="AK118" i="4"/>
  <c r="AA119" i="4"/>
  <c r="AC119" i="4"/>
  <c r="AK119" i="4"/>
  <c r="AA120" i="4"/>
  <c r="AC120" i="4"/>
  <c r="AK120" i="4"/>
  <c r="AA121" i="4"/>
  <c r="AC121" i="4"/>
  <c r="AK121" i="4"/>
  <c r="AA122" i="4"/>
  <c r="AC122" i="4"/>
  <c r="AK122" i="4"/>
  <c r="AA261" i="4"/>
  <c r="AC261" i="4"/>
  <c r="AK261" i="4"/>
  <c r="AC318" i="4"/>
  <c r="AK318" i="4"/>
  <c r="AC319" i="4"/>
  <c r="AK319" i="4"/>
  <c r="AC320" i="4"/>
  <c r="AK320" i="4"/>
  <c r="AC321" i="4"/>
  <c r="AK321" i="4"/>
  <c r="AC322" i="4"/>
  <c r="AK322" i="4"/>
  <c r="AC323" i="4"/>
  <c r="AK323" i="4"/>
  <c r="AA538" i="4"/>
  <c r="AC538" i="4"/>
  <c r="AK538" i="4"/>
  <c r="AA539" i="4"/>
  <c r="AC539" i="4"/>
  <c r="AK539" i="4"/>
  <c r="AA540" i="4"/>
  <c r="AC540" i="4"/>
  <c r="AK540" i="4"/>
  <c r="AA541" i="4"/>
  <c r="AC541" i="4"/>
  <c r="AK541" i="4"/>
  <c r="AA542" i="4"/>
  <c r="AC542" i="4"/>
  <c r="AK542" i="4"/>
  <c r="AA543" i="4"/>
  <c r="AC543" i="4"/>
  <c r="AK543" i="4"/>
  <c r="AA544" i="4"/>
  <c r="AC544" i="4"/>
  <c r="AK544" i="4"/>
  <c r="AA545" i="4"/>
  <c r="AC545" i="4"/>
  <c r="AK545" i="4"/>
  <c r="AA546" i="4"/>
  <c r="AC546" i="4"/>
  <c r="AK546" i="4"/>
  <c r="AA547" i="4"/>
  <c r="AC547" i="4"/>
  <c r="AK547" i="4"/>
  <c r="AA548" i="4"/>
  <c r="AC548" i="4"/>
  <c r="AK548" i="4"/>
  <c r="AA549" i="4"/>
  <c r="AC549" i="4"/>
  <c r="AK549" i="4"/>
  <c r="AA550" i="4"/>
  <c r="AC550" i="4"/>
  <c r="AK550" i="4"/>
  <c r="AA551" i="4"/>
  <c r="AC551" i="4"/>
  <c r="AK551" i="4"/>
  <c r="AA552" i="4"/>
  <c r="AC552" i="4"/>
  <c r="AK552" i="4"/>
  <c r="AA553" i="4"/>
  <c r="AC553" i="4"/>
  <c r="AK553" i="4"/>
  <c r="AA554" i="4"/>
  <c r="AC554" i="4"/>
  <c r="AK554" i="4"/>
  <c r="AA555" i="4"/>
  <c r="AC555" i="4"/>
  <c r="AK555" i="4"/>
  <c r="AA556" i="4"/>
  <c r="AC556" i="4"/>
  <c r="AK556" i="4"/>
  <c r="AA557" i="4"/>
  <c r="AC557" i="4"/>
  <c r="AK557" i="4"/>
  <c r="AA558" i="4"/>
  <c r="AC558" i="4"/>
  <c r="AK558" i="4"/>
  <c r="AA559" i="4"/>
  <c r="AC559" i="4"/>
  <c r="AK559" i="4"/>
  <c r="AA560" i="4"/>
  <c r="AC560" i="4"/>
  <c r="AK560" i="4"/>
  <c r="AA561" i="4"/>
  <c r="AC561" i="4"/>
  <c r="AK561" i="4"/>
  <c r="AA562" i="4"/>
  <c r="AC562" i="4"/>
  <c r="AK562" i="4"/>
  <c r="AA563" i="4"/>
  <c r="AC563" i="4"/>
  <c r="AK563" i="4"/>
  <c r="AA564" i="4"/>
  <c r="AC564" i="4"/>
  <c r="AK564" i="4"/>
  <c r="AA565" i="4"/>
  <c r="AC565" i="4"/>
  <c r="AK565" i="4"/>
  <c r="AA566" i="4"/>
  <c r="AC566" i="4"/>
  <c r="AK566" i="4"/>
  <c r="AA567" i="4"/>
  <c r="AC567" i="4"/>
  <c r="AK567" i="4"/>
  <c r="AA568" i="4"/>
  <c r="AC568" i="4"/>
  <c r="AK568" i="4"/>
  <c r="AA569" i="4"/>
  <c r="AC569" i="4"/>
  <c r="AK569" i="4"/>
  <c r="AA570" i="4"/>
  <c r="AC570" i="4"/>
  <c r="AK570" i="4"/>
  <c r="AA571" i="4"/>
  <c r="AC571" i="4"/>
  <c r="AK571" i="4"/>
  <c r="AA572" i="4"/>
  <c r="AC572" i="4"/>
  <c r="AK572" i="4"/>
  <c r="AA573" i="4"/>
  <c r="AC573" i="4"/>
  <c r="AK573" i="4"/>
  <c r="AA574" i="4"/>
  <c r="AC574" i="4"/>
  <c r="AK574" i="4"/>
  <c r="AA575" i="4"/>
  <c r="AC575" i="4"/>
  <c r="AK575" i="4"/>
  <c r="AA576" i="4"/>
  <c r="AC576" i="4"/>
  <c r="AK576" i="4"/>
  <c r="AA577" i="4"/>
  <c r="AC577" i="4"/>
  <c r="AK577" i="4"/>
  <c r="AA578" i="4"/>
  <c r="AC578" i="4"/>
  <c r="AK578" i="4"/>
  <c r="AA579" i="4"/>
  <c r="AC579" i="4"/>
  <c r="AK579" i="4"/>
  <c r="AA580" i="4"/>
  <c r="AC580" i="4"/>
  <c r="AK580" i="4"/>
  <c r="AA581" i="4"/>
  <c r="AC581" i="4"/>
  <c r="AK581" i="4"/>
  <c r="AA582" i="4"/>
  <c r="AC582" i="4"/>
  <c r="AK582" i="4"/>
  <c r="AA583" i="4"/>
  <c r="AC583" i="4"/>
  <c r="AK583" i="4"/>
  <c r="AA584" i="4"/>
  <c r="AC584" i="4"/>
  <c r="AK584" i="4"/>
  <c r="AA585" i="4"/>
  <c r="AC585" i="4"/>
  <c r="AK585" i="4"/>
  <c r="AA586" i="4"/>
  <c r="AC586" i="4"/>
  <c r="AK586" i="4"/>
  <c r="AA170" i="4"/>
  <c r="AC170" i="4"/>
  <c r="AK170" i="4"/>
  <c r="AA171" i="4"/>
  <c r="AC171" i="4"/>
  <c r="AK171" i="4"/>
  <c r="AA172" i="4"/>
  <c r="AC172" i="4"/>
  <c r="AK172" i="4"/>
  <c r="AA173" i="4"/>
  <c r="AC173" i="4"/>
  <c r="AK173" i="4"/>
  <c r="AA174" i="4"/>
  <c r="AC174" i="4"/>
  <c r="AK174" i="4"/>
  <c r="AA175" i="4"/>
  <c r="AC175" i="4"/>
  <c r="AK175" i="4"/>
  <c r="AA417" i="4"/>
  <c r="AC417" i="4"/>
  <c r="AK417" i="4"/>
  <c r="AA418" i="4"/>
  <c r="AC418" i="4"/>
  <c r="AK418" i="4"/>
  <c r="AA419" i="4"/>
  <c r="AC419" i="4"/>
  <c r="AK419" i="4"/>
  <c r="AA260" i="4"/>
  <c r="AC260" i="4"/>
  <c r="AK260" i="4"/>
  <c r="AA222" i="4"/>
  <c r="AC222" i="4"/>
  <c r="AK222" i="4"/>
  <c r="AA504" i="4"/>
  <c r="AC504" i="4"/>
  <c r="AK504" i="4"/>
  <c r="AA374" i="4"/>
  <c r="AC374" i="4"/>
  <c r="AK374" i="4"/>
  <c r="AA143" i="4"/>
  <c r="AC143" i="4"/>
  <c r="AK143" i="4"/>
  <c r="AA144" i="4"/>
  <c r="AC144" i="4"/>
  <c r="AK144" i="4"/>
  <c r="AA136" i="4"/>
  <c r="AC136" i="4"/>
  <c r="AK136" i="4"/>
  <c r="AA137" i="4"/>
  <c r="AC137" i="4"/>
  <c r="AK137" i="4"/>
  <c r="AA42" i="4"/>
  <c r="AC42" i="4"/>
  <c r="AK42" i="4"/>
  <c r="P240" i="4"/>
  <c r="Q240" i="4"/>
  <c r="R240" i="4"/>
  <c r="S240" i="4"/>
  <c r="T240" i="4"/>
  <c r="U240" i="4"/>
  <c r="V240" i="4"/>
  <c r="W240" i="4"/>
  <c r="X240" i="4"/>
  <c r="Y240" i="4"/>
  <c r="Z240" i="4"/>
  <c r="P227" i="4"/>
  <c r="Q227" i="4"/>
  <c r="R227" i="4"/>
  <c r="S227" i="4"/>
  <c r="T227" i="4"/>
  <c r="U227" i="4"/>
  <c r="V227" i="4"/>
  <c r="W227" i="4"/>
  <c r="X227" i="4"/>
  <c r="Y227" i="4"/>
  <c r="Z227" i="4"/>
  <c r="AA496" i="4"/>
  <c r="AC496" i="4"/>
  <c r="AK496" i="4"/>
  <c r="AA497" i="4"/>
  <c r="AC497" i="4"/>
  <c r="AK497" i="4"/>
  <c r="AA498" i="4"/>
  <c r="AC498" i="4"/>
  <c r="AK498" i="4"/>
  <c r="AA499" i="4"/>
  <c r="AC499" i="4"/>
  <c r="AK499" i="4"/>
  <c r="AA134" i="4"/>
  <c r="AC134" i="4"/>
  <c r="AK134" i="4"/>
  <c r="AA20" i="4"/>
  <c r="AC20" i="4"/>
  <c r="AK20" i="4"/>
  <c r="AA500" i="4"/>
  <c r="AC500" i="4"/>
  <c r="AK500" i="4"/>
  <c r="AA501" i="4"/>
  <c r="AC501" i="4"/>
  <c r="AK501" i="4"/>
  <c r="AA502" i="4"/>
  <c r="AC502" i="4"/>
  <c r="AK502" i="4"/>
  <c r="AA503" i="4"/>
  <c r="AC503" i="4"/>
  <c r="AK503" i="4"/>
  <c r="AA135" i="4"/>
  <c r="AC135" i="4"/>
  <c r="AK135" i="4"/>
  <c r="AA58" i="4"/>
  <c r="AC58" i="4"/>
  <c r="AK58" i="4"/>
  <c r="V506" i="4"/>
  <c r="AA506" i="4"/>
  <c r="AC506" i="4"/>
  <c r="AK506" i="4"/>
  <c r="V210" i="4"/>
  <c r="X506" i="4"/>
  <c r="X210" i="4"/>
  <c r="AA210" i="4"/>
  <c r="AC210" i="4"/>
  <c r="AK210" i="4"/>
  <c r="Y506" i="4"/>
  <c r="Y210" i="4"/>
  <c r="Z506" i="4"/>
  <c r="Z210" i="4"/>
  <c r="V494" i="4"/>
  <c r="V495" i="4"/>
  <c r="AA495" i="4"/>
  <c r="AC495" i="4"/>
  <c r="AK495" i="4"/>
  <c r="V432" i="4"/>
  <c r="V433" i="4"/>
  <c r="V375" i="4"/>
  <c r="V376" i="4"/>
  <c r="V377" i="4"/>
  <c r="V357" i="4"/>
  <c r="X494" i="4"/>
  <c r="X495" i="4"/>
  <c r="X432" i="4"/>
  <c r="X433" i="4"/>
  <c r="X375" i="4"/>
  <c r="X376" i="4"/>
  <c r="X377" i="4"/>
  <c r="X357" i="4"/>
  <c r="Y494" i="4"/>
  <c r="Y495" i="4"/>
  <c r="Y432" i="4"/>
  <c r="Y433" i="4"/>
  <c r="Y375" i="4"/>
  <c r="Y376" i="4"/>
  <c r="Y377" i="4"/>
  <c r="Y357" i="4"/>
  <c r="Z494" i="4"/>
  <c r="Z495" i="4"/>
  <c r="Z432" i="4"/>
  <c r="Z433" i="4"/>
  <c r="Z375" i="4"/>
  <c r="Z376" i="4"/>
  <c r="Z377" i="4"/>
  <c r="Z357" i="4"/>
  <c r="V259" i="4"/>
  <c r="X259" i="4"/>
  <c r="AA259" i="4"/>
  <c r="AC259" i="4"/>
  <c r="AK259" i="4"/>
  <c r="Y259" i="4"/>
  <c r="Z259" i="4"/>
  <c r="Y533" i="4"/>
  <c r="Z533" i="4"/>
  <c r="Y534" i="4"/>
  <c r="Z534" i="4"/>
  <c r="Y535" i="4"/>
  <c r="Z535" i="4"/>
  <c r="Y536" i="4"/>
  <c r="Z536" i="4"/>
  <c r="AA536" i="4"/>
  <c r="AC536" i="4"/>
  <c r="AK536" i="4"/>
  <c r="Y537" i="4"/>
  <c r="AA537" i="4"/>
  <c r="AC537" i="4"/>
  <c r="AK537" i="4"/>
  <c r="Z537" i="4"/>
  <c r="Y31" i="4"/>
  <c r="Z31" i="4"/>
  <c r="AA31" i="4"/>
  <c r="AC31" i="4"/>
  <c r="AK31" i="4"/>
  <c r="Y32" i="4"/>
  <c r="AA32" i="4"/>
  <c r="AC32" i="4"/>
  <c r="AK32" i="4"/>
  <c r="Z32" i="4"/>
  <c r="Y33" i="4"/>
  <c r="Z33" i="4"/>
  <c r="Y34" i="4"/>
  <c r="Z34" i="4"/>
  <c r="AA34" i="4"/>
  <c r="AC34" i="4"/>
  <c r="AK34" i="4"/>
  <c r="Y35" i="4"/>
  <c r="AA35" i="4"/>
  <c r="AC35" i="4"/>
  <c r="AK35" i="4"/>
  <c r="Z35" i="4"/>
  <c r="Y36" i="4"/>
  <c r="AA36" i="4"/>
  <c r="AC36" i="4"/>
  <c r="AK36" i="4"/>
  <c r="Z36" i="4"/>
  <c r="Y37" i="4"/>
  <c r="Z37" i="4"/>
  <c r="Y38" i="4"/>
  <c r="AA38" i="4"/>
  <c r="AC38" i="4"/>
  <c r="AK38" i="4"/>
  <c r="Z38" i="4"/>
  <c r="Y39" i="4"/>
  <c r="Z39" i="4"/>
  <c r="Y40" i="4"/>
  <c r="Z40" i="4"/>
  <c r="Y54" i="4"/>
  <c r="Z54" i="4"/>
  <c r="Y61" i="4"/>
  <c r="Z61" i="4"/>
  <c r="AA61" i="4"/>
  <c r="AC61" i="4"/>
  <c r="AK61" i="4"/>
  <c r="Y62" i="4"/>
  <c r="AA62" i="4"/>
  <c r="AC62" i="4"/>
  <c r="AK62" i="4"/>
  <c r="Z62" i="4"/>
  <c r="Y164" i="4"/>
  <c r="Z164" i="4"/>
  <c r="Y165" i="4"/>
  <c r="Z165" i="4"/>
  <c r="Y166" i="4"/>
  <c r="Z166" i="4"/>
  <c r="Y167" i="4"/>
  <c r="Z167" i="4"/>
  <c r="AA167" i="4"/>
  <c r="AC167" i="4"/>
  <c r="AK167" i="4"/>
  <c r="Y168" i="4"/>
  <c r="Z168" i="4"/>
  <c r="Y169" i="4"/>
  <c r="Z169" i="4"/>
  <c r="Y211" i="4"/>
  <c r="Z211" i="4"/>
  <c r="AA211" i="4"/>
  <c r="AC211" i="4"/>
  <c r="AK211" i="4"/>
  <c r="Y212" i="4"/>
  <c r="AA212" i="4"/>
  <c r="AC212" i="4"/>
  <c r="AK212" i="4"/>
  <c r="Z212" i="4"/>
  <c r="Y221" i="4"/>
  <c r="Z221" i="4"/>
  <c r="Y224" i="4"/>
  <c r="Z224" i="4"/>
  <c r="Y225" i="4"/>
  <c r="AA225" i="4"/>
  <c r="AC225" i="4"/>
  <c r="AK225" i="4"/>
  <c r="Z225" i="4"/>
  <c r="Y226" i="4"/>
  <c r="Z226" i="4"/>
  <c r="Y242" i="4"/>
  <c r="Z242" i="4"/>
  <c r="Y243" i="4"/>
  <c r="Z243" i="4"/>
  <c r="Y266" i="4"/>
  <c r="Z266" i="4"/>
  <c r="AA266" i="4"/>
  <c r="AC266" i="4"/>
  <c r="AK266" i="4"/>
  <c r="Y316" i="4"/>
  <c r="AA316" i="4"/>
  <c r="AC316" i="4"/>
  <c r="AK316" i="4"/>
  <c r="Z316" i="4"/>
  <c r="Y317" i="4"/>
  <c r="Z317" i="4"/>
  <c r="Y329" i="4"/>
  <c r="AA329" i="4"/>
  <c r="AC329" i="4"/>
  <c r="AK329" i="4"/>
  <c r="Z329" i="4"/>
  <c r="Y330" i="4"/>
  <c r="AA330" i="4"/>
  <c r="AC330" i="4"/>
  <c r="AK330" i="4"/>
  <c r="Z330" i="4"/>
  <c r="Y331" i="4"/>
  <c r="AA331" i="4"/>
  <c r="AC331" i="4"/>
  <c r="AK331" i="4"/>
  <c r="Z331" i="4"/>
  <c r="Y332" i="4"/>
  <c r="Z332" i="4"/>
  <c r="Y333" i="4"/>
  <c r="Z333" i="4"/>
  <c r="Y342" i="4"/>
  <c r="Z342" i="4"/>
  <c r="Y343" i="4"/>
  <c r="Z343" i="4"/>
  <c r="Y344" i="4"/>
  <c r="Z344" i="4"/>
  <c r="AA344" i="4"/>
  <c r="AC344" i="4"/>
  <c r="AK344" i="4"/>
  <c r="Y348" i="4"/>
  <c r="AA348" i="4"/>
  <c r="AC348" i="4"/>
  <c r="AK348" i="4"/>
  <c r="Z348" i="4"/>
  <c r="Y345" i="4"/>
  <c r="Z345" i="4"/>
  <c r="AA345" i="4"/>
  <c r="AC345" i="4"/>
  <c r="AK345" i="4"/>
  <c r="Y346" i="4"/>
  <c r="AA346" i="4"/>
  <c r="AC346" i="4"/>
  <c r="AK346" i="4"/>
  <c r="Z346" i="4"/>
  <c r="Y349" i="4"/>
  <c r="Z349" i="4"/>
  <c r="Y347" i="4"/>
  <c r="Z347" i="4"/>
  <c r="AA347" i="4"/>
  <c r="AC347" i="4"/>
  <c r="AK347" i="4"/>
  <c r="Y350" i="4"/>
  <c r="AA350" i="4"/>
  <c r="AC350" i="4"/>
  <c r="AK350" i="4"/>
  <c r="Z350" i="4"/>
  <c r="Y351" i="4"/>
  <c r="Z351" i="4"/>
  <c r="AA351" i="4"/>
  <c r="AC351" i="4"/>
  <c r="AK351" i="4"/>
  <c r="Y352" i="4"/>
  <c r="Z352" i="4"/>
  <c r="Y353" i="4"/>
  <c r="Z353" i="4"/>
  <c r="Y354" i="4"/>
  <c r="Z354" i="4"/>
  <c r="AA354" i="4"/>
  <c r="AC354" i="4"/>
  <c r="AK354" i="4"/>
  <c r="Y389" i="4"/>
  <c r="AA389" i="4"/>
  <c r="AC389" i="4"/>
  <c r="AK389" i="4"/>
  <c r="Z389" i="4"/>
  <c r="Y390" i="4"/>
  <c r="Z390" i="4"/>
  <c r="AA390" i="4"/>
  <c r="AC390" i="4"/>
  <c r="AK390" i="4"/>
  <c r="Y391" i="4"/>
  <c r="Z391" i="4"/>
  <c r="Y392" i="4"/>
  <c r="AA392" i="4"/>
  <c r="AC392" i="4"/>
  <c r="AK392" i="4"/>
  <c r="Z392" i="4"/>
  <c r="Y393" i="4"/>
  <c r="Z393" i="4"/>
  <c r="Y394" i="4"/>
  <c r="AA394" i="4"/>
  <c r="AC394" i="4"/>
  <c r="AK394" i="4"/>
  <c r="Z394" i="4"/>
  <c r="Y395" i="4"/>
  <c r="Z395" i="4"/>
  <c r="AA395" i="4"/>
  <c r="AC395" i="4"/>
  <c r="AK395" i="4"/>
  <c r="Y396" i="4"/>
  <c r="Z396" i="4"/>
  <c r="Y397" i="4"/>
  <c r="Z397" i="4"/>
  <c r="Y398" i="4"/>
  <c r="Z398" i="4"/>
  <c r="Y399" i="4"/>
  <c r="AA399" i="4"/>
  <c r="AC399" i="4"/>
  <c r="AK399" i="4"/>
  <c r="Z399" i="4"/>
  <c r="Y400" i="4"/>
  <c r="AA400" i="4"/>
  <c r="AC400" i="4"/>
  <c r="AK400" i="4"/>
  <c r="Z400" i="4"/>
  <c r="Y401" i="4"/>
  <c r="AA401" i="4"/>
  <c r="AC401" i="4"/>
  <c r="AK401" i="4"/>
  <c r="Z401" i="4"/>
  <c r="Y402" i="4"/>
  <c r="AA402" i="4"/>
  <c r="AC402" i="4"/>
  <c r="AK402" i="4"/>
  <c r="Z402" i="4"/>
  <c r="Y403" i="4"/>
  <c r="Z403" i="4"/>
  <c r="Y404" i="4"/>
  <c r="Z404" i="4"/>
  <c r="AA404" i="4"/>
  <c r="AC404" i="4"/>
  <c r="AK404" i="4"/>
  <c r="Y405" i="4"/>
  <c r="Z405" i="4"/>
  <c r="AA405" i="4"/>
  <c r="AC405" i="4"/>
  <c r="AK405" i="4"/>
  <c r="Y406" i="4"/>
  <c r="Z406" i="4"/>
  <c r="Y407" i="4"/>
  <c r="AA407" i="4"/>
  <c r="AC407" i="4"/>
  <c r="AK407" i="4"/>
  <c r="Z407" i="4"/>
  <c r="Y408" i="4"/>
  <c r="Z408" i="4"/>
  <c r="Y409" i="4"/>
  <c r="Z409" i="4"/>
  <c r="Y410" i="4"/>
  <c r="Z410" i="4"/>
  <c r="Y411" i="4"/>
  <c r="Z411" i="4"/>
  <c r="Y412" i="4"/>
  <c r="Z412" i="4"/>
  <c r="Y413" i="4"/>
  <c r="Z413" i="4"/>
  <c r="AA413" i="4"/>
  <c r="AC413" i="4"/>
  <c r="AK413" i="4"/>
  <c r="Y414" i="4"/>
  <c r="AA414" i="4"/>
  <c r="AC414" i="4"/>
  <c r="AK414" i="4"/>
  <c r="Z414" i="4"/>
  <c r="Y415" i="4"/>
  <c r="Z415" i="4"/>
  <c r="AA415" i="4"/>
  <c r="AC415" i="4"/>
  <c r="AK415" i="4"/>
  <c r="Y416" i="4"/>
  <c r="Z416" i="4"/>
  <c r="Y424" i="4"/>
  <c r="Z424" i="4"/>
  <c r="Y425" i="4"/>
  <c r="Z425" i="4"/>
  <c r="Y426" i="4"/>
  <c r="AA426" i="4"/>
  <c r="AC426" i="4"/>
  <c r="AK426" i="4"/>
  <c r="Z426" i="4"/>
  <c r="Y427" i="4"/>
  <c r="Z427" i="4"/>
  <c r="Y428" i="4"/>
  <c r="Z428" i="4"/>
  <c r="Y429" i="4"/>
  <c r="AA429" i="4"/>
  <c r="AC429" i="4"/>
  <c r="AK429" i="4"/>
  <c r="Z429" i="4"/>
  <c r="Y487" i="4"/>
  <c r="Z487" i="4"/>
  <c r="AA487" i="4"/>
  <c r="AC487" i="4"/>
  <c r="AK487" i="4"/>
  <c r="Y488" i="4"/>
  <c r="Z488" i="4"/>
  <c r="Y489" i="4"/>
  <c r="AA489" i="4"/>
  <c r="AC489" i="4"/>
  <c r="AK489" i="4"/>
  <c r="Z489" i="4"/>
  <c r="Y490" i="4"/>
  <c r="Z490" i="4"/>
  <c r="Y491" i="4"/>
  <c r="AA491" i="4"/>
  <c r="AC491" i="4"/>
  <c r="AK491" i="4"/>
  <c r="Z491" i="4"/>
  <c r="Y492" i="4"/>
  <c r="Z492" i="4"/>
  <c r="Y493" i="4"/>
  <c r="Z493" i="4"/>
  <c r="AA493" i="4"/>
  <c r="AC493" i="4"/>
  <c r="AK493" i="4"/>
  <c r="Y511" i="4"/>
  <c r="AA511" i="4"/>
  <c r="AC511" i="4"/>
  <c r="AK511" i="4"/>
  <c r="Z511" i="4"/>
  <c r="Y512" i="4"/>
  <c r="Z512" i="4"/>
  <c r="Y514" i="4"/>
  <c r="Z514" i="4"/>
  <c r="Y515" i="4"/>
  <c r="Z515" i="4"/>
  <c r="Y516" i="4"/>
  <c r="Z516" i="4"/>
  <c r="Y517" i="4"/>
  <c r="AA517" i="4"/>
  <c r="AC517" i="4"/>
  <c r="AK517" i="4"/>
  <c r="Z517" i="4"/>
  <c r="Y518" i="4"/>
  <c r="Z518" i="4"/>
  <c r="AA518" i="4"/>
  <c r="AC518" i="4"/>
  <c r="AK518" i="4"/>
  <c r="V17" i="4"/>
  <c r="V18" i="4"/>
  <c r="V19" i="4"/>
  <c r="X17" i="4"/>
  <c r="X18" i="4"/>
  <c r="X19" i="4"/>
  <c r="Y17" i="4"/>
  <c r="Y18" i="4"/>
  <c r="Y19" i="4"/>
  <c r="AA19" i="4"/>
  <c r="AC19" i="4"/>
  <c r="AK19" i="4"/>
  <c r="Z17" i="4"/>
  <c r="Z18" i="4"/>
  <c r="Z19" i="4"/>
  <c r="V219" i="4"/>
  <c r="V220" i="4"/>
  <c r="V203" i="4"/>
  <c r="V204" i="4"/>
  <c r="AA204" i="4"/>
  <c r="AC204" i="4"/>
  <c r="AK204" i="4"/>
  <c r="V205" i="4"/>
  <c r="V206" i="4"/>
  <c r="V207" i="4"/>
  <c r="V208" i="4"/>
  <c r="V209" i="4"/>
  <c r="X219" i="4"/>
  <c r="X220" i="4"/>
  <c r="AA220" i="4"/>
  <c r="AC220" i="4"/>
  <c r="AK220" i="4"/>
  <c r="X203" i="4"/>
  <c r="X204" i="4"/>
  <c r="X205" i="4"/>
  <c r="X206" i="4"/>
  <c r="X207" i="4"/>
  <c r="X208" i="4"/>
  <c r="X209" i="4"/>
  <c r="Y219" i="4"/>
  <c r="Y220" i="4"/>
  <c r="Y203" i="4"/>
  <c r="Y204" i="4"/>
  <c r="Y205" i="4"/>
  <c r="Y206" i="4"/>
  <c r="Y207" i="4"/>
  <c r="Y208" i="4"/>
  <c r="AA208" i="4"/>
  <c r="AC208" i="4"/>
  <c r="AK208" i="4"/>
  <c r="Y209" i="4"/>
  <c r="Z219" i="4"/>
  <c r="Z220" i="4"/>
  <c r="Z203" i="4"/>
  <c r="Z204" i="4"/>
  <c r="Z205" i="4"/>
  <c r="Z206" i="4"/>
  <c r="AA206" i="4"/>
  <c r="AC206" i="4"/>
  <c r="AK206" i="4"/>
  <c r="Z207" i="4"/>
  <c r="Z208" i="4"/>
  <c r="Z209" i="4"/>
  <c r="V258" i="4"/>
  <c r="X258" i="4"/>
  <c r="Y258" i="4"/>
  <c r="Z258" i="4"/>
  <c r="Y532" i="4"/>
  <c r="Z532" i="4"/>
  <c r="AA532" i="4"/>
  <c r="AC532" i="4"/>
  <c r="AK532" i="4"/>
  <c r="A1" i="4"/>
  <c r="P370" i="4"/>
  <c r="Q370" i="4"/>
  <c r="R370" i="4"/>
  <c r="S370" i="4"/>
  <c r="T370" i="4"/>
  <c r="U370" i="4"/>
  <c r="V370" i="4"/>
  <c r="W370" i="4"/>
  <c r="X370" i="4"/>
  <c r="Y370" i="4"/>
  <c r="Z370" i="4"/>
  <c r="AB370" i="4"/>
  <c r="P371" i="4"/>
  <c r="Q371" i="4"/>
  <c r="R371" i="4"/>
  <c r="S371" i="4"/>
  <c r="T371" i="4"/>
  <c r="U371" i="4"/>
  <c r="V371" i="4"/>
  <c r="W371" i="4"/>
  <c r="X371" i="4"/>
  <c r="Y371" i="4"/>
  <c r="Z371" i="4"/>
  <c r="AB371" i="4"/>
  <c r="P372" i="4"/>
  <c r="Q372" i="4"/>
  <c r="R372" i="4"/>
  <c r="S372" i="4"/>
  <c r="T372" i="4"/>
  <c r="U372" i="4"/>
  <c r="V372" i="4"/>
  <c r="W372" i="4"/>
  <c r="X372" i="4"/>
  <c r="Y372" i="4"/>
  <c r="Z372" i="4"/>
  <c r="AB372" i="4"/>
  <c r="P373" i="4"/>
  <c r="Q373" i="4"/>
  <c r="R373" i="4"/>
  <c r="S373" i="4"/>
  <c r="T373" i="4"/>
  <c r="U373" i="4"/>
  <c r="V373" i="4"/>
  <c r="W373" i="4"/>
  <c r="X373" i="4"/>
  <c r="Y373" i="4"/>
  <c r="Z373" i="4"/>
  <c r="AB373" i="4"/>
  <c r="P268" i="4"/>
  <c r="Q268" i="4"/>
  <c r="R268" i="4"/>
  <c r="S268" i="4"/>
  <c r="T268" i="4"/>
  <c r="U268" i="4"/>
  <c r="V268" i="4"/>
  <c r="W268" i="4"/>
  <c r="X268" i="4"/>
  <c r="Y268" i="4"/>
  <c r="Z268" i="4"/>
  <c r="P269" i="4"/>
  <c r="Q269" i="4"/>
  <c r="R269" i="4"/>
  <c r="S269" i="4"/>
  <c r="T269" i="4"/>
  <c r="U269" i="4"/>
  <c r="V269" i="4"/>
  <c r="W269" i="4"/>
  <c r="X269" i="4"/>
  <c r="Y269" i="4"/>
  <c r="Z269" i="4"/>
  <c r="P270" i="4"/>
  <c r="Q270" i="4"/>
  <c r="R270" i="4"/>
  <c r="S270" i="4"/>
  <c r="T270" i="4"/>
  <c r="U270" i="4"/>
  <c r="V270" i="4"/>
  <c r="W270" i="4"/>
  <c r="X270" i="4"/>
  <c r="Y270" i="4"/>
  <c r="Z270" i="4"/>
  <c r="P271" i="4"/>
  <c r="Q271" i="4"/>
  <c r="R271" i="4"/>
  <c r="S271" i="4"/>
  <c r="T271" i="4"/>
  <c r="U271" i="4"/>
  <c r="V271" i="4"/>
  <c r="W271" i="4"/>
  <c r="X271" i="4"/>
  <c r="Y271" i="4"/>
  <c r="Z271" i="4"/>
  <c r="P272" i="4"/>
  <c r="Q272" i="4"/>
  <c r="R272" i="4"/>
  <c r="S272" i="4"/>
  <c r="T272" i="4"/>
  <c r="U272" i="4"/>
  <c r="V272" i="4"/>
  <c r="W272" i="4"/>
  <c r="X272" i="4"/>
  <c r="Y272" i="4"/>
  <c r="Z272" i="4"/>
  <c r="P273" i="4"/>
  <c r="Q273" i="4"/>
  <c r="R273" i="4"/>
  <c r="S273" i="4"/>
  <c r="T273" i="4"/>
  <c r="U273" i="4"/>
  <c r="V273" i="4"/>
  <c r="W273" i="4"/>
  <c r="X273" i="4"/>
  <c r="Y273" i="4"/>
  <c r="Z273" i="4"/>
  <c r="P274" i="4"/>
  <c r="AA274" i="4"/>
  <c r="AC274" i="4"/>
  <c r="AK274" i="4"/>
  <c r="Q274" i="4"/>
  <c r="R274" i="4"/>
  <c r="S274" i="4"/>
  <c r="T274" i="4"/>
  <c r="U274" i="4"/>
  <c r="V274" i="4"/>
  <c r="W274" i="4"/>
  <c r="X274" i="4"/>
  <c r="Y274" i="4"/>
  <c r="Z274" i="4"/>
  <c r="P275" i="4"/>
  <c r="Q275" i="4"/>
  <c r="R275" i="4"/>
  <c r="S275" i="4"/>
  <c r="T275" i="4"/>
  <c r="U275" i="4"/>
  <c r="V275" i="4"/>
  <c r="W275" i="4"/>
  <c r="X275" i="4"/>
  <c r="Y275" i="4"/>
  <c r="Z275" i="4"/>
  <c r="P276" i="4"/>
  <c r="Q276" i="4"/>
  <c r="R276" i="4"/>
  <c r="S276" i="4"/>
  <c r="T276" i="4"/>
  <c r="U276" i="4"/>
  <c r="V276" i="4"/>
  <c r="W276" i="4"/>
  <c r="X276" i="4"/>
  <c r="Y276" i="4"/>
  <c r="Z276" i="4"/>
  <c r="P277" i="4"/>
  <c r="Q277" i="4"/>
  <c r="R277" i="4"/>
  <c r="S277" i="4"/>
  <c r="T277" i="4"/>
  <c r="U277" i="4"/>
  <c r="V277" i="4"/>
  <c r="W277" i="4"/>
  <c r="X277" i="4"/>
  <c r="Y277" i="4"/>
  <c r="Z277" i="4"/>
  <c r="P278" i="4"/>
  <c r="Q278" i="4"/>
  <c r="R278" i="4"/>
  <c r="S278" i="4"/>
  <c r="T278" i="4"/>
  <c r="U278" i="4"/>
  <c r="V278" i="4"/>
  <c r="W278" i="4"/>
  <c r="X278" i="4"/>
  <c r="Y278" i="4"/>
  <c r="Z278" i="4"/>
  <c r="P279" i="4"/>
  <c r="Q279" i="4"/>
  <c r="R279" i="4"/>
  <c r="S279" i="4"/>
  <c r="T279" i="4"/>
  <c r="U279" i="4"/>
  <c r="V279" i="4"/>
  <c r="W279" i="4"/>
  <c r="X279" i="4"/>
  <c r="Y279" i="4"/>
  <c r="Z279" i="4"/>
  <c r="P280" i="4"/>
  <c r="Q280" i="4"/>
  <c r="R280" i="4"/>
  <c r="S280" i="4"/>
  <c r="T280" i="4"/>
  <c r="U280" i="4"/>
  <c r="V280" i="4"/>
  <c r="W280" i="4"/>
  <c r="X280" i="4"/>
  <c r="Y280" i="4"/>
  <c r="Z280" i="4"/>
  <c r="P281" i="4"/>
  <c r="AA281" i="4"/>
  <c r="AC281" i="4"/>
  <c r="AK281" i="4"/>
  <c r="Q281" i="4"/>
  <c r="R281" i="4"/>
  <c r="S281" i="4"/>
  <c r="T281" i="4"/>
  <c r="U281" i="4"/>
  <c r="V281" i="4"/>
  <c r="W281" i="4"/>
  <c r="X281" i="4"/>
  <c r="Y281" i="4"/>
  <c r="Z281" i="4"/>
  <c r="P282" i="4"/>
  <c r="Q282" i="4"/>
  <c r="R282" i="4"/>
  <c r="S282" i="4"/>
  <c r="T282" i="4"/>
  <c r="U282" i="4"/>
  <c r="V282" i="4"/>
  <c r="W282" i="4"/>
  <c r="X282" i="4"/>
  <c r="Y282" i="4"/>
  <c r="Z282" i="4"/>
  <c r="P283" i="4"/>
  <c r="Q283" i="4"/>
  <c r="R283" i="4"/>
  <c r="S283" i="4"/>
  <c r="T283" i="4"/>
  <c r="U283" i="4"/>
  <c r="V283" i="4"/>
  <c r="W283" i="4"/>
  <c r="X283" i="4"/>
  <c r="Y283" i="4"/>
  <c r="Z283" i="4"/>
  <c r="P284" i="4"/>
  <c r="Q284" i="4"/>
  <c r="R284" i="4"/>
  <c r="S284" i="4"/>
  <c r="T284" i="4"/>
  <c r="U284" i="4"/>
  <c r="V284" i="4"/>
  <c r="W284" i="4"/>
  <c r="X284" i="4"/>
  <c r="AA284" i="4"/>
  <c r="AC284" i="4"/>
  <c r="AK284" i="4"/>
  <c r="Y284" i="4"/>
  <c r="Z284" i="4"/>
  <c r="P285" i="4"/>
  <c r="Q285" i="4"/>
  <c r="R285" i="4"/>
  <c r="S285" i="4"/>
  <c r="T285" i="4"/>
  <c r="U285" i="4"/>
  <c r="V285" i="4"/>
  <c r="W285" i="4"/>
  <c r="X285" i="4"/>
  <c r="Y285" i="4"/>
  <c r="Z285" i="4"/>
  <c r="P286" i="4"/>
  <c r="Q286" i="4"/>
  <c r="R286" i="4"/>
  <c r="S286" i="4"/>
  <c r="T286" i="4"/>
  <c r="U286" i="4"/>
  <c r="V286" i="4"/>
  <c r="W286" i="4"/>
  <c r="X286" i="4"/>
  <c r="Y286" i="4"/>
  <c r="Z286" i="4"/>
  <c r="P287" i="4"/>
  <c r="Q287" i="4"/>
  <c r="R287" i="4"/>
  <c r="S287" i="4"/>
  <c r="T287" i="4"/>
  <c r="U287" i="4"/>
  <c r="V287" i="4"/>
  <c r="W287" i="4"/>
  <c r="X287" i="4"/>
  <c r="Y287" i="4"/>
  <c r="Z287" i="4"/>
  <c r="P288" i="4"/>
  <c r="Q288" i="4"/>
  <c r="R288" i="4"/>
  <c r="S288" i="4"/>
  <c r="T288" i="4"/>
  <c r="U288" i="4"/>
  <c r="V288" i="4"/>
  <c r="W288" i="4"/>
  <c r="X288" i="4"/>
  <c r="Y288" i="4"/>
  <c r="Z288" i="4"/>
  <c r="P289" i="4"/>
  <c r="Q289" i="4"/>
  <c r="R289" i="4"/>
  <c r="S289" i="4"/>
  <c r="T289" i="4"/>
  <c r="U289" i="4"/>
  <c r="V289" i="4"/>
  <c r="W289" i="4"/>
  <c r="X289" i="4"/>
  <c r="Y289" i="4"/>
  <c r="Z289" i="4"/>
  <c r="P290" i="4"/>
  <c r="Q290" i="4"/>
  <c r="R290" i="4"/>
  <c r="S290" i="4"/>
  <c r="T290" i="4"/>
  <c r="U290" i="4"/>
  <c r="V290" i="4"/>
  <c r="W290" i="4"/>
  <c r="X290" i="4"/>
  <c r="Y290" i="4"/>
  <c r="Z290" i="4"/>
  <c r="P291" i="4"/>
  <c r="Q291" i="4"/>
  <c r="R291" i="4"/>
  <c r="S291" i="4"/>
  <c r="T291" i="4"/>
  <c r="U291" i="4"/>
  <c r="V291" i="4"/>
  <c r="W291" i="4"/>
  <c r="X291" i="4"/>
  <c r="Y291" i="4"/>
  <c r="Z291" i="4"/>
  <c r="P292" i="4"/>
  <c r="Q292" i="4"/>
  <c r="R292" i="4"/>
  <c r="S292" i="4"/>
  <c r="T292" i="4"/>
  <c r="U292" i="4"/>
  <c r="V292" i="4"/>
  <c r="W292" i="4"/>
  <c r="X292" i="4"/>
  <c r="Y292" i="4"/>
  <c r="Z292" i="4"/>
  <c r="P293" i="4"/>
  <c r="Q293" i="4"/>
  <c r="R293" i="4"/>
  <c r="S293" i="4"/>
  <c r="T293" i="4"/>
  <c r="U293" i="4"/>
  <c r="V293" i="4"/>
  <c r="W293" i="4"/>
  <c r="X293" i="4"/>
  <c r="Y293" i="4"/>
  <c r="Z293" i="4"/>
  <c r="P294" i="4"/>
  <c r="Q294" i="4"/>
  <c r="R294" i="4"/>
  <c r="S294" i="4"/>
  <c r="T294" i="4"/>
  <c r="U294" i="4"/>
  <c r="V294" i="4"/>
  <c r="W294" i="4"/>
  <c r="X294" i="4"/>
  <c r="Y294" i="4"/>
  <c r="Z294" i="4"/>
  <c r="P295" i="4"/>
  <c r="Q295" i="4"/>
  <c r="R295" i="4"/>
  <c r="S295" i="4"/>
  <c r="T295" i="4"/>
  <c r="U295" i="4"/>
  <c r="V295" i="4"/>
  <c r="W295" i="4"/>
  <c r="X295" i="4"/>
  <c r="Y295" i="4"/>
  <c r="Z295" i="4"/>
  <c r="P296" i="4"/>
  <c r="Q296" i="4"/>
  <c r="R296" i="4"/>
  <c r="S296" i="4"/>
  <c r="T296" i="4"/>
  <c r="U296" i="4"/>
  <c r="V296" i="4"/>
  <c r="W296" i="4"/>
  <c r="X296" i="4"/>
  <c r="Y296" i="4"/>
  <c r="Z296" i="4"/>
  <c r="P297" i="4"/>
  <c r="AA297" i="4"/>
  <c r="AC297" i="4"/>
  <c r="AK297" i="4"/>
  <c r="Q297" i="4"/>
  <c r="R297" i="4"/>
  <c r="S297" i="4"/>
  <c r="T297" i="4"/>
  <c r="U297" i="4"/>
  <c r="V297" i="4"/>
  <c r="W297" i="4"/>
  <c r="X297" i="4"/>
  <c r="Y297" i="4"/>
  <c r="Z297" i="4"/>
  <c r="P298" i="4"/>
  <c r="Q298" i="4"/>
  <c r="R298" i="4"/>
  <c r="S298" i="4"/>
  <c r="T298" i="4"/>
  <c r="U298" i="4"/>
  <c r="V298" i="4"/>
  <c r="W298" i="4"/>
  <c r="X298" i="4"/>
  <c r="Y298" i="4"/>
  <c r="Z298" i="4"/>
  <c r="P299" i="4"/>
  <c r="Q299" i="4"/>
  <c r="R299" i="4"/>
  <c r="S299" i="4"/>
  <c r="T299" i="4"/>
  <c r="U299" i="4"/>
  <c r="V299" i="4"/>
  <c r="W299" i="4"/>
  <c r="X299" i="4"/>
  <c r="Y299" i="4"/>
  <c r="Z299" i="4"/>
  <c r="P300" i="4"/>
  <c r="Q300" i="4"/>
  <c r="R300" i="4"/>
  <c r="S300" i="4"/>
  <c r="T300" i="4"/>
  <c r="U300" i="4"/>
  <c r="V300" i="4"/>
  <c r="W300" i="4"/>
  <c r="X300" i="4"/>
  <c r="Y300" i="4"/>
  <c r="Z300" i="4"/>
  <c r="P301" i="4"/>
  <c r="Q301" i="4"/>
  <c r="R301" i="4"/>
  <c r="S301" i="4"/>
  <c r="T301" i="4"/>
  <c r="U301" i="4"/>
  <c r="V301" i="4"/>
  <c r="W301" i="4"/>
  <c r="X301" i="4"/>
  <c r="Y301" i="4"/>
  <c r="Z301" i="4"/>
  <c r="P302" i="4"/>
  <c r="Q302" i="4"/>
  <c r="R302" i="4"/>
  <c r="S302" i="4"/>
  <c r="T302" i="4"/>
  <c r="U302" i="4"/>
  <c r="V302" i="4"/>
  <c r="W302" i="4"/>
  <c r="X302" i="4"/>
  <c r="Y302" i="4"/>
  <c r="Z302" i="4"/>
  <c r="P303" i="4"/>
  <c r="Q303" i="4"/>
  <c r="R303" i="4"/>
  <c r="S303" i="4"/>
  <c r="T303" i="4"/>
  <c r="U303" i="4"/>
  <c r="V303" i="4"/>
  <c r="W303" i="4"/>
  <c r="X303" i="4"/>
  <c r="Y303" i="4"/>
  <c r="Z303" i="4"/>
  <c r="P304" i="4"/>
  <c r="Q304" i="4"/>
  <c r="R304" i="4"/>
  <c r="S304" i="4"/>
  <c r="T304" i="4"/>
  <c r="U304" i="4"/>
  <c r="V304" i="4"/>
  <c r="W304" i="4"/>
  <c r="X304" i="4"/>
  <c r="Y304" i="4"/>
  <c r="Z304" i="4"/>
  <c r="P305" i="4"/>
  <c r="Q305" i="4"/>
  <c r="R305" i="4"/>
  <c r="S305" i="4"/>
  <c r="T305" i="4"/>
  <c r="U305" i="4"/>
  <c r="V305" i="4"/>
  <c r="W305" i="4"/>
  <c r="X305" i="4"/>
  <c r="Y305" i="4"/>
  <c r="Z305" i="4"/>
  <c r="P306" i="4"/>
  <c r="Q306" i="4"/>
  <c r="R306" i="4"/>
  <c r="S306" i="4"/>
  <c r="T306" i="4"/>
  <c r="U306" i="4"/>
  <c r="V306" i="4"/>
  <c r="W306" i="4"/>
  <c r="X306" i="4"/>
  <c r="Y306" i="4"/>
  <c r="Z306" i="4"/>
  <c r="P307" i="4"/>
  <c r="Q307" i="4"/>
  <c r="R307" i="4"/>
  <c r="S307" i="4"/>
  <c r="T307" i="4"/>
  <c r="U307" i="4"/>
  <c r="V307" i="4"/>
  <c r="W307" i="4"/>
  <c r="X307" i="4"/>
  <c r="Y307" i="4"/>
  <c r="Z307" i="4"/>
  <c r="P24" i="4"/>
  <c r="Q24" i="4"/>
  <c r="R24" i="4"/>
  <c r="S24" i="4"/>
  <c r="T24" i="4"/>
  <c r="U24" i="4"/>
  <c r="V24" i="4"/>
  <c r="W24" i="4"/>
  <c r="X24" i="4"/>
  <c r="Y24" i="4"/>
  <c r="Z24" i="4"/>
  <c r="P326" i="4"/>
  <c r="Q326" i="4"/>
  <c r="R326" i="4"/>
  <c r="S326" i="4"/>
  <c r="T326" i="4"/>
  <c r="U326" i="4"/>
  <c r="V326" i="4"/>
  <c r="W326" i="4"/>
  <c r="X326" i="4"/>
  <c r="Y326" i="4"/>
  <c r="Z326" i="4"/>
  <c r="P25" i="4"/>
  <c r="Q25" i="4"/>
  <c r="R25" i="4"/>
  <c r="S25" i="4"/>
  <c r="T25" i="4"/>
  <c r="U25" i="4"/>
  <c r="V25" i="4"/>
  <c r="W25" i="4"/>
  <c r="X25" i="4"/>
  <c r="Y25" i="4"/>
  <c r="Z25" i="4"/>
  <c r="P26" i="4"/>
  <c r="Q26" i="4"/>
  <c r="R26" i="4"/>
  <c r="S26" i="4"/>
  <c r="T26" i="4"/>
  <c r="U26" i="4"/>
  <c r="V26" i="4"/>
  <c r="W26" i="4"/>
  <c r="X26" i="4"/>
  <c r="Y26" i="4"/>
  <c r="Z26" i="4"/>
  <c r="AB26" i="4"/>
  <c r="P22" i="4"/>
  <c r="AA22" i="4"/>
  <c r="AC22" i="4"/>
  <c r="AK22" i="4"/>
  <c r="Q22" i="4"/>
  <c r="R22" i="4"/>
  <c r="S22" i="4"/>
  <c r="T22" i="4"/>
  <c r="U22" i="4"/>
  <c r="V22" i="4"/>
  <c r="W22" i="4"/>
  <c r="X22" i="4"/>
  <c r="Y22" i="4"/>
  <c r="Z22" i="4"/>
  <c r="P23" i="4"/>
  <c r="Q23" i="4"/>
  <c r="R23" i="4"/>
  <c r="S23" i="4"/>
  <c r="T23" i="4"/>
  <c r="U23" i="4"/>
  <c r="V23" i="4"/>
  <c r="W23" i="4"/>
  <c r="X23" i="4"/>
  <c r="Y23" i="4"/>
  <c r="Z23" i="4"/>
  <c r="P27" i="4"/>
  <c r="Q27" i="4"/>
  <c r="R27" i="4"/>
  <c r="S27" i="4"/>
  <c r="T27" i="4"/>
  <c r="U27" i="4"/>
  <c r="V27" i="4"/>
  <c r="W27" i="4"/>
  <c r="X27" i="4"/>
  <c r="Y27" i="4"/>
  <c r="Z27" i="4"/>
  <c r="AB27" i="4"/>
  <c r="P28" i="4"/>
  <c r="Q28" i="4"/>
  <c r="R28" i="4"/>
  <c r="S28" i="4"/>
  <c r="T28" i="4"/>
  <c r="U28" i="4"/>
  <c r="V28" i="4"/>
  <c r="W28" i="4"/>
  <c r="X28" i="4"/>
  <c r="Y28" i="4"/>
  <c r="Z28" i="4"/>
  <c r="P327" i="4"/>
  <c r="Q327" i="4"/>
  <c r="R327" i="4"/>
  <c r="S327" i="4"/>
  <c r="T327" i="4"/>
  <c r="U327" i="4"/>
  <c r="V327" i="4"/>
  <c r="W327" i="4"/>
  <c r="X327" i="4"/>
  <c r="Y327" i="4"/>
  <c r="Z327" i="4"/>
  <c r="AB327" i="4"/>
  <c r="P328" i="4"/>
  <c r="Q328" i="4"/>
  <c r="R328" i="4"/>
  <c r="S328" i="4"/>
  <c r="T328" i="4"/>
  <c r="U328" i="4"/>
  <c r="V328" i="4"/>
  <c r="W328" i="4"/>
  <c r="X328" i="4"/>
  <c r="Y328" i="4"/>
  <c r="Z328" i="4"/>
  <c r="P422" i="4"/>
  <c r="Q422" i="4"/>
  <c r="R422" i="4"/>
  <c r="S422" i="4"/>
  <c r="T422" i="4"/>
  <c r="U422" i="4"/>
  <c r="V422" i="4"/>
  <c r="AA422" i="4"/>
  <c r="AC422" i="4"/>
  <c r="AK422" i="4"/>
  <c r="W422" i="4"/>
  <c r="X422" i="4"/>
  <c r="Y422" i="4"/>
  <c r="Z422" i="4"/>
  <c r="AB422" i="4"/>
  <c r="P423" i="4"/>
  <c r="Q423" i="4"/>
  <c r="R423" i="4"/>
  <c r="S423" i="4"/>
  <c r="T423" i="4"/>
  <c r="U423" i="4"/>
  <c r="V423" i="4"/>
  <c r="W423" i="4"/>
  <c r="X423" i="4"/>
  <c r="Y423" i="4"/>
  <c r="Z423" i="4"/>
  <c r="P524" i="4"/>
  <c r="Q524" i="4"/>
  <c r="AA524" i="4"/>
  <c r="AC524" i="4"/>
  <c r="AK524" i="4"/>
  <c r="R524" i="4"/>
  <c r="S524" i="4"/>
  <c r="T524" i="4"/>
  <c r="U524" i="4"/>
  <c r="V524" i="4"/>
  <c r="W524" i="4"/>
  <c r="X524" i="4"/>
  <c r="Y524" i="4"/>
  <c r="Z524" i="4"/>
  <c r="AB524" i="4"/>
  <c r="P525" i="4"/>
  <c r="Q525" i="4"/>
  <c r="R525" i="4"/>
  <c r="S525" i="4"/>
  <c r="T525" i="4"/>
  <c r="U525" i="4"/>
  <c r="V525" i="4"/>
  <c r="W525" i="4"/>
  <c r="X525" i="4"/>
  <c r="Y525" i="4"/>
  <c r="Z525" i="4"/>
  <c r="AB525" i="4"/>
  <c r="P526" i="4"/>
  <c r="Q526" i="4"/>
  <c r="R526" i="4"/>
  <c r="S526" i="4"/>
  <c r="T526" i="4"/>
  <c r="U526" i="4"/>
  <c r="V526" i="4"/>
  <c r="W526" i="4"/>
  <c r="X526" i="4"/>
  <c r="Y526" i="4"/>
  <c r="Z526" i="4"/>
  <c r="AB526" i="4"/>
  <c r="P334" i="4"/>
  <c r="Q334" i="4"/>
  <c r="R334" i="4"/>
  <c r="S334" i="4"/>
  <c r="T334" i="4"/>
  <c r="U334" i="4"/>
  <c r="V334" i="4"/>
  <c r="W334" i="4"/>
  <c r="X334" i="4"/>
  <c r="Y334" i="4"/>
  <c r="Z334" i="4"/>
  <c r="AB334" i="4"/>
  <c r="P308" i="4"/>
  <c r="Q308" i="4"/>
  <c r="R308" i="4"/>
  <c r="S308" i="4"/>
  <c r="T308" i="4"/>
  <c r="U308" i="4"/>
  <c r="V308" i="4"/>
  <c r="W308" i="4"/>
  <c r="X308" i="4"/>
  <c r="Y308" i="4"/>
  <c r="Z308" i="4"/>
  <c r="P309" i="4"/>
  <c r="Q309" i="4"/>
  <c r="R309" i="4"/>
  <c r="S309" i="4"/>
  <c r="T309" i="4"/>
  <c r="U309" i="4"/>
  <c r="V309" i="4"/>
  <c r="W309" i="4"/>
  <c r="X309" i="4"/>
  <c r="Y309" i="4"/>
  <c r="Z309" i="4"/>
  <c r="P387" i="4"/>
  <c r="Q387" i="4"/>
  <c r="R387" i="4"/>
  <c r="S387" i="4"/>
  <c r="T387" i="4"/>
  <c r="U387" i="4"/>
  <c r="V387" i="4"/>
  <c r="W387" i="4"/>
  <c r="X387" i="4"/>
  <c r="Y387" i="4"/>
  <c r="Z387" i="4"/>
  <c r="AB387" i="4"/>
  <c r="P388" i="4"/>
  <c r="Q388" i="4"/>
  <c r="R388" i="4"/>
  <c r="S388" i="4"/>
  <c r="T388" i="4"/>
  <c r="U388" i="4"/>
  <c r="V388" i="4"/>
  <c r="W388" i="4"/>
  <c r="X388" i="4"/>
  <c r="Y388" i="4"/>
  <c r="Z388" i="4"/>
  <c r="AB388" i="4"/>
  <c r="P420" i="4"/>
  <c r="Q420" i="4"/>
  <c r="R420" i="4"/>
  <c r="S420" i="4"/>
  <c r="T420" i="4"/>
  <c r="U420" i="4"/>
  <c r="V420" i="4"/>
  <c r="W420" i="4"/>
  <c r="X420" i="4"/>
  <c r="Y420" i="4"/>
  <c r="Z420" i="4"/>
  <c r="P421" i="4"/>
  <c r="Q421" i="4"/>
  <c r="R421" i="4"/>
  <c r="S421" i="4"/>
  <c r="T421" i="4"/>
  <c r="U421" i="4"/>
  <c r="V421" i="4"/>
  <c r="W421" i="4"/>
  <c r="X421" i="4"/>
  <c r="Y421" i="4"/>
  <c r="Z421" i="4"/>
  <c r="AB421" i="4"/>
  <c r="P145" i="4"/>
  <c r="Q145" i="4"/>
  <c r="R145" i="4"/>
  <c r="S145" i="4"/>
  <c r="T145" i="4"/>
  <c r="U145" i="4"/>
  <c r="V145" i="4"/>
  <c r="W145" i="4"/>
  <c r="X145" i="4"/>
  <c r="Y145" i="4"/>
  <c r="Z145" i="4"/>
  <c r="AB145" i="4"/>
  <c r="P146" i="4"/>
  <c r="AA146" i="4"/>
  <c r="AC146" i="4"/>
  <c r="AK146" i="4"/>
  <c r="Q146" i="4"/>
  <c r="R146" i="4"/>
  <c r="S146" i="4"/>
  <c r="T146" i="4"/>
  <c r="U146" i="4"/>
  <c r="V146" i="4"/>
  <c r="W146" i="4"/>
  <c r="X146" i="4"/>
  <c r="Y146" i="4"/>
  <c r="Z146" i="4"/>
  <c r="P147" i="4"/>
  <c r="Q147" i="4"/>
  <c r="R147" i="4"/>
  <c r="S147" i="4"/>
  <c r="AA147" i="4"/>
  <c r="AC147" i="4"/>
  <c r="AK147" i="4"/>
  <c r="T147" i="4"/>
  <c r="U147" i="4"/>
  <c r="V147" i="4"/>
  <c r="W147" i="4"/>
  <c r="X147" i="4"/>
  <c r="Y147" i="4"/>
  <c r="Z147" i="4"/>
  <c r="P148" i="4"/>
  <c r="Q148" i="4"/>
  <c r="R148" i="4"/>
  <c r="AA148" i="4"/>
  <c r="AC148" i="4"/>
  <c r="AK148" i="4"/>
  <c r="S148" i="4"/>
  <c r="T148" i="4"/>
  <c r="U148" i="4"/>
  <c r="V148" i="4"/>
  <c r="W148" i="4"/>
  <c r="X148" i="4"/>
  <c r="Y148" i="4"/>
  <c r="Z148" i="4"/>
  <c r="P265" i="4"/>
  <c r="Q265" i="4"/>
  <c r="R265" i="4"/>
  <c r="S265" i="4"/>
  <c r="T265" i="4"/>
  <c r="U265" i="4"/>
  <c r="V265" i="4"/>
  <c r="W265" i="4"/>
  <c r="X265" i="4"/>
  <c r="Y265" i="4"/>
  <c r="Z265" i="4"/>
  <c r="AB265" i="4"/>
  <c r="P310" i="4"/>
  <c r="Q310" i="4"/>
  <c r="R310" i="4"/>
  <c r="S310" i="4"/>
  <c r="T310" i="4"/>
  <c r="U310" i="4"/>
  <c r="V310" i="4"/>
  <c r="W310" i="4"/>
  <c r="X310" i="4"/>
  <c r="Y310" i="4"/>
  <c r="Z310" i="4"/>
  <c r="P311" i="4"/>
  <c r="Q311" i="4"/>
  <c r="R311" i="4"/>
  <c r="S311" i="4"/>
  <c r="T311" i="4"/>
  <c r="U311" i="4"/>
  <c r="V311" i="4"/>
  <c r="W311" i="4"/>
  <c r="X311" i="4"/>
  <c r="Y311" i="4"/>
  <c r="Z311" i="4"/>
  <c r="P312" i="4"/>
  <c r="Q312" i="4"/>
  <c r="R312" i="4"/>
  <c r="S312" i="4"/>
  <c r="T312" i="4"/>
  <c r="U312" i="4"/>
  <c r="V312" i="4"/>
  <c r="W312" i="4"/>
  <c r="X312" i="4"/>
  <c r="Y312" i="4"/>
  <c r="Z312" i="4"/>
  <c r="P325" i="4"/>
  <c r="AA325" i="4"/>
  <c r="AC325" i="4"/>
  <c r="AK325" i="4"/>
  <c r="Q325" i="4"/>
  <c r="R325" i="4"/>
  <c r="S325" i="4"/>
  <c r="T325" i="4"/>
  <c r="U325" i="4"/>
  <c r="V325" i="4"/>
  <c r="W325" i="4"/>
  <c r="X325" i="4"/>
  <c r="Y325" i="4"/>
  <c r="Z325" i="4"/>
  <c r="AB325" i="4"/>
  <c r="P335" i="4"/>
  <c r="Q335" i="4"/>
  <c r="R335" i="4"/>
  <c r="S335" i="4"/>
  <c r="T335" i="4"/>
  <c r="AA335" i="4"/>
  <c r="AC335" i="4"/>
  <c r="AK335" i="4"/>
  <c r="U335" i="4"/>
  <c r="V335" i="4"/>
  <c r="W335" i="4"/>
  <c r="X335" i="4"/>
  <c r="Y335" i="4"/>
  <c r="Z335" i="4"/>
  <c r="AB335" i="4"/>
  <c r="P521" i="4"/>
  <c r="Q521" i="4"/>
  <c r="R521" i="4"/>
  <c r="S521" i="4"/>
  <c r="T521" i="4"/>
  <c r="U521" i="4"/>
  <c r="V521" i="4"/>
  <c r="W521" i="4"/>
  <c r="X521" i="4"/>
  <c r="Y521" i="4"/>
  <c r="Z521" i="4"/>
  <c r="P522" i="4"/>
  <c r="Q522" i="4"/>
  <c r="R522" i="4"/>
  <c r="S522" i="4"/>
  <c r="T522" i="4"/>
  <c r="U522" i="4"/>
  <c r="V522" i="4"/>
  <c r="W522" i="4"/>
  <c r="X522" i="4"/>
  <c r="Y522" i="4"/>
  <c r="Z522" i="4"/>
  <c r="P523" i="4"/>
  <c r="Q523" i="4"/>
  <c r="R523" i="4"/>
  <c r="S523" i="4"/>
  <c r="T523" i="4"/>
  <c r="U523" i="4"/>
  <c r="V523" i="4"/>
  <c r="W523" i="4"/>
  <c r="X523" i="4"/>
  <c r="Y523" i="4"/>
  <c r="Z523" i="4"/>
  <c r="P519" i="4"/>
  <c r="Q519" i="4"/>
  <c r="R519" i="4"/>
  <c r="S519" i="4"/>
  <c r="T519" i="4"/>
  <c r="U519" i="4"/>
  <c r="V519" i="4"/>
  <c r="W519" i="4"/>
  <c r="X519" i="4"/>
  <c r="Y519" i="4"/>
  <c r="Z519" i="4"/>
  <c r="AB519" i="4"/>
  <c r="P520" i="4"/>
  <c r="Q520" i="4"/>
  <c r="R520" i="4"/>
  <c r="S520" i="4"/>
  <c r="T520" i="4"/>
  <c r="U520" i="4"/>
  <c r="V520" i="4"/>
  <c r="W520" i="4"/>
  <c r="X520" i="4"/>
  <c r="Y520" i="4"/>
  <c r="Z520" i="4"/>
  <c r="AB520" i="4"/>
  <c r="P434" i="4"/>
  <c r="Q434" i="4"/>
  <c r="R434" i="4"/>
  <c r="S434" i="4"/>
  <c r="T434" i="4"/>
  <c r="U434" i="4"/>
  <c r="V434" i="4"/>
  <c r="W434" i="4"/>
  <c r="X434" i="4"/>
  <c r="Y434" i="4"/>
  <c r="Z434" i="4"/>
  <c r="P46" i="4"/>
  <c r="Q46" i="4"/>
  <c r="R46" i="4"/>
  <c r="S46" i="4"/>
  <c r="T46" i="4"/>
  <c r="U46" i="4"/>
  <c r="V46" i="4"/>
  <c r="W46" i="4"/>
  <c r="X46" i="4"/>
  <c r="Y46" i="4"/>
  <c r="Z46" i="4"/>
  <c r="AB46" i="4"/>
  <c r="P47" i="4"/>
  <c r="Q47" i="4"/>
  <c r="R47" i="4"/>
  <c r="S47" i="4"/>
  <c r="T47" i="4"/>
  <c r="V47" i="4"/>
  <c r="W47" i="4"/>
  <c r="X47" i="4"/>
  <c r="Y47" i="4"/>
  <c r="Z47" i="4"/>
  <c r="P48" i="4"/>
  <c r="Q48" i="4"/>
  <c r="R48" i="4"/>
  <c r="S48" i="4"/>
  <c r="T48" i="4"/>
  <c r="U48" i="4"/>
  <c r="V48" i="4"/>
  <c r="W48" i="4"/>
  <c r="X48" i="4"/>
  <c r="Y48" i="4"/>
  <c r="Z48" i="4"/>
  <c r="P49" i="4"/>
  <c r="Q49" i="4"/>
  <c r="R49" i="4"/>
  <c r="S49" i="4"/>
  <c r="T49" i="4"/>
  <c r="U49" i="4"/>
  <c r="V49" i="4"/>
  <c r="W49" i="4"/>
  <c r="X49" i="4"/>
  <c r="Y49" i="4"/>
  <c r="AB49" i="4"/>
  <c r="P50" i="4"/>
  <c r="Q50" i="4"/>
  <c r="R50" i="4"/>
  <c r="S50" i="4"/>
  <c r="T50" i="4"/>
  <c r="U50" i="4"/>
  <c r="V50" i="4"/>
  <c r="W50" i="4"/>
  <c r="X50" i="4"/>
  <c r="Y50" i="4"/>
  <c r="AB50" i="4"/>
  <c r="P430" i="4"/>
  <c r="Q430" i="4"/>
  <c r="R430" i="4"/>
  <c r="S430" i="4"/>
  <c r="T430" i="4"/>
  <c r="U430" i="4"/>
  <c r="V430" i="4"/>
  <c r="W430" i="4"/>
  <c r="X430" i="4"/>
  <c r="Y430" i="4"/>
  <c r="P244" i="4"/>
  <c r="Q244" i="4"/>
  <c r="R244" i="4"/>
  <c r="S244" i="4"/>
  <c r="T244" i="4"/>
  <c r="U244" i="4"/>
  <c r="V244" i="4"/>
  <c r="W244" i="4"/>
  <c r="X244" i="4"/>
  <c r="Y244" i="4"/>
  <c r="AB244" i="4"/>
  <c r="P152" i="4"/>
  <c r="Q152" i="4"/>
  <c r="R152" i="4"/>
  <c r="T152" i="4"/>
  <c r="U152" i="4"/>
  <c r="V152" i="4"/>
  <c r="W152" i="4"/>
  <c r="X152" i="4"/>
  <c r="Y152" i="4"/>
  <c r="Z152" i="4"/>
  <c r="AB152" i="4"/>
  <c r="P176" i="4"/>
  <c r="Q176" i="4"/>
  <c r="R176" i="4"/>
  <c r="T176" i="4"/>
  <c r="U176" i="4"/>
  <c r="V176" i="4"/>
  <c r="W176" i="4"/>
  <c r="X176" i="4"/>
  <c r="Y176" i="4"/>
  <c r="Z176" i="4"/>
  <c r="AB176" i="4"/>
  <c r="P177" i="4"/>
  <c r="Q177" i="4"/>
  <c r="R177" i="4"/>
  <c r="T177" i="4"/>
  <c r="U177" i="4"/>
  <c r="V177" i="4"/>
  <c r="W177" i="4"/>
  <c r="X177" i="4"/>
  <c r="Y177" i="4"/>
  <c r="Z177" i="4"/>
  <c r="AB177" i="4"/>
  <c r="P178" i="4"/>
  <c r="Q178" i="4"/>
  <c r="R178" i="4"/>
  <c r="T178" i="4"/>
  <c r="U178" i="4"/>
  <c r="V178" i="4"/>
  <c r="W178" i="4"/>
  <c r="X178" i="4"/>
  <c r="Y178" i="4"/>
  <c r="Z178" i="4"/>
  <c r="AB178" i="4"/>
  <c r="P245" i="4"/>
  <c r="Q245" i="4"/>
  <c r="R245" i="4"/>
  <c r="T245" i="4"/>
  <c r="U245" i="4"/>
  <c r="V245" i="4"/>
  <c r="W245" i="4"/>
  <c r="X245" i="4"/>
  <c r="Y245" i="4"/>
  <c r="Z245" i="4"/>
  <c r="AB245" i="4"/>
  <c r="P123" i="4"/>
  <c r="Q123" i="4"/>
  <c r="R123" i="4"/>
  <c r="T123" i="4"/>
  <c r="U123" i="4"/>
  <c r="V123" i="4"/>
  <c r="W123" i="4"/>
  <c r="X123" i="4"/>
  <c r="Y123" i="4"/>
  <c r="Z123" i="4"/>
  <c r="P124" i="4"/>
  <c r="Q124" i="4"/>
  <c r="R124" i="4"/>
  <c r="T124" i="4"/>
  <c r="U124" i="4"/>
  <c r="V124" i="4"/>
  <c r="W124" i="4"/>
  <c r="X124" i="4"/>
  <c r="Y124" i="4"/>
  <c r="Z124" i="4"/>
  <c r="P361" i="4"/>
  <c r="Q361" i="4"/>
  <c r="R361" i="4"/>
  <c r="T361" i="4"/>
  <c r="U361" i="4"/>
  <c r="V361" i="4"/>
  <c r="W361" i="4"/>
  <c r="X361" i="4"/>
  <c r="Y361" i="4"/>
  <c r="Z361" i="4"/>
  <c r="AB361" i="4"/>
  <c r="P213" i="4"/>
  <c r="Q213" i="4"/>
  <c r="R213" i="4"/>
  <c r="T213" i="4"/>
  <c r="U213" i="4"/>
  <c r="V213" i="4"/>
  <c r="W213" i="4"/>
  <c r="X213" i="4"/>
  <c r="Y213" i="4"/>
  <c r="Z213" i="4"/>
  <c r="AB213" i="4"/>
  <c r="P125" i="4"/>
  <c r="Q125" i="4"/>
  <c r="R125" i="4"/>
  <c r="T125" i="4"/>
  <c r="U125" i="4"/>
  <c r="V125" i="4"/>
  <c r="W125" i="4"/>
  <c r="X125" i="4"/>
  <c r="Y125" i="4"/>
  <c r="Z125" i="4"/>
  <c r="P138" i="4"/>
  <c r="Q138" i="4"/>
  <c r="R138" i="4"/>
  <c r="T138" i="4"/>
  <c r="U138" i="4"/>
  <c r="V138" i="4"/>
  <c r="W138" i="4"/>
  <c r="X138" i="4"/>
  <c r="AA138" i="4"/>
  <c r="AC138" i="4"/>
  <c r="AK138" i="4"/>
  <c r="Y138" i="4"/>
  <c r="Z138" i="4"/>
  <c r="P139" i="4"/>
  <c r="Q139" i="4"/>
  <c r="R139" i="4"/>
  <c r="T139" i="4"/>
  <c r="U139" i="4"/>
  <c r="V139" i="4"/>
  <c r="W139" i="4"/>
  <c r="X139" i="4"/>
  <c r="Y139" i="4"/>
  <c r="Z139" i="4"/>
  <c r="P435" i="4"/>
  <c r="Q435" i="4"/>
  <c r="R435" i="4"/>
  <c r="T435" i="4"/>
  <c r="U435" i="4"/>
  <c r="V435" i="4"/>
  <c r="W435" i="4"/>
  <c r="X435" i="4"/>
  <c r="Y435" i="4"/>
  <c r="Z435" i="4"/>
  <c r="AB435" i="4"/>
  <c r="P436" i="4"/>
  <c r="Q436" i="4"/>
  <c r="R436" i="4"/>
  <c r="T436" i="4"/>
  <c r="U436" i="4"/>
  <c r="V436" i="4"/>
  <c r="W436" i="4"/>
  <c r="X436" i="4"/>
  <c r="Y436" i="4"/>
  <c r="Z436" i="4"/>
  <c r="AB436" i="4"/>
  <c r="P437" i="4"/>
  <c r="Q437" i="4"/>
  <c r="R437" i="4"/>
  <c r="T437" i="4"/>
  <c r="U437" i="4"/>
  <c r="V437" i="4"/>
  <c r="W437" i="4"/>
  <c r="X437" i="4"/>
  <c r="Y437" i="4"/>
  <c r="Z437" i="4"/>
  <c r="AB437" i="4"/>
  <c r="P438" i="4"/>
  <c r="Q438" i="4"/>
  <c r="R438" i="4"/>
  <c r="T438" i="4"/>
  <c r="U438" i="4"/>
  <c r="V438" i="4"/>
  <c r="W438" i="4"/>
  <c r="X438" i="4"/>
  <c r="Y438" i="4"/>
  <c r="Z438" i="4"/>
  <c r="P439" i="4"/>
  <c r="Q439" i="4"/>
  <c r="R439" i="4"/>
  <c r="T439" i="4"/>
  <c r="U439" i="4"/>
  <c r="V439" i="4"/>
  <c r="W439" i="4"/>
  <c r="X439" i="4"/>
  <c r="Y439" i="4"/>
  <c r="Z439" i="4"/>
  <c r="AB439" i="4"/>
  <c r="P440" i="4"/>
  <c r="Q440" i="4"/>
  <c r="R440" i="4"/>
  <c r="T440" i="4"/>
  <c r="U440" i="4"/>
  <c r="V440" i="4"/>
  <c r="W440" i="4"/>
  <c r="X440" i="4"/>
  <c r="Y440" i="4"/>
  <c r="Z440" i="4"/>
  <c r="AB440" i="4"/>
  <c r="P441" i="4"/>
  <c r="Q441" i="4"/>
  <c r="R441" i="4"/>
  <c r="AA441" i="4"/>
  <c r="AC441" i="4"/>
  <c r="AK441" i="4"/>
  <c r="T441" i="4"/>
  <c r="U441" i="4"/>
  <c r="V441" i="4"/>
  <c r="W441" i="4"/>
  <c r="X441" i="4"/>
  <c r="Y441" i="4"/>
  <c r="Z441" i="4"/>
  <c r="AB441" i="4"/>
  <c r="P442" i="4"/>
  <c r="Q442" i="4"/>
  <c r="R442" i="4"/>
  <c r="T442" i="4"/>
  <c r="U442" i="4"/>
  <c r="V442" i="4"/>
  <c r="W442" i="4"/>
  <c r="X442" i="4"/>
  <c r="Y442" i="4"/>
  <c r="Z442" i="4"/>
  <c r="AB442" i="4"/>
  <c r="P443" i="4"/>
  <c r="Q443" i="4"/>
  <c r="R443" i="4"/>
  <c r="T443" i="4"/>
  <c r="U443" i="4"/>
  <c r="V443" i="4"/>
  <c r="W443" i="4"/>
  <c r="X443" i="4"/>
  <c r="Y443" i="4"/>
  <c r="Z443" i="4"/>
  <c r="AB443" i="4"/>
  <c r="P444" i="4"/>
  <c r="Q444" i="4"/>
  <c r="R444" i="4"/>
  <c r="T444" i="4"/>
  <c r="U444" i="4"/>
  <c r="V444" i="4"/>
  <c r="W444" i="4"/>
  <c r="X444" i="4"/>
  <c r="Y444" i="4"/>
  <c r="Z444" i="4"/>
  <c r="AB444" i="4"/>
  <c r="P445" i="4"/>
  <c r="Q445" i="4"/>
  <c r="R445" i="4"/>
  <c r="T445" i="4"/>
  <c r="U445" i="4"/>
  <c r="V445" i="4"/>
  <c r="W445" i="4"/>
  <c r="X445" i="4"/>
  <c r="Y445" i="4"/>
  <c r="Z445" i="4"/>
  <c r="AB445" i="4"/>
  <c r="P362" i="4"/>
  <c r="Q362" i="4"/>
  <c r="R362" i="4"/>
  <c r="T362" i="4"/>
  <c r="U362" i="4"/>
  <c r="V362" i="4"/>
  <c r="W362" i="4"/>
  <c r="X362" i="4"/>
  <c r="Y362" i="4"/>
  <c r="Z362" i="4"/>
  <c r="AB362" i="4"/>
  <c r="P153" i="4"/>
  <c r="Q153" i="4"/>
  <c r="R153" i="4"/>
  <c r="T153" i="4"/>
  <c r="U153" i="4"/>
  <c r="V153" i="4"/>
  <c r="W153" i="4"/>
  <c r="X153" i="4"/>
  <c r="Y153" i="4"/>
  <c r="Z153" i="4"/>
  <c r="AB153" i="4"/>
  <c r="P154" i="4"/>
  <c r="Q154" i="4"/>
  <c r="R154" i="4"/>
  <c r="T154" i="4"/>
  <c r="U154" i="4"/>
  <c r="V154" i="4"/>
  <c r="W154" i="4"/>
  <c r="X154" i="4"/>
  <c r="Y154" i="4"/>
  <c r="Z154" i="4"/>
  <c r="AB154" i="4"/>
  <c r="P155" i="4"/>
  <c r="AA155" i="4"/>
  <c r="AC155" i="4"/>
  <c r="AK155" i="4"/>
  <c r="Q155" i="4"/>
  <c r="R155" i="4"/>
  <c r="T155" i="4"/>
  <c r="U155" i="4"/>
  <c r="V155" i="4"/>
  <c r="W155" i="4"/>
  <c r="X155" i="4"/>
  <c r="Y155" i="4"/>
  <c r="Z155" i="4"/>
  <c r="AB155" i="4"/>
  <c r="P78" i="4"/>
  <c r="Q78" i="4"/>
  <c r="R78" i="4"/>
  <c r="T78" i="4"/>
  <c r="U78" i="4"/>
  <c r="V78" i="4"/>
  <c r="W78" i="4"/>
  <c r="X78" i="4"/>
  <c r="Y78" i="4"/>
  <c r="Z78" i="4"/>
  <c r="AB78" i="4"/>
  <c r="P79" i="4"/>
  <c r="AA79" i="4"/>
  <c r="AC79" i="4"/>
  <c r="AK79" i="4"/>
  <c r="Q79" i="4"/>
  <c r="R79" i="4"/>
  <c r="T79" i="4"/>
  <c r="U79" i="4"/>
  <c r="V79" i="4"/>
  <c r="W79" i="4"/>
  <c r="X79" i="4"/>
  <c r="Y79" i="4"/>
  <c r="Z79" i="4"/>
  <c r="AB79" i="4"/>
  <c r="P336" i="4"/>
  <c r="Q336" i="4"/>
  <c r="R336" i="4"/>
  <c r="S336" i="4"/>
  <c r="T336" i="4"/>
  <c r="U336" i="4"/>
  <c r="V336" i="4"/>
  <c r="W336" i="4"/>
  <c r="X336" i="4"/>
  <c r="Y336" i="4"/>
  <c r="Z336" i="4"/>
  <c r="AB336" i="4"/>
  <c r="P80" i="4"/>
  <c r="Q80" i="4"/>
  <c r="R80" i="4"/>
  <c r="T80" i="4"/>
  <c r="U80" i="4"/>
  <c r="V80" i="4"/>
  <c r="W80" i="4"/>
  <c r="X80" i="4"/>
  <c r="Y80" i="4"/>
  <c r="Z80" i="4"/>
  <c r="AB80" i="4"/>
  <c r="P81" i="4"/>
  <c r="Q81" i="4"/>
  <c r="R81" i="4"/>
  <c r="T81" i="4"/>
  <c r="U81" i="4"/>
  <c r="V81" i="4"/>
  <c r="W81" i="4"/>
  <c r="X81" i="4"/>
  <c r="Y81" i="4"/>
  <c r="Z81" i="4"/>
  <c r="AB81" i="4"/>
  <c r="P369" i="4"/>
  <c r="Q369" i="4"/>
  <c r="R369" i="4"/>
  <c r="T369" i="4"/>
  <c r="U369" i="4"/>
  <c r="V369" i="4"/>
  <c r="W369" i="4"/>
  <c r="X369" i="4"/>
  <c r="Y369" i="4"/>
  <c r="Z369" i="4"/>
  <c r="AB369" i="4"/>
  <c r="P156" i="4"/>
  <c r="Q156" i="4"/>
  <c r="R156" i="4"/>
  <c r="T156" i="4"/>
  <c r="U156" i="4"/>
  <c r="V156" i="4"/>
  <c r="W156" i="4"/>
  <c r="X156" i="4"/>
  <c r="Y156" i="4"/>
  <c r="Z156" i="4"/>
  <c r="AB156" i="4"/>
  <c r="P179" i="4"/>
  <c r="Q179" i="4"/>
  <c r="AA179" i="4"/>
  <c r="AC179" i="4"/>
  <c r="AK179" i="4"/>
  <c r="R179" i="4"/>
  <c r="T179" i="4"/>
  <c r="U179" i="4"/>
  <c r="V179" i="4"/>
  <c r="W179" i="4"/>
  <c r="X179" i="4"/>
  <c r="Y179" i="4"/>
  <c r="Z179" i="4"/>
  <c r="P180" i="4"/>
  <c r="Q180" i="4"/>
  <c r="R180" i="4"/>
  <c r="T180" i="4"/>
  <c r="U180" i="4"/>
  <c r="V180" i="4"/>
  <c r="W180" i="4"/>
  <c r="X180" i="4"/>
  <c r="Y180" i="4"/>
  <c r="Z180" i="4"/>
  <c r="P140" i="4"/>
  <c r="Q140" i="4"/>
  <c r="R140" i="4"/>
  <c r="T140" i="4"/>
  <c r="U140" i="4"/>
  <c r="V140" i="4"/>
  <c r="W140" i="4"/>
  <c r="X140" i="4"/>
  <c r="Y140" i="4"/>
  <c r="Z140" i="4"/>
  <c r="P157" i="4"/>
  <c r="Q157" i="4"/>
  <c r="R157" i="4"/>
  <c r="T157" i="4"/>
  <c r="U157" i="4"/>
  <c r="V157" i="4"/>
  <c r="W157" i="4"/>
  <c r="X157" i="4"/>
  <c r="Y157" i="4"/>
  <c r="Z157" i="4"/>
  <c r="AB157" i="4"/>
  <c r="P158" i="4"/>
  <c r="Q158" i="4"/>
  <c r="R158" i="4"/>
  <c r="T158" i="4"/>
  <c r="U158" i="4"/>
  <c r="V158" i="4"/>
  <c r="W158" i="4"/>
  <c r="X158" i="4"/>
  <c r="AA158" i="4"/>
  <c r="AC158" i="4"/>
  <c r="AK158" i="4"/>
  <c r="Y158" i="4"/>
  <c r="Z158" i="4"/>
  <c r="AB158" i="4"/>
  <c r="P159" i="4"/>
  <c r="Q159" i="4"/>
  <c r="R159" i="4"/>
  <c r="T159" i="4"/>
  <c r="U159" i="4"/>
  <c r="V159" i="4"/>
  <c r="W159" i="4"/>
  <c r="X159" i="4"/>
  <c r="Y159" i="4"/>
  <c r="Z159" i="4"/>
  <c r="AB159" i="4"/>
  <c r="P446" i="4"/>
  <c r="Q446" i="4"/>
  <c r="R446" i="4"/>
  <c r="T446" i="4"/>
  <c r="U446" i="4"/>
  <c r="V446" i="4"/>
  <c r="W446" i="4"/>
  <c r="X446" i="4"/>
  <c r="Y446" i="4"/>
  <c r="Z446" i="4"/>
  <c r="P447" i="4"/>
  <c r="Q447" i="4"/>
  <c r="R447" i="4"/>
  <c r="T447" i="4"/>
  <c r="U447" i="4"/>
  <c r="V447" i="4"/>
  <c r="W447" i="4"/>
  <c r="X447" i="4"/>
  <c r="Y447" i="4"/>
  <c r="Z447" i="4"/>
  <c r="P448" i="4"/>
  <c r="Q448" i="4"/>
  <c r="R448" i="4"/>
  <c r="T448" i="4"/>
  <c r="U448" i="4"/>
  <c r="V448" i="4"/>
  <c r="W448" i="4"/>
  <c r="X448" i="4"/>
  <c r="Y448" i="4"/>
  <c r="Z448" i="4"/>
  <c r="P126" i="4"/>
  <c r="Q126" i="4"/>
  <c r="R126" i="4"/>
  <c r="T126" i="4"/>
  <c r="U126" i="4"/>
  <c r="V126" i="4"/>
  <c r="W126" i="4"/>
  <c r="X126" i="4"/>
  <c r="Y126" i="4"/>
  <c r="Z126" i="4"/>
  <c r="P160" i="4"/>
  <c r="Q160" i="4"/>
  <c r="R160" i="4"/>
  <c r="T160" i="4"/>
  <c r="U160" i="4"/>
  <c r="V160" i="4"/>
  <c r="W160" i="4"/>
  <c r="X160" i="4"/>
  <c r="Y160" i="4"/>
  <c r="Z160" i="4"/>
  <c r="AB160" i="4"/>
  <c r="P161" i="4"/>
  <c r="Q161" i="4"/>
  <c r="R161" i="4"/>
  <c r="T161" i="4"/>
  <c r="U161" i="4"/>
  <c r="V161" i="4"/>
  <c r="W161" i="4"/>
  <c r="X161" i="4"/>
  <c r="Y161" i="4"/>
  <c r="Z161" i="4"/>
  <c r="AB161" i="4"/>
  <c r="P181" i="4"/>
  <c r="Q181" i="4"/>
  <c r="R181" i="4"/>
  <c r="T181" i="4"/>
  <c r="U181" i="4"/>
  <c r="V181" i="4"/>
  <c r="W181" i="4"/>
  <c r="X181" i="4"/>
  <c r="Y181" i="4"/>
  <c r="Z181" i="4"/>
  <c r="P182" i="4"/>
  <c r="Q182" i="4"/>
  <c r="R182" i="4"/>
  <c r="T182" i="4"/>
  <c r="U182" i="4"/>
  <c r="V182" i="4"/>
  <c r="W182" i="4"/>
  <c r="X182" i="4"/>
  <c r="Y182" i="4"/>
  <c r="Z182" i="4"/>
  <c r="P141" i="4"/>
  <c r="Q141" i="4"/>
  <c r="R141" i="4"/>
  <c r="T141" i="4"/>
  <c r="U141" i="4"/>
  <c r="V141" i="4"/>
  <c r="W141" i="4"/>
  <c r="X141" i="4"/>
  <c r="Y141" i="4"/>
  <c r="Z141" i="4"/>
  <c r="P449" i="4"/>
  <c r="Q449" i="4"/>
  <c r="R449" i="4"/>
  <c r="T449" i="4"/>
  <c r="AA449" i="4"/>
  <c r="AC449" i="4"/>
  <c r="AK449" i="4"/>
  <c r="U449" i="4"/>
  <c r="V449" i="4"/>
  <c r="W449" i="4"/>
  <c r="X449" i="4"/>
  <c r="Y449" i="4"/>
  <c r="Z449" i="4"/>
  <c r="P450" i="4"/>
  <c r="AA450" i="4"/>
  <c r="AC450" i="4"/>
  <c r="AK450" i="4"/>
  <c r="Q450" i="4"/>
  <c r="R450" i="4"/>
  <c r="T450" i="4"/>
  <c r="U450" i="4"/>
  <c r="V450" i="4"/>
  <c r="W450" i="4"/>
  <c r="X450" i="4"/>
  <c r="Y450" i="4"/>
  <c r="Z450" i="4"/>
  <c r="P451" i="4"/>
  <c r="Q451" i="4"/>
  <c r="R451" i="4"/>
  <c r="T451" i="4"/>
  <c r="U451" i="4"/>
  <c r="V451" i="4"/>
  <c r="W451" i="4"/>
  <c r="X451" i="4"/>
  <c r="Y451" i="4"/>
  <c r="Z451" i="4"/>
  <c r="P82" i="4"/>
  <c r="Q82" i="4"/>
  <c r="R82" i="4"/>
  <c r="T82" i="4"/>
  <c r="U82" i="4"/>
  <c r="V82" i="4"/>
  <c r="W82" i="4"/>
  <c r="X82" i="4"/>
  <c r="Y82" i="4"/>
  <c r="Z82" i="4"/>
  <c r="AB82" i="4"/>
  <c r="P83" i="4"/>
  <c r="Q83" i="4"/>
  <c r="R83" i="4"/>
  <c r="T83" i="4"/>
  <c r="U83" i="4"/>
  <c r="V83" i="4"/>
  <c r="W83" i="4"/>
  <c r="X83" i="4"/>
  <c r="Y83" i="4"/>
  <c r="Z83" i="4"/>
  <c r="AB83" i="4"/>
  <c r="P84" i="4"/>
  <c r="Q84" i="4"/>
  <c r="R84" i="4"/>
  <c r="T84" i="4"/>
  <c r="U84" i="4"/>
  <c r="V84" i="4"/>
  <c r="W84" i="4"/>
  <c r="X84" i="4"/>
  <c r="Y84" i="4"/>
  <c r="Z84" i="4"/>
  <c r="AB84" i="4"/>
  <c r="P59" i="4"/>
  <c r="Q59" i="4"/>
  <c r="R59" i="4"/>
  <c r="T59" i="4"/>
  <c r="U59" i="4"/>
  <c r="V59" i="4"/>
  <c r="W59" i="4"/>
  <c r="X59" i="4"/>
  <c r="Y59" i="4"/>
  <c r="Z59" i="4"/>
  <c r="P60" i="4"/>
  <c r="Q60" i="4"/>
  <c r="R60" i="4"/>
  <c r="T60" i="4"/>
  <c r="U60" i="4"/>
  <c r="V60" i="4"/>
  <c r="W60" i="4"/>
  <c r="X60" i="4"/>
  <c r="Y60" i="4"/>
  <c r="Z60" i="4"/>
  <c r="P85" i="4"/>
  <c r="Q85" i="4"/>
  <c r="R85" i="4"/>
  <c r="T85" i="4"/>
  <c r="U85" i="4"/>
  <c r="V85" i="4"/>
  <c r="W85" i="4"/>
  <c r="X85" i="4"/>
  <c r="Y85" i="4"/>
  <c r="Z85" i="4"/>
  <c r="AB85" i="4"/>
  <c r="P55" i="4"/>
  <c r="Q55" i="4"/>
  <c r="R55" i="4"/>
  <c r="AA55" i="4"/>
  <c r="AC55" i="4"/>
  <c r="AK55" i="4"/>
  <c r="T55" i="4"/>
  <c r="U55" i="4"/>
  <c r="V55" i="4"/>
  <c r="W55" i="4"/>
  <c r="X55" i="4"/>
  <c r="Y55" i="4"/>
  <c r="Z55" i="4"/>
  <c r="AB55" i="4"/>
  <c r="P452" i="4"/>
  <c r="Q452" i="4"/>
  <c r="R452" i="4"/>
  <c r="T452" i="4"/>
  <c r="U452" i="4"/>
  <c r="V452" i="4"/>
  <c r="W452" i="4"/>
  <c r="X452" i="4"/>
  <c r="Y452" i="4"/>
  <c r="Z452" i="4"/>
  <c r="P162" i="4"/>
  <c r="AA162" i="4"/>
  <c r="AC162" i="4"/>
  <c r="AK162" i="4"/>
  <c r="Q162" i="4"/>
  <c r="R162" i="4"/>
  <c r="T162" i="4"/>
  <c r="U162" i="4"/>
  <c r="V162" i="4"/>
  <c r="W162" i="4"/>
  <c r="X162" i="4"/>
  <c r="Y162" i="4"/>
  <c r="Z162" i="4"/>
  <c r="AB162" i="4"/>
  <c r="P163" i="4"/>
  <c r="Q163" i="4"/>
  <c r="R163" i="4"/>
  <c r="T163" i="4"/>
  <c r="U163" i="4"/>
  <c r="V163" i="4"/>
  <c r="W163" i="4"/>
  <c r="X163" i="4"/>
  <c r="Y163" i="4"/>
  <c r="Z163" i="4"/>
  <c r="AB163" i="4"/>
  <c r="P41" i="4"/>
  <c r="Q41" i="4"/>
  <c r="R41" i="4"/>
  <c r="T41" i="4"/>
  <c r="U41" i="4"/>
  <c r="V41" i="4"/>
  <c r="W41" i="4"/>
  <c r="X41" i="4"/>
  <c r="AA41" i="4"/>
  <c r="AC41" i="4"/>
  <c r="AK41" i="4"/>
  <c r="Y41" i="4"/>
  <c r="Z41" i="4"/>
  <c r="AB41" i="4"/>
  <c r="P142" i="4"/>
  <c r="Q142" i="4"/>
  <c r="R142" i="4"/>
  <c r="T142" i="4"/>
  <c r="U142" i="4"/>
  <c r="V142" i="4"/>
  <c r="W142" i="4"/>
  <c r="X142" i="4"/>
  <c r="Y142" i="4"/>
  <c r="Z142" i="4"/>
  <c r="P127" i="4"/>
  <c r="Q127" i="4"/>
  <c r="R127" i="4"/>
  <c r="T127" i="4"/>
  <c r="U127" i="4"/>
  <c r="V127" i="4"/>
  <c r="W127" i="4"/>
  <c r="X127" i="4"/>
  <c r="Y127" i="4"/>
  <c r="Z127" i="4"/>
  <c r="P453" i="4"/>
  <c r="Q453" i="4"/>
  <c r="R453" i="4"/>
  <c r="T453" i="4"/>
  <c r="U453" i="4"/>
  <c r="V453" i="4"/>
  <c r="W453" i="4"/>
  <c r="X453" i="4"/>
  <c r="Y453" i="4"/>
  <c r="Z453" i="4"/>
  <c r="AB453" i="4"/>
  <c r="P454" i="4"/>
  <c r="AA454" i="4"/>
  <c r="AC454" i="4"/>
  <c r="AK454" i="4"/>
  <c r="Q454" i="4"/>
  <c r="R454" i="4"/>
  <c r="T454" i="4"/>
  <c r="U454" i="4"/>
  <c r="V454" i="4"/>
  <c r="W454" i="4"/>
  <c r="X454" i="4"/>
  <c r="Y454" i="4"/>
  <c r="Z454" i="4"/>
  <c r="P455" i="4"/>
  <c r="Q455" i="4"/>
  <c r="R455" i="4"/>
  <c r="T455" i="4"/>
  <c r="U455" i="4"/>
  <c r="V455" i="4"/>
  <c r="W455" i="4"/>
  <c r="X455" i="4"/>
  <c r="Y455" i="4"/>
  <c r="Z455" i="4"/>
  <c r="P456" i="4"/>
  <c r="Q456" i="4"/>
  <c r="R456" i="4"/>
  <c r="T456" i="4"/>
  <c r="U456" i="4"/>
  <c r="V456" i="4"/>
  <c r="W456" i="4"/>
  <c r="X456" i="4"/>
  <c r="Y456" i="4"/>
  <c r="Z456" i="4"/>
  <c r="AA456" i="4"/>
  <c r="AC456" i="4"/>
  <c r="AK456" i="4"/>
  <c r="P10" i="4"/>
  <c r="R10" i="4"/>
  <c r="T10" i="4"/>
  <c r="AA10" i="4"/>
  <c r="AC10" i="4"/>
  <c r="AK10" i="4"/>
  <c r="V10" i="4"/>
  <c r="W10" i="4"/>
  <c r="X10" i="4"/>
  <c r="Y10" i="4"/>
  <c r="Z10" i="4"/>
  <c r="AB10" i="4"/>
  <c r="P11" i="4"/>
  <c r="R11" i="4"/>
  <c r="T11" i="4"/>
  <c r="V11" i="4"/>
  <c r="W11" i="4"/>
  <c r="X11" i="4"/>
  <c r="Y11" i="4"/>
  <c r="AA11" i="4"/>
  <c r="AC11" i="4"/>
  <c r="AK11" i="4"/>
  <c r="Z11" i="4"/>
  <c r="P21" i="4"/>
  <c r="Q21" i="4"/>
  <c r="R21" i="4"/>
  <c r="S21" i="4"/>
  <c r="T21" i="4"/>
  <c r="U21" i="4"/>
  <c r="V21" i="4"/>
  <c r="W21" i="4"/>
  <c r="X21" i="4"/>
  <c r="Y21" i="4"/>
  <c r="Z21" i="4"/>
  <c r="P246" i="4"/>
  <c r="Q246" i="4"/>
  <c r="R246" i="4"/>
  <c r="S246" i="4"/>
  <c r="T246" i="4"/>
  <c r="U246" i="4"/>
  <c r="V246" i="4"/>
  <c r="W246" i="4"/>
  <c r="X246" i="4"/>
  <c r="Y246" i="4"/>
  <c r="Z246" i="4"/>
  <c r="P267" i="4"/>
  <c r="Q267" i="4"/>
  <c r="R267" i="4"/>
  <c r="S267" i="4"/>
  <c r="T267" i="4"/>
  <c r="U267" i="4"/>
  <c r="V267" i="4"/>
  <c r="W267" i="4"/>
  <c r="X267" i="4"/>
  <c r="Y267" i="4"/>
  <c r="Z267" i="4"/>
  <c r="P457" i="4"/>
  <c r="AA457" i="4"/>
  <c r="AC457" i="4"/>
  <c r="AK457" i="4"/>
  <c r="R457" i="4"/>
  <c r="S457" i="4"/>
  <c r="T457" i="4"/>
  <c r="U457" i="4"/>
  <c r="V457" i="4"/>
  <c r="W457" i="4"/>
  <c r="X457" i="4"/>
  <c r="Y457" i="4"/>
  <c r="Z457" i="4"/>
  <c r="P378" i="4"/>
  <c r="R378" i="4"/>
  <c r="S378" i="4"/>
  <c r="T378" i="4"/>
  <c r="U378" i="4"/>
  <c r="V378" i="4"/>
  <c r="W378" i="4"/>
  <c r="X378" i="4"/>
  <c r="Y378" i="4"/>
  <c r="Z378" i="4"/>
  <c r="P337" i="4"/>
  <c r="R337" i="4"/>
  <c r="S337" i="4"/>
  <c r="T337" i="4"/>
  <c r="U337" i="4"/>
  <c r="V337" i="4"/>
  <c r="W337" i="4"/>
  <c r="X337" i="4"/>
  <c r="Y337" i="4"/>
  <c r="Z337" i="4"/>
  <c r="AA337" i="4"/>
  <c r="AC337" i="4"/>
  <c r="AK337" i="4"/>
  <c r="P128" i="4"/>
  <c r="R128" i="4"/>
  <c r="S128" i="4"/>
  <c r="AA128" i="4"/>
  <c r="AC128" i="4"/>
  <c r="AK128" i="4"/>
  <c r="T128" i="4"/>
  <c r="U128" i="4"/>
  <c r="V128" i="4"/>
  <c r="W128" i="4"/>
  <c r="X128" i="4"/>
  <c r="Y128" i="4"/>
  <c r="Z128" i="4"/>
  <c r="P86" i="4"/>
  <c r="R86" i="4"/>
  <c r="S86" i="4"/>
  <c r="T86" i="4"/>
  <c r="U86" i="4"/>
  <c r="V86" i="4"/>
  <c r="W86" i="4"/>
  <c r="X86" i="4"/>
  <c r="Y86" i="4"/>
  <c r="Z86" i="4"/>
  <c r="P87" i="4"/>
  <c r="R87" i="4"/>
  <c r="S87" i="4"/>
  <c r="T87" i="4"/>
  <c r="U87" i="4"/>
  <c r="V87" i="4"/>
  <c r="W87" i="4"/>
  <c r="X87" i="4"/>
  <c r="Y87" i="4"/>
  <c r="Z87" i="4"/>
  <c r="P12" i="4"/>
  <c r="R12" i="4"/>
  <c r="S12" i="4"/>
  <c r="T12" i="4"/>
  <c r="U12" i="4"/>
  <c r="V12" i="4"/>
  <c r="W12" i="4"/>
  <c r="X12" i="4"/>
  <c r="Y12" i="4"/>
  <c r="Z12" i="4"/>
  <c r="O458" i="4"/>
  <c r="P458" i="4"/>
  <c r="Q458" i="4"/>
  <c r="R458" i="4"/>
  <c r="S458" i="4"/>
  <c r="U458" i="4"/>
  <c r="V458" i="4"/>
  <c r="W458" i="4"/>
  <c r="X458" i="4"/>
  <c r="Y458" i="4"/>
  <c r="Z458" i="4"/>
  <c r="O247" i="4"/>
  <c r="P247" i="4"/>
  <c r="Q247" i="4"/>
  <c r="R247" i="4"/>
  <c r="S247" i="4"/>
  <c r="U247" i="4"/>
  <c r="V247" i="4"/>
  <c r="W247" i="4"/>
  <c r="X247" i="4"/>
  <c r="Y247" i="4"/>
  <c r="Z247" i="4"/>
  <c r="O248" i="4"/>
  <c r="P248" i="4"/>
  <c r="Q248" i="4"/>
  <c r="R248" i="4"/>
  <c r="S248" i="4"/>
  <c r="U248" i="4"/>
  <c r="V248" i="4"/>
  <c r="W248" i="4"/>
  <c r="X248" i="4"/>
  <c r="Y248" i="4"/>
  <c r="Z248" i="4"/>
  <c r="O88" i="4"/>
  <c r="P88" i="4"/>
  <c r="Q88" i="4"/>
  <c r="R88" i="4"/>
  <c r="S88" i="4"/>
  <c r="U88" i="4"/>
  <c r="V88" i="4"/>
  <c r="W88" i="4"/>
  <c r="X88" i="4"/>
  <c r="Y88" i="4"/>
  <c r="Z88" i="4"/>
  <c r="O89" i="4"/>
  <c r="P89" i="4"/>
  <c r="Q89" i="4"/>
  <c r="R89" i="4"/>
  <c r="S89" i="4"/>
  <c r="U89" i="4"/>
  <c r="V89" i="4"/>
  <c r="W89" i="4"/>
  <c r="X89" i="4"/>
  <c r="Y89" i="4"/>
  <c r="Z89" i="4"/>
  <c r="O90" i="4"/>
  <c r="AA90" i="4"/>
  <c r="AC90" i="4"/>
  <c r="AK90" i="4"/>
  <c r="P90" i="4"/>
  <c r="Q90" i="4"/>
  <c r="R90" i="4"/>
  <c r="S90" i="4"/>
  <c r="U90" i="4"/>
  <c r="V90" i="4"/>
  <c r="W90" i="4"/>
  <c r="X90" i="4"/>
  <c r="Y90" i="4"/>
  <c r="Z90" i="4"/>
  <c r="O459" i="4"/>
  <c r="P459" i="4"/>
  <c r="Q459" i="4"/>
  <c r="R459" i="4"/>
  <c r="S459" i="4"/>
  <c r="T459" i="4"/>
  <c r="V459" i="4"/>
  <c r="W459" i="4"/>
  <c r="X459" i="4"/>
  <c r="Y459" i="4"/>
  <c r="Z459" i="4"/>
  <c r="O460" i="4"/>
  <c r="P460" i="4"/>
  <c r="Q460" i="4"/>
  <c r="R460" i="4"/>
  <c r="S460" i="4"/>
  <c r="T460" i="4"/>
  <c r="V460" i="4"/>
  <c r="W460" i="4"/>
  <c r="X460" i="4"/>
  <c r="Y460" i="4"/>
  <c r="Z460" i="4"/>
  <c r="O461" i="4"/>
  <c r="P461" i="4"/>
  <c r="Q461" i="4"/>
  <c r="R461" i="4"/>
  <c r="AA461" i="4"/>
  <c r="AC461" i="4"/>
  <c r="AK461" i="4"/>
  <c r="S461" i="4"/>
  <c r="T461" i="4"/>
  <c r="V461" i="4"/>
  <c r="W461" i="4"/>
  <c r="X461" i="4"/>
  <c r="Y461" i="4"/>
  <c r="Z461" i="4"/>
  <c r="O183" i="4"/>
  <c r="P183" i="4"/>
  <c r="Q183" i="4"/>
  <c r="R183" i="4"/>
  <c r="S183" i="4"/>
  <c r="T183" i="4"/>
  <c r="V183" i="4"/>
  <c r="W183" i="4"/>
  <c r="X183" i="4"/>
  <c r="Y183" i="4"/>
  <c r="Z183" i="4"/>
  <c r="O184" i="4"/>
  <c r="P184" i="4"/>
  <c r="Q184" i="4"/>
  <c r="R184" i="4"/>
  <c r="S184" i="4"/>
  <c r="T184" i="4"/>
  <c r="V184" i="4"/>
  <c r="W184" i="4"/>
  <c r="X184" i="4"/>
  <c r="Y184" i="4"/>
  <c r="AA184" i="4"/>
  <c r="AC184" i="4"/>
  <c r="AK184" i="4"/>
  <c r="Z184" i="4"/>
  <c r="O91" i="4"/>
  <c r="P91" i="4"/>
  <c r="Q91" i="4"/>
  <c r="R91" i="4"/>
  <c r="S91" i="4"/>
  <c r="T91" i="4"/>
  <c r="V91" i="4"/>
  <c r="W91" i="4"/>
  <c r="X91" i="4"/>
  <c r="Y91" i="4"/>
  <c r="Z91" i="4"/>
  <c r="O56" i="4"/>
  <c r="P56" i="4"/>
  <c r="Q56" i="4"/>
  <c r="R56" i="4"/>
  <c r="S56" i="4"/>
  <c r="T56" i="4"/>
  <c r="V56" i="4"/>
  <c r="W56" i="4"/>
  <c r="X56" i="4"/>
  <c r="Y56" i="4"/>
  <c r="Z56" i="4"/>
  <c r="O528" i="4"/>
  <c r="P528" i="4"/>
  <c r="Q528" i="4"/>
  <c r="R528" i="4"/>
  <c r="S528" i="4"/>
  <c r="T528" i="4"/>
  <c r="U528" i="4"/>
  <c r="V528" i="4"/>
  <c r="X528" i="4"/>
  <c r="Y528" i="4"/>
  <c r="Z528" i="4"/>
  <c r="O431" i="4"/>
  <c r="P431" i="4"/>
  <c r="Q431" i="4"/>
  <c r="R431" i="4"/>
  <c r="S431" i="4"/>
  <c r="T431" i="4"/>
  <c r="U431" i="4"/>
  <c r="V431" i="4"/>
  <c r="X431" i="4"/>
  <c r="Y431" i="4"/>
  <c r="Z431" i="4"/>
  <c r="O355" i="4"/>
  <c r="P355" i="4"/>
  <c r="Q355" i="4"/>
  <c r="AA355" i="4"/>
  <c r="AC355" i="4"/>
  <c r="AK355" i="4"/>
  <c r="R355" i="4"/>
  <c r="S355" i="4"/>
  <c r="T355" i="4"/>
  <c r="U355" i="4"/>
  <c r="V355" i="4"/>
  <c r="X355" i="4"/>
  <c r="Y355" i="4"/>
  <c r="Z355" i="4"/>
  <c r="O223" i="4"/>
  <c r="P223" i="4"/>
  <c r="Q223" i="4"/>
  <c r="R223" i="4"/>
  <c r="S223" i="4"/>
  <c r="T223" i="4"/>
  <c r="U223" i="4"/>
  <c r="V223" i="4"/>
  <c r="AA223" i="4"/>
  <c r="AC223" i="4"/>
  <c r="AK223" i="4"/>
  <c r="X223" i="4"/>
  <c r="Y223" i="4"/>
  <c r="Z223" i="4"/>
  <c r="O64" i="4"/>
  <c r="P64" i="4"/>
  <c r="Q64" i="4"/>
  <c r="R64" i="4"/>
  <c r="S64" i="4"/>
  <c r="T64" i="4"/>
  <c r="U64" i="4"/>
  <c r="V64" i="4"/>
  <c r="X64" i="4"/>
  <c r="Y64" i="4"/>
  <c r="Z64" i="4"/>
  <c r="O65" i="4"/>
  <c r="P65" i="4"/>
  <c r="AA65" i="4"/>
  <c r="AC65" i="4"/>
  <c r="AK65" i="4"/>
  <c r="Q65" i="4"/>
  <c r="R65" i="4"/>
  <c r="S65" i="4"/>
  <c r="T65" i="4"/>
  <c r="U65" i="4"/>
  <c r="V65" i="4"/>
  <c r="X65" i="4"/>
  <c r="Y65" i="4"/>
  <c r="Z65" i="4"/>
  <c r="O66" i="4"/>
  <c r="P66" i="4"/>
  <c r="Q66" i="4"/>
  <c r="R66" i="4"/>
  <c r="S66" i="4"/>
  <c r="T66" i="4"/>
  <c r="U66" i="4"/>
  <c r="V66" i="4"/>
  <c r="X66" i="4"/>
  <c r="Y66" i="4"/>
  <c r="Z66" i="4"/>
  <c r="O67" i="4"/>
  <c r="P67" i="4"/>
  <c r="Q67" i="4"/>
  <c r="R67" i="4"/>
  <c r="S67" i="4"/>
  <c r="AA67" i="4"/>
  <c r="AC67" i="4"/>
  <c r="AK67" i="4"/>
  <c r="T67" i="4"/>
  <c r="U67" i="4"/>
  <c r="V67" i="4"/>
  <c r="X67" i="4"/>
  <c r="Y67" i="4"/>
  <c r="Z67" i="4"/>
  <c r="O324" i="4"/>
  <c r="AA324" i="4"/>
  <c r="AC324" i="4"/>
  <c r="AK324" i="4"/>
  <c r="P324" i="4"/>
  <c r="Q324" i="4"/>
  <c r="R324" i="4"/>
  <c r="S324" i="4"/>
  <c r="T324" i="4"/>
  <c r="U324" i="4"/>
  <c r="V324" i="4"/>
  <c r="X324" i="4"/>
  <c r="Y324" i="4"/>
  <c r="Z324" i="4"/>
  <c r="O529" i="4"/>
  <c r="Q529" i="4"/>
  <c r="S529" i="4"/>
  <c r="T529" i="4"/>
  <c r="U529" i="4"/>
  <c r="X529" i="4"/>
  <c r="AA529" i="4"/>
  <c r="AC529" i="4"/>
  <c r="AK529" i="4"/>
  <c r="Y529" i="4"/>
  <c r="Z529" i="4"/>
  <c r="O383" i="4"/>
  <c r="P383" i="4"/>
  <c r="AA383" i="4"/>
  <c r="AC383" i="4"/>
  <c r="AK383" i="4"/>
  <c r="Q383" i="4"/>
  <c r="R383" i="4"/>
  <c r="S383" i="4"/>
  <c r="T383" i="4"/>
  <c r="U383" i="4"/>
  <c r="V383" i="4"/>
  <c r="X383" i="4"/>
  <c r="Y383" i="4"/>
  <c r="Z383" i="4"/>
  <c r="O384" i="4"/>
  <c r="P384" i="4"/>
  <c r="Q384" i="4"/>
  <c r="AA384" i="4"/>
  <c r="AC384" i="4"/>
  <c r="AK384" i="4"/>
  <c r="R384" i="4"/>
  <c r="S384" i="4"/>
  <c r="T384" i="4"/>
  <c r="U384" i="4"/>
  <c r="V384" i="4"/>
  <c r="X384" i="4"/>
  <c r="Y384" i="4"/>
  <c r="Z384" i="4"/>
  <c r="O92" i="4"/>
  <c r="P92" i="4"/>
  <c r="Q92" i="4"/>
  <c r="R92" i="4"/>
  <c r="S92" i="4"/>
  <c r="T92" i="4"/>
  <c r="U92" i="4"/>
  <c r="V92" i="4"/>
  <c r="X92" i="4"/>
  <c r="Y92" i="4"/>
  <c r="Z92" i="4"/>
  <c r="O53" i="4"/>
  <c r="P53" i="4"/>
  <c r="Q53" i="4"/>
  <c r="R53" i="4"/>
  <c r="S53" i="4"/>
  <c r="T53" i="4"/>
  <c r="U53" i="4"/>
  <c r="V53" i="4"/>
  <c r="X53" i="4"/>
  <c r="Y53" i="4"/>
  <c r="Z53" i="4"/>
  <c r="O51" i="4"/>
  <c r="P51" i="4"/>
  <c r="AA51" i="4"/>
  <c r="AC51" i="4"/>
  <c r="AK51" i="4"/>
  <c r="Q51" i="4"/>
  <c r="R51" i="4"/>
  <c r="S51" i="4"/>
  <c r="T51" i="4"/>
  <c r="U51" i="4"/>
  <c r="V51" i="4"/>
  <c r="X51" i="4"/>
  <c r="Y51" i="4"/>
  <c r="Z51" i="4"/>
  <c r="O462" i="4"/>
  <c r="P462" i="4"/>
  <c r="Q462" i="4"/>
  <c r="R462" i="4"/>
  <c r="S462" i="4"/>
  <c r="U462" i="4"/>
  <c r="V462" i="4"/>
  <c r="AA462" i="4"/>
  <c r="AC462" i="4"/>
  <c r="AK462" i="4"/>
  <c r="W462" i="4"/>
  <c r="X462" i="4"/>
  <c r="Y462" i="4"/>
  <c r="Z462" i="4"/>
  <c r="O463" i="4"/>
  <c r="P463" i="4"/>
  <c r="Q463" i="4"/>
  <c r="R463" i="4"/>
  <c r="S463" i="4"/>
  <c r="U463" i="4"/>
  <c r="V463" i="4"/>
  <c r="W463" i="4"/>
  <c r="X463" i="4"/>
  <c r="Y463" i="4"/>
  <c r="Z463" i="4"/>
  <c r="O464" i="4"/>
  <c r="AA464" i="4"/>
  <c r="AC464" i="4"/>
  <c r="AK464" i="4"/>
  <c r="P464" i="4"/>
  <c r="Q464" i="4"/>
  <c r="R464" i="4"/>
  <c r="S464" i="4"/>
  <c r="U464" i="4"/>
  <c r="V464" i="4"/>
  <c r="W464" i="4"/>
  <c r="X464" i="4"/>
  <c r="Y464" i="4"/>
  <c r="Z464" i="4"/>
  <c r="O379" i="4"/>
  <c r="P379" i="4"/>
  <c r="Q379" i="4"/>
  <c r="R379" i="4"/>
  <c r="S379" i="4"/>
  <c r="U379" i="4"/>
  <c r="V379" i="4"/>
  <c r="W379" i="4"/>
  <c r="X379" i="4"/>
  <c r="Y379" i="4"/>
  <c r="Z379" i="4"/>
  <c r="O214" i="4"/>
  <c r="P214" i="4"/>
  <c r="Q214" i="4"/>
  <c r="R214" i="4"/>
  <c r="S214" i="4"/>
  <c r="U214" i="4"/>
  <c r="V214" i="4"/>
  <c r="W214" i="4"/>
  <c r="X214" i="4"/>
  <c r="Y214" i="4"/>
  <c r="Z214" i="4"/>
  <c r="O185" i="4"/>
  <c r="P185" i="4"/>
  <c r="Q185" i="4"/>
  <c r="R185" i="4"/>
  <c r="S185" i="4"/>
  <c r="U185" i="4"/>
  <c r="V185" i="4"/>
  <c r="W185" i="4"/>
  <c r="X185" i="4"/>
  <c r="Y185" i="4"/>
  <c r="Z185" i="4"/>
  <c r="O186" i="4"/>
  <c r="P186" i="4"/>
  <c r="Q186" i="4"/>
  <c r="R186" i="4"/>
  <c r="S186" i="4"/>
  <c r="U186" i="4"/>
  <c r="V186" i="4"/>
  <c r="W186" i="4"/>
  <c r="X186" i="4"/>
  <c r="Y186" i="4"/>
  <c r="Z186" i="4"/>
  <c r="O187" i="4"/>
  <c r="P187" i="4"/>
  <c r="Q187" i="4"/>
  <c r="R187" i="4"/>
  <c r="S187" i="4"/>
  <c r="U187" i="4"/>
  <c r="V187" i="4"/>
  <c r="W187" i="4"/>
  <c r="X187" i="4"/>
  <c r="Y187" i="4"/>
  <c r="Z187" i="4"/>
  <c r="O68" i="4"/>
  <c r="P68" i="4"/>
  <c r="Q68" i="4"/>
  <c r="R68" i="4"/>
  <c r="S68" i="4"/>
  <c r="U68" i="4"/>
  <c r="V68" i="4"/>
  <c r="W68" i="4"/>
  <c r="X68" i="4"/>
  <c r="Y68" i="4"/>
  <c r="Z68" i="4"/>
  <c r="O69" i="4"/>
  <c r="P69" i="4"/>
  <c r="Q69" i="4"/>
  <c r="R69" i="4"/>
  <c r="S69" i="4"/>
  <c r="U69" i="4"/>
  <c r="V69" i="4"/>
  <c r="W69" i="4"/>
  <c r="X69" i="4"/>
  <c r="Y69" i="4"/>
  <c r="Z69" i="4"/>
  <c r="O13" i="4"/>
  <c r="P13" i="4"/>
  <c r="Q13" i="4"/>
  <c r="AA13" i="4"/>
  <c r="AC13" i="4"/>
  <c r="AK13" i="4"/>
  <c r="R13" i="4"/>
  <c r="S13" i="4"/>
  <c r="U13" i="4"/>
  <c r="V13" i="4"/>
  <c r="W13" i="4"/>
  <c r="X13" i="4"/>
  <c r="Y13" i="4"/>
  <c r="Z13" i="4"/>
  <c r="P465" i="4"/>
  <c r="Q465" i="4"/>
  <c r="R465" i="4"/>
  <c r="S465" i="4"/>
  <c r="T465" i="4"/>
  <c r="U465" i="4"/>
  <c r="V465" i="4"/>
  <c r="W465" i="4"/>
  <c r="X465" i="4"/>
  <c r="Y465" i="4"/>
  <c r="Z465" i="4"/>
  <c r="P466" i="4"/>
  <c r="Q466" i="4"/>
  <c r="R466" i="4"/>
  <c r="S466" i="4"/>
  <c r="T466" i="4"/>
  <c r="U466" i="4"/>
  <c r="V466" i="4"/>
  <c r="W466" i="4"/>
  <c r="X466" i="4"/>
  <c r="Y466" i="4"/>
  <c r="Z466" i="4"/>
  <c r="P467" i="4"/>
  <c r="Q467" i="4"/>
  <c r="R467" i="4"/>
  <c r="S467" i="4"/>
  <c r="T467" i="4"/>
  <c r="U467" i="4"/>
  <c r="V467" i="4"/>
  <c r="W467" i="4"/>
  <c r="AA467" i="4"/>
  <c r="AC467" i="4"/>
  <c r="AK467" i="4"/>
  <c r="X467" i="4"/>
  <c r="Y467" i="4"/>
  <c r="Z467" i="4"/>
  <c r="P468" i="4"/>
  <c r="Q468" i="4"/>
  <c r="R468" i="4"/>
  <c r="S468" i="4"/>
  <c r="T468" i="4"/>
  <c r="U468" i="4"/>
  <c r="V468" i="4"/>
  <c r="W468" i="4"/>
  <c r="X468" i="4"/>
  <c r="Y468" i="4"/>
  <c r="Z468" i="4"/>
  <c r="P469" i="4"/>
  <c r="Q469" i="4"/>
  <c r="AA469" i="4"/>
  <c r="AC469" i="4"/>
  <c r="AK469" i="4"/>
  <c r="R469" i="4"/>
  <c r="S469" i="4"/>
  <c r="T469" i="4"/>
  <c r="U469" i="4"/>
  <c r="V469" i="4"/>
  <c r="W469" i="4"/>
  <c r="X469" i="4"/>
  <c r="Y469" i="4"/>
  <c r="Z469" i="4"/>
  <c r="P93" i="4"/>
  <c r="R93" i="4"/>
  <c r="V93" i="4"/>
  <c r="X93" i="4"/>
  <c r="Y93" i="4"/>
  <c r="AA93" i="4"/>
  <c r="AC93" i="4"/>
  <c r="AK93" i="4"/>
  <c r="Z93" i="4"/>
  <c r="P94" i="4"/>
  <c r="AA94" i="4"/>
  <c r="AC94" i="4"/>
  <c r="AK94" i="4"/>
  <c r="R94" i="4"/>
  <c r="V94" i="4"/>
  <c r="X94" i="4"/>
  <c r="Y94" i="4"/>
  <c r="Z94" i="4"/>
  <c r="P95" i="4"/>
  <c r="R95" i="4"/>
  <c r="V95" i="4"/>
  <c r="X95" i="4"/>
  <c r="Y95" i="4"/>
  <c r="Z95" i="4"/>
  <c r="P96" i="4"/>
  <c r="R96" i="4"/>
  <c r="V96" i="4"/>
  <c r="X96" i="4"/>
  <c r="Y96" i="4"/>
  <c r="AA96" i="4"/>
  <c r="AC96" i="4"/>
  <c r="AK96" i="4"/>
  <c r="Z96" i="4"/>
  <c r="P70" i="4"/>
  <c r="R70" i="4"/>
  <c r="V70" i="4"/>
  <c r="AA70" i="4"/>
  <c r="AC70" i="4"/>
  <c r="AK70" i="4"/>
  <c r="X70" i="4"/>
  <c r="Y70" i="4"/>
  <c r="Z70" i="4"/>
  <c r="P52" i="4"/>
  <c r="R52" i="4"/>
  <c r="V52" i="4"/>
  <c r="X52" i="4"/>
  <c r="Y52" i="4"/>
  <c r="Z52" i="4"/>
  <c r="P513" i="4"/>
  <c r="AA513" i="4"/>
  <c r="AC513" i="4"/>
  <c r="AK513" i="4"/>
  <c r="R513" i="4"/>
  <c r="V513" i="4"/>
  <c r="X513" i="4"/>
  <c r="Y513" i="4"/>
  <c r="Z513" i="4"/>
  <c r="P249" i="4"/>
  <c r="R249" i="4"/>
  <c r="V249" i="4"/>
  <c r="X249" i="4"/>
  <c r="AA249" i="4"/>
  <c r="AC249" i="4"/>
  <c r="AK249" i="4"/>
  <c r="Y249" i="4"/>
  <c r="Z249" i="4"/>
  <c r="P250" i="4"/>
  <c r="R250" i="4"/>
  <c r="V250" i="4"/>
  <c r="X250" i="4"/>
  <c r="Y250" i="4"/>
  <c r="AA250" i="4"/>
  <c r="AC250" i="4"/>
  <c r="AK250" i="4"/>
  <c r="Z250" i="4"/>
  <c r="P97" i="4"/>
  <c r="R97" i="4"/>
  <c r="V97" i="4"/>
  <c r="X97" i="4"/>
  <c r="Y97" i="4"/>
  <c r="AA97" i="4"/>
  <c r="AC97" i="4"/>
  <c r="AK97" i="4"/>
  <c r="Z97" i="4"/>
  <c r="P98" i="4"/>
  <c r="R98" i="4"/>
  <c r="V98" i="4"/>
  <c r="X98" i="4"/>
  <c r="Y98" i="4"/>
  <c r="Z98" i="4"/>
  <c r="P99" i="4"/>
  <c r="AA99" i="4"/>
  <c r="AC99" i="4"/>
  <c r="AK99" i="4"/>
  <c r="R99" i="4"/>
  <c r="V99" i="4"/>
  <c r="X99" i="4"/>
  <c r="Y99" i="4"/>
  <c r="Z99" i="4"/>
  <c r="P100" i="4"/>
  <c r="AA100" i="4"/>
  <c r="AC100" i="4"/>
  <c r="AK100" i="4"/>
  <c r="R100" i="4"/>
  <c r="V100" i="4"/>
  <c r="X100" i="4"/>
  <c r="Y100" i="4"/>
  <c r="Z100" i="4"/>
  <c r="P101" i="4"/>
  <c r="R101" i="4"/>
  <c r="AA101" i="4"/>
  <c r="AC101" i="4"/>
  <c r="AK101" i="4"/>
  <c r="V101" i="4"/>
  <c r="X101" i="4"/>
  <c r="Y101" i="4"/>
  <c r="Z101" i="4"/>
  <c r="P71" i="4"/>
  <c r="R71" i="4"/>
  <c r="V71" i="4"/>
  <c r="X71" i="4"/>
  <c r="Y71" i="4"/>
  <c r="Z71" i="4"/>
  <c r="P527" i="4"/>
  <c r="R527" i="4"/>
  <c r="V527" i="4"/>
  <c r="X527" i="4"/>
  <c r="Y527" i="4"/>
  <c r="Z527" i="4"/>
  <c r="P470" i="4"/>
  <c r="R470" i="4"/>
  <c r="V470" i="4"/>
  <c r="AA470" i="4"/>
  <c r="AC470" i="4"/>
  <c r="AK470" i="4"/>
  <c r="X470" i="4"/>
  <c r="Y470" i="4"/>
  <c r="Z470" i="4"/>
  <c r="P471" i="4"/>
  <c r="R471" i="4"/>
  <c r="V471" i="4"/>
  <c r="X471" i="4"/>
  <c r="Y471" i="4"/>
  <c r="Z471" i="4"/>
  <c r="AA471" i="4"/>
  <c r="AC471" i="4"/>
  <c r="AK471" i="4"/>
  <c r="P472" i="4"/>
  <c r="R472" i="4"/>
  <c r="V472" i="4"/>
  <c r="X472" i="4"/>
  <c r="Y472" i="4"/>
  <c r="Z472" i="4"/>
  <c r="P473" i="4"/>
  <c r="AA473" i="4"/>
  <c r="AC473" i="4"/>
  <c r="AK473" i="4"/>
  <c r="R473" i="4"/>
  <c r="V473" i="4"/>
  <c r="X473" i="4"/>
  <c r="Y473" i="4"/>
  <c r="Z473" i="4"/>
  <c r="P474" i="4"/>
  <c r="R474" i="4"/>
  <c r="V474" i="4"/>
  <c r="X474" i="4"/>
  <c r="Y474" i="4"/>
  <c r="Z474" i="4"/>
  <c r="P380" i="4"/>
  <c r="R380" i="4"/>
  <c r="V380" i="4"/>
  <c r="X380" i="4"/>
  <c r="Y380" i="4"/>
  <c r="Z380" i="4"/>
  <c r="P251" i="4"/>
  <c r="R251" i="4"/>
  <c r="V251" i="4"/>
  <c r="X251" i="4"/>
  <c r="Y251" i="4"/>
  <c r="Z251" i="4"/>
  <c r="P252" i="4"/>
  <c r="AA252" i="4"/>
  <c r="AC252" i="4"/>
  <c r="AK252" i="4"/>
  <c r="R252" i="4"/>
  <c r="V252" i="4"/>
  <c r="X252" i="4"/>
  <c r="Y252" i="4"/>
  <c r="Z252" i="4"/>
  <c r="P129" i="4"/>
  <c r="AA129" i="4"/>
  <c r="AC129" i="4"/>
  <c r="AK129" i="4"/>
  <c r="R129" i="4"/>
  <c r="V129" i="4"/>
  <c r="X129" i="4"/>
  <c r="Y129" i="4"/>
  <c r="Z129" i="4"/>
  <c r="P130" i="4"/>
  <c r="AA130" i="4"/>
  <c r="AC130" i="4"/>
  <c r="AK130" i="4"/>
  <c r="R130" i="4"/>
  <c r="V130" i="4"/>
  <c r="X130" i="4"/>
  <c r="Y130" i="4"/>
  <c r="Z130" i="4"/>
  <c r="P72" i="4"/>
  <c r="R72" i="4"/>
  <c r="V72" i="4"/>
  <c r="X72" i="4"/>
  <c r="AA72" i="4"/>
  <c r="AC72" i="4"/>
  <c r="AK72" i="4"/>
  <c r="Y72" i="4"/>
  <c r="Z72" i="4"/>
  <c r="P43" i="4"/>
  <c r="AA43" i="4"/>
  <c r="AC43" i="4"/>
  <c r="AK43" i="4"/>
  <c r="R43" i="4"/>
  <c r="V43" i="4"/>
  <c r="X43" i="4"/>
  <c r="Y43" i="4"/>
  <c r="Z43" i="4"/>
  <c r="P358" i="4"/>
  <c r="Q358" i="4"/>
  <c r="R358" i="4"/>
  <c r="S358" i="4"/>
  <c r="T358" i="4"/>
  <c r="AA358" i="4"/>
  <c r="AC358" i="4"/>
  <c r="AK358" i="4"/>
  <c r="U358" i="4"/>
  <c r="V358" i="4"/>
  <c r="W358" i="4"/>
  <c r="X358" i="4"/>
  <c r="Y358" i="4"/>
  <c r="Z358" i="4"/>
  <c r="P359" i="4"/>
  <c r="Q359" i="4"/>
  <c r="R359" i="4"/>
  <c r="S359" i="4"/>
  <c r="T359" i="4"/>
  <c r="U359" i="4"/>
  <c r="V359" i="4"/>
  <c r="W359" i="4"/>
  <c r="X359" i="4"/>
  <c r="Y359" i="4"/>
  <c r="Z359" i="4"/>
  <c r="P338" i="4"/>
  <c r="Q338" i="4"/>
  <c r="R338" i="4"/>
  <c r="S338" i="4"/>
  <c r="T338" i="4"/>
  <c r="AA338" i="4"/>
  <c r="AC338" i="4"/>
  <c r="U338" i="4"/>
  <c r="V338" i="4"/>
  <c r="W338" i="4"/>
  <c r="X338" i="4"/>
  <c r="Y338" i="4"/>
  <c r="Z338" i="4"/>
  <c r="P339" i="4"/>
  <c r="Q339" i="4"/>
  <c r="R339" i="4"/>
  <c r="S339" i="4"/>
  <c r="T339" i="4"/>
  <c r="U339" i="4"/>
  <c r="V339" i="4"/>
  <c r="W339" i="4"/>
  <c r="X339" i="4"/>
  <c r="Y339" i="4"/>
  <c r="AA339" i="4"/>
  <c r="AC339" i="4"/>
  <c r="Z339" i="4"/>
  <c r="P340" i="4"/>
  <c r="Q340" i="4"/>
  <c r="R340" i="4"/>
  <c r="S340" i="4"/>
  <c r="T340" i="4"/>
  <c r="U340" i="4"/>
  <c r="V340" i="4"/>
  <c r="W340" i="4"/>
  <c r="X340" i="4"/>
  <c r="Y340" i="4"/>
  <c r="Z340" i="4"/>
  <c r="AB340" i="4"/>
  <c r="P341" i="4"/>
  <c r="Q341" i="4"/>
  <c r="AA341" i="4"/>
  <c r="AC341" i="4"/>
  <c r="AK341" i="4"/>
  <c r="R341" i="4"/>
  <c r="S341" i="4"/>
  <c r="T341" i="4"/>
  <c r="U341" i="4"/>
  <c r="V341" i="4"/>
  <c r="W341" i="4"/>
  <c r="X341" i="4"/>
  <c r="Y341" i="4"/>
  <c r="Z341" i="4"/>
  <c r="AB341" i="4"/>
  <c r="O313" i="4"/>
  <c r="P313" i="4"/>
  <c r="Q313" i="4"/>
  <c r="R313" i="4"/>
  <c r="S313" i="4"/>
  <c r="T313" i="4"/>
  <c r="U313" i="4"/>
  <c r="V313" i="4"/>
  <c r="W313" i="4"/>
  <c r="X313" i="4"/>
  <c r="Y313" i="4"/>
  <c r="Z313" i="4"/>
  <c r="P314" i="4"/>
  <c r="Q314" i="4"/>
  <c r="R314" i="4"/>
  <c r="S314" i="4"/>
  <c r="T314" i="4"/>
  <c r="U314" i="4"/>
  <c r="V314" i="4"/>
  <c r="W314" i="4"/>
  <c r="X314" i="4"/>
  <c r="Y314" i="4"/>
  <c r="Z314" i="4"/>
  <c r="P315" i="4"/>
  <c r="Q315" i="4"/>
  <c r="R315" i="4"/>
  <c r="S315" i="4"/>
  <c r="T315" i="4"/>
  <c r="U315" i="4"/>
  <c r="V315" i="4"/>
  <c r="W315" i="4"/>
  <c r="X315" i="4"/>
  <c r="Y315" i="4"/>
  <c r="Z315" i="4"/>
  <c r="P228" i="4"/>
  <c r="Q228" i="4"/>
  <c r="AA228" i="4"/>
  <c r="AC228" i="4"/>
  <c r="AK228" i="4"/>
  <c r="R228" i="4"/>
  <c r="S228" i="4"/>
  <c r="T228" i="4"/>
  <c r="U228" i="4"/>
  <c r="V228" i="4"/>
  <c r="W228" i="4"/>
  <c r="X228" i="4"/>
  <c r="Y228" i="4"/>
  <c r="Z228" i="4"/>
  <c r="P229" i="4"/>
  <c r="Q229" i="4"/>
  <c r="R229" i="4"/>
  <c r="S229" i="4"/>
  <c r="T229" i="4"/>
  <c r="U229" i="4"/>
  <c r="V229" i="4"/>
  <c r="AA229" i="4"/>
  <c r="AC229" i="4"/>
  <c r="AK229" i="4"/>
  <c r="W229" i="4"/>
  <c r="X229" i="4"/>
  <c r="Y229" i="4"/>
  <c r="Z229" i="4"/>
  <c r="P230" i="4"/>
  <c r="Q230" i="4"/>
  <c r="R230" i="4"/>
  <c r="S230" i="4"/>
  <c r="T230" i="4"/>
  <c r="U230" i="4"/>
  <c r="V230" i="4"/>
  <c r="W230" i="4"/>
  <c r="X230" i="4"/>
  <c r="Y230" i="4"/>
  <c r="Z230" i="4"/>
  <c r="P231" i="4"/>
  <c r="Q231" i="4"/>
  <c r="R231" i="4"/>
  <c r="S231" i="4"/>
  <c r="T231" i="4"/>
  <c r="U231" i="4"/>
  <c r="V231" i="4"/>
  <c r="W231" i="4"/>
  <c r="X231" i="4"/>
  <c r="Y231" i="4"/>
  <c r="Z231" i="4"/>
  <c r="P232" i="4"/>
  <c r="Q232" i="4"/>
  <c r="R232" i="4"/>
  <c r="S232" i="4"/>
  <c r="T232" i="4"/>
  <c r="U232" i="4"/>
  <c r="V232" i="4"/>
  <c r="W232" i="4"/>
  <c r="X232" i="4"/>
  <c r="Y232" i="4"/>
  <c r="Z232" i="4"/>
  <c r="P233" i="4"/>
  <c r="Q233" i="4"/>
  <c r="R233" i="4"/>
  <c r="S233" i="4"/>
  <c r="T233" i="4"/>
  <c r="U233" i="4"/>
  <c r="V233" i="4"/>
  <c r="W233" i="4"/>
  <c r="X233" i="4"/>
  <c r="AA233" i="4"/>
  <c r="AC233" i="4"/>
  <c r="AK233" i="4"/>
  <c r="Y233" i="4"/>
  <c r="Z233" i="4"/>
  <c r="P234" i="4"/>
  <c r="Q234" i="4"/>
  <c r="R234" i="4"/>
  <c r="S234" i="4"/>
  <c r="T234" i="4"/>
  <c r="U234" i="4"/>
  <c r="V234" i="4"/>
  <c r="W234" i="4"/>
  <c r="X234" i="4"/>
  <c r="Y234" i="4"/>
  <c r="Z234" i="4"/>
  <c r="P235" i="4"/>
  <c r="Q235" i="4"/>
  <c r="R235" i="4"/>
  <c r="S235" i="4"/>
  <c r="T235" i="4"/>
  <c r="U235" i="4"/>
  <c r="V235" i="4"/>
  <c r="W235" i="4"/>
  <c r="X235" i="4"/>
  <c r="Y235" i="4"/>
  <c r="Z235" i="4"/>
  <c r="P236" i="4"/>
  <c r="Q236" i="4"/>
  <c r="R236" i="4"/>
  <c r="S236" i="4"/>
  <c r="T236" i="4"/>
  <c r="AA236" i="4"/>
  <c r="AC236" i="4"/>
  <c r="AK236" i="4"/>
  <c r="U236" i="4"/>
  <c r="V236" i="4"/>
  <c r="W236" i="4"/>
  <c r="X236" i="4"/>
  <c r="Y236" i="4"/>
  <c r="Z236" i="4"/>
  <c r="P237" i="4"/>
  <c r="Q237" i="4"/>
  <c r="R237" i="4"/>
  <c r="S237" i="4"/>
  <c r="T237" i="4"/>
  <c r="U237" i="4"/>
  <c r="V237" i="4"/>
  <c r="W237" i="4"/>
  <c r="X237" i="4"/>
  <c r="Y237" i="4"/>
  <c r="AA237" i="4"/>
  <c r="AC237" i="4"/>
  <c r="AK237" i="4"/>
  <c r="Z237" i="4"/>
  <c r="P238" i="4"/>
  <c r="Q238" i="4"/>
  <c r="R238" i="4"/>
  <c r="S238" i="4"/>
  <c r="T238" i="4"/>
  <c r="U238" i="4"/>
  <c r="V238" i="4"/>
  <c r="W238" i="4"/>
  <c r="X238" i="4"/>
  <c r="Y238" i="4"/>
  <c r="Z238" i="4"/>
  <c r="P239" i="4"/>
  <c r="Q239" i="4"/>
  <c r="R239" i="4"/>
  <c r="S239" i="4"/>
  <c r="T239" i="4"/>
  <c r="U239" i="4"/>
  <c r="V239" i="4"/>
  <c r="W239" i="4"/>
  <c r="X239" i="4"/>
  <c r="Y239" i="4"/>
  <c r="Z239" i="4"/>
  <c r="P241" i="4"/>
  <c r="Q241" i="4"/>
  <c r="R241" i="4"/>
  <c r="S241" i="4"/>
  <c r="T241" i="4"/>
  <c r="U241" i="4"/>
  <c r="V241" i="4"/>
  <c r="W241" i="4"/>
  <c r="X241" i="4"/>
  <c r="Y241" i="4"/>
  <c r="Z241" i="4"/>
  <c r="P149" i="4"/>
  <c r="Q149" i="4"/>
  <c r="R149" i="4"/>
  <c r="S149" i="4"/>
  <c r="T149" i="4"/>
  <c r="U149" i="4"/>
  <c r="V149" i="4"/>
  <c r="W149" i="4"/>
  <c r="X149" i="4"/>
  <c r="Y149" i="4"/>
  <c r="Z149" i="4"/>
  <c r="AB149" i="4"/>
  <c r="P29" i="4"/>
  <c r="Q29" i="4"/>
  <c r="R29" i="4"/>
  <c r="S29" i="4"/>
  <c r="T29" i="4"/>
  <c r="U29" i="4"/>
  <c r="V29" i="4"/>
  <c r="W29" i="4"/>
  <c r="X29" i="4"/>
  <c r="Y29" i="4"/>
  <c r="Z29" i="4"/>
  <c r="P30" i="4"/>
  <c r="Q30" i="4"/>
  <c r="R30" i="4"/>
  <c r="S30" i="4"/>
  <c r="T30" i="4"/>
  <c r="U30" i="4"/>
  <c r="V30" i="4"/>
  <c r="W30" i="4"/>
  <c r="X30" i="4"/>
  <c r="Y30" i="4"/>
  <c r="Z30" i="4"/>
  <c r="P188" i="4"/>
  <c r="Q188" i="4"/>
  <c r="R188" i="4"/>
  <c r="S188" i="4"/>
  <c r="T188" i="4"/>
  <c r="V188" i="4"/>
  <c r="W188" i="4"/>
  <c r="X188" i="4"/>
  <c r="Y188" i="4"/>
  <c r="Z188" i="4"/>
  <c r="P189" i="4"/>
  <c r="Q189" i="4"/>
  <c r="R189" i="4"/>
  <c r="S189" i="4"/>
  <c r="T189" i="4"/>
  <c r="V189" i="4"/>
  <c r="AA189" i="4"/>
  <c r="AC189" i="4"/>
  <c r="AK189" i="4"/>
  <c r="W189" i="4"/>
  <c r="X189" i="4"/>
  <c r="Y189" i="4"/>
  <c r="Z189" i="4"/>
  <c r="O102" i="4"/>
  <c r="P102" i="4"/>
  <c r="Q102" i="4"/>
  <c r="S102" i="4"/>
  <c r="T102" i="4"/>
  <c r="U102" i="4"/>
  <c r="V102" i="4"/>
  <c r="W102" i="4"/>
  <c r="X102" i="4"/>
  <c r="Y102" i="4"/>
  <c r="Z102" i="4"/>
  <c r="O363" i="4"/>
  <c r="P363" i="4"/>
  <c r="Q363" i="4"/>
  <c r="S363" i="4"/>
  <c r="AA363" i="4"/>
  <c r="AC363" i="4"/>
  <c r="AK363" i="4"/>
  <c r="T363" i="4"/>
  <c r="U363" i="4"/>
  <c r="V363" i="4"/>
  <c r="W363" i="4"/>
  <c r="X363" i="4"/>
  <c r="Y363" i="4"/>
  <c r="Z363" i="4"/>
  <c r="O364" i="4"/>
  <c r="AA364" i="4"/>
  <c r="AC364" i="4"/>
  <c r="AK364" i="4"/>
  <c r="P364" i="4"/>
  <c r="Q364" i="4"/>
  <c r="S364" i="4"/>
  <c r="T364" i="4"/>
  <c r="U364" i="4"/>
  <c r="V364" i="4"/>
  <c r="W364" i="4"/>
  <c r="X364" i="4"/>
  <c r="Y364" i="4"/>
  <c r="Z364" i="4"/>
  <c r="O365" i="4"/>
  <c r="P365" i="4"/>
  <c r="Q365" i="4"/>
  <c r="S365" i="4"/>
  <c r="T365" i="4"/>
  <c r="U365" i="4"/>
  <c r="V365" i="4"/>
  <c r="W365" i="4"/>
  <c r="X365" i="4"/>
  <c r="Y365" i="4"/>
  <c r="Z365" i="4"/>
  <c r="O366" i="4"/>
  <c r="P366" i="4"/>
  <c r="Q366" i="4"/>
  <c r="S366" i="4"/>
  <c r="T366" i="4"/>
  <c r="U366" i="4"/>
  <c r="V366" i="4"/>
  <c r="W366" i="4"/>
  <c r="X366" i="4"/>
  <c r="Y366" i="4"/>
  <c r="Z366" i="4"/>
  <c r="O530" i="4"/>
  <c r="P530" i="4"/>
  <c r="Q530" i="4"/>
  <c r="S530" i="4"/>
  <c r="T530" i="4"/>
  <c r="U530" i="4"/>
  <c r="V530" i="4"/>
  <c r="W530" i="4"/>
  <c r="X530" i="4"/>
  <c r="Y530" i="4"/>
  <c r="Z530" i="4"/>
  <c r="O385" i="4"/>
  <c r="P385" i="4"/>
  <c r="Q385" i="4"/>
  <c r="S385" i="4"/>
  <c r="T385" i="4"/>
  <c r="U385" i="4"/>
  <c r="V385" i="4"/>
  <c r="W385" i="4"/>
  <c r="X385" i="4"/>
  <c r="Y385" i="4"/>
  <c r="Z385" i="4"/>
  <c r="O386" i="4"/>
  <c r="P386" i="4"/>
  <c r="Q386" i="4"/>
  <c r="AA386" i="4"/>
  <c r="AC386" i="4"/>
  <c r="AK386" i="4"/>
  <c r="S386" i="4"/>
  <c r="T386" i="4"/>
  <c r="U386" i="4"/>
  <c r="V386" i="4"/>
  <c r="W386" i="4"/>
  <c r="X386" i="4"/>
  <c r="Y386" i="4"/>
  <c r="Z386" i="4"/>
  <c r="O360" i="4"/>
  <c r="AA360" i="4"/>
  <c r="AC360" i="4"/>
  <c r="AK360" i="4"/>
  <c r="P360" i="4"/>
  <c r="Q360" i="4"/>
  <c r="S360" i="4"/>
  <c r="T360" i="4"/>
  <c r="U360" i="4"/>
  <c r="V360" i="4"/>
  <c r="W360" i="4"/>
  <c r="X360" i="4"/>
  <c r="Y360" i="4"/>
  <c r="Z360" i="4"/>
  <c r="O475" i="4"/>
  <c r="P475" i="4"/>
  <c r="Q475" i="4"/>
  <c r="S475" i="4"/>
  <c r="T475" i="4"/>
  <c r="U475" i="4"/>
  <c r="V475" i="4"/>
  <c r="W475" i="4"/>
  <c r="X475" i="4"/>
  <c r="Y475" i="4"/>
  <c r="Z475" i="4"/>
  <c r="O476" i="4"/>
  <c r="P476" i="4"/>
  <c r="Q476" i="4"/>
  <c r="S476" i="4"/>
  <c r="T476" i="4"/>
  <c r="U476" i="4"/>
  <c r="V476" i="4"/>
  <c r="W476" i="4"/>
  <c r="X476" i="4"/>
  <c r="Y476" i="4"/>
  <c r="Z476" i="4"/>
  <c r="O190" i="4"/>
  <c r="AA190" i="4"/>
  <c r="AC190" i="4"/>
  <c r="AK190" i="4"/>
  <c r="P190" i="4"/>
  <c r="Q190" i="4"/>
  <c r="S190" i="4"/>
  <c r="T190" i="4"/>
  <c r="U190" i="4"/>
  <c r="V190" i="4"/>
  <c r="W190" i="4"/>
  <c r="X190" i="4"/>
  <c r="Y190" i="4"/>
  <c r="Z190" i="4"/>
  <c r="O477" i="4"/>
  <c r="P477" i="4"/>
  <c r="AA477" i="4"/>
  <c r="AC477" i="4"/>
  <c r="AK477" i="4"/>
  <c r="Q477" i="4"/>
  <c r="S477" i="4"/>
  <c r="T477" i="4"/>
  <c r="U477" i="4"/>
  <c r="V477" i="4"/>
  <c r="W477" i="4"/>
  <c r="X477" i="4"/>
  <c r="Y477" i="4"/>
  <c r="Z477" i="4"/>
  <c r="O73" i="4"/>
  <c r="P73" i="4"/>
  <c r="Q73" i="4"/>
  <c r="S73" i="4"/>
  <c r="T73" i="4"/>
  <c r="U73" i="4"/>
  <c r="V73" i="4"/>
  <c r="AA73" i="4"/>
  <c r="AC73" i="4"/>
  <c r="AK73" i="4"/>
  <c r="W73" i="4"/>
  <c r="X73" i="4"/>
  <c r="Y73" i="4"/>
  <c r="Z73" i="4"/>
  <c r="O191" i="4"/>
  <c r="P191" i="4"/>
  <c r="Q191" i="4"/>
  <c r="S191" i="4"/>
  <c r="T191" i="4"/>
  <c r="U191" i="4"/>
  <c r="V191" i="4"/>
  <c r="W191" i="4"/>
  <c r="X191" i="4"/>
  <c r="Y191" i="4"/>
  <c r="Z191" i="4"/>
  <c r="O74" i="4"/>
  <c r="P74" i="4"/>
  <c r="AA74" i="4"/>
  <c r="AC74" i="4"/>
  <c r="AK74" i="4"/>
  <c r="Q74" i="4"/>
  <c r="S74" i="4"/>
  <c r="T74" i="4"/>
  <c r="U74" i="4"/>
  <c r="V74" i="4"/>
  <c r="W74" i="4"/>
  <c r="X74" i="4"/>
  <c r="Y74" i="4"/>
  <c r="Z74" i="4"/>
  <c r="O75" i="4"/>
  <c r="AA75" i="4"/>
  <c r="AC75" i="4"/>
  <c r="AK75" i="4"/>
  <c r="P75" i="4"/>
  <c r="Q75" i="4"/>
  <c r="S75" i="4"/>
  <c r="T75" i="4"/>
  <c r="U75" i="4"/>
  <c r="V75" i="4"/>
  <c r="W75" i="4"/>
  <c r="X75" i="4"/>
  <c r="Y75" i="4"/>
  <c r="Z75" i="4"/>
  <c r="O215" i="4"/>
  <c r="P215" i="4"/>
  <c r="Q215" i="4"/>
  <c r="S215" i="4"/>
  <c r="T215" i="4"/>
  <c r="U215" i="4"/>
  <c r="V215" i="4"/>
  <c r="W215" i="4"/>
  <c r="X215" i="4"/>
  <c r="Y215" i="4"/>
  <c r="Z215" i="4"/>
  <c r="O76" i="4"/>
  <c r="P76" i="4"/>
  <c r="Q76" i="4"/>
  <c r="S76" i="4"/>
  <c r="T76" i="4"/>
  <c r="U76" i="4"/>
  <c r="V76" i="4"/>
  <c r="W76" i="4"/>
  <c r="X76" i="4"/>
  <c r="Y76" i="4"/>
  <c r="Z76" i="4"/>
  <c r="O103" i="4"/>
  <c r="AA103" i="4"/>
  <c r="AC103" i="4"/>
  <c r="AK103" i="4"/>
  <c r="P103" i="4"/>
  <c r="Q103" i="4"/>
  <c r="S103" i="4"/>
  <c r="T103" i="4"/>
  <c r="U103" i="4"/>
  <c r="V103" i="4"/>
  <c r="W103" i="4"/>
  <c r="X103" i="4"/>
  <c r="Y103" i="4"/>
  <c r="Z103" i="4"/>
  <c r="O104" i="4"/>
  <c r="P104" i="4"/>
  <c r="Q104" i="4"/>
  <c r="S104" i="4"/>
  <c r="T104" i="4"/>
  <c r="U104" i="4"/>
  <c r="AA104" i="4"/>
  <c r="AC104" i="4"/>
  <c r="AK104" i="4"/>
  <c r="V104" i="4"/>
  <c r="W104" i="4"/>
  <c r="X104" i="4"/>
  <c r="Y104" i="4"/>
  <c r="Z104" i="4"/>
  <c r="O105" i="4"/>
  <c r="P105" i="4"/>
  <c r="Q105" i="4"/>
  <c r="S105" i="4"/>
  <c r="T105" i="4"/>
  <c r="U105" i="4"/>
  <c r="V105" i="4"/>
  <c r="W105" i="4"/>
  <c r="X105" i="4"/>
  <c r="Y105" i="4"/>
  <c r="Z105" i="4"/>
  <c r="O106" i="4"/>
  <c r="P106" i="4"/>
  <c r="Q106" i="4"/>
  <c r="S106" i="4"/>
  <c r="T106" i="4"/>
  <c r="AA106" i="4"/>
  <c r="AC106" i="4"/>
  <c r="AK106" i="4"/>
  <c r="U106" i="4"/>
  <c r="V106" i="4"/>
  <c r="W106" i="4"/>
  <c r="X106" i="4"/>
  <c r="Y106" i="4"/>
  <c r="Z106" i="4"/>
  <c r="O14" i="4"/>
  <c r="P14" i="4"/>
  <c r="Q14" i="4"/>
  <c r="S14" i="4"/>
  <c r="T14" i="4"/>
  <c r="U14" i="4"/>
  <c r="V14" i="4"/>
  <c r="W14" i="4"/>
  <c r="X14" i="4"/>
  <c r="Y14" i="4"/>
  <c r="Z14" i="4"/>
  <c r="O192" i="4"/>
  <c r="P192" i="4"/>
  <c r="Q192" i="4"/>
  <c r="S192" i="4"/>
  <c r="T192" i="4"/>
  <c r="U192" i="4"/>
  <c r="V192" i="4"/>
  <c r="W192" i="4"/>
  <c r="X192" i="4"/>
  <c r="Y192" i="4"/>
  <c r="Z192" i="4"/>
  <c r="O193" i="4"/>
  <c r="P193" i="4"/>
  <c r="Q193" i="4"/>
  <c r="S193" i="4"/>
  <c r="T193" i="4"/>
  <c r="U193" i="4"/>
  <c r="V193" i="4"/>
  <c r="W193" i="4"/>
  <c r="X193" i="4"/>
  <c r="Y193" i="4"/>
  <c r="Z193" i="4"/>
  <c r="O478" i="4"/>
  <c r="P478" i="4"/>
  <c r="Q478" i="4"/>
  <c r="S478" i="4"/>
  <c r="AA478" i="4"/>
  <c r="AC478" i="4"/>
  <c r="AK478" i="4"/>
  <c r="T478" i="4"/>
  <c r="U478" i="4"/>
  <c r="V478" i="4"/>
  <c r="W478" i="4"/>
  <c r="X478" i="4"/>
  <c r="Y478" i="4"/>
  <c r="Z478" i="4"/>
  <c r="O531" i="4"/>
  <c r="P531" i="4"/>
  <c r="Q531" i="4"/>
  <c r="S531" i="4"/>
  <c r="T531" i="4"/>
  <c r="U531" i="4"/>
  <c r="V531" i="4"/>
  <c r="W531" i="4"/>
  <c r="X531" i="4"/>
  <c r="AA531" i="4"/>
  <c r="AC531" i="4"/>
  <c r="AK531" i="4"/>
  <c r="Y531" i="4"/>
  <c r="Z531" i="4"/>
  <c r="O107" i="4"/>
  <c r="P107" i="4"/>
  <c r="Q107" i="4"/>
  <c r="S107" i="4"/>
  <c r="T107" i="4"/>
  <c r="U107" i="4"/>
  <c r="V107" i="4"/>
  <c r="W107" i="4"/>
  <c r="X107" i="4"/>
  <c r="Y107" i="4"/>
  <c r="Z107" i="4"/>
  <c r="O367" i="4"/>
  <c r="P367" i="4"/>
  <c r="Q367" i="4"/>
  <c r="S367" i="4"/>
  <c r="T367" i="4"/>
  <c r="U367" i="4"/>
  <c r="V367" i="4"/>
  <c r="W367" i="4"/>
  <c r="X367" i="4"/>
  <c r="Y367" i="4"/>
  <c r="Z367" i="4"/>
  <c r="O15" i="4"/>
  <c r="P15" i="4"/>
  <c r="Q15" i="4"/>
  <c r="R15" i="4"/>
  <c r="S15" i="4"/>
  <c r="U15" i="4"/>
  <c r="V15" i="4"/>
  <c r="W15" i="4"/>
  <c r="X15" i="4"/>
  <c r="Y15" i="4"/>
  <c r="Z15" i="4"/>
  <c r="O131" i="4"/>
  <c r="P131" i="4"/>
  <c r="Q131" i="4"/>
  <c r="R131" i="4"/>
  <c r="S131" i="4"/>
  <c r="U131" i="4"/>
  <c r="V131" i="4"/>
  <c r="W131" i="4"/>
  <c r="X131" i="4"/>
  <c r="Y131" i="4"/>
  <c r="Z131" i="4"/>
  <c r="O132" i="4"/>
  <c r="P132" i="4"/>
  <c r="Q132" i="4"/>
  <c r="R132" i="4"/>
  <c r="S132" i="4"/>
  <c r="U132" i="4"/>
  <c r="V132" i="4"/>
  <c r="W132" i="4"/>
  <c r="X132" i="4"/>
  <c r="Y132" i="4"/>
  <c r="Z132" i="4"/>
  <c r="O216" i="4"/>
  <c r="P216" i="4"/>
  <c r="Q216" i="4"/>
  <c r="AA216" i="4"/>
  <c r="AC216" i="4"/>
  <c r="AK216" i="4"/>
  <c r="R216" i="4"/>
  <c r="S216" i="4"/>
  <c r="U216" i="4"/>
  <c r="V216" i="4"/>
  <c r="W216" i="4"/>
  <c r="X216" i="4"/>
  <c r="Y216" i="4"/>
  <c r="Z216" i="4"/>
  <c r="O253" i="4"/>
  <c r="P253" i="4"/>
  <c r="Q253" i="4"/>
  <c r="R253" i="4"/>
  <c r="S253" i="4"/>
  <c r="U253" i="4"/>
  <c r="V253" i="4"/>
  <c r="W253" i="4"/>
  <c r="X253" i="4"/>
  <c r="Y253" i="4"/>
  <c r="Z253" i="4"/>
  <c r="O194" i="4"/>
  <c r="AA194" i="4"/>
  <c r="AC194" i="4"/>
  <c r="AK194" i="4"/>
  <c r="P194" i="4"/>
  <c r="Q194" i="4"/>
  <c r="R194" i="4"/>
  <c r="S194" i="4"/>
  <c r="U194" i="4"/>
  <c r="V194" i="4"/>
  <c r="W194" i="4"/>
  <c r="X194" i="4"/>
  <c r="Y194" i="4"/>
  <c r="Z194" i="4"/>
  <c r="O16" i="4"/>
  <c r="P16" i="4"/>
  <c r="Q16" i="4"/>
  <c r="R16" i="4"/>
  <c r="S16" i="4"/>
  <c r="U16" i="4"/>
  <c r="V16" i="4"/>
  <c r="W16" i="4"/>
  <c r="X16" i="4"/>
  <c r="Y16" i="4"/>
  <c r="Z16" i="4"/>
  <c r="O108" i="4"/>
  <c r="P108" i="4"/>
  <c r="Q108" i="4"/>
  <c r="R108" i="4"/>
  <c r="S108" i="4"/>
  <c r="U108" i="4"/>
  <c r="V108" i="4"/>
  <c r="W108" i="4"/>
  <c r="X108" i="4"/>
  <c r="Y108" i="4"/>
  <c r="Z108" i="4"/>
  <c r="O109" i="4"/>
  <c r="P109" i="4"/>
  <c r="Q109" i="4"/>
  <c r="R109" i="4"/>
  <c r="S109" i="4"/>
  <c r="U109" i="4"/>
  <c r="V109" i="4"/>
  <c r="W109" i="4"/>
  <c r="X109" i="4"/>
  <c r="Y109" i="4"/>
  <c r="Z109" i="4"/>
  <c r="O110" i="4"/>
  <c r="P110" i="4"/>
  <c r="Q110" i="4"/>
  <c r="R110" i="4"/>
  <c r="S110" i="4"/>
  <c r="U110" i="4"/>
  <c r="V110" i="4"/>
  <c r="W110" i="4"/>
  <c r="X110" i="4"/>
  <c r="Y110" i="4"/>
  <c r="Z110" i="4"/>
  <c r="O254" i="4"/>
  <c r="P254" i="4"/>
  <c r="Q254" i="4"/>
  <c r="R254" i="4"/>
  <c r="S254" i="4"/>
  <c r="U254" i="4"/>
  <c r="V254" i="4"/>
  <c r="W254" i="4"/>
  <c r="X254" i="4"/>
  <c r="Y254" i="4"/>
  <c r="Z254" i="4"/>
  <c r="O381" i="4"/>
  <c r="P381" i="4"/>
  <c r="Q381" i="4"/>
  <c r="R381" i="4"/>
  <c r="S381" i="4"/>
  <c r="U381" i="4"/>
  <c r="V381" i="4"/>
  <c r="W381" i="4"/>
  <c r="X381" i="4"/>
  <c r="Y381" i="4"/>
  <c r="Z381" i="4"/>
  <c r="O507" i="4"/>
  <c r="P507" i="4"/>
  <c r="Q507" i="4"/>
  <c r="R507" i="4"/>
  <c r="S507" i="4"/>
  <c r="U507" i="4"/>
  <c r="V507" i="4"/>
  <c r="W507" i="4"/>
  <c r="X507" i="4"/>
  <c r="Y507" i="4"/>
  <c r="Z507" i="4"/>
  <c r="O508" i="4"/>
  <c r="P508" i="4"/>
  <c r="Q508" i="4"/>
  <c r="R508" i="4"/>
  <c r="S508" i="4"/>
  <c r="U508" i="4"/>
  <c r="V508" i="4"/>
  <c r="W508" i="4"/>
  <c r="X508" i="4"/>
  <c r="Y508" i="4"/>
  <c r="Z508" i="4"/>
  <c r="O509" i="4"/>
  <c r="P509" i="4"/>
  <c r="Q509" i="4"/>
  <c r="AA509" i="4"/>
  <c r="AC509" i="4"/>
  <c r="AK509" i="4"/>
  <c r="R509" i="4"/>
  <c r="S509" i="4"/>
  <c r="U509" i="4"/>
  <c r="V509" i="4"/>
  <c r="W509" i="4"/>
  <c r="X509" i="4"/>
  <c r="Y509" i="4"/>
  <c r="Z509" i="4"/>
  <c r="O510" i="4"/>
  <c r="P510" i="4"/>
  <c r="Q510" i="4"/>
  <c r="R510" i="4"/>
  <c r="S510" i="4"/>
  <c r="U510" i="4"/>
  <c r="V510" i="4"/>
  <c r="W510" i="4"/>
  <c r="X510" i="4"/>
  <c r="Y510" i="4"/>
  <c r="Z510" i="4"/>
  <c r="O57" i="4"/>
  <c r="P57" i="4"/>
  <c r="Q57" i="4"/>
  <c r="R57" i="4"/>
  <c r="S57" i="4"/>
  <c r="U57" i="4"/>
  <c r="V57" i="4"/>
  <c r="W57" i="4"/>
  <c r="X57" i="4"/>
  <c r="Y57" i="4"/>
  <c r="Z57" i="4"/>
  <c r="O195" i="4"/>
  <c r="V195" i="4"/>
  <c r="X195" i="4"/>
  <c r="Y195" i="4"/>
  <c r="Z195" i="4"/>
  <c r="V479" i="4"/>
  <c r="X479" i="4"/>
  <c r="Y479" i="4"/>
  <c r="Z479" i="4"/>
  <c r="AA479" i="4"/>
  <c r="AC479" i="4"/>
  <c r="AK479" i="4"/>
  <c r="V480" i="4"/>
  <c r="X480" i="4"/>
  <c r="Y480" i="4"/>
  <c r="Z480" i="4"/>
  <c r="AA480" i="4"/>
  <c r="AC480" i="4"/>
  <c r="AK480" i="4"/>
  <c r="V481" i="4"/>
  <c r="X481" i="4"/>
  <c r="Y481" i="4"/>
  <c r="Z481" i="4"/>
  <c r="V482" i="4"/>
  <c r="AA482" i="4"/>
  <c r="AC482" i="4"/>
  <c r="AK482" i="4"/>
  <c r="X482" i="4"/>
  <c r="Y482" i="4"/>
  <c r="Z482" i="4"/>
  <c r="V483" i="4"/>
  <c r="X483" i="4"/>
  <c r="Y483" i="4"/>
  <c r="Z483" i="4"/>
  <c r="V484" i="4"/>
  <c r="AA484" i="4"/>
  <c r="AC484" i="4"/>
  <c r="AK484" i="4"/>
  <c r="X484" i="4"/>
  <c r="Y484" i="4"/>
  <c r="Z484" i="4"/>
  <c r="V356" i="4"/>
  <c r="X356" i="4"/>
  <c r="Y356" i="4"/>
  <c r="Z356" i="4"/>
  <c r="V7" i="4"/>
  <c r="X7" i="4"/>
  <c r="Y7" i="4"/>
  <c r="Z7" i="4"/>
  <c r="V255" i="4"/>
  <c r="X255" i="4"/>
  <c r="Y255" i="4"/>
  <c r="Z255" i="4"/>
  <c r="AA255" i="4"/>
  <c r="AC255" i="4"/>
  <c r="AK255" i="4"/>
  <c r="V256" i="4"/>
  <c r="AA256" i="4"/>
  <c r="AC256" i="4"/>
  <c r="AK256" i="4"/>
  <c r="X256" i="4"/>
  <c r="Y256" i="4"/>
  <c r="Z256" i="4"/>
  <c r="V196" i="4"/>
  <c r="X196" i="4"/>
  <c r="Y196" i="4"/>
  <c r="Z196" i="4"/>
  <c r="V197" i="4"/>
  <c r="X197" i="4"/>
  <c r="Y197" i="4"/>
  <c r="Z197" i="4"/>
  <c r="V198" i="4"/>
  <c r="X198" i="4"/>
  <c r="Y198" i="4"/>
  <c r="Z198" i="4"/>
  <c r="V150" i="4"/>
  <c r="AA150" i="4"/>
  <c r="AC150" i="4"/>
  <c r="AK150" i="4"/>
  <c r="X150" i="4"/>
  <c r="Y150" i="4"/>
  <c r="Z150" i="4"/>
  <c r="V133" i="4"/>
  <c r="X133" i="4"/>
  <c r="Y133" i="4"/>
  <c r="Z133" i="4"/>
  <c r="V485" i="4"/>
  <c r="X485" i="4"/>
  <c r="Y485" i="4"/>
  <c r="Z485" i="4"/>
  <c r="V486" i="4"/>
  <c r="X486" i="4"/>
  <c r="Y486" i="4"/>
  <c r="AA486" i="4"/>
  <c r="AC486" i="4"/>
  <c r="AK486" i="4"/>
  <c r="Z486" i="4"/>
  <c r="V111" i="4"/>
  <c r="X111" i="4"/>
  <c r="Y111" i="4"/>
  <c r="AA111" i="4"/>
  <c r="AC111" i="4"/>
  <c r="AK111" i="4"/>
  <c r="Z111" i="4"/>
  <c r="V112" i="4"/>
  <c r="X112" i="4"/>
  <c r="AA112" i="4"/>
  <c r="AC112" i="4"/>
  <c r="AK112" i="4"/>
  <c r="Y112" i="4"/>
  <c r="Z112" i="4"/>
  <c r="V8" i="4"/>
  <c r="X8" i="4"/>
  <c r="Y8" i="4"/>
  <c r="Z8" i="4"/>
  <c r="V9" i="4"/>
  <c r="X9" i="4"/>
  <c r="Y9" i="4"/>
  <c r="Z9" i="4"/>
  <c r="V199" i="4"/>
  <c r="X199" i="4"/>
  <c r="Y199" i="4"/>
  <c r="Z199" i="4"/>
  <c r="AA199" i="4"/>
  <c r="AC199" i="4"/>
  <c r="AK199" i="4"/>
  <c r="V200" i="4"/>
  <c r="X200" i="4"/>
  <c r="Y200" i="4"/>
  <c r="AA200" i="4"/>
  <c r="AC200" i="4"/>
  <c r="AK200" i="4"/>
  <c r="Z200" i="4"/>
  <c r="V201" i="4"/>
  <c r="X201" i="4"/>
  <c r="Y201" i="4"/>
  <c r="Z201" i="4"/>
  <c r="V77" i="4"/>
  <c r="X77" i="4"/>
  <c r="Y77" i="4"/>
  <c r="Z77" i="4"/>
  <c r="V217" i="4"/>
  <c r="X217" i="4"/>
  <c r="Y217" i="4"/>
  <c r="Z217" i="4"/>
  <c r="V202" i="4"/>
  <c r="AA202" i="4"/>
  <c r="AC202" i="4"/>
  <c r="AK202" i="4"/>
  <c r="X202" i="4"/>
  <c r="Y202" i="4"/>
  <c r="Z202" i="4"/>
  <c r="V505" i="4"/>
  <c r="X505" i="4"/>
  <c r="Y505" i="4"/>
  <c r="Z505" i="4"/>
  <c r="V218" i="4"/>
  <c r="AA218" i="4"/>
  <c r="AC218" i="4"/>
  <c r="AK218" i="4"/>
  <c r="X218" i="4"/>
  <c r="Y218" i="4"/>
  <c r="Z218" i="4"/>
  <c r="V382" i="4"/>
  <c r="X382" i="4"/>
  <c r="Y382" i="4"/>
  <c r="Z382" i="4"/>
  <c r="V257" i="4"/>
  <c r="AA257" i="4"/>
  <c r="AC257" i="4"/>
  <c r="AK257" i="4"/>
  <c r="X257" i="4"/>
  <c r="Y257" i="4"/>
  <c r="Z257" i="4"/>
  <c r="V151" i="4"/>
  <c r="X151" i="4"/>
  <c r="Y151" i="4"/>
  <c r="AA151" i="4"/>
  <c r="AC151" i="4"/>
  <c r="AK151" i="4"/>
  <c r="Z151" i="4"/>
  <c r="V262" i="4"/>
  <c r="X262" i="4"/>
  <c r="AA262" i="4"/>
  <c r="AC262" i="4"/>
  <c r="AK262" i="4"/>
  <c r="Y262" i="4"/>
  <c r="Z262" i="4"/>
  <c r="V263" i="4"/>
  <c r="AA263" i="4"/>
  <c r="AC263" i="4"/>
  <c r="AK263" i="4"/>
  <c r="X263" i="4"/>
  <c r="Y263" i="4"/>
  <c r="Z263" i="4"/>
  <c r="V264" i="4"/>
  <c r="X264" i="4"/>
  <c r="Y264" i="4"/>
  <c r="AA264" i="4"/>
  <c r="AC264" i="4"/>
  <c r="AK264" i="4"/>
  <c r="Z264" i="4"/>
  <c r="V63" i="4"/>
  <c r="X63" i="4"/>
  <c r="Y63" i="4"/>
  <c r="Z63" i="4"/>
  <c r="AA398" i="4"/>
  <c r="AC398" i="4"/>
  <c r="AK398" i="4"/>
  <c r="AA416" i="4"/>
  <c r="AC416" i="4"/>
  <c r="AK416" i="4"/>
  <c r="AA433" i="4"/>
  <c r="AC433" i="4"/>
  <c r="AK433" i="4"/>
  <c r="AA169" i="4"/>
  <c r="AC169" i="4"/>
  <c r="AK169" i="4"/>
  <c r="AA54" i="4"/>
  <c r="AC54" i="4"/>
  <c r="AK54" i="4"/>
  <c r="AA37" i="4"/>
  <c r="AC37" i="4"/>
  <c r="AK37" i="4"/>
  <c r="AA425" i="4"/>
  <c r="AC425" i="4"/>
  <c r="AK425" i="4"/>
  <c r="AA424" i="4"/>
  <c r="AC424" i="4"/>
  <c r="AK424" i="4"/>
  <c r="AA403" i="4"/>
  <c r="AC403" i="4"/>
  <c r="AK403" i="4"/>
  <c r="AA342" i="4"/>
  <c r="AC342" i="4"/>
  <c r="AK342" i="4"/>
  <c r="AA406" i="4"/>
  <c r="AC406" i="4"/>
  <c r="AK406" i="4"/>
  <c r="AA375" i="4"/>
  <c r="AC375" i="4"/>
  <c r="AK375" i="4"/>
  <c r="AA437" i="4"/>
  <c r="AC437" i="4"/>
  <c r="AK437" i="4"/>
  <c r="AA391" i="4"/>
  <c r="AC391" i="4"/>
  <c r="AK391" i="4"/>
  <c r="AA332" i="4"/>
  <c r="AC332" i="4"/>
  <c r="AK332" i="4"/>
  <c r="AA226" i="4"/>
  <c r="AC226" i="4"/>
  <c r="AK226" i="4"/>
  <c r="AA516" i="4"/>
  <c r="AC516" i="4"/>
  <c r="AK516" i="4"/>
  <c r="AA411" i="4"/>
  <c r="AC411" i="4"/>
  <c r="AK411" i="4"/>
  <c r="AA224" i="4"/>
  <c r="AC224" i="4"/>
  <c r="AK224" i="4"/>
  <c r="AA352" i="4"/>
  <c r="AC352" i="4"/>
  <c r="AK352" i="4"/>
  <c r="AA533" i="4"/>
  <c r="AC533" i="4"/>
  <c r="AK533" i="4"/>
  <c r="AA258" i="4"/>
  <c r="AC258" i="4"/>
  <c r="AK258" i="4"/>
  <c r="AA205" i="4"/>
  <c r="AC205" i="4"/>
  <c r="AK205" i="4"/>
  <c r="AA333" i="4"/>
  <c r="AC333" i="4"/>
  <c r="AK333" i="4"/>
  <c r="AA243" i="4"/>
  <c r="AC243" i="4"/>
  <c r="AK243" i="4"/>
  <c r="AA428" i="4"/>
  <c r="AC428" i="4"/>
  <c r="AK428" i="4"/>
  <c r="AA9" i="4"/>
  <c r="AC9" i="4"/>
  <c r="AK9" i="4"/>
  <c r="AA253" i="4"/>
  <c r="AC253" i="4"/>
  <c r="AK253" i="4"/>
  <c r="AA15" i="4"/>
  <c r="AC15" i="4"/>
  <c r="AK15" i="4"/>
  <c r="AA514" i="4"/>
  <c r="AC514" i="4"/>
  <c r="AK514" i="4"/>
  <c r="AA165" i="4"/>
  <c r="AC165" i="4"/>
  <c r="AK165" i="4"/>
  <c r="AA488" i="4"/>
  <c r="AC488" i="4"/>
  <c r="AK488" i="4"/>
  <c r="AA39" i="4"/>
  <c r="AC39" i="4"/>
  <c r="AK39" i="4"/>
  <c r="AA311" i="4"/>
  <c r="AC311" i="4"/>
  <c r="AK311" i="4"/>
  <c r="AA91" i="4"/>
  <c r="AC91" i="4"/>
  <c r="AK91" i="4"/>
  <c r="AA18" i="4"/>
  <c r="AC18" i="4"/>
  <c r="AK18" i="4"/>
  <c r="AA287" i="4"/>
  <c r="AC287" i="4"/>
  <c r="AK287" i="4"/>
  <c r="AA273" i="4"/>
  <c r="AC273" i="4"/>
  <c r="AK273" i="4"/>
  <c r="AA295" i="4"/>
  <c r="AC295" i="4"/>
  <c r="AK295" i="4"/>
  <c r="AA306" i="4"/>
  <c r="AC306" i="4"/>
  <c r="AK306" i="4"/>
  <c r="AA21" i="4"/>
  <c r="AC21" i="4"/>
  <c r="AK21" i="4"/>
  <c r="AA141" i="4"/>
  <c r="AC141" i="4"/>
  <c r="AK141" i="4"/>
  <c r="AA430" i="4"/>
  <c r="AC430" i="4"/>
  <c r="AK430" i="4"/>
  <c r="AA349" i="4"/>
  <c r="AC349" i="4"/>
  <c r="AK349" i="4"/>
  <c r="AA279" i="4"/>
  <c r="AC279" i="4"/>
  <c r="AK279" i="4"/>
  <c r="AA485" i="4"/>
  <c r="AC485" i="4"/>
  <c r="AK485" i="4"/>
  <c r="AA209" i="4"/>
  <c r="AC209" i="4"/>
  <c r="AK209" i="4"/>
  <c r="AA203" i="4"/>
  <c r="AC203" i="4"/>
  <c r="AK203" i="4"/>
  <c r="AA78" i="4"/>
  <c r="AC78" i="4"/>
  <c r="AK78" i="4"/>
  <c r="AA68" i="4"/>
  <c r="AC68" i="4"/>
  <c r="AK68" i="4"/>
  <c r="AA142" i="4"/>
  <c r="AC142" i="4"/>
  <c r="AK142" i="4"/>
  <c r="AA317" i="4"/>
  <c r="AC317" i="4"/>
  <c r="AK317" i="4"/>
  <c r="AA382" i="4"/>
  <c r="AC382" i="4"/>
  <c r="AK382" i="4"/>
  <c r="AA356" i="4"/>
  <c r="AC356" i="4"/>
  <c r="AK356" i="4"/>
  <c r="AA481" i="4"/>
  <c r="AC481" i="4"/>
  <c r="AK481" i="4"/>
  <c r="AA388" i="4"/>
  <c r="AC388" i="4"/>
  <c r="AK388" i="4"/>
  <c r="AA412" i="4"/>
  <c r="AC412" i="4"/>
  <c r="AK412" i="4"/>
  <c r="AA396" i="4"/>
  <c r="AC396" i="4"/>
  <c r="AK396" i="4"/>
  <c r="AA534" i="4"/>
  <c r="AC534" i="4"/>
  <c r="AK534" i="4"/>
  <c r="AA527" i="4"/>
  <c r="AC527" i="4"/>
  <c r="AK527" i="4"/>
  <c r="AA197" i="4"/>
  <c r="AC197" i="4"/>
  <c r="AK197" i="4"/>
  <c r="AA219" i="4"/>
  <c r="AC219" i="4"/>
  <c r="AK219" i="4"/>
  <c r="AA490" i="4"/>
  <c r="AC490" i="4"/>
  <c r="AK490" i="4"/>
  <c r="AA353" i="4"/>
  <c r="AC353" i="4"/>
  <c r="AK353" i="4"/>
  <c r="AA40" i="4"/>
  <c r="AC40" i="4"/>
  <c r="AK40" i="4"/>
  <c r="AA153" i="4"/>
  <c r="AC153" i="4"/>
  <c r="AK153" i="4"/>
  <c r="AA156" i="4"/>
  <c r="AC156" i="4"/>
  <c r="AK156" i="4"/>
  <c r="AA285" i="4"/>
  <c r="AC285" i="4"/>
  <c r="AK285" i="4"/>
  <c r="AA512" i="4"/>
  <c r="AC512" i="4"/>
  <c r="AK512" i="4"/>
  <c r="AA409" i="4"/>
  <c r="AC409" i="4"/>
  <c r="AK409" i="4"/>
  <c r="AA17" i="4"/>
  <c r="AC17" i="4"/>
  <c r="AK17" i="4"/>
  <c r="AA408" i="4"/>
  <c r="AC408" i="4"/>
  <c r="AK408" i="4"/>
  <c r="AA80" i="4"/>
  <c r="AC80" i="4"/>
  <c r="AK80" i="4"/>
  <c r="AA77" i="4"/>
  <c r="AC77" i="4"/>
  <c r="AK77" i="4"/>
  <c r="AA177" i="4"/>
  <c r="AC177" i="4"/>
  <c r="AK177" i="4"/>
  <c r="AA29" i="4"/>
  <c r="AC29" i="4"/>
  <c r="AK29" i="4"/>
  <c r="AA446" i="4"/>
  <c r="AC446" i="4"/>
  <c r="AK446" i="4"/>
  <c r="AA290" i="4"/>
  <c r="AC290" i="4"/>
  <c r="AK290" i="4"/>
  <c r="AA33" i="4"/>
  <c r="AC33" i="4"/>
  <c r="AK33" i="4"/>
  <c r="AA166" i="4"/>
  <c r="AC166" i="4"/>
  <c r="AK166" i="4"/>
  <c r="AA379" i="4"/>
  <c r="AC379" i="4"/>
  <c r="AK379" i="4"/>
  <c r="AA247" i="4"/>
  <c r="AC247" i="4"/>
  <c r="AK247" i="4"/>
  <c r="AA438" i="4"/>
  <c r="AC438" i="4"/>
  <c r="AK438" i="4"/>
  <c r="AA435" i="4"/>
  <c r="AC435" i="4"/>
  <c r="AK435" i="4"/>
  <c r="AA293" i="4"/>
  <c r="AC293" i="4"/>
  <c r="AK293" i="4"/>
  <c r="AA160" i="4"/>
  <c r="AC160" i="4"/>
  <c r="AK160" i="4"/>
  <c r="AA301" i="4"/>
  <c r="AC301" i="4"/>
  <c r="AK301" i="4"/>
  <c r="AA299" i="4"/>
  <c r="AC299" i="4"/>
  <c r="AK299" i="4"/>
  <c r="AA272" i="4"/>
  <c r="AC272" i="4"/>
  <c r="AK272" i="4"/>
  <c r="AA87" i="4"/>
  <c r="AC87" i="4"/>
  <c r="AK87" i="4"/>
  <c r="AA161" i="4"/>
  <c r="AC161" i="4"/>
  <c r="AK161" i="4"/>
  <c r="AA526" i="4"/>
  <c r="AC526" i="4"/>
  <c r="AK526" i="4"/>
  <c r="AA315" i="4"/>
  <c r="AC315" i="4"/>
  <c r="AK315" i="4"/>
  <c r="AA26" i="4"/>
  <c r="AC26" i="4"/>
  <c r="AK26" i="4"/>
  <c r="AA268" i="4"/>
  <c r="AC268" i="4"/>
  <c r="AK268" i="4"/>
  <c r="AA227" i="4"/>
  <c r="AC227" i="4"/>
  <c r="AK227" i="4"/>
  <c r="AA240" i="4"/>
  <c r="AC240" i="4"/>
  <c r="AK240" i="4"/>
  <c r="AA198" i="4"/>
  <c r="AC198" i="4"/>
  <c r="AK198" i="4"/>
  <c r="AA7" i="4"/>
  <c r="AC7" i="4"/>
  <c r="AK7" i="4"/>
  <c r="AA242" i="4"/>
  <c r="AC242" i="4"/>
  <c r="AK242" i="4"/>
  <c r="AA221" i="4"/>
  <c r="AC221" i="4"/>
  <c r="AK221" i="4"/>
  <c r="AA168" i="4"/>
  <c r="AC168" i="4"/>
  <c r="AK168" i="4"/>
  <c r="AA164" i="4"/>
  <c r="AC164" i="4"/>
  <c r="AK164" i="4"/>
  <c r="AA535" i="4"/>
  <c r="AC535" i="4"/>
  <c r="AK535" i="4"/>
  <c r="AA494" i="4"/>
  <c r="AC494" i="4"/>
  <c r="AK494" i="4"/>
  <c r="AA207" i="4"/>
  <c r="AC207" i="4"/>
  <c r="AK207" i="4"/>
  <c r="AA232" i="4"/>
  <c r="AC232" i="4"/>
  <c r="AK232" i="4"/>
  <c r="AA359" i="4"/>
  <c r="AC359" i="4"/>
  <c r="AK359" i="4"/>
  <c r="AA251" i="4"/>
  <c r="AC251" i="4"/>
  <c r="AK251" i="4"/>
  <c r="AA397" i="4"/>
  <c r="AC397" i="4"/>
  <c r="AK397" i="4"/>
  <c r="AA140" i="4"/>
  <c r="AC140" i="4"/>
  <c r="AK140" i="4"/>
  <c r="AA376" i="4"/>
  <c r="AC376" i="4"/>
  <c r="AK376" i="4"/>
  <c r="AA468" i="4"/>
  <c r="AC468" i="4"/>
  <c r="AK468" i="4"/>
  <c r="AA235" i="4"/>
  <c r="AC235" i="4"/>
  <c r="AK235" i="4"/>
  <c r="AA340" i="4"/>
  <c r="AC340" i="4"/>
  <c r="AK340" i="4"/>
  <c r="AA474" i="4"/>
  <c r="AC474" i="4"/>
  <c r="AK474" i="4"/>
  <c r="AA472" i="4"/>
  <c r="AC472" i="4"/>
  <c r="AK472" i="4"/>
  <c r="AA528" i="4"/>
  <c r="AC528" i="4"/>
  <c r="AK528" i="4"/>
  <c r="AA82" i="4"/>
  <c r="AC82" i="4"/>
  <c r="AK82" i="4"/>
  <c r="AA188" i="4"/>
  <c r="AC188" i="4"/>
  <c r="AK188" i="4"/>
  <c r="AA230" i="4"/>
  <c r="AC230" i="4"/>
  <c r="AK230" i="4"/>
  <c r="AA98" i="4"/>
  <c r="AC98" i="4"/>
  <c r="AK98" i="4"/>
  <c r="AA69" i="4"/>
  <c r="AC69" i="4"/>
  <c r="AK69" i="4"/>
  <c r="AA463" i="4"/>
  <c r="AC463" i="4"/>
  <c r="AK463" i="4"/>
  <c r="AA63" i="4"/>
  <c r="AC63" i="4"/>
  <c r="AK63" i="4"/>
  <c r="AA133" i="4"/>
  <c r="AC133" i="4"/>
  <c r="AK133" i="4"/>
  <c r="AA465" i="4"/>
  <c r="AC465" i="4"/>
  <c r="AK465" i="4"/>
  <c r="AA186" i="4"/>
  <c r="AC186" i="4"/>
  <c r="AK186" i="4"/>
  <c r="AA214" i="4"/>
  <c r="AC214" i="4"/>
  <c r="AK214" i="4"/>
  <c r="AA343" i="4"/>
  <c r="AC343" i="4"/>
  <c r="AK343" i="4"/>
  <c r="AA45" i="4"/>
  <c r="AC45" i="4"/>
  <c r="AK45" i="4"/>
  <c r="AA431" i="4"/>
  <c r="AC431" i="4"/>
  <c r="AK431" i="4"/>
  <c r="AA510" i="4"/>
  <c r="AC510" i="4"/>
  <c r="AK510" i="4"/>
  <c r="AA507" i="4"/>
  <c r="AC507" i="4"/>
  <c r="AK507" i="4"/>
  <c r="AA132" i="4"/>
  <c r="AC132" i="4"/>
  <c r="AK132" i="4"/>
  <c r="AA367" i="4"/>
  <c r="AC367" i="4"/>
  <c r="AK367" i="4"/>
  <c r="AA56" i="4"/>
  <c r="AC56" i="4"/>
  <c r="AK56" i="4"/>
  <c r="AA459" i="4"/>
  <c r="AC459" i="4"/>
  <c r="AK459" i="4"/>
  <c r="AA378" i="4"/>
  <c r="AC378" i="4"/>
  <c r="AK378" i="4"/>
  <c r="AA246" i="4"/>
  <c r="AC246" i="4"/>
  <c r="AK246" i="4"/>
  <c r="AA313" i="4"/>
  <c r="AC313" i="4"/>
  <c r="AK313" i="4"/>
  <c r="AA88" i="4"/>
  <c r="AC88" i="4"/>
  <c r="AK88" i="4"/>
  <c r="AA508" i="4"/>
  <c r="AC508" i="4"/>
  <c r="AK508" i="4"/>
  <c r="AA110" i="4"/>
  <c r="AC110" i="4"/>
  <c r="AK110" i="4"/>
  <c r="AA16" i="4"/>
  <c r="AC16" i="4"/>
  <c r="AK16" i="4"/>
  <c r="AA14" i="4"/>
  <c r="AC14" i="4"/>
  <c r="AK14" i="4"/>
  <c r="AA385" i="4"/>
  <c r="AC385" i="4"/>
  <c r="AK385" i="4"/>
  <c r="AA476" i="4"/>
  <c r="AC476" i="4"/>
  <c r="AK476" i="4"/>
  <c r="AA66" i="4"/>
  <c r="AC66" i="4"/>
  <c r="AK66" i="4"/>
  <c r="AA362" i="4"/>
  <c r="AC362" i="4"/>
  <c r="AK362" i="4"/>
  <c r="AA443" i="4"/>
  <c r="AC443" i="4"/>
  <c r="AK443" i="4"/>
  <c r="AA440" i="4"/>
  <c r="AC440" i="4"/>
  <c r="AK440" i="4"/>
  <c r="AA139" i="4"/>
  <c r="AC139" i="4"/>
  <c r="AK139" i="4"/>
  <c r="AA213" i="4"/>
  <c r="AC213" i="4"/>
  <c r="AK213" i="4"/>
  <c r="AA123" i="4"/>
  <c r="AC123" i="4"/>
  <c r="AK123" i="4"/>
  <c r="AA244" i="4"/>
  <c r="AC244" i="4"/>
  <c r="AK244" i="4"/>
  <c r="AA49" i="4"/>
  <c r="AC49" i="4"/>
  <c r="AK49" i="4"/>
  <c r="AA46" i="4"/>
  <c r="AC46" i="4"/>
  <c r="AK46" i="4"/>
  <c r="AA523" i="4"/>
  <c r="AC523" i="4"/>
  <c r="AK523" i="4"/>
  <c r="AA310" i="4"/>
  <c r="AC310" i="4"/>
  <c r="AK310" i="4"/>
  <c r="AA420" i="4"/>
  <c r="AC420" i="4"/>
  <c r="AK420" i="4"/>
  <c r="AA309" i="4"/>
  <c r="AC309" i="4"/>
  <c r="AK309" i="4"/>
  <c r="AA525" i="4"/>
  <c r="AC525" i="4"/>
  <c r="AK525" i="4"/>
  <c r="AA328" i="4"/>
  <c r="AC328" i="4"/>
  <c r="AK328" i="4"/>
  <c r="AA27" i="4"/>
  <c r="AC27" i="4"/>
  <c r="AK27" i="4"/>
  <c r="AA25" i="4"/>
  <c r="AC25" i="4"/>
  <c r="AK25" i="4"/>
  <c r="AA307" i="4"/>
  <c r="AC307" i="4"/>
  <c r="AK307" i="4"/>
  <c r="AA304" i="4"/>
  <c r="AC304" i="4"/>
  <c r="AK304" i="4"/>
  <c r="AA298" i="4"/>
  <c r="AC298" i="4"/>
  <c r="AK298" i="4"/>
  <c r="AA294" i="4"/>
  <c r="AC294" i="4"/>
  <c r="AK294" i="4"/>
  <c r="AA291" i="4"/>
  <c r="AC291" i="4"/>
  <c r="AK291" i="4"/>
  <c r="AA288" i="4"/>
  <c r="AC288" i="4"/>
  <c r="AK288" i="4"/>
  <c r="AA282" i="4"/>
  <c r="AC282" i="4"/>
  <c r="AK282" i="4"/>
  <c r="AA278" i="4"/>
  <c r="AC278" i="4"/>
  <c r="AK278" i="4"/>
  <c r="AA275" i="4"/>
  <c r="AC275" i="4"/>
  <c r="AK275" i="4"/>
  <c r="AA269" i="4"/>
  <c r="AC269" i="4"/>
  <c r="AK269" i="4"/>
  <c r="AA371" i="4"/>
  <c r="AC371" i="4"/>
  <c r="AK371" i="4"/>
  <c r="AA231" i="4"/>
  <c r="AC231" i="4"/>
  <c r="AK231" i="4"/>
  <c r="AA239" i="4"/>
  <c r="AC239" i="4"/>
  <c r="AK239" i="4"/>
  <c r="AA452" i="4"/>
  <c r="AC452" i="4"/>
  <c r="AK452" i="4"/>
  <c r="AA60" i="4"/>
  <c r="AC60" i="4"/>
  <c r="AK60" i="4"/>
  <c r="AA83" i="4"/>
  <c r="AC83" i="4"/>
  <c r="AK83" i="4"/>
  <c r="AA448" i="4"/>
  <c r="AC448" i="4"/>
  <c r="AK448" i="4"/>
  <c r="AA410" i="4"/>
  <c r="AC410" i="4"/>
  <c r="AK410" i="4"/>
  <c r="AA314" i="4"/>
  <c r="AC314" i="4"/>
  <c r="AK314" i="4"/>
  <c r="AA57" i="4"/>
  <c r="AC57" i="4"/>
  <c r="AK57" i="4"/>
  <c r="AA505" i="4"/>
  <c r="AC505" i="4"/>
  <c r="AK505" i="4"/>
  <c r="AA95" i="4"/>
  <c r="AC95" i="4"/>
  <c r="AK95" i="4"/>
  <c r="AA102" i="4"/>
  <c r="AC102" i="4"/>
  <c r="AK102" i="4"/>
  <c r="AA187" i="4"/>
  <c r="AC187" i="4"/>
  <c r="AK187" i="4"/>
  <c r="AA108" i="4"/>
  <c r="AC108" i="4"/>
  <c r="AK108" i="4"/>
  <c r="AA105" i="4"/>
  <c r="AC105" i="4"/>
  <c r="AK105" i="4"/>
  <c r="AA421" i="4"/>
  <c r="AC421" i="4"/>
  <c r="AK421" i="4"/>
  <c r="AA381" i="4"/>
  <c r="AC381" i="4"/>
  <c r="AK381" i="4"/>
  <c r="AA109" i="4"/>
  <c r="AC109" i="4"/>
  <c r="AK109" i="4"/>
  <c r="AA131" i="4"/>
  <c r="AC131" i="4"/>
  <c r="AK131" i="4"/>
  <c r="AA107" i="4"/>
  <c r="AC107" i="4"/>
  <c r="AK107" i="4"/>
  <c r="AA366" i="4"/>
  <c r="AC366" i="4"/>
  <c r="AK366" i="4"/>
  <c r="AA81" i="4"/>
  <c r="AC81" i="4"/>
  <c r="AK81" i="4"/>
  <c r="AA444" i="4"/>
  <c r="AC444" i="4"/>
  <c r="AK444" i="4"/>
  <c r="AA442" i="4"/>
  <c r="AC442" i="4"/>
  <c r="AK442" i="4"/>
  <c r="AA125" i="4"/>
  <c r="AC125" i="4"/>
  <c r="AK125" i="4"/>
  <c r="AA124" i="4"/>
  <c r="AC124" i="4"/>
  <c r="AK124" i="4"/>
  <c r="AA178" i="4"/>
  <c r="AC178" i="4"/>
  <c r="AK178" i="4"/>
  <c r="AA152" i="4"/>
  <c r="AC152" i="4"/>
  <c r="AK152" i="4"/>
  <c r="AA50" i="4"/>
  <c r="AC50" i="4"/>
  <c r="AK50" i="4"/>
  <c r="AA47" i="4"/>
  <c r="AC47" i="4"/>
  <c r="AK47" i="4"/>
  <c r="AA520" i="4"/>
  <c r="AC520" i="4"/>
  <c r="AK520" i="4"/>
  <c r="AA519" i="4"/>
  <c r="AC519" i="4"/>
  <c r="AK519" i="4"/>
  <c r="AA521" i="4"/>
  <c r="AC521" i="4"/>
  <c r="AK521" i="4"/>
  <c r="AA312" i="4"/>
  <c r="AC312" i="4"/>
  <c r="AK312" i="4"/>
  <c r="AA145" i="4"/>
  <c r="AC145" i="4"/>
  <c r="AK145" i="4"/>
  <c r="AA387" i="4"/>
  <c r="AC387" i="4"/>
  <c r="AK387" i="4"/>
  <c r="AA28" i="4"/>
  <c r="AC28" i="4"/>
  <c r="AK28" i="4"/>
  <c r="AA24" i="4"/>
  <c r="AC24" i="4"/>
  <c r="AK24" i="4"/>
  <c r="AA305" i="4"/>
  <c r="AC305" i="4"/>
  <c r="AK305" i="4"/>
  <c r="AA303" i="4"/>
  <c r="AC303" i="4"/>
  <c r="AK303" i="4"/>
  <c r="AA302" i="4"/>
  <c r="AC302" i="4"/>
  <c r="AK302" i="4"/>
  <c r="AA292" i="4"/>
  <c r="AC292" i="4"/>
  <c r="AK292" i="4"/>
  <c r="AA289" i="4"/>
  <c r="AC289" i="4"/>
  <c r="AK289" i="4"/>
  <c r="AA286" i="4"/>
  <c r="AC286" i="4"/>
  <c r="AK286" i="4"/>
  <c r="AA283" i="4"/>
  <c r="AC283" i="4"/>
  <c r="AK283" i="4"/>
  <c r="AA276" i="4"/>
  <c r="AC276" i="4"/>
  <c r="AK276" i="4"/>
  <c r="AA270" i="4"/>
  <c r="AC270" i="4"/>
  <c r="AK270" i="4"/>
  <c r="AA373" i="4"/>
  <c r="AC373" i="4"/>
  <c r="AK373" i="4"/>
  <c r="AA372" i="4"/>
  <c r="AC372" i="4"/>
  <c r="AK372" i="4"/>
  <c r="AA432" i="4"/>
  <c r="AC432" i="4"/>
  <c r="AK432" i="4"/>
  <c r="AA195" i="4"/>
  <c r="AC195" i="4"/>
  <c r="AK195" i="4"/>
  <c r="AA85" i="4"/>
  <c r="AC85" i="4"/>
  <c r="AK85" i="4"/>
  <c r="AA126" i="4"/>
  <c r="AC126" i="4"/>
  <c r="AK126" i="4"/>
  <c r="AA193" i="4"/>
  <c r="AC193" i="4"/>
  <c r="AK193" i="4"/>
  <c r="AA196" i="4"/>
  <c r="AC196" i="4"/>
  <c r="AK196" i="4"/>
  <c r="AA238" i="4"/>
  <c r="AC238" i="4"/>
  <c r="AK238" i="4"/>
  <c r="AA157" i="4"/>
  <c r="AC157" i="4"/>
  <c r="AK157" i="4"/>
  <c r="AA159" i="4"/>
  <c r="AC159" i="4"/>
  <c r="AK159" i="4"/>
  <c r="AA357" i="4"/>
  <c r="AC357" i="4"/>
  <c r="AK357" i="4"/>
  <c r="AA53" i="4"/>
  <c r="AC53" i="4"/>
  <c r="AK53" i="4"/>
  <c r="AA64" i="4"/>
  <c r="AC64" i="4"/>
  <c r="AK64" i="4"/>
  <c r="AA217" i="4"/>
  <c r="AC217" i="4"/>
  <c r="AK217" i="4"/>
  <c r="AA365" i="4"/>
  <c r="AC365" i="4"/>
  <c r="AK365" i="4"/>
  <c r="AA149" i="4"/>
  <c r="AC149" i="4"/>
  <c r="AK149" i="4"/>
  <c r="AA234" i="4"/>
  <c r="AC234" i="4"/>
  <c r="AK234" i="4"/>
  <c r="AA185" i="4"/>
  <c r="AC185" i="4"/>
  <c r="AK185" i="4"/>
  <c r="AA84" i="4"/>
  <c r="AC84" i="4"/>
  <c r="AK84" i="4"/>
  <c r="AA451" i="4"/>
  <c r="AC451" i="4"/>
  <c r="AK451" i="4"/>
  <c r="AA377" i="4"/>
  <c r="AC377" i="4"/>
  <c r="AK377" i="4"/>
  <c r="AA466" i="4"/>
  <c r="AC466" i="4"/>
  <c r="AK466" i="4"/>
  <c r="AA52" i="4"/>
  <c r="AC52" i="4"/>
  <c r="AK52" i="4"/>
  <c r="AA181" i="4"/>
  <c r="AC181" i="4"/>
  <c r="AK181" i="4"/>
  <c r="AA248" i="4"/>
  <c r="AC248" i="4"/>
  <c r="AK248" i="4"/>
  <c r="AA12" i="4"/>
  <c r="AC12" i="4"/>
  <c r="AK12" i="4"/>
  <c r="AA127" i="4"/>
  <c r="AC127" i="4"/>
  <c r="AK127" i="4"/>
  <c r="AA163" i="4"/>
  <c r="AC163" i="4"/>
  <c r="AK163" i="4"/>
  <c r="AA154" i="4"/>
  <c r="AC154" i="4"/>
  <c r="AK154" i="4"/>
  <c r="AA445" i="4"/>
  <c r="AC445" i="4"/>
  <c r="AK445" i="4"/>
  <c r="AA245" i="4"/>
  <c r="AC245" i="4"/>
  <c r="AK245" i="4"/>
  <c r="AA334" i="4"/>
  <c r="AC334" i="4"/>
  <c r="AK334" i="4"/>
  <c r="AA423" i="4"/>
  <c r="AC423" i="4"/>
  <c r="AK423" i="4"/>
  <c r="AA326" i="4"/>
  <c r="AC326" i="4"/>
  <c r="AK326" i="4"/>
  <c r="AA296" i="4"/>
  <c r="AC296" i="4"/>
  <c r="AK296" i="4"/>
  <c r="AA280" i="4"/>
  <c r="AC280" i="4"/>
  <c r="AK280" i="4"/>
  <c r="AA277" i="4"/>
  <c r="AC277" i="4"/>
  <c r="AK277" i="4"/>
  <c r="AA492" i="4"/>
  <c r="AC492" i="4"/>
  <c r="AK492" i="4"/>
  <c r="AA8" i="4"/>
  <c r="AC8" i="4"/>
  <c r="AK8" i="4"/>
  <c r="AA483" i="4"/>
  <c r="AC483" i="4"/>
  <c r="AK483" i="4"/>
  <c r="AA530" i="4"/>
  <c r="AC530" i="4"/>
  <c r="AK530" i="4"/>
  <c r="AA241" i="4"/>
  <c r="AC241" i="4"/>
  <c r="AK241" i="4"/>
  <c r="AA380" i="4"/>
  <c r="AC380" i="4"/>
  <c r="AK380" i="4"/>
  <c r="AA183" i="4"/>
  <c r="AC183" i="4"/>
  <c r="AK183" i="4"/>
  <c r="AA59" i="4"/>
  <c r="AC59" i="4"/>
  <c r="AK59" i="4"/>
  <c r="AA182" i="4"/>
  <c r="AC182" i="4"/>
  <c r="AK182" i="4"/>
  <c r="AA447" i="4"/>
  <c r="AC447" i="4"/>
  <c r="AK447" i="4"/>
  <c r="AA201" i="4"/>
  <c r="AC201" i="4"/>
  <c r="AK201" i="4"/>
  <c r="AA30" i="4"/>
  <c r="AC30" i="4"/>
  <c r="AK30" i="4"/>
  <c r="AA71" i="4"/>
  <c r="AC71" i="4"/>
  <c r="AK71" i="4"/>
  <c r="AA455" i="4"/>
  <c r="AC455" i="4"/>
  <c r="AK455" i="4"/>
  <c r="AA215" i="4"/>
  <c r="AC215" i="4"/>
  <c r="AK215" i="4"/>
  <c r="AA191" i="4"/>
  <c r="AC191" i="4"/>
  <c r="AK191" i="4"/>
  <c r="AA458" i="4"/>
  <c r="AC458" i="4"/>
  <c r="AK458" i="4"/>
  <c r="AA86" i="4"/>
  <c r="AC86" i="4"/>
  <c r="AK86" i="4"/>
  <c r="AA267" i="4"/>
  <c r="AC267" i="4"/>
  <c r="AK267" i="4"/>
  <c r="AA453" i="4"/>
  <c r="AC453" i="4"/>
  <c r="AK453" i="4"/>
  <c r="AA180" i="4"/>
  <c r="AC180" i="4"/>
  <c r="AK180" i="4"/>
  <c r="AA369" i="4"/>
  <c r="AC369" i="4"/>
  <c r="AK369" i="4"/>
  <c r="AA361" i="4"/>
  <c r="AC361" i="4"/>
  <c r="AK361" i="4"/>
  <c r="AA176" i="4"/>
  <c r="AC176" i="4"/>
  <c r="AK176" i="4"/>
  <c r="AA522" i="4"/>
  <c r="AC522" i="4"/>
  <c r="AK522" i="4"/>
  <c r="AA265" i="4"/>
  <c r="AC265" i="4"/>
  <c r="AK265" i="4"/>
  <c r="AA327" i="4"/>
  <c r="AC327" i="4"/>
  <c r="AK327" i="4"/>
  <c r="AA271" i="4"/>
  <c r="AC271" i="4"/>
  <c r="AK271" i="4"/>
  <c r="AA427" i="4"/>
  <c r="AC427" i="4"/>
  <c r="AK427" i="4"/>
  <c r="AA393" i="4"/>
  <c r="AC393" i="4"/>
  <c r="AK393" i="4"/>
  <c r="AA254" i="4"/>
  <c r="AC254" i="4"/>
  <c r="AK254" i="4"/>
  <c r="AA460" i="4"/>
  <c r="AC460" i="4"/>
  <c r="AK460" i="4"/>
  <c r="AA436" i="4"/>
  <c r="AC436" i="4"/>
  <c r="AK436" i="4"/>
  <c r="AA48" i="4"/>
  <c r="AC48" i="4"/>
  <c r="AK48" i="4"/>
  <c r="AA434" i="4"/>
  <c r="AC434" i="4"/>
  <c r="AK434" i="4"/>
  <c r="AA308" i="4"/>
  <c r="AC308" i="4"/>
  <c r="AK308" i="4"/>
  <c r="AA23" i="4"/>
  <c r="AC23" i="4"/>
  <c r="AK23" i="4"/>
  <c r="AA300" i="4"/>
  <c r="AC300" i="4"/>
  <c r="AK300" i="4"/>
  <c r="AA370" i="4"/>
  <c r="AC370" i="4"/>
  <c r="AK370" i="4"/>
  <c r="AA192" i="4"/>
  <c r="AC192" i="4"/>
  <c r="AK192" i="4"/>
  <c r="AA475" i="4"/>
  <c r="AC475" i="4"/>
  <c r="AK475" i="4"/>
  <c r="AA92" i="4"/>
  <c r="AC92" i="4"/>
  <c r="AK92" i="4"/>
  <c r="AA89" i="4"/>
  <c r="AC89" i="4"/>
  <c r="AK89" i="4"/>
  <c r="AA336" i="4"/>
  <c r="AC336" i="4"/>
  <c r="AK336" i="4"/>
  <c r="AA439" i="4"/>
  <c r="AC439" i="4"/>
  <c r="AK439" i="4"/>
  <c r="AA76" i="4"/>
  <c r="AC76" i="4"/>
  <c r="AK76" i="4"/>
  <c r="AA515" i="4"/>
  <c r="AC515" i="4"/>
  <c r="AK515" i="4"/>
</calcChain>
</file>

<file path=xl/comments1.xml><?xml version="1.0" encoding="utf-8"?>
<comments xmlns="http://schemas.openxmlformats.org/spreadsheetml/2006/main">
  <authors>
    <author/>
  </authors>
  <commentList>
    <comment ref="P2" authorId="0" shapeId="0">
      <text>
        <r>
          <rPr>
            <b/>
            <sz val="9"/>
            <color indexed="8"/>
            <rFont val="Times New Roman"/>
            <family val="1"/>
            <charset val="238"/>
          </rPr>
          <t>Osoby ku</t>
        </r>
      </text>
    </comment>
    <comment ref="Q2" authorId="0" shapeId="0">
      <text>
        <r>
          <rPr>
            <b/>
            <sz val="9"/>
            <color indexed="8"/>
            <rFont val="Times New Roman"/>
            <family val="1"/>
            <charset val="238"/>
          </rPr>
          <t>Osoby ku</t>
        </r>
      </text>
    </comment>
  </commentList>
</comments>
</file>

<file path=xl/sharedStrings.xml><?xml version="1.0" encoding="utf-8"?>
<sst xmlns="http://schemas.openxmlformats.org/spreadsheetml/2006/main" count="7252" uniqueCount="1633">
  <si>
    <t>Nazwa projektu:</t>
  </si>
  <si>
    <t>Osoba sporządzająca listę:</t>
  </si>
  <si>
    <t>Data:</t>
  </si>
  <si>
    <t>jak z tego korzystać:</t>
  </si>
  <si>
    <t>ARKUSZ EDYCJA:</t>
  </si>
  <si>
    <t>nazwa pliku:</t>
  </si>
  <si>
    <t>plik nazywamy:</t>
  </si>
  <si>
    <t>np.:</t>
  </si>
  <si>
    <t>data w formacie YYYY-MM-DD</t>
  </si>
  <si>
    <r>
      <t>datę wstawiamy skrótem kalwiatutowym</t>
    </r>
    <r>
      <rPr>
        <b/>
        <i/>
        <sz val="8"/>
        <rFont val="Arial"/>
        <family val="2"/>
        <charset val="238"/>
      </rPr>
      <t xml:space="preserve"> CTRL  +   ;</t>
    </r>
  </si>
  <si>
    <t>tzn.  trzymając wciśnięty CTRL jeden raz naciskamy klawisz "średnik"</t>
  </si>
  <si>
    <t>ochrona arkusza przed zmianami</t>
  </si>
  <si>
    <t>hasło 123</t>
  </si>
  <si>
    <t>wpisuje zamawiający</t>
  </si>
  <si>
    <t>Lp</t>
  </si>
  <si>
    <t>ilość sztuk
SUMA</t>
  </si>
  <si>
    <t>Osoba kupująca</t>
  </si>
  <si>
    <t>Numer zamówienia</t>
  </si>
  <si>
    <t>Data zamówienia:
yyyy-mm-dd</t>
  </si>
  <si>
    <t>Uwagi</t>
  </si>
  <si>
    <t>Uwagi do zamówienia</t>
  </si>
  <si>
    <t>Ilość dostarczona</t>
  </si>
  <si>
    <t>Konstruktor</t>
  </si>
  <si>
    <t>Uzupełnia przyjmujący</t>
  </si>
  <si>
    <t>zamawiajacy edytuje listę w kolumnach od U do Y</t>
  </si>
  <si>
    <t>konstruktor edytuje listę w kolumnach od A do Q  plus ewentualnie kolumne S jeżeli coś odkłada, zabezpiecza do projektu</t>
  </si>
  <si>
    <t>przyjmuący, odkładajacy do projektu wypełnia kolumny Z-AA</t>
  </si>
  <si>
    <t>numer projektu - "lista materiałów " "elktrycznych "/ "mechanicznych" - nazwisko osoby</t>
  </si>
  <si>
    <t>0637 - LISTA MATERIAŁÓW MECHANICZNYCH - S.GAWECKI</t>
  </si>
  <si>
    <t>0637 - LISTA MATERIAŁÓW ELEKTRYCZNYCH - J. FATYGA</t>
  </si>
  <si>
    <t>ARKUSZ PROFILE:</t>
  </si>
  <si>
    <t xml:space="preserve">konstruktor edytuje listę w kolumnach od A do G </t>
  </si>
  <si>
    <t>zamawiajacy edytuje listę w kolumnach od H do L</t>
  </si>
  <si>
    <t>Inspektor Jakości</t>
  </si>
  <si>
    <t>DOSTAWCA</t>
  </si>
  <si>
    <t>Obróbka</t>
  </si>
  <si>
    <t>Obróbka cieplna</t>
  </si>
  <si>
    <t>Powłoka</t>
  </si>
  <si>
    <t xml:space="preserve">Wymagana data dostawy 
</t>
  </si>
  <si>
    <t>Opis</t>
  </si>
  <si>
    <t>xxx</t>
  </si>
  <si>
    <t>Uwagi Inspektora</t>
  </si>
  <si>
    <t>Data inspekcji</t>
  </si>
  <si>
    <t>Nr. Kat.</t>
  </si>
  <si>
    <t>MAGAZYN</t>
  </si>
  <si>
    <t>Do Zamówienia</t>
  </si>
  <si>
    <t>11</t>
  </si>
  <si>
    <t xml:space="preserve">Nr. Części </t>
  </si>
  <si>
    <t>ID. Części</t>
  </si>
  <si>
    <t>Rewizja</t>
  </si>
  <si>
    <t>Braki</t>
  </si>
  <si>
    <t>Notatki</t>
  </si>
  <si>
    <t>Data wpisania
dd-mm-yyyy</t>
  </si>
  <si>
    <t>Producent</t>
  </si>
  <si>
    <t>Uzupełnia konstruktor</t>
  </si>
  <si>
    <t>Uzupełnia zamawiający</t>
  </si>
  <si>
    <t>Data wpisania 
yyyy-mm-dd</t>
  </si>
  <si>
    <t>Ilość</t>
  </si>
  <si>
    <t>Zespół</t>
  </si>
  <si>
    <t>Wymagana data dostawy 
yyyy-mm-dd.</t>
  </si>
  <si>
    <t>Wpisuje Konstruktor</t>
  </si>
  <si>
    <t>Materiał</t>
  </si>
  <si>
    <t>Długość [mm]</t>
  </si>
  <si>
    <t>Nr katalogowy</t>
  </si>
  <si>
    <t>x</t>
  </si>
  <si>
    <t>xx</t>
  </si>
  <si>
    <t>xxxx</t>
  </si>
  <si>
    <t>x2</t>
  </si>
  <si>
    <t>Obudowa sterownicza 1600(W)x1800(H)x400(D)</t>
  </si>
  <si>
    <t>SE 5842.600</t>
  </si>
  <si>
    <t>Rittal</t>
  </si>
  <si>
    <t>sztuk</t>
  </si>
  <si>
    <t>Profil do wprowadzania kabli, tylny do VX, SE</t>
  </si>
  <si>
    <t>VX 8618.814</t>
  </si>
  <si>
    <t>Obudowa sterownicza 600(W)x1800(H)x400(D)</t>
  </si>
  <si>
    <t>SE 5830.600</t>
  </si>
  <si>
    <t>VX 8618.810</t>
  </si>
  <si>
    <t>MITSUBISHI iQ-R CPU</t>
  </si>
  <si>
    <t>R32CPU</t>
  </si>
  <si>
    <t>Mitsubishi</t>
  </si>
  <si>
    <t>SZTUK</t>
  </si>
  <si>
    <t>MITSUBISHI iQ-R ROBOT CPU</t>
  </si>
  <si>
    <t>R16RTCPU</t>
  </si>
  <si>
    <t>MITSUBISHI iQ-R SIMPLE MOTION MODULE</t>
  </si>
  <si>
    <t>RD77GF16</t>
  </si>
  <si>
    <t>MITSUBISHI iQ-R PROFINET IO controller</t>
  </si>
  <si>
    <t>RJ71PN92</t>
  </si>
  <si>
    <t>Przetwornica częstotliwości 2,5A</t>
  </si>
  <si>
    <t>Przetwornica częstotliwości 0,8A</t>
  </si>
  <si>
    <t>Serwowzmacniacz MR-J4-70GF-RJ</t>
  </si>
  <si>
    <t>MR-J4-70GF-RJ</t>
  </si>
  <si>
    <t>Connector Kit CN1 I/O</t>
  </si>
  <si>
    <t>MR-J2CN1</t>
  </si>
  <si>
    <t>55912</t>
  </si>
  <si>
    <t>Serwowzmacniacz MR-J4-20GF-RJ</t>
  </si>
  <si>
    <t>MR-J4-20GF-RJ</t>
  </si>
  <si>
    <t>Filtr sieciowy</t>
  </si>
  <si>
    <t>FFR-CS-050-14A-RF1</t>
  </si>
  <si>
    <t>MF-2F230-006.230MFc</t>
  </si>
  <si>
    <t>Mitsubishi MR-J4 Battery-Set</t>
  </si>
  <si>
    <t>MR-BAT6V1SET</t>
  </si>
  <si>
    <t>Zasilacz iQ-R 5VDC 9A</t>
  </si>
  <si>
    <t>R64P</t>
  </si>
  <si>
    <t>MITSUBISHI servo STO cable 3m</t>
  </si>
  <si>
    <t>MR-D05UDL3M-B</t>
  </si>
  <si>
    <t>silnik</t>
  </si>
  <si>
    <t>Serwo silnik z hamulcem</t>
  </si>
  <si>
    <t>HG-KR73 (B)</t>
  </si>
  <si>
    <t>HG-KR23B</t>
  </si>
  <si>
    <t>MITSUBISHI servo power cable 10m</t>
  </si>
  <si>
    <t>MR-PWS3CBL10M-A1-L</t>
  </si>
  <si>
    <t>MITSUBISHI servo power cable 5m</t>
  </si>
  <si>
    <t>MR-PWS3CBL5M-A1-L</t>
  </si>
  <si>
    <t>MR-PWS3CBL5M-A2-L</t>
  </si>
  <si>
    <t>PWS007N-05.0-A1</t>
  </si>
  <si>
    <t>PWS007N-10.0-A1</t>
  </si>
  <si>
    <t>MITSUBISHI servo encoder cable 10m</t>
  </si>
  <si>
    <t>MR-J3ENCBL10M-A1-L</t>
  </si>
  <si>
    <t>161551</t>
  </si>
  <si>
    <t>MITSUBISHI brake cable, 10m</t>
  </si>
  <si>
    <t>MR-BKS1CBL10M-A1-L</t>
  </si>
  <si>
    <t>161609</t>
  </si>
  <si>
    <t>MITSUBISHI servo encoder cable 5m</t>
  </si>
  <si>
    <t>MR-J3ENCBL5M-A1-L</t>
  </si>
  <si>
    <t>161550</t>
  </si>
  <si>
    <t>MITSUBISHI brake cable, 5m</t>
  </si>
  <si>
    <t>MR-BKS1CBL5M-A1-L</t>
  </si>
  <si>
    <t>161608</t>
  </si>
  <si>
    <t>MR-J3ENCBL5M-A2-L</t>
  </si>
  <si>
    <t>161555</t>
  </si>
  <si>
    <t>MR-BKS1CBL5M-A2-L</t>
  </si>
  <si>
    <t>161613</t>
  </si>
  <si>
    <t>MR-J3ENCBL5M-A1-H</t>
  </si>
  <si>
    <t>161547</t>
  </si>
  <si>
    <t>MR-BKS1CBL5M-A1-H</t>
  </si>
  <si>
    <t>MR-J3ENCBL10M-A1-H</t>
  </si>
  <si>
    <t>161548</t>
  </si>
  <si>
    <t>MR-BKS1CBL10M-A1-H</t>
  </si>
  <si>
    <t>161606</t>
  </si>
  <si>
    <t>Wtyczki - podłaczenia Wyjścia (GR1, GR2) robota</t>
  </si>
  <si>
    <t>Wtyczki - podłaczenia czujników do ramienia robota (OP1, OP3)</t>
  </si>
  <si>
    <t>Hand output cable</t>
  </si>
  <si>
    <t>1F-GR60S-01</t>
  </si>
  <si>
    <t>Internal Wiring/Piping set for hand</t>
  </si>
  <si>
    <t>1F-HS604S-01</t>
  </si>
  <si>
    <t>Moduł WE/WY IOL-LINK (16 in/out)</t>
  </si>
  <si>
    <t>BNI IOL-310-000-K025</t>
  </si>
  <si>
    <t>BNI004L</t>
  </si>
  <si>
    <t>BALLUFF</t>
  </si>
  <si>
    <t>Koncentratory sygnałów z interfejsem IO-Link</t>
  </si>
  <si>
    <t>MS: POTRZEBNE SĄ  MURR 59401 albo BALLUFF BNI 006</t>
  </si>
  <si>
    <t>Wtyczka do wysp zaworowych IO-Link</t>
  </si>
  <si>
    <t>BNI IOL-751-V10-K007</t>
  </si>
  <si>
    <t>BNI006P</t>
  </si>
  <si>
    <t>BNI IOL-104-000-K006</t>
  </si>
  <si>
    <t>BNI0006</t>
  </si>
  <si>
    <t>Wyłącznik ryglujący</t>
  </si>
  <si>
    <t>Klucz elastyczny wyłacznika bezpieczeństwa</t>
  </si>
  <si>
    <t>Tag RFID (2000 Byte)</t>
  </si>
  <si>
    <t>BIS M-133-02/A</t>
  </si>
  <si>
    <t>BIS00Y9</t>
  </si>
  <si>
    <t>Głowica RFID  ( ZMIANA TYPU WG. DOSTĘPNOŚCI )</t>
  </si>
  <si>
    <t>Switch - 8 portów</t>
  </si>
  <si>
    <t>Murrelektronik</t>
  </si>
  <si>
    <t>Zasilacz 24VDC/40A</t>
  </si>
  <si>
    <t>85004</t>
  </si>
  <si>
    <t>Kontroler listew naciskowych</t>
  </si>
  <si>
    <t>SCC-1224A</t>
  </si>
  <si>
    <t>OMRON</t>
  </si>
  <si>
    <t>6053253</t>
  </si>
  <si>
    <t>SICK</t>
  </si>
  <si>
    <t>rozdzielacz aktywny 4x IO-Link</t>
  </si>
  <si>
    <t>SIG200-0412200
1089794</t>
  </si>
  <si>
    <t>Programowalny przekaźnik bezpieczeństwa</t>
  </si>
  <si>
    <t>R1.190.1110.0</t>
  </si>
  <si>
    <t>Karta pamięci przekaźnika bezpieczeństwa</t>
  </si>
  <si>
    <t>R1.190.1000.0</t>
  </si>
  <si>
    <t>Moduł digital I/O SP-SDIO84-P1-K-A DC 24V</t>
  </si>
  <si>
    <t>R1.190.0030.0</t>
  </si>
  <si>
    <t>WIELAND</t>
  </si>
  <si>
    <t>Przycisk bezpieczeństwa 3-pozycyjny</t>
  </si>
  <si>
    <t>A4E-C211VA</t>
  </si>
  <si>
    <t>Hand input cable</t>
  </si>
  <si>
    <t>1S-HC30C-11</t>
  </si>
  <si>
    <t>MITSUBISHI</t>
  </si>
  <si>
    <t>1E-GR35S</t>
  </si>
  <si>
    <t>Kratka wentylatora</t>
  </si>
  <si>
    <t>NSYCAG223LPF</t>
  </si>
  <si>
    <t>Schneider</t>
  </si>
  <si>
    <t>Wentylator</t>
  </si>
  <si>
    <t>NSYCVF300M230PF</t>
  </si>
  <si>
    <t>Lampka LED biała 230 VAC (kompletna)</t>
  </si>
  <si>
    <t>BZ501219-B</t>
  </si>
  <si>
    <t>SCHRACK</t>
  </si>
  <si>
    <t>Rozłącznik główny; awaryjny</t>
  </si>
  <si>
    <t>LTS 63 EHN4 A3</t>
  </si>
  <si>
    <t>IN8E2337</t>
  </si>
  <si>
    <t>Elastyczna listwa naciskowa</t>
  </si>
  <si>
    <t>3100.1610</t>
  </si>
  <si>
    <t>GELBAU</t>
  </si>
  <si>
    <t>Zakrywka końcowa listwy elastycznej</t>
  </si>
  <si>
    <t>3050.1303B</t>
  </si>
  <si>
    <t>Terminator 8,2kΩ</t>
  </si>
  <si>
    <t>3031.1306B</t>
  </si>
  <si>
    <t>Kabel - podłączenie elastycznej listwy naciskowej L=5m)</t>
  </si>
  <si>
    <t>3020.1305B</t>
  </si>
  <si>
    <t>Kabel ethernetowy IV-MXXX L=5000</t>
  </si>
  <si>
    <t>OP-87458</t>
  </si>
  <si>
    <t>Czujnik wizyjny</t>
  </si>
  <si>
    <t>IV-500MA</t>
  </si>
  <si>
    <t>Kabel zasilający i I/O IV-XXX L=10m</t>
  </si>
  <si>
    <t>OP-87442</t>
  </si>
  <si>
    <t>Wzmacniacz pomiarowy Main unit</t>
  </si>
  <si>
    <t>IL-1000</t>
  </si>
  <si>
    <t>Jednostka komunikacyjna ProfiNet</t>
  </si>
  <si>
    <t>DL-PN1</t>
  </si>
  <si>
    <t>Wzmacniacz pomiarowy 5-kanałowy</t>
  </si>
  <si>
    <t>GT2-500</t>
  </si>
  <si>
    <t>Czujnik ruchu</t>
  </si>
  <si>
    <t>SES10-WH</t>
  </si>
  <si>
    <t>LEDSYSTEMS</t>
  </si>
  <si>
    <t>Remote Ethernet I/O 16 wejść cyfrowych</t>
  </si>
  <si>
    <t>E1210-T</t>
  </si>
  <si>
    <t>MOXA</t>
  </si>
  <si>
    <t>Przekaźnik nadzorczy</t>
  </si>
  <si>
    <t>K8AKAS224VACDC</t>
  </si>
  <si>
    <t>K8AK-AS2 24VAC/DC</t>
  </si>
  <si>
    <t>SMC</t>
  </si>
  <si>
    <t>Kabel kurtyny 5 żył L=5m</t>
  </si>
  <si>
    <t>ZAS35R501</t>
  </si>
  <si>
    <t>wenglor</t>
  </si>
  <si>
    <t>Kabel kurtyny 8 żył L=5m</t>
  </si>
  <si>
    <t>ZAS89R501</t>
  </si>
  <si>
    <t>Set Safety Light Curtain Type 4 Finger Protection</t>
  </si>
  <si>
    <t>SEMG436</t>
  </si>
  <si>
    <t>Wzmacniacz światłowodowy (IO-LINK)</t>
  </si>
  <si>
    <t>FS-N41C</t>
  </si>
  <si>
    <t>KM</t>
  </si>
  <si>
    <t>Weiss</t>
  </si>
  <si>
    <t>MS</t>
  </si>
  <si>
    <t>Elektroniczna karta sterujaca</t>
  </si>
  <si>
    <t>EF2037B-0000-0000-01</t>
  </si>
  <si>
    <t>IV-500CA</t>
  </si>
  <si>
    <t>Kabel zasilający i I/O IV-XXX L=5000</t>
  </si>
  <si>
    <t>OP-87441</t>
  </si>
  <si>
    <t>Głowica czujnika laserowego</t>
  </si>
  <si>
    <t>IL-065</t>
  </si>
  <si>
    <t>Kabel głowicy pomarowej IL-XXXX L=5 m</t>
  </si>
  <si>
    <t>OP-87057</t>
  </si>
  <si>
    <t>Stopka 80kg</t>
  </si>
  <si>
    <t>FATH</t>
  </si>
  <si>
    <t>H. Mech.</t>
  </si>
  <si>
    <t>-</t>
  </si>
  <si>
    <t>098D080KG</t>
  </si>
  <si>
    <t>K. Wróblewski</t>
  </si>
  <si>
    <t>Bosch Rexroth</t>
  </si>
  <si>
    <t>Stoper</t>
  </si>
  <si>
    <t>VE 2 STOP GATE</t>
  </si>
  <si>
    <t>Uchwyt czujnika indukcyjnego obecności palety</t>
  </si>
  <si>
    <t>SH 2/UV SWITCH BRACKET</t>
  </si>
  <si>
    <t>Ramka (bok) palety</t>
  </si>
  <si>
    <t>WT 2 CORNER MODULES (PA)  LWT=400MM</t>
  </si>
  <si>
    <t>Tulejka pozycjonująca</t>
  </si>
  <si>
    <t>POSITIONING BUSHINGS  A=8MM</t>
  </si>
  <si>
    <t>Zamówienie Z/1367/1927/MS/2022</t>
  </si>
  <si>
    <t>ZAMÓWIENIE Z/703/1851/MS/2022 ( ŁĄCZNIE 2 SZTUKI)</t>
  </si>
  <si>
    <t>ZAPAS DO LINII NR 4</t>
  </si>
  <si>
    <t>ZAMÓWIENIE Z/703/1851/MS/2022 ( ŁĄCZNIE 8 SZTUK)</t>
  </si>
  <si>
    <t>Listwa montażowa</t>
  </si>
  <si>
    <t>3045.1212</t>
  </si>
  <si>
    <t>L=629 mm</t>
  </si>
  <si>
    <t>ZAŁADUNEK RĘCZNY</t>
  </si>
  <si>
    <t>zamówienie Z/1366/1851, 1927/MS/2022</t>
  </si>
  <si>
    <t>Termin dostawy 30 wrzesień ( proszę nie dostarczać wcześniej )</t>
  </si>
  <si>
    <t>zamówienie Z/1368/1927/MS/2022</t>
  </si>
  <si>
    <t>zamówienie Z/1369/1927/MS/2022</t>
  </si>
  <si>
    <t>Zamówienie Z/1370/1927/MS/2022</t>
  </si>
  <si>
    <t>ZENEX</t>
  </si>
  <si>
    <t>ZAMÓWIENIE Z/1851, LINIA3/MS/2022  ( MURR )  - 30 SZTUK !</t>
  </si>
  <si>
    <t>Przekaźnik 24VDC</t>
  </si>
  <si>
    <t>G7SA-3A1B</t>
  </si>
  <si>
    <t>ZAMÓWIENIE Z/704/1851/MS/2022 ( ŁĄCZNIE 30 SZTUK)</t>
  </si>
  <si>
    <t>ZAMÓWIENIE Z/704/1851/MS/2022 ( ŁĄCZNIE 3 SZTUKI)</t>
  </si>
  <si>
    <t>G7SA-2A2B</t>
  </si>
  <si>
    <t>MK</t>
  </si>
  <si>
    <t>2022-07-25 MK dostarczono z 1851</t>
  </si>
  <si>
    <t>1 mag</t>
  </si>
  <si>
    <t>2022-07-25 mj</t>
  </si>
  <si>
    <t>2022-08-01 mj</t>
  </si>
  <si>
    <t>2022-09-13 MK</t>
  </si>
  <si>
    <t>2022-09-14 Emil (dostarczono 8 szt. - 6 szt. w projekcie 1851)</t>
  </si>
  <si>
    <t>2022-08-12 MK</t>
  </si>
  <si>
    <t>2022-10-10 JP</t>
  </si>
  <si>
    <t>2022-10-11 MK po projekcie 1857</t>
  </si>
  <si>
    <t>magazyn</t>
  </si>
  <si>
    <t>4 mag</t>
  </si>
  <si>
    <t>2022-10-11 MK</t>
  </si>
  <si>
    <t>2 mag</t>
  </si>
  <si>
    <t>Silnik serwo</t>
  </si>
  <si>
    <t>HG-KN43K</t>
  </si>
  <si>
    <t>8 mag</t>
  </si>
  <si>
    <t>obok szafy SIEMENS na samej górze</t>
  </si>
  <si>
    <t>Potrzebne</t>
  </si>
  <si>
    <t>1 mag
1</t>
  </si>
  <si>
    <t>2022-07-26 mj
2022-10-24 JP</t>
  </si>
  <si>
    <t>Nakrętka Łożyskowa</t>
  </si>
  <si>
    <t>KM 0</t>
  </si>
  <si>
    <t>SKF</t>
  </si>
  <si>
    <t>R. Swaciak</t>
  </si>
  <si>
    <t>K0292.08</t>
  </si>
  <si>
    <t>Kołki podporowe</t>
  </si>
  <si>
    <t>KIPP</t>
  </si>
  <si>
    <t>999 - Paletka</t>
  </si>
  <si>
    <t>Paletka testowa</t>
  </si>
  <si>
    <t>D</t>
  </si>
  <si>
    <t>Śruba</t>
  </si>
  <si>
    <t>handlowy</t>
  </si>
  <si>
    <t>HGW15CCZOH</t>
  </si>
  <si>
    <t>F</t>
  </si>
  <si>
    <t xml:space="preserve">Wózek </t>
  </si>
  <si>
    <t>HIWIN</t>
  </si>
  <si>
    <t>K</t>
  </si>
  <si>
    <t>Szyna</t>
  </si>
  <si>
    <t>K0307.08036</t>
  </si>
  <si>
    <t>A</t>
  </si>
  <si>
    <t>Śruba podporowa</t>
  </si>
  <si>
    <t>WH-060250</t>
  </si>
  <si>
    <t xml:space="preserve">Wypychacz </t>
  </si>
  <si>
    <t xml:space="preserve"> </t>
  </si>
  <si>
    <t>HGL-M5-B-530029</t>
  </si>
  <si>
    <t>B</t>
  </si>
  <si>
    <t>FESTO</t>
  </si>
  <si>
    <t>Promatik</t>
  </si>
  <si>
    <t>Czernić</t>
  </si>
  <si>
    <t>Prowadnik</t>
  </si>
  <si>
    <t>IGUS</t>
  </si>
  <si>
    <t>HGL-1_8-B</t>
  </si>
  <si>
    <t xml:space="preserve"> ASV410F-02-08S</t>
  </si>
  <si>
    <t>L5032</t>
  </si>
  <si>
    <t>RBC2015</t>
  </si>
  <si>
    <t>C</t>
  </si>
  <si>
    <t>Amortyzator</t>
  </si>
  <si>
    <t>RBC1007</t>
  </si>
  <si>
    <t>MDSUB7-90S-S7P</t>
  </si>
  <si>
    <t>Stół obrotowy</t>
  </si>
  <si>
    <t>M-5H-6</t>
  </si>
  <si>
    <t>JA50-16-150</t>
  </si>
  <si>
    <t>Sprzęgło</t>
  </si>
  <si>
    <t>JA30-10-125</t>
  </si>
  <si>
    <t>Sprzęgło siłownika</t>
  </si>
  <si>
    <t>RSDQB32TF-15D</t>
  </si>
  <si>
    <t>Siłownik</t>
  </si>
  <si>
    <t>CP96SDB32-125C</t>
  </si>
  <si>
    <t>CP96SDB50-200C</t>
  </si>
  <si>
    <t>FCPK /handlowy</t>
  </si>
  <si>
    <t xml:space="preserve">Śruba </t>
  </si>
  <si>
    <t>FESTO/handlowy</t>
  </si>
  <si>
    <t>Złączka zaciskowa</t>
  </si>
  <si>
    <t>lub zamiennik</t>
  </si>
  <si>
    <t>000.MAG.50 - M10 x50</t>
  </si>
  <si>
    <t>000.MAG.22.M6</t>
  </si>
  <si>
    <t>Kostka zderzaka</t>
  </si>
  <si>
    <t>z łb. walc. gn. 6kąt. M8x55</t>
  </si>
  <si>
    <t>E</t>
  </si>
  <si>
    <t>z łb. walc. gn. 6kąt. M8x50</t>
  </si>
  <si>
    <t>Zatrzask kulowy</t>
  </si>
  <si>
    <t>Uchwyt</t>
  </si>
  <si>
    <t>095k4040f10</t>
  </si>
  <si>
    <t>Zawias 40X40 N10</t>
  </si>
  <si>
    <t>Zaślepka 40x40</t>
  </si>
  <si>
    <t>3 842 993 133</t>
  </si>
  <si>
    <t>REXROTH</t>
  </si>
  <si>
    <t>Kątownik 80x80</t>
  </si>
  <si>
    <t xml:space="preserve">Profil 80x80 </t>
  </si>
  <si>
    <t>S.Gawęcki</t>
  </si>
  <si>
    <t>Zespół podawania trzpienia</t>
  </si>
  <si>
    <t>A 10x8x40</t>
  </si>
  <si>
    <t>MGNR15HM L=80 otw. sym.</t>
  </si>
  <si>
    <t>MGN15CZ0HM</t>
  </si>
  <si>
    <t>Wózek</t>
  </si>
  <si>
    <t>GRLA-M5-QS-4-RS-D-197577</t>
  </si>
  <si>
    <t>walcowy 5x10</t>
  </si>
  <si>
    <t>G</t>
  </si>
  <si>
    <t>Kołek</t>
  </si>
  <si>
    <t>sześciokątna M6</t>
  </si>
  <si>
    <t>Nakrętka zwykła</t>
  </si>
  <si>
    <t>bez łba, koniec płaski M6x20</t>
  </si>
  <si>
    <t>JA15-6-100</t>
  </si>
  <si>
    <t>CDQ2B16-25DMZ</t>
  </si>
  <si>
    <t>RJ0604</t>
  </si>
  <si>
    <t>Profil 40x40L</t>
  </si>
  <si>
    <t>3 842 993 120/</t>
  </si>
  <si>
    <t>FESTO/Handlowy</t>
  </si>
  <si>
    <t xml:space="preserve">Złączka prosta </t>
  </si>
  <si>
    <t>093W404N10</t>
  </si>
  <si>
    <t>Kątownik 40x40</t>
  </si>
  <si>
    <t>098DM12100M</t>
  </si>
  <si>
    <t>Nóżka M12x100</t>
  </si>
  <si>
    <t>R35B</t>
  </si>
  <si>
    <t>NZ2GF2BN-60AD4</t>
  </si>
  <si>
    <t>NZ2GF2B1-32D</t>
  </si>
  <si>
    <t>NZ2GF2B1-32TE</t>
  </si>
  <si>
    <t>FR-E820S-0030-4-60</t>
  </si>
  <si>
    <t>FR-E820S-0008-4-60</t>
  </si>
  <si>
    <t>FR-E820S-0015-4-60</t>
  </si>
  <si>
    <t>GT2512-STBD-040</t>
  </si>
  <si>
    <t>RV-S Hand OUTPUT 
connector</t>
  </si>
  <si>
    <t>RV-2FRL-D-S25</t>
  </si>
  <si>
    <t>RV-7FRLLM-D</t>
  </si>
  <si>
    <t>zmiana typu</t>
  </si>
  <si>
    <t>PLC iQ-R Series| Main Base Unit, 5-slot</t>
  </si>
  <si>
    <t>PLC CC-Link IE Field I/O module|4 channels, Input: -10-10 V DC, 0-20 mA DC</t>
  </si>
  <si>
    <t>CC-Link IE field network remote IO, 32 Points Input Plus Common/Minus Common</t>
  </si>
  <si>
    <t>CC-Link IE field network remote IO, 32 Points Output Source</t>
  </si>
  <si>
    <t>GOT2000|12,1"TFT|DC|SVGA|65k colors|USB|Eth|SD|Without extension interface</t>
  </si>
  <si>
    <t>przewody STO do wszystkich serw</t>
  </si>
  <si>
    <t>dojazd pomiaru</t>
  </si>
  <si>
    <t>winda 1</t>
  </si>
  <si>
    <t>winda 2 ( rozładunek )</t>
  </si>
  <si>
    <t>pomiar właściwy ( obrót)</t>
  </si>
  <si>
    <t>manipulator osie 1/2/3</t>
  </si>
  <si>
    <t>Robot option Connection cable for customer specific valves</t>
  </si>
  <si>
    <t>Industrial Robot RV-2FR-D 6-axis| +/- 0,02mm|2kg|649mm|IP30|incl. CR800|no brake</t>
  </si>
  <si>
    <t>Industrial Robot RV-7FR-D 6-axis| +/- 0.06mm| 7kg| 1503mm| IP67| incl. CR800</t>
  </si>
  <si>
    <t xml:space="preserve">zmiana typu, zmniejszenie ilości </t>
  </si>
  <si>
    <t xml:space="preserve">zmniejszenie ilości </t>
  </si>
  <si>
    <t>ŁWCZ+MS</t>
  </si>
  <si>
    <t>ZAMÓWIENIE z/18927/2022</t>
  </si>
  <si>
    <t>magazym</t>
  </si>
  <si>
    <t>ZAMÓWIENIE z/18927/2022  ( MECON)</t>
  </si>
  <si>
    <t>6 MARZEC 2022</t>
  </si>
  <si>
    <t>30 STYCZEŃ 2022</t>
  </si>
  <si>
    <t>ELEKTRYCZNE ILOŚĆ NA 2 LINIE: PIERWSZA LINIA W KOLUMNIE 0 DRUGA LINIA W KOLUMNIE BB15</t>
  </si>
  <si>
    <t>ZAMÓWIENIE Z/1851, LINIA3/MS/2022  ( BALLUFF )  - 30 SZTUK !</t>
  </si>
  <si>
    <t>ZAPAS DO LINII NR 4: zlec 1927</t>
  </si>
  <si>
    <t>MS: Z ROZMOWY Z BALLUFF 26.07.2022 - TERMIN OK KOŃCA LIPCA</t>
  </si>
  <si>
    <t>ZAMÓWIENIE Z/701/1851/MS/2022   ( ŁĄCZNIE 13 SZTUK )</t>
  </si>
  <si>
    <t>MS: Z ROZMOWY Z BALLUFF 26.07.2022 - TERMIN NIEZNANY !!!!!</t>
  </si>
  <si>
    <t>MS: Z ROZMOWY Z BALLUFF 26.07.2022 - TERMIN OK POŁOWY SIERPNIA</t>
  </si>
  <si>
    <t>ZAMÓWIENIE Z/705/1851/MS/2022  ( ŁĄCZNIE 3 SZTUKI )</t>
  </si>
  <si>
    <t>2022-06-24 MK</t>
  </si>
  <si>
    <t>ZAMÓWIENIE Z/705/1851/MS/2022  ( ŁĄCZNIE 9 SZTUK )</t>
  </si>
  <si>
    <t>6
4
4</t>
  </si>
  <si>
    <t>2022-08-22 Sylwek
2022-09-12 op
2022-11-28 JP</t>
  </si>
  <si>
    <t>2022-07-25 mj 
14 szt. przekazane do zlecenia, 16 szt. magazyn</t>
  </si>
  <si>
    <t>13.05.2022+17.08.2022</t>
  </si>
  <si>
    <t>ZAMÓWIENIE Z/704/1851/MS/2022 ( ŁĄCZNIE 10 SZTUK) + 4 SZTUKI RS COMPONETS Z/1559/1857/MS/2022</t>
  </si>
  <si>
    <t>2022-10-14 JP</t>
  </si>
  <si>
    <t>ELEKTRYCZNE ILOŚĆ NA 2 LINIE: PIERWSZA LINIA W KOLUMNIE 0 DRUGA LINIA W KOLUMNIE BB7</t>
  </si>
  <si>
    <t>RS COMPONENTS DODATKOWO</t>
  </si>
  <si>
    <t>ELEKTRYCZNE ILOŚĆ NA 2 LINIE: PIERWSZA LINIA W KOLUMNIE 0 DRUGA LINIA W KOLUMNIE BB6</t>
  </si>
  <si>
    <t>2022-07-25 mj 
2 szt. przekazane do zlecenia, 1 szt. magazyn</t>
  </si>
  <si>
    <t>łwcześniak+mstrzeelcki</t>
  </si>
  <si>
    <t>ELEKTRYCZNE ILOŚĆ NA 2 LINIE: PIERWSZA LINIA W KOLUMNIE 0 DRUGA LINIA W KOLUMNIE BB5</t>
  </si>
  <si>
    <t xml:space="preserve">ELEKTRYCZNE ILOŚĆ NA 2 LINIE: PIERWSZA LINIA W KOLUMNIE 0 DRUGA LINIA W KOLUMNIE BB1 </t>
  </si>
  <si>
    <t>08.07.2022</t>
  </si>
  <si>
    <t>Ł.Wcześniak</t>
  </si>
  <si>
    <t>Panel sterowniczy PIZZATO BN</t>
  </si>
  <si>
    <t>BN AC4ZA28</t>
  </si>
  <si>
    <t>Panel sterowniczy: 1x przycisk biały
1NO, 1x przycisk niebieski 1NO, 1x
przycisk żółty 1NO, 1x E-Stop 2NC, z
konektorem M12</t>
  </si>
  <si>
    <t>PIZZATO</t>
  </si>
  <si>
    <t>M12 złącze żeńskie proste
12-pinowe z kablem 5 m</t>
  </si>
  <si>
    <t>VF CA12PD5M</t>
  </si>
  <si>
    <t>zamówienie Z/1851-1927/MS/2022  ( łacznie  3 sztuki )</t>
  </si>
  <si>
    <t>Lustro czujnika refleksyjnego</t>
  </si>
  <si>
    <t>E39-R4</t>
  </si>
  <si>
    <t>E39-R9</t>
  </si>
  <si>
    <t>zamówienie  1371/1851-1927/MS/2022  ( zakup 100 sztuk)</t>
  </si>
  <si>
    <t>2022-09-29 Jarek (dostarczono 100 szt.)</t>
  </si>
  <si>
    <t>zamówienie  1371/1851-1927/MS/2022  ( zakup 20 sztuk)</t>
  </si>
  <si>
    <t>2022-09-29 Jarek (dostarczono 50 szt.)</t>
  </si>
  <si>
    <t>ELEKTRYCZNE ILOŚĆ NA 2 LINIE: PIERWSZA LINIA W KOLUMNIE 0 DRUGA LINIA W KOLUMNIE BB3</t>
  </si>
  <si>
    <t xml:space="preserve">Wtyczka do wysp zaworowych IO-Link   </t>
  </si>
  <si>
    <t xml:space="preserve">BNI006P              </t>
  </si>
  <si>
    <t xml:space="preserve">BNI IOL-104-000-K006    </t>
  </si>
  <si>
    <t xml:space="preserve">BNI IOL-751-V10-K007   </t>
  </si>
  <si>
    <t>MS: WG. FAKTURY 14 SZTUK PRZYSZŁO 10-10-2022 ??</t>
  </si>
  <si>
    <t>MS: NIE ZAKUPIONE DO LINII 1927</t>
  </si>
  <si>
    <t>MAGZYN</t>
  </si>
  <si>
    <t>Tulejka montazowa</t>
  </si>
  <si>
    <t>OP-76874</t>
  </si>
  <si>
    <t>KEYENCE</t>
  </si>
  <si>
    <t>Głowica czujnika, model z cylindrem pneumatycznym / Czujnik liniowy</t>
  </si>
  <si>
    <t>Głowica czujnika odbiciowego światłowodowego</t>
  </si>
  <si>
    <t>FU-57TZ</t>
  </si>
  <si>
    <t>Kabel głowicy pomarowej 5m (wtyczka prosta)</t>
  </si>
  <si>
    <t>GT2-CH5M  TO JEST ZWYKŁY PRZEWÓD MOŻE BYĆ NONAME</t>
  </si>
  <si>
    <t>MS: KOPIA 50% Z PROJEKTU 1851 - DO DALSZEJ EDYCJI</t>
  </si>
  <si>
    <t>L=700 mm</t>
  </si>
  <si>
    <t>L=5300 mm</t>
  </si>
  <si>
    <t>Stół obrotowy TC0120G</t>
  </si>
  <si>
    <t>TC0120G-0000-0000-10</t>
  </si>
  <si>
    <t>SS5Y5-10-5059OFZ</t>
  </si>
  <si>
    <t>Wyspa zaworowa, Seria SY5000 (Type 10), 12 Stanowisk Wtyk</t>
  </si>
  <si>
    <t xml:space="preserve">Z MAGAZYNU PROMETIK PLUS 6 SZTUK MINIMIM </t>
  </si>
  <si>
    <t>magazyn   DO WYKORZYSTANIA W INNYCH PROJEKTACH NIŻ 1927</t>
  </si>
  <si>
    <t>REXROTH / fath</t>
  </si>
  <si>
    <t>MS&gt;&gt;MK 1 SZT</t>
  </si>
  <si>
    <t>MS&gt;&gt;MK 3 SZT</t>
  </si>
  <si>
    <t>GT2-A12   k?</t>
  </si>
  <si>
    <t>2022-12-12 MK</t>
  </si>
  <si>
    <t>mag</t>
  </si>
  <si>
    <t>6 mag</t>
  </si>
  <si>
    <t>na magazynie mamy 10x8x80</t>
  </si>
  <si>
    <t>2022-12-12 MK od Pana Marka</t>
  </si>
  <si>
    <t>Z/KIPP/1927/575/MK</t>
  </si>
  <si>
    <t>dostawa 2023-02-15</t>
  </si>
  <si>
    <t>Bidon</t>
  </si>
  <si>
    <t xml:space="preserve">Kątownik 40-40 </t>
  </si>
  <si>
    <t>DAS30 05CR</t>
  </si>
  <si>
    <t>Zawór dozujący</t>
  </si>
  <si>
    <t>DAVTECH</t>
  </si>
  <si>
    <t>Decathlon/Alustar</t>
  </si>
  <si>
    <t>Koszyk bidonu</t>
  </si>
  <si>
    <t>ZK2A12K5RWA-08</t>
  </si>
  <si>
    <t>odłożone na magazynie</t>
  </si>
  <si>
    <t>M8x1</t>
  </si>
  <si>
    <t>1012BS 2600812060</t>
  </si>
  <si>
    <t>Tulejka ślizgowa</t>
  </si>
  <si>
    <t>BIMET</t>
  </si>
  <si>
    <t>ZP08BS+ZPT1-A5</t>
  </si>
  <si>
    <t>Złączka</t>
  </si>
  <si>
    <t>Y-G02</t>
  </si>
  <si>
    <t>CDQ2B20_10DMZ</t>
  </si>
  <si>
    <t>HLH20X60S</t>
  </si>
  <si>
    <t>AirTAC</t>
  </si>
  <si>
    <t>HLH20X40S</t>
  </si>
  <si>
    <t>Zespół smarowania dźwigni</t>
  </si>
  <si>
    <t>Profil 40x80L</t>
  </si>
  <si>
    <t>4 842 993 130/</t>
  </si>
  <si>
    <t xml:space="preserve">Siłownik </t>
  </si>
  <si>
    <t>JP</t>
  </si>
  <si>
    <t>2022-12-14 JP</t>
  </si>
  <si>
    <t>HGL-M5-B / 530029</t>
  </si>
  <si>
    <t>wykorzystać zdemontowany z linii 1851</t>
  </si>
  <si>
    <t>wykorzystać zdemontowany z linii  1851</t>
  </si>
  <si>
    <t>2022-12-15 MK po projekcie 1851</t>
  </si>
  <si>
    <t>Z/QUAY/1927/582/MK</t>
  </si>
  <si>
    <t>100 - Zespół Ramy Transportera</t>
  </si>
  <si>
    <t>200 - Montaż Bumper</t>
  </si>
  <si>
    <t>300 - Montaż dźwigni</t>
  </si>
  <si>
    <t>400 - Montaż Trzpienia</t>
  </si>
  <si>
    <t>500 - Montaż Sprężyny</t>
  </si>
  <si>
    <t>600 - Stacja Testu</t>
  </si>
  <si>
    <t>700 - Zespół  Znakowania</t>
  </si>
  <si>
    <t xml:space="preserve">800 - Rozładunek/Pakowanie </t>
  </si>
  <si>
    <t>docisk komponentu</t>
  </si>
  <si>
    <t>5 mag</t>
  </si>
  <si>
    <t>2022-12-16 MK ŁW</t>
  </si>
  <si>
    <t>Rozdzielacz akty+AL73+F72:K73+F72:L73+F72:L72+F72:M72</t>
  </si>
  <si>
    <r>
      <t xml:space="preserve">2022-12-15 MK po projekcie 1851 
</t>
    </r>
    <r>
      <rPr>
        <sz val="14"/>
        <color indexed="10"/>
        <rFont val="Arial"/>
        <family val="2"/>
        <charset val="238"/>
      </rPr>
      <t>4 szt. zabrane do projektu 1948 2022-12-16 MK ŁW</t>
    </r>
  </si>
  <si>
    <t>Wieszak na przewód</t>
  </si>
  <si>
    <t>https://allegro.pl/oferta/hak-podwojny-garazowy-wieszak-uchwyt-na-narzedzia-9524419584?fromVariant=9524415985</t>
  </si>
  <si>
    <t>Allegro</t>
  </si>
  <si>
    <t>na 4 linie</t>
  </si>
  <si>
    <t>Panel HMI</t>
  </si>
  <si>
    <t>K0142.11203</t>
  </si>
  <si>
    <t>Pokrętło radełkowe</t>
  </si>
  <si>
    <t>MC-647</t>
  </si>
  <si>
    <t>Uchwyt Monitora</t>
  </si>
  <si>
    <t>Maclean</t>
  </si>
  <si>
    <t>1827-01-PRT-A0056636-A-Transporter</t>
  </si>
  <si>
    <t>PRT-A0056636</t>
  </si>
  <si>
    <t>1827-01-PRT-A0056488-A-Transporter Windy</t>
  </si>
  <si>
    <t>PRT-A0056488</t>
  </si>
  <si>
    <t>AS1201F-M5-04A</t>
  </si>
  <si>
    <t>Zawór dławiąco-
zwrotny</t>
  </si>
  <si>
    <t>AS1201F-M5-
04A</t>
  </si>
  <si>
    <t>RQSL 186</t>
  </si>
  <si>
    <t>Złącze katowe</t>
  </si>
  <si>
    <t>RQS</t>
  </si>
  <si>
    <t>E39_L117</t>
  </si>
  <si>
    <t>Mocowanie czujnika</t>
  </si>
  <si>
    <t>E39-L117</t>
  </si>
  <si>
    <t>ZBS-4</t>
  </si>
  <si>
    <t>Trzpień centrujący</t>
  </si>
  <si>
    <t>098DM12150M</t>
  </si>
  <si>
    <t>Trzpień stopki</t>
  </si>
  <si>
    <t>HLS12X20SB</t>
  </si>
  <si>
    <t>Stół przesuwny</t>
  </si>
  <si>
    <t>Montaż Bumper</t>
  </si>
  <si>
    <t>Nazwa Podzespołu</t>
  </si>
  <si>
    <t>2022-12-20 MK po projekcie 1851</t>
  </si>
  <si>
    <t>zamówienie Z/1368/1927/MS/2022
po projekcie 1851</t>
  </si>
  <si>
    <t>ZAMÓWIENIE Z/702/1851/MS/2022 ( ŁĄCZNIE 20 SZTUK )
po projekcie 1851</t>
  </si>
  <si>
    <t>zamówienie Z/1366/1851, 1927/MS/2022
po projekcie 1851</t>
  </si>
  <si>
    <t>zamówienie Z/1366/1851, 1927/MS/2022
 po projekcie 1851</t>
  </si>
  <si>
    <t>2 szt.</t>
  </si>
  <si>
    <t>zamówienie Z/1369/1927/MS/2022
po projekcie 1851</t>
  </si>
  <si>
    <t>2022-12-20 MK po projekcie 1851 Allen-Bradley 440G-T27121</t>
  </si>
  <si>
    <t>po projekcie 1851</t>
  </si>
  <si>
    <t>2022-12-20 MK po projekcie</t>
  </si>
  <si>
    <t>2022-12-20 po projekcie 1851</t>
  </si>
  <si>
    <t>2022-12-21 MK po projekcie 1851</t>
  </si>
  <si>
    <t>ZAMÓWIENIE z/18927/2022
po projekcie 1851</t>
  </si>
  <si>
    <t>VM430-F01-01S</t>
  </si>
  <si>
    <t>Zawór</t>
  </si>
  <si>
    <t>Elementy poziomujące 
nastawne z podkładką 
wahliwą</t>
  </si>
  <si>
    <t>K0691.201</t>
  </si>
  <si>
    <t>Podkładka wahliwa</t>
  </si>
  <si>
    <t>094005M6</t>
  </si>
  <si>
    <t>Uniblock</t>
  </si>
  <si>
    <t>098DM16100M</t>
  </si>
  <si>
    <t>Nóżka M16x100</t>
  </si>
  <si>
    <t>Stół sprężyny</t>
  </si>
  <si>
    <t>Profil 30x30</t>
  </si>
  <si>
    <t>Zespół stołu obrotowego</t>
  </si>
  <si>
    <t>2022-12-27 JP</t>
  </si>
  <si>
    <t>JT20_M8x1.25</t>
  </si>
  <si>
    <t xml:space="preserve">Amortyzator </t>
  </si>
  <si>
    <t>CD55B20-80M</t>
  </si>
  <si>
    <t>HGR15R L=150mm 3 otw. 
sym.</t>
  </si>
  <si>
    <t>HGR15R</t>
  </si>
  <si>
    <t>HGH15CAZOH</t>
  </si>
  <si>
    <t>Zawór natryskowy</t>
  </si>
  <si>
    <t>Smarowanie Sprężyny</t>
  </si>
  <si>
    <t>2912.2022</t>
  </si>
  <si>
    <t>Ł.Woźniak</t>
  </si>
  <si>
    <t>Pas transportowy</t>
  </si>
  <si>
    <t>YONG LI</t>
  </si>
  <si>
    <t>H</t>
  </si>
  <si>
    <t>Łożysko kulkowe 6304</t>
  </si>
  <si>
    <t>Łożysko toczne</t>
  </si>
  <si>
    <t>--Łożysko kulk. zwyk-C-Łożysko toczne</t>
  </si>
  <si>
    <t>PN-85M-86100</t>
  </si>
  <si>
    <t>T0308_20x38</t>
  </si>
  <si>
    <t>Tuleja rozprężna BK61</t>
  </si>
  <si>
    <t>--Tuleja rozprężna BK61-A-Tuleja rozprężna BK61</t>
  </si>
  <si>
    <t>T0308</t>
  </si>
  <si>
    <t>PIVEXIN</t>
  </si>
  <si>
    <t>Śruba pasowana</t>
  </si>
  <si>
    <t>0--Śruba pasowana - ISO 7379 - kipp-H-Śruba pasowana</t>
  </si>
  <si>
    <t>FABORY</t>
  </si>
  <si>
    <t>DIN 912</t>
  </si>
  <si>
    <t>Z 20</t>
  </si>
  <si>
    <t>Seger zewnętrzny</t>
  </si>
  <si>
    <t>--DIN 471 Z-A-Seger zewnętrzny</t>
  </si>
  <si>
    <t>DIN 471</t>
  </si>
  <si>
    <t>A 4x4x40</t>
  </si>
  <si>
    <t>Wpust pryzmatyczny</t>
  </si>
  <si>
    <t>--DIN 6885 A-D-Wpust pryzmatyczny</t>
  </si>
  <si>
    <t>DIN 6885 A</t>
  </si>
  <si>
    <t>Ramie reakcyjne CHT MV 25</t>
  </si>
  <si>
    <t>Transporter NOK</t>
  </si>
  <si>
    <t>ISO 739</t>
  </si>
  <si>
    <t>KACPEREK</t>
  </si>
  <si>
    <t>Motoreduktor</t>
  </si>
  <si>
    <t xml:space="preserve"> Φ8x30</t>
  </si>
  <si>
    <t xml:space="preserve"> z łb. walc. gn. 6kąt. M5x20</t>
  </si>
  <si>
    <t>DL84 0,12kW</t>
  </si>
  <si>
    <t>RULMECA</t>
  </si>
  <si>
    <t>H. Elek.</t>
  </si>
  <si>
    <t>Bęben napinający</t>
  </si>
  <si>
    <t>800HV</t>
  </si>
  <si>
    <t>Element z oferty OF22P00526-2</t>
  </si>
  <si>
    <t>3 842 993 130/</t>
  </si>
  <si>
    <t>Podajnik OK</t>
  </si>
  <si>
    <t>Podajnik NOK</t>
  </si>
  <si>
    <t>AC-300S</t>
  </si>
  <si>
    <t>Koło ze stopką</t>
  </si>
  <si>
    <t>CARRYMASTER</t>
  </si>
  <si>
    <t>Przegub 40x40</t>
  </si>
  <si>
    <t>3 842 532 235</t>
  </si>
  <si>
    <t>Zespół pakowania</t>
  </si>
  <si>
    <t>Obrobić na 801,4</t>
  </si>
  <si>
    <t>CP96SDB32-350C</t>
  </si>
  <si>
    <t>0--CP96SDB32-350C-B-Siłownik</t>
  </si>
  <si>
    <t>JT32</t>
  </si>
  <si>
    <t>0---JT32-0-Sprzęgło</t>
  </si>
  <si>
    <t>CD55B40-125</t>
  </si>
  <si>
    <t>Siłownik 
pneumatyczny</t>
  </si>
  <si>
    <t>0--CD55B40-125-A-Siłownik pneumatyczny</t>
  </si>
  <si>
    <t>GRLARQS 186</t>
  </si>
  <si>
    <t>Zawór dławiąco - 
zwrotny</t>
  </si>
  <si>
    <t>--GRLARQS 186-C-Zawór dławiąco - zwrotny</t>
  </si>
  <si>
    <t>Prowadnik kablowy</t>
  </si>
  <si>
    <t>1927--1927 - 0.78m B07.30.038.0 + 060.30.12PZ.A2-A-
Prowadnik kablowy</t>
  </si>
  <si>
    <t>Wózek HGW20CCZOH</t>
  </si>
  <si>
    <t>--HGW20CCZOH-B-Wózek</t>
  </si>
  <si>
    <t>HGW20CCZOH</t>
  </si>
  <si>
    <t>--HGR20R-G-Szyna</t>
  </si>
  <si>
    <t>HGR20R</t>
  </si>
  <si>
    <t>0--DIN 934-E-Nakrętka zwykła</t>
  </si>
  <si>
    <t>DIN 934</t>
  </si>
  <si>
    <t>A 6x6x40</t>
  </si>
  <si>
    <t>ACA1412-1</t>
  </si>
  <si>
    <t>Amortyzator 
hydrauliczny</t>
  </si>
  <si>
    <t>0---ACA1412-1-0-Amortyzator hydrauliczny</t>
  </si>
  <si>
    <t>0.78m B07.30.038.0 + 060.30.12PZ.A2</t>
  </si>
  <si>
    <t>HGR20R L=445mm 8 otw. sym.</t>
  </si>
  <si>
    <t>HGR20R L=320mm 6 otw. sym.</t>
  </si>
  <si>
    <t>sześciokątna M8x1</t>
  </si>
  <si>
    <t>drobnozwojna</t>
  </si>
  <si>
    <t>39 ogniw + zestaw końcowy</t>
  </si>
  <si>
    <t>Zespół montażu sprężyny</t>
  </si>
  <si>
    <t xml:space="preserve">VP744R-5DZ1-04F-X538 </t>
  </si>
  <si>
    <t xml:space="preserve">Zawory bezpieczne    </t>
  </si>
  <si>
    <t>AC40-OFY01033</t>
  </si>
  <si>
    <t>Zestaw przygotowania powietrza</t>
  </si>
  <si>
    <t>Przygotowanie Powietrza</t>
  </si>
  <si>
    <t>SY5120-5YO-C6F-F2-Q</t>
  </si>
  <si>
    <t>SY5000, Zawór rozdzielające 5-drogowe 5/2 Monostabilny</t>
  </si>
  <si>
    <t>Zawory stoperów</t>
  </si>
  <si>
    <t>SY7320-5YO-02F-F2-Q</t>
  </si>
  <si>
    <t>SY7000, Zawór rozdzielające 5-drogowe 5/3 w środkowej pozycji zamknięty</t>
  </si>
  <si>
    <t>Zawory bazowania paletki</t>
  </si>
  <si>
    <t>Sprawdzić stany magazynowe</t>
  </si>
  <si>
    <t>K43</t>
  </si>
  <si>
    <t>Wtyczka zaworu pneumatycznego</t>
  </si>
  <si>
    <t>Zespół Rama Podajników</t>
  </si>
  <si>
    <t>Obrobić na 470,3</t>
  </si>
  <si>
    <t>Transporter OK</t>
  </si>
  <si>
    <t xml:space="preserve">Zespół pakowania </t>
  </si>
  <si>
    <t>Tzrpień stopki</t>
  </si>
  <si>
    <t>sześciokątna M12</t>
  </si>
  <si>
    <t>Bosch Rexroth-Przegub 40x40 
elast.</t>
  </si>
  <si>
    <t>Rama podajników</t>
  </si>
  <si>
    <t>Oprawa natynkowa</t>
  </si>
  <si>
    <t>VO 0412</t>
  </si>
  <si>
    <t>SW-Material</t>
  </si>
  <si>
    <t>Volteno</t>
  </si>
  <si>
    <t>K0695.0716</t>
  </si>
  <si>
    <t>Zmiana typu artykułu 2023.01.02</t>
  </si>
  <si>
    <t>Wygrodzenie</t>
  </si>
  <si>
    <t>K0521.130X1650</t>
  </si>
  <si>
    <t>Języczek zamka</t>
  </si>
  <si>
    <t>0--K0521.130X1650-A-Języczek zamka</t>
  </si>
  <si>
    <t>K0520.131</t>
  </si>
  <si>
    <t>Zamek</t>
  </si>
  <si>
    <t>--K0520.131-B-Zamek</t>
  </si>
  <si>
    <t>0--092001-A-Uchwyt</t>
  </si>
  <si>
    <t>--091046-B-Zaślepka 40x40</t>
  </si>
  <si>
    <t>0--098DM12150M-A-Tzrpień stopki</t>
  </si>
  <si>
    <t>0--098D080KG-D-Stopka 80kg</t>
  </si>
  <si>
    <t>--095k4040f10-B-Zawias 40X40 N10</t>
  </si>
  <si>
    <t>2023-01-03 MK po projekcie 1851</t>
  </si>
  <si>
    <t>2023-01-04 MK po projekcie 1851</t>
  </si>
  <si>
    <t>2023-01-04 MK JP</t>
  </si>
  <si>
    <t>magazyn 4x4x20 / 4x4x45</t>
  </si>
  <si>
    <t>magazyn 6x6x50</t>
  </si>
  <si>
    <t>08.01.2023 - DWIE PALETY MAMY NA MAGAZYNIE ???</t>
  </si>
  <si>
    <t>Zamówienie Z/ATCP/1927/1948/606/MK</t>
  </si>
  <si>
    <t>dostawa w 4 tygodniu lutego</t>
  </si>
  <si>
    <t>Z/IGUS/1927/1943/610/MK</t>
  </si>
  <si>
    <t>Z/ALLEGRO/1927/617/MK</t>
  </si>
  <si>
    <t>Z/ALBECO/1927/1946/1948/1980/618/MK</t>
  </si>
  <si>
    <t>2023-01-11 MK</t>
  </si>
  <si>
    <t>Z/PIVEXIN/1927/621/MK</t>
  </si>
  <si>
    <t>2023-01-12 JP</t>
  </si>
  <si>
    <t>Z/KACPEREK/1927/624/MK</t>
  </si>
  <si>
    <t>DOSTAWA 2023-03-15</t>
  </si>
  <si>
    <t xml:space="preserve">Z/FATH/1927/1948/608/MK </t>
  </si>
  <si>
    <t>Y-G012</t>
  </si>
  <si>
    <t>Końcówka widełkowa</t>
  </si>
  <si>
    <t>MHW2-32D</t>
  </si>
  <si>
    <t>CQ-D012</t>
  </si>
  <si>
    <t>Wspornik montażowy</t>
  </si>
  <si>
    <t>CDQMB16-20</t>
  </si>
  <si>
    <t>CDQ2A12-20M</t>
  </si>
  <si>
    <t>WAI 18 K</t>
  </si>
  <si>
    <t xml:space="preserve">Kolanko </t>
  </si>
  <si>
    <t>K0574.02002455</t>
  </si>
  <si>
    <t>K0342.3004</t>
  </si>
  <si>
    <t>Trzpień ustalający</t>
  </si>
  <si>
    <t>HGL-M5-B</t>
  </si>
  <si>
    <t>1010BS</t>
  </si>
  <si>
    <t>Tulejka samosmarna</t>
  </si>
  <si>
    <t>Chwytak 2-szczękowy, 
kątowy, mechanizm 
zębatkowy</t>
  </si>
  <si>
    <t>Siłownik kompaktowy 
zabezpieczony przed 
obrotem</t>
  </si>
  <si>
    <t>Amortyzatory gumowe 
paraboliczne</t>
  </si>
  <si>
    <t>Zawór zwrotny 
sterowany</t>
  </si>
  <si>
    <t>037624 10</t>
  </si>
  <si>
    <t>WURTH</t>
  </si>
  <si>
    <t>CDQ2A12-
20DMZ</t>
  </si>
  <si>
    <t>H. Mech</t>
  </si>
  <si>
    <t>Bimex</t>
  </si>
  <si>
    <t>M4 z kołnierzem</t>
  </si>
  <si>
    <t>Kiść rozładunkowa</t>
  </si>
  <si>
    <t>Mufa połączeniowa - SKD-8X10-M4</t>
  </si>
  <si>
    <t>SKD-8X10-M4</t>
  </si>
  <si>
    <t>2023-01-13 JP</t>
  </si>
  <si>
    <t>Z/SMC/1912/1927/1948/626/MK</t>
  </si>
  <si>
    <t xml:space="preserve">HT100B105C0320SANNRX079G0603 </t>
  </si>
  <si>
    <t>Prowadnica Liniowa</t>
  </si>
  <si>
    <t>25-002372</t>
  </si>
  <si>
    <t>Zaślepka koła pasowego HT100B</t>
  </si>
  <si>
    <t>093W403N10</t>
  </si>
  <si>
    <t>Kątownik 40x80</t>
  </si>
  <si>
    <t>3 842 528 746</t>
  </si>
  <si>
    <t>Łącznik profilu 180, 
N10</t>
  </si>
  <si>
    <t>3 842 528 968</t>
  </si>
  <si>
    <t>Zaślepka 40x40L</t>
  </si>
  <si>
    <t>3 842 528 967</t>
  </si>
  <si>
    <t>3 842 529 005</t>
  </si>
  <si>
    <t xml:space="preserve">Kątownik 40-80 </t>
  </si>
  <si>
    <t>PRT-A0057980</t>
  </si>
  <si>
    <t>Rolka</t>
  </si>
  <si>
    <t>Przyssawka</t>
  </si>
  <si>
    <t>HGR25R L=520mm 9 otw. 
sym.</t>
  </si>
  <si>
    <t>HGR25R</t>
  </si>
  <si>
    <t>C5050</t>
  </si>
  <si>
    <t>Ucho pojedyncze</t>
  </si>
  <si>
    <t>Φ12x60</t>
  </si>
  <si>
    <t>Wózek HGH25HAZ0H</t>
  </si>
  <si>
    <t>bez łba, koniec płaski M12x55</t>
  </si>
  <si>
    <t>DIN 913</t>
  </si>
  <si>
    <t>Φ12x70</t>
  </si>
  <si>
    <t>093T40801212R</t>
  </si>
  <si>
    <t>Płytka stopki 40X80 
M12</t>
  </si>
  <si>
    <t>Zaślepka 40x80</t>
  </si>
  <si>
    <t>HGR15R L=170mm 3 otw. 
sym.</t>
  </si>
  <si>
    <t>CD85N20-100C-B</t>
  </si>
  <si>
    <t>3 842 548 783</t>
  </si>
  <si>
    <t>Zaślepka 40x40 z 
otworem</t>
  </si>
  <si>
    <t>Montaż Dźwigni</t>
  </si>
  <si>
    <t>HLS12X30-S</t>
  </si>
  <si>
    <t>HGH25HAZ0H</t>
  </si>
  <si>
    <t>M.Szcześniak</t>
  </si>
  <si>
    <t>Montaż dźwigni- zabudowa boczna</t>
  </si>
  <si>
    <t>Montaż dźwigni- zabudowa podajnika</t>
  </si>
  <si>
    <t>Montaż dźwigni- rama przenośnika dźwigni</t>
  </si>
  <si>
    <t>Profil zjazdu pudełka</t>
  </si>
  <si>
    <t>Montaż dźwigni- rama transportera zewnętrznego</t>
  </si>
  <si>
    <t>Montaż dźwigni- rama transportera wewnętrznego</t>
  </si>
  <si>
    <t>HFK20B</t>
  </si>
  <si>
    <t>Chwytak</t>
  </si>
  <si>
    <t>EAMD-28-22-14-10X12</t>
  </si>
  <si>
    <t>K0477.550</t>
  </si>
  <si>
    <t>1927--1927 - 0.274m B15i.025.038.0 + podparty025.12PZ.A2</t>
  </si>
  <si>
    <t>0.274m B15i.025.038.0 + podparty025.12P
Z.A2</t>
  </si>
  <si>
    <t>0.274m B15i.025.038.0 + podparty025.12PZ.A2</t>
  </si>
  <si>
    <t>HS21XD1YT1-0800-0660A2R + HC025B081N0100SANNN</t>
  </si>
  <si>
    <t>EAMD-28-22-14-10x12</t>
  </si>
  <si>
    <t>Portal XYZ</t>
  </si>
  <si>
    <t>wg oferty 20022674A z 17.01.2023</t>
  </si>
  <si>
    <t>DAS 100/50F</t>
  </si>
  <si>
    <t>BSLM02</t>
  </si>
  <si>
    <t>Tłumik z brązu 
spiekanego (Płaski)</t>
  </si>
  <si>
    <t>0---BSLM02-0-Tłumik z brązu spiekanego (Płaski)</t>
  </si>
  <si>
    <t>095k3040f00</t>
  </si>
  <si>
    <t>Zawias 30X40 N8</t>
  </si>
  <si>
    <t>0--095k3040f00-A-Zawias 30X40 N8</t>
  </si>
  <si>
    <t>K1569.0300</t>
  </si>
  <si>
    <t>Prowadnica 
teleskopowa</t>
  </si>
  <si>
    <t>MU 1414</t>
  </si>
  <si>
    <t>Mufka 1/4</t>
  </si>
  <si>
    <t>Rura hydr. precyzyjna 
8x1,5 mm E235</t>
  </si>
  <si>
    <t>HD-M-08L</t>
  </si>
  <si>
    <t>Nakrętka M do 
łączników DIN 2353</t>
  </si>
  <si>
    <t>HD-GE-08L-BE-04</t>
  </si>
  <si>
    <t>Przyłączka wkrętna 
GE-BE</t>
  </si>
  <si>
    <t>HD-D-08</t>
  </si>
  <si>
    <t>Pierścień zacinający D</t>
  </si>
  <si>
    <t>TUBES-INTERNATIONAL</t>
  </si>
  <si>
    <t>PT10 LSLS</t>
  </si>
  <si>
    <t>Zbiornik ciśnieniowy na olej</t>
  </si>
  <si>
    <t>HR-HPC1-08X1,5</t>
  </si>
  <si>
    <t>MAG</t>
  </si>
  <si>
    <t>2023-01-19 JP</t>
  </si>
  <si>
    <t>PRT-A0056240</t>
  </si>
  <si>
    <t>Śruba kulowa</t>
  </si>
  <si>
    <t>Śruba kulowa wg Rysunku: 1927-102-PRT-A0056240-A-Śruba kulowa</t>
  </si>
  <si>
    <t>Skok gwintu P=10</t>
  </si>
  <si>
    <t>D.Papka</t>
  </si>
  <si>
    <t>SX5000-16-1A</t>
  </si>
  <si>
    <t>Wspornik boczny</t>
  </si>
  <si>
    <t>D5032</t>
  </si>
  <si>
    <t>CD55B63-50</t>
  </si>
  <si>
    <t>CD55B50-50</t>
  </si>
  <si>
    <t>C5032</t>
  </si>
  <si>
    <t>ASP330F-01-06S</t>
  </si>
  <si>
    <t>SN-80-5/7MP90A-70-A</t>
  </si>
  <si>
    <t>Przekładnia planetarna</t>
  </si>
  <si>
    <t>d1=19 mm</t>
  </si>
  <si>
    <t>LM12LUU</t>
  </si>
  <si>
    <t>H.Mech.</t>
  </si>
  <si>
    <t>K0571.02002555</t>
  </si>
  <si>
    <t>Odbój</t>
  </si>
  <si>
    <t>HGW25CCZOH</t>
  </si>
  <si>
    <t>R32-10K5-FSCDIN</t>
  </si>
  <si>
    <t>Śruba kulowa P=10</t>
  </si>
  <si>
    <t>SB09C63269</t>
  </si>
  <si>
    <t xml:space="preserve">SKOK GWINTU P=10 </t>
  </si>
  <si>
    <t>HGL15CAZ0H</t>
  </si>
  <si>
    <t>PRT-A0059002</t>
  </si>
  <si>
    <t>1927-115-PRT-A0059002-0-Listwa montażowa</t>
  </si>
  <si>
    <t>YSR-8-8-C</t>
  </si>
  <si>
    <t>YSR-8-8-C-B-Amortyzator hydrauliczny M12x1</t>
  </si>
  <si>
    <t>GKM10-20</t>
  </si>
  <si>
    <t>Głowica widełkowa</t>
  </si>
  <si>
    <t>CP96SDB32-460C</t>
  </si>
  <si>
    <t>098DM16150M</t>
  </si>
  <si>
    <t>Nóżka M16x150</t>
  </si>
  <si>
    <t>098DM16150M-0-Nóżka M16x150</t>
  </si>
  <si>
    <t>Stopka 80</t>
  </si>
  <si>
    <t xml:space="preserve">098D080KG-0-Stopka </t>
  </si>
  <si>
    <t xml:space="preserve"> Zawór zwrotny sterowany 
ASP330F-01-06S</t>
  </si>
  <si>
    <t>LMF25LUU</t>
  </si>
  <si>
    <t>LMF16LUU</t>
  </si>
  <si>
    <t>PRT-A0056257</t>
  </si>
  <si>
    <t xml:space="preserve">Szyna </t>
  </si>
  <si>
    <t xml:space="preserve">HGR25R </t>
  </si>
  <si>
    <t xml:space="preserve">FK20-C5 </t>
  </si>
  <si>
    <t>FK20-C5-Wariant B-0-Zespół łożyskowy stały</t>
  </si>
  <si>
    <t>Wariant B</t>
  </si>
  <si>
    <t>FK20-C5</t>
  </si>
  <si>
    <t>FK20-C5-Wariant A-0-Zespół łożyskowy stały</t>
  </si>
  <si>
    <t>Wariant A</t>
  </si>
  <si>
    <t>Szerokość 400 mm; Długość L = 5300 mm</t>
  </si>
  <si>
    <t>Szerokość 400 mm; Długość L = 700 mm</t>
  </si>
  <si>
    <t>PRT-A0050274</t>
  </si>
  <si>
    <t>Wkręt dociskowy z gniazdem sześciokątnym z czopem walcowym M16x40</t>
  </si>
  <si>
    <t>1927-106-PRT-A0050274-B-Śruba podpierająca</t>
  </si>
  <si>
    <t>07820.160.040</t>
  </si>
  <si>
    <t>FABORY lub ARGIP</t>
  </si>
  <si>
    <t>Skrawanie</t>
  </si>
  <si>
    <t>PRT-A0059005</t>
  </si>
  <si>
    <t>Prowadnik kablowy z mocowaniem</t>
  </si>
  <si>
    <t>14.1.028.0-114.12PZ</t>
  </si>
  <si>
    <t>18 ogniw+pełny zestaw końcowy</t>
  </si>
  <si>
    <t>PRT-A0059004</t>
  </si>
  <si>
    <t>L=820 mm Otwory symetrycznie</t>
  </si>
  <si>
    <t>D22098U</t>
  </si>
  <si>
    <t>Sprężyna naciskowa</t>
  </si>
  <si>
    <t>TEVEMA</t>
  </si>
  <si>
    <t>PRT-A0049981</t>
  </si>
  <si>
    <t>B15i.038.075.0-1038.12PZ</t>
  </si>
  <si>
    <t>26 ogniw+pełny zestaw końcowy</t>
  </si>
  <si>
    <t>GV 100</t>
  </si>
  <si>
    <t>Kratka wentylacyjna</t>
  </si>
  <si>
    <t>RUBSAMEN&amp;HERR</t>
  </si>
  <si>
    <t>K0569.03003055</t>
  </si>
  <si>
    <t>Amortyzator gumowy</t>
  </si>
  <si>
    <t>Łącznik Rotex</t>
  </si>
  <si>
    <t>ŁĄCZNIK ROTEX GS 24 98 Shore A (czerwony)</t>
  </si>
  <si>
    <t>55024.100.0002</t>
  </si>
  <si>
    <t>KTR</t>
  </si>
  <si>
    <t>Piasta Rotex</t>
  </si>
  <si>
    <t> PIASTA ROTEX GS 24 AL-H L=30 2.5 18(H7)</t>
  </si>
  <si>
    <t>55024.715.1850</t>
  </si>
  <si>
    <t> PIASTA ROTEX GS 24 AL-H L=30 2.5 20(H7)</t>
  </si>
  <si>
    <t>55024.715.2050</t>
  </si>
  <si>
    <t>UM 12 X 8 M4</t>
  </si>
  <si>
    <t>Magnes</t>
  </si>
  <si>
    <t>ENES</t>
  </si>
  <si>
    <t>STOPER</t>
  </si>
  <si>
    <r>
      <t xml:space="preserve">Zespół łożyskowy </t>
    </r>
    <r>
      <rPr>
        <sz val="14"/>
        <rFont val="Arial"/>
        <family val="2"/>
        <charset val="238"/>
      </rPr>
      <t>stały</t>
    </r>
  </si>
  <si>
    <r>
      <t xml:space="preserve">Łożysko liniowe </t>
    </r>
    <r>
      <rPr>
        <sz val="14"/>
        <rFont val="Arial"/>
        <family val="2"/>
        <charset val="238"/>
      </rPr>
      <t>kołnierzowe</t>
    </r>
  </si>
  <si>
    <r>
      <t xml:space="preserve">Siłownik </t>
    </r>
    <r>
      <rPr>
        <sz val="14"/>
        <rFont val="Arial"/>
        <family val="2"/>
        <charset val="238"/>
      </rPr>
      <t>pneumatyczny</t>
    </r>
  </si>
  <si>
    <r>
      <t xml:space="preserve">Amortyzator </t>
    </r>
    <r>
      <rPr>
        <sz val="14"/>
        <rFont val="Arial"/>
        <family val="2"/>
        <charset val="238"/>
      </rPr>
      <t>hydrauliczny M12x1</t>
    </r>
  </si>
  <si>
    <t>Winda We./Wy.</t>
  </si>
  <si>
    <t>Osłona lasera</t>
  </si>
  <si>
    <t>Osłona załadunku</t>
  </si>
  <si>
    <t>Rama transportera</t>
  </si>
  <si>
    <t>Bazowanie paletki-Bumper/Test</t>
  </si>
  <si>
    <t>Bazowanie paletki-Montaż</t>
  </si>
  <si>
    <t>Bazowanie paletki Bumper/Test/Montaż</t>
  </si>
  <si>
    <t>Bazowanie paletki-bumper</t>
  </si>
  <si>
    <t>Z/MXnorm/1861/1927/617/MK</t>
  </si>
  <si>
    <t>2023-01-20 JP</t>
  </si>
  <si>
    <t>Przetwornica częstotliwości1,5A</t>
  </si>
  <si>
    <t>Dioda</t>
  </si>
  <si>
    <t>Wtyczka (M12; kodowanie A; źeńska)</t>
  </si>
  <si>
    <t>Wtyczka (M12; kodowanie A; męska)</t>
  </si>
  <si>
    <t>Wtyczka Profinet (M12; kodowanie D; męska)</t>
  </si>
  <si>
    <t>Wtyczka M12-5 pin męska</t>
  </si>
  <si>
    <t>Wtyczka M12-5 pin żeńska</t>
  </si>
  <si>
    <t>Czujnik indukcyjny M8 NC</t>
  </si>
  <si>
    <t>Czujnik indukcyjny M8</t>
  </si>
  <si>
    <t>Czujnik indukcyjny L=0,3m, M8</t>
  </si>
  <si>
    <t>Czujnik indukcyjny M12</t>
  </si>
  <si>
    <t>Czujnik pola magnetycznego (rowek C-SMC)</t>
  </si>
  <si>
    <t>Czujnik indukcyjny Ø6,5 z kablem L=2m</t>
  </si>
  <si>
    <t>Bariera optyczna nadajnik - odbiornik</t>
  </si>
  <si>
    <t>Czujnik pola magnetycznego</t>
  </si>
  <si>
    <t>Opaska mont. do BMF 307</t>
  </si>
  <si>
    <t>Koncentrator 8xM8 z kablem L=5m</t>
  </si>
  <si>
    <t>Wentylator kolumnowy z pilotem</t>
  </si>
  <si>
    <t>Stycznik miniaturowy</t>
  </si>
  <si>
    <t>Duży przycisk ręczny</t>
  </si>
  <si>
    <t>Wkładka 25-pin męska</t>
  </si>
  <si>
    <t>Kontakty posrebrzany - zaciskany, męski - 0,75 mm²</t>
  </si>
  <si>
    <t>Obudowa wtyczki Han A</t>
  </si>
  <si>
    <t>Wkładka 25-pin żeńska</t>
  </si>
  <si>
    <t>Kontakty posrebrzany - zaciskany (0,75mm²), żeński</t>
  </si>
  <si>
    <t>Obudowa gniazda, montaż powierzchniowy</t>
  </si>
  <si>
    <t>Listwa mocująca kable L=140 mm</t>
  </si>
  <si>
    <t>Lampka sygnalizacyjna RD/GN</t>
  </si>
  <si>
    <t>Kolumna sygnalizacyjna 3-kolorowa</t>
  </si>
  <si>
    <t>Oprawa punktowa 50W Gx5,3 12V</t>
  </si>
  <si>
    <t>Oprawka GX5,3 ceramiczna</t>
  </si>
  <si>
    <t>Żarówka LED 3W GX5,3 12V AC/DC</t>
  </si>
  <si>
    <t>Wzmacniacz pomiarowy Expansion unit</t>
  </si>
  <si>
    <t>Dalemierz laserowy</t>
  </si>
  <si>
    <t>Bezpiecznik elektroniczny DC 1A-10A</t>
  </si>
  <si>
    <t>MITSUBISHI CC-LINK IE FIELD moduł 16 wyjść cyfrowych</t>
  </si>
  <si>
    <t>MITSUBISHI CC-Link IE field moduł 16 wejść cyfrowych</t>
  </si>
  <si>
    <t>Switch 8 portów</t>
  </si>
  <si>
    <t>Kabel profinet M12X1/RJ45 10m D-coded</t>
  </si>
  <si>
    <t>Kabel profinet M12X1/RJ45 5m D-coded</t>
  </si>
  <si>
    <t>Trójnik 2xM8 3-pin M12 4-pin</t>
  </si>
  <si>
    <t>Przetwornik momentu Mn=2.5 Nm</t>
  </si>
  <si>
    <t>Przekaźnik 2PDT 24VDC</t>
  </si>
  <si>
    <t>Podstawka przekaźnika dwutorowego</t>
  </si>
  <si>
    <t>Przekaźnik 1PDT; 24VDC</t>
  </si>
  <si>
    <t>Podstawka przekaźnika</t>
  </si>
  <si>
    <t>Zasilacz impulsowy 12V/2,5A</t>
  </si>
  <si>
    <t>BRAMKA OPTYCZNA</t>
  </si>
  <si>
    <t>Przysłonka bramki E3T-FT14</t>
  </si>
  <si>
    <t>BRAMKA OPTYCZNA; Nadajnik-odbiornik</t>
  </si>
  <si>
    <t>Przysłonka bramki E3T-ST13</t>
  </si>
  <si>
    <t>Uchwyt bramki E3T-ST</t>
  </si>
  <si>
    <t>Czujnik indukcyjny</t>
  </si>
  <si>
    <t>Czujnik optyczny-diffuse</t>
  </si>
  <si>
    <t>Zasilacz do oświetlenia LED</t>
  </si>
  <si>
    <t>Wyłącznik nadprądowy iC60N 40A/4P ch-ka C</t>
  </si>
  <si>
    <t>Wyłącznik różnicowo-nadprądowy 2P 10A B</t>
  </si>
  <si>
    <t>Wyłączniki i C60N</t>
  </si>
  <si>
    <t>Wyłącznik i C60N</t>
  </si>
  <si>
    <t>Wyłącznik nadprądowy iC60 10A ch-ka C</t>
  </si>
  <si>
    <t>Wyłącznik silnikowy 0,63-1A</t>
  </si>
  <si>
    <t>Styki pomocnicze 1NC+1NO</t>
  </si>
  <si>
    <t>Wyłącznik różnicowo-nadprądowy 2P 16A C</t>
  </si>
  <si>
    <t>Stycznik</t>
  </si>
  <si>
    <t>Łącznik magnetyczny bezpieczeństwa (L=10000 mm)</t>
  </si>
  <si>
    <t>Przycisk monostabilny podświetlany - niebieski</t>
  </si>
  <si>
    <t>Obudowa kasety 1-otworowa 22mm szara</t>
  </si>
  <si>
    <t>Blok styków pojedyńczy dla głowicy Ø22 NO</t>
  </si>
  <si>
    <t>Dioda LED -(niebieski) 24VAC/DC</t>
  </si>
  <si>
    <t>Przycisk bezpieczeństwa 2NC+1NO w kasecie</t>
  </si>
  <si>
    <t>Obudowa kasety 2-otworowa 22mm szara</t>
  </si>
  <si>
    <t>Główka - dwa poł. stabilne</t>
  </si>
  <si>
    <t>Adapter-mocowanie zestyków</t>
  </si>
  <si>
    <t>Zestyk zwierny</t>
  </si>
  <si>
    <t>Główka podświetlana (zielona) - monostabilna</t>
  </si>
  <si>
    <t>Dioda LED</t>
  </si>
  <si>
    <t>Czujnik położenia MPS</t>
  </si>
  <si>
    <t>Czujniki pomiaru przemieszczeń OD Mini</t>
  </si>
  <si>
    <t>Bariera świetlna Pick2Light L=420 mm</t>
  </si>
  <si>
    <t>Folia odblaskowa na profilu aluminiowym 16,5 mm x 494,3 mm</t>
  </si>
  <si>
    <t>Gniazdo 2X16A IP54</t>
  </si>
  <si>
    <t>Gniazdo IP54</t>
  </si>
  <si>
    <t>EX260, Moduł SI</t>
  </si>
  <si>
    <t>Czujnik pola magnetycznego; 3-przewodowy</t>
  </si>
  <si>
    <t>Wyłącznik ciśnieniowy</t>
  </si>
  <si>
    <t>Uchwyt do montażu czujnika w rowku teowym</t>
  </si>
  <si>
    <t>Generator podciśnienia</t>
  </si>
  <si>
    <t>Złącze 7/8", proste, żeńskie - POWER IN</t>
  </si>
  <si>
    <t>Złącze 7/8", proste, męskie - POWER OUT</t>
  </si>
  <si>
    <t>Panel LED 30W 6000K; 600mm x 300mm</t>
  </si>
  <si>
    <t>Ramka pojedyncza</t>
  </si>
  <si>
    <t>Wkładka 1 x zasilanie: 2 x data</t>
  </si>
  <si>
    <t>Wkładka 230VAC-EUR</t>
  </si>
  <si>
    <t>Wkładka RJ45 &lt;-&gt; RJ45 ETHERNET</t>
  </si>
  <si>
    <t>1N4007</t>
  </si>
  <si>
    <t>M12_B_F</t>
  </si>
  <si>
    <t>M12_A_M</t>
  </si>
  <si>
    <t>M12_D_M</t>
  </si>
  <si>
    <t>M12-5M</t>
  </si>
  <si>
    <t>M12-5F</t>
  </si>
  <si>
    <t>BES M08EE-POC20B-S49G-003</t>
  </si>
  <si>
    <t>BES M08MI-PSC20B-S49G</t>
  </si>
  <si>
    <t>BES R04KC-PSC25F-EP00,3-GS49</t>
  </si>
  <si>
    <t>BES M12MI-PSC40B-S04G</t>
  </si>
  <si>
    <t>BMF 214K-PS-C-2A-SA2-S49-00,3</t>
  </si>
  <si>
    <t>BES 516-371-G-E4-C-02</t>
  </si>
  <si>
    <t>BOS0125</t>
  </si>
  <si>
    <t>BMF 235K-PS-C-2A-SA2-S49-00,3</t>
  </si>
  <si>
    <t>BMF 307-HW-73-Z-115</t>
  </si>
  <si>
    <t>BPI 8M303P-5K-B0-KPXA0-050</t>
  </si>
  <si>
    <t>TX-TF29CR</t>
  </si>
  <si>
    <t>DILER−31−G(24VDC)</t>
  </si>
  <si>
    <t>FAK-S/KC11/I</t>
  </si>
  <si>
    <t>Han 25D-STI-C</t>
  </si>
  <si>
    <t>Han D R15 stift-c 0,75 mm Ag</t>
  </si>
  <si>
    <t>Han 16A-gs-M20</t>
  </si>
  <si>
    <t>Han 25D-BU-C</t>
  </si>
  <si>
    <t>Han D F Crimp Contact Ag</t>
  </si>
  <si>
    <t>Han 16A-asg2-LB-K-M20</t>
  </si>
  <si>
    <t>KZL140</t>
  </si>
  <si>
    <t>LH1D-H2HQ4C30RG</t>
  </si>
  <si>
    <t>ML50</t>
  </si>
  <si>
    <t>CT-DTO50-W 22430</t>
  </si>
  <si>
    <t>HLDR-GX5,3 7210</t>
  </si>
  <si>
    <t>MR16-WW 18473</t>
  </si>
  <si>
    <t>IL-1050</t>
  </si>
  <si>
    <t>IL-300</t>
  </si>
  <si>
    <t>LOCC-Box-FB 7-6400</t>
  </si>
  <si>
    <t>NZ2GF2B1-16TE</t>
  </si>
  <si>
    <t>NZ2GF2S1-16D</t>
  </si>
  <si>
    <t>8 port unmanaged switch</t>
  </si>
  <si>
    <t>7000-44711-7941000</t>
  </si>
  <si>
    <t>7000-44711-7940500</t>
  </si>
  <si>
    <t>7000-41201-0000000</t>
  </si>
  <si>
    <t>NCTE 2200</t>
  </si>
  <si>
    <t>G2R-2-SND 24VDC</t>
  </si>
  <si>
    <t>P2RF-08-E</t>
  </si>
  <si>
    <t>G2RV-SR700 DC24</t>
  </si>
  <si>
    <t>P7SA-10F-ND</t>
  </si>
  <si>
    <t>S8VS-03012</t>
  </si>
  <si>
    <t>E3T-FT14-M5J</t>
  </si>
  <si>
    <t>E39-S64</t>
  </si>
  <si>
    <t>E3T-ST14-M5J</t>
  </si>
  <si>
    <t>E39-S63</t>
  </si>
  <si>
    <t>E2E-C03SR8-CJ-B1</t>
  </si>
  <si>
    <t>E3Z-LS86</t>
  </si>
  <si>
    <t>OR-ZL-1603</t>
  </si>
  <si>
    <t>A9F04440</t>
  </si>
  <si>
    <t>A9D55610</t>
  </si>
  <si>
    <t>A9F04210</t>
  </si>
  <si>
    <t>A9F04106</t>
  </si>
  <si>
    <t>A9F04102</t>
  </si>
  <si>
    <t>A9F04104</t>
  </si>
  <si>
    <t>A9F04310</t>
  </si>
  <si>
    <t>GV2ME05</t>
  </si>
  <si>
    <t>GVAE11</t>
  </si>
  <si>
    <t>A9D31616</t>
  </si>
  <si>
    <t>A9F04110</t>
  </si>
  <si>
    <t>A9F04206</t>
  </si>
  <si>
    <t>LC1D09BD</t>
  </si>
  <si>
    <t>LC1D32BD</t>
  </si>
  <si>
    <t>XCSDMP70010</t>
  </si>
  <si>
    <t>ZB5AW363</t>
  </si>
  <si>
    <t>XALD01</t>
  </si>
  <si>
    <t>ZENL1111</t>
  </si>
  <si>
    <t>ZALVB6</t>
  </si>
  <si>
    <t>XALK178G</t>
  </si>
  <si>
    <t>XALD02</t>
  </si>
  <si>
    <t>ZB4BD2</t>
  </si>
  <si>
    <t>ZB4BZ009</t>
  </si>
  <si>
    <t>ZBE101</t>
  </si>
  <si>
    <t>ZB4BW333</t>
  </si>
  <si>
    <t>ZBVB3 (zielona) 24VAC/DC</t>
  </si>
  <si>
    <t>MPS-032TLTQ0</t>
  </si>
  <si>
    <t>OD1-B150F0AQ14</t>
  </si>
  <si>
    <t>PLG3-420F431</t>
  </si>
  <si>
    <t>REF-PLG420</t>
  </si>
  <si>
    <t>AQGZ1-2/11A</t>
  </si>
  <si>
    <t>AQGZ1/11A</t>
  </si>
  <si>
    <t>EX260-SPN1</t>
  </si>
  <si>
    <t>D-S7P1L</t>
  </si>
  <si>
    <t>D-S7P2L</t>
  </si>
  <si>
    <t>ISE30A-01-B-G</t>
  </si>
  <si>
    <t>ISE30A-01-P-L</t>
  </si>
  <si>
    <t>BMG2-012</t>
  </si>
  <si>
    <t>ZK2A07K5RW-06-B</t>
  </si>
  <si>
    <t>VO0264</t>
  </si>
  <si>
    <t>IE-FC-SFP-KNOB</t>
  </si>
  <si>
    <t>IE-FC-SP-PWB/2ST</t>
  </si>
  <si>
    <t>IE-FCI-PWB-FR</t>
  </si>
  <si>
    <t>IE-BI-RJ45-C</t>
  </si>
  <si>
    <t>M12_A_F</t>
  </si>
  <si>
    <t>BES00CF</t>
  </si>
  <si>
    <t>BES003P</t>
  </si>
  <si>
    <t>BES01YM</t>
  </si>
  <si>
    <t>BES0068</t>
  </si>
  <si>
    <t>BMF00A2</t>
  </si>
  <si>
    <t>BES00ZF</t>
  </si>
  <si>
    <t>BMF00C4</t>
  </si>
  <si>
    <t>BAM02W1</t>
  </si>
  <si>
    <t>BPI00CM</t>
  </si>
  <si>
    <t>010157</t>
  </si>
  <si>
    <t>09 21 025 3001</t>
  </si>
  <si>
    <t>09 15 000 6105</t>
  </si>
  <si>
    <t>19 20 016 1540</t>
  </si>
  <si>
    <t>09 21 025 3101</t>
  </si>
  <si>
    <t>09 15 000 6205</t>
  </si>
  <si>
    <t>19 20 016 0295</t>
  </si>
  <si>
    <t>32264</t>
  </si>
  <si>
    <t>716400</t>
  </si>
  <si>
    <t>Seria 2200 Mn=2.5</t>
  </si>
  <si>
    <t>ZBVB3</t>
  </si>
  <si>
    <t>1062506</t>
  </si>
  <si>
    <t>6052326</t>
  </si>
  <si>
    <t>1029132</t>
  </si>
  <si>
    <t>1029200</t>
  </si>
  <si>
    <t>1450510000</t>
  </si>
  <si>
    <t>1450550000</t>
  </si>
  <si>
    <t>1450750000</t>
  </si>
  <si>
    <t>1962840000</t>
  </si>
  <si>
    <t>Balluff</t>
  </si>
  <si>
    <t>Challenge</t>
  </si>
  <si>
    <t>EATON</t>
  </si>
  <si>
    <t>Harting</t>
  </si>
  <si>
    <t>ICOTEK</t>
  </si>
  <si>
    <t>IDEC</t>
  </si>
  <si>
    <t>INDUAL</t>
  </si>
  <si>
    <t>KANLUX</t>
  </si>
  <si>
    <t>Keyence</t>
  </si>
  <si>
    <t>LUETZE</t>
  </si>
  <si>
    <t>Mitsubishi Electric</t>
  </si>
  <si>
    <t>NCTE AG</t>
  </si>
  <si>
    <t>OMRON Corporation</t>
  </si>
  <si>
    <t>ORNO POLSKA</t>
  </si>
  <si>
    <t>SIMON</t>
  </si>
  <si>
    <t>VOLTENO</t>
  </si>
  <si>
    <t>Weidmüller</t>
  </si>
  <si>
    <t>MAGAZYN OD Ł.Wcześniak</t>
  </si>
  <si>
    <t>K0705.04X06</t>
  </si>
  <si>
    <t>I</t>
  </si>
  <si>
    <t>0.644m 240.03.075.0 + 
2030.34PZ.A2</t>
  </si>
  <si>
    <t>Prowadnik kablowy z 
mocowaniem</t>
  </si>
  <si>
    <t>Seria 240</t>
  </si>
  <si>
    <t>0.2m E2.10.10.028.0 + 
E2.100.10.34PZ A2</t>
  </si>
  <si>
    <t>Seria E2</t>
  </si>
  <si>
    <t>MGNR09R65HM</t>
  </si>
  <si>
    <t>MGN9C</t>
  </si>
  <si>
    <t>HT100B105C0320SANNRX079
G0603</t>
  </si>
  <si>
    <t>Stół liniowy pasowy</t>
  </si>
  <si>
    <t xml:space="preserve">HT100B105C032
0SANNRX079G0
603 </t>
  </si>
  <si>
    <t>HGR20R L=280mm 5 otw. 
sym.</t>
  </si>
  <si>
    <t>Osłona bloku napędu 
HT100B</t>
  </si>
  <si>
    <t>25-000511</t>
  </si>
  <si>
    <t>Tuleja centrująca 8h6</t>
  </si>
  <si>
    <t>20-000529</t>
  </si>
  <si>
    <t>Wpust przesuwny 
teowy, rozmiar 5 - M5</t>
  </si>
  <si>
    <t>HLS12X100SB</t>
  </si>
  <si>
    <t>Stół przesuwny 
kompaktowy</t>
  </si>
  <si>
    <t>ACE40X70SBG</t>
  </si>
  <si>
    <t>ACA2030-1</t>
  </si>
  <si>
    <t>Amortyzator M20x1.5</t>
  </si>
  <si>
    <t>AirTac</t>
  </si>
  <si>
    <t>Stacja Testu</t>
  </si>
  <si>
    <t>K0705.04X12</t>
  </si>
  <si>
    <t xml:space="preserve">Końcówka widełkowa </t>
  </si>
  <si>
    <t>kulkowe 6203</t>
  </si>
  <si>
    <t>KM 2</t>
  </si>
  <si>
    <t>PN-82-M-86478</t>
  </si>
  <si>
    <t>GS 14 spider 98 Sh-A-GS red</t>
  </si>
  <si>
    <t>GS 14</t>
  </si>
  <si>
    <t>ROTEX</t>
  </si>
  <si>
    <t>GS 14 AL-H clamp hub 2.1 
Ø14H7</t>
  </si>
  <si>
    <t>GS 14 AL-H</t>
  </si>
  <si>
    <t>GS 14 AL-H clamp hub 2.1 
Ø9H7</t>
  </si>
  <si>
    <t>SN60-1-50M5</t>
  </si>
  <si>
    <t>T30925</t>
  </si>
  <si>
    <t>Sprężyna naciągowa</t>
  </si>
  <si>
    <t>Z/ATCP/1927/52/JP</t>
  </si>
  <si>
    <t>Z/PREMA/1927/50/JP</t>
  </si>
  <si>
    <t>2023-01-23 JP</t>
  </si>
  <si>
    <t>KOSZYK TIM</t>
  </si>
  <si>
    <t>2023-01-23 MK</t>
  </si>
  <si>
    <t>MAGAZYN PO 1851</t>
  </si>
  <si>
    <t>MAGAZYN - 2426700000</t>
  </si>
  <si>
    <t xml:space="preserve">Z/KIPP/1927/1943/46/JP </t>
  </si>
  <si>
    <t>Z/KIPP/1927/36/JP</t>
  </si>
  <si>
    <t>Z/KIPP/1927/51/JP</t>
  </si>
  <si>
    <t>08/2023</t>
  </si>
  <si>
    <t>2023-01-24 JP</t>
  </si>
  <si>
    <t>Z/TEVEMA/1927/53/JP</t>
  </si>
  <si>
    <t>2023-01-23 JP DOSTARCZONO 150349 FATH</t>
  </si>
  <si>
    <t>Z/POLTECH/1927/38/JP</t>
  </si>
  <si>
    <t>2
5 mag
5</t>
  </si>
  <si>
    <t>2022-10-11 MK po projekcie 1857
2022-10-11 MK 
2023-01-24 JP DOSTARCZONO 291739</t>
  </si>
  <si>
    <t>2023-01-24 JP DOSTARCZONO 312348</t>
  </si>
  <si>
    <t>Z/IGUS/1927/56/JP</t>
  </si>
  <si>
    <t>2023-01-25 JP</t>
  </si>
  <si>
    <t>Z/LAUZE/1927/645/MK</t>
  </si>
  <si>
    <t>Z/FABORY/1927/650/MK</t>
  </si>
  <si>
    <t>2023-01-25 MK</t>
  </si>
  <si>
    <t>2023-01-26 JP</t>
  </si>
  <si>
    <t>Y44-F03-A</t>
  </si>
  <si>
    <t>Element z 4 odejściami</t>
  </si>
  <si>
    <t>Przygotowanie powietrza</t>
  </si>
  <si>
    <t>Y400-A</t>
  </si>
  <si>
    <t>Element łączący</t>
  </si>
  <si>
    <t>Stopery</t>
  </si>
  <si>
    <t>Załadunek ręczny - Osłona</t>
  </si>
  <si>
    <t>Zawór zwrotny sterowany</t>
  </si>
  <si>
    <t>Załadunek ręczny</t>
  </si>
  <si>
    <t>Reduktor ciśnienia</t>
  </si>
  <si>
    <t>Ogólnie</t>
  </si>
  <si>
    <t>EVR1210-F01</t>
  </si>
  <si>
    <t>Zawór LUB</t>
  </si>
  <si>
    <t>Wbijanie Pina</t>
  </si>
  <si>
    <t>SY5320-5YO-01F-F2-Q</t>
  </si>
  <si>
    <t>SY5000, Zawór rozdzielające 5-drogowe 5/3 środkowa pozycja zamknięta</t>
  </si>
  <si>
    <t>Robot rozładunku</t>
  </si>
  <si>
    <t>Robot montażu dźwigni</t>
  </si>
  <si>
    <t>DA 400 18RM</t>
  </si>
  <si>
    <t>Zawór smarujący</t>
  </si>
  <si>
    <t>Smarowanie kołka</t>
  </si>
  <si>
    <t>2023-01-27 JP</t>
  </si>
  <si>
    <t xml:space="preserve">Z/ATCP/1927/1948/66/JP </t>
  </si>
  <si>
    <t>tydzień 08/2023</t>
  </si>
  <si>
    <t>GAR20006SGK</t>
  </si>
  <si>
    <t>P25-14A L=1472 B=415</t>
  </si>
  <si>
    <t>P25-14A L=1972 B=415</t>
  </si>
  <si>
    <t xml:space="preserve">1927-300-PRT-A0058013-Pas transportowy zgrzany w pętlę 
</t>
  </si>
  <si>
    <t xml:space="preserve">Pas transportowy zgrzany w pętlę </t>
  </si>
  <si>
    <t>PRT-A0058013</t>
  </si>
  <si>
    <t xml:space="preserve">1927-300-PRT-A0058000-Pas transportowy zgrzany w pętlę 
</t>
  </si>
  <si>
    <t>PRT-A0058000</t>
  </si>
  <si>
    <t>E2i.26.038.055.0 (12 ogniw) + 2030.12PZ+.A1</t>
  </si>
  <si>
    <t>30x1.5 stal ocynkowana, DRR 433 mm, DDZ 448 mm, DO 465 mm, oś Φ8</t>
  </si>
  <si>
    <t>2023-01-26 MK dostarczone z 1948</t>
  </si>
  <si>
    <t>2023-01-30 MK</t>
  </si>
  <si>
    <t>2023-01-20 JP
2023-01-30 MK po projekcie 1851</t>
  </si>
  <si>
    <t xml:space="preserve">
1 mag</t>
  </si>
  <si>
    <t>2023-01-30 MK po projekcie 1851</t>
  </si>
  <si>
    <t>2023-01-30 MK od Pana Marka</t>
  </si>
  <si>
    <t>3 mag
1</t>
  </si>
  <si>
    <t>2022-12-12 MK od Pana Marka
2023-01-30 MK zakup internetowy</t>
  </si>
  <si>
    <t>uzupełnienie zamówienia Z/IGUS/1927/56/JP &gt;&gt; Z/IGUS/1927/659/MK</t>
  </si>
  <si>
    <t>Z/VOLTENO/1927/58/JP</t>
  </si>
  <si>
    <t>2023-01-30 JP</t>
  </si>
  <si>
    <t>anulowano</t>
  </si>
  <si>
    <t>Uwagi2</t>
  </si>
  <si>
    <t>2023-01-31 MK</t>
  </si>
  <si>
    <t>Obudowa gniazda</t>
  </si>
  <si>
    <t>Han 3A-asgw-QB-M20</t>
  </si>
  <si>
    <t>19 20 003 1250</t>
  </si>
  <si>
    <t>Wkładka żeńska 7 pin+PE</t>
  </si>
  <si>
    <t>Han Q 7/0-F</t>
  </si>
  <si>
    <t>09 12 007 3101</t>
  </si>
  <si>
    <t>Obudowa wtyczki</t>
  </si>
  <si>
    <t>Han 3A-gw-M20</t>
  </si>
  <si>
    <t>19 20 003 1640</t>
  </si>
  <si>
    <t>Wkładka męska 7 pin+PE</t>
  </si>
  <si>
    <t>Han Q 7/0-M</t>
  </si>
  <si>
    <t>09 12 007 3001</t>
  </si>
  <si>
    <t>Napęd przycisku (zielony) monostabilny Ø40mm</t>
  </si>
  <si>
    <t>ZB5AC3</t>
  </si>
  <si>
    <t>Rama rozładunku ręcznego</t>
  </si>
  <si>
    <t>2023-02-01 JP</t>
  </si>
  <si>
    <t>2023-02-02 MK</t>
  </si>
  <si>
    <t>Kioski pakowania</t>
  </si>
  <si>
    <t>lista zakupowa Kielce</t>
  </si>
  <si>
    <t>2023-02-02 MK SY5120-5YO-C6F-Q</t>
  </si>
  <si>
    <t>2023-02-03 MK brak 25.1</t>
  </si>
  <si>
    <t>2023-02-03 MK</t>
  </si>
  <si>
    <t>Z/ALBECO/1927/644/MK</t>
  </si>
  <si>
    <t>Z/KE/1927/693/MK</t>
  </si>
  <si>
    <t>Z/FATH/1912/1927/635/MK</t>
  </si>
  <si>
    <t>2023-02-03 MK kupione M12x80</t>
  </si>
  <si>
    <t>Z/KE/1927/57/JP</t>
  </si>
  <si>
    <t>09/2023</t>
  </si>
  <si>
    <t>Z/PREMA/1927/55/JP</t>
  </si>
  <si>
    <t>K0612.01001</t>
  </si>
  <si>
    <t>Pierścień zaciskowy</t>
  </si>
  <si>
    <t>stacja testu</t>
  </si>
  <si>
    <t>6282-0202</t>
  </si>
  <si>
    <t>Kóńcówka pomiarowa</t>
  </si>
  <si>
    <t>INSIZE</t>
  </si>
  <si>
    <t>Z/KIPP/1927/76/JP</t>
  </si>
  <si>
    <t>Z/TUBES/1927/701/MK</t>
  </si>
  <si>
    <t>Z/FESTO/1927/702/MK</t>
  </si>
  <si>
    <t>Z/ASTAT/1927/706/MK</t>
  </si>
  <si>
    <r>
      <rPr>
        <strike/>
        <sz val="14"/>
        <color indexed="8"/>
        <rFont val="Arial"/>
        <family val="2"/>
        <charset val="238"/>
      </rPr>
      <t>Z/QUAY/1927/582/MK</t>
    </r>
    <r>
      <rPr>
        <sz val="14"/>
        <color indexed="8"/>
        <rFont val="Arial"/>
        <family val="2"/>
        <charset val="238"/>
      </rPr>
      <t xml:space="preserve">
po projekcie 1851</t>
    </r>
  </si>
  <si>
    <r>
      <t xml:space="preserve">Pas transportowy </t>
    </r>
    <r>
      <rPr>
        <sz val="14"/>
        <color indexed="8"/>
        <rFont val="Arial"/>
        <family val="2"/>
        <charset val="238"/>
      </rPr>
      <t xml:space="preserve">zgrzany w pętlę </t>
    </r>
  </si>
  <si>
    <r>
      <t xml:space="preserve">1927-802-PRT-A0057043-A-Pas transportowy zgrzany w </t>
    </r>
    <r>
      <rPr>
        <i/>
        <sz val="14"/>
        <color indexed="8"/>
        <rFont val="Arial"/>
        <family val="2"/>
        <charset val="238"/>
      </rPr>
      <t xml:space="preserve">pętlę </t>
    </r>
  </si>
  <si>
    <r>
      <t xml:space="preserve">P25-14A L=3148 </t>
    </r>
    <r>
      <rPr>
        <i/>
        <sz val="14"/>
        <color indexed="8"/>
        <rFont val="Arial"/>
        <family val="2"/>
        <charset val="238"/>
      </rPr>
      <t>B=450</t>
    </r>
  </si>
  <si>
    <r>
      <t xml:space="preserve">Elektrobęben 80LP </t>
    </r>
    <r>
      <rPr>
        <sz val="14"/>
        <color indexed="8"/>
        <rFont val="Arial"/>
        <family val="2"/>
        <charset val="238"/>
      </rPr>
      <t>fi84</t>
    </r>
  </si>
  <si>
    <r>
      <t xml:space="preserve">Zawór zwrotny </t>
    </r>
    <r>
      <rPr>
        <sz val="14"/>
        <rFont val="Arial"/>
        <family val="2"/>
        <charset val="238"/>
      </rPr>
      <t xml:space="preserve">
sterowany R1/8 (Fi 6)</t>
    </r>
  </si>
  <si>
    <r>
      <t xml:space="preserve">Łożysko liniowe </t>
    </r>
    <r>
      <rPr>
        <sz val="14"/>
        <rFont val="Arial"/>
        <family val="2"/>
        <charset val="238"/>
      </rPr>
      <t xml:space="preserve">
przedłużane</t>
    </r>
  </si>
  <si>
    <r>
      <t xml:space="preserve">Łożysko liniowe z </t>
    </r>
    <r>
      <rPr>
        <sz val="14"/>
        <rFont val="Arial"/>
        <family val="2"/>
        <charset val="238"/>
      </rPr>
      <t>kołnierzem okrągłym przedłużane</t>
    </r>
  </si>
  <si>
    <r>
      <t xml:space="preserve">L= 810 </t>
    </r>
    <r>
      <rPr>
        <sz val="14"/>
        <rFont val="Arial"/>
        <family val="2"/>
        <charset val="238"/>
      </rPr>
      <t>mm 
Otwory symetrycznie</t>
    </r>
  </si>
  <si>
    <r>
      <t>Wykona</t>
    </r>
    <r>
      <rPr>
        <sz val="14"/>
        <rFont val="Arial"/>
        <family val="2"/>
        <charset val="238"/>
      </rPr>
      <t>ć z elemntu handlowego 
firmy FABORY 07820.160.040</t>
    </r>
  </si>
  <si>
    <r>
      <rPr>
        <strike/>
        <sz val="14"/>
        <rFont val="Arial"/>
        <family val="2"/>
        <charset val="238"/>
      </rPr>
      <t xml:space="preserve">TLS1-GD2  </t>
    </r>
    <r>
      <rPr>
        <sz val="14"/>
        <rFont val="Arial"/>
        <family val="2"/>
        <charset val="238"/>
      </rPr>
      <t>i200-M0413 Lock.</t>
    </r>
  </si>
  <si>
    <r>
      <rPr>
        <strike/>
        <sz val="14"/>
        <rFont val="Arial"/>
        <family val="2"/>
        <charset val="238"/>
      </rPr>
      <t xml:space="preserve">440G-A27143   </t>
    </r>
    <r>
      <rPr>
        <sz val="14"/>
        <rFont val="Arial"/>
        <family val="2"/>
        <charset val="238"/>
      </rPr>
      <t>iE200-F1</t>
    </r>
  </si>
  <si>
    <r>
      <rPr>
        <strike/>
        <sz val="14"/>
        <rFont val="Arial"/>
        <family val="2"/>
        <charset val="238"/>
      </rPr>
      <t xml:space="preserve">BIS M-404-045-401-07-S4 </t>
    </r>
    <r>
      <rPr>
        <sz val="14"/>
        <rFont val="Arial"/>
        <family val="2"/>
        <charset val="238"/>
      </rPr>
      <t xml:space="preserve">   BIS M-4A6-082-401-07-S4         </t>
    </r>
  </si>
  <si>
    <r>
      <rPr>
        <strike/>
        <sz val="14"/>
        <rFont val="Arial"/>
        <family val="2"/>
        <charset val="238"/>
      </rPr>
      <t>BIS015R</t>
    </r>
    <r>
      <rPr>
        <sz val="14"/>
        <rFont val="Arial"/>
        <family val="2"/>
        <charset val="238"/>
      </rPr>
      <t xml:space="preserve">  BIS01E6            </t>
    </r>
  </si>
  <si>
    <r>
      <rPr>
        <strike/>
        <sz val="14"/>
        <color indexed="8"/>
        <rFont val="Arial"/>
        <family val="2"/>
        <charset val="238"/>
      </rPr>
      <t xml:space="preserve">58812B  </t>
    </r>
    <r>
      <rPr>
        <sz val="14"/>
        <color indexed="8"/>
        <rFont val="Arial"/>
        <family val="2"/>
        <charset val="238"/>
      </rPr>
      <t>58152</t>
    </r>
  </si>
  <si>
    <r>
      <t xml:space="preserve">bez łba, koniec płaski </t>
    </r>
    <r>
      <rPr>
        <b/>
        <sz val="14"/>
        <color indexed="8"/>
        <rFont val="Arial"/>
        <family val="2"/>
        <charset val="238"/>
      </rPr>
      <t xml:space="preserve">
M8x40</t>
    </r>
  </si>
  <si>
    <r>
      <t xml:space="preserve">HGR15R L=520mm 9 otw. </t>
    </r>
    <r>
      <rPr>
        <b/>
        <sz val="14"/>
        <color indexed="8"/>
        <rFont val="Arial"/>
        <family val="2"/>
        <charset val="238"/>
      </rPr>
      <t xml:space="preserve">
sym.</t>
    </r>
  </si>
  <si>
    <r>
      <t xml:space="preserve">HGR15R L=280mm 5 otw. </t>
    </r>
    <r>
      <rPr>
        <b/>
        <sz val="14"/>
        <color indexed="8"/>
        <rFont val="Arial"/>
        <family val="2"/>
        <charset val="238"/>
      </rPr>
      <t xml:space="preserve">
sym.</t>
    </r>
  </si>
  <si>
    <r>
      <t xml:space="preserve">Zawór zwrotny </t>
    </r>
    <r>
      <rPr>
        <b/>
        <sz val="14"/>
        <color indexed="8"/>
        <rFont val="Arial"/>
        <family val="2"/>
        <charset val="238"/>
      </rPr>
      <t xml:space="preserve">
sterowany</t>
    </r>
  </si>
  <si>
    <r>
      <t xml:space="preserve">40 </t>
    </r>
    <r>
      <rPr>
        <b/>
        <sz val="14"/>
        <color indexed="8"/>
        <rFont val="Arial"/>
        <family val="2"/>
        <charset val="238"/>
      </rPr>
      <t xml:space="preserve">
HRC±2HRC</t>
    </r>
  </si>
  <si>
    <r>
      <t>0.414m_2400.05.075.0+2</t>
    </r>
    <r>
      <rPr>
        <b/>
        <sz val="14"/>
        <color indexed="8"/>
        <rFont val="Arial"/>
        <family val="2"/>
        <charset val="238"/>
      </rPr>
      <t xml:space="preserve">
050.12PZB+A2+25.1.1</t>
    </r>
  </si>
  <si>
    <r>
      <t>GRLA-1_8-QS-6-RS-D-</t>
    </r>
    <r>
      <rPr>
        <b/>
        <sz val="14"/>
        <color indexed="8"/>
        <rFont val="Arial"/>
        <family val="2"/>
        <charset val="238"/>
      </rPr>
      <t xml:space="preserve">
197581</t>
    </r>
  </si>
  <si>
    <r>
      <t>Zawór dławiąco-</t>
    </r>
    <r>
      <rPr>
        <b/>
        <sz val="14"/>
        <color indexed="8"/>
        <rFont val="Arial"/>
        <family val="2"/>
        <charset val="238"/>
      </rPr>
      <t xml:space="preserve">
zwrotny</t>
    </r>
  </si>
  <si>
    <r>
      <t xml:space="preserve">  193146_GRLA-1_4-QS-6-</t>
    </r>
    <r>
      <rPr>
        <b/>
        <sz val="14"/>
        <color indexed="8"/>
        <rFont val="Arial"/>
        <family val="2"/>
        <charset val="238"/>
      </rPr>
      <t xml:space="preserve">
D</t>
    </r>
  </si>
  <si>
    <r>
      <t xml:space="preserve">Zawór dławiąco </t>
    </r>
    <r>
      <rPr>
        <b/>
        <sz val="14"/>
        <color indexed="8"/>
        <rFont val="Arial"/>
        <family val="2"/>
        <charset val="238"/>
      </rPr>
      <t xml:space="preserve">
zwrotny</t>
    </r>
  </si>
  <si>
    <r>
      <t xml:space="preserve">Zawór szybk. </t>
    </r>
    <r>
      <rPr>
        <b/>
        <sz val="14"/>
        <color indexed="8"/>
        <rFont val="Arial"/>
        <family val="2"/>
        <charset val="238"/>
      </rPr>
      <t xml:space="preserve">
spustu</t>
    </r>
  </si>
  <si>
    <r>
      <t xml:space="preserve">Element montażowy </t>
    </r>
    <r>
      <rPr>
        <b/>
        <sz val="14"/>
        <color indexed="8"/>
        <rFont val="Arial"/>
        <family val="2"/>
        <charset val="238"/>
      </rPr>
      <t xml:space="preserve">
2 szt.</t>
    </r>
  </si>
  <si>
    <r>
      <t xml:space="preserve">bez łba, koniec płaski </t>
    </r>
    <r>
      <rPr>
        <b/>
        <sz val="14"/>
        <color indexed="8"/>
        <rFont val="Arial"/>
        <family val="2"/>
        <charset val="238"/>
      </rPr>
      <t xml:space="preserve">
M6x30</t>
    </r>
  </si>
  <si>
    <r>
      <t xml:space="preserve">Wpust </t>
    </r>
    <r>
      <rPr>
        <b/>
        <sz val="14"/>
        <color indexed="8"/>
        <rFont val="Arial"/>
        <family val="2"/>
        <charset val="238"/>
      </rPr>
      <t xml:space="preserve">
pryzmatyczny</t>
    </r>
  </si>
  <si>
    <r>
      <t>186096 QS-</t>
    </r>
    <r>
      <rPr>
        <b/>
        <sz val="14"/>
        <color indexed="8"/>
        <rFont val="Arial"/>
        <family val="2"/>
        <charset val="238"/>
      </rPr>
      <t xml:space="preserve">
G1_8-6</t>
    </r>
  </si>
  <si>
    <r>
      <t xml:space="preserve">bez łba, koniec płaski </t>
    </r>
    <r>
      <rPr>
        <b/>
        <sz val="14"/>
        <color indexed="8"/>
        <rFont val="Arial"/>
        <family val="2"/>
        <charset val="238"/>
      </rPr>
      <t xml:space="preserve">
M6x20</t>
    </r>
  </si>
  <si>
    <r>
      <t xml:space="preserve">MGNR15HM L=120 otw. </t>
    </r>
    <r>
      <rPr>
        <b/>
        <sz val="14"/>
        <color indexed="8"/>
        <rFont val="Arial"/>
        <family val="2"/>
        <charset val="238"/>
      </rPr>
      <t xml:space="preserve">
sym.</t>
    </r>
  </si>
  <si>
    <r>
      <t>GRLA-M5-QS-4-RS-D-</t>
    </r>
    <r>
      <rPr>
        <b/>
        <sz val="14"/>
        <color indexed="8"/>
        <rFont val="Arial"/>
        <family val="2"/>
        <charset val="238"/>
      </rPr>
      <t xml:space="preserve">
197577</t>
    </r>
  </si>
  <si>
    <r>
      <t xml:space="preserve">Generator </t>
    </r>
    <r>
      <rPr>
        <sz val="14"/>
        <color indexed="8"/>
        <rFont val="Arial"/>
        <family val="2"/>
        <charset val="238"/>
      </rPr>
      <t xml:space="preserve">
podciśnienia</t>
    </r>
  </si>
  <si>
    <r>
      <t xml:space="preserve">bez łba, koniec płaski </t>
    </r>
    <r>
      <rPr>
        <sz val="14"/>
        <color indexed="8"/>
        <rFont val="Arial"/>
        <family val="2"/>
        <charset val="238"/>
      </rPr>
      <t xml:space="preserve">
M5x14</t>
    </r>
  </si>
  <si>
    <r>
      <t xml:space="preserve">bez łba, koniec płaski </t>
    </r>
    <r>
      <rPr>
        <i/>
        <sz val="14"/>
        <color indexed="8"/>
        <rFont val="Arial"/>
        <family val="2"/>
        <charset val="238"/>
      </rPr>
      <t xml:space="preserve">
M5x14</t>
    </r>
  </si>
  <si>
    <r>
      <t xml:space="preserve">Nakrętka </t>
    </r>
    <r>
      <rPr>
        <sz val="14"/>
        <color indexed="8"/>
        <rFont val="Arial"/>
        <family val="2"/>
        <charset val="238"/>
      </rPr>
      <t xml:space="preserve">
sześciokątna niska</t>
    </r>
  </si>
  <si>
    <r>
      <t>GRLA-M5-QS-4-RS-D-</t>
    </r>
    <r>
      <rPr>
        <sz val="14"/>
        <color indexed="8"/>
        <rFont val="Arial"/>
        <family val="2"/>
        <charset val="238"/>
      </rPr>
      <t xml:space="preserve">
197577</t>
    </r>
  </si>
  <si>
    <r>
      <t>Zawór dławiąco-</t>
    </r>
    <r>
      <rPr>
        <sz val="14"/>
        <color indexed="8"/>
        <rFont val="Arial"/>
        <family val="2"/>
        <charset val="238"/>
      </rPr>
      <t xml:space="preserve">
zwrotny</t>
    </r>
  </si>
  <si>
    <r>
      <t>GRLA-M5-QS-4-RS-D-</t>
    </r>
    <r>
      <rPr>
        <i/>
        <sz val="14"/>
        <color indexed="8"/>
        <rFont val="Arial"/>
        <family val="2"/>
        <charset val="238"/>
      </rPr>
      <t xml:space="preserve">
197577</t>
    </r>
  </si>
  <si>
    <r>
      <t xml:space="preserve">Zawór zwrotny </t>
    </r>
    <r>
      <rPr>
        <sz val="14"/>
        <color indexed="8"/>
        <rFont val="Arial"/>
        <family val="2"/>
        <charset val="238"/>
      </rPr>
      <t xml:space="preserve">
sterowany</t>
    </r>
  </si>
  <si>
    <r>
      <t xml:space="preserve">Przyssawka </t>
    </r>
    <r>
      <rPr>
        <sz val="14"/>
        <color indexed="8"/>
        <rFont val="Arial"/>
        <family val="2"/>
        <charset val="238"/>
      </rPr>
      <t xml:space="preserve">
mieszkowa+adapter</t>
    </r>
  </si>
  <si>
    <r>
      <t xml:space="preserve">Końcówka </t>
    </r>
    <r>
      <rPr>
        <sz val="14"/>
        <color indexed="8"/>
        <rFont val="Arial"/>
        <family val="2"/>
        <charset val="238"/>
      </rPr>
      <t xml:space="preserve">
widełkowa</t>
    </r>
  </si>
  <si>
    <r>
      <t xml:space="preserve">Siłownik z </t>
    </r>
    <r>
      <rPr>
        <sz val="14"/>
        <color indexed="8"/>
        <rFont val="Arial"/>
        <family val="2"/>
        <charset val="238"/>
      </rPr>
      <t xml:space="preserve">
prowadzeniem</t>
    </r>
  </si>
  <si>
    <r>
      <t xml:space="preserve">1927-803-PRT-A0056641-A-Pas transportowy zgrzany w </t>
    </r>
    <r>
      <rPr>
        <i/>
        <sz val="14"/>
        <color indexed="8"/>
        <rFont val="Arial"/>
        <family val="2"/>
        <charset val="238"/>
      </rPr>
      <t xml:space="preserve">
pętlę </t>
    </r>
  </si>
  <si>
    <r>
      <t xml:space="preserve">P25-14A L=2348 </t>
    </r>
    <r>
      <rPr>
        <i/>
        <sz val="14"/>
        <color indexed="8"/>
        <rFont val="Arial"/>
        <family val="2"/>
        <charset val="238"/>
      </rPr>
      <t>B=180</t>
    </r>
  </si>
  <si>
    <r>
      <t>Motoreduktor (TM-</t>
    </r>
    <r>
      <rPr>
        <sz val="14"/>
        <color indexed="8"/>
        <rFont val="Arial"/>
        <family val="2"/>
        <charset val="238"/>
      </rPr>
      <t>025/30-80/9,  G-IE1-
56C2-4-0,12-80/9-230/400V)</t>
    </r>
  </si>
  <si>
    <r>
      <t xml:space="preserve">1927-803-ASM-A0008298--Motoreduktor (TM-025/30-80/9,  </t>
    </r>
    <r>
      <rPr>
        <i/>
        <sz val="14"/>
        <color indexed="8"/>
        <rFont val="Arial"/>
        <family val="2"/>
        <charset val="238"/>
      </rPr>
      <t xml:space="preserve">
G-IE1-56C2-4-0,12-80/9-230/400V)</t>
    </r>
  </si>
  <si>
    <r>
      <t>----Śruba z łb. walc. gn. 6kąt. z gwint. na cał dł. - DIN 912-</t>
    </r>
    <r>
      <rPr>
        <sz val="14"/>
        <rFont val="Arial"/>
        <family val="2"/>
        <charset val="238"/>
      </rPr>
      <t xml:space="preserve">
0-Śruba</t>
    </r>
  </si>
  <si>
    <r>
      <t>Ramie reakcyjne CHT</t>
    </r>
    <r>
      <rPr>
        <sz val="14"/>
        <rFont val="Arial"/>
        <family val="2"/>
        <charset val="238"/>
      </rPr>
      <t>MV 25</t>
    </r>
  </si>
  <si>
    <r>
      <t xml:space="preserve">0---Ramie reakcyjne CHT MV 25-0-Ramie reakcyjne CHT MV </t>
    </r>
    <r>
      <rPr>
        <sz val="14"/>
        <rFont val="Arial"/>
        <family val="2"/>
        <charset val="238"/>
      </rPr>
      <t xml:space="preserve">
25</t>
    </r>
  </si>
  <si>
    <r>
      <t xml:space="preserve">MK: </t>
    </r>
    <r>
      <rPr>
        <i/>
        <strike/>
        <sz val="14"/>
        <color indexed="8"/>
        <rFont val="Arial"/>
        <family val="2"/>
        <charset val="238"/>
      </rPr>
      <t>CHT MV 25</t>
    </r>
    <r>
      <rPr>
        <i/>
        <sz val="14"/>
        <color indexed="8"/>
        <rFont val="Arial"/>
        <family val="2"/>
        <charset val="238"/>
      </rPr>
      <t xml:space="preserve">
TM-025</t>
    </r>
  </si>
  <si>
    <r>
      <t xml:space="preserve">MK: </t>
    </r>
    <r>
      <rPr>
        <i/>
        <strike/>
        <sz val="14"/>
        <color indexed="8"/>
        <rFont val="Arial"/>
        <family val="2"/>
        <charset val="238"/>
      </rPr>
      <t>CHIARAWALLI</t>
    </r>
    <r>
      <rPr>
        <i/>
        <sz val="14"/>
        <color indexed="8"/>
        <rFont val="Arial"/>
        <family val="2"/>
        <charset val="238"/>
      </rPr>
      <t xml:space="preserve">
KACPEREK</t>
    </r>
  </si>
  <si>
    <r>
      <t xml:space="preserve">Bosch Rexroth-Przegub 40x40 </t>
    </r>
    <r>
      <rPr>
        <sz val="14"/>
        <color indexed="8"/>
        <rFont val="Arial"/>
        <family val="2"/>
        <charset val="238"/>
      </rPr>
      <t xml:space="preserve">
elast.</t>
    </r>
  </si>
  <si>
    <t>MAMY 1 SZTUKE OP-87226</t>
  </si>
  <si>
    <t>2023-02-10 MK</t>
  </si>
  <si>
    <t>Z/SC/1903/2927/75/JP</t>
  </si>
  <si>
    <t>2023-02-10 JP</t>
  </si>
  <si>
    <t>360+A359:X493</t>
  </si>
  <si>
    <r>
      <t>Z/TEVEMA/1927/53/JP</t>
    </r>
    <r>
      <rPr>
        <sz val="14"/>
        <color indexed="8"/>
        <rFont val="Arial"/>
        <family val="2"/>
        <charset val="238"/>
      </rPr>
      <t xml:space="preserve"> MK: ANULOWANE</t>
    </r>
  </si>
  <si>
    <t>Z/SMC/1927/714/MK</t>
  </si>
  <si>
    <t>Z/TIM/703/MK</t>
  </si>
  <si>
    <t>Z/ATCP/1927/54/JP</t>
  </si>
  <si>
    <t>Smaowanie dźwigni</t>
  </si>
  <si>
    <t>Z/KTR/1927/1943/719/MK</t>
  </si>
  <si>
    <t>odłożona do projektu 1927</t>
  </si>
  <si>
    <t>Z/OEM/1927/720/MK</t>
  </si>
  <si>
    <t>Zamówienie Z/1927/MS/2023</t>
  </si>
  <si>
    <t>SZ 2591.000</t>
  </si>
  <si>
    <t>Obejma przewodu</t>
  </si>
  <si>
    <t>RITTAL</t>
  </si>
  <si>
    <t>270.772</t>
  </si>
  <si>
    <t>Mocowanie przyssawki</t>
  </si>
  <si>
    <t>23.011.234.19</t>
  </si>
  <si>
    <t>FIPA</t>
  </si>
  <si>
    <t>1012BS</t>
  </si>
  <si>
    <t>kiść robota</t>
  </si>
  <si>
    <t>1x do gt + 1x il</t>
  </si>
  <si>
    <t>kontrola dzwigni na robocie</t>
  </si>
  <si>
    <t xml:space="preserve">kontrola dzwigni - 2 szt na stałe </t>
  </si>
  <si>
    <t>2023-02-14 MK od Pana Marka</t>
  </si>
  <si>
    <t>Z/BALLUFF/1927/1943/1948/1971/723/MK</t>
  </si>
  <si>
    <t>2023-02-14 JP</t>
  </si>
  <si>
    <t>2023-02-14 MK</t>
  </si>
  <si>
    <t>2023-02-15 JP</t>
  </si>
  <si>
    <t>2023-01-23 JP
2023-02-15 JP</t>
  </si>
  <si>
    <t>2023-02-16 JP</t>
  </si>
  <si>
    <t>3 SZT ZAKUP INTERNETOWY</t>
  </si>
  <si>
    <t>4 SZTUKI ZAKUP INTERENETOWY</t>
  </si>
  <si>
    <t>1 SZTUKA ZAKUP INTERENTOWY</t>
  </si>
  <si>
    <t>2SZTUKI ZAKUP INTERENETOWY</t>
  </si>
  <si>
    <t>MAGAZYN KILKANASCIE SZTUK</t>
  </si>
  <si>
    <t>08.01.2023+19.02.2023</t>
  </si>
  <si>
    <t>zamówienie Z/1927/MS/2023  ( 15 marzec )</t>
  </si>
  <si>
    <r>
      <t xml:space="preserve"> 186096 QS-</t>
    </r>
    <r>
      <rPr>
        <b/>
        <sz val="14"/>
        <color indexed="8"/>
        <rFont val="Arial"/>
        <family val="2"/>
        <charset val="238"/>
      </rPr>
      <t>G1_8-6</t>
    </r>
  </si>
  <si>
    <t>08.02.2023 + 10.02.023</t>
  </si>
  <si>
    <t>08.02.2023+ 10.02.023</t>
  </si>
  <si>
    <t>ZAMÓWIENIE  z/Pivexin/1927/MK</t>
  </si>
  <si>
    <t>Zamówienie Z/1927/MS/2023  - zamówione łącznie 10 sztuk</t>
  </si>
  <si>
    <t>POBRAC ZE ZLECENIA 1943</t>
  </si>
  <si>
    <t>DO ZAMÓWIENIE</t>
  </si>
  <si>
    <t>2023-02-20 JP</t>
  </si>
  <si>
    <t>ZAPYTANIE 1927/MS/2023
MAGAZYN - JP</t>
  </si>
  <si>
    <r>
      <t xml:space="preserve">ZAPYTANIE 1927/MS/2023 - </t>
    </r>
    <r>
      <rPr>
        <sz val="14"/>
        <color indexed="10"/>
        <rFont val="Arial"/>
        <family val="2"/>
        <charset val="238"/>
      </rPr>
      <t xml:space="preserve">CZY MAMY NA MAGAZYNIE ????
</t>
    </r>
    <r>
      <rPr>
        <sz val="14"/>
        <rFont val="Arial"/>
        <family val="2"/>
        <charset val="238"/>
      </rPr>
      <t>MAGAZYN - JP</t>
    </r>
  </si>
  <si>
    <t>ZAPYTANIE 1927/MS/2023  S8VK-G03012  &lt;&lt; jest na liście magazynowej
MAGAZYN S8VK-G03012  - ODŁOŻONE DO PROJEKTU</t>
  </si>
  <si>
    <t xml:space="preserve">2023-02-20 JP ODŁOŻONE S8VK-G03012  </t>
  </si>
  <si>
    <t>2023-02-20 JP DOSTARCZONE BEZ DOKUMENTÓW</t>
  </si>
  <si>
    <t>Allen-Bradley
SICK</t>
  </si>
  <si>
    <t>dostawa 4 tygodnie od daty zamówienia</t>
  </si>
  <si>
    <t>2023-02-21 JP</t>
  </si>
  <si>
    <t>2023-02-21 MK bez dokumentów</t>
  </si>
  <si>
    <t>2 mag
1</t>
  </si>
  <si>
    <t>2023-01-20 JP
2023-02-21 MK</t>
  </si>
  <si>
    <t>5 mag
5</t>
  </si>
  <si>
    <t>2023-02-21 MK</t>
  </si>
  <si>
    <t>Z/HARTING/1927/1943/729/MK</t>
  </si>
  <si>
    <t>2023-02-22 JP</t>
  </si>
  <si>
    <t>1
1</t>
  </si>
  <si>
    <t>2022-11-28 JP
2023-02-22 JP</t>
  </si>
  <si>
    <t>60 RESZTA DO POBRANIA Z MAGAZYNU</t>
  </si>
  <si>
    <t>Allegro - wysłany link do zakupu do Pana Marka</t>
  </si>
  <si>
    <t>2023-02-23 JP</t>
  </si>
  <si>
    <t>2023-02-23 JP DOSTARCZONO BEZ DOKUMENTÓW</t>
  </si>
  <si>
    <t>AD ACCESS</t>
  </si>
  <si>
    <t>BOFA</t>
  </si>
  <si>
    <t>Pochłaniacz oparów</t>
  </si>
  <si>
    <t>2023-02-27 jp</t>
  </si>
  <si>
    <t>K. Lak</t>
  </si>
  <si>
    <t>1927-000-00 Wygrodzenie</t>
  </si>
  <si>
    <t>Zatrzask Drzwi</t>
  </si>
  <si>
    <r>
      <t xml:space="preserve">Płytka stopki 40X80 </t>
    </r>
    <r>
      <rPr>
        <sz val="8"/>
        <color indexed="8"/>
        <rFont val="SWGDT"/>
      </rPr>
      <t xml:space="preserve">
</t>
    </r>
    <r>
      <rPr>
        <sz val="8"/>
        <color indexed="8"/>
        <rFont val="Verdana"/>
        <family val="2"/>
        <charset val="238"/>
      </rPr>
      <t>M12</t>
    </r>
  </si>
  <si>
    <t xml:space="preserve">Wygrodzenie </t>
  </si>
  <si>
    <t>2023-02-27 JP - 1 OP = 10SZT</t>
  </si>
  <si>
    <t>2023-02-27 JP - 2 OP = 20SZT</t>
  </si>
  <si>
    <t>2023-02-27 JP</t>
  </si>
  <si>
    <t>2023-02-28 JP - DOSTARCZONO BEZ DOKUMENTÓW</t>
  </si>
  <si>
    <t>2023-03-01 JP</t>
  </si>
  <si>
    <t>30 STYCZEŃ 2022 / LIPIEC-SIERPIEŃ</t>
  </si>
  <si>
    <t>7 mag</t>
  </si>
  <si>
    <t>2023-03-02 JP - Dostarczono zamówienie: Z/1927/MS/2023</t>
  </si>
  <si>
    <t>2023-03-09 MK</t>
  </si>
  <si>
    <t>16 mag</t>
  </si>
  <si>
    <t>2023-02-23 MK</t>
  </si>
  <si>
    <t>Z/P+F/1943/746/MK</t>
  </si>
  <si>
    <t>magazyn od Huberta</t>
  </si>
  <si>
    <t>2023-02-08 MK</t>
  </si>
  <si>
    <t>2023-03-02 JP</t>
  </si>
  <si>
    <t>Z/KIPP/1927/759/MK</t>
  </si>
  <si>
    <t>6
5</t>
  </si>
  <si>
    <t>2022-12-20 MK po projekcie 1851
2023-03-03 JP</t>
  </si>
  <si>
    <t>2023-03-07 JP</t>
  </si>
  <si>
    <t>2023-03-08 JP</t>
  </si>
  <si>
    <t>2023-03-07 JP - DOSTARCZONO BEZ DOKUMENTÓW</t>
  </si>
  <si>
    <t>JA50-16-150.SLDPRT</t>
  </si>
  <si>
    <t>1 mag
2</t>
  </si>
  <si>
    <t>2023-02-02 MK SY5320-5YO-01F-Q
2023-03-08 JP</t>
  </si>
  <si>
    <t>2023-03-09 JP</t>
  </si>
  <si>
    <t>2023-03-13 MK</t>
  </si>
  <si>
    <t>2023-03-14 JP</t>
  </si>
  <si>
    <t>ZAMÓWIENIE Z/702/1851/MS/2022 ( ŁĄCZNIE 20 SZTUK )
Z/BALLUFF/1927/2009/788/MK</t>
  </si>
  <si>
    <t>2022-05-13
2023-03-14</t>
  </si>
  <si>
    <t>2023-03-06 / 2023-04-11</t>
  </si>
  <si>
    <t>2023-03-14 MK</t>
  </si>
  <si>
    <t>dostarczone</t>
  </si>
  <si>
    <t>z/Pivexin/1927/MK</t>
  </si>
  <si>
    <t>uzupełnienie zamówienia Z/SMC/1927/714/MK</t>
  </si>
  <si>
    <t>2
2</t>
  </si>
  <si>
    <t>2022-12-21 MK po projekcie 1851
2023-03-14 JP</t>
  </si>
  <si>
    <t>2022-10-11 MK
 2023-03-14 JP</t>
  </si>
  <si>
    <t>2023-03-15 MK</t>
  </si>
  <si>
    <r>
      <rPr>
        <strike/>
        <sz val="14"/>
        <color indexed="8"/>
        <rFont val="Arial"/>
        <family val="2"/>
        <charset val="238"/>
      </rPr>
      <t>TURCK</t>
    </r>
    <r>
      <rPr>
        <sz val="14"/>
        <color indexed="8"/>
        <rFont val="Arial"/>
        <family val="2"/>
        <charset val="238"/>
      </rPr>
      <t xml:space="preserve">
MK: MURR</t>
    </r>
  </si>
  <si>
    <r>
      <rPr>
        <strike/>
        <sz val="14"/>
        <color indexed="8"/>
        <rFont val="Arial"/>
        <family val="2"/>
        <charset val="238"/>
      </rPr>
      <t>6904717</t>
    </r>
    <r>
      <rPr>
        <sz val="14"/>
        <color indexed="8"/>
        <rFont val="Arial"/>
        <family val="2"/>
        <charset val="238"/>
      </rPr>
      <t xml:space="preserve">
MK: 7000-78201-0000000</t>
    </r>
  </si>
  <si>
    <r>
      <rPr>
        <strike/>
        <sz val="14"/>
        <color indexed="8"/>
        <rFont val="Arial"/>
        <family val="2"/>
        <charset val="238"/>
      </rPr>
      <t>6904718</t>
    </r>
    <r>
      <rPr>
        <sz val="14"/>
        <color indexed="8"/>
        <rFont val="Arial"/>
        <family val="2"/>
        <charset val="238"/>
      </rPr>
      <t xml:space="preserve">
MK: 7000-78081-0000000</t>
    </r>
  </si>
  <si>
    <r>
      <rPr>
        <strike/>
        <sz val="14"/>
        <color indexed="8"/>
        <rFont val="Arial"/>
        <family val="2"/>
        <charset val="238"/>
      </rPr>
      <t>B 4151-0/9</t>
    </r>
    <r>
      <rPr>
        <sz val="14"/>
        <color indexed="8"/>
        <rFont val="Arial"/>
        <family val="2"/>
        <charset val="238"/>
      </rPr>
      <t xml:space="preserve">
MK: 7000-78201-0000000</t>
    </r>
  </si>
  <si>
    <r>
      <rPr>
        <strike/>
        <sz val="14"/>
        <color indexed="8"/>
        <rFont val="Arial"/>
        <family val="2"/>
        <charset val="238"/>
      </rPr>
      <t>BS4151-0/9</t>
    </r>
    <r>
      <rPr>
        <sz val="14"/>
        <color indexed="8"/>
        <rFont val="Arial"/>
        <family val="2"/>
        <charset val="238"/>
      </rPr>
      <t xml:space="preserve">
MK: 7000-78081-0000000</t>
    </r>
  </si>
  <si>
    <t>2023-03-03 JP MK</t>
  </si>
  <si>
    <t>ZWRACAMY, ZMIANA SERWOWZMACNIACZY</t>
  </si>
  <si>
    <t>ZMIANA SERWOWZMACNIACZY</t>
  </si>
  <si>
    <t>iQ-R Series Simple Motion Module| 16 Axes (SSCNET III/H)</t>
  </si>
  <si>
    <t xml:space="preserve">RD77MS16 </t>
  </si>
  <si>
    <t>ZAMIANA SERWONAPĘDÓW</t>
  </si>
  <si>
    <t>PLC iQ-R Series| CC-Link IE Field network module,</t>
  </si>
  <si>
    <t>RJ71GF11-T2</t>
  </si>
  <si>
    <t>Digital AC-Servo Amplifier MR-J4-B</t>
  </si>
  <si>
    <t>Digital AC-Servo Amplifier MR-J4-</t>
  </si>
  <si>
    <t>MR-J4-20B-RJ</t>
  </si>
  <si>
    <t xml:space="preserve">MR-J4-70B-RJ </t>
  </si>
  <si>
    <t>MR-J3BUS03M-S</t>
  </si>
  <si>
    <t>MR-J3BUS3M-S</t>
  </si>
  <si>
    <t>Światłowód do serwowzmacniacza</t>
  </si>
  <si>
    <t>2023-03-15 JP</t>
  </si>
  <si>
    <t>mag 
9</t>
  </si>
  <si>
    <t>2023-01-20 JP
2023-03-15 JP</t>
  </si>
  <si>
    <t>Z/MITSUBISHI/1927/794/MK</t>
  </si>
  <si>
    <t>2023-03-16 JP</t>
  </si>
  <si>
    <t>2023-03-17 JP</t>
  </si>
  <si>
    <t>2023-03-20 JP</t>
  </si>
  <si>
    <t>2 MAG
1
2</t>
  </si>
  <si>
    <t>2022-10-11 MK po projekcie 1857
2023-03-14 JP
2023-03-20 JP</t>
  </si>
  <si>
    <t>2022-12-21 MK po projekcie 1851
2023-03-20 JP</t>
  </si>
  <si>
    <t>2023-03-22 JP</t>
  </si>
  <si>
    <t>2023-03-22 JP - ZWRÓCONO DO MITSUBISHI 2023-03-23 JP</t>
  </si>
  <si>
    <r>
      <t xml:space="preserve">2023-01-24 JP - </t>
    </r>
    <r>
      <rPr>
        <b/>
        <sz val="14"/>
        <rFont val="Arial"/>
        <family val="2"/>
        <charset val="238"/>
      </rPr>
      <t>ZWRÓCONO DO MITSUBISHI 2023-03-23 JP</t>
    </r>
  </si>
  <si>
    <t>2023-03-23 JP</t>
  </si>
  <si>
    <t>4 mag
1</t>
  </si>
  <si>
    <t>2023-03-15 MK
2023-03-23 JP</t>
  </si>
  <si>
    <t>2023-03-27 JP</t>
  </si>
  <si>
    <t>36
8
28</t>
  </si>
  <si>
    <t>2022-09-01 Emil  ??/
2023-03-02 JP
2023-03-27 JP</t>
  </si>
  <si>
    <t>2022-09-01 Emil  ??/
2023-03-03 JP
2023-03-27 JP</t>
  </si>
  <si>
    <t>2023-02-15 MK</t>
  </si>
  <si>
    <t>ZAPYTANIE 1927/MS/2023  + Zamówienie Z/729/1927/MS/2023</t>
  </si>
  <si>
    <t>19.02.2023+28.03.2023</t>
  </si>
  <si>
    <t>14.07.2022+19.02.2023+28.03.2023</t>
  </si>
  <si>
    <t>ZAPYTANIE 1927/MS/2023   zapytanie 1371/1851-1927/MS/2022  - NIE ZAKUPIONE  + Zamówienie Z/729/1927/MS/2023</t>
  </si>
  <si>
    <t>ZAPYTANIE 1927/MS/2023 +zamówienie Z/730/1927/MS/2023</t>
  </si>
  <si>
    <t>6 x po projekcie 1851; 8x zakup interenetowy, 5 sztuk zakupione w bosch ma termin dostawy ok czerwiec = zapas mamy na poziomie 8-9 sztuk !!!! (do 1936 )</t>
  </si>
  <si>
    <t>zamówienie Z/732/1927/MS/2023</t>
  </si>
  <si>
    <t>zamówienie Z_0740_1927_MS_2023</t>
  </si>
  <si>
    <t>09.02..2023 + 28.03.2023</t>
  </si>
  <si>
    <t>zamówienie Z/0743/1927,2011/MS/2023  - 2 SZTUKI - 1 SZTUKA 1927 + 1 SZTUKA 2011</t>
  </si>
  <si>
    <t>Profil 30x30L</t>
  </si>
  <si>
    <t>3 842 990 720/</t>
  </si>
  <si>
    <t>Zapytanie Z/A-T/1927/MK</t>
  </si>
  <si>
    <t>2023-03-28 JP</t>
  </si>
  <si>
    <t>0D4CP015F9-450_002399</t>
  </si>
  <si>
    <t>1927-300-0D4CP015F9-450_002399-A-Elektrobęben 80LP fi84</t>
  </si>
  <si>
    <t>1927-802-0DRFS-450_000132-0-Bęben napinający</t>
  </si>
  <si>
    <t>0DRFS-450_000132</t>
  </si>
  <si>
    <t>0D4CP015F9-500_002400</t>
  </si>
  <si>
    <t>1927-300-0D4CP015F9-500_002400-A-Elektrobęben 80LP fi84</t>
  </si>
  <si>
    <t>0DRFS-500_000071</t>
  </si>
  <si>
    <t>1927-802- 0DRFS-500_000071-0-Bęben napinający</t>
  </si>
  <si>
    <t>Montaż Dźwigni/Wsztrzymano do wyjasnienia</t>
  </si>
  <si>
    <t>5
5</t>
  </si>
  <si>
    <t>2023-01-20 JP
2023-03-31 JP</t>
  </si>
  <si>
    <t>2023-03-31 JP</t>
  </si>
  <si>
    <t>Z/MOVLINK/1927/808/MK</t>
  </si>
  <si>
    <r>
      <rPr>
        <i/>
        <strike/>
        <sz val="14"/>
        <color indexed="8"/>
        <rFont val="Arial"/>
        <family val="2"/>
        <charset val="238"/>
      </rPr>
      <t>PLASTEM</t>
    </r>
    <r>
      <rPr>
        <i/>
        <sz val="14"/>
        <color indexed="8"/>
        <rFont val="Arial"/>
        <family val="2"/>
        <charset val="238"/>
      </rPr>
      <t xml:space="preserve">
MK: MOVLINK</t>
    </r>
  </si>
  <si>
    <t>2023-04-06 JP</t>
  </si>
  <si>
    <t>2023-04-07 JP</t>
  </si>
  <si>
    <t>2023-04-11 JP</t>
  </si>
  <si>
    <t>zostało 2</t>
  </si>
  <si>
    <t>zostało 3</t>
  </si>
  <si>
    <t>zostało 4</t>
  </si>
  <si>
    <t>zostało 1</t>
  </si>
  <si>
    <t>2023-02-22 JP
2023-04-13 JP</t>
  </si>
  <si>
    <t>Zamówienie Z/813/1927/MS/2023</t>
  </si>
  <si>
    <t>28.03.2023+14.04.2023</t>
  </si>
  <si>
    <t>Zapytanie 1927/MS/2023+zamówienie Z/1927/MS/2023</t>
  </si>
  <si>
    <t>MAMY 1 SZTUKE OP-87226  + Zamówienie Z/1927/MS/2023</t>
  </si>
  <si>
    <t>1 SZTUKA ZAKUP INTERENTOWY, BRAK DRUGIEJ SZTUKI  + Zamówienie Z/1927/MS/2023</t>
  </si>
  <si>
    <t>MS: ZAKUPIĆ +  +14.04.2023</t>
  </si>
  <si>
    <t>Zamówienie Z/ 733/1927/MS/2023</t>
  </si>
  <si>
    <t>CIĘTE NA MAGAZYNIE Z PROFILI PO PROJEKCIE 1925</t>
  </si>
  <si>
    <t>2023-04-17 JP</t>
  </si>
  <si>
    <t>2023-04-18 JP</t>
  </si>
  <si>
    <t>Dostarczono zamówienie Z/A-T/1927/MK</t>
  </si>
  <si>
    <t>2023-04-19 JP</t>
  </si>
  <si>
    <t>2023-01-03 MK po projekcie 1851
2023-04-20 JP</t>
  </si>
  <si>
    <t>2023-04-20 JP</t>
  </si>
  <si>
    <t>Z/POLTECH/1927/38/JP
koszyk ALBECO</t>
  </si>
  <si>
    <t>2023-01-24
2023-04-25</t>
  </si>
  <si>
    <t>JP
MK</t>
  </si>
  <si>
    <t>2023-04-25 JP</t>
  </si>
  <si>
    <t>2023-04-25 JP DOSTARCZONO P2RFZ-08-E</t>
  </si>
  <si>
    <t>4 mag
2 MAG
9</t>
  </si>
  <si>
    <t>4 SZT ZABRANE Z MAGAZYNU PRZEZ Tygrysa 2023-04-05 JP
2023-04-13 JP 
2023-04-25 JP</t>
  </si>
  <si>
    <t>2
6</t>
  </si>
  <si>
    <t>2023-01-26 JP
2023-04-26 JP</t>
  </si>
  <si>
    <t>2023-04-27 JP</t>
  </si>
  <si>
    <t>2023-02-23 JP DOSTARCZONO BEZ DOKUMENTÓW
2023-04-27 JP</t>
  </si>
  <si>
    <t>80
2</t>
  </si>
  <si>
    <t>2023-03-08 JP
2023-05-08 JP</t>
  </si>
  <si>
    <t>2023-05-16 JP</t>
  </si>
  <si>
    <t>2023-05-19 MK JP</t>
  </si>
  <si>
    <t xml:space="preserve">DO ZAMÓWIENIE </t>
  </si>
  <si>
    <t>24 tydzień 2023</t>
  </si>
  <si>
    <t>2023-05-24 JP</t>
  </si>
  <si>
    <t>Z/A-T/1927/194/JP</t>
  </si>
  <si>
    <t>8
5</t>
  </si>
  <si>
    <t>2022-12-20 MK po projekcie 1851
2023-03-06 JP
2023-05-25 JP</t>
  </si>
  <si>
    <t>2023-05-25 JP</t>
  </si>
  <si>
    <t>2023-06-02 JP</t>
  </si>
  <si>
    <t>2023-06-19 JP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</si>
</sst>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\ _z_ł_-;\-* #,##0.00\ _z_ł_-;_-* &quot;-&quot;??\ _z_ł_-;_-@_-"/>
    <numFmt numFmtId="166" formatCode="d/mm/yyyy"/>
    <numFmt numFmtId="178" formatCode="_-* #,##0.00\ _z_ł_-;\-* #,##0.00\ _z_ł_-;_-* \-??\ _z_ł_-;_-@_-"/>
  </numFmts>
  <fonts count="98" x14ac:knownFonts="1">
    <font>
      <sz val="10"/>
      <name val="Arial"/>
      <family val="2"/>
      <charset val="238"/>
    </font>
    <font>
      <b/>
      <sz val="20"/>
      <name val="Arial"/>
      <family val="2"/>
      <charset val="238"/>
    </font>
    <font>
      <i/>
      <sz val="8"/>
      <name val="Arial"/>
      <family val="2"/>
      <charset val="238"/>
    </font>
    <font>
      <sz val="8"/>
      <name val="Arial"/>
      <family val="2"/>
      <charset val="238"/>
    </font>
    <font>
      <b/>
      <i/>
      <sz val="8"/>
      <name val="Arial"/>
      <family val="2"/>
      <charset val="238"/>
    </font>
    <font>
      <sz val="12"/>
      <name val="Arial"/>
      <family val="2"/>
      <charset val="238"/>
    </font>
    <font>
      <sz val="9"/>
      <name val="Arial"/>
      <family val="2"/>
      <charset val="238"/>
    </font>
    <font>
      <u/>
      <sz val="11.5"/>
      <color indexed="12"/>
      <name val="Arial"/>
      <family val="2"/>
      <charset val="238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20"/>
      <name val="Arial"/>
      <family val="2"/>
      <charset val="238"/>
    </font>
    <font>
      <b/>
      <sz val="12"/>
      <name val="Arial"/>
      <family val="2"/>
      <charset val="238"/>
    </font>
    <font>
      <b/>
      <i/>
      <sz val="11"/>
      <name val="Arial"/>
      <family val="2"/>
      <charset val="238"/>
    </font>
    <font>
      <sz val="11"/>
      <color indexed="62"/>
      <name val="Calibri"/>
      <family val="2"/>
      <charset val="238"/>
    </font>
    <font>
      <b/>
      <sz val="9"/>
      <name val="Arial"/>
      <family val="2"/>
      <charset val="238"/>
    </font>
    <font>
      <b/>
      <sz val="10"/>
      <name val="Arial"/>
      <family val="2"/>
      <charset val="238"/>
    </font>
    <font>
      <sz val="14"/>
      <name val="Arial"/>
      <family val="2"/>
      <charset val="238"/>
    </font>
    <font>
      <b/>
      <sz val="14"/>
      <name val="Arial"/>
      <family val="2"/>
      <charset val="238"/>
    </font>
    <font>
      <sz val="10"/>
      <name val="Arial"/>
      <family val="2"/>
      <charset val="238"/>
    </font>
    <font>
      <b/>
      <sz val="9"/>
      <color indexed="8"/>
      <name val="Times New Roman"/>
      <family val="1"/>
      <charset val="238"/>
    </font>
    <font>
      <sz val="8"/>
      <name val="Times New Roman"/>
      <family val="1"/>
      <charset val="238"/>
    </font>
    <font>
      <sz val="18"/>
      <name val="Arial"/>
      <family val="2"/>
      <charset val="238"/>
    </font>
    <font>
      <sz val="8"/>
      <name val="Verdana"/>
      <family val="2"/>
      <charset val="238"/>
    </font>
    <font>
      <sz val="14"/>
      <color indexed="10"/>
      <name val="Arial"/>
      <family val="2"/>
      <charset val="238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14"/>
      <color indexed="8"/>
      <name val="Arial"/>
      <family val="2"/>
      <charset val="238"/>
    </font>
    <font>
      <b/>
      <sz val="14"/>
      <color indexed="8"/>
      <name val="Arial"/>
      <family val="2"/>
      <charset val="238"/>
    </font>
    <font>
      <strike/>
      <sz val="14"/>
      <color indexed="8"/>
      <name val="Arial"/>
      <family val="2"/>
      <charset val="238"/>
    </font>
    <font>
      <i/>
      <sz val="14"/>
      <color indexed="8"/>
      <name val="Arial"/>
      <family val="2"/>
      <charset val="238"/>
    </font>
    <font>
      <strike/>
      <sz val="14"/>
      <name val="Arial"/>
      <family val="2"/>
      <charset val="238"/>
    </font>
    <font>
      <i/>
      <sz val="14"/>
      <name val="Arial"/>
      <family val="2"/>
      <charset val="238"/>
    </font>
    <font>
      <u/>
      <sz val="14"/>
      <color indexed="12"/>
      <name val="Arial"/>
      <family val="2"/>
      <charset val="238"/>
    </font>
    <font>
      <i/>
      <strike/>
      <sz val="14"/>
      <color indexed="8"/>
      <name val="Arial"/>
      <family val="2"/>
      <charset val="238"/>
    </font>
    <font>
      <sz val="14"/>
      <color indexed="8"/>
      <name val="Arial"/>
      <family val="2"/>
      <charset val="238"/>
    </font>
    <font>
      <b/>
      <strike/>
      <sz val="14"/>
      <name val="Arial"/>
      <family val="2"/>
      <charset val="238"/>
    </font>
    <font>
      <sz val="11"/>
      <name val="Calibri"/>
      <family val="2"/>
      <charset val="238"/>
    </font>
    <font>
      <sz val="14"/>
      <name val="Arial"/>
      <family val="2"/>
      <charset val="238"/>
    </font>
    <font>
      <b/>
      <sz val="14"/>
      <name val="Arial"/>
      <family val="2"/>
      <charset val="238"/>
    </font>
    <font>
      <sz val="14"/>
      <color indexed="10"/>
      <name val="Arial"/>
      <family val="2"/>
      <charset val="238"/>
    </font>
    <font>
      <sz val="14"/>
      <name val="Arial"/>
      <family val="2"/>
      <charset val="238"/>
    </font>
    <font>
      <b/>
      <sz val="14"/>
      <name val="Arial"/>
      <family val="2"/>
      <charset val="238"/>
    </font>
    <font>
      <sz val="8"/>
      <color indexed="8"/>
      <name val="Verdana"/>
      <family val="2"/>
      <charset val="238"/>
    </font>
    <font>
      <sz val="10"/>
      <name val="Arial"/>
      <family val="2"/>
      <charset val="238"/>
    </font>
    <font>
      <sz val="8"/>
      <color indexed="8"/>
      <name val="SWGDT"/>
    </font>
    <font>
      <sz val="14"/>
      <color indexed="8"/>
      <name val="Arial"/>
      <family val="2"/>
      <charset val="238"/>
    </font>
    <font>
      <strike/>
      <sz val="14"/>
      <color indexed="8"/>
      <name val="Arial"/>
      <family val="2"/>
      <charset val="238"/>
    </font>
    <font>
      <sz val="9"/>
      <name val="Times New Roman"/>
      <family val="1"/>
      <charset val="238"/>
    </font>
    <font>
      <i/>
      <sz val="9"/>
      <name val="Arial"/>
      <family val="2"/>
      <charset val="238"/>
    </font>
    <font>
      <i/>
      <sz val="9"/>
      <name val="Times New Roman"/>
      <family val="1"/>
      <charset val="238"/>
    </font>
    <font>
      <i/>
      <sz val="9"/>
      <name val="Verdana"/>
      <family val="2"/>
      <charset val="238"/>
    </font>
    <font>
      <i/>
      <sz val="14"/>
      <color indexed="8"/>
      <name val="Arial"/>
      <family val="2"/>
      <charset val="238"/>
    </font>
    <font>
      <i/>
      <strike/>
      <sz val="14"/>
      <color indexed="8"/>
      <name val="Arial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rgb="FF9C5700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sz val="11"/>
      <color rgb="FF9C0006"/>
      <name val="Calibri"/>
      <family val="2"/>
      <charset val="238"/>
      <scheme val="minor"/>
    </font>
    <font>
      <sz val="10"/>
      <color theme="1" tint="4.9989318521683403E-2"/>
      <name val="Arial"/>
      <family val="2"/>
      <charset val="238"/>
    </font>
    <font>
      <b/>
      <sz val="10"/>
      <color theme="1"/>
      <name val="Arial"/>
      <family val="2"/>
      <charset val="238"/>
    </font>
    <font>
      <b/>
      <sz val="11"/>
      <color theme="1"/>
      <name val="Arial"/>
      <family val="2"/>
      <charset val="238"/>
    </font>
    <font>
      <sz val="11"/>
      <color theme="1" tint="4.9989318521683403E-2"/>
      <name val="Arial"/>
      <family val="2"/>
      <charset val="238"/>
    </font>
    <font>
      <b/>
      <sz val="12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i/>
      <sz val="13"/>
      <color theme="1"/>
      <name val="Verdana"/>
      <family val="2"/>
      <charset val="238"/>
    </font>
    <font>
      <sz val="8"/>
      <color theme="1"/>
      <name val="Times New Roman"/>
      <family val="1"/>
      <charset val="238"/>
    </font>
    <font>
      <sz val="8"/>
      <color theme="1"/>
      <name val="Verdana"/>
      <family val="2"/>
      <charset val="238"/>
    </font>
    <font>
      <sz val="14"/>
      <color theme="1"/>
      <name val="Arial"/>
      <family val="2"/>
      <charset val="238"/>
    </font>
    <font>
      <sz val="14"/>
      <color theme="1" tint="4.9989318521683403E-2"/>
      <name val="Arial"/>
      <family val="2"/>
      <charset val="238"/>
    </font>
    <font>
      <b/>
      <sz val="14"/>
      <color theme="1"/>
      <name val="Arial"/>
      <family val="2"/>
      <charset val="238"/>
    </font>
    <font>
      <sz val="14"/>
      <color rgb="FFFF0000"/>
      <name val="Arial"/>
      <family val="2"/>
      <charset val="238"/>
    </font>
    <font>
      <sz val="14"/>
      <color rgb="FF000000"/>
      <name val="Arial"/>
      <family val="2"/>
      <charset val="238"/>
    </font>
    <font>
      <i/>
      <sz val="14"/>
      <color theme="1"/>
      <name val="Arial"/>
      <family val="2"/>
      <charset val="238"/>
    </font>
    <font>
      <strike/>
      <sz val="14"/>
      <color theme="1"/>
      <name val="Arial"/>
      <family val="2"/>
      <charset val="238"/>
    </font>
    <font>
      <strike/>
      <sz val="14"/>
      <color theme="1" tint="4.9989318521683403E-2"/>
      <name val="Arial"/>
      <family val="2"/>
      <charset val="238"/>
    </font>
    <font>
      <i/>
      <sz val="8"/>
      <color theme="1"/>
      <name val="Verdana"/>
      <family val="2"/>
      <charset val="238"/>
    </font>
    <font>
      <i/>
      <sz val="9"/>
      <color theme="1"/>
      <name val="Verdana"/>
      <family val="2"/>
      <charset val="238"/>
    </font>
    <font>
      <sz val="9"/>
      <color theme="1"/>
      <name val="Times New Roman"/>
      <family val="1"/>
      <charset val="238"/>
    </font>
    <font>
      <i/>
      <sz val="9"/>
      <color theme="1"/>
      <name val="Times New Roman"/>
      <family val="1"/>
      <charset val="238"/>
    </font>
    <font>
      <b/>
      <strike/>
      <sz val="14"/>
      <color theme="1"/>
      <name val="Arial"/>
      <family val="2"/>
      <charset val="238"/>
    </font>
    <font>
      <i/>
      <sz val="8"/>
      <color rgb="FFFF0000"/>
      <name val="Verdana"/>
      <family val="2"/>
      <charset val="238"/>
    </font>
    <font>
      <b/>
      <sz val="14"/>
      <color rgb="FFFF0000"/>
      <name val="Arial"/>
      <family val="2"/>
      <charset val="238"/>
    </font>
    <font>
      <b/>
      <sz val="12"/>
      <color theme="1" tint="4.9989318521683403E-2"/>
      <name val="Arial"/>
      <family val="2"/>
      <charset val="238"/>
    </font>
  </fonts>
  <fills count="49">
    <fill>
      <patternFill patternType="none"/>
    </fill>
    <fill>
      <patternFill patternType="gray125"/>
    </fill>
    <fill>
      <patternFill patternType="solid">
        <fgColor indexed="47"/>
        <bgColor indexed="22"/>
      </patternFill>
    </fill>
    <fill>
      <patternFill patternType="solid">
        <fgColor indexed="22"/>
        <bgColor indexed="31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theme="0" tint="-0.14999847407452621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theme="0" tint="-0.14999847407452621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0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0"/>
      </top>
      <bottom/>
      <diagonal/>
    </border>
    <border>
      <left style="thick">
        <color indexed="64"/>
      </left>
      <right/>
      <top style="thin">
        <color indexed="0"/>
      </top>
      <bottom style="thin">
        <color indexed="0"/>
      </bottom>
      <diagonal/>
    </border>
    <border>
      <left style="medium">
        <color indexed="64"/>
      </left>
      <right style="thick">
        <color indexed="64"/>
      </right>
      <top style="thin">
        <color indexed="0"/>
      </top>
      <bottom style="thin">
        <color indexed="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ck">
        <color indexed="64"/>
      </right>
      <top style="thin">
        <color indexed="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0"/>
      </left>
      <right style="thin">
        <color indexed="0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70">
    <xf numFmtId="0" fontId="0" fillId="0" borderId="0"/>
    <xf numFmtId="0" fontId="55" fillId="4" borderId="0" applyNumberFormat="0" applyBorder="0" applyAlignment="0" applyProtection="0"/>
    <xf numFmtId="0" fontId="55" fillId="5" borderId="0" applyNumberFormat="0" applyBorder="0" applyAlignment="0" applyProtection="0"/>
    <xf numFmtId="0" fontId="55" fillId="6" borderId="0" applyNumberFormat="0" applyBorder="0" applyAlignment="0" applyProtection="0"/>
    <xf numFmtId="0" fontId="55" fillId="7" borderId="0" applyNumberFormat="0" applyBorder="0" applyAlignment="0" applyProtection="0"/>
    <xf numFmtId="0" fontId="55" fillId="8" borderId="0" applyNumberFormat="0" applyBorder="0" applyAlignment="0" applyProtection="0"/>
    <xf numFmtId="0" fontId="55" fillId="9" borderId="0" applyNumberFormat="0" applyBorder="0" applyAlignment="0" applyProtection="0"/>
    <xf numFmtId="0" fontId="55" fillId="10" borderId="0" applyNumberFormat="0" applyBorder="0" applyAlignment="0" applyProtection="0"/>
    <xf numFmtId="0" fontId="55" fillId="11" borderId="0" applyNumberFormat="0" applyBorder="0" applyAlignment="0" applyProtection="0"/>
    <xf numFmtId="0" fontId="55" fillId="12" borderId="0" applyNumberFormat="0" applyBorder="0" applyAlignment="0" applyProtection="0"/>
    <xf numFmtId="0" fontId="55" fillId="13" borderId="0" applyNumberFormat="0" applyBorder="0" applyAlignment="0" applyProtection="0"/>
    <xf numFmtId="0" fontId="55" fillId="14" borderId="0" applyNumberFormat="0" applyBorder="0" applyAlignment="0" applyProtection="0"/>
    <xf numFmtId="0" fontId="55" fillId="15" borderId="0" applyNumberFormat="0" applyBorder="0" applyAlignment="0" applyProtection="0"/>
    <xf numFmtId="0" fontId="56" fillId="16" borderId="0" applyNumberFormat="0" applyBorder="0" applyAlignment="0" applyProtection="0"/>
    <xf numFmtId="0" fontId="55" fillId="16" borderId="0" applyNumberFormat="0" applyBorder="0" applyAlignment="0" applyProtection="0"/>
    <xf numFmtId="0" fontId="56" fillId="17" borderId="0" applyNumberFormat="0" applyBorder="0" applyAlignment="0" applyProtection="0"/>
    <xf numFmtId="0" fontId="55" fillId="17" borderId="0" applyNumberFormat="0" applyBorder="0" applyAlignment="0" applyProtection="0"/>
    <xf numFmtId="0" fontId="56" fillId="18" borderId="0" applyNumberFormat="0" applyBorder="0" applyAlignment="0" applyProtection="0"/>
    <xf numFmtId="0" fontId="55" fillId="18" borderId="0" applyNumberFormat="0" applyBorder="0" applyAlignment="0" applyProtection="0"/>
    <xf numFmtId="0" fontId="56" fillId="19" borderId="0" applyNumberFormat="0" applyBorder="0" applyAlignment="0" applyProtection="0"/>
    <xf numFmtId="0" fontId="55" fillId="19" borderId="0" applyNumberFormat="0" applyBorder="0" applyAlignment="0" applyProtection="0"/>
    <xf numFmtId="0" fontId="56" fillId="20" borderId="0" applyNumberFormat="0" applyBorder="0" applyAlignment="0" applyProtection="0"/>
    <xf numFmtId="0" fontId="55" fillId="20" borderId="0" applyNumberFormat="0" applyBorder="0" applyAlignment="0" applyProtection="0"/>
    <xf numFmtId="0" fontId="56" fillId="21" borderId="0" applyNumberFormat="0" applyBorder="0" applyAlignment="0" applyProtection="0"/>
    <xf numFmtId="0" fontId="55" fillId="21" borderId="0" applyNumberFormat="0" applyBorder="0" applyAlignment="0" applyProtection="0"/>
    <xf numFmtId="0" fontId="56" fillId="22" borderId="0" applyNumberFormat="0" applyBorder="0" applyAlignment="0" applyProtection="0"/>
    <xf numFmtId="0" fontId="56" fillId="23" borderId="0" applyNumberFormat="0" applyBorder="0" applyAlignment="0" applyProtection="0"/>
    <xf numFmtId="0" fontId="56" fillId="24" borderId="0" applyNumberFormat="0" applyBorder="0" applyAlignment="0" applyProtection="0"/>
    <xf numFmtId="0" fontId="56" fillId="25" borderId="0" applyNumberFormat="0" applyBorder="0" applyAlignment="0" applyProtection="0"/>
    <xf numFmtId="0" fontId="56" fillId="26" borderId="0" applyNumberFormat="0" applyBorder="0" applyAlignment="0" applyProtection="0"/>
    <xf numFmtId="0" fontId="56" fillId="27" borderId="0" applyNumberFormat="0" applyBorder="0" applyAlignment="0" applyProtection="0"/>
    <xf numFmtId="0" fontId="55" fillId="0" borderId="1"/>
    <xf numFmtId="0" fontId="55" fillId="0" borderId="1"/>
    <xf numFmtId="0" fontId="55" fillId="0" borderId="1"/>
    <xf numFmtId="0" fontId="55" fillId="0" borderId="1"/>
    <xf numFmtId="0" fontId="55" fillId="0" borderId="1"/>
    <xf numFmtId="0" fontId="55" fillId="0" borderId="1"/>
    <xf numFmtId="0" fontId="55" fillId="0" borderId="1"/>
    <xf numFmtId="0" fontId="55" fillId="0" borderId="1"/>
    <xf numFmtId="0" fontId="55" fillId="0" borderId="1">
      <alignment horizontal="center"/>
    </xf>
    <xf numFmtId="0" fontId="55" fillId="0" borderId="1"/>
    <xf numFmtId="0" fontId="55" fillId="0" borderId="1">
      <alignment horizontal="center"/>
    </xf>
    <xf numFmtId="0" fontId="55" fillId="0" borderId="1">
      <alignment horizontal="center"/>
    </xf>
    <xf numFmtId="0" fontId="57" fillId="28" borderId="70" applyNumberFormat="0" applyAlignment="0" applyProtection="0"/>
    <xf numFmtId="0" fontId="58" fillId="29" borderId="71" applyNumberFormat="0" applyAlignment="0" applyProtection="0"/>
    <xf numFmtId="0" fontId="59" fillId="30" borderId="0" applyNumberFormat="0" applyBorder="0" applyAlignment="0" applyProtection="0"/>
    <xf numFmtId="178" fontId="8" fillId="0" borderId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13" fillId="2" borderId="2" applyNumberFormat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0" fontId="60" fillId="0" borderId="72" applyNumberFormat="0" applyFill="0" applyAlignment="0" applyProtection="0"/>
    <xf numFmtId="0" fontId="61" fillId="31" borderId="73" applyNumberFormat="0" applyAlignment="0" applyProtection="0"/>
    <xf numFmtId="0" fontId="62" fillId="0" borderId="74" applyNumberFormat="0" applyFill="0" applyAlignment="0" applyProtection="0"/>
    <xf numFmtId="0" fontId="63" fillId="0" borderId="75" applyNumberFormat="0" applyFill="0" applyAlignment="0" applyProtection="0"/>
    <xf numFmtId="0" fontId="64" fillId="0" borderId="76" applyNumberFormat="0" applyFill="0" applyAlignment="0" applyProtection="0"/>
    <xf numFmtId="0" fontId="64" fillId="0" borderId="0" applyNumberFormat="0" applyFill="0" applyBorder="0" applyAlignment="0" applyProtection="0"/>
    <xf numFmtId="0" fontId="65" fillId="32" borderId="0" applyNumberFormat="0" applyBorder="0" applyAlignment="0" applyProtection="0"/>
    <xf numFmtId="0" fontId="66" fillId="32" borderId="0" applyNumberFormat="0" applyBorder="0" applyAlignment="0" applyProtection="0"/>
    <xf numFmtId="0" fontId="55" fillId="0" borderId="0"/>
    <xf numFmtId="0" fontId="55" fillId="0" borderId="0"/>
    <xf numFmtId="0" fontId="8" fillId="0" borderId="0"/>
    <xf numFmtId="0" fontId="67" fillId="29" borderId="70" applyNumberFormat="0" applyAlignment="0" applyProtection="0"/>
    <xf numFmtId="0" fontId="68" fillId="0" borderId="77" applyNumberFormat="0" applyFill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55" fillId="33" borderId="78" applyNumberFormat="0" applyFont="0" applyAlignment="0" applyProtection="0"/>
    <xf numFmtId="0" fontId="72" fillId="34" borderId="0" applyNumberFormat="0" applyBorder="0" applyAlignment="0" applyProtection="0"/>
  </cellStyleXfs>
  <cellXfs count="651">
    <xf numFmtId="0" fontId="0" fillId="0" borderId="0" xfId="0"/>
    <xf numFmtId="0" fontId="0" fillId="3" borderId="0" xfId="0" applyFont="1" applyFill="1"/>
    <xf numFmtId="0" fontId="1" fillId="0" borderId="0" xfId="0" applyFont="1" applyProtection="1">
      <protection locked="0"/>
    </xf>
    <xf numFmtId="166" fontId="1" fillId="0" borderId="0" xfId="0" applyNumberFormat="1" applyFont="1" applyAlignment="1" applyProtection="1">
      <alignment horizontal="left"/>
      <protection locked="0"/>
    </xf>
    <xf numFmtId="0" fontId="2" fillId="0" borderId="0" xfId="0" applyFont="1"/>
    <xf numFmtId="0" fontId="2" fillId="3" borderId="3" xfId="0" applyFont="1" applyFill="1" applyBorder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/>
    <xf numFmtId="0" fontId="4" fillId="0" borderId="0" xfId="0" applyFont="1"/>
    <xf numFmtId="0" fontId="12" fillId="0" borderId="0" xfId="0" applyFont="1"/>
    <xf numFmtId="0" fontId="73" fillId="0" borderId="0" xfId="0" applyNumberFormat="1" applyFont="1" applyFill="1" applyBorder="1" applyProtection="1">
      <protection locked="0"/>
    </xf>
    <xf numFmtId="0" fontId="74" fillId="35" borderId="4" xfId="0" applyNumberFormat="1" applyFont="1" applyFill="1" applyBorder="1" applyAlignment="1" applyProtection="1">
      <alignment horizontal="center" vertical="center" wrapText="1"/>
      <protection locked="0"/>
    </xf>
    <xf numFmtId="0" fontId="74" fillId="35" borderId="5" xfId="0" applyNumberFormat="1" applyFont="1" applyFill="1" applyBorder="1" applyAlignment="1" applyProtection="1">
      <alignment horizontal="center" vertical="center" wrapText="1"/>
      <protection locked="0"/>
    </xf>
    <xf numFmtId="0" fontId="74" fillId="35" borderId="6" xfId="0" applyNumberFormat="1" applyFont="1" applyFill="1" applyBorder="1" applyAlignment="1" applyProtection="1">
      <alignment horizontal="center" vertical="center" wrapText="1"/>
      <protection locked="0"/>
    </xf>
    <xf numFmtId="0" fontId="74" fillId="35" borderId="7" xfId="0" applyNumberFormat="1" applyFont="1" applyFill="1" applyBorder="1" applyAlignment="1" applyProtection="1">
      <alignment horizontal="center" vertical="center" wrapText="1"/>
      <protection locked="0"/>
    </xf>
    <xf numFmtId="0" fontId="75" fillId="35" borderId="4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NumberFormat="1" applyFont="1" applyFill="1" applyBorder="1" applyAlignment="1" applyProtection="1">
      <alignment horizontal="left" vertical="center"/>
      <protection locked="0"/>
    </xf>
    <xf numFmtId="0" fontId="6" fillId="0" borderId="0" xfId="0" applyNumberFormat="1" applyFont="1" applyFill="1" applyBorder="1" applyAlignment="1" applyProtection="1">
      <alignment vertical="top"/>
      <protection locked="0"/>
    </xf>
    <xf numFmtId="0" fontId="14" fillId="0" borderId="0" xfId="0" applyNumberFormat="1" applyFont="1" applyFill="1" applyBorder="1" applyAlignment="1" applyProtection="1">
      <alignment horizontal="center" vertical="top"/>
      <protection locked="0"/>
    </xf>
    <xf numFmtId="0" fontId="9" fillId="0" borderId="0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NumberFormat="1" applyFont="1" applyFill="1" applyBorder="1" applyAlignment="1" applyProtection="1">
      <alignment horizontal="center" vertical="center"/>
      <protection locked="0"/>
    </xf>
    <xf numFmtId="0" fontId="74" fillId="35" borderId="8" xfId="0" applyNumberFormat="1" applyFont="1" applyFill="1" applyBorder="1" applyAlignment="1" applyProtection="1">
      <alignment horizontal="center" vertical="center" wrapText="1"/>
      <protection locked="0"/>
    </xf>
    <xf numFmtId="0" fontId="74" fillId="35" borderId="9" xfId="0" applyNumberFormat="1" applyFont="1" applyFill="1" applyBorder="1" applyAlignment="1" applyProtection="1">
      <alignment horizontal="center" vertical="center" wrapText="1"/>
      <protection locked="0"/>
    </xf>
    <xf numFmtId="0" fontId="74" fillId="35" borderId="10" xfId="0" applyNumberFormat="1" applyFont="1" applyFill="1" applyBorder="1" applyAlignment="1" applyProtection="1">
      <alignment horizontal="center" vertical="center" wrapText="1"/>
      <protection locked="0"/>
    </xf>
    <xf numFmtId="0" fontId="76" fillId="0" borderId="0" xfId="0" applyNumberFormat="1" applyFont="1" applyFill="1" applyBorder="1" applyProtection="1">
      <protection locked="0"/>
    </xf>
    <xf numFmtId="0" fontId="0" fillId="0" borderId="0" xfId="0" applyNumberFormat="1" applyFont="1" applyFill="1" applyBorder="1" applyAlignment="1" applyProtection="1">
      <alignment horizontal="center"/>
      <protection locked="0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74" fillId="35" borderId="11" xfId="0" applyNumberFormat="1" applyFont="1" applyFill="1" applyBorder="1" applyAlignment="1" applyProtection="1">
      <alignment horizontal="center" vertical="center" wrapText="1"/>
      <protection locked="0"/>
    </xf>
    <xf numFmtId="0" fontId="74" fillId="35" borderId="12" xfId="0" applyNumberFormat="1" applyFont="1" applyFill="1" applyBorder="1" applyAlignment="1" applyProtection="1">
      <alignment horizontal="center" vertical="center" wrapText="1"/>
      <protection locked="0"/>
    </xf>
    <xf numFmtId="0" fontId="74" fillId="35" borderId="13" xfId="0" applyNumberFormat="1" applyFont="1" applyFill="1" applyBorder="1" applyAlignment="1" applyProtection="1">
      <alignment horizontal="center" vertical="center" wrapText="1"/>
      <protection locked="0"/>
    </xf>
    <xf numFmtId="0" fontId="77" fillId="36" borderId="14" xfId="0" applyNumberFormat="1" applyFont="1" applyFill="1" applyBorder="1" applyAlignment="1" applyProtection="1">
      <alignment horizontal="center" vertical="center" wrapText="1"/>
      <protection locked="0"/>
    </xf>
    <xf numFmtId="0" fontId="15" fillId="35" borderId="14" xfId="0" applyNumberFormat="1" applyFont="1" applyFill="1" applyBorder="1" applyAlignment="1" applyProtection="1">
      <alignment horizontal="center" vertical="center" wrapText="1"/>
    </xf>
    <xf numFmtId="0" fontId="74" fillId="35" borderId="14" xfId="0" applyNumberFormat="1" applyFont="1" applyFill="1" applyBorder="1" applyAlignment="1" applyProtection="1">
      <alignment horizontal="center" vertical="center" wrapText="1"/>
      <protection locked="0"/>
    </xf>
    <xf numFmtId="0" fontId="74" fillId="35" borderId="14" xfId="0" applyNumberFormat="1" applyFont="1" applyFill="1" applyBorder="1" applyAlignment="1" applyProtection="1">
      <alignment horizontal="center" vertical="center"/>
      <protection locked="0"/>
    </xf>
    <xf numFmtId="0" fontId="75" fillId="35" borderId="15" xfId="0" applyNumberFormat="1" applyFont="1" applyFill="1" applyBorder="1" applyAlignment="1" applyProtection="1">
      <alignment horizontal="center" vertical="center" wrapText="1"/>
      <protection locked="0"/>
    </xf>
    <xf numFmtId="0" fontId="75" fillId="35" borderId="16" xfId="0" applyNumberFormat="1" applyFont="1" applyFill="1" applyBorder="1" applyAlignment="1" applyProtection="1">
      <alignment horizontal="center" vertical="center" wrapText="1"/>
      <protection locked="0"/>
    </xf>
    <xf numFmtId="0" fontId="74" fillId="35" borderId="17" xfId="0" applyNumberFormat="1" applyFont="1" applyFill="1" applyBorder="1" applyAlignment="1" applyProtection="1">
      <alignment horizontal="center" vertical="center" wrapText="1"/>
      <protection locked="0"/>
    </xf>
    <xf numFmtId="0" fontId="74" fillId="35" borderId="18" xfId="0" applyNumberFormat="1" applyFont="1" applyFill="1" applyBorder="1" applyAlignment="1" applyProtection="1">
      <alignment horizontal="center" vertical="center" wrapText="1"/>
    </xf>
    <xf numFmtId="0" fontId="74" fillId="35" borderId="19" xfId="0" applyNumberFormat="1" applyFont="1" applyFill="1" applyBorder="1" applyAlignment="1" applyProtection="1">
      <alignment horizontal="center" vertical="center" wrapText="1"/>
      <protection locked="0"/>
    </xf>
    <xf numFmtId="0" fontId="74" fillId="35" borderId="20" xfId="0" applyNumberFormat="1" applyFont="1" applyFill="1" applyBorder="1" applyAlignment="1" applyProtection="1">
      <alignment horizontal="center" vertical="center" wrapText="1"/>
      <protection locked="0"/>
    </xf>
    <xf numFmtId="0" fontId="74" fillId="35" borderId="21" xfId="0" applyNumberFormat="1" applyFont="1" applyFill="1" applyBorder="1" applyAlignment="1" applyProtection="1">
      <alignment horizontal="center" vertical="center" wrapText="1"/>
    </xf>
    <xf numFmtId="0" fontId="15" fillId="35" borderId="22" xfId="0" applyNumberFormat="1" applyFont="1" applyFill="1" applyBorder="1" applyAlignment="1" applyProtection="1">
      <alignment horizontal="center" vertical="center" wrapText="1"/>
    </xf>
    <xf numFmtId="0" fontId="74" fillId="35" borderId="22" xfId="0" applyNumberFormat="1" applyFont="1" applyFill="1" applyBorder="1" applyAlignment="1" applyProtection="1">
      <alignment horizontal="center" vertical="center" wrapText="1"/>
      <protection locked="0"/>
    </xf>
    <xf numFmtId="0" fontId="74" fillId="35" borderId="22" xfId="0" applyNumberFormat="1" applyFont="1" applyFill="1" applyBorder="1" applyAlignment="1" applyProtection="1">
      <alignment horizontal="center" vertical="center"/>
      <protection locked="0"/>
    </xf>
    <xf numFmtId="0" fontId="74" fillId="35" borderId="23" xfId="0" applyNumberFormat="1" applyFont="1" applyFill="1" applyBorder="1" applyAlignment="1" applyProtection="1">
      <alignment horizontal="center" vertical="center" wrapText="1"/>
      <protection locked="0"/>
    </xf>
    <xf numFmtId="0" fontId="74" fillId="35" borderId="24" xfId="0" applyNumberFormat="1" applyFont="1" applyFill="1" applyBorder="1" applyAlignment="1" applyProtection="1">
      <alignment horizontal="center" vertical="center" wrapText="1"/>
      <protection locked="0"/>
    </xf>
    <xf numFmtId="0" fontId="74" fillId="35" borderId="25" xfId="0" applyNumberFormat="1" applyFont="1" applyFill="1" applyBorder="1" applyAlignment="1" applyProtection="1">
      <alignment horizontal="center" vertical="center" wrapText="1"/>
      <protection locked="0"/>
    </xf>
    <xf numFmtId="0" fontId="74" fillId="35" borderId="26" xfId="0" applyNumberFormat="1" applyFont="1" applyFill="1" applyBorder="1" applyAlignment="1" applyProtection="1">
      <alignment horizontal="center" vertical="center" wrapText="1"/>
      <protection locked="0"/>
    </xf>
    <xf numFmtId="0" fontId="75" fillId="35" borderId="27" xfId="0" applyNumberFormat="1" applyFont="1" applyFill="1" applyBorder="1" applyAlignment="1" applyProtection="1">
      <alignment horizontal="center" vertical="center" wrapText="1"/>
      <protection locked="0"/>
    </xf>
    <xf numFmtId="0" fontId="75" fillId="35" borderId="28" xfId="0" applyNumberFormat="1" applyFont="1" applyFill="1" applyBorder="1" applyAlignment="1" applyProtection="1">
      <alignment horizontal="center" vertical="center" wrapText="1"/>
      <protection locked="0"/>
    </xf>
    <xf numFmtId="0" fontId="74" fillId="35" borderId="29" xfId="0" applyNumberFormat="1" applyFont="1" applyFill="1" applyBorder="1" applyAlignment="1" applyProtection="1">
      <alignment horizontal="center" vertical="center" wrapText="1"/>
      <protection locked="0"/>
    </xf>
    <xf numFmtId="0" fontId="74" fillId="35" borderId="27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/>
    <xf numFmtId="0" fontId="75" fillId="35" borderId="10" xfId="0" applyNumberFormat="1" applyFont="1" applyFill="1" applyBorder="1" applyAlignment="1" applyProtection="1">
      <alignment horizontal="center" vertical="center" wrapText="1"/>
      <protection locked="0"/>
    </xf>
    <xf numFmtId="0" fontId="6" fillId="0" borderId="0" xfId="0" applyNumberFormat="1" applyFont="1" applyFill="1" applyBorder="1" applyAlignment="1" applyProtection="1">
      <alignment horizontal="left" vertical="center"/>
    </xf>
    <xf numFmtId="0" fontId="74" fillId="35" borderId="30" xfId="0" applyNumberFormat="1" applyFont="1" applyFill="1" applyBorder="1" applyAlignment="1" applyProtection="1">
      <alignment horizontal="center" vertical="center" wrapText="1"/>
      <protection locked="0"/>
    </xf>
    <xf numFmtId="0" fontId="16" fillId="0" borderId="31" xfId="0" applyNumberFormat="1" applyFont="1" applyFill="1" applyBorder="1" applyAlignment="1" applyProtection="1">
      <alignment horizontal="center" vertical="center" wrapText="1"/>
      <protection locked="0"/>
    </xf>
    <xf numFmtId="0" fontId="78" fillId="37" borderId="14" xfId="0" applyFont="1" applyFill="1" applyBorder="1" applyAlignment="1">
      <alignment horizontal="center" vertical="center" wrapText="1"/>
    </xf>
    <xf numFmtId="0" fontId="74" fillId="38" borderId="14" xfId="0" applyFont="1" applyFill="1" applyBorder="1" applyAlignment="1" applyProtection="1">
      <alignment horizontal="center" vertical="center" wrapText="1"/>
      <protection locked="0"/>
    </xf>
    <xf numFmtId="0" fontId="0" fillId="39" borderId="14" xfId="0" applyFont="1" applyFill="1" applyBorder="1" applyAlignment="1">
      <alignment horizontal="center" vertical="center" wrapText="1"/>
    </xf>
    <xf numFmtId="49" fontId="0" fillId="39" borderId="14" xfId="0" applyNumberFormat="1" applyFont="1" applyFill="1" applyBorder="1" applyAlignment="1">
      <alignment horizontal="center" vertical="center" wrapText="1"/>
    </xf>
    <xf numFmtId="0" fontId="79" fillId="39" borderId="14" xfId="0" applyFont="1" applyFill="1" applyBorder="1" applyAlignment="1">
      <alignment horizontal="center" vertical="center"/>
    </xf>
    <xf numFmtId="0" fontId="79" fillId="39" borderId="14" xfId="0" applyFont="1" applyFill="1" applyBorder="1" applyAlignment="1">
      <alignment horizontal="center" vertical="center" wrapText="1"/>
    </xf>
    <xf numFmtId="0" fontId="0" fillId="39" borderId="14" xfId="0" applyFont="1" applyFill="1" applyBorder="1" applyAlignment="1">
      <alignment horizontal="center"/>
    </xf>
    <xf numFmtId="0" fontId="0" fillId="39" borderId="14" xfId="0" applyFont="1" applyFill="1" applyBorder="1" applyAlignment="1">
      <alignment horizontal="center" vertical="center"/>
    </xf>
    <xf numFmtId="14" fontId="79" fillId="39" borderId="14" xfId="0" applyNumberFormat="1" applyFont="1" applyFill="1" applyBorder="1" applyAlignment="1" applyProtection="1">
      <alignment horizontal="left" vertical="center" wrapText="1"/>
      <protection locked="0"/>
    </xf>
    <xf numFmtId="0" fontId="79" fillId="39" borderId="14" xfId="0" applyFont="1" applyFill="1" applyBorder="1" applyAlignment="1" applyProtection="1">
      <alignment horizontal="center" vertical="center" wrapText="1"/>
      <protection locked="0"/>
    </xf>
    <xf numFmtId="0" fontId="0" fillId="39" borderId="14" xfId="0" applyFont="1" applyFill="1" applyBorder="1" applyAlignment="1" applyProtection="1">
      <alignment horizontal="center" vertical="center"/>
      <protection locked="0"/>
    </xf>
    <xf numFmtId="0" fontId="8" fillId="0" borderId="14" xfId="0" applyFont="1" applyFill="1" applyBorder="1" applyAlignment="1">
      <alignment horizontal="center"/>
    </xf>
    <xf numFmtId="0" fontId="74" fillId="35" borderId="32" xfId="0" applyNumberFormat="1" applyFont="1" applyFill="1" applyBorder="1" applyAlignment="1" applyProtection="1">
      <alignment horizontal="center" vertical="center" wrapText="1"/>
    </xf>
    <xf numFmtId="0" fontId="15" fillId="35" borderId="8" xfId="0" applyNumberFormat="1" applyFont="1" applyFill="1" applyBorder="1" applyAlignment="1" applyProtection="1">
      <alignment horizontal="center" vertical="center" wrapText="1"/>
    </xf>
    <xf numFmtId="0" fontId="74" fillId="35" borderId="8" xfId="0" applyNumberFormat="1" applyFont="1" applyFill="1" applyBorder="1" applyAlignment="1" applyProtection="1">
      <alignment horizontal="center" vertical="center"/>
      <protection locked="0"/>
    </xf>
    <xf numFmtId="0" fontId="77" fillId="36" borderId="8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Border="1"/>
    <xf numFmtId="0" fontId="20" fillId="0" borderId="14" xfId="0" applyFont="1" applyFill="1" applyBorder="1" applyAlignment="1">
      <alignment horizontal="center" vertical="center"/>
    </xf>
    <xf numFmtId="0" fontId="80" fillId="0" borderId="14" xfId="0" applyFont="1" applyFill="1" applyBorder="1" applyAlignment="1">
      <alignment horizontal="center" vertical="center" wrapText="1"/>
    </xf>
    <xf numFmtId="0" fontId="80" fillId="0" borderId="14" xfId="0" applyFont="1" applyFill="1" applyBorder="1" applyAlignment="1" applyProtection="1">
      <alignment horizontal="center" vertical="center" wrapText="1"/>
      <protection locked="0"/>
    </xf>
    <xf numFmtId="0" fontId="20" fillId="0" borderId="0" xfId="0" applyFont="1" applyFill="1" applyBorder="1" applyAlignment="1">
      <alignment horizontal="center"/>
    </xf>
    <xf numFmtId="14" fontId="20" fillId="0" borderId="0" xfId="0" applyNumberFormat="1" applyFont="1" applyFill="1" applyBorder="1" applyAlignment="1">
      <alignment horizontal="center"/>
    </xf>
    <xf numFmtId="0" fontId="80" fillId="0" borderId="0" xfId="0" applyFont="1" applyBorder="1" applyAlignment="1">
      <alignment horizontal="left" vertical="center" wrapText="1"/>
    </xf>
    <xf numFmtId="0" fontId="80" fillId="0" borderId="0" xfId="0" applyFont="1" applyBorder="1" applyAlignment="1">
      <alignment horizontal="center" vertical="center" wrapText="1"/>
    </xf>
    <xf numFmtId="0" fontId="80" fillId="0" borderId="0" xfId="0" applyFont="1" applyFill="1" applyBorder="1" applyAlignment="1">
      <alignment horizontal="center" vertical="center" wrapText="1"/>
    </xf>
    <xf numFmtId="0" fontId="20" fillId="0" borderId="0" xfId="0" applyFont="1" applyFill="1" applyBorder="1" applyAlignment="1">
      <alignment horizontal="center" vertical="center"/>
    </xf>
    <xf numFmtId="14" fontId="8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80" fillId="0" borderId="0" xfId="0" applyFont="1" applyFill="1" applyBorder="1" applyAlignment="1" applyProtection="1">
      <alignment horizontal="center" vertical="center" wrapText="1"/>
      <protection locked="0"/>
    </xf>
    <xf numFmtId="0" fontId="74" fillId="35" borderId="8" xfId="0" applyNumberFormat="1" applyFont="1" applyFill="1" applyBorder="1" applyAlignment="1" applyProtection="1">
      <alignment horizontal="left" vertical="center" wrapText="1"/>
      <protection locked="0"/>
    </xf>
    <xf numFmtId="0" fontId="74" fillId="35" borderId="14" xfId="0" applyNumberFormat="1" applyFont="1" applyFill="1" applyBorder="1" applyAlignment="1" applyProtection="1">
      <alignment horizontal="left" vertical="center" wrapText="1"/>
      <protection locked="0"/>
    </xf>
    <xf numFmtId="0" fontId="74" fillId="35" borderId="22" xfId="0" applyNumberFormat="1" applyFont="1" applyFill="1" applyBorder="1" applyAlignment="1" applyProtection="1">
      <alignment horizontal="left" vertical="center" wrapText="1"/>
      <protection locked="0"/>
    </xf>
    <xf numFmtId="0" fontId="16" fillId="40" borderId="8" xfId="0" applyNumberFormat="1" applyFont="1" applyFill="1" applyBorder="1" applyAlignment="1" applyProtection="1">
      <alignment horizontal="center" vertical="center" wrapText="1"/>
      <protection locked="0"/>
    </xf>
    <xf numFmtId="0" fontId="21" fillId="0" borderId="0" xfId="0" applyNumberFormat="1" applyFont="1" applyFill="1" applyBorder="1" applyAlignment="1" applyProtection="1">
      <alignment horizontal="center" vertical="center"/>
      <protection locked="0"/>
    </xf>
    <xf numFmtId="14" fontId="22" fillId="0" borderId="14" xfId="0" applyNumberFormat="1" applyFont="1" applyFill="1" applyBorder="1" applyAlignment="1">
      <alignment horizontal="center"/>
    </xf>
    <xf numFmtId="0" fontId="22" fillId="0" borderId="14" xfId="0" applyFont="1" applyFill="1" applyBorder="1" applyAlignment="1">
      <alignment horizontal="center"/>
    </xf>
    <xf numFmtId="0" fontId="81" fillId="0" borderId="14" xfId="0" applyFont="1" applyBorder="1" applyAlignment="1">
      <alignment horizontal="center" vertical="center" wrapText="1"/>
    </xf>
    <xf numFmtId="0" fontId="22" fillId="0" borderId="14" xfId="0" applyFont="1" applyFill="1" applyBorder="1" applyAlignment="1">
      <alignment horizontal="center" vertical="center"/>
    </xf>
    <xf numFmtId="0" fontId="16" fillId="40" borderId="31" xfId="0" applyNumberFormat="1" applyFont="1" applyFill="1" applyBorder="1" applyAlignment="1" applyProtection="1">
      <alignment horizontal="center" vertical="center" wrapText="1"/>
      <protection locked="0"/>
    </xf>
    <xf numFmtId="0" fontId="82" fillId="40" borderId="8" xfId="0" applyNumberFormat="1" applyFont="1" applyFill="1" applyBorder="1" applyAlignment="1" applyProtection="1">
      <alignment horizontal="center" vertical="center" wrapText="1"/>
      <protection locked="0"/>
    </xf>
    <xf numFmtId="0" fontId="16" fillId="40" borderId="8" xfId="45" applyNumberFormat="1" applyFont="1" applyFill="1" applyBorder="1" applyAlignment="1" applyProtection="1">
      <alignment horizontal="center" vertical="center" wrapText="1"/>
      <protection locked="0"/>
    </xf>
    <xf numFmtId="0" fontId="16" fillId="40" borderId="33" xfId="45" applyNumberFormat="1" applyFont="1" applyFill="1" applyBorder="1" applyAlignment="1" applyProtection="1">
      <alignment horizontal="center" vertical="center" wrapText="1"/>
      <protection locked="0"/>
    </xf>
    <xf numFmtId="0" fontId="16" fillId="40" borderId="11" xfId="0" applyNumberFormat="1" applyFont="1" applyFill="1" applyBorder="1" applyAlignment="1" applyProtection="1">
      <alignment horizontal="center" vertical="center" wrapText="1"/>
      <protection locked="0"/>
    </xf>
    <xf numFmtId="0" fontId="16" fillId="40" borderId="31" xfId="45" applyNumberFormat="1" applyFont="1" applyFill="1" applyBorder="1" applyAlignment="1" applyProtection="1">
      <alignment horizontal="center" vertical="center" wrapText="1"/>
      <protection locked="0"/>
    </xf>
    <xf numFmtId="0" fontId="16" fillId="40" borderId="34" xfId="45" applyNumberFormat="1" applyFont="1" applyFill="1" applyBorder="1" applyAlignment="1" applyProtection="1">
      <alignment horizontal="center" vertical="center" wrapText="1"/>
      <protection locked="0"/>
    </xf>
    <xf numFmtId="0" fontId="16" fillId="40" borderId="35" xfId="0" applyNumberFormat="1" applyFont="1" applyFill="1" applyBorder="1" applyAlignment="1" applyProtection="1">
      <alignment horizontal="center" vertical="center" wrapText="1"/>
      <protection locked="0"/>
    </xf>
    <xf numFmtId="14" fontId="16" fillId="40" borderId="31" xfId="45" applyNumberFormat="1" applyFont="1" applyFill="1" applyBorder="1" applyAlignment="1" applyProtection="1">
      <alignment horizontal="center" vertical="center" wrapText="1"/>
      <protection locked="0"/>
    </xf>
    <xf numFmtId="0" fontId="82" fillId="40" borderId="14" xfId="0" applyFont="1" applyFill="1" applyBorder="1" applyAlignment="1" applyProtection="1">
      <alignment horizontal="left" vertical="center" wrapText="1"/>
      <protection locked="0"/>
    </xf>
    <xf numFmtId="0" fontId="16" fillId="0" borderId="31" xfId="45" applyNumberFormat="1" applyFont="1" applyFill="1" applyBorder="1" applyAlignment="1" applyProtection="1">
      <alignment horizontal="center" vertical="center" wrapText="1"/>
      <protection locked="0"/>
    </xf>
    <xf numFmtId="0" fontId="16" fillId="0" borderId="34" xfId="45" applyNumberFormat="1" applyFont="1" applyFill="1" applyBorder="1" applyAlignment="1" applyProtection="1">
      <alignment horizontal="center" vertical="center" wrapText="1"/>
      <protection locked="0"/>
    </xf>
    <xf numFmtId="0" fontId="16" fillId="0" borderId="35" xfId="0" applyNumberFormat="1" applyFont="1" applyFill="1" applyBorder="1" applyAlignment="1" applyProtection="1">
      <alignment horizontal="center" vertical="center" wrapText="1"/>
      <protection locked="0"/>
    </xf>
    <xf numFmtId="0" fontId="16" fillId="40" borderId="8" xfId="0" applyFont="1" applyFill="1" applyBorder="1" applyAlignment="1" applyProtection="1">
      <alignment horizontal="center" vertical="center" wrapText="1"/>
      <protection locked="0"/>
    </xf>
    <xf numFmtId="0" fontId="16" fillId="40" borderId="11" xfId="0" applyFont="1" applyFill="1" applyBorder="1" applyAlignment="1" applyProtection="1">
      <alignment horizontal="center" vertical="center" wrapText="1"/>
      <protection locked="0"/>
    </xf>
    <xf numFmtId="0" fontId="82" fillId="39" borderId="31" xfId="45" applyNumberFormat="1" applyFont="1" applyFill="1" applyBorder="1" applyAlignment="1" applyProtection="1">
      <alignment horizontal="center" vertical="center" wrapText="1"/>
      <protection locked="0"/>
    </xf>
    <xf numFmtId="0" fontId="16" fillId="39" borderId="31" xfId="45" applyNumberFormat="1" applyFont="1" applyFill="1" applyBorder="1" applyAlignment="1" applyProtection="1">
      <alignment horizontal="center" vertical="center" wrapText="1"/>
      <protection locked="0"/>
    </xf>
    <xf numFmtId="0" fontId="82" fillId="39" borderId="8" xfId="45" applyNumberFormat="1" applyFont="1" applyFill="1" applyBorder="1" applyAlignment="1" applyProtection="1">
      <alignment horizontal="center" vertical="center" wrapText="1"/>
      <protection locked="0"/>
    </xf>
    <xf numFmtId="0" fontId="82" fillId="41" borderId="31" xfId="45" applyNumberFormat="1" applyFont="1" applyFill="1" applyBorder="1" applyAlignment="1" applyProtection="1">
      <alignment horizontal="center" vertical="center" wrapText="1"/>
      <protection locked="0"/>
    </xf>
    <xf numFmtId="0" fontId="82" fillId="40" borderId="31" xfId="0" applyFont="1" applyFill="1" applyBorder="1" applyAlignment="1" applyProtection="1">
      <alignment horizontal="left" vertical="center"/>
      <protection locked="0"/>
    </xf>
    <xf numFmtId="0" fontId="82" fillId="39" borderId="31" xfId="0" applyNumberFormat="1" applyFont="1" applyFill="1" applyBorder="1" applyAlignment="1" applyProtection="1">
      <alignment horizontal="center" vertical="center"/>
      <protection locked="0"/>
    </xf>
    <xf numFmtId="0" fontId="16" fillId="0" borderId="0" xfId="0" applyNumberFormat="1" applyFont="1" applyFill="1" applyBorder="1" applyAlignment="1" applyProtection="1">
      <alignment vertical="top"/>
      <protection locked="0"/>
    </xf>
    <xf numFmtId="0" fontId="17" fillId="0" borderId="0" xfId="0" applyNumberFormat="1" applyFont="1" applyFill="1" applyBorder="1" applyAlignment="1" applyProtection="1">
      <alignment horizontal="center" vertical="top"/>
      <protection locked="0"/>
    </xf>
    <xf numFmtId="0" fontId="16" fillId="0" borderId="0" xfId="0" applyNumberFormat="1" applyFont="1" applyFill="1" applyBorder="1" applyAlignment="1" applyProtection="1">
      <alignment horizontal="center" vertical="center"/>
      <protection locked="0"/>
    </xf>
    <xf numFmtId="0" fontId="83" fillId="0" borderId="0" xfId="0" applyNumberFormat="1" applyFont="1" applyFill="1" applyBorder="1" applyProtection="1">
      <protection locked="0"/>
    </xf>
    <xf numFmtId="0" fontId="5" fillId="0" borderId="36" xfId="0" applyNumberFormat="1" applyFont="1" applyFill="1" applyBorder="1" applyAlignment="1" applyProtection="1">
      <alignment horizontal="center" vertical="center"/>
      <protection locked="0"/>
    </xf>
    <xf numFmtId="0" fontId="77" fillId="36" borderId="11" xfId="0" applyNumberFormat="1" applyFont="1" applyFill="1" applyBorder="1" applyAlignment="1" applyProtection="1">
      <alignment horizontal="center" vertical="center" wrapText="1"/>
      <protection locked="0"/>
    </xf>
    <xf numFmtId="0" fontId="77" fillId="36" borderId="17" xfId="0" applyNumberFormat="1" applyFont="1" applyFill="1" applyBorder="1" applyAlignment="1" applyProtection="1">
      <alignment horizontal="center" vertical="center" wrapText="1"/>
      <protection locked="0"/>
    </xf>
    <xf numFmtId="0" fontId="74" fillId="35" borderId="37" xfId="0" applyNumberFormat="1" applyFont="1" applyFill="1" applyBorder="1" applyAlignment="1" applyProtection="1">
      <alignment horizontal="center" vertical="center" wrapText="1"/>
      <protection locked="0"/>
    </xf>
    <xf numFmtId="0" fontId="74" fillId="35" borderId="38" xfId="0" applyNumberFormat="1" applyFont="1" applyFill="1" applyBorder="1" applyAlignment="1" applyProtection="1">
      <alignment horizontal="center" vertical="center" wrapText="1"/>
      <protection locked="0"/>
    </xf>
    <xf numFmtId="0" fontId="77" fillId="36" borderId="39" xfId="0" applyNumberFormat="1" applyFont="1" applyFill="1" applyBorder="1" applyAlignment="1" applyProtection="1">
      <alignment horizontal="center" vertical="center" wrapText="1"/>
      <protection locked="0"/>
    </xf>
    <xf numFmtId="0" fontId="77" fillId="36" borderId="18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40" xfId="45" applyNumberFormat="1" applyFont="1" applyFill="1" applyBorder="1" applyAlignment="1" applyProtection="1">
      <alignment horizontal="center" vertical="center" wrapText="1"/>
    </xf>
    <xf numFmtId="14" fontId="82" fillId="40" borderId="13" xfId="45" applyNumberFormat="1" applyFont="1" applyFill="1" applyBorder="1" applyAlignment="1" applyProtection="1">
      <alignment horizontal="center" vertical="center" wrapText="1"/>
      <protection locked="0"/>
    </xf>
    <xf numFmtId="0" fontId="74" fillId="0" borderId="41" xfId="0" applyNumberFormat="1" applyFont="1" applyFill="1" applyBorder="1" applyAlignment="1" applyProtection="1">
      <alignment horizontal="center" vertical="center" wrapText="1"/>
      <protection locked="0"/>
    </xf>
    <xf numFmtId="0" fontId="74" fillId="0" borderId="42" xfId="0" applyNumberFormat="1" applyFont="1" applyFill="1" applyBorder="1" applyAlignment="1" applyProtection="1">
      <alignment horizontal="center" vertical="center" wrapText="1"/>
      <protection locked="0"/>
    </xf>
    <xf numFmtId="0" fontId="74" fillId="0" borderId="43" xfId="0" applyNumberFormat="1" applyFont="1" applyFill="1" applyBorder="1" applyAlignment="1" applyProtection="1">
      <alignment horizontal="center" vertical="center" wrapText="1"/>
      <protection locked="0"/>
    </xf>
    <xf numFmtId="0" fontId="74" fillId="0" borderId="44" xfId="0" applyNumberFormat="1" applyFont="1" applyFill="1" applyBorder="1" applyAlignment="1" applyProtection="1">
      <alignment horizontal="center" vertical="center" wrapText="1"/>
      <protection locked="0"/>
    </xf>
    <xf numFmtId="0" fontId="74" fillId="0" borderId="45" xfId="0" applyNumberFormat="1" applyFont="1" applyFill="1" applyBorder="1" applyAlignment="1" applyProtection="1">
      <alignment horizontal="center" vertical="center" wrapText="1"/>
      <protection locked="0"/>
    </xf>
    <xf numFmtId="0" fontId="74" fillId="0" borderId="46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47" xfId="45" applyNumberFormat="1" applyFont="1" applyFill="1" applyBorder="1" applyAlignment="1" applyProtection="1">
      <alignment horizontal="center" vertical="center" wrapText="1"/>
    </xf>
    <xf numFmtId="0" fontId="17" fillId="0" borderId="48" xfId="45" applyNumberFormat="1" applyFont="1" applyFill="1" applyBorder="1" applyAlignment="1" applyProtection="1">
      <alignment horizontal="center" vertical="center" wrapText="1"/>
    </xf>
    <xf numFmtId="0" fontId="74" fillId="0" borderId="49" xfId="0" applyNumberFormat="1" applyFont="1" applyFill="1" applyBorder="1" applyAlignment="1" applyProtection="1">
      <alignment horizontal="center" vertical="center" wrapText="1"/>
      <protection locked="0"/>
    </xf>
    <xf numFmtId="0" fontId="74" fillId="0" borderId="50" xfId="0" applyNumberFormat="1" applyFont="1" applyFill="1" applyBorder="1" applyAlignment="1" applyProtection="1">
      <alignment horizontal="center" vertical="center" wrapText="1"/>
      <protection locked="0"/>
    </xf>
    <xf numFmtId="0" fontId="74" fillId="0" borderId="51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52" xfId="45" applyNumberFormat="1" applyFont="1" applyFill="1" applyBorder="1" applyAlignment="1" applyProtection="1">
      <alignment horizontal="center" vertical="center" wrapText="1"/>
    </xf>
    <xf numFmtId="0" fontId="82" fillId="41" borderId="8" xfId="45" applyNumberFormat="1" applyFont="1" applyFill="1" applyBorder="1" applyAlignment="1" applyProtection="1">
      <alignment horizontal="center" vertical="center" wrapText="1"/>
      <protection locked="0"/>
    </xf>
    <xf numFmtId="0" fontId="16" fillId="0" borderId="33" xfId="45" applyNumberFormat="1" applyFont="1" applyFill="1" applyBorder="1" applyAlignment="1" applyProtection="1">
      <alignment horizontal="center" vertical="center" wrapText="1"/>
      <protection locked="0"/>
    </xf>
    <xf numFmtId="0" fontId="81" fillId="0" borderId="14" xfId="0" applyFont="1" applyBorder="1" applyAlignment="1">
      <alignment horizontal="left" vertical="center" wrapText="1"/>
    </xf>
    <xf numFmtId="0" fontId="81" fillId="0" borderId="14" xfId="0" applyFont="1" applyFill="1" applyBorder="1" applyAlignment="1">
      <alignment horizontal="center" vertical="center" wrapText="1"/>
    </xf>
    <xf numFmtId="14" fontId="81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82" fillId="42" borderId="8" xfId="0" applyNumberFormat="1" applyFont="1" applyFill="1" applyBorder="1" applyAlignment="1" applyProtection="1">
      <alignment horizontal="center" vertical="center" wrapText="1"/>
      <protection locked="0"/>
    </xf>
    <xf numFmtId="0" fontId="82" fillId="40" borderId="0" xfId="0" applyNumberFormat="1" applyFont="1" applyFill="1" applyBorder="1" applyAlignment="1" applyProtection="1">
      <alignment horizontal="center" vertical="center" wrapText="1"/>
      <protection locked="0"/>
    </xf>
    <xf numFmtId="0" fontId="17" fillId="40" borderId="40" xfId="45" applyNumberFormat="1" applyFont="1" applyFill="1" applyBorder="1" applyAlignment="1" applyProtection="1">
      <alignment horizontal="center" vertical="center" wrapText="1"/>
    </xf>
    <xf numFmtId="0" fontId="17" fillId="40" borderId="53" xfId="45" applyNumberFormat="1" applyFont="1" applyFill="1" applyBorder="1" applyAlignment="1" applyProtection="1">
      <alignment horizontal="center" vertical="center" wrapText="1"/>
    </xf>
    <xf numFmtId="0" fontId="82" fillId="39" borderId="8" xfId="0" applyNumberFormat="1" applyFont="1" applyFill="1" applyBorder="1" applyAlignment="1" applyProtection="1">
      <alignment horizontal="center" vertical="center"/>
      <protection locked="0"/>
    </xf>
    <xf numFmtId="0" fontId="82" fillId="42" borderId="8" xfId="45" applyNumberFormat="1" applyFont="1" applyFill="1" applyBorder="1" applyAlignment="1" applyProtection="1">
      <alignment horizontal="center" vertical="center" wrapText="1"/>
      <protection locked="0"/>
    </xf>
    <xf numFmtId="0" fontId="82" fillId="42" borderId="8" xfId="0" applyNumberFormat="1" applyFont="1" applyFill="1" applyBorder="1" applyAlignment="1" applyProtection="1">
      <alignment horizontal="center" vertical="center"/>
      <protection locked="0"/>
    </xf>
    <xf numFmtId="0" fontId="84" fillId="42" borderId="8" xfId="45" applyNumberFormat="1" applyFont="1" applyFill="1" applyBorder="1" applyAlignment="1" applyProtection="1">
      <alignment horizontal="center" vertical="center" wrapText="1"/>
      <protection locked="0"/>
    </xf>
    <xf numFmtId="0" fontId="82" fillId="42" borderId="14" xfId="0" applyNumberFormat="1" applyFont="1" applyFill="1" applyBorder="1" applyAlignment="1" applyProtection="1">
      <alignment horizontal="left" vertical="center" wrapText="1"/>
      <protection locked="0"/>
    </xf>
    <xf numFmtId="0" fontId="16" fillId="39" borderId="31" xfId="0" applyNumberFormat="1" applyFont="1" applyFill="1" applyBorder="1" applyAlignment="1" applyProtection="1">
      <alignment horizontal="center" vertical="center"/>
      <protection locked="0"/>
    </xf>
    <xf numFmtId="0" fontId="16" fillId="0" borderId="8" xfId="45" applyNumberFormat="1" applyFont="1" applyFill="1" applyBorder="1" applyAlignment="1" applyProtection="1">
      <alignment horizontal="center" vertical="center" wrapText="1"/>
      <protection locked="0"/>
    </xf>
    <xf numFmtId="0" fontId="82" fillId="40" borderId="79" xfId="0" applyNumberFormat="1" applyFont="1" applyFill="1" applyBorder="1" applyAlignment="1" applyProtection="1">
      <alignment horizontal="center" vertical="center"/>
      <protection locked="0"/>
    </xf>
    <xf numFmtId="0" fontId="82" fillId="40" borderId="79" xfId="0" applyFont="1" applyFill="1" applyBorder="1" applyAlignment="1" applyProtection="1">
      <alignment horizontal="left" vertical="center"/>
      <protection locked="0"/>
    </xf>
    <xf numFmtId="0" fontId="17" fillId="0" borderId="54" xfId="45" applyNumberFormat="1" applyFont="1" applyFill="1" applyBorder="1" applyAlignment="1" applyProtection="1">
      <alignment horizontal="center" vertical="center" wrapText="1"/>
    </xf>
    <xf numFmtId="0" fontId="17" fillId="0" borderId="53" xfId="45" applyNumberFormat="1" applyFont="1" applyFill="1" applyBorder="1" applyAlignment="1" applyProtection="1">
      <alignment horizontal="center" vertical="center" wrapText="1"/>
    </xf>
    <xf numFmtId="0" fontId="17" fillId="0" borderId="52" xfId="45" applyNumberFormat="1" applyFont="1" applyFill="1" applyBorder="1" applyAlignment="1">
      <alignment horizontal="center" vertical="center" wrapText="1"/>
    </xf>
    <xf numFmtId="0" fontId="17" fillId="40" borderId="48" xfId="45" applyNumberFormat="1" applyFont="1" applyFill="1" applyBorder="1" applyAlignment="1" applyProtection="1">
      <alignment horizontal="center" vertical="center" wrapText="1"/>
    </xf>
    <xf numFmtId="14" fontId="82" fillId="39" borderId="8" xfId="45" applyNumberFormat="1" applyFont="1" applyFill="1" applyBorder="1" applyAlignment="1" applyProtection="1">
      <alignment horizontal="center" vertical="center" wrapText="1"/>
      <protection locked="0"/>
    </xf>
    <xf numFmtId="0" fontId="82" fillId="39" borderId="31" xfId="0" quotePrefix="1" applyNumberFormat="1" applyFont="1" applyFill="1" applyBorder="1" applyAlignment="1">
      <alignment horizontal="center" vertical="center"/>
    </xf>
    <xf numFmtId="15" fontId="82" fillId="41" borderId="31" xfId="0" quotePrefix="1" applyNumberFormat="1" applyFont="1" applyFill="1" applyBorder="1" applyAlignment="1">
      <alignment horizontal="center" vertical="center"/>
    </xf>
    <xf numFmtId="0" fontId="82" fillId="40" borderId="8" xfId="0" applyFont="1" applyFill="1" applyBorder="1" applyAlignment="1" applyProtection="1">
      <alignment horizontal="left" vertical="center"/>
      <protection locked="0"/>
    </xf>
    <xf numFmtId="0" fontId="16" fillId="39" borderId="8" xfId="45" applyNumberFormat="1" applyFont="1" applyFill="1" applyBorder="1" applyAlignment="1" applyProtection="1">
      <alignment horizontal="center" vertical="center" wrapText="1"/>
      <protection locked="0"/>
    </xf>
    <xf numFmtId="0" fontId="16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16" fillId="39" borderId="8" xfId="0" applyNumberFormat="1" applyFont="1" applyFill="1" applyBorder="1" applyAlignment="1" applyProtection="1">
      <alignment horizontal="center" vertical="center" wrapText="1"/>
      <protection locked="0"/>
    </xf>
    <xf numFmtId="0" fontId="16" fillId="0" borderId="11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55" xfId="45" applyNumberFormat="1" applyFont="1" applyFill="1" applyBorder="1" applyAlignment="1" applyProtection="1">
      <alignment horizontal="center" vertical="center" wrapText="1"/>
    </xf>
    <xf numFmtId="0" fontId="16" fillId="0" borderId="8" xfId="0" applyFont="1" applyBorder="1"/>
    <xf numFmtId="0" fontId="17" fillId="0" borderId="49" xfId="45" applyNumberFormat="1" applyFont="1" applyFill="1" applyBorder="1" applyAlignment="1" applyProtection="1">
      <alignment horizontal="center" vertical="center" wrapText="1"/>
    </xf>
    <xf numFmtId="0" fontId="17" fillId="0" borderId="80" xfId="45" applyNumberFormat="1" applyFont="1" applyFill="1" applyBorder="1" applyAlignment="1">
      <alignment horizontal="center" vertical="center" wrapText="1"/>
    </xf>
    <xf numFmtId="0" fontId="17" fillId="40" borderId="56" xfId="45" applyNumberFormat="1" applyFont="1" applyFill="1" applyBorder="1" applyAlignment="1" applyProtection="1">
      <alignment horizontal="center" vertical="center" wrapText="1"/>
    </xf>
    <xf numFmtId="0" fontId="17" fillId="0" borderId="57" xfId="45" applyNumberFormat="1" applyFont="1" applyFill="1" applyBorder="1" applyAlignment="1">
      <alignment horizontal="center" vertical="center" wrapText="1"/>
    </xf>
    <xf numFmtId="0" fontId="17" fillId="40" borderId="57" xfId="45" applyNumberFormat="1" applyFont="1" applyFill="1" applyBorder="1" applyAlignment="1" applyProtection="1">
      <alignment horizontal="center" vertical="center" wrapText="1"/>
    </xf>
    <xf numFmtId="0" fontId="17" fillId="40" borderId="58" xfId="45" applyNumberFormat="1" applyFont="1" applyFill="1" applyBorder="1" applyAlignment="1" applyProtection="1">
      <alignment horizontal="center" vertical="center" wrapText="1"/>
    </xf>
    <xf numFmtId="14" fontId="82" fillId="39" borderId="31" xfId="45" applyNumberFormat="1" applyFont="1" applyFill="1" applyBorder="1" applyAlignment="1" applyProtection="1">
      <alignment horizontal="center" vertical="center" wrapText="1"/>
      <protection locked="0"/>
    </xf>
    <xf numFmtId="14" fontId="82" fillId="42" borderId="8" xfId="45" applyNumberFormat="1" applyFont="1" applyFill="1" applyBorder="1" applyAlignment="1" applyProtection="1">
      <alignment horizontal="center" vertical="center" wrapText="1"/>
      <protection locked="0"/>
    </xf>
    <xf numFmtId="0" fontId="82" fillId="40" borderId="8" xfId="0" applyFont="1" applyFill="1" applyBorder="1" applyAlignment="1" applyProtection="1">
      <alignment horizontal="center" vertical="center" wrapText="1"/>
      <protection locked="0"/>
    </xf>
    <xf numFmtId="0" fontId="85" fillId="40" borderId="31" xfId="45" applyNumberFormat="1" applyFont="1" applyFill="1" applyBorder="1" applyAlignment="1" applyProtection="1">
      <alignment horizontal="center" vertical="center" wrapText="1"/>
      <protection locked="0"/>
    </xf>
    <xf numFmtId="0" fontId="85" fillId="40" borderId="34" xfId="45" applyNumberFormat="1" applyFont="1" applyFill="1" applyBorder="1" applyAlignment="1" applyProtection="1">
      <alignment horizontal="center" vertical="center" wrapText="1"/>
      <protection locked="0"/>
    </xf>
    <xf numFmtId="0" fontId="82" fillId="40" borderId="8" xfId="0" applyNumberFormat="1" applyFont="1" applyFill="1" applyBorder="1" applyAlignment="1" applyProtection="1">
      <alignment horizontal="left" vertical="center" wrapText="1"/>
      <protection locked="0"/>
    </xf>
    <xf numFmtId="0" fontId="17" fillId="0" borderId="57" xfId="45" applyNumberFormat="1" applyFont="1" applyFill="1" applyBorder="1" applyAlignment="1" applyProtection="1">
      <alignment horizontal="center" vertical="center" wrapText="1"/>
    </xf>
    <xf numFmtId="0" fontId="17" fillId="0" borderId="58" xfId="45" applyNumberFormat="1" applyFont="1" applyFill="1" applyBorder="1" applyAlignment="1" applyProtection="1">
      <alignment horizontal="center" vertical="center" wrapText="1"/>
    </xf>
    <xf numFmtId="14" fontId="82" fillId="40" borderId="59" xfId="45" applyNumberFormat="1" applyFont="1" applyFill="1" applyBorder="1" applyAlignment="1" applyProtection="1">
      <alignment horizontal="center" vertical="center" wrapText="1"/>
      <protection locked="0"/>
    </xf>
    <xf numFmtId="0" fontId="82" fillId="40" borderId="31" xfId="0" applyNumberFormat="1" applyFont="1" applyFill="1" applyBorder="1" applyAlignment="1" applyProtection="1">
      <alignment horizontal="center" vertical="center" wrapText="1"/>
      <protection locked="0"/>
    </xf>
    <xf numFmtId="0" fontId="17" fillId="40" borderId="55" xfId="45" applyNumberFormat="1" applyFont="1" applyFill="1" applyBorder="1" applyAlignment="1" applyProtection="1">
      <alignment horizontal="center" vertical="center" wrapText="1"/>
    </xf>
    <xf numFmtId="14" fontId="16" fillId="40" borderId="8" xfId="45" applyNumberFormat="1" applyFont="1" applyFill="1" applyBorder="1" applyAlignment="1" applyProtection="1">
      <alignment horizontal="center" vertical="center" wrapText="1"/>
      <protection locked="0"/>
    </xf>
    <xf numFmtId="0" fontId="17" fillId="40" borderId="54" xfId="45" applyNumberFormat="1" applyFont="1" applyFill="1" applyBorder="1" applyAlignment="1" applyProtection="1">
      <alignment horizontal="center" vertical="center" wrapText="1"/>
    </xf>
    <xf numFmtId="0" fontId="17" fillId="40" borderId="52" xfId="45" applyNumberFormat="1" applyFont="1" applyFill="1" applyBorder="1" applyAlignment="1" applyProtection="1">
      <alignment horizontal="center" vertical="center" wrapText="1"/>
    </xf>
    <xf numFmtId="14" fontId="82" fillId="40" borderId="8" xfId="45" applyNumberFormat="1" applyFont="1" applyFill="1" applyBorder="1" applyAlignment="1" applyProtection="1">
      <alignment horizontal="center" vertical="center" wrapText="1"/>
      <protection locked="0"/>
    </xf>
    <xf numFmtId="0" fontId="82" fillId="40" borderId="8" xfId="45" applyNumberFormat="1" applyFont="1" applyFill="1" applyBorder="1" applyAlignment="1" applyProtection="1">
      <alignment horizontal="center" vertical="center" wrapText="1"/>
      <protection locked="0"/>
    </xf>
    <xf numFmtId="0" fontId="82" fillId="40" borderId="8" xfId="0" applyNumberFormat="1" applyFont="1" applyFill="1" applyBorder="1" applyAlignment="1" applyProtection="1">
      <alignment horizontal="center" vertical="center"/>
      <protection locked="0"/>
    </xf>
    <xf numFmtId="0" fontId="84" fillId="40" borderId="8" xfId="45" applyNumberFormat="1" applyFont="1" applyFill="1" applyBorder="1" applyAlignment="1" applyProtection="1">
      <alignment horizontal="center" vertical="center" wrapText="1"/>
      <protection locked="0"/>
    </xf>
    <xf numFmtId="0" fontId="82" fillId="40" borderId="14" xfId="0" applyNumberFormat="1" applyFont="1" applyFill="1" applyBorder="1" applyAlignment="1" applyProtection="1">
      <alignment horizontal="left" vertical="center" wrapText="1"/>
      <protection locked="0"/>
    </xf>
    <xf numFmtId="0" fontId="74" fillId="35" borderId="60" xfId="0" applyNumberFormat="1" applyFont="1" applyFill="1" applyBorder="1" applyAlignment="1" applyProtection="1">
      <alignment horizontal="center" vertical="center" wrapText="1"/>
      <protection locked="0"/>
    </xf>
    <xf numFmtId="0" fontId="16" fillId="42" borderId="8" xfId="45" applyNumberFormat="1" applyFont="1" applyFill="1" applyBorder="1" applyAlignment="1" applyProtection="1">
      <alignment horizontal="center" vertical="center" wrapText="1"/>
      <protection locked="0"/>
    </xf>
    <xf numFmtId="0" fontId="84" fillId="0" borderId="8" xfId="45" applyNumberFormat="1" applyFont="1" applyFill="1" applyBorder="1" applyAlignment="1" applyProtection="1">
      <alignment horizontal="center" vertical="center" wrapText="1"/>
      <protection locked="0"/>
    </xf>
    <xf numFmtId="0" fontId="82" fillId="0" borderId="14" xfId="0" applyNumberFormat="1" applyFont="1" applyFill="1" applyBorder="1" applyAlignment="1" applyProtection="1">
      <alignment horizontal="left" vertical="center" wrapText="1"/>
      <protection locked="0"/>
    </xf>
    <xf numFmtId="0" fontId="84" fillId="0" borderId="31" xfId="45" applyNumberFormat="1" applyFont="1" applyFill="1" applyBorder="1" applyAlignment="1" applyProtection="1">
      <alignment horizontal="center" vertical="center" wrapText="1"/>
      <protection locked="0"/>
    </xf>
    <xf numFmtId="14" fontId="82" fillId="40" borderId="31" xfId="45" applyNumberFormat="1" applyFont="1" applyFill="1" applyBorder="1" applyAlignment="1" applyProtection="1">
      <alignment horizontal="center" vertical="center" wrapText="1"/>
      <protection locked="0"/>
    </xf>
    <xf numFmtId="0" fontId="82" fillId="40" borderId="31" xfId="45" applyNumberFormat="1" applyFont="1" applyFill="1" applyBorder="1" applyAlignment="1" applyProtection="1">
      <alignment horizontal="center" vertical="center" wrapText="1"/>
      <protection locked="0"/>
    </xf>
    <xf numFmtId="0" fontId="82" fillId="40" borderId="31" xfId="0" applyNumberFormat="1" applyFont="1" applyFill="1" applyBorder="1" applyAlignment="1" applyProtection="1">
      <alignment horizontal="center" vertical="center"/>
      <protection locked="0"/>
    </xf>
    <xf numFmtId="0" fontId="84" fillId="40" borderId="31" xfId="45" applyNumberFormat="1" applyFont="1" applyFill="1" applyBorder="1" applyAlignment="1" applyProtection="1">
      <alignment horizontal="center" vertical="center" wrapText="1"/>
      <protection locked="0"/>
    </xf>
    <xf numFmtId="0" fontId="82" fillId="40" borderId="61" xfId="0" applyNumberFormat="1" applyFont="1" applyFill="1" applyBorder="1" applyAlignment="1" applyProtection="1">
      <alignment horizontal="left" vertical="center" wrapText="1"/>
      <protection locked="0"/>
    </xf>
    <xf numFmtId="0" fontId="82" fillId="40" borderId="81" xfId="0" applyNumberFormat="1" applyFont="1" applyFill="1" applyBorder="1" applyAlignment="1" applyProtection="1">
      <alignment horizontal="center" vertical="center" wrapText="1"/>
      <protection locked="0"/>
    </xf>
    <xf numFmtId="0" fontId="82" fillId="40" borderId="81" xfId="0" applyNumberFormat="1" applyFont="1" applyFill="1" applyBorder="1" applyAlignment="1" applyProtection="1">
      <alignment horizontal="center" vertical="center"/>
      <protection locked="0"/>
    </xf>
    <xf numFmtId="0" fontId="82" fillId="40" borderId="79" xfId="0" applyNumberFormat="1" applyFont="1" applyFill="1" applyBorder="1" applyAlignment="1" applyProtection="1">
      <alignment horizontal="center" vertical="center" wrapText="1"/>
      <protection locked="0"/>
    </xf>
    <xf numFmtId="0" fontId="82" fillId="40" borderId="14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80" xfId="45" applyNumberFormat="1" applyFont="1" applyFill="1" applyBorder="1" applyAlignment="1" applyProtection="1">
      <alignment horizontal="center" vertical="center" wrapText="1"/>
    </xf>
    <xf numFmtId="0" fontId="82" fillId="40" borderId="82" xfId="0" applyNumberFormat="1" applyFont="1" applyFill="1" applyBorder="1" applyAlignment="1" applyProtection="1">
      <alignment horizontal="center" vertical="center" wrapText="1"/>
      <protection locked="0"/>
    </xf>
    <xf numFmtId="0" fontId="82" fillId="39" borderId="79" xfId="0" applyNumberFormat="1" applyFont="1" applyFill="1" applyBorder="1" applyAlignment="1" applyProtection="1">
      <alignment horizontal="center" vertical="center"/>
      <protection locked="0"/>
    </xf>
    <xf numFmtId="0" fontId="17" fillId="42" borderId="55" xfId="45" applyNumberFormat="1" applyFont="1" applyFill="1" applyBorder="1" applyAlignment="1" applyProtection="1">
      <alignment horizontal="center" vertical="center" wrapText="1"/>
    </xf>
    <xf numFmtId="0" fontId="82" fillId="40" borderId="31" xfId="0" quotePrefix="1" applyNumberFormat="1" applyFont="1" applyFill="1" applyBorder="1" applyAlignment="1">
      <alignment horizontal="center" vertical="center"/>
    </xf>
    <xf numFmtId="0" fontId="17" fillId="0" borderId="56" xfId="45" applyNumberFormat="1" applyFont="1" applyFill="1" applyBorder="1" applyAlignment="1" applyProtection="1">
      <alignment horizontal="center" vertical="center" wrapText="1"/>
    </xf>
    <xf numFmtId="0" fontId="16" fillId="0" borderId="62" xfId="0" applyNumberFormat="1" applyFont="1" applyFill="1" applyBorder="1" applyAlignment="1" applyProtection="1">
      <alignment horizontal="center" vertical="center" wrapText="1"/>
      <protection locked="0"/>
    </xf>
    <xf numFmtId="0" fontId="86" fillId="40" borderId="8" xfId="0" applyFont="1" applyFill="1" applyBorder="1" applyAlignment="1">
      <alignment horizontal="center" vertical="center"/>
    </xf>
    <xf numFmtId="0" fontId="86" fillId="40" borderId="31" xfId="0" applyFont="1" applyFill="1" applyBorder="1" applyAlignment="1">
      <alignment horizontal="center" vertical="center" wrapText="1"/>
    </xf>
    <xf numFmtId="0" fontId="86" fillId="40" borderId="31" xfId="0" applyFont="1" applyFill="1" applyBorder="1" applyAlignment="1">
      <alignment horizontal="center" vertical="center"/>
    </xf>
    <xf numFmtId="0" fontId="17" fillId="42" borderId="54" xfId="45" applyNumberFormat="1" applyFont="1" applyFill="1" applyBorder="1" applyAlignment="1" applyProtection="1">
      <alignment horizontal="center" vertical="center" wrapText="1"/>
    </xf>
    <xf numFmtId="0" fontId="16" fillId="42" borderId="33" xfId="45" applyNumberFormat="1" applyFont="1" applyFill="1" applyBorder="1" applyAlignment="1" applyProtection="1">
      <alignment horizontal="center" vertical="center" wrapText="1"/>
      <protection locked="0"/>
    </xf>
    <xf numFmtId="0" fontId="16" fillId="42" borderId="8" xfId="0" applyNumberFormat="1" applyFont="1" applyFill="1" applyBorder="1" applyAlignment="1" applyProtection="1">
      <alignment horizontal="center" vertical="center" wrapText="1"/>
      <protection locked="0"/>
    </xf>
    <xf numFmtId="0" fontId="16" fillId="42" borderId="11" xfId="0" applyNumberFormat="1" applyFont="1" applyFill="1" applyBorder="1" applyAlignment="1" applyProtection="1">
      <alignment horizontal="center" vertical="center" wrapText="1"/>
      <protection locked="0"/>
    </xf>
    <xf numFmtId="0" fontId="87" fillId="0" borderId="31" xfId="0" applyFont="1" applyBorder="1" applyAlignment="1">
      <alignment horizontal="center" vertical="center" wrapText="1"/>
    </xf>
    <xf numFmtId="0" fontId="87" fillId="0" borderId="8" xfId="0" applyFont="1" applyBorder="1" applyAlignment="1">
      <alignment horizontal="center" vertical="center" wrapText="1"/>
    </xf>
    <xf numFmtId="0" fontId="82" fillId="40" borderId="31" xfId="0" applyFont="1" applyFill="1" applyBorder="1" applyAlignment="1">
      <alignment horizontal="center" vertical="center" wrapText="1"/>
    </xf>
    <xf numFmtId="0" fontId="87" fillId="40" borderId="8" xfId="0" applyFont="1" applyFill="1" applyBorder="1" applyAlignment="1">
      <alignment horizontal="center" vertical="center" wrapText="1"/>
    </xf>
    <xf numFmtId="0" fontId="82" fillId="40" borderId="8" xfId="0" applyFont="1" applyFill="1" applyBorder="1" applyAlignment="1">
      <alignment horizontal="center" vertical="center" wrapText="1"/>
    </xf>
    <xf numFmtId="0" fontId="82" fillId="40" borderId="0" xfId="0" applyFont="1" applyFill="1" applyBorder="1" applyAlignment="1">
      <alignment horizontal="center" vertical="center" wrapText="1"/>
    </xf>
    <xf numFmtId="0" fontId="82" fillId="40" borderId="31" xfId="51" applyNumberFormat="1" applyFont="1" applyFill="1" applyBorder="1" applyAlignment="1" applyProtection="1">
      <alignment horizontal="center" vertical="center" wrapText="1"/>
      <protection locked="0"/>
    </xf>
    <xf numFmtId="0" fontId="82" fillId="40" borderId="31" xfId="62" applyNumberFormat="1" applyFont="1" applyFill="1" applyBorder="1" applyAlignment="1" applyProtection="1">
      <alignment horizontal="center" vertical="center" wrapText="1"/>
      <protection locked="0"/>
    </xf>
    <xf numFmtId="0" fontId="82" fillId="40" borderId="11" xfId="0" applyNumberFormat="1" applyFont="1" applyFill="1" applyBorder="1" applyAlignment="1" applyProtection="1">
      <alignment horizontal="center" vertical="center" wrapText="1"/>
      <protection locked="0"/>
    </xf>
    <xf numFmtId="0" fontId="82" fillId="40" borderId="8" xfId="51" applyNumberFormat="1" applyFont="1" applyFill="1" applyBorder="1" applyAlignment="1" applyProtection="1">
      <alignment horizontal="center" vertical="center" wrapText="1"/>
      <protection locked="0"/>
    </xf>
    <xf numFmtId="0" fontId="82" fillId="0" borderId="8" xfId="51" applyNumberFormat="1" applyFont="1" applyFill="1" applyBorder="1" applyAlignment="1" applyProtection="1">
      <alignment horizontal="center" vertical="center" wrapText="1"/>
      <protection locked="0"/>
    </xf>
    <xf numFmtId="0" fontId="82" fillId="42" borderId="8" xfId="51" applyNumberFormat="1" applyFont="1" applyFill="1" applyBorder="1" applyAlignment="1" applyProtection="1">
      <alignment horizontal="center" vertical="center" wrapText="1"/>
      <protection locked="0"/>
    </xf>
    <xf numFmtId="0" fontId="82" fillId="42" borderId="8" xfId="0" applyNumberFormat="1" applyFont="1" applyFill="1" applyBorder="1" applyAlignment="1" applyProtection="1">
      <alignment horizontal="left" vertical="center" wrapText="1"/>
      <protection locked="0"/>
    </xf>
    <xf numFmtId="0" fontId="82" fillId="42" borderId="11" xfId="0" applyNumberFormat="1" applyFont="1" applyFill="1" applyBorder="1" applyAlignment="1" applyProtection="1">
      <alignment horizontal="center" vertical="center" wrapText="1"/>
      <protection locked="0"/>
    </xf>
    <xf numFmtId="0" fontId="82" fillId="40" borderId="31" xfId="0" applyNumberFormat="1" applyFont="1" applyFill="1" applyBorder="1" applyAlignment="1" applyProtection="1">
      <alignment horizontal="left" vertical="center" wrapText="1"/>
      <protection locked="0"/>
    </xf>
    <xf numFmtId="0" fontId="82" fillId="40" borderId="61" xfId="0" applyNumberFormat="1" applyFont="1" applyFill="1" applyBorder="1" applyAlignment="1" applyProtection="1">
      <alignment horizontal="center" vertical="center" wrapText="1"/>
      <protection locked="0"/>
    </xf>
    <xf numFmtId="0" fontId="82" fillId="40" borderId="35" xfId="0" applyNumberFormat="1" applyFont="1" applyFill="1" applyBorder="1" applyAlignment="1" applyProtection="1">
      <alignment horizontal="center" vertical="center" wrapText="1"/>
      <protection locked="0"/>
    </xf>
    <xf numFmtId="0" fontId="82" fillId="40" borderId="8" xfId="0" applyNumberFormat="1" applyFont="1" applyFill="1" applyBorder="1" applyAlignment="1" applyProtection="1">
      <alignment horizontal="center" vertical="center" wrapText="1"/>
    </xf>
    <xf numFmtId="14" fontId="16" fillId="40" borderId="8" xfId="51" applyNumberFormat="1" applyFont="1" applyFill="1" applyBorder="1" applyAlignment="1" applyProtection="1">
      <alignment horizontal="center" vertical="center" wrapText="1"/>
      <protection locked="0"/>
    </xf>
    <xf numFmtId="0" fontId="16" fillId="40" borderId="14" xfId="51" applyNumberFormat="1" applyFont="1" applyFill="1" applyBorder="1" applyAlignment="1" applyProtection="1">
      <alignment horizontal="center" vertical="center" wrapText="1"/>
      <protection locked="0"/>
    </xf>
    <xf numFmtId="0" fontId="87" fillId="40" borderId="11" xfId="0" applyNumberFormat="1" applyFont="1" applyFill="1" applyBorder="1" applyAlignment="1" applyProtection="1">
      <alignment horizontal="center" vertical="center" wrapText="1"/>
      <protection locked="0"/>
    </xf>
    <xf numFmtId="0" fontId="87" fillId="40" borderId="13" xfId="0" applyNumberFormat="1" applyFont="1" applyFill="1" applyBorder="1" applyAlignment="1" applyProtection="1">
      <alignment horizontal="center" vertical="center" wrapText="1"/>
      <protection locked="0"/>
    </xf>
    <xf numFmtId="14" fontId="16" fillId="40" borderId="14" xfId="51" applyNumberFormat="1" applyFont="1" applyFill="1" applyBorder="1" applyAlignment="1" applyProtection="1">
      <alignment horizontal="center" vertical="center" wrapText="1"/>
      <protection locked="0"/>
    </xf>
    <xf numFmtId="0" fontId="87" fillId="40" borderId="35" xfId="0" applyNumberFormat="1" applyFont="1" applyFill="1" applyBorder="1" applyAlignment="1" applyProtection="1">
      <alignment horizontal="center" vertical="center" wrapText="1"/>
      <protection locked="0"/>
    </xf>
    <xf numFmtId="0" fontId="87" fillId="40" borderId="59" xfId="0" applyNumberFormat="1" applyFont="1" applyFill="1" applyBorder="1" applyAlignment="1" applyProtection="1">
      <alignment horizontal="center" vertical="center" wrapText="1"/>
      <protection locked="0"/>
    </xf>
    <xf numFmtId="0" fontId="82" fillId="40" borderId="31" xfId="0" applyNumberFormat="1" applyFont="1" applyFill="1" applyBorder="1" applyAlignment="1" applyProtection="1">
      <alignment horizontal="center" vertical="center" wrapText="1"/>
    </xf>
    <xf numFmtId="14" fontId="16" fillId="40" borderId="31" xfId="51" applyNumberFormat="1" applyFont="1" applyFill="1" applyBorder="1" applyAlignment="1" applyProtection="1">
      <alignment horizontal="center" vertical="center" wrapText="1"/>
      <protection locked="0"/>
    </xf>
    <xf numFmtId="0" fontId="16" fillId="40" borderId="31" xfId="51" applyNumberFormat="1" applyFont="1" applyFill="1" applyBorder="1" applyAlignment="1" applyProtection="1">
      <alignment horizontal="center" vertical="center" wrapText="1"/>
      <protection locked="0"/>
    </xf>
    <xf numFmtId="0" fontId="82" fillId="43" borderId="31" xfId="0" applyFont="1" applyFill="1" applyBorder="1" applyAlignment="1">
      <alignment horizontal="left" vertical="center" wrapText="1"/>
    </xf>
    <xf numFmtId="0" fontId="82" fillId="43" borderId="31" xfId="0" applyFont="1" applyFill="1" applyBorder="1" applyAlignment="1">
      <alignment horizontal="center" vertical="center"/>
    </xf>
    <xf numFmtId="0" fontId="87" fillId="43" borderId="35" xfId="0" applyFont="1" applyFill="1" applyBorder="1" applyAlignment="1">
      <alignment horizontal="center" vertical="center" wrapText="1"/>
    </xf>
    <xf numFmtId="0" fontId="87" fillId="43" borderId="59" xfId="0" applyFont="1" applyFill="1" applyBorder="1" applyAlignment="1">
      <alignment horizontal="center" vertical="center" wrapText="1"/>
    </xf>
    <xf numFmtId="0" fontId="82" fillId="43" borderId="31" xfId="0" applyFont="1" applyFill="1" applyBorder="1" applyAlignment="1">
      <alignment horizontal="center" vertical="center" wrapText="1"/>
    </xf>
    <xf numFmtId="0" fontId="16" fillId="40" borderId="31" xfId="0" applyFont="1" applyFill="1" applyBorder="1"/>
    <xf numFmtId="0" fontId="82" fillId="40" borderId="81" xfId="0" applyFont="1" applyFill="1" applyBorder="1" applyAlignment="1">
      <alignment horizontal="left" vertical="center" wrapText="1"/>
    </xf>
    <xf numFmtId="0" fontId="82" fillId="40" borderId="81" xfId="0" applyFont="1" applyFill="1" applyBorder="1" applyAlignment="1">
      <alignment horizontal="center" vertical="center"/>
    </xf>
    <xf numFmtId="0" fontId="87" fillId="40" borderId="83" xfId="0" applyFont="1" applyFill="1" applyBorder="1" applyAlignment="1">
      <alignment horizontal="center" vertical="center" wrapText="1"/>
    </xf>
    <xf numFmtId="0" fontId="87" fillId="40" borderId="84" xfId="0" applyFont="1" applyFill="1" applyBorder="1" applyAlignment="1">
      <alignment horizontal="center" vertical="center" wrapText="1"/>
    </xf>
    <xf numFmtId="0" fontId="82" fillId="40" borderId="81" xfId="0" applyFont="1" applyFill="1" applyBorder="1" applyAlignment="1">
      <alignment horizontal="center" vertical="center" wrapText="1"/>
    </xf>
    <xf numFmtId="0" fontId="16" fillId="40" borderId="0" xfId="0" applyFont="1" applyFill="1" applyBorder="1"/>
    <xf numFmtId="0" fontId="82" fillId="40" borderId="79" xfId="0" applyFont="1" applyFill="1" applyBorder="1" applyAlignment="1">
      <alignment horizontal="left" vertical="center" wrapText="1"/>
    </xf>
    <xf numFmtId="0" fontId="82" fillId="40" borderId="79" xfId="0" applyFont="1" applyFill="1" applyBorder="1" applyAlignment="1">
      <alignment horizontal="center" vertical="center"/>
    </xf>
    <xf numFmtId="0" fontId="87" fillId="40" borderId="85" xfId="0" applyFont="1" applyFill="1" applyBorder="1" applyAlignment="1">
      <alignment horizontal="center" vertical="center" wrapText="1"/>
    </xf>
    <xf numFmtId="0" fontId="87" fillId="40" borderId="86" xfId="0" applyFont="1" applyFill="1" applyBorder="1" applyAlignment="1">
      <alignment horizontal="center" vertical="center" wrapText="1"/>
    </xf>
    <xf numFmtId="0" fontId="82" fillId="40" borderId="79" xfId="0" applyFont="1" applyFill="1" applyBorder="1" applyAlignment="1">
      <alignment horizontal="center" vertical="center" wrapText="1"/>
    </xf>
    <xf numFmtId="0" fontId="16" fillId="40" borderId="0" xfId="0" applyFont="1" applyFill="1" applyBorder="1" applyAlignment="1">
      <alignment horizontal="center" vertical="center"/>
    </xf>
    <xf numFmtId="0" fontId="16" fillId="40" borderId="31" xfId="0" applyFont="1" applyFill="1" applyBorder="1" applyAlignment="1">
      <alignment horizontal="center" vertical="center"/>
    </xf>
    <xf numFmtId="0" fontId="82" fillId="40" borderId="87" xfId="0" applyNumberFormat="1" applyFont="1" applyFill="1" applyBorder="1" applyAlignment="1" applyProtection="1">
      <alignment horizontal="center" vertical="center" wrapText="1"/>
      <protection locked="0"/>
    </xf>
    <xf numFmtId="0" fontId="82" fillId="43" borderId="79" xfId="0" applyFont="1" applyFill="1" applyBorder="1" applyAlignment="1">
      <alignment horizontal="left" vertical="center" wrapText="1"/>
    </xf>
    <xf numFmtId="0" fontId="82" fillId="43" borderId="79" xfId="0" applyFont="1" applyFill="1" applyBorder="1" applyAlignment="1">
      <alignment horizontal="center" vertical="center"/>
    </xf>
    <xf numFmtId="0" fontId="87" fillId="43" borderId="85" xfId="0" applyFont="1" applyFill="1" applyBorder="1" applyAlignment="1">
      <alignment horizontal="center" vertical="center" wrapText="1"/>
    </xf>
    <xf numFmtId="0" fontId="87" fillId="43" borderId="86" xfId="0" applyFont="1" applyFill="1" applyBorder="1" applyAlignment="1">
      <alignment horizontal="center" vertical="center" wrapText="1"/>
    </xf>
    <xf numFmtId="0" fontId="82" fillId="43" borderId="79" xfId="0" applyFont="1" applyFill="1" applyBorder="1" applyAlignment="1">
      <alignment horizontal="center" vertical="center" wrapText="1"/>
    </xf>
    <xf numFmtId="0" fontId="16" fillId="40" borderId="0" xfId="0" applyFont="1" applyFill="1"/>
    <xf numFmtId="0" fontId="87" fillId="43" borderId="84" xfId="0" applyFont="1" applyFill="1" applyBorder="1" applyAlignment="1">
      <alignment horizontal="center" vertical="center" wrapText="1"/>
    </xf>
    <xf numFmtId="0" fontId="16" fillId="40" borderId="0" xfId="0" applyFont="1" applyFill="1" applyAlignment="1">
      <alignment horizontal="center" vertical="center"/>
    </xf>
    <xf numFmtId="0" fontId="82" fillId="43" borderId="81" xfId="0" applyFont="1" applyFill="1" applyBorder="1" applyAlignment="1">
      <alignment horizontal="left" vertical="center" wrapText="1"/>
    </xf>
    <xf numFmtId="0" fontId="82" fillId="43" borderId="81" xfId="0" applyFont="1" applyFill="1" applyBorder="1" applyAlignment="1">
      <alignment horizontal="center" vertical="center"/>
    </xf>
    <xf numFmtId="0" fontId="87" fillId="43" borderId="83" xfId="0" applyFont="1" applyFill="1" applyBorder="1" applyAlignment="1">
      <alignment horizontal="center" vertical="center" wrapText="1"/>
    </xf>
    <xf numFmtId="0" fontId="82" fillId="43" borderId="81" xfId="0" applyFont="1" applyFill="1" applyBorder="1" applyAlignment="1">
      <alignment horizontal="center" vertical="center" wrapText="1"/>
    </xf>
    <xf numFmtId="0" fontId="82" fillId="0" borderId="31" xfId="51" applyNumberFormat="1" applyFont="1" applyFill="1" applyBorder="1" applyAlignment="1" applyProtection="1">
      <alignment horizontal="center" vertical="center" wrapText="1"/>
      <protection locked="0"/>
    </xf>
    <xf numFmtId="0" fontId="82" fillId="40" borderId="79" xfId="51" applyNumberFormat="1" applyFont="1" applyFill="1" applyBorder="1" applyAlignment="1" applyProtection="1">
      <alignment horizontal="left" vertical="center" wrapText="1"/>
      <protection locked="0"/>
    </xf>
    <xf numFmtId="0" fontId="87" fillId="40" borderId="85" xfId="0" applyNumberFormat="1" applyFont="1" applyFill="1" applyBorder="1" applyAlignment="1" applyProtection="1">
      <alignment horizontal="center" vertical="center" wrapText="1"/>
      <protection locked="0"/>
    </xf>
    <xf numFmtId="0" fontId="87" fillId="40" borderId="86" xfId="0" applyNumberFormat="1" applyFont="1" applyFill="1" applyBorder="1" applyAlignment="1" applyProtection="1">
      <alignment horizontal="center" vertical="center" wrapText="1"/>
      <protection locked="0"/>
    </xf>
    <xf numFmtId="0" fontId="82" fillId="40" borderId="81" xfId="0" applyNumberFormat="1" applyFont="1" applyFill="1" applyBorder="1" applyAlignment="1" applyProtection="1">
      <alignment horizontal="left" vertical="center" wrapText="1"/>
      <protection locked="0"/>
    </xf>
    <xf numFmtId="0" fontId="87" fillId="40" borderId="83" xfId="0" applyNumberFormat="1" applyFont="1" applyFill="1" applyBorder="1" applyAlignment="1" applyProtection="1">
      <alignment horizontal="center" vertical="center" wrapText="1"/>
      <protection locked="0"/>
    </xf>
    <xf numFmtId="0" fontId="87" fillId="40" borderId="84" xfId="0" applyNumberFormat="1" applyFont="1" applyFill="1" applyBorder="1" applyAlignment="1" applyProtection="1">
      <alignment horizontal="center" vertical="center" wrapText="1"/>
      <protection locked="0"/>
    </xf>
    <xf numFmtId="0" fontId="82" fillId="40" borderId="79" xfId="0" applyNumberFormat="1" applyFont="1" applyFill="1" applyBorder="1" applyAlignment="1" applyProtection="1">
      <alignment horizontal="left" vertical="center" wrapText="1"/>
      <protection locked="0"/>
    </xf>
    <xf numFmtId="0" fontId="82" fillId="39" borderId="31" xfId="51" applyNumberFormat="1" applyFont="1" applyFill="1" applyBorder="1" applyAlignment="1" applyProtection="1">
      <alignment horizontal="center" vertical="center" wrapText="1"/>
      <protection locked="0"/>
    </xf>
    <xf numFmtId="0" fontId="82" fillId="39" borderId="8" xfId="51" applyNumberFormat="1" applyFont="1" applyFill="1" applyBorder="1" applyAlignment="1" applyProtection="1">
      <alignment horizontal="center" vertical="center" wrapText="1"/>
      <protection locked="0"/>
    </xf>
    <xf numFmtId="14" fontId="16" fillId="40" borderId="31" xfId="51" applyNumberFormat="1" applyFont="1" applyFill="1" applyBorder="1" applyAlignment="1" applyProtection="1">
      <alignment horizontal="left" vertical="center" wrapText="1"/>
      <protection locked="0"/>
    </xf>
    <xf numFmtId="0" fontId="16" fillId="40" borderId="14" xfId="51" applyNumberFormat="1" applyFont="1" applyFill="1" applyBorder="1" applyAlignment="1" applyProtection="1">
      <alignment horizontal="left" vertical="center" wrapText="1"/>
      <protection locked="0"/>
    </xf>
    <xf numFmtId="0" fontId="82" fillId="40" borderId="8" xfId="51" applyNumberFormat="1" applyFont="1" applyFill="1" applyBorder="1" applyAlignment="1" applyProtection="1">
      <alignment horizontal="left" vertical="center" wrapText="1"/>
      <protection locked="0"/>
    </xf>
    <xf numFmtId="0" fontId="82" fillId="40" borderId="81" xfId="0" applyNumberFormat="1" applyFont="1" applyFill="1" applyBorder="1" applyAlignment="1" applyProtection="1">
      <alignment horizontal="center" vertical="center" wrapText="1"/>
    </xf>
    <xf numFmtId="14" fontId="16" fillId="40" borderId="0" xfId="51" applyNumberFormat="1" applyFont="1" applyFill="1" applyBorder="1" applyAlignment="1" applyProtection="1">
      <alignment horizontal="left" vertical="center" wrapText="1"/>
      <protection locked="0"/>
    </xf>
    <xf numFmtId="0" fontId="16" fillId="40" borderId="8" xfId="51" applyNumberFormat="1" applyFont="1" applyFill="1" applyBorder="1" applyAlignment="1" applyProtection="1">
      <alignment horizontal="left" vertical="center" wrapText="1"/>
      <protection locked="0"/>
    </xf>
    <xf numFmtId="14" fontId="16" fillId="40" borderId="8" xfId="51" applyNumberFormat="1" applyFont="1" applyFill="1" applyBorder="1" applyAlignment="1" applyProtection="1">
      <alignment horizontal="left" vertical="center" wrapText="1"/>
      <protection locked="0"/>
    </xf>
    <xf numFmtId="0" fontId="16" fillId="40" borderId="8" xfId="0" applyFont="1" applyFill="1" applyBorder="1" applyAlignment="1">
      <alignment horizontal="center" vertical="center"/>
    </xf>
    <xf numFmtId="0" fontId="82" fillId="40" borderId="31" xfId="51" applyNumberFormat="1" applyFont="1" applyFill="1" applyBorder="1" applyAlignment="1" applyProtection="1">
      <alignment horizontal="left" vertical="center" wrapText="1"/>
      <protection locked="0"/>
    </xf>
    <xf numFmtId="0" fontId="16" fillId="40" borderId="31" xfId="51" applyNumberFormat="1" applyFont="1" applyFill="1" applyBorder="1" applyAlignment="1" applyProtection="1">
      <alignment horizontal="left" vertical="center" wrapText="1"/>
      <protection locked="0"/>
    </xf>
    <xf numFmtId="0" fontId="84" fillId="40" borderId="31" xfId="0" applyNumberFormat="1" applyFont="1" applyFill="1" applyBorder="1" applyAlignment="1" applyProtection="1">
      <alignment horizontal="center" vertical="center" wrapText="1"/>
      <protection locked="0"/>
    </xf>
    <xf numFmtId="0" fontId="83" fillId="40" borderId="0" xfId="0" applyNumberFormat="1" applyFont="1" applyFill="1" applyBorder="1" applyProtection="1">
      <protection locked="0"/>
    </xf>
    <xf numFmtId="0" fontId="83" fillId="39" borderId="0" xfId="0" applyNumberFormat="1" applyFont="1" applyFill="1" applyBorder="1" applyProtection="1">
      <protection locked="0"/>
    </xf>
    <xf numFmtId="0" fontId="84" fillId="40" borderId="8" xfId="0" applyNumberFormat="1" applyFont="1" applyFill="1" applyBorder="1" applyAlignment="1" applyProtection="1">
      <alignment horizontal="center" vertical="center" wrapText="1"/>
      <protection locked="0"/>
    </xf>
    <xf numFmtId="0" fontId="16" fillId="39" borderId="0" xfId="0" applyNumberFormat="1" applyFont="1" applyFill="1" applyBorder="1" applyProtection="1">
      <protection locked="0"/>
    </xf>
    <xf numFmtId="0" fontId="82" fillId="40" borderId="31" xfId="0" applyFont="1" applyFill="1" applyBorder="1" applyAlignment="1">
      <alignment horizontal="left" vertical="center" wrapText="1"/>
    </xf>
    <xf numFmtId="0" fontId="82" fillId="40" borderId="31" xfId="0" applyFont="1" applyFill="1" applyBorder="1" applyAlignment="1">
      <alignment horizontal="center" vertical="center"/>
    </xf>
    <xf numFmtId="0" fontId="87" fillId="40" borderId="35" xfId="0" applyFont="1" applyFill="1" applyBorder="1" applyAlignment="1">
      <alignment horizontal="center" vertical="center" wrapText="1"/>
    </xf>
    <xf numFmtId="0" fontId="87" fillId="40" borderId="59" xfId="0" applyFont="1" applyFill="1" applyBorder="1" applyAlignment="1">
      <alignment horizontal="center" vertical="center" wrapText="1"/>
    </xf>
    <xf numFmtId="0" fontId="87" fillId="0" borderId="8" xfId="0" applyFont="1" applyBorder="1" applyAlignment="1">
      <alignment horizontal="left" vertical="center" wrapText="1"/>
    </xf>
    <xf numFmtId="0" fontId="87" fillId="40" borderId="8" xfId="0" applyFont="1" applyFill="1" applyBorder="1" applyAlignment="1">
      <alignment horizontal="left" vertical="center" wrapText="1"/>
    </xf>
    <xf numFmtId="0" fontId="82" fillId="40" borderId="0" xfId="51" applyNumberFormat="1" applyFont="1" applyFill="1" applyBorder="1" applyAlignment="1" applyProtection="1">
      <alignment horizontal="center" vertical="center" wrapText="1"/>
      <protection locked="0"/>
    </xf>
    <xf numFmtId="0" fontId="82" fillId="40" borderId="0" xfId="0" applyNumberFormat="1" applyFont="1" applyFill="1" applyBorder="1" applyAlignment="1" applyProtection="1">
      <alignment horizontal="left" vertical="center" wrapText="1"/>
      <protection locked="0"/>
    </xf>
    <xf numFmtId="0" fontId="82" fillId="40" borderId="0" xfId="0" applyNumberFormat="1" applyFont="1" applyFill="1" applyBorder="1" applyAlignment="1" applyProtection="1">
      <alignment horizontal="center" vertical="center"/>
      <protection locked="0"/>
    </xf>
    <xf numFmtId="0" fontId="87" fillId="40" borderId="0" xfId="0" applyNumberFormat="1" applyFont="1" applyFill="1" applyBorder="1" applyAlignment="1" applyProtection="1">
      <alignment horizontal="center" vertical="center" wrapText="1"/>
      <protection locked="0"/>
    </xf>
    <xf numFmtId="14" fontId="16" fillId="42" borderId="31" xfId="51" applyNumberFormat="1" applyFont="1" applyFill="1" applyBorder="1" applyAlignment="1" applyProtection="1">
      <alignment horizontal="center" vertical="center" wrapText="1"/>
      <protection locked="0"/>
    </xf>
    <xf numFmtId="0" fontId="16" fillId="42" borderId="31" xfId="51" applyNumberFormat="1" applyFont="1" applyFill="1" applyBorder="1" applyAlignment="1" applyProtection="1">
      <alignment horizontal="center" vertical="center" wrapText="1"/>
      <protection locked="0"/>
    </xf>
    <xf numFmtId="0" fontId="87" fillId="40" borderId="11" xfId="0" applyFont="1" applyFill="1" applyBorder="1" applyAlignment="1">
      <alignment horizontal="center" vertical="center" wrapText="1"/>
    </xf>
    <xf numFmtId="0" fontId="16" fillId="40" borderId="8" xfId="0" applyFont="1" applyFill="1" applyBorder="1"/>
    <xf numFmtId="0" fontId="87" fillId="40" borderId="31" xfId="0" applyFont="1" applyFill="1" applyBorder="1" applyAlignment="1">
      <alignment horizontal="center" vertical="center" wrapText="1"/>
    </xf>
    <xf numFmtId="0" fontId="16" fillId="40" borderId="8" xfId="51" applyNumberFormat="1" applyFont="1" applyFill="1" applyBorder="1" applyAlignment="1" applyProtection="1">
      <alignment horizontal="center" vertical="center" wrapText="1"/>
      <protection locked="0"/>
    </xf>
    <xf numFmtId="0" fontId="87" fillId="40" borderId="8" xfId="0" applyNumberFormat="1" applyFont="1" applyFill="1" applyBorder="1" applyAlignment="1" applyProtection="1">
      <alignment horizontal="center" vertical="center" wrapText="1"/>
      <protection locked="0"/>
    </xf>
    <xf numFmtId="0" fontId="87" fillId="40" borderId="31" xfId="0" applyNumberFormat="1" applyFont="1" applyFill="1" applyBorder="1" applyAlignment="1" applyProtection="1">
      <alignment horizontal="center" vertical="center" wrapText="1"/>
      <protection locked="0"/>
    </xf>
    <xf numFmtId="0" fontId="83" fillId="42" borderId="0" xfId="0" applyNumberFormat="1" applyFont="1" applyFill="1" applyBorder="1" applyProtection="1">
      <protection locked="0"/>
    </xf>
    <xf numFmtId="0" fontId="87" fillId="40" borderId="0" xfId="0" applyFont="1" applyFill="1" applyBorder="1" applyAlignment="1">
      <alignment horizontal="center" vertical="center" wrapText="1"/>
    </xf>
    <xf numFmtId="0" fontId="87" fillId="43" borderId="31" xfId="0" applyFont="1" applyFill="1" applyBorder="1" applyAlignment="1">
      <alignment horizontal="center" vertical="center" wrapText="1"/>
    </xf>
    <xf numFmtId="0" fontId="87" fillId="43" borderId="0" xfId="0" applyFont="1" applyFill="1" applyBorder="1" applyAlignment="1">
      <alignment horizontal="center" vertical="center" wrapText="1"/>
    </xf>
    <xf numFmtId="0" fontId="82" fillId="43" borderId="8" xfId="0" applyFont="1" applyFill="1" applyBorder="1" applyAlignment="1">
      <alignment horizontal="left" vertical="center" wrapText="1"/>
    </xf>
    <xf numFmtId="0" fontId="82" fillId="43" borderId="8" xfId="0" applyFont="1" applyFill="1" applyBorder="1" applyAlignment="1">
      <alignment horizontal="center" vertical="center"/>
    </xf>
    <xf numFmtId="0" fontId="87" fillId="43" borderId="8" xfId="0" applyFont="1" applyFill="1" applyBorder="1" applyAlignment="1">
      <alignment horizontal="center" vertical="center" wrapText="1"/>
    </xf>
    <xf numFmtId="0" fontId="82" fillId="40" borderId="8" xfId="0" applyFont="1" applyFill="1" applyBorder="1" applyAlignment="1">
      <alignment horizontal="left" vertical="center" wrapText="1"/>
    </xf>
    <xf numFmtId="0" fontId="82" fillId="40" borderId="8" xfId="0" applyFont="1" applyFill="1" applyBorder="1" applyAlignment="1">
      <alignment horizontal="center" vertical="center"/>
    </xf>
    <xf numFmtId="0" fontId="82" fillId="42" borderId="8" xfId="0" applyNumberFormat="1" applyFont="1" applyFill="1" applyBorder="1" applyAlignment="1" applyProtection="1">
      <alignment horizontal="center" vertical="center" wrapText="1"/>
    </xf>
    <xf numFmtId="0" fontId="77" fillId="35" borderId="21" xfId="0" applyNumberFormat="1" applyFont="1" applyFill="1" applyBorder="1" applyAlignment="1" applyProtection="1">
      <alignment horizontal="center" vertical="center" textRotation="90" wrapText="1"/>
      <protection locked="0"/>
    </xf>
    <xf numFmtId="0" fontId="77" fillId="35" borderId="22" xfId="0" applyNumberFormat="1" applyFont="1" applyFill="1" applyBorder="1" applyAlignment="1" applyProtection="1">
      <alignment horizontal="center" vertical="center" textRotation="90" wrapText="1"/>
      <protection locked="0"/>
    </xf>
    <xf numFmtId="0" fontId="77" fillId="35" borderId="23" xfId="0" applyNumberFormat="1" applyFont="1" applyFill="1" applyBorder="1" applyAlignment="1" applyProtection="1">
      <alignment horizontal="center" vertical="center" textRotation="90" wrapText="1"/>
      <protection locked="0"/>
    </xf>
    <xf numFmtId="0" fontId="16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20" fillId="39" borderId="14" xfId="0" applyFont="1" applyFill="1" applyBorder="1" applyAlignment="1">
      <alignment horizontal="center" vertical="center"/>
    </xf>
    <xf numFmtId="0" fontId="0" fillId="39" borderId="0" xfId="0" applyFill="1"/>
    <xf numFmtId="0" fontId="20" fillId="39" borderId="61" xfId="0" applyFont="1" applyFill="1" applyBorder="1" applyAlignment="1">
      <alignment horizontal="center" vertical="center"/>
    </xf>
    <xf numFmtId="0" fontId="24" fillId="39" borderId="14" xfId="0" applyFont="1" applyFill="1" applyBorder="1" applyAlignment="1">
      <alignment horizontal="center" vertical="center"/>
    </xf>
    <xf numFmtId="0" fontId="24" fillId="39" borderId="61" xfId="0" applyFont="1" applyFill="1" applyBorder="1" applyAlignment="1">
      <alignment horizontal="center" vertical="center"/>
    </xf>
    <xf numFmtId="0" fontId="25" fillId="39" borderId="14" xfId="0" applyFont="1" applyFill="1" applyBorder="1" applyAlignment="1">
      <alignment horizontal="center" vertical="center"/>
    </xf>
    <xf numFmtId="0" fontId="25" fillId="39" borderId="61" xfId="0" applyFont="1" applyFill="1" applyBorder="1" applyAlignment="1">
      <alignment horizontal="center" vertical="center"/>
    </xf>
    <xf numFmtId="0" fontId="26" fillId="39" borderId="61" xfId="0" applyFont="1" applyFill="1" applyBorder="1" applyAlignment="1">
      <alignment horizontal="center" vertical="center"/>
    </xf>
    <xf numFmtId="0" fontId="27" fillId="39" borderId="61" xfId="0" applyFont="1" applyFill="1" applyBorder="1" applyAlignment="1">
      <alignment horizontal="center" vertical="center"/>
    </xf>
    <xf numFmtId="14" fontId="32" fillId="40" borderId="31" xfId="51" applyNumberFormat="1" applyFont="1" applyFill="1" applyBorder="1" applyAlignment="1" applyProtection="1">
      <alignment horizontal="center" vertical="center" wrapText="1"/>
      <protection locked="0"/>
    </xf>
    <xf numFmtId="0" fontId="88" fillId="40" borderId="8" xfId="51" applyNumberFormat="1" applyFont="1" applyFill="1" applyBorder="1" applyAlignment="1" applyProtection="1">
      <alignment horizontal="center" vertical="center" wrapText="1"/>
      <protection locked="0"/>
    </xf>
    <xf numFmtId="0" fontId="88" fillId="40" borderId="8" xfId="0" applyNumberFormat="1" applyFont="1" applyFill="1" applyBorder="1" applyAlignment="1" applyProtection="1">
      <alignment horizontal="center" vertical="center" wrapText="1"/>
      <protection locked="0"/>
    </xf>
    <xf numFmtId="0" fontId="37" fillId="40" borderId="52" xfId="45" applyNumberFormat="1" applyFont="1" applyFill="1" applyBorder="1" applyAlignment="1" applyProtection="1">
      <alignment horizontal="center" vertical="center" wrapText="1"/>
    </xf>
    <xf numFmtId="0" fontId="37" fillId="40" borderId="55" xfId="45" applyNumberFormat="1" applyFont="1" applyFill="1" applyBorder="1" applyAlignment="1" applyProtection="1">
      <alignment horizontal="center" vertical="center" wrapText="1"/>
    </xf>
    <xf numFmtId="14" fontId="88" fillId="40" borderId="8" xfId="45" applyNumberFormat="1" applyFont="1" applyFill="1" applyBorder="1" applyAlignment="1" applyProtection="1">
      <alignment horizontal="center" vertical="center" wrapText="1"/>
      <protection locked="0"/>
    </xf>
    <xf numFmtId="0" fontId="88" fillId="40" borderId="8" xfId="45" applyNumberFormat="1" applyFont="1" applyFill="1" applyBorder="1" applyAlignment="1" applyProtection="1">
      <alignment horizontal="center" vertical="center" wrapText="1"/>
      <protection locked="0"/>
    </xf>
    <xf numFmtId="0" fontId="88" fillId="40" borderId="8" xfId="0" applyNumberFormat="1" applyFont="1" applyFill="1" applyBorder="1" applyAlignment="1" applyProtection="1">
      <alignment horizontal="center" vertical="center"/>
      <protection locked="0"/>
    </xf>
    <xf numFmtId="0" fontId="32" fillId="40" borderId="8" xfId="45" applyNumberFormat="1" applyFont="1" applyFill="1" applyBorder="1" applyAlignment="1" applyProtection="1">
      <alignment horizontal="center" vertical="center" wrapText="1"/>
      <protection locked="0"/>
    </xf>
    <xf numFmtId="0" fontId="32" fillId="40" borderId="33" xfId="45" applyNumberFormat="1" applyFont="1" applyFill="1" applyBorder="1" applyAlignment="1" applyProtection="1">
      <alignment horizontal="center" vertical="center" wrapText="1"/>
      <protection locked="0"/>
    </xf>
    <xf numFmtId="0" fontId="32" fillId="40" borderId="8" xfId="0" applyNumberFormat="1" applyFont="1" applyFill="1" applyBorder="1" applyAlignment="1" applyProtection="1">
      <alignment horizontal="center" vertical="center" wrapText="1"/>
      <protection locked="0"/>
    </xf>
    <xf numFmtId="0" fontId="32" fillId="40" borderId="11" xfId="0" applyNumberFormat="1" applyFont="1" applyFill="1" applyBorder="1" applyAlignment="1" applyProtection="1">
      <alignment horizontal="center" vertical="center" wrapText="1"/>
      <protection locked="0"/>
    </xf>
    <xf numFmtId="0" fontId="88" fillId="40" borderId="14" xfId="0" applyNumberFormat="1" applyFont="1" applyFill="1" applyBorder="1" applyAlignment="1" applyProtection="1">
      <alignment horizontal="left" vertical="center" wrapText="1"/>
      <protection locked="0"/>
    </xf>
    <xf numFmtId="0" fontId="89" fillId="40" borderId="0" xfId="0" applyNumberFormat="1" applyFont="1" applyFill="1" applyBorder="1" applyProtection="1">
      <protection locked="0"/>
    </xf>
    <xf numFmtId="0" fontId="38" fillId="40" borderId="0" xfId="0" applyFont="1" applyFill="1" applyAlignment="1">
      <alignment vertical="center"/>
    </xf>
    <xf numFmtId="14" fontId="81" fillId="40" borderId="14" xfId="0" applyNumberFormat="1" applyFont="1" applyFill="1" applyBorder="1" applyAlignment="1" applyProtection="1">
      <alignment horizontal="center" vertical="center" wrapText="1"/>
      <protection locked="0"/>
    </xf>
    <xf numFmtId="0" fontId="80" fillId="40" borderId="14" xfId="0" applyFont="1" applyFill="1" applyBorder="1" applyAlignment="1" applyProtection="1">
      <alignment horizontal="center" vertical="center" wrapText="1"/>
      <protection locked="0"/>
    </xf>
    <xf numFmtId="0" fontId="80" fillId="40" borderId="14" xfId="0" applyFont="1" applyFill="1" applyBorder="1" applyAlignment="1">
      <alignment horizontal="center" vertical="center" wrapText="1"/>
    </xf>
    <xf numFmtId="0" fontId="20" fillId="40" borderId="14" xfId="0" applyFont="1" applyFill="1" applyBorder="1" applyAlignment="1">
      <alignment horizontal="center" vertical="center"/>
    </xf>
    <xf numFmtId="0" fontId="18" fillId="40" borderId="61" xfId="0" applyFont="1" applyFill="1" applyBorder="1" applyAlignment="1">
      <alignment horizontal="center"/>
    </xf>
    <xf numFmtId="14" fontId="22" fillId="40" borderId="14" xfId="0" applyNumberFormat="1" applyFont="1" applyFill="1" applyBorder="1" applyAlignment="1">
      <alignment horizontal="center"/>
    </xf>
    <xf numFmtId="0" fontId="81" fillId="40" borderId="14" xfId="0" applyFont="1" applyFill="1" applyBorder="1" applyAlignment="1">
      <alignment horizontal="center" vertical="center" wrapText="1"/>
    </xf>
    <xf numFmtId="0" fontId="22" fillId="40" borderId="14" xfId="0" applyFont="1" applyFill="1" applyBorder="1" applyAlignment="1">
      <alignment horizontal="center"/>
    </xf>
    <xf numFmtId="0" fontId="22" fillId="40" borderId="14" xfId="0" applyFont="1" applyFill="1" applyBorder="1" applyAlignment="1">
      <alignment horizontal="center" vertical="center"/>
    </xf>
    <xf numFmtId="0" fontId="80" fillId="40" borderId="61" xfId="0" applyFont="1" applyFill="1" applyBorder="1" applyAlignment="1">
      <alignment horizontal="center" vertical="center" wrapText="1"/>
    </xf>
    <xf numFmtId="0" fontId="90" fillId="40" borderId="14" xfId="0" applyFont="1" applyFill="1" applyBorder="1" applyAlignment="1">
      <alignment horizontal="center" vertical="center" wrapText="1"/>
    </xf>
    <xf numFmtId="0" fontId="79" fillId="40" borderId="14" xfId="0" applyFont="1" applyFill="1" applyBorder="1" applyAlignment="1">
      <alignment horizontal="center" vertical="center" wrapText="1"/>
    </xf>
    <xf numFmtId="14" fontId="22" fillId="40" borderId="61" xfId="0" applyNumberFormat="1" applyFont="1" applyFill="1" applyBorder="1" applyAlignment="1">
      <alignment horizontal="center"/>
    </xf>
    <xf numFmtId="0" fontId="22" fillId="40" borderId="61" xfId="0" applyFont="1" applyFill="1" applyBorder="1" applyAlignment="1">
      <alignment horizontal="center" vertical="center"/>
    </xf>
    <xf numFmtId="0" fontId="90" fillId="40" borderId="14" xfId="0" applyFont="1" applyFill="1" applyBorder="1" applyAlignment="1">
      <alignment horizontal="left" vertical="center" wrapText="1"/>
    </xf>
    <xf numFmtId="0" fontId="81" fillId="40" borderId="14" xfId="0" applyFont="1" applyFill="1" applyBorder="1" applyAlignment="1">
      <alignment horizontal="left" vertical="center" wrapText="1"/>
    </xf>
    <xf numFmtId="14" fontId="3" fillId="40" borderId="14" xfId="0" applyNumberFormat="1" applyFont="1" applyFill="1" applyBorder="1" applyAlignment="1">
      <alignment horizontal="center"/>
    </xf>
    <xf numFmtId="49" fontId="3" fillId="40" borderId="14" xfId="0" applyNumberFormat="1" applyFont="1" applyFill="1" applyBorder="1" applyAlignment="1">
      <alignment horizontal="center" vertical="center" wrapText="1"/>
    </xf>
    <xf numFmtId="0" fontId="3" fillId="40" borderId="14" xfId="0" applyFont="1" applyFill="1" applyBorder="1" applyAlignment="1">
      <alignment horizontal="center"/>
    </xf>
    <xf numFmtId="0" fontId="3" fillId="40" borderId="14" xfId="0" applyFont="1" applyFill="1" applyBorder="1" applyAlignment="1">
      <alignment horizontal="center" vertical="center"/>
    </xf>
    <xf numFmtId="0" fontId="79" fillId="40" borderId="61" xfId="0" applyFont="1" applyFill="1" applyBorder="1" applyAlignment="1">
      <alignment horizontal="center" vertical="center" wrapText="1"/>
    </xf>
    <xf numFmtId="0" fontId="82" fillId="40" borderId="0" xfId="0" applyFont="1" applyFill="1" applyBorder="1" applyAlignment="1" applyProtection="1">
      <alignment horizontal="center" vertical="center" wrapText="1"/>
      <protection locked="0"/>
    </xf>
    <xf numFmtId="0" fontId="82" fillId="40" borderId="31" xfId="0" applyFont="1" applyFill="1" applyBorder="1" applyAlignment="1" applyProtection="1">
      <alignment horizontal="center" vertical="center" wrapText="1"/>
      <protection locked="0"/>
    </xf>
    <xf numFmtId="0" fontId="17" fillId="39" borderId="54" xfId="45" applyNumberFormat="1" applyFont="1" applyFill="1" applyBorder="1" applyAlignment="1" applyProtection="1">
      <alignment horizontal="center" vertical="center" wrapText="1"/>
    </xf>
    <xf numFmtId="0" fontId="17" fillId="39" borderId="52" xfId="45" applyNumberFormat="1" applyFont="1" applyFill="1" applyBorder="1" applyAlignment="1" applyProtection="1">
      <alignment horizontal="center" vertical="center" wrapText="1"/>
    </xf>
    <xf numFmtId="0" fontId="39" fillId="40" borderId="8" xfId="51" applyNumberFormat="1" applyFont="1" applyFill="1" applyBorder="1" applyAlignment="1" applyProtection="1">
      <alignment horizontal="center" vertical="center" wrapText="1"/>
      <protection locked="0"/>
    </xf>
    <xf numFmtId="0" fontId="39" fillId="40" borderId="31" xfId="45" applyNumberFormat="1" applyFont="1" applyFill="1" applyBorder="1" applyAlignment="1" applyProtection="1">
      <alignment horizontal="center" vertical="center" wrapText="1"/>
      <protection locked="0"/>
    </xf>
    <xf numFmtId="0" fontId="39" fillId="40" borderId="31" xfId="0" applyNumberFormat="1" applyFont="1" applyFill="1" applyBorder="1" applyAlignment="1" applyProtection="1">
      <alignment horizontal="center" vertical="center" wrapText="1"/>
      <protection locked="0"/>
    </xf>
    <xf numFmtId="0" fontId="39" fillId="40" borderId="35" xfId="0" applyNumberFormat="1" applyFont="1" applyFill="1" applyBorder="1" applyAlignment="1" applyProtection="1">
      <alignment horizontal="center" vertical="center" wrapText="1"/>
      <protection locked="0"/>
    </xf>
    <xf numFmtId="0" fontId="73" fillId="40" borderId="0" xfId="0" applyNumberFormat="1" applyFont="1" applyFill="1" applyBorder="1" applyProtection="1">
      <protection locked="0"/>
    </xf>
    <xf numFmtId="14" fontId="42" fillId="0" borderId="8" xfId="51" applyNumberFormat="1" applyFont="1" applyFill="1" applyBorder="1" applyAlignment="1" applyProtection="1">
      <alignment horizontal="center" vertical="center" wrapText="1"/>
      <protection locked="0"/>
    </xf>
    <xf numFmtId="0" fontId="42" fillId="0" borderId="8" xfId="51" applyNumberFormat="1" applyFont="1" applyFill="1" applyBorder="1" applyAlignment="1" applyProtection="1">
      <alignment horizontal="center" vertical="center" wrapText="1"/>
      <protection locked="0"/>
    </xf>
    <xf numFmtId="0" fontId="82" fillId="0" borderId="8" xfId="51" applyNumberFormat="1" applyFont="1" applyFill="1" applyBorder="1" applyAlignment="1" applyProtection="1">
      <alignment horizontal="center" vertical="center" wrapText="1"/>
      <protection locked="0"/>
    </xf>
    <xf numFmtId="0" fontId="82" fillId="0" borderId="8" xfId="0" applyNumberFormat="1" applyFont="1" applyFill="1" applyBorder="1" applyAlignment="1" applyProtection="1">
      <alignment horizontal="left" vertical="center" wrapText="1"/>
      <protection locked="0"/>
    </xf>
    <xf numFmtId="0" fontId="82" fillId="0" borderId="8" xfId="0" applyNumberFormat="1" applyFont="1" applyFill="1" applyBorder="1" applyAlignment="1" applyProtection="1">
      <alignment horizontal="center" vertical="center"/>
      <protection locked="0"/>
    </xf>
    <xf numFmtId="0" fontId="87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87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82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82" fillId="0" borderId="11" xfId="0" applyNumberFormat="1" applyFont="1" applyFill="1" applyBorder="1" applyAlignment="1" applyProtection="1">
      <alignment horizontal="center" vertical="center" wrapText="1"/>
      <protection locked="0"/>
    </xf>
    <xf numFmtId="0" fontId="42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43" fillId="0" borderId="52" xfId="45" applyNumberFormat="1" applyFont="1" applyFill="1" applyBorder="1" applyAlignment="1" applyProtection="1">
      <alignment horizontal="center" vertical="center" wrapText="1"/>
    </xf>
    <xf numFmtId="0" fontId="43" fillId="0" borderId="55" xfId="45" applyNumberFormat="1" applyFont="1" applyFill="1" applyBorder="1" applyAlignment="1" applyProtection="1">
      <alignment horizontal="center" vertical="center" wrapText="1"/>
    </xf>
    <xf numFmtId="14" fontId="82" fillId="0" borderId="8" xfId="45" applyNumberFormat="1" applyFont="1" applyFill="1" applyBorder="1" applyAlignment="1" applyProtection="1">
      <alignment horizontal="center" vertical="center" wrapText="1"/>
      <protection locked="0"/>
    </xf>
    <xf numFmtId="0" fontId="82" fillId="0" borderId="8" xfId="45" applyNumberFormat="1" applyFont="1" applyFill="1" applyBorder="1" applyAlignment="1" applyProtection="1">
      <alignment horizontal="center" vertical="center" wrapText="1"/>
      <protection locked="0"/>
    </xf>
    <xf numFmtId="0" fontId="42" fillId="0" borderId="8" xfId="45" applyNumberFormat="1" applyFont="1" applyFill="1" applyBorder="1" applyAlignment="1" applyProtection="1">
      <alignment horizontal="center" vertical="center" wrapText="1"/>
      <protection locked="0"/>
    </xf>
    <xf numFmtId="0" fontId="42" fillId="0" borderId="33" xfId="45" applyNumberFormat="1" applyFont="1" applyFill="1" applyBorder="1" applyAlignment="1" applyProtection="1">
      <alignment horizontal="center" vertical="center" wrapText="1"/>
      <protection locked="0"/>
    </xf>
    <xf numFmtId="0" fontId="84" fillId="0" borderId="8" xfId="45" applyNumberFormat="1" applyFont="1" applyFill="1" applyBorder="1" applyAlignment="1" applyProtection="1">
      <alignment horizontal="center" vertical="center" wrapText="1"/>
      <protection locked="0"/>
    </xf>
    <xf numFmtId="0" fontId="42" fillId="0" borderId="11" xfId="0" applyNumberFormat="1" applyFont="1" applyFill="1" applyBorder="1" applyAlignment="1" applyProtection="1">
      <alignment horizontal="center" vertical="center" wrapText="1"/>
      <protection locked="0"/>
    </xf>
    <xf numFmtId="0" fontId="82" fillId="0" borderId="14" xfId="0" applyNumberFormat="1" applyFont="1" applyFill="1" applyBorder="1" applyAlignment="1" applyProtection="1">
      <alignment horizontal="left" vertical="center" wrapText="1"/>
      <protection locked="0"/>
    </xf>
    <xf numFmtId="0" fontId="16" fillId="40" borderId="32" xfId="0" applyNumberFormat="1" applyFont="1" applyFill="1" applyBorder="1" applyAlignment="1" applyProtection="1">
      <alignment horizontal="center" vertical="center" wrapText="1"/>
      <protection locked="0"/>
    </xf>
    <xf numFmtId="0" fontId="16" fillId="40" borderId="62" xfId="0" applyNumberFormat="1" applyFont="1" applyFill="1" applyBorder="1" applyAlignment="1" applyProtection="1">
      <alignment horizontal="center" vertical="center" wrapText="1"/>
      <protection locked="0"/>
    </xf>
    <xf numFmtId="0" fontId="16" fillId="39" borderId="32" xfId="0" applyNumberFormat="1" applyFont="1" applyFill="1" applyBorder="1" applyAlignment="1" applyProtection="1">
      <alignment horizontal="center" vertical="center" wrapText="1"/>
      <protection locked="0"/>
    </xf>
    <xf numFmtId="0" fontId="16" fillId="39" borderId="62" xfId="0" applyNumberFormat="1" applyFont="1" applyFill="1" applyBorder="1" applyAlignment="1" applyProtection="1">
      <alignment horizontal="center" vertical="center" wrapText="1"/>
      <protection locked="0"/>
    </xf>
    <xf numFmtId="0" fontId="40" fillId="40" borderId="52" xfId="45" applyNumberFormat="1" applyFont="1" applyFill="1" applyBorder="1" applyAlignment="1" applyProtection="1">
      <alignment horizontal="center" vertical="center" wrapText="1"/>
    </xf>
    <xf numFmtId="0" fontId="40" fillId="40" borderId="55" xfId="45" applyNumberFormat="1" applyFont="1" applyFill="1" applyBorder="1" applyAlignment="1" applyProtection="1">
      <alignment horizontal="center" vertical="center" wrapText="1"/>
    </xf>
    <xf numFmtId="0" fontId="39" fillId="40" borderId="8" xfId="45" applyNumberFormat="1" applyFont="1" applyFill="1" applyBorder="1" applyAlignment="1" applyProtection="1">
      <alignment horizontal="center" vertical="center" wrapText="1"/>
      <protection locked="0"/>
    </xf>
    <xf numFmtId="0" fontId="39" fillId="40" borderId="33" xfId="45" applyNumberFormat="1" applyFont="1" applyFill="1" applyBorder="1" applyAlignment="1" applyProtection="1">
      <alignment horizontal="center" vertical="center" wrapText="1"/>
      <protection locked="0"/>
    </xf>
    <xf numFmtId="0" fontId="39" fillId="40" borderId="8" xfId="0" applyNumberFormat="1" applyFont="1" applyFill="1" applyBorder="1" applyAlignment="1" applyProtection="1">
      <alignment horizontal="center" vertical="center" wrapText="1"/>
      <protection locked="0"/>
    </xf>
    <xf numFmtId="0" fontId="39" fillId="40" borderId="11" xfId="0" applyNumberFormat="1" applyFont="1" applyFill="1" applyBorder="1" applyAlignment="1" applyProtection="1">
      <alignment horizontal="center" vertical="center" wrapText="1"/>
      <protection locked="0"/>
    </xf>
    <xf numFmtId="0" fontId="73" fillId="39" borderId="0" xfId="0" applyNumberFormat="1" applyFont="1" applyFill="1" applyBorder="1" applyProtection="1">
      <protection locked="0"/>
    </xf>
    <xf numFmtId="0" fontId="16" fillId="42" borderId="32" xfId="0" applyNumberFormat="1" applyFont="1" applyFill="1" applyBorder="1" applyAlignment="1" applyProtection="1">
      <alignment horizontal="center" vertical="center" wrapText="1"/>
      <protection locked="0"/>
    </xf>
    <xf numFmtId="0" fontId="16" fillId="42" borderId="62" xfId="0" applyNumberFormat="1" applyFont="1" applyFill="1" applyBorder="1" applyAlignment="1" applyProtection="1">
      <alignment horizontal="center" vertical="center" wrapText="1"/>
      <protection locked="0"/>
    </xf>
    <xf numFmtId="0" fontId="16" fillId="40" borderId="86" xfId="0" applyFont="1" applyFill="1" applyBorder="1" applyAlignment="1">
      <alignment horizontal="center" vertical="center" wrapText="1"/>
    </xf>
    <xf numFmtId="0" fontId="16" fillId="43" borderId="84" xfId="0" applyFont="1" applyFill="1" applyBorder="1" applyAlignment="1">
      <alignment horizontal="center" vertical="center" wrapText="1"/>
    </xf>
    <xf numFmtId="49" fontId="45" fillId="0" borderId="14" xfId="0" applyNumberFormat="1" applyFont="1" applyFill="1" applyBorder="1" applyAlignment="1">
      <alignment horizontal="center" vertical="center" wrapText="1"/>
    </xf>
    <xf numFmtId="0" fontId="79" fillId="0" borderId="14" xfId="0" applyFont="1" applyFill="1" applyBorder="1" applyAlignment="1">
      <alignment horizontal="center" vertical="center" wrapText="1"/>
    </xf>
    <xf numFmtId="0" fontId="80" fillId="0" borderId="14" xfId="0" applyFont="1" applyBorder="1" applyAlignment="1">
      <alignment horizontal="center" vertical="center" wrapText="1"/>
    </xf>
    <xf numFmtId="0" fontId="45" fillId="0" borderId="14" xfId="0" applyFont="1" applyFill="1" applyBorder="1" applyAlignment="1">
      <alignment horizontal="center" vertical="center"/>
    </xf>
    <xf numFmtId="14" fontId="79" fillId="0" borderId="14" xfId="0" applyNumberFormat="1" applyFont="1" applyFill="1" applyBorder="1" applyAlignment="1" applyProtection="1">
      <alignment horizontal="left" vertical="center" wrapText="1"/>
      <protection locked="0"/>
    </xf>
    <xf numFmtId="0" fontId="79" fillId="0" borderId="14" xfId="0" applyFont="1" applyFill="1" applyBorder="1" applyAlignment="1" applyProtection="1">
      <alignment horizontal="center" vertical="center" wrapText="1"/>
      <protection locked="0"/>
    </xf>
    <xf numFmtId="49" fontId="45" fillId="0" borderId="8" xfId="0" applyNumberFormat="1" applyFont="1" applyFill="1" applyBorder="1" applyAlignment="1">
      <alignment horizontal="center" vertical="center" wrapText="1"/>
    </xf>
    <xf numFmtId="0" fontId="79" fillId="0" borderId="8" xfId="0" applyFont="1" applyFill="1" applyBorder="1" applyAlignment="1">
      <alignment horizontal="center" vertical="center" wrapText="1"/>
    </xf>
    <xf numFmtId="0" fontId="80" fillId="0" borderId="8" xfId="0" applyFont="1" applyBorder="1" applyAlignment="1">
      <alignment horizontal="center" vertical="center" wrapText="1"/>
    </xf>
    <xf numFmtId="0" fontId="45" fillId="0" borderId="8" xfId="0" applyFont="1" applyFill="1" applyBorder="1" applyAlignment="1">
      <alignment horizontal="center" vertical="center"/>
    </xf>
    <xf numFmtId="14" fontId="79" fillId="0" borderId="8" xfId="0" applyNumberFormat="1" applyFont="1" applyFill="1" applyBorder="1" applyAlignment="1" applyProtection="1">
      <alignment horizontal="left" vertical="center" wrapText="1"/>
      <protection locked="0"/>
    </xf>
    <xf numFmtId="0" fontId="16" fillId="42" borderId="8" xfId="51" applyNumberFormat="1" applyFont="1" applyFill="1" applyBorder="1" applyAlignment="1" applyProtection="1">
      <alignment horizontal="center" vertical="center" wrapText="1"/>
      <protection locked="0"/>
    </xf>
    <xf numFmtId="0" fontId="16" fillId="42" borderId="14" xfId="51" applyNumberFormat="1" applyFont="1" applyFill="1" applyBorder="1" applyAlignment="1" applyProtection="1">
      <alignment horizontal="center" vertical="center" wrapText="1"/>
      <protection locked="0"/>
    </xf>
    <xf numFmtId="0" fontId="82" fillId="42" borderId="0" xfId="0" applyNumberFormat="1" applyFont="1" applyFill="1" applyBorder="1" applyAlignment="1" applyProtection="1">
      <alignment horizontal="center" vertical="center" wrapText="1"/>
      <protection locked="0"/>
    </xf>
    <xf numFmtId="0" fontId="17" fillId="42" borderId="40" xfId="45" applyNumberFormat="1" applyFont="1" applyFill="1" applyBorder="1" applyAlignment="1" applyProtection="1">
      <alignment horizontal="center" vertical="center" wrapText="1"/>
    </xf>
    <xf numFmtId="14" fontId="82" fillId="42" borderId="13" xfId="45" applyNumberFormat="1" applyFont="1" applyFill="1" applyBorder="1" applyAlignment="1" applyProtection="1">
      <alignment horizontal="center" vertical="center" wrapText="1"/>
      <protection locked="0"/>
    </xf>
    <xf numFmtId="0" fontId="0" fillId="0" borderId="31" xfId="0" applyFont="1" applyFill="1" applyBorder="1" applyAlignment="1">
      <alignment horizontal="center" vertical="center"/>
    </xf>
    <xf numFmtId="14" fontId="45" fillId="0" borderId="8" xfId="0" applyNumberFormat="1" applyFont="1" applyFill="1" applyBorder="1" applyAlignment="1">
      <alignment horizontal="center" vertical="center"/>
    </xf>
    <xf numFmtId="0" fontId="0" fillId="0" borderId="61" xfId="0" applyFont="1" applyFill="1" applyBorder="1" applyAlignment="1">
      <alignment horizontal="center" vertical="center"/>
    </xf>
    <xf numFmtId="14" fontId="45" fillId="0" borderId="14" xfId="0" applyNumberFormat="1" applyFont="1" applyFill="1" applyBorder="1" applyAlignment="1">
      <alignment horizontal="center" vertical="center"/>
    </xf>
    <xf numFmtId="0" fontId="90" fillId="0" borderId="14" xfId="0" applyFont="1" applyFill="1" applyBorder="1" applyAlignment="1">
      <alignment horizontal="center" vertical="center"/>
    </xf>
    <xf numFmtId="0" fontId="82" fillId="44" borderId="8" xfId="51" applyNumberFormat="1" applyFont="1" applyFill="1" applyBorder="1" applyAlignment="1" applyProtection="1">
      <alignment horizontal="center" vertical="center" wrapText="1"/>
      <protection locked="0"/>
    </xf>
    <xf numFmtId="0" fontId="83" fillId="44" borderId="0" xfId="0" applyNumberFormat="1" applyFont="1" applyFill="1" applyBorder="1" applyProtection="1">
      <protection locked="0"/>
    </xf>
    <xf numFmtId="0" fontId="16" fillId="40" borderId="31" xfId="0" applyNumberFormat="1" applyFont="1" applyFill="1" applyBorder="1" applyAlignment="1" applyProtection="1">
      <alignment horizontal="left" vertical="center" wrapText="1"/>
      <protection locked="0"/>
    </xf>
    <xf numFmtId="0" fontId="16" fillId="40" borderId="79" xfId="0" applyNumberFormat="1" applyFont="1" applyFill="1" applyBorder="1" applyAlignment="1" applyProtection="1">
      <alignment horizontal="left" vertical="center" wrapText="1"/>
      <protection locked="0"/>
    </xf>
    <xf numFmtId="0" fontId="16" fillId="40" borderId="79" xfId="0" applyNumberFormat="1" applyFont="1" applyFill="1" applyBorder="1" applyAlignment="1" applyProtection="1">
      <alignment horizontal="center" vertical="center"/>
      <protection locked="0"/>
    </xf>
    <xf numFmtId="0" fontId="33" fillId="40" borderId="85" xfId="0" applyNumberFormat="1" applyFont="1" applyFill="1" applyBorder="1" applyAlignment="1" applyProtection="1">
      <alignment horizontal="center" vertical="center" wrapText="1"/>
      <protection locked="0"/>
    </xf>
    <xf numFmtId="0" fontId="33" fillId="40" borderId="86" xfId="0" applyNumberFormat="1" applyFont="1" applyFill="1" applyBorder="1" applyAlignment="1" applyProtection="1">
      <alignment horizontal="center" vertical="center" wrapText="1"/>
      <protection locked="0"/>
    </xf>
    <xf numFmtId="0" fontId="17" fillId="40" borderId="47" xfId="45" applyNumberFormat="1" applyFont="1" applyFill="1" applyBorder="1" applyAlignment="1" applyProtection="1">
      <alignment horizontal="center" vertical="center" wrapText="1"/>
    </xf>
    <xf numFmtId="14" fontId="16" fillId="40" borderId="13" xfId="45" applyNumberFormat="1" applyFont="1" applyFill="1" applyBorder="1" applyAlignment="1" applyProtection="1">
      <alignment horizontal="center" vertical="center" wrapText="1"/>
      <protection locked="0"/>
    </xf>
    <xf numFmtId="0" fontId="17" fillId="40" borderId="31" xfId="45" applyNumberFormat="1" applyFont="1" applyFill="1" applyBorder="1" applyAlignment="1" applyProtection="1">
      <alignment horizontal="center" vertical="center" wrapText="1"/>
      <protection locked="0"/>
    </xf>
    <xf numFmtId="0" fontId="16" fillId="40" borderId="14" xfId="0" applyNumberFormat="1" applyFont="1" applyFill="1" applyBorder="1" applyAlignment="1" applyProtection="1">
      <alignment horizontal="left" vertical="center" wrapText="1"/>
      <protection locked="0"/>
    </xf>
    <xf numFmtId="0" fontId="82" fillId="39" borderId="0" xfId="51" applyNumberFormat="1" applyFont="1" applyFill="1" applyBorder="1" applyAlignment="1" applyProtection="1">
      <alignment horizontal="center" vertical="center" wrapText="1"/>
      <protection locked="0"/>
    </xf>
    <xf numFmtId="0" fontId="43" fillId="40" borderId="52" xfId="45" applyNumberFormat="1" applyFont="1" applyFill="1" applyBorder="1" applyAlignment="1" applyProtection="1">
      <alignment horizontal="center" vertical="center" wrapText="1"/>
    </xf>
    <xf numFmtId="0" fontId="43" fillId="40" borderId="55" xfId="45" applyNumberFormat="1" applyFont="1" applyFill="1" applyBorder="1" applyAlignment="1" applyProtection="1">
      <alignment horizontal="center" vertical="center" wrapText="1"/>
    </xf>
    <xf numFmtId="0" fontId="42" fillId="40" borderId="8" xfId="45" applyNumberFormat="1" applyFont="1" applyFill="1" applyBorder="1" applyAlignment="1" applyProtection="1">
      <alignment horizontal="center" vertical="center" wrapText="1"/>
      <protection locked="0"/>
    </xf>
    <xf numFmtId="0" fontId="42" fillId="40" borderId="33" xfId="45" applyNumberFormat="1" applyFont="1" applyFill="1" applyBorder="1" applyAlignment="1" applyProtection="1">
      <alignment horizontal="center" vertical="center" wrapText="1"/>
      <protection locked="0"/>
    </xf>
    <xf numFmtId="0" fontId="42" fillId="40" borderId="8" xfId="0" applyNumberFormat="1" applyFont="1" applyFill="1" applyBorder="1" applyAlignment="1" applyProtection="1">
      <alignment horizontal="center" vertical="center" wrapText="1"/>
      <protection locked="0"/>
    </xf>
    <xf numFmtId="0" fontId="42" fillId="40" borderId="1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4" xfId="0" applyFont="1" applyFill="1" applyBorder="1" applyAlignment="1">
      <alignment horizontal="center" vertical="center"/>
    </xf>
    <xf numFmtId="14" fontId="0" fillId="0" borderId="14" xfId="0" applyNumberFormat="1" applyFont="1" applyFill="1" applyBorder="1" applyAlignment="1">
      <alignment horizontal="center" vertical="center"/>
    </xf>
    <xf numFmtId="0" fontId="91" fillId="0" borderId="14" xfId="0" applyFont="1" applyFill="1" applyBorder="1" applyAlignment="1">
      <alignment horizontal="left" vertical="center"/>
    </xf>
    <xf numFmtId="0" fontId="92" fillId="0" borderId="0" xfId="0" applyFont="1" applyFill="1" applyBorder="1" applyAlignment="1">
      <alignment horizontal="left" vertical="center" wrapText="1"/>
    </xf>
    <xf numFmtId="0" fontId="91" fillId="0" borderId="14" xfId="0" applyFont="1" applyFill="1" applyBorder="1" applyAlignment="1">
      <alignment horizontal="center" vertical="center" wrapText="1"/>
    </xf>
    <xf numFmtId="0" fontId="92" fillId="0" borderId="14" xfId="0" applyFont="1" applyFill="1" applyBorder="1" applyAlignment="1">
      <alignment horizontal="center" vertical="center" wrapText="1"/>
    </xf>
    <xf numFmtId="0" fontId="91" fillId="0" borderId="14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0" fontId="49" fillId="0" borderId="0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/>
    </xf>
    <xf numFmtId="0" fontId="49" fillId="0" borderId="0" xfId="0" applyFont="1" applyFill="1" applyBorder="1" applyAlignment="1">
      <alignment horizontal="center"/>
    </xf>
    <xf numFmtId="0" fontId="91" fillId="0" borderId="61" xfId="0" applyFont="1" applyFill="1" applyBorder="1" applyAlignment="1">
      <alignment horizontal="center" vertical="center" wrapText="1"/>
    </xf>
    <xf numFmtId="0" fontId="92" fillId="0" borderId="61" xfId="0" applyFont="1" applyFill="1" applyBorder="1" applyAlignment="1">
      <alignment horizontal="center" vertical="center" wrapText="1"/>
    </xf>
    <xf numFmtId="0" fontId="6" fillId="0" borderId="61" xfId="0" applyFont="1" applyFill="1" applyBorder="1" applyAlignment="1">
      <alignment horizontal="center"/>
    </xf>
    <xf numFmtId="49" fontId="52" fillId="0" borderId="61" xfId="0" applyNumberFormat="1" applyFont="1" applyFill="1" applyBorder="1" applyAlignment="1">
      <alignment horizontal="left" vertical="center" wrapText="1"/>
    </xf>
    <xf numFmtId="0" fontId="93" fillId="0" borderId="0" xfId="0" applyFont="1" applyFill="1" applyBorder="1" applyAlignment="1">
      <alignment horizontal="left" vertical="center" wrapText="1"/>
    </xf>
    <xf numFmtId="0" fontId="93" fillId="0" borderId="61" xfId="0" applyFont="1" applyFill="1" applyBorder="1" applyAlignment="1">
      <alignment horizontal="center" vertical="center" wrapText="1"/>
    </xf>
    <xf numFmtId="0" fontId="50" fillId="0" borderId="61" xfId="0" applyFont="1" applyFill="1" applyBorder="1" applyAlignment="1">
      <alignment horizontal="center"/>
    </xf>
    <xf numFmtId="0" fontId="51" fillId="0" borderId="0" xfId="0" applyFont="1" applyFill="1" applyBorder="1" applyAlignment="1">
      <alignment horizontal="center"/>
    </xf>
    <xf numFmtId="0" fontId="50" fillId="0" borderId="14" xfId="0" applyFont="1" applyFill="1" applyBorder="1" applyAlignment="1">
      <alignment horizontal="center" vertical="center"/>
    </xf>
    <xf numFmtId="0" fontId="55" fillId="0" borderId="14" xfId="0" applyFont="1" applyFill="1" applyBorder="1" applyAlignment="1" applyProtection="1">
      <alignment horizontal="center" vertical="center" wrapText="1"/>
      <protection locked="0"/>
    </xf>
    <xf numFmtId="0" fontId="17" fillId="0" borderId="88" xfId="45" applyNumberFormat="1" applyFont="1" applyFill="1" applyBorder="1" applyAlignment="1" applyProtection="1">
      <alignment horizontal="center" vertical="center" wrapText="1"/>
    </xf>
    <xf numFmtId="0" fontId="82" fillId="40" borderId="79" xfId="0" applyNumberFormat="1" applyFont="1" applyFill="1" applyBorder="1" applyAlignment="1" applyProtection="1">
      <alignment horizontal="center" vertical="center" wrapText="1"/>
    </xf>
    <xf numFmtId="0" fontId="82" fillId="40" borderId="81" xfId="51" applyNumberFormat="1" applyFont="1" applyFill="1" applyBorder="1" applyAlignment="1" applyProtection="1">
      <alignment horizontal="center" vertical="center" wrapText="1"/>
      <protection locked="0"/>
    </xf>
    <xf numFmtId="0" fontId="88" fillId="40" borderId="31" xfId="0" applyNumberFormat="1" applyFont="1" applyFill="1" applyBorder="1" applyAlignment="1" applyProtection="1">
      <alignment horizontal="center" vertical="center" wrapText="1"/>
    </xf>
    <xf numFmtId="14" fontId="16" fillId="42" borderId="8" xfId="51" applyNumberFormat="1" applyFont="1" applyFill="1" applyBorder="1" applyAlignment="1" applyProtection="1">
      <alignment horizontal="center" vertical="center" wrapText="1"/>
      <protection locked="0"/>
    </xf>
    <xf numFmtId="14" fontId="42" fillId="42" borderId="31" xfId="51" applyNumberFormat="1" applyFont="1" applyFill="1" applyBorder="1" applyAlignment="1" applyProtection="1">
      <alignment horizontal="center" vertical="center" wrapText="1"/>
      <protection locked="0"/>
    </xf>
    <xf numFmtId="14" fontId="42" fillId="40" borderId="31" xfId="51" applyNumberFormat="1" applyFont="1" applyFill="1" applyBorder="1" applyAlignment="1" applyProtection="1">
      <alignment horizontal="center" vertical="center" wrapText="1"/>
      <protection locked="0"/>
    </xf>
    <xf numFmtId="14" fontId="16" fillId="40" borderId="14" xfId="51" applyNumberFormat="1" applyFont="1" applyFill="1" applyBorder="1" applyAlignment="1" applyProtection="1">
      <alignment horizontal="left" vertical="center" wrapText="1"/>
      <protection locked="0"/>
    </xf>
    <xf numFmtId="14" fontId="39" fillId="40" borderId="31" xfId="51" applyNumberFormat="1" applyFont="1" applyFill="1" applyBorder="1" applyAlignment="1" applyProtection="1">
      <alignment horizontal="center" vertical="center" wrapText="1"/>
      <protection locked="0"/>
    </xf>
    <xf numFmtId="0" fontId="39" fillId="40" borderId="31" xfId="51" applyNumberFormat="1" applyFont="1" applyFill="1" applyBorder="1" applyAlignment="1" applyProtection="1">
      <alignment horizontal="center" vertical="center" wrapText="1"/>
      <protection locked="0"/>
    </xf>
    <xf numFmtId="0" fontId="39" fillId="40" borderId="14" xfId="51" applyNumberFormat="1" applyFont="1" applyFill="1" applyBorder="1" applyAlignment="1" applyProtection="1">
      <alignment horizontal="center" vertical="center" wrapText="1"/>
      <protection locked="0"/>
    </xf>
    <xf numFmtId="0" fontId="32" fillId="40" borderId="8" xfId="51" applyNumberFormat="1" applyFont="1" applyFill="1" applyBorder="1" applyAlignment="1" applyProtection="1">
      <alignment horizontal="center" vertical="center" wrapText="1"/>
      <protection locked="0"/>
    </xf>
    <xf numFmtId="0" fontId="82" fillId="44" borderId="31" xfId="51" applyNumberFormat="1" applyFont="1" applyFill="1" applyBorder="1" applyAlignment="1" applyProtection="1">
      <alignment horizontal="center" vertical="center" wrapText="1"/>
      <protection locked="0"/>
    </xf>
    <xf numFmtId="0" fontId="87" fillId="0" borderId="31" xfId="0" applyFont="1" applyBorder="1" applyAlignment="1">
      <alignment horizontal="left" vertical="center" wrapText="1"/>
    </xf>
    <xf numFmtId="0" fontId="82" fillId="0" borderId="31" xfId="51" applyNumberFormat="1" applyFont="1" applyFill="1" applyBorder="1" applyAlignment="1" applyProtection="1">
      <alignment horizontal="left" vertical="center" wrapText="1"/>
      <protection locked="0"/>
    </xf>
    <xf numFmtId="0" fontId="87" fillId="40" borderId="31" xfId="0" applyFont="1" applyFill="1" applyBorder="1" applyAlignment="1">
      <alignment horizontal="left" vertical="center" wrapText="1"/>
    </xf>
    <xf numFmtId="0" fontId="82" fillId="45" borderId="8" xfId="0" applyFont="1" applyFill="1" applyBorder="1" applyAlignment="1">
      <alignment horizontal="left" vertical="center" wrapText="1"/>
    </xf>
    <xf numFmtId="0" fontId="82" fillId="40" borderId="0" xfId="62" applyNumberFormat="1" applyFont="1" applyFill="1" applyBorder="1" applyAlignment="1" applyProtection="1">
      <alignment horizontal="left" vertical="center" wrapText="1"/>
      <protection locked="0"/>
    </xf>
    <xf numFmtId="0" fontId="16" fillId="40" borderId="81" xfId="0" applyNumberFormat="1" applyFont="1" applyFill="1" applyBorder="1" applyAlignment="1" applyProtection="1">
      <alignment horizontal="left" vertical="center" wrapText="1"/>
      <protection locked="0"/>
    </xf>
    <xf numFmtId="0" fontId="88" fillId="40" borderId="31" xfId="0" applyNumberFormat="1" applyFont="1" applyFill="1" applyBorder="1" applyAlignment="1" applyProtection="1">
      <alignment horizontal="left" vertical="center" wrapText="1"/>
      <protection locked="0"/>
    </xf>
    <xf numFmtId="0" fontId="82" fillId="40" borderId="89" xfId="0" applyNumberFormat="1" applyFont="1" applyFill="1" applyBorder="1" applyAlignment="1" applyProtection="1">
      <alignment horizontal="left" vertical="center" wrapText="1"/>
      <protection locked="0"/>
    </xf>
    <xf numFmtId="0" fontId="82" fillId="42" borderId="8" xfId="0" applyFont="1" applyFill="1" applyBorder="1" applyAlignment="1">
      <alignment horizontal="left" vertical="center" wrapText="1"/>
    </xf>
    <xf numFmtId="0" fontId="82" fillId="45" borderId="8" xfId="0" applyFont="1" applyFill="1" applyBorder="1" applyAlignment="1">
      <alignment horizontal="center" vertical="center"/>
    </xf>
    <xf numFmtId="0" fontId="16" fillId="40" borderId="79" xfId="0" applyFont="1" applyFill="1" applyBorder="1"/>
    <xf numFmtId="0" fontId="82" fillId="40" borderId="0" xfId="62" applyNumberFormat="1" applyFont="1" applyFill="1" applyBorder="1" applyAlignment="1" applyProtection="1">
      <alignment horizontal="center" vertical="center" wrapText="1"/>
      <protection locked="0"/>
    </xf>
    <xf numFmtId="0" fontId="16" fillId="40" borderId="81" xfId="0" applyNumberFormat="1" applyFont="1" applyFill="1" applyBorder="1" applyAlignment="1" applyProtection="1">
      <alignment horizontal="center" vertical="center"/>
      <protection locked="0"/>
    </xf>
    <xf numFmtId="0" fontId="88" fillId="40" borderId="31" xfId="0" applyNumberFormat="1" applyFont="1" applyFill="1" applyBorder="1" applyAlignment="1" applyProtection="1">
      <alignment horizontal="center" vertical="center" wrapText="1"/>
      <protection locked="0"/>
    </xf>
    <xf numFmtId="0" fontId="82" fillId="40" borderId="89" xfId="0" applyNumberFormat="1" applyFont="1" applyFill="1" applyBorder="1" applyAlignment="1" applyProtection="1">
      <alignment horizontal="center" vertical="center"/>
      <protection locked="0"/>
    </xf>
    <xf numFmtId="0" fontId="82" fillId="42" borderId="8" xfId="0" applyFont="1" applyFill="1" applyBorder="1" applyAlignment="1">
      <alignment horizontal="center" vertical="center"/>
    </xf>
    <xf numFmtId="0" fontId="87" fillId="45" borderId="8" xfId="0" applyFont="1" applyFill="1" applyBorder="1" applyAlignment="1">
      <alignment horizontal="center" vertical="center" wrapText="1"/>
    </xf>
    <xf numFmtId="0" fontId="82" fillId="40" borderId="85" xfId="0" applyNumberFormat="1" applyFont="1" applyFill="1" applyBorder="1" applyAlignment="1" applyProtection="1">
      <alignment horizontal="center" vertical="center" wrapText="1"/>
      <protection locked="0"/>
    </xf>
    <xf numFmtId="0" fontId="34" fillId="40" borderId="85" xfId="51" applyNumberFormat="1" applyFont="1" applyFill="1" applyBorder="1" applyAlignment="1" applyProtection="1">
      <alignment horizontal="center" vertical="center" wrapText="1"/>
      <protection locked="0"/>
    </xf>
    <xf numFmtId="0" fontId="82" fillId="40" borderId="83" xfId="0" applyNumberFormat="1" applyFont="1" applyFill="1" applyBorder="1" applyAlignment="1" applyProtection="1">
      <alignment horizontal="center" vertical="center" wrapText="1"/>
      <protection locked="0"/>
    </xf>
    <xf numFmtId="0" fontId="82" fillId="40" borderId="35" xfId="51" applyNumberFormat="1" applyFont="1" applyFill="1" applyBorder="1" applyAlignment="1" applyProtection="1">
      <alignment horizontal="center" vertical="center" wrapText="1"/>
      <protection locked="0"/>
    </xf>
    <xf numFmtId="0" fontId="82" fillId="40" borderId="83" xfId="51" applyNumberFormat="1" applyFont="1" applyFill="1" applyBorder="1" applyAlignment="1" applyProtection="1">
      <alignment horizontal="center" vertical="center" wrapText="1"/>
      <protection locked="0"/>
    </xf>
    <xf numFmtId="0" fontId="33" fillId="40" borderId="83" xfId="0" applyNumberFormat="1" applyFont="1" applyFill="1" applyBorder="1" applyAlignment="1" applyProtection="1">
      <alignment horizontal="center" vertical="center" wrapText="1"/>
      <protection locked="0"/>
    </xf>
    <xf numFmtId="0" fontId="82" fillId="40" borderId="85" xfId="0" applyNumberFormat="1" applyFont="1" applyFill="1" applyBorder="1" applyAlignment="1" applyProtection="1">
      <alignment horizontal="center" vertical="center"/>
      <protection locked="0"/>
    </xf>
    <xf numFmtId="0" fontId="82" fillId="40" borderId="90" xfId="51" applyNumberFormat="1" applyFont="1" applyFill="1" applyBorder="1" applyAlignment="1" applyProtection="1">
      <alignment horizontal="center" vertical="center" wrapText="1"/>
      <protection locked="0"/>
    </xf>
    <xf numFmtId="0" fontId="87" fillId="42" borderId="8" xfId="0" applyFont="1" applyFill="1" applyBorder="1" applyAlignment="1">
      <alignment horizontal="center" vertical="center" wrapText="1"/>
    </xf>
    <xf numFmtId="0" fontId="82" fillId="42" borderId="13" xfId="0" applyNumberFormat="1" applyFont="1" applyFill="1" applyBorder="1" applyAlignment="1" applyProtection="1">
      <alignment horizontal="center" vertical="center" wrapText="1"/>
      <protection locked="0"/>
    </xf>
    <xf numFmtId="0" fontId="87" fillId="40" borderId="14" xfId="0" applyFont="1" applyFill="1" applyBorder="1" applyAlignment="1">
      <alignment horizontal="center" vertical="center" wrapText="1"/>
    </xf>
    <xf numFmtId="0" fontId="87" fillId="43" borderId="14" xfId="0" applyFont="1" applyFill="1" applyBorder="1" applyAlignment="1">
      <alignment horizontal="center" vertical="center" wrapText="1"/>
    </xf>
    <xf numFmtId="0" fontId="87" fillId="40" borderId="61" xfId="0" applyFont="1" applyFill="1" applyBorder="1" applyAlignment="1">
      <alignment horizontal="center" vertical="center" wrapText="1"/>
    </xf>
    <xf numFmtId="0" fontId="87" fillId="40" borderId="61" xfId="0" applyNumberFormat="1" applyFont="1" applyFill="1" applyBorder="1" applyAlignment="1" applyProtection="1">
      <alignment horizontal="center" vertical="center" wrapText="1"/>
      <protection locked="0"/>
    </xf>
    <xf numFmtId="0" fontId="82" fillId="40" borderId="59" xfId="0" applyNumberFormat="1" applyFont="1" applyFill="1" applyBorder="1" applyAlignment="1" applyProtection="1">
      <alignment horizontal="center" vertical="center" wrapText="1"/>
      <protection locked="0"/>
    </xf>
    <xf numFmtId="0" fontId="87" fillId="45" borderId="0" xfId="0" applyFont="1" applyFill="1" applyBorder="1" applyAlignment="1">
      <alignment horizontal="center" vertical="center" wrapText="1"/>
    </xf>
    <xf numFmtId="0" fontId="82" fillId="40" borderId="86" xfId="0" applyFont="1" applyFill="1" applyBorder="1" applyAlignment="1">
      <alignment horizontal="center" vertical="center" wrapText="1"/>
    </xf>
    <xf numFmtId="0" fontId="82" fillId="40" borderId="86" xfId="0" applyNumberFormat="1" applyFont="1" applyFill="1" applyBorder="1" applyAlignment="1" applyProtection="1">
      <alignment horizontal="center" vertical="center" wrapText="1"/>
      <protection locked="0"/>
    </xf>
    <xf numFmtId="0" fontId="87" fillId="43" borderId="61" xfId="0" applyFont="1" applyFill="1" applyBorder="1" applyAlignment="1">
      <alignment horizontal="center" vertical="center" wrapText="1"/>
    </xf>
    <xf numFmtId="0" fontId="82" fillId="40" borderId="59" xfId="0" applyFont="1" applyFill="1" applyBorder="1" applyAlignment="1">
      <alignment horizontal="center" vertical="center" wrapText="1"/>
    </xf>
    <xf numFmtId="0" fontId="82" fillId="40" borderId="14" xfId="0" applyFont="1" applyFill="1" applyBorder="1" applyAlignment="1">
      <alignment horizontal="center" vertical="center" wrapText="1"/>
    </xf>
    <xf numFmtId="0" fontId="82" fillId="40" borderId="84" xfId="0" applyNumberFormat="1" applyFont="1" applyFill="1" applyBorder="1" applyAlignment="1" applyProtection="1">
      <alignment horizontal="center" vertical="center" wrapText="1"/>
      <protection locked="0"/>
    </xf>
    <xf numFmtId="0" fontId="87" fillId="40" borderId="14" xfId="0" applyNumberFormat="1" applyFont="1" applyFill="1" applyBorder="1" applyAlignment="1" applyProtection="1">
      <alignment horizontal="center" vertical="center" wrapText="1"/>
      <protection locked="0"/>
    </xf>
    <xf numFmtId="0" fontId="82" fillId="40" borderId="61" xfId="0" applyFont="1" applyFill="1" applyBorder="1" applyAlignment="1">
      <alignment horizontal="center" vertical="center" wrapText="1"/>
    </xf>
    <xf numFmtId="0" fontId="82" fillId="40" borderId="13" xfId="0" applyNumberFormat="1" applyFont="1" applyFill="1" applyBorder="1" applyAlignment="1" applyProtection="1">
      <alignment horizontal="center" vertical="center" wrapText="1"/>
      <protection locked="0"/>
    </xf>
    <xf numFmtId="0" fontId="33" fillId="40" borderId="84" xfId="0" applyNumberFormat="1" applyFont="1" applyFill="1" applyBorder="1" applyAlignment="1" applyProtection="1">
      <alignment horizontal="center" vertical="center" wrapText="1"/>
      <protection locked="0"/>
    </xf>
    <xf numFmtId="0" fontId="87" fillId="40" borderId="91" xfId="0" applyNumberFormat="1" applyFont="1" applyFill="1" applyBorder="1" applyAlignment="1" applyProtection="1">
      <alignment horizontal="center" vertical="center" wrapText="1"/>
      <protection locked="0"/>
    </xf>
    <xf numFmtId="0" fontId="82" fillId="42" borderId="61" xfId="51" applyNumberFormat="1" applyFont="1" applyFill="1" applyBorder="1" applyAlignment="1" applyProtection="1">
      <alignment horizontal="center" vertical="center" wrapText="1"/>
      <protection locked="0"/>
    </xf>
    <xf numFmtId="0" fontId="88" fillId="40" borderId="0" xfId="0" applyNumberFormat="1" applyFont="1" applyFill="1" applyBorder="1" applyAlignment="1" applyProtection="1">
      <alignment horizontal="center" vertical="center" wrapText="1"/>
      <protection locked="0"/>
    </xf>
    <xf numFmtId="0" fontId="87" fillId="42" borderId="0" xfId="0" applyFont="1" applyFill="1" applyBorder="1" applyAlignment="1">
      <alignment horizontal="center" vertical="center" wrapText="1"/>
    </xf>
    <xf numFmtId="0" fontId="82" fillId="40" borderId="0" xfId="0" applyNumberFormat="1" applyFont="1" applyFill="1" applyBorder="1" applyAlignment="1" applyProtection="1">
      <alignment horizontal="center" vertical="center" wrapText="1"/>
    </xf>
    <xf numFmtId="0" fontId="82" fillId="43" borderId="0" xfId="0" applyFont="1" applyFill="1" applyBorder="1" applyAlignment="1">
      <alignment horizontal="center" vertical="center" wrapText="1"/>
    </xf>
    <xf numFmtId="0" fontId="82" fillId="43" borderId="8" xfId="0" applyFont="1" applyFill="1" applyBorder="1" applyAlignment="1">
      <alignment horizontal="center" vertical="center" wrapText="1"/>
    </xf>
    <xf numFmtId="0" fontId="82" fillId="40" borderId="8" xfId="62" applyNumberFormat="1" applyFont="1" applyFill="1" applyBorder="1" applyAlignment="1" applyProtection="1">
      <alignment horizontal="center" vertical="center" wrapText="1"/>
      <protection locked="0"/>
    </xf>
    <xf numFmtId="0" fontId="82" fillId="0" borderId="81" xfId="0" applyNumberFormat="1" applyFont="1" applyFill="1" applyBorder="1" applyAlignment="1" applyProtection="1">
      <alignment horizontal="center" vertical="center" wrapText="1"/>
      <protection locked="0"/>
    </xf>
    <xf numFmtId="0" fontId="82" fillId="40" borderId="89" xfId="0" applyNumberFormat="1" applyFont="1" applyFill="1" applyBorder="1" applyAlignment="1" applyProtection="1">
      <alignment horizontal="center" vertical="center" wrapText="1"/>
      <protection locked="0"/>
    </xf>
    <xf numFmtId="0" fontId="85" fillId="40" borderId="8" xfId="0" applyFont="1" applyFill="1" applyBorder="1" applyAlignment="1">
      <alignment horizontal="left" vertical="center"/>
    </xf>
    <xf numFmtId="0" fontId="82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6" fillId="40" borderId="0" xfId="51" applyNumberFormat="1" applyFont="1" applyFill="1" applyBorder="1" applyAlignment="1" applyProtection="1">
      <alignment horizontal="left" vertical="center" wrapText="1"/>
      <protection locked="0"/>
    </xf>
    <xf numFmtId="0" fontId="84" fillId="40" borderId="0" xfId="0" applyNumberFormat="1" applyFont="1" applyFill="1" applyBorder="1" applyAlignment="1" applyProtection="1">
      <alignment horizontal="center" vertical="center" wrapText="1"/>
      <protection locked="0"/>
    </xf>
    <xf numFmtId="0" fontId="16" fillId="40" borderId="8" xfId="0" applyNumberFormat="1" applyFont="1" applyFill="1" applyBorder="1" applyAlignment="1" applyProtection="1">
      <alignment horizontal="left" vertical="center" wrapText="1"/>
      <protection locked="0"/>
    </xf>
    <xf numFmtId="0" fontId="84" fillId="40" borderId="11" xfId="0" applyNumberFormat="1" applyFont="1" applyFill="1" applyBorder="1" applyAlignment="1" applyProtection="1">
      <alignment horizontal="center" vertical="center" wrapText="1"/>
      <protection locked="0"/>
    </xf>
    <xf numFmtId="0" fontId="82" fillId="42" borderId="35" xfId="0" applyNumberFormat="1" applyFont="1" applyFill="1" applyBorder="1" applyAlignment="1" applyProtection="1">
      <alignment horizontal="center" vertical="center" wrapText="1"/>
      <protection locked="0"/>
    </xf>
    <xf numFmtId="0" fontId="81" fillId="0" borderId="8" xfId="0" applyFont="1" applyBorder="1" applyAlignment="1">
      <alignment horizontal="center" vertical="center"/>
    </xf>
    <xf numFmtId="0" fontId="16" fillId="40" borderId="14" xfId="0" applyNumberFormat="1" applyFont="1" applyFill="1" applyBorder="1" applyAlignment="1" applyProtection="1">
      <alignment horizontal="center" vertical="center" wrapText="1"/>
      <protection locked="0"/>
    </xf>
    <xf numFmtId="0" fontId="16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37" fillId="40" borderId="53" xfId="45" applyNumberFormat="1" applyFont="1" applyFill="1" applyBorder="1" applyAlignment="1" applyProtection="1">
      <alignment horizontal="center" vertical="center" wrapText="1"/>
    </xf>
    <xf numFmtId="0" fontId="17" fillId="42" borderId="49" xfId="45" applyNumberFormat="1" applyFont="1" applyFill="1" applyBorder="1" applyAlignment="1" applyProtection="1">
      <alignment horizontal="center" vertical="center" wrapText="1"/>
    </xf>
    <xf numFmtId="0" fontId="43" fillId="40" borderId="57" xfId="45" applyNumberFormat="1" applyFont="1" applyFill="1" applyBorder="1" applyAlignment="1" applyProtection="1">
      <alignment horizontal="center" vertical="center" wrapText="1"/>
    </xf>
    <xf numFmtId="0" fontId="17" fillId="42" borderId="52" xfId="45" applyNumberFormat="1" applyFont="1" applyFill="1" applyBorder="1" applyAlignment="1">
      <alignment horizontal="center" vertical="center" wrapText="1"/>
    </xf>
    <xf numFmtId="0" fontId="17" fillId="40" borderId="80" xfId="45" applyNumberFormat="1" applyFont="1" applyFill="1" applyBorder="1" applyAlignment="1" applyProtection="1">
      <alignment horizontal="center" vertical="center" wrapText="1"/>
    </xf>
    <xf numFmtId="0" fontId="40" fillId="40" borderId="56" xfId="45" applyNumberFormat="1" applyFont="1" applyFill="1" applyBorder="1" applyAlignment="1" applyProtection="1">
      <alignment horizontal="center" vertical="center" wrapText="1"/>
    </xf>
    <xf numFmtId="0" fontId="40" fillId="40" borderId="80" xfId="45" applyNumberFormat="1" applyFont="1" applyFill="1" applyBorder="1" applyAlignment="1" applyProtection="1">
      <alignment horizontal="center" vertical="center" wrapText="1"/>
    </xf>
    <xf numFmtId="0" fontId="17" fillId="42" borderId="47" xfId="45" applyNumberFormat="1" applyFont="1" applyFill="1" applyBorder="1" applyAlignment="1" applyProtection="1">
      <alignment horizontal="center" vertical="center" wrapText="1"/>
    </xf>
    <xf numFmtId="0" fontId="43" fillId="40" borderId="58" xfId="45" applyNumberFormat="1" applyFont="1" applyFill="1" applyBorder="1" applyAlignment="1" applyProtection="1">
      <alignment horizontal="center" vertical="center" wrapText="1"/>
    </xf>
    <xf numFmtId="0" fontId="40" fillId="40" borderId="48" xfId="45" applyNumberFormat="1" applyFont="1" applyFill="1" applyBorder="1" applyAlignment="1" applyProtection="1">
      <alignment horizontal="center" vertical="center" wrapText="1"/>
    </xf>
    <xf numFmtId="0" fontId="5" fillId="40" borderId="8" xfId="0" applyFont="1" applyFill="1" applyBorder="1" applyAlignment="1">
      <alignment horizontal="center" vertical="center"/>
    </xf>
    <xf numFmtId="0" fontId="82" fillId="40" borderId="11" xfId="0" applyFont="1" applyFill="1" applyBorder="1" applyAlignment="1" applyProtection="1">
      <alignment horizontal="left" vertical="center"/>
      <protection locked="0"/>
    </xf>
    <xf numFmtId="15" fontId="82" fillId="41" borderId="8" xfId="0" quotePrefix="1" applyNumberFormat="1" applyFont="1" applyFill="1" applyBorder="1" applyAlignment="1">
      <alignment horizontal="center" vertical="center"/>
    </xf>
    <xf numFmtId="0" fontId="82" fillId="39" borderId="8" xfId="0" quotePrefix="1" applyNumberFormat="1" applyFont="1" applyFill="1" applyBorder="1" applyAlignment="1">
      <alignment horizontal="center" vertical="center"/>
    </xf>
    <xf numFmtId="0" fontId="82" fillId="39" borderId="8" xfId="0" quotePrefix="1" applyNumberFormat="1" applyFont="1" applyFill="1" applyBorder="1" applyAlignment="1" applyProtection="1">
      <alignment horizontal="center" vertical="center"/>
      <protection locked="0"/>
    </xf>
    <xf numFmtId="0" fontId="16" fillId="39" borderId="79" xfId="0" applyNumberFormat="1" applyFont="1" applyFill="1" applyBorder="1" applyAlignment="1" applyProtection="1">
      <alignment horizontal="center" vertical="center"/>
      <protection locked="0"/>
    </xf>
    <xf numFmtId="15" fontId="82" fillId="40" borderId="8" xfId="0" quotePrefix="1" applyNumberFormat="1" applyFont="1" applyFill="1" applyBorder="1" applyAlignment="1">
      <alignment horizontal="center" vertical="center"/>
    </xf>
    <xf numFmtId="0" fontId="42" fillId="40" borderId="34" xfId="45" applyNumberFormat="1" applyFont="1" applyFill="1" applyBorder="1" applyAlignment="1" applyProtection="1">
      <alignment horizontal="center" vertical="center" wrapText="1"/>
      <protection locked="0"/>
    </xf>
    <xf numFmtId="0" fontId="39" fillId="40" borderId="34" xfId="45" applyNumberFormat="1" applyFont="1" applyFill="1" applyBorder="1" applyAlignment="1" applyProtection="1">
      <alignment horizontal="center" vertical="center" wrapText="1"/>
      <protection locked="0"/>
    </xf>
    <xf numFmtId="14" fontId="16" fillId="40" borderId="34" xfId="45" applyNumberFormat="1" applyFont="1" applyFill="1" applyBorder="1" applyAlignment="1" applyProtection="1">
      <alignment horizontal="center" vertical="center" wrapText="1"/>
      <protection locked="0"/>
    </xf>
    <xf numFmtId="0" fontId="94" fillId="40" borderId="31" xfId="45" applyNumberFormat="1" applyFont="1" applyFill="1" applyBorder="1" applyAlignment="1" applyProtection="1">
      <alignment horizontal="center" vertical="center" wrapText="1"/>
      <protection locked="0"/>
    </xf>
    <xf numFmtId="0" fontId="17" fillId="39" borderId="8" xfId="45" applyNumberFormat="1" applyFont="1" applyFill="1" applyBorder="1" applyAlignment="1" applyProtection="1">
      <alignment horizontal="center" vertical="center" wrapText="1"/>
      <protection locked="0"/>
    </xf>
    <xf numFmtId="0" fontId="42" fillId="40" borderId="31" xfId="0" applyNumberFormat="1" applyFont="1" applyFill="1" applyBorder="1" applyAlignment="1" applyProtection="1">
      <alignment horizontal="center" vertical="center" wrapText="1"/>
      <protection locked="0"/>
    </xf>
    <xf numFmtId="0" fontId="42" fillId="40" borderId="35" xfId="0" applyNumberFormat="1" applyFont="1" applyFill="1" applyBorder="1" applyAlignment="1" applyProtection="1">
      <alignment horizontal="center" vertical="center" wrapText="1"/>
      <protection locked="0"/>
    </xf>
    <xf numFmtId="0" fontId="82" fillId="0" borderId="61" xfId="0" applyNumberFormat="1" applyFont="1" applyFill="1" applyBorder="1" applyAlignment="1" applyProtection="1">
      <alignment horizontal="left" vertical="center" wrapText="1"/>
      <protection locked="0"/>
    </xf>
    <xf numFmtId="0" fontId="95" fillId="40" borderId="14" xfId="0" applyFont="1" applyFill="1" applyBorder="1" applyAlignment="1">
      <alignment horizontal="center" vertical="center" wrapText="1"/>
    </xf>
    <xf numFmtId="0" fontId="82" fillId="40" borderId="79" xfId="51" applyNumberFormat="1" applyFont="1" applyFill="1" applyBorder="1" applyAlignment="1" applyProtection="1">
      <alignment horizontal="center" vertical="center" wrapText="1"/>
      <protection locked="0"/>
    </xf>
    <xf numFmtId="0" fontId="85" fillId="40" borderId="8" xfId="51" applyNumberFormat="1" applyFont="1" applyFill="1" applyBorder="1" applyAlignment="1" applyProtection="1">
      <alignment horizontal="left" vertical="center" wrapText="1"/>
      <protection locked="0"/>
    </xf>
    <xf numFmtId="0" fontId="96" fillId="40" borderId="54" xfId="45" applyNumberFormat="1" applyFont="1" applyFill="1" applyBorder="1" applyAlignment="1" applyProtection="1">
      <alignment horizontal="center" vertical="center" wrapText="1"/>
    </xf>
    <xf numFmtId="0" fontId="85" fillId="40" borderId="11" xfId="0" applyNumberFormat="1" applyFont="1" applyFill="1" applyBorder="1" applyAlignment="1" applyProtection="1">
      <alignment horizontal="center" vertical="center" wrapText="1"/>
      <protection locked="0"/>
    </xf>
    <xf numFmtId="0" fontId="87" fillId="40" borderId="85" xfId="51" applyNumberFormat="1" applyFont="1" applyFill="1" applyBorder="1" applyAlignment="1" applyProtection="1">
      <alignment horizontal="center" vertical="center" wrapText="1"/>
      <protection locked="0"/>
    </xf>
    <xf numFmtId="0" fontId="16" fillId="40" borderId="0" xfId="0" applyNumberFormat="1" applyFont="1" applyFill="1" applyBorder="1" applyAlignment="1" applyProtection="1">
      <alignment horizontal="left" vertical="center" wrapText="1"/>
      <protection locked="0"/>
    </xf>
    <xf numFmtId="0" fontId="82" fillId="40" borderId="11" xfId="0" applyFont="1" applyFill="1" applyBorder="1" applyAlignment="1">
      <alignment horizontal="center" vertical="center" wrapText="1"/>
    </xf>
    <xf numFmtId="0" fontId="82" fillId="40" borderId="8" xfId="0" applyNumberFormat="1" applyFont="1" applyFill="1" applyBorder="1" applyAlignment="1" applyProtection="1">
      <alignment vertical="center" wrapText="1"/>
      <protection locked="0"/>
    </xf>
    <xf numFmtId="0" fontId="82" fillId="42" borderId="0" xfId="0" applyFont="1" applyFill="1" applyBorder="1" applyAlignment="1">
      <alignment horizontal="center" vertical="center" wrapText="1"/>
    </xf>
    <xf numFmtId="0" fontId="16" fillId="42" borderId="0" xfId="0" applyFont="1" applyFill="1" applyBorder="1"/>
    <xf numFmtId="0" fontId="82" fillId="45" borderId="0" xfId="0" applyFont="1" applyFill="1" applyBorder="1" applyAlignment="1">
      <alignment horizontal="center" vertical="center" wrapText="1"/>
    </xf>
    <xf numFmtId="0" fontId="16" fillId="42" borderId="0" xfId="0" applyFont="1" applyFill="1" applyBorder="1" applyAlignment="1">
      <alignment horizontal="center" vertical="center"/>
    </xf>
    <xf numFmtId="0" fontId="82" fillId="40" borderId="59" xfId="51" applyNumberFormat="1" applyFont="1" applyFill="1" applyBorder="1" applyAlignment="1" applyProtection="1">
      <alignment horizontal="center" vertical="center" wrapText="1"/>
      <protection locked="0"/>
    </xf>
    <xf numFmtId="0" fontId="81" fillId="40" borderId="8" xfId="0" applyFont="1" applyFill="1" applyBorder="1" applyAlignment="1">
      <alignment horizontal="center" vertical="center"/>
    </xf>
    <xf numFmtId="0" fontId="43" fillId="40" borderId="56" xfId="45" applyNumberFormat="1" applyFont="1" applyFill="1" applyBorder="1" applyAlignment="1" applyProtection="1">
      <alignment horizontal="center" vertical="center" wrapText="1"/>
    </xf>
    <xf numFmtId="0" fontId="43" fillId="40" borderId="48" xfId="45" applyNumberFormat="1" applyFont="1" applyFill="1" applyBorder="1" applyAlignment="1" applyProtection="1">
      <alignment horizontal="center" vertical="center" wrapText="1"/>
    </xf>
    <xf numFmtId="0" fontId="42" fillId="40" borderId="31" xfId="45" applyNumberFormat="1" applyFont="1" applyFill="1" applyBorder="1" applyAlignment="1" applyProtection="1">
      <alignment horizontal="center" vertical="center" wrapText="1"/>
      <protection locked="0"/>
    </xf>
    <xf numFmtId="0" fontId="82" fillId="40" borderId="84" xfId="51" applyNumberFormat="1" applyFont="1" applyFill="1" applyBorder="1" applyAlignment="1" applyProtection="1">
      <alignment horizontal="center" vertical="center" wrapText="1"/>
      <protection locked="0"/>
    </xf>
    <xf numFmtId="0" fontId="43" fillId="40" borderId="47" xfId="45" applyNumberFormat="1" applyFont="1" applyFill="1" applyBorder="1" applyAlignment="1" applyProtection="1">
      <alignment horizontal="center" vertical="center" wrapText="1"/>
    </xf>
    <xf numFmtId="0" fontId="18" fillId="0" borderId="14" xfId="0" applyFont="1" applyFill="1" applyBorder="1" applyAlignment="1">
      <alignment horizontal="center"/>
    </xf>
    <xf numFmtId="14" fontId="45" fillId="0" borderId="14" xfId="0" applyNumberFormat="1" applyFont="1" applyFill="1" applyBorder="1" applyAlignment="1">
      <alignment horizontal="center"/>
    </xf>
    <xf numFmtId="0" fontId="90" fillId="0" borderId="14" xfId="0" applyFont="1" applyFill="1" applyBorder="1" applyAlignment="1">
      <alignment horizontal="left" vertical="center"/>
    </xf>
    <xf numFmtId="0" fontId="80" fillId="0" borderId="14" xfId="0" applyFont="1" applyFill="1" applyBorder="1" applyAlignment="1">
      <alignment horizontal="left" vertical="center" wrapText="1"/>
    </xf>
    <xf numFmtId="0" fontId="45" fillId="0" borderId="14" xfId="0" applyFont="1" applyFill="1" applyBorder="1" applyAlignment="1">
      <alignment horizontal="center"/>
    </xf>
    <xf numFmtId="0" fontId="20" fillId="0" borderId="14" xfId="0" applyFont="1" applyFill="1" applyBorder="1" applyAlignment="1">
      <alignment horizontal="center"/>
    </xf>
    <xf numFmtId="14" fontId="79" fillId="0" borderId="14" xfId="0" applyNumberFormat="1" applyFont="1" applyFill="1" applyBorder="1" applyAlignment="1">
      <alignment horizontal="center" vertical="center" wrapText="1"/>
    </xf>
    <xf numFmtId="0" fontId="43" fillId="40" borderId="80" xfId="45" applyNumberFormat="1" applyFont="1" applyFill="1" applyBorder="1" applyAlignment="1" applyProtection="1">
      <alignment horizontal="center" vertical="center" wrapText="1"/>
    </xf>
    <xf numFmtId="0" fontId="1" fillId="46" borderId="63" xfId="0" applyNumberFormat="1" applyFont="1" applyFill="1" applyBorder="1" applyAlignment="1" applyProtection="1">
      <alignment horizontal="center" vertical="center" wrapText="1"/>
    </xf>
    <xf numFmtId="0" fontId="1" fillId="46" borderId="36" xfId="0" applyNumberFormat="1" applyFont="1" applyFill="1" applyBorder="1" applyAlignment="1" applyProtection="1">
      <alignment horizontal="center" vertical="center" wrapText="1"/>
    </xf>
    <xf numFmtId="0" fontId="1" fillId="46" borderId="64" xfId="0" applyNumberFormat="1" applyFont="1" applyFill="1" applyBorder="1" applyAlignment="1" applyProtection="1">
      <alignment horizontal="center" vertical="center" wrapText="1"/>
    </xf>
    <xf numFmtId="0" fontId="1" fillId="46" borderId="65" xfId="0" applyNumberFormat="1" applyFont="1" applyFill="1" applyBorder="1" applyAlignment="1" applyProtection="1">
      <alignment horizontal="center" vertical="center" wrapText="1"/>
    </xf>
    <xf numFmtId="0" fontId="1" fillId="0" borderId="63" xfId="0" applyNumberFormat="1" applyFont="1" applyFill="1" applyBorder="1" applyAlignment="1" applyProtection="1">
      <alignment horizontal="center" vertical="center" wrapText="1"/>
    </xf>
    <xf numFmtId="0" fontId="1" fillId="0" borderId="36" xfId="0" applyNumberFormat="1" applyFont="1" applyFill="1" applyBorder="1" applyAlignment="1" applyProtection="1">
      <alignment horizontal="center" vertical="center" wrapText="1"/>
    </xf>
    <xf numFmtId="0" fontId="1" fillId="0" borderId="66" xfId="0" applyNumberFormat="1" applyFont="1" applyFill="1" applyBorder="1" applyAlignment="1" applyProtection="1">
      <alignment horizontal="center" vertical="center" wrapText="1"/>
    </xf>
    <xf numFmtId="0" fontId="1" fillId="0" borderId="64" xfId="0" applyNumberFormat="1" applyFont="1" applyFill="1" applyBorder="1" applyAlignment="1" applyProtection="1">
      <alignment horizontal="center" vertical="center" wrapText="1"/>
    </xf>
    <xf numFmtId="0" fontId="1" fillId="0" borderId="65" xfId="0" applyNumberFormat="1" applyFont="1" applyFill="1" applyBorder="1" applyAlignment="1" applyProtection="1">
      <alignment horizontal="center" vertical="center" wrapText="1"/>
    </xf>
    <xf numFmtId="0" fontId="1" fillId="0" borderId="67" xfId="0" applyNumberFormat="1" applyFont="1" applyFill="1" applyBorder="1" applyAlignment="1" applyProtection="1">
      <alignment horizontal="center" vertical="center" wrapText="1"/>
    </xf>
    <xf numFmtId="0" fontId="97" fillId="47" borderId="68" xfId="0" applyNumberFormat="1" applyFont="1" applyFill="1" applyBorder="1" applyAlignment="1" applyProtection="1">
      <alignment horizontal="center" vertical="center" shrinkToFit="1"/>
      <protection locked="0"/>
    </xf>
    <xf numFmtId="0" fontId="97" fillId="47" borderId="69" xfId="0" applyNumberFormat="1" applyFont="1" applyFill="1" applyBorder="1" applyAlignment="1" applyProtection="1">
      <alignment horizontal="center" vertical="center" shrinkToFit="1"/>
      <protection locked="0"/>
    </xf>
    <xf numFmtId="0" fontId="10" fillId="48" borderId="63" xfId="0" applyNumberFormat="1" applyFont="1" applyFill="1" applyBorder="1" applyAlignment="1" applyProtection="1">
      <alignment horizontal="center" vertical="center" wrapText="1"/>
      <protection locked="0"/>
    </xf>
    <xf numFmtId="0" fontId="10" fillId="48" borderId="36" xfId="0" applyNumberFormat="1" applyFont="1" applyFill="1" applyBorder="1" applyAlignment="1" applyProtection="1">
      <alignment horizontal="center" vertical="center" wrapText="1"/>
      <protection locked="0"/>
    </xf>
    <xf numFmtId="0" fontId="10" fillId="48" borderId="66" xfId="0" applyNumberFormat="1" applyFont="1" applyFill="1" applyBorder="1" applyAlignment="1" applyProtection="1">
      <alignment horizontal="center" vertical="center" wrapText="1"/>
      <protection locked="0"/>
    </xf>
    <xf numFmtId="0" fontId="10" fillId="48" borderId="64" xfId="0" applyNumberFormat="1" applyFont="1" applyFill="1" applyBorder="1" applyAlignment="1" applyProtection="1">
      <alignment horizontal="center" vertical="center" wrapText="1"/>
      <protection locked="0"/>
    </xf>
    <xf numFmtId="0" fontId="10" fillId="48" borderId="65" xfId="0" applyNumberFormat="1" applyFont="1" applyFill="1" applyBorder="1" applyAlignment="1" applyProtection="1">
      <alignment horizontal="center" vertical="center" wrapText="1"/>
      <protection locked="0"/>
    </xf>
    <xf numFmtId="0" fontId="10" fillId="48" borderId="67" xfId="0" applyNumberFormat="1" applyFont="1" applyFill="1" applyBorder="1" applyAlignment="1" applyProtection="1">
      <alignment horizontal="center" vertical="center" wrapText="1"/>
      <protection locked="0"/>
    </xf>
    <xf numFmtId="0" fontId="11" fillId="46" borderId="63" xfId="0" applyNumberFormat="1" applyFont="1" applyFill="1" applyBorder="1" applyAlignment="1" applyProtection="1">
      <alignment horizontal="center" vertical="center" wrapText="1"/>
      <protection locked="0"/>
    </xf>
    <xf numFmtId="0" fontId="11" fillId="46" borderId="36" xfId="0" applyNumberFormat="1" applyFont="1" applyFill="1" applyBorder="1" applyAlignment="1" applyProtection="1">
      <alignment horizontal="center" vertical="center" wrapText="1"/>
      <protection locked="0"/>
    </xf>
    <xf numFmtId="0" fontId="11" fillId="46" borderId="66" xfId="0" applyNumberFormat="1" applyFont="1" applyFill="1" applyBorder="1" applyAlignment="1" applyProtection="1">
      <alignment horizontal="center" vertical="center" wrapText="1"/>
      <protection locked="0"/>
    </xf>
    <xf numFmtId="0" fontId="11" fillId="46" borderId="64" xfId="0" applyNumberFormat="1" applyFont="1" applyFill="1" applyBorder="1" applyAlignment="1" applyProtection="1">
      <alignment horizontal="center" vertical="center" wrapText="1"/>
      <protection locked="0"/>
    </xf>
    <xf numFmtId="0" fontId="11" fillId="46" borderId="65" xfId="0" applyNumberFormat="1" applyFont="1" applyFill="1" applyBorder="1" applyAlignment="1" applyProtection="1">
      <alignment horizontal="center" vertical="center" wrapText="1"/>
      <protection locked="0"/>
    </xf>
    <xf numFmtId="0" fontId="11" fillId="46" borderId="67" xfId="0" applyNumberFormat="1" applyFont="1" applyFill="1" applyBorder="1" applyAlignment="1" applyProtection="1">
      <alignment horizontal="center" vertical="center" wrapText="1"/>
      <protection locked="0"/>
    </xf>
    <xf numFmtId="0" fontId="97" fillId="47" borderId="63" xfId="0" applyNumberFormat="1" applyFont="1" applyFill="1" applyBorder="1" applyAlignment="1" applyProtection="1">
      <alignment horizontal="center" vertical="center" shrinkToFit="1"/>
      <protection locked="0"/>
    </xf>
    <xf numFmtId="0" fontId="97" fillId="47" borderId="66" xfId="0" applyNumberFormat="1" applyFont="1" applyFill="1" applyBorder="1" applyAlignment="1" applyProtection="1">
      <alignment horizontal="center" vertical="center" shrinkToFit="1"/>
      <protection locked="0"/>
    </xf>
    <xf numFmtId="0" fontId="97" fillId="47" borderId="64" xfId="0" applyNumberFormat="1" applyFont="1" applyFill="1" applyBorder="1" applyAlignment="1" applyProtection="1">
      <alignment horizontal="center" vertical="center" shrinkToFit="1"/>
      <protection locked="0"/>
    </xf>
    <xf numFmtId="0" fontId="97" fillId="47" borderId="67" xfId="0" applyNumberFormat="1" applyFont="1" applyFill="1" applyBorder="1" applyAlignment="1" applyProtection="1">
      <alignment horizontal="center" vertical="center" shrinkToFit="1"/>
      <protection locked="0"/>
    </xf>
    <xf numFmtId="0" fontId="11" fillId="37" borderId="14" xfId="0" applyFont="1" applyFill="1" applyBorder="1" applyAlignment="1">
      <alignment horizontal="center"/>
    </xf>
    <xf numFmtId="0" fontId="11" fillId="38" borderId="14" xfId="0" applyFont="1" applyFill="1" applyBorder="1" applyAlignment="1">
      <alignment horizontal="center" vertical="center"/>
    </xf>
  </cellXfs>
  <cellStyles count="70">
    <cellStyle name="20% — akcent 1" xfId="1" builtinId="30" customBuiltin="1"/>
    <cellStyle name="20% — akcent 2" xfId="2" builtinId="34" customBuiltin="1"/>
    <cellStyle name="20% — akcent 3" xfId="3" builtinId="38" customBuiltin="1"/>
    <cellStyle name="20% — akcent 4" xfId="4" builtinId="42" customBuiltin="1"/>
    <cellStyle name="20% — akcent 5" xfId="5" builtinId="46" customBuiltin="1"/>
    <cellStyle name="20% — akcent 6" xfId="6" builtinId="50" customBuiltin="1"/>
    <cellStyle name="40% — akcent 1" xfId="7" builtinId="31" customBuiltin="1"/>
    <cellStyle name="40% — akcent 2" xfId="8" builtinId="35" customBuiltin="1"/>
    <cellStyle name="40% — akcent 3" xfId="9" builtinId="39" customBuiltin="1"/>
    <cellStyle name="40% — akcent 4" xfId="10" builtinId="43" customBuiltin="1"/>
    <cellStyle name="40% — akcent 5" xfId="11" builtinId="47" customBuiltin="1"/>
    <cellStyle name="40% — akcent 6" xfId="12" builtinId="51" customBuiltin="1"/>
    <cellStyle name="60% — akcent 1" xfId="13" builtinId="32" customBuiltin="1"/>
    <cellStyle name="60% — akcent 1 2" xfId="14"/>
    <cellStyle name="60% — akcent 2" xfId="15" builtinId="36" customBuiltin="1"/>
    <cellStyle name="60% — akcent 2 2" xfId="16"/>
    <cellStyle name="60% — akcent 3" xfId="17" builtinId="40" customBuiltin="1"/>
    <cellStyle name="60% — akcent 3 2" xfId="18"/>
    <cellStyle name="60% — akcent 4" xfId="19" builtinId="44" customBuiltin="1"/>
    <cellStyle name="60% — akcent 4 2" xfId="20"/>
    <cellStyle name="60% — akcent 5" xfId="21" builtinId="48" customBuiltin="1"/>
    <cellStyle name="60% — akcent 5 2" xfId="22"/>
    <cellStyle name="60% — akcent 6" xfId="23" builtinId="52" customBuiltin="1"/>
    <cellStyle name="60% — akcent 6 2" xfId="24"/>
    <cellStyle name="Akcent 1" xfId="25" builtinId="29" customBuiltin="1"/>
    <cellStyle name="Akcent 2" xfId="26" builtinId="33" customBuiltin="1"/>
    <cellStyle name="Akcent 3" xfId="27" builtinId="37" customBuiltin="1"/>
    <cellStyle name="Akcent 4" xfId="28" builtinId="41" customBuiltin="1"/>
    <cellStyle name="Akcent 5" xfId="29" builtinId="45" customBuiltin="1"/>
    <cellStyle name="Akcent 6" xfId="30" builtinId="49" customBuiltin="1"/>
    <cellStyle name="ColStyle1" xfId="31"/>
    <cellStyle name="ColStyle1 2" xfId="32"/>
    <cellStyle name="ColStyle2" xfId="33"/>
    <cellStyle name="ColStyle2 2" xfId="34"/>
    <cellStyle name="ColStyle3" xfId="35"/>
    <cellStyle name="ColStyle3 2" xfId="36"/>
    <cellStyle name="ColStyle4" xfId="37"/>
    <cellStyle name="ColStyle4 2" xfId="38"/>
    <cellStyle name="ColStyle5" xfId="39"/>
    <cellStyle name="ColStyle5 2" xfId="40"/>
    <cellStyle name="ColStyle6" xfId="41"/>
    <cellStyle name="ColStyle6 2" xfId="42"/>
    <cellStyle name="Dane wejściowe" xfId="43" builtinId="20" customBuiltin="1"/>
    <cellStyle name="Dane wyjściowe" xfId="44" builtinId="21" customBuiltin="1"/>
    <cellStyle name="Dobry" xfId="45" builtinId="26" customBuiltin="1"/>
    <cellStyle name="Dziesiętny 2" xfId="46"/>
    <cellStyle name="Dziesiętny 3" xfId="47"/>
    <cellStyle name="Dziesiętny 3 2" xfId="48"/>
    <cellStyle name="Excel Built-in Normal" xfId="49"/>
    <cellStyle name="Excel_BuiltIn_Dane wejściowe 1" xfId="50"/>
    <cellStyle name="Hiperłącze" xfId="51" builtinId="8"/>
    <cellStyle name="Komórka połączona" xfId="52" builtinId="24" customBuiltin="1"/>
    <cellStyle name="Komórka zaznaczona" xfId="53" builtinId="23" customBuiltin="1"/>
    <cellStyle name="Nagłówek 1" xfId="54" builtinId="16" customBuiltin="1"/>
    <cellStyle name="Nagłówek 2" xfId="55" builtinId="17" customBuiltin="1"/>
    <cellStyle name="Nagłówek 3" xfId="56" builtinId="18" customBuiltin="1"/>
    <cellStyle name="Nagłówek 4" xfId="57" builtinId="19" customBuiltin="1"/>
    <cellStyle name="Neutralny" xfId="58" builtinId="28" customBuiltin="1"/>
    <cellStyle name="Neutralny 2" xfId="59"/>
    <cellStyle name="Normalny" xfId="0" builtinId="0"/>
    <cellStyle name="Normalny 2" xfId="60"/>
    <cellStyle name="Normalny 2 2" xfId="61"/>
    <cellStyle name="Normalny 3" xfId="62"/>
    <cellStyle name="Obliczenia" xfId="63" builtinId="22" customBuiltin="1"/>
    <cellStyle name="Suma" xfId="64" builtinId="25" customBuiltin="1"/>
    <cellStyle name="Tekst objaśnienia" xfId="65" builtinId="53" customBuiltin="1"/>
    <cellStyle name="Tekst ostrzeżenia" xfId="66" builtinId="11" customBuiltin="1"/>
    <cellStyle name="Tytuł" xfId="67" builtinId="15" customBuiltin="1"/>
    <cellStyle name="Uwaga 2" xfId="68"/>
    <cellStyle name="Zły" xfId="69" builtinId="27" customBuiltin="1"/>
  </cellStyles>
  <dxfs count="106">
    <dxf>
      <border outline="0">
        <bottom style="hair">
          <color indexed="8"/>
        </bottom>
      </border>
    </dxf>
    <dxf>
      <border outline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</border>
    </dxf>
    <dxf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3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3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3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3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3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3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3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3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>
        <bottom style="thick">
          <color indexed="64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outline val="0"/>
        <shadow val="0"/>
        <vertAlign val="baseline"/>
        <sz val="14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 style="thin">
          <color indexed="0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ck">
          <color indexed="64"/>
        </right>
        <top style="thin">
          <color indexed="0"/>
        </top>
        <bottom style="thin">
          <color indexed="0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/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/>
        <top style="thin">
          <color indexed="0"/>
        </top>
        <bottom style="thin">
          <color indexed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 style="thin">
          <color indexed="0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ck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</font>
      <fill>
        <patternFill>
          <bgColor rgb="FFFFFF00"/>
        </patternFill>
      </fill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rgb="FFFF0000"/>
      </font>
      <fill>
        <patternFill>
          <bgColor rgb="FFFFFF00"/>
        </patternFill>
      </fill>
    </dxf>
    <dxf>
      <font>
        <color theme="0" tint="-0.34998626667073579"/>
      </font>
    </dxf>
    <dxf>
      <font>
        <color rgb="FFFF0000"/>
      </font>
      <fill>
        <patternFill>
          <bgColor rgb="FFFFFF00"/>
        </patternFill>
      </fill>
    </dxf>
    <dxf>
      <font>
        <color theme="0" tint="-0.34998626667073579"/>
      </font>
    </dxf>
    <dxf>
      <font>
        <color rgb="FFFF0000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rgb="FFFF0000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6E6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98" name="Tabela399" displayName="Tabela399" ref="A6:AO586" headerRowDxfId="24" dataDxfId="23" headerRowBorderDxfId="21" tableBorderDxfId="22" totalsRowBorderDxfId="20">
  <autoFilter ref="A6:AO586">
    <filterColumn colId="8">
      <filters>
        <filter val="SMC"/>
      </filters>
    </filterColumn>
  </autoFilter>
  <sortState ref="A7:AO586">
    <sortCondition ref="I6:I586"/>
  </sortState>
  <tableColumns count="41">
    <tableColumn id="1" name="Lp" totalsRowLabel="Suma" dataDxfId="65"/>
    <tableColumn id="26" name="Data wpisania_x000a_dd-mm-yyyy" dataDxfId="64" dataCellStyle="Hiperłącze"/>
    <tableColumn id="8" name="Konstruktor" dataDxfId="63" dataCellStyle="Hiperłącze"/>
    <tableColumn id="117" name="ID. Części" dataDxfId="62" dataCellStyle="Hiperłącze"/>
    <tableColumn id="118" name="Rewizja" dataDxfId="61" dataCellStyle="Hiperłącze"/>
    <tableColumn id="73" name="Opis" dataDxfId="60"/>
    <tableColumn id="115" name="Nr. Części " dataDxfId="59"/>
    <tableColumn id="96" name="Nr. Kat." dataDxfId="58"/>
    <tableColumn id="4" name="Producent" dataDxfId="57"/>
    <tableColumn id="5" name="Obróbka" dataDxfId="56"/>
    <tableColumn id="66" name="Obróbka cieplna" dataDxfId="55"/>
    <tableColumn id="67" name="Powłoka" dataDxfId="54"/>
    <tableColumn id="105" name="Nazwa Podzespołu" dataDxfId="53"/>
    <tableColumn id="28" name="Uwagi" dataDxfId="52"/>
    <tableColumn id="119" name="Potrzebne" dataDxfId="51"/>
    <tableColumn id="90" name="100 - Zespół Ramy Transportera" dataDxfId="50"/>
    <tableColumn id="91" name="200 - Montaż Bumper" dataDxfId="49"/>
    <tableColumn id="110" name="300 - Montaż dźwigni" dataDxfId="48"/>
    <tableColumn id="111" name="400 - Montaż Trzpienia" dataDxfId="47"/>
    <tableColumn id="112" name="500 - Montaż Sprężyny" dataDxfId="46"/>
    <tableColumn id="107" name="600 - Stacja Testu" dataDxfId="45"/>
    <tableColumn id="108" name="700 - Zespół  Znakowania" dataDxfId="44"/>
    <tableColumn id="99" name="800 - Rozładunek/Pakowanie " dataDxfId="43"/>
    <tableColumn id="100" name="1927-000-00 Wygrodzenie" dataDxfId="42"/>
    <tableColumn id="101" name="11" dataDxfId="41"/>
    <tableColumn id="102" name="999 - Paletka" dataDxfId="40"/>
    <tableColumn id="16" name="ilość sztuk_x000a_SUMA" dataDxfId="39" dataCellStyle="Dobry"/>
    <tableColumn id="103" name="MAGAZYN" dataDxfId="38" dataCellStyle="Dobry"/>
    <tableColumn id="104" name="Do Zamówienia" dataDxfId="37" dataCellStyle="Dobry">
      <calculatedColumnFormula>AA7-AB7</calculatedColumnFormula>
    </tableColumn>
    <tableColumn id="19" name="Data zamówienia:_x000a_yyyy-mm-dd" dataDxfId="36" dataCellStyle="Dobry"/>
    <tableColumn id="20" name="Osoba kupująca" dataDxfId="35" dataCellStyle="Dobry"/>
    <tableColumn id="21" name="Numer zamówienia" dataDxfId="34"/>
    <tableColumn id="58" name="DOSTAWCA" dataDxfId="33"/>
    <tableColumn id="22" name="Wymagana data dostawy _x000a_" dataDxfId="32" dataCellStyle="Dobry"/>
    <tableColumn id="23" name="Uwagi do zamówienia" dataDxfId="31" dataCellStyle="Dobry"/>
    <tableColumn id="24" name="Ilość dostarczona" dataDxfId="30" dataCellStyle="Dobry"/>
    <tableColumn id="120" name="Braki" dataDxfId="29" dataCellStyle="Dobry"/>
    <tableColumn id="25" name="Uwagi2" dataDxfId="28" dataCellStyle="Dobry"/>
    <tableColumn id="57" name="Data inspekcji" dataDxfId="27"/>
    <tableColumn id="74" name="Uwagi Inspektora" dataDxfId="26"/>
    <tableColumn id="121" name="Notatki" totalsRowFunction="count" dataDxfId="25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1530" name="Tabela7" displayName="Tabela7" ref="A2:S160" totalsRowShown="0" headerRowDxfId="3" dataDxfId="2" headerRowBorderDxfId="0" tableBorderDxfId="1">
  <autoFilter ref="A2:S160"/>
  <tableColumns count="19">
    <tableColumn id="1" name="Lp" dataDxfId="19"/>
    <tableColumn id="7" name="Data wpisania _x000a_yyyy-mm-dd" dataDxfId="18"/>
    <tableColumn id="8" name="Konstruktor" dataDxfId="17"/>
    <tableColumn id="2" name="Opis" dataDxfId="16"/>
    <tableColumn id="15" name="x"/>
    <tableColumn id="3" name="Długość [mm]" dataDxfId="15"/>
    <tableColumn id="19" name="x2" dataDxfId="14"/>
    <tableColumn id="4" name="Nr katalogowy" dataDxfId="13"/>
    <tableColumn id="13" name="Materiał" dataDxfId="12"/>
    <tableColumn id="14" name="xx" dataDxfId="11"/>
    <tableColumn id="17" name="xxx"/>
    <tableColumn id="16" name="xxxx"/>
    <tableColumn id="18" name="Ilość" dataDxfId="10"/>
    <tableColumn id="5" name="Zespół" dataDxfId="9"/>
    <tableColumn id="11" name="Data zamówienia:_x000a_yyyy-mm-dd" dataDxfId="8"/>
    <tableColumn id="10" name="Osoba kupująca" dataDxfId="7"/>
    <tableColumn id="9" name="Numer zamówienia" dataDxfId="6"/>
    <tableColumn id="6" name="Wymagana data dostawy _x000a_yyyy-mm-dd." dataDxfId="5"/>
    <tableColumn id="12" name="Uwagi do zamówienia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allegro.pl/oferta/hak-podwojny-garazowy-wieszak-uchwyt-na-narzedzia-9524419584?fromVariant=9524415985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B1:E41"/>
  <sheetViews>
    <sheetView zoomScale="130" zoomScaleNormal="130" workbookViewId="0">
      <selection activeCell="E9" sqref="E9:F9"/>
    </sheetView>
  </sheetViews>
  <sheetFormatPr defaultRowHeight="12.5" x14ac:dyDescent="0.25"/>
  <cols>
    <col min="1" max="1" width="4.54296875" customWidth="1"/>
    <col min="2" max="2" width="106.26953125" customWidth="1"/>
  </cols>
  <sheetData>
    <row r="1" spans="2:5" x14ac:dyDescent="0.25">
      <c r="D1" s="54"/>
      <c r="E1" s="54"/>
    </row>
    <row r="2" spans="2:5" x14ac:dyDescent="0.25">
      <c r="B2" s="1" t="s">
        <v>0</v>
      </c>
      <c r="D2" s="54"/>
      <c r="E2" s="54"/>
    </row>
    <row r="3" spans="2:5" ht="25" x14ac:dyDescent="0.5">
      <c r="B3" s="2" t="s">
        <v>40</v>
      </c>
    </row>
    <row r="5" spans="2:5" x14ac:dyDescent="0.25">
      <c r="B5" s="1" t="s">
        <v>1</v>
      </c>
    </row>
    <row r="6" spans="2:5" ht="25" x14ac:dyDescent="0.5">
      <c r="B6" s="2" t="s">
        <v>40</v>
      </c>
    </row>
    <row r="8" spans="2:5" x14ac:dyDescent="0.25">
      <c r="B8" s="1" t="s">
        <v>2</v>
      </c>
    </row>
    <row r="9" spans="2:5" ht="25" x14ac:dyDescent="0.5">
      <c r="B9" s="3" t="s">
        <v>40</v>
      </c>
    </row>
    <row r="16" spans="2:5" ht="14" x14ac:dyDescent="0.3">
      <c r="B16" s="9" t="s">
        <v>3</v>
      </c>
    </row>
    <row r="17" spans="2:2" x14ac:dyDescent="0.25">
      <c r="B17" s="6"/>
    </row>
    <row r="18" spans="2:2" x14ac:dyDescent="0.25">
      <c r="B18" s="4"/>
    </row>
    <row r="19" spans="2:2" x14ac:dyDescent="0.25">
      <c r="B19" s="5" t="s">
        <v>4</v>
      </c>
    </row>
    <row r="20" spans="2:2" x14ac:dyDescent="0.25">
      <c r="B20" s="6" t="s">
        <v>25</v>
      </c>
    </row>
    <row r="21" spans="2:2" x14ac:dyDescent="0.25">
      <c r="B21" s="4" t="s">
        <v>24</v>
      </c>
    </row>
    <row r="22" spans="2:2" x14ac:dyDescent="0.25">
      <c r="B22" s="4" t="s">
        <v>26</v>
      </c>
    </row>
    <row r="23" spans="2:2" x14ac:dyDescent="0.25">
      <c r="B23" s="4"/>
    </row>
    <row r="24" spans="2:2" x14ac:dyDescent="0.25">
      <c r="B24" s="5" t="s">
        <v>30</v>
      </c>
    </row>
    <row r="25" spans="2:2" x14ac:dyDescent="0.25">
      <c r="B25" s="6" t="s">
        <v>31</v>
      </c>
    </row>
    <row r="26" spans="2:2" x14ac:dyDescent="0.25">
      <c r="B26" s="4" t="s">
        <v>32</v>
      </c>
    </row>
    <row r="27" spans="2:2" x14ac:dyDescent="0.25">
      <c r="B27" s="4"/>
    </row>
    <row r="28" spans="2:2" x14ac:dyDescent="0.25">
      <c r="B28" s="5" t="s">
        <v>5</v>
      </c>
    </row>
    <row r="29" spans="2:2" x14ac:dyDescent="0.25">
      <c r="B29" s="6" t="s">
        <v>6</v>
      </c>
    </row>
    <row r="30" spans="2:2" x14ac:dyDescent="0.25">
      <c r="B30" s="8" t="s">
        <v>27</v>
      </c>
    </row>
    <row r="31" spans="2:2" x14ac:dyDescent="0.25">
      <c r="B31" s="4"/>
    </row>
    <row r="32" spans="2:2" x14ac:dyDescent="0.25">
      <c r="B32" s="4" t="s">
        <v>7</v>
      </c>
    </row>
    <row r="33" spans="2:2" x14ac:dyDescent="0.25">
      <c r="B33" s="4" t="s">
        <v>29</v>
      </c>
    </row>
    <row r="34" spans="2:2" x14ac:dyDescent="0.25">
      <c r="B34" s="4" t="s">
        <v>28</v>
      </c>
    </row>
    <row r="35" spans="2:2" x14ac:dyDescent="0.25">
      <c r="B35" s="7"/>
    </row>
    <row r="36" spans="2:2" x14ac:dyDescent="0.25">
      <c r="B36" s="5" t="s">
        <v>8</v>
      </c>
    </row>
    <row r="37" spans="2:2" x14ac:dyDescent="0.25">
      <c r="B37" s="6" t="s">
        <v>9</v>
      </c>
    </row>
    <row r="38" spans="2:2" x14ac:dyDescent="0.25">
      <c r="B38" s="6" t="s">
        <v>10</v>
      </c>
    </row>
    <row r="40" spans="2:2" x14ac:dyDescent="0.25">
      <c r="B40" s="5" t="s">
        <v>11</v>
      </c>
    </row>
    <row r="41" spans="2:2" x14ac:dyDescent="0.25">
      <c r="B41" s="6" t="s">
        <v>12</v>
      </c>
    </row>
  </sheetData>
  <phoneticPr fontId="3" type="noConversion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>
    <pageSetUpPr fitToPage="1"/>
  </sheetPr>
  <dimension ref="A1:AP592"/>
  <sheetViews>
    <sheetView tabSelected="1" topLeftCell="A437" zoomScale="60" zoomScaleNormal="60" workbookViewId="0">
      <selection activeCell="G441" sqref="G441"/>
    </sheetView>
  </sheetViews>
  <sheetFormatPr defaultColWidth="9.26953125" defaultRowHeight="28.15" customHeight="1" x14ac:dyDescent="0.35"/>
  <cols>
    <col min="1" max="1" width="8" style="28" customWidth="1"/>
    <col min="2" max="2" width="18.7265625" style="27" bestFit="1" customWidth="1"/>
    <col min="3" max="3" width="19.26953125" style="16" customWidth="1"/>
    <col min="4" max="4" width="27.7265625" style="16" customWidth="1"/>
    <col min="5" max="5" width="34.54296875" style="16" hidden="1" customWidth="1"/>
    <col min="6" max="6" width="29.54296875" style="18" customWidth="1"/>
    <col min="7" max="7" width="97.26953125" style="16" bestFit="1" customWidth="1"/>
    <col min="8" max="8" width="50.453125" style="16" customWidth="1"/>
    <col min="9" max="9" width="39.54296875" style="16" customWidth="1"/>
    <col min="10" max="10" width="23.26953125" style="17" hidden="1" customWidth="1"/>
    <col min="11" max="11" width="11" style="18" hidden="1" customWidth="1"/>
    <col min="12" max="12" width="11.453125" style="18" hidden="1" customWidth="1"/>
    <col min="13" max="13" width="55.1796875" style="16" hidden="1" customWidth="1"/>
    <col min="14" max="14" width="27.453125" style="16" hidden="1" customWidth="1"/>
    <col min="15" max="25" width="7" style="16" hidden="1" customWidth="1"/>
    <col min="26" max="26" width="7" style="16" customWidth="1"/>
    <col min="27" max="29" width="8.26953125" style="19" customWidth="1"/>
    <col min="30" max="30" width="33.26953125" style="117" customWidth="1"/>
    <col min="31" max="31" width="10.7265625" style="118" customWidth="1"/>
    <col min="32" max="32" width="92.54296875" style="119" customWidth="1"/>
    <col min="33" max="33" width="81.26953125" style="119" customWidth="1"/>
    <col min="34" max="34" width="101.54296875" style="119" customWidth="1"/>
    <col min="35" max="35" width="53.26953125" style="119" customWidth="1"/>
    <col min="36" max="36" width="47" style="119" customWidth="1"/>
    <col min="37" max="37" width="13.453125" style="119" customWidth="1"/>
    <col min="38" max="38" width="78.26953125" style="119" bestFit="1" customWidth="1"/>
    <col min="39" max="39" width="10" style="119" customWidth="1"/>
    <col min="40" max="40" width="45" style="119" bestFit="1" customWidth="1"/>
    <col min="41" max="41" width="27" style="120" customWidth="1"/>
    <col min="42" max="16384" width="9.26953125" style="10"/>
  </cols>
  <sheetData>
    <row r="1" spans="1:41" ht="28.15" customHeight="1" thickBot="1" x14ac:dyDescent="0.3">
      <c r="A1" s="56" t="str">
        <f>"Lista materiałów handlowych do "&amp;POMOC!B3&amp;", sporządził: "&amp;POMOC!B6</f>
        <v>Lista materiałów handlowych do xxx, sporządził: xxx</v>
      </c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D1" s="19"/>
      <c r="AE1" s="20"/>
      <c r="AF1" s="16"/>
      <c r="AG1" s="17"/>
      <c r="AH1" s="16"/>
      <c r="AI1" s="16"/>
      <c r="AJ1" s="17"/>
      <c r="AK1" s="17"/>
      <c r="AL1" s="17"/>
      <c r="AM1" s="21"/>
      <c r="AN1" s="22"/>
      <c r="AO1" s="10"/>
    </row>
    <row r="2" spans="1:41" ht="69" customHeight="1" x14ac:dyDescent="0.25">
      <c r="A2" s="621" t="s">
        <v>60</v>
      </c>
      <c r="B2" s="622"/>
      <c r="C2" s="622"/>
      <c r="D2" s="622"/>
      <c r="E2" s="622"/>
      <c r="F2" s="622"/>
      <c r="G2" s="622"/>
      <c r="H2" s="622"/>
      <c r="I2" s="622"/>
      <c r="J2" s="622"/>
      <c r="K2" s="622"/>
      <c r="L2" s="622"/>
      <c r="M2" s="622"/>
      <c r="N2" s="622"/>
      <c r="O2" s="622"/>
      <c r="P2" s="622"/>
      <c r="Q2" s="622"/>
      <c r="R2" s="622"/>
      <c r="S2" s="622"/>
      <c r="T2" s="622"/>
      <c r="U2" s="622"/>
      <c r="V2" s="622"/>
      <c r="W2" s="622"/>
      <c r="X2" s="622"/>
      <c r="Y2" s="622"/>
      <c r="Z2" s="622"/>
      <c r="AA2" s="625"/>
      <c r="AB2" s="626"/>
      <c r="AC2" s="627"/>
      <c r="AD2" s="633" t="s">
        <v>13</v>
      </c>
      <c r="AE2" s="634"/>
      <c r="AF2" s="634"/>
      <c r="AG2" s="634"/>
      <c r="AH2" s="634"/>
      <c r="AI2" s="635"/>
      <c r="AJ2" s="639" t="s">
        <v>23</v>
      </c>
      <c r="AK2" s="640"/>
      <c r="AL2" s="641"/>
      <c r="AM2" s="645" t="s">
        <v>33</v>
      </c>
      <c r="AN2" s="646"/>
      <c r="AO2" s="631" t="s">
        <v>51</v>
      </c>
    </row>
    <row r="3" spans="1:41" ht="23.25" customHeight="1" thickBot="1" x14ac:dyDescent="0.3">
      <c r="A3" s="623"/>
      <c r="B3" s="624"/>
      <c r="C3" s="624"/>
      <c r="D3" s="624"/>
      <c r="E3" s="624"/>
      <c r="F3" s="624"/>
      <c r="G3" s="624"/>
      <c r="H3" s="624"/>
      <c r="I3" s="624"/>
      <c r="J3" s="624"/>
      <c r="K3" s="624"/>
      <c r="L3" s="624"/>
      <c r="M3" s="624"/>
      <c r="N3" s="624"/>
      <c r="O3" s="624"/>
      <c r="P3" s="624"/>
      <c r="Q3" s="624"/>
      <c r="R3" s="624"/>
      <c r="S3" s="624"/>
      <c r="T3" s="624"/>
      <c r="U3" s="624"/>
      <c r="V3" s="624"/>
      <c r="W3" s="624"/>
      <c r="X3" s="624"/>
      <c r="Y3" s="624"/>
      <c r="Z3" s="624"/>
      <c r="AA3" s="628"/>
      <c r="AB3" s="629"/>
      <c r="AC3" s="630"/>
      <c r="AD3" s="636"/>
      <c r="AE3" s="637"/>
      <c r="AF3" s="637"/>
      <c r="AG3" s="637"/>
      <c r="AH3" s="637"/>
      <c r="AI3" s="638"/>
      <c r="AJ3" s="642"/>
      <c r="AK3" s="643"/>
      <c r="AL3" s="644"/>
      <c r="AM3" s="647"/>
      <c r="AN3" s="648"/>
      <c r="AO3" s="632"/>
    </row>
    <row r="4" spans="1:41" ht="28.15" customHeight="1" x14ac:dyDescent="0.25">
      <c r="A4" s="71"/>
      <c r="B4" s="72"/>
      <c r="C4" s="23"/>
      <c r="D4" s="23"/>
      <c r="E4" s="23"/>
      <c r="F4" s="87"/>
      <c r="G4" s="73"/>
      <c r="H4" s="29"/>
      <c r="I4" s="31"/>
      <c r="J4" s="23"/>
      <c r="K4" s="23"/>
      <c r="L4" s="23"/>
      <c r="M4" s="23"/>
      <c r="N4" s="29"/>
      <c r="O4" s="126"/>
      <c r="P4" s="74"/>
      <c r="Q4" s="74"/>
      <c r="R4" s="74"/>
      <c r="S4" s="74"/>
      <c r="T4" s="74"/>
      <c r="U4" s="74"/>
      <c r="V4" s="74"/>
      <c r="W4" s="74"/>
      <c r="X4" s="74"/>
      <c r="Y4" s="74"/>
      <c r="Z4" s="122"/>
      <c r="AA4" s="130"/>
      <c r="AB4" s="138"/>
      <c r="AC4" s="133"/>
      <c r="AD4" s="31"/>
      <c r="AE4" s="23"/>
      <c r="AF4" s="23"/>
      <c r="AG4" s="23"/>
      <c r="AH4" s="23"/>
      <c r="AI4" s="29"/>
      <c r="AJ4" s="55"/>
      <c r="AK4" s="36"/>
      <c r="AL4" s="24"/>
      <c r="AM4" s="25"/>
      <c r="AN4" s="24"/>
      <c r="AO4" s="40"/>
    </row>
    <row r="5" spans="1:41" ht="28.15" customHeight="1" thickBot="1" x14ac:dyDescent="0.3">
      <c r="A5" s="39"/>
      <c r="B5" s="33"/>
      <c r="C5" s="34"/>
      <c r="D5" s="34"/>
      <c r="E5" s="34"/>
      <c r="F5" s="88"/>
      <c r="G5" s="35"/>
      <c r="H5" s="38"/>
      <c r="I5" s="124"/>
      <c r="J5" s="34"/>
      <c r="K5" s="34"/>
      <c r="L5" s="34"/>
      <c r="M5" s="34"/>
      <c r="N5" s="38"/>
      <c r="O5" s="127"/>
      <c r="P5" s="32"/>
      <c r="Q5" s="32"/>
      <c r="R5" s="32"/>
      <c r="S5" s="32"/>
      <c r="T5" s="32"/>
      <c r="U5" s="32"/>
      <c r="V5" s="32"/>
      <c r="W5" s="32"/>
      <c r="X5" s="32"/>
      <c r="Y5" s="32"/>
      <c r="Z5" s="123"/>
      <c r="AA5" s="131"/>
      <c r="AB5" s="139"/>
      <c r="AC5" s="134"/>
      <c r="AD5" s="14"/>
      <c r="AE5" s="12"/>
      <c r="AF5" s="12"/>
      <c r="AG5" s="12"/>
      <c r="AH5" s="12"/>
      <c r="AI5" s="30"/>
      <c r="AJ5" s="15"/>
      <c r="AK5" s="37"/>
      <c r="AL5" s="13"/>
      <c r="AM5" s="11"/>
      <c r="AN5" s="13"/>
      <c r="AO5" s="41"/>
    </row>
    <row r="6" spans="1:41" s="26" customFormat="1" ht="132.75" customHeight="1" thickBot="1" x14ac:dyDescent="0.35">
      <c r="A6" s="42" t="s">
        <v>14</v>
      </c>
      <c r="B6" s="43" t="s">
        <v>52</v>
      </c>
      <c r="C6" s="44" t="s">
        <v>22</v>
      </c>
      <c r="D6" s="44" t="s">
        <v>48</v>
      </c>
      <c r="E6" s="44" t="s">
        <v>49</v>
      </c>
      <c r="F6" s="89" t="s">
        <v>39</v>
      </c>
      <c r="G6" s="45" t="s">
        <v>47</v>
      </c>
      <c r="H6" s="46" t="s">
        <v>43</v>
      </c>
      <c r="I6" s="125" t="s">
        <v>53</v>
      </c>
      <c r="J6" s="44" t="s">
        <v>35</v>
      </c>
      <c r="K6" s="44" t="s">
        <v>36</v>
      </c>
      <c r="L6" s="44" t="s">
        <v>37</v>
      </c>
      <c r="M6" s="46" t="s">
        <v>581</v>
      </c>
      <c r="N6" s="199" t="s">
        <v>19</v>
      </c>
      <c r="O6" s="340" t="s">
        <v>302</v>
      </c>
      <c r="P6" s="341" t="s">
        <v>538</v>
      </c>
      <c r="Q6" s="341" t="s">
        <v>539</v>
      </c>
      <c r="R6" s="341" t="s">
        <v>540</v>
      </c>
      <c r="S6" s="341" t="s">
        <v>541</v>
      </c>
      <c r="T6" s="341" t="s">
        <v>542</v>
      </c>
      <c r="U6" s="341" t="s">
        <v>543</v>
      </c>
      <c r="V6" s="341" t="s">
        <v>544</v>
      </c>
      <c r="W6" s="341" t="s">
        <v>545</v>
      </c>
      <c r="X6" s="341" t="s">
        <v>1476</v>
      </c>
      <c r="Y6" s="341" t="s">
        <v>46</v>
      </c>
      <c r="Z6" s="342" t="s">
        <v>312</v>
      </c>
      <c r="AA6" s="132" t="s">
        <v>15</v>
      </c>
      <c r="AB6" s="140" t="s">
        <v>44</v>
      </c>
      <c r="AC6" s="135" t="s">
        <v>45</v>
      </c>
      <c r="AD6" s="47" t="s">
        <v>18</v>
      </c>
      <c r="AE6" s="48" t="s">
        <v>16</v>
      </c>
      <c r="AF6" s="48" t="s">
        <v>17</v>
      </c>
      <c r="AG6" s="48" t="s">
        <v>34</v>
      </c>
      <c r="AH6" s="48" t="s">
        <v>38</v>
      </c>
      <c r="AI6" s="49" t="s">
        <v>20</v>
      </c>
      <c r="AJ6" s="50" t="s">
        <v>21</v>
      </c>
      <c r="AK6" s="51" t="s">
        <v>50</v>
      </c>
      <c r="AL6" s="52" t="s">
        <v>1307</v>
      </c>
      <c r="AM6" s="53" t="s">
        <v>42</v>
      </c>
      <c r="AN6" s="52" t="s">
        <v>41</v>
      </c>
      <c r="AO6" s="57" t="s">
        <v>51</v>
      </c>
    </row>
    <row r="7" spans="1:41" s="120" customFormat="1" ht="30.75" hidden="1" customHeight="1" thickTop="1" x14ac:dyDescent="0.35">
      <c r="A7" s="339">
        <v>336</v>
      </c>
      <c r="B7" s="496">
        <v>44945</v>
      </c>
      <c r="C7" s="444" t="s">
        <v>863</v>
      </c>
      <c r="D7" s="238" t="s">
        <v>874</v>
      </c>
      <c r="E7" s="238">
        <v>0</v>
      </c>
      <c r="F7" s="239" t="s">
        <v>1354</v>
      </c>
      <c r="G7" s="153" t="s">
        <v>874</v>
      </c>
      <c r="H7" s="240" t="s">
        <v>874</v>
      </c>
      <c r="I7" s="531" t="s">
        <v>252</v>
      </c>
      <c r="J7" s="147" t="s">
        <v>875</v>
      </c>
      <c r="K7" s="147" t="s">
        <v>252</v>
      </c>
      <c r="L7" s="147" t="s">
        <v>252</v>
      </c>
      <c r="M7" s="147" t="s">
        <v>945</v>
      </c>
      <c r="N7" s="240" t="s">
        <v>1306</v>
      </c>
      <c r="O7" s="428">
        <v>0</v>
      </c>
      <c r="P7" s="225">
        <v>2</v>
      </c>
      <c r="Q7" s="225">
        <v>0</v>
      </c>
      <c r="R7" s="225">
        <v>0</v>
      </c>
      <c r="S7" s="225">
        <v>0</v>
      </c>
      <c r="T7" s="225">
        <v>0</v>
      </c>
      <c r="U7" s="225">
        <v>0</v>
      </c>
      <c r="V7" s="225">
        <f>0</f>
        <v>0</v>
      </c>
      <c r="W7" s="225">
        <v>0</v>
      </c>
      <c r="X7" s="225">
        <f>0</f>
        <v>0</v>
      </c>
      <c r="Y7" s="225">
        <f>0</f>
        <v>0</v>
      </c>
      <c r="Z7" s="429">
        <f>0</f>
        <v>0</v>
      </c>
      <c r="AA7" s="446">
        <f t="shared" ref="AA7:AA70" si="0">SUM(O7:Z7)</f>
        <v>2</v>
      </c>
      <c r="AB7" s="569"/>
      <c r="AC7" s="575">
        <f t="shared" ref="AC7:AC70" si="1">AA7-AB7</f>
        <v>2</v>
      </c>
      <c r="AD7" s="447">
        <v>44950</v>
      </c>
      <c r="AE7" s="152" t="s">
        <v>531</v>
      </c>
      <c r="AF7" s="147" t="s">
        <v>1251</v>
      </c>
      <c r="AG7" s="147" t="s">
        <v>1306</v>
      </c>
      <c r="AH7" s="152"/>
      <c r="AI7" s="200"/>
      <c r="AJ7" s="224">
        <v>2</v>
      </c>
      <c r="AK7" s="154">
        <f t="shared" ref="AK7:AK70" si="2">AC7-AJ7</f>
        <v>0</v>
      </c>
      <c r="AL7" s="200" t="s">
        <v>1260</v>
      </c>
      <c r="AM7" s="225"/>
      <c r="AN7" s="226"/>
      <c r="AO7" s="239"/>
    </row>
    <row r="8" spans="1:41" s="120" customFormat="1" ht="30.75" hidden="1" customHeight="1" x14ac:dyDescent="0.35">
      <c r="A8" s="244">
        <v>348</v>
      </c>
      <c r="B8" s="249">
        <v>44945</v>
      </c>
      <c r="C8" s="246" t="s">
        <v>863</v>
      </c>
      <c r="D8" s="233" t="s">
        <v>897</v>
      </c>
      <c r="E8" s="233" t="s">
        <v>324</v>
      </c>
      <c r="F8" s="241" t="s">
        <v>1355</v>
      </c>
      <c r="G8" s="206" t="s">
        <v>897</v>
      </c>
      <c r="H8" s="243" t="s">
        <v>897</v>
      </c>
      <c r="I8" s="536" t="s">
        <v>252</v>
      </c>
      <c r="J8" s="189" t="s">
        <v>251</v>
      </c>
      <c r="K8" s="189" t="s">
        <v>252</v>
      </c>
      <c r="L8" s="189" t="s">
        <v>252</v>
      </c>
      <c r="M8" s="189"/>
      <c r="N8" s="235" t="s">
        <v>955</v>
      </c>
      <c r="O8" s="343">
        <v>0</v>
      </c>
      <c r="P8" s="169">
        <v>2</v>
      </c>
      <c r="Q8" s="169">
        <v>0</v>
      </c>
      <c r="R8" s="169">
        <v>0</v>
      </c>
      <c r="S8" s="169">
        <v>0</v>
      </c>
      <c r="T8" s="169">
        <v>0</v>
      </c>
      <c r="U8" s="169">
        <v>0</v>
      </c>
      <c r="V8" s="169">
        <f>0</f>
        <v>0</v>
      </c>
      <c r="W8" s="169">
        <v>0</v>
      </c>
      <c r="X8" s="169">
        <f>0</f>
        <v>0</v>
      </c>
      <c r="Y8" s="169">
        <f>0</f>
        <v>0</v>
      </c>
      <c r="Z8" s="219">
        <f>0</f>
        <v>0</v>
      </c>
      <c r="AA8" s="128">
        <f t="shared" si="0"/>
        <v>2</v>
      </c>
      <c r="AB8" s="174"/>
      <c r="AC8" s="136">
        <f t="shared" si="1"/>
        <v>2</v>
      </c>
      <c r="AD8" s="129">
        <v>44950</v>
      </c>
      <c r="AE8" s="195" t="s">
        <v>531</v>
      </c>
      <c r="AF8" s="97" t="s">
        <v>1251</v>
      </c>
      <c r="AG8" s="196"/>
      <c r="AH8" s="195"/>
      <c r="AI8" s="98"/>
      <c r="AJ8" s="99">
        <v>2</v>
      </c>
      <c r="AK8" s="197">
        <f t="shared" si="2"/>
        <v>0</v>
      </c>
      <c r="AL8" s="98" t="s">
        <v>1260</v>
      </c>
      <c r="AM8" s="90"/>
      <c r="AN8" s="100"/>
      <c r="AO8" s="198"/>
    </row>
    <row r="9" spans="1:41" s="120" customFormat="1" ht="30.75" hidden="1" customHeight="1" x14ac:dyDescent="0.35">
      <c r="A9" s="244">
        <v>349</v>
      </c>
      <c r="B9" s="249">
        <v>44945</v>
      </c>
      <c r="C9" s="246" t="s">
        <v>863</v>
      </c>
      <c r="D9" s="236" t="s">
        <v>898</v>
      </c>
      <c r="E9" s="236" t="s">
        <v>340</v>
      </c>
      <c r="F9" s="185" t="s">
        <v>947</v>
      </c>
      <c r="G9" s="196" t="s">
        <v>898</v>
      </c>
      <c r="H9" s="235" t="s">
        <v>898</v>
      </c>
      <c r="I9" s="546" t="s">
        <v>252</v>
      </c>
      <c r="J9" s="97" t="s">
        <v>251</v>
      </c>
      <c r="K9" s="97" t="s">
        <v>252</v>
      </c>
      <c r="L9" s="97" t="s">
        <v>252</v>
      </c>
      <c r="M9" s="97"/>
      <c r="N9" s="235" t="s">
        <v>957</v>
      </c>
      <c r="O9" s="343">
        <v>0</v>
      </c>
      <c r="P9" s="169">
        <v>8</v>
      </c>
      <c r="Q9" s="169">
        <v>0</v>
      </c>
      <c r="R9" s="169">
        <v>0</v>
      </c>
      <c r="S9" s="169">
        <v>0</v>
      </c>
      <c r="T9" s="169">
        <v>0</v>
      </c>
      <c r="U9" s="169">
        <v>0</v>
      </c>
      <c r="V9" s="169">
        <f>0</f>
        <v>0</v>
      </c>
      <c r="W9" s="169">
        <v>0</v>
      </c>
      <c r="X9" s="169">
        <f>0</f>
        <v>0</v>
      </c>
      <c r="Y9" s="169">
        <f>0</f>
        <v>0</v>
      </c>
      <c r="Z9" s="219">
        <f>0</f>
        <v>0</v>
      </c>
      <c r="AA9" s="128">
        <f t="shared" si="0"/>
        <v>8</v>
      </c>
      <c r="AB9" s="174"/>
      <c r="AC9" s="136">
        <f t="shared" si="1"/>
        <v>8</v>
      </c>
      <c r="AD9" s="129" t="s">
        <v>1610</v>
      </c>
      <c r="AE9" s="195" t="s">
        <v>1611</v>
      </c>
      <c r="AF9" s="97" t="s">
        <v>1609</v>
      </c>
      <c r="AG9" s="196"/>
      <c r="AH9" s="195"/>
      <c r="AI9" s="98"/>
      <c r="AJ9" s="99" t="s">
        <v>1616</v>
      </c>
      <c r="AK9" s="197" t="e">
        <f t="shared" si="2"/>
        <v>#VALUE!</v>
      </c>
      <c r="AL9" s="98" t="s">
        <v>1617</v>
      </c>
      <c r="AM9" s="90"/>
      <c r="AN9" s="100"/>
      <c r="AO9" s="198"/>
    </row>
    <row r="10" spans="1:41" s="120" customFormat="1" ht="30.75" hidden="1" customHeight="1" x14ac:dyDescent="0.35">
      <c r="A10" s="244">
        <v>160</v>
      </c>
      <c r="B10" s="499">
        <v>44909</v>
      </c>
      <c r="C10" s="298" t="s">
        <v>374</v>
      </c>
      <c r="D10" s="305" t="s">
        <v>524</v>
      </c>
      <c r="E10" s="505">
        <v>0</v>
      </c>
      <c r="F10" s="312" t="s">
        <v>1391</v>
      </c>
      <c r="G10" s="229" t="s">
        <v>524</v>
      </c>
      <c r="H10" s="314" t="s">
        <v>524</v>
      </c>
      <c r="I10" s="315" t="s">
        <v>525</v>
      </c>
      <c r="J10" s="252" t="s">
        <v>251</v>
      </c>
      <c r="K10" s="297"/>
      <c r="L10" s="306"/>
      <c r="M10" s="306"/>
      <c r="N10" s="235" t="s">
        <v>546</v>
      </c>
      <c r="O10" s="343">
        <v>0</v>
      </c>
      <c r="P10" s="169">
        <f>0</f>
        <v>0</v>
      </c>
      <c r="Q10" s="169">
        <v>2</v>
      </c>
      <c r="R10" s="169">
        <f>0</f>
        <v>0</v>
      </c>
      <c r="S10" s="169">
        <v>2</v>
      </c>
      <c r="T10" s="169">
        <f>0</f>
        <v>0</v>
      </c>
      <c r="U10" s="169">
        <v>2</v>
      </c>
      <c r="V10" s="169">
        <f>0</f>
        <v>0</v>
      </c>
      <c r="W10" s="169">
        <f>0</f>
        <v>0</v>
      </c>
      <c r="X10" s="169">
        <f>0</f>
        <v>0</v>
      </c>
      <c r="Y10" s="169">
        <f>0</f>
        <v>0</v>
      </c>
      <c r="Z10" s="219">
        <f>0</f>
        <v>0</v>
      </c>
      <c r="AA10" s="128">
        <f t="shared" si="0"/>
        <v>6</v>
      </c>
      <c r="AB10" s="174">
        <f>0</f>
        <v>0</v>
      </c>
      <c r="AC10" s="136">
        <f t="shared" si="1"/>
        <v>6</v>
      </c>
      <c r="AD10" s="129">
        <v>44935</v>
      </c>
      <c r="AE10" s="195" t="s">
        <v>284</v>
      </c>
      <c r="AF10" s="97" t="s">
        <v>741</v>
      </c>
      <c r="AG10" s="196"/>
      <c r="AH10" s="195" t="s">
        <v>742</v>
      </c>
      <c r="AI10" s="98"/>
      <c r="AJ10" s="99">
        <v>6</v>
      </c>
      <c r="AK10" s="197">
        <f t="shared" si="2"/>
        <v>0</v>
      </c>
      <c r="AL10" s="98" t="s">
        <v>1405</v>
      </c>
      <c r="AM10" s="90"/>
      <c r="AN10" s="100"/>
      <c r="AO10" s="198"/>
    </row>
    <row r="11" spans="1:41" s="120" customFormat="1" ht="30.75" hidden="1" customHeight="1" x14ac:dyDescent="0.35">
      <c r="A11" s="252">
        <v>161</v>
      </c>
      <c r="B11" s="297">
        <v>44909</v>
      </c>
      <c r="C11" s="306" t="s">
        <v>374</v>
      </c>
      <c r="D11" s="305" t="s">
        <v>526</v>
      </c>
      <c r="E11" s="505" t="s">
        <v>340</v>
      </c>
      <c r="F11" s="312" t="s">
        <v>1391</v>
      </c>
      <c r="G11" s="229" t="s">
        <v>526</v>
      </c>
      <c r="H11" s="314" t="s">
        <v>526</v>
      </c>
      <c r="I11" s="315" t="s">
        <v>525</v>
      </c>
      <c r="J11" s="252" t="s">
        <v>251</v>
      </c>
      <c r="K11" s="297"/>
      <c r="L11" s="306"/>
      <c r="M11" s="306"/>
      <c r="N11" s="243" t="s">
        <v>546</v>
      </c>
      <c r="O11" s="343">
        <v>0</v>
      </c>
      <c r="P11" s="169">
        <f>0</f>
        <v>0</v>
      </c>
      <c r="Q11" s="169">
        <v>2</v>
      </c>
      <c r="R11" s="169">
        <f>0</f>
        <v>0</v>
      </c>
      <c r="S11" s="169">
        <v>2</v>
      </c>
      <c r="T11" s="169">
        <f>0</f>
        <v>0</v>
      </c>
      <c r="U11" s="169">
        <v>2</v>
      </c>
      <c r="V11" s="169">
        <f>0</f>
        <v>0</v>
      </c>
      <c r="W11" s="169">
        <f>0</f>
        <v>0</v>
      </c>
      <c r="X11" s="169">
        <f>0</f>
        <v>0</v>
      </c>
      <c r="Y11" s="169">
        <f>0</f>
        <v>0</v>
      </c>
      <c r="Z11" s="219">
        <f>0</f>
        <v>0</v>
      </c>
      <c r="AA11" s="128">
        <f t="shared" si="0"/>
        <v>6</v>
      </c>
      <c r="AB11" s="186">
        <v>6</v>
      </c>
      <c r="AC11" s="137">
        <f t="shared" si="1"/>
        <v>0</v>
      </c>
      <c r="AD11" s="188"/>
      <c r="AE11" s="205"/>
      <c r="AF11" s="189" t="s">
        <v>590</v>
      </c>
      <c r="AG11" s="206"/>
      <c r="AH11" s="205"/>
      <c r="AI11" s="101"/>
      <c r="AJ11" s="102"/>
      <c r="AK11" s="207">
        <f t="shared" si="2"/>
        <v>0</v>
      </c>
      <c r="AL11" s="101" t="s">
        <v>592</v>
      </c>
      <c r="AM11" s="96"/>
      <c r="AN11" s="103"/>
      <c r="AO11" s="208"/>
    </row>
    <row r="12" spans="1:41" s="120" customFormat="1" ht="30.75" hidden="1" customHeight="1" x14ac:dyDescent="0.35">
      <c r="A12" s="244">
        <v>171</v>
      </c>
      <c r="B12" s="249">
        <v>44914</v>
      </c>
      <c r="C12" s="298" t="s">
        <v>254</v>
      </c>
      <c r="D12" s="299" t="s">
        <v>578</v>
      </c>
      <c r="E12" s="400" t="s">
        <v>324</v>
      </c>
      <c r="F12" s="291" t="s">
        <v>579</v>
      </c>
      <c r="G12" s="210"/>
      <c r="H12" s="292" t="s">
        <v>578</v>
      </c>
      <c r="I12" s="293" t="s">
        <v>525</v>
      </c>
      <c r="J12" s="209" t="s">
        <v>251</v>
      </c>
      <c r="K12" s="148" t="s">
        <v>252</v>
      </c>
      <c r="L12" s="97" t="s">
        <v>252</v>
      </c>
      <c r="M12" s="97" t="s">
        <v>252</v>
      </c>
      <c r="N12" s="235" t="s">
        <v>580</v>
      </c>
      <c r="O12" s="343">
        <v>0</v>
      </c>
      <c r="P12" s="169">
        <f>0</f>
        <v>0</v>
      </c>
      <c r="Q12" s="169">
        <v>1</v>
      </c>
      <c r="R12" s="169">
        <f>0</f>
        <v>0</v>
      </c>
      <c r="S12" s="169">
        <f>0</f>
        <v>0</v>
      </c>
      <c r="T12" s="169">
        <f>0</f>
        <v>0</v>
      </c>
      <c r="U12" s="169">
        <f>0</f>
        <v>0</v>
      </c>
      <c r="V12" s="169">
        <f>0</f>
        <v>0</v>
      </c>
      <c r="W12" s="169">
        <f>0</f>
        <v>0</v>
      </c>
      <c r="X12" s="169">
        <f>0</f>
        <v>0</v>
      </c>
      <c r="Y12" s="169">
        <f>0</f>
        <v>0</v>
      </c>
      <c r="Z12" s="219">
        <f>0</f>
        <v>0</v>
      </c>
      <c r="AA12" s="128">
        <f t="shared" si="0"/>
        <v>1</v>
      </c>
      <c r="AB12" s="492"/>
      <c r="AC12" s="136">
        <f t="shared" si="1"/>
        <v>1</v>
      </c>
      <c r="AD12" s="129">
        <v>44935</v>
      </c>
      <c r="AE12" s="195" t="s">
        <v>284</v>
      </c>
      <c r="AF12" s="97" t="s">
        <v>741</v>
      </c>
      <c r="AG12" s="158"/>
      <c r="AH12" s="195" t="s">
        <v>742</v>
      </c>
      <c r="AI12" s="98"/>
      <c r="AJ12" s="99">
        <v>1</v>
      </c>
      <c r="AK12" s="197">
        <f t="shared" si="2"/>
        <v>0</v>
      </c>
      <c r="AL12" s="98" t="s">
        <v>1405</v>
      </c>
      <c r="AM12" s="90"/>
      <c r="AN12" s="100"/>
      <c r="AO12" s="198"/>
    </row>
    <row r="13" spans="1:41" s="120" customFormat="1" ht="30.75" hidden="1" customHeight="1" x14ac:dyDescent="0.35">
      <c r="A13" s="244">
        <v>210</v>
      </c>
      <c r="B13" s="249">
        <v>44924</v>
      </c>
      <c r="C13" s="246" t="s">
        <v>308</v>
      </c>
      <c r="D13" s="305" t="s">
        <v>685</v>
      </c>
      <c r="E13" s="287">
        <v>0</v>
      </c>
      <c r="F13" s="294" t="s">
        <v>686</v>
      </c>
      <c r="G13" s="158" t="s">
        <v>687</v>
      </c>
      <c r="H13" s="289" t="s">
        <v>685</v>
      </c>
      <c r="I13" s="290" t="s">
        <v>525</v>
      </c>
      <c r="J13" s="271" t="s">
        <v>251</v>
      </c>
      <c r="K13" s="232" t="s">
        <v>252</v>
      </c>
      <c r="L13" s="229" t="s">
        <v>252</v>
      </c>
      <c r="M13" s="229" t="s">
        <v>252</v>
      </c>
      <c r="N13" s="235" t="s">
        <v>694</v>
      </c>
      <c r="O13" s="343">
        <f>0</f>
        <v>0</v>
      </c>
      <c r="P13" s="169">
        <f>0</f>
        <v>0</v>
      </c>
      <c r="Q13" s="169">
        <f>0</f>
        <v>0</v>
      </c>
      <c r="R13" s="169">
        <f>0</f>
        <v>0</v>
      </c>
      <c r="S13" s="169">
        <f>0</f>
        <v>0</v>
      </c>
      <c r="T13" s="169">
        <v>4</v>
      </c>
      <c r="U13" s="169">
        <f>0</f>
        <v>0</v>
      </c>
      <c r="V13" s="169">
        <f>0</f>
        <v>0</v>
      </c>
      <c r="W13" s="169">
        <f>0</f>
        <v>0</v>
      </c>
      <c r="X13" s="169">
        <f>0</f>
        <v>0</v>
      </c>
      <c r="Y13" s="169">
        <f>0</f>
        <v>0</v>
      </c>
      <c r="Z13" s="219">
        <f>0</f>
        <v>0</v>
      </c>
      <c r="AA13" s="128">
        <f t="shared" si="0"/>
        <v>4</v>
      </c>
      <c r="AB13" s="492"/>
      <c r="AC13" s="137">
        <f t="shared" si="1"/>
        <v>4</v>
      </c>
      <c r="AD13" s="129">
        <v>44935</v>
      </c>
      <c r="AE13" s="195" t="s">
        <v>284</v>
      </c>
      <c r="AF13" s="97" t="s">
        <v>741</v>
      </c>
      <c r="AG13" s="206"/>
      <c r="AH13" s="205" t="s">
        <v>742</v>
      </c>
      <c r="AI13" s="101"/>
      <c r="AJ13" s="102">
        <v>4</v>
      </c>
      <c r="AK13" s="207">
        <f t="shared" si="2"/>
        <v>0</v>
      </c>
      <c r="AL13" s="101" t="s">
        <v>1405</v>
      </c>
      <c r="AM13" s="96"/>
      <c r="AN13" s="103"/>
      <c r="AO13" s="208"/>
    </row>
    <row r="14" spans="1:41" s="330" customFormat="1" ht="30.75" hidden="1" customHeight="1" x14ac:dyDescent="0.35">
      <c r="A14" s="244">
        <v>302</v>
      </c>
      <c r="B14" s="249">
        <v>44944</v>
      </c>
      <c r="C14" s="246" t="s">
        <v>817</v>
      </c>
      <c r="D14" s="236" t="s">
        <v>815</v>
      </c>
      <c r="E14" s="236"/>
      <c r="F14" s="512" t="s">
        <v>252</v>
      </c>
      <c r="G14" s="519"/>
      <c r="H14" s="529" t="s">
        <v>815</v>
      </c>
      <c r="I14" s="290" t="s">
        <v>525</v>
      </c>
      <c r="J14" s="557"/>
      <c r="K14" s="148"/>
      <c r="L14" s="274"/>
      <c r="M14" s="148"/>
      <c r="N14" s="235" t="s">
        <v>814</v>
      </c>
      <c r="O14" s="343">
        <f>0</f>
        <v>0</v>
      </c>
      <c r="P14" s="169">
        <f>0</f>
        <v>0</v>
      </c>
      <c r="Q14" s="169">
        <f>0</f>
        <v>0</v>
      </c>
      <c r="R14" s="169">
        <v>2</v>
      </c>
      <c r="S14" s="169">
        <f>0</f>
        <v>0</v>
      </c>
      <c r="T14" s="169">
        <f>0</f>
        <v>0</v>
      </c>
      <c r="U14" s="169">
        <f>0</f>
        <v>0</v>
      </c>
      <c r="V14" s="169">
        <f>0</f>
        <v>0</v>
      </c>
      <c r="W14" s="169">
        <f>0</f>
        <v>0</v>
      </c>
      <c r="X14" s="169">
        <f>0</f>
        <v>0</v>
      </c>
      <c r="Y14" s="169">
        <f>0</f>
        <v>0</v>
      </c>
      <c r="Z14" s="219">
        <f>0</f>
        <v>0</v>
      </c>
      <c r="AA14" s="149">
        <f t="shared" si="0"/>
        <v>2</v>
      </c>
      <c r="AB14" s="572"/>
      <c r="AC14" s="163">
        <f t="shared" si="1"/>
        <v>2</v>
      </c>
      <c r="AD14" s="129"/>
      <c r="AE14" s="195" t="s">
        <v>531</v>
      </c>
      <c r="AF14" s="97" t="s">
        <v>1237</v>
      </c>
      <c r="AG14" s="158"/>
      <c r="AH14" s="205" t="s">
        <v>742</v>
      </c>
      <c r="AI14" s="101"/>
      <c r="AJ14" s="102">
        <v>2</v>
      </c>
      <c r="AK14" s="207">
        <f t="shared" si="2"/>
        <v>0</v>
      </c>
      <c r="AL14" s="101" t="s">
        <v>1405</v>
      </c>
      <c r="AM14" s="96"/>
      <c r="AN14" s="103"/>
      <c r="AO14" s="198"/>
    </row>
    <row r="15" spans="1:41" s="120" customFormat="1" ht="57" hidden="1" customHeight="1" x14ac:dyDescent="0.35">
      <c r="A15" s="252">
        <v>311</v>
      </c>
      <c r="B15" s="249">
        <v>44944</v>
      </c>
      <c r="C15" s="246" t="s">
        <v>308</v>
      </c>
      <c r="D15" s="233" t="s">
        <v>824</v>
      </c>
      <c r="E15" s="233" t="s">
        <v>340</v>
      </c>
      <c r="F15" s="294" t="s">
        <v>825</v>
      </c>
      <c r="G15" s="158" t="s">
        <v>824</v>
      </c>
      <c r="H15" s="289" t="s">
        <v>824</v>
      </c>
      <c r="I15" s="290" t="s">
        <v>525</v>
      </c>
      <c r="J15" s="211" t="s">
        <v>251</v>
      </c>
      <c r="K15" s="148" t="s">
        <v>252</v>
      </c>
      <c r="L15" s="189" t="s">
        <v>252</v>
      </c>
      <c r="M15" s="189"/>
      <c r="N15" s="235" t="s">
        <v>833</v>
      </c>
      <c r="O15" s="343">
        <f>0</f>
        <v>0</v>
      </c>
      <c r="P15" s="169">
        <f>0</f>
        <v>0</v>
      </c>
      <c r="Q15" s="169">
        <f>0</f>
        <v>0</v>
      </c>
      <c r="R15" s="169">
        <f>0</f>
        <v>0</v>
      </c>
      <c r="S15" s="169">
        <f>0</f>
        <v>0</v>
      </c>
      <c r="T15" s="169">
        <v>1</v>
      </c>
      <c r="U15" s="169">
        <f>0</f>
        <v>0</v>
      </c>
      <c r="V15" s="169">
        <f>0</f>
        <v>0</v>
      </c>
      <c r="W15" s="169">
        <f>0</f>
        <v>0</v>
      </c>
      <c r="X15" s="169">
        <f>0</f>
        <v>0</v>
      </c>
      <c r="Y15" s="169">
        <f>0</f>
        <v>0</v>
      </c>
      <c r="Z15" s="219">
        <f>0</f>
        <v>0</v>
      </c>
      <c r="AA15" s="149">
        <f t="shared" si="0"/>
        <v>1</v>
      </c>
      <c r="AB15" s="572"/>
      <c r="AC15" s="163">
        <f t="shared" si="1"/>
        <v>1</v>
      </c>
      <c r="AD15" s="129"/>
      <c r="AE15" s="195" t="s">
        <v>531</v>
      </c>
      <c r="AF15" s="97" t="s">
        <v>1237</v>
      </c>
      <c r="AG15" s="158"/>
      <c r="AH15" s="205" t="s">
        <v>742</v>
      </c>
      <c r="AI15" s="101"/>
      <c r="AJ15" s="102">
        <v>1</v>
      </c>
      <c r="AK15" s="207">
        <f t="shared" si="2"/>
        <v>0</v>
      </c>
      <c r="AL15" s="101" t="s">
        <v>1405</v>
      </c>
      <c r="AM15" s="96"/>
      <c r="AN15" s="103"/>
      <c r="AO15" s="198"/>
    </row>
    <row r="16" spans="1:41" s="120" customFormat="1" ht="30.75" hidden="1" customHeight="1" x14ac:dyDescent="0.35">
      <c r="A16" s="244">
        <v>317</v>
      </c>
      <c r="B16" s="249">
        <v>44945</v>
      </c>
      <c r="C16" s="246" t="s">
        <v>308</v>
      </c>
      <c r="D16" s="236" t="s">
        <v>836</v>
      </c>
      <c r="E16" s="236">
        <v>0</v>
      </c>
      <c r="F16" s="291" t="s">
        <v>837</v>
      </c>
      <c r="G16" s="210" t="s">
        <v>838</v>
      </c>
      <c r="H16" s="292" t="s">
        <v>836</v>
      </c>
      <c r="I16" s="293" t="s">
        <v>525</v>
      </c>
      <c r="J16" s="209" t="s">
        <v>252</v>
      </c>
      <c r="K16" s="148" t="s">
        <v>252</v>
      </c>
      <c r="L16" s="97" t="s">
        <v>252</v>
      </c>
      <c r="M16" s="97"/>
      <c r="N16" s="235" t="s">
        <v>604</v>
      </c>
      <c r="O16" s="343">
        <f>0</f>
        <v>0</v>
      </c>
      <c r="P16" s="169">
        <f>0</f>
        <v>0</v>
      </c>
      <c r="Q16" s="169">
        <f>0</f>
        <v>0</v>
      </c>
      <c r="R16" s="169">
        <f>0</f>
        <v>0</v>
      </c>
      <c r="S16" s="169">
        <f>0</f>
        <v>0</v>
      </c>
      <c r="T16" s="169">
        <v>1</v>
      </c>
      <c r="U16" s="169">
        <f>0</f>
        <v>0</v>
      </c>
      <c r="V16" s="169">
        <f>0</f>
        <v>0</v>
      </c>
      <c r="W16" s="169">
        <f>0</f>
        <v>0</v>
      </c>
      <c r="X16" s="169">
        <f>0</f>
        <v>0</v>
      </c>
      <c r="Y16" s="169">
        <f>0</f>
        <v>0</v>
      </c>
      <c r="Z16" s="219">
        <f>0</f>
        <v>0</v>
      </c>
      <c r="AA16" s="128">
        <f t="shared" si="0"/>
        <v>1</v>
      </c>
      <c r="AB16" s="213">
        <v>1</v>
      </c>
      <c r="AC16" s="137">
        <f t="shared" si="1"/>
        <v>0</v>
      </c>
      <c r="AD16" s="129"/>
      <c r="AE16" s="195" t="s">
        <v>531</v>
      </c>
      <c r="AF16" s="97" t="s">
        <v>44</v>
      </c>
      <c r="AG16" s="158"/>
      <c r="AH16" s="205"/>
      <c r="AI16" s="101"/>
      <c r="AJ16" s="102" t="s">
        <v>501</v>
      </c>
      <c r="AK16" s="207" t="e">
        <f t="shared" si="2"/>
        <v>#VALUE!</v>
      </c>
      <c r="AL16" s="101" t="s">
        <v>858</v>
      </c>
      <c r="AM16" s="96"/>
      <c r="AN16" s="103"/>
      <c r="AO16" s="198"/>
    </row>
    <row r="17" spans="1:41" s="120" customFormat="1" ht="30.75" hidden="1" customHeight="1" x14ac:dyDescent="0.35">
      <c r="A17" s="244">
        <v>482</v>
      </c>
      <c r="B17" s="253">
        <v>44949</v>
      </c>
      <c r="C17" s="246" t="s">
        <v>254</v>
      </c>
      <c r="D17" s="233" t="s">
        <v>1216</v>
      </c>
      <c r="E17" s="287" t="s">
        <v>314</v>
      </c>
      <c r="F17" s="294" t="s">
        <v>1217</v>
      </c>
      <c r="G17" s="158" t="s">
        <v>1216</v>
      </c>
      <c r="H17" s="289" t="s">
        <v>1216</v>
      </c>
      <c r="I17" s="293" t="s">
        <v>525</v>
      </c>
      <c r="J17" s="211" t="s">
        <v>251</v>
      </c>
      <c r="K17" s="148" t="s">
        <v>252</v>
      </c>
      <c r="L17" s="189" t="s">
        <v>252</v>
      </c>
      <c r="M17" s="189" t="s">
        <v>252</v>
      </c>
      <c r="N17" s="235" t="s">
        <v>1222</v>
      </c>
      <c r="O17" s="343">
        <v>0</v>
      </c>
      <c r="P17" s="169">
        <v>0</v>
      </c>
      <c r="Q17" s="169">
        <v>0</v>
      </c>
      <c r="R17" s="169">
        <v>0</v>
      </c>
      <c r="S17" s="169">
        <v>0</v>
      </c>
      <c r="T17" s="169">
        <v>0</v>
      </c>
      <c r="U17" s="169">
        <v>2</v>
      </c>
      <c r="V17" s="169">
        <f>0</f>
        <v>0</v>
      </c>
      <c r="W17" s="169">
        <v>0</v>
      </c>
      <c r="X17" s="169">
        <f>0</f>
        <v>0</v>
      </c>
      <c r="Y17" s="169">
        <f>0</f>
        <v>0</v>
      </c>
      <c r="Z17" s="219">
        <f>0</f>
        <v>0</v>
      </c>
      <c r="AA17" s="149">
        <f t="shared" si="0"/>
        <v>2</v>
      </c>
      <c r="AB17" s="572"/>
      <c r="AC17" s="163">
        <f t="shared" si="1"/>
        <v>2</v>
      </c>
      <c r="AD17" s="129">
        <v>44964</v>
      </c>
      <c r="AE17" s="195" t="s">
        <v>531</v>
      </c>
      <c r="AF17" s="97" t="s">
        <v>1410</v>
      </c>
      <c r="AG17" s="158"/>
      <c r="AH17" s="205"/>
      <c r="AI17" s="101"/>
      <c r="AJ17" s="102">
        <v>2</v>
      </c>
      <c r="AK17" s="207">
        <f t="shared" si="2"/>
        <v>0</v>
      </c>
      <c r="AL17" s="101" t="s">
        <v>1494</v>
      </c>
      <c r="AM17" s="96"/>
      <c r="AN17" s="103"/>
      <c r="AO17" s="198"/>
    </row>
    <row r="18" spans="1:41" s="120" customFormat="1" ht="30.75" hidden="1" customHeight="1" x14ac:dyDescent="0.35">
      <c r="A18" s="244">
        <v>483</v>
      </c>
      <c r="B18" s="253">
        <v>44949</v>
      </c>
      <c r="C18" s="246" t="s">
        <v>254</v>
      </c>
      <c r="D18" s="236" t="s">
        <v>1218</v>
      </c>
      <c r="E18" s="400" t="s">
        <v>324</v>
      </c>
      <c r="F18" s="291" t="s">
        <v>351</v>
      </c>
      <c r="G18" s="210" t="s">
        <v>1218</v>
      </c>
      <c r="H18" s="292" t="s">
        <v>1218</v>
      </c>
      <c r="I18" s="293" t="s">
        <v>525</v>
      </c>
      <c r="J18" s="209" t="s">
        <v>251</v>
      </c>
      <c r="K18" s="148" t="s">
        <v>252</v>
      </c>
      <c r="L18" s="97" t="s">
        <v>252</v>
      </c>
      <c r="M18" s="97" t="s">
        <v>252</v>
      </c>
      <c r="N18" s="235" t="s">
        <v>1222</v>
      </c>
      <c r="O18" s="343">
        <v>0</v>
      </c>
      <c r="P18" s="169">
        <v>0</v>
      </c>
      <c r="Q18" s="169">
        <v>0</v>
      </c>
      <c r="R18" s="169">
        <v>0</v>
      </c>
      <c r="S18" s="169">
        <v>0</v>
      </c>
      <c r="T18" s="169">
        <v>0</v>
      </c>
      <c r="U18" s="169">
        <v>1</v>
      </c>
      <c r="V18" s="169">
        <f>0</f>
        <v>0</v>
      </c>
      <c r="W18" s="169">
        <v>0</v>
      </c>
      <c r="X18" s="169">
        <f>0</f>
        <v>0</v>
      </c>
      <c r="Y18" s="169">
        <f>0</f>
        <v>0</v>
      </c>
      <c r="Z18" s="219">
        <f>0</f>
        <v>0</v>
      </c>
      <c r="AA18" s="149">
        <f t="shared" si="0"/>
        <v>1</v>
      </c>
      <c r="AB18" s="572"/>
      <c r="AC18" s="163">
        <f t="shared" si="1"/>
        <v>1</v>
      </c>
      <c r="AD18" s="129">
        <v>44964</v>
      </c>
      <c r="AE18" s="195" t="s">
        <v>531</v>
      </c>
      <c r="AF18" s="97" t="s">
        <v>1410</v>
      </c>
      <c r="AG18" s="158"/>
      <c r="AH18" s="205"/>
      <c r="AI18" s="101"/>
      <c r="AJ18" s="102">
        <v>1</v>
      </c>
      <c r="AK18" s="207">
        <f t="shared" si="2"/>
        <v>0</v>
      </c>
      <c r="AL18" s="101" t="s">
        <v>1494</v>
      </c>
      <c r="AM18" s="96"/>
      <c r="AN18" s="103"/>
      <c r="AO18" s="198"/>
    </row>
    <row r="19" spans="1:41" s="120" customFormat="1" ht="30.75" hidden="1" customHeight="1" x14ac:dyDescent="0.35">
      <c r="A19" s="252">
        <v>484</v>
      </c>
      <c r="B19" s="253">
        <v>44949</v>
      </c>
      <c r="C19" s="246" t="s">
        <v>254</v>
      </c>
      <c r="D19" s="233" t="s">
        <v>1219</v>
      </c>
      <c r="E19" s="287">
        <v>0</v>
      </c>
      <c r="F19" s="294" t="s">
        <v>1220</v>
      </c>
      <c r="G19" s="158" t="s">
        <v>1219</v>
      </c>
      <c r="H19" s="289" t="s">
        <v>1219</v>
      </c>
      <c r="I19" s="293" t="s">
        <v>1221</v>
      </c>
      <c r="J19" s="211" t="s">
        <v>251</v>
      </c>
      <c r="K19" s="148" t="s">
        <v>252</v>
      </c>
      <c r="L19" s="189" t="s">
        <v>252</v>
      </c>
      <c r="M19" s="189" t="s">
        <v>252</v>
      </c>
      <c r="N19" s="235" t="s">
        <v>1222</v>
      </c>
      <c r="O19" s="343">
        <v>0</v>
      </c>
      <c r="P19" s="169">
        <v>0</v>
      </c>
      <c r="Q19" s="169">
        <v>0</v>
      </c>
      <c r="R19" s="169">
        <v>0</v>
      </c>
      <c r="S19" s="169">
        <v>0</v>
      </c>
      <c r="T19" s="169">
        <v>0</v>
      </c>
      <c r="U19" s="169">
        <v>4</v>
      </c>
      <c r="V19" s="169">
        <f>0</f>
        <v>0</v>
      </c>
      <c r="W19" s="169">
        <v>0</v>
      </c>
      <c r="X19" s="169">
        <f>0</f>
        <v>0</v>
      </c>
      <c r="Y19" s="169">
        <f>0</f>
        <v>0</v>
      </c>
      <c r="Z19" s="219">
        <f>0</f>
        <v>0</v>
      </c>
      <c r="AA19" s="149">
        <f t="shared" si="0"/>
        <v>4</v>
      </c>
      <c r="AB19" s="572"/>
      <c r="AC19" s="163">
        <f t="shared" si="1"/>
        <v>4</v>
      </c>
      <c r="AD19" s="129">
        <v>44964</v>
      </c>
      <c r="AE19" s="195" t="s">
        <v>531</v>
      </c>
      <c r="AF19" s="97" t="s">
        <v>1410</v>
      </c>
      <c r="AG19" s="158"/>
      <c r="AH19" s="205"/>
      <c r="AI19" s="101"/>
      <c r="AJ19" s="102">
        <v>4</v>
      </c>
      <c r="AK19" s="207">
        <f t="shared" si="2"/>
        <v>0</v>
      </c>
      <c r="AL19" s="101" t="s">
        <v>1494</v>
      </c>
      <c r="AM19" s="96"/>
      <c r="AN19" s="103"/>
      <c r="AO19" s="198"/>
    </row>
    <row r="20" spans="1:41" s="120" customFormat="1" ht="30.75" hidden="1" customHeight="1" x14ac:dyDescent="0.35">
      <c r="A20" s="244">
        <v>502</v>
      </c>
      <c r="B20" s="253">
        <v>44955</v>
      </c>
      <c r="C20" s="246" t="s">
        <v>254</v>
      </c>
      <c r="D20" s="328" t="s">
        <v>1285</v>
      </c>
      <c r="E20" s="236">
        <v>0</v>
      </c>
      <c r="F20" s="291" t="s">
        <v>1270</v>
      </c>
      <c r="G20" s="210" t="s">
        <v>1285</v>
      </c>
      <c r="H20" s="292" t="s">
        <v>1285</v>
      </c>
      <c r="I20" s="293" t="s">
        <v>525</v>
      </c>
      <c r="J20" s="209" t="s">
        <v>251</v>
      </c>
      <c r="K20" s="148" t="s">
        <v>252</v>
      </c>
      <c r="L20" s="97" t="s">
        <v>252</v>
      </c>
      <c r="M20" s="97" t="s">
        <v>1271</v>
      </c>
      <c r="N20" s="235" t="s">
        <v>706</v>
      </c>
      <c r="O20" s="343">
        <v>0</v>
      </c>
      <c r="P20" s="169">
        <v>0</v>
      </c>
      <c r="Q20" s="169">
        <v>2</v>
      </c>
      <c r="R20" s="169">
        <v>2</v>
      </c>
      <c r="S20" s="169">
        <v>4</v>
      </c>
      <c r="T20" s="169">
        <v>4</v>
      </c>
      <c r="U20" s="169">
        <v>8</v>
      </c>
      <c r="V20" s="169">
        <v>0</v>
      </c>
      <c r="W20" s="169">
        <v>0</v>
      </c>
      <c r="X20" s="169">
        <v>0</v>
      </c>
      <c r="Y20" s="169">
        <v>0</v>
      </c>
      <c r="Z20" s="219">
        <v>0</v>
      </c>
      <c r="AA20" s="128">
        <f t="shared" si="0"/>
        <v>20</v>
      </c>
      <c r="AB20" s="213"/>
      <c r="AC20" s="137">
        <f t="shared" si="1"/>
        <v>20</v>
      </c>
      <c r="AD20" s="129">
        <v>44953</v>
      </c>
      <c r="AE20" s="195" t="s">
        <v>531</v>
      </c>
      <c r="AF20" s="182" t="s">
        <v>1283</v>
      </c>
      <c r="AG20" s="158"/>
      <c r="AH20" s="205" t="s">
        <v>1284</v>
      </c>
      <c r="AI20" s="101"/>
      <c r="AJ20" s="102">
        <v>17</v>
      </c>
      <c r="AK20" s="207">
        <f t="shared" si="2"/>
        <v>3</v>
      </c>
      <c r="AL20" s="101" t="s">
        <v>1494</v>
      </c>
      <c r="AM20" s="96"/>
      <c r="AN20" s="103"/>
      <c r="AO20" s="198"/>
    </row>
    <row r="21" spans="1:41" s="120" customFormat="1" ht="30.75" hidden="1" customHeight="1" x14ac:dyDescent="0.35">
      <c r="A21" s="244">
        <v>162</v>
      </c>
      <c r="B21" s="297">
        <v>44914</v>
      </c>
      <c r="C21" s="298" t="s">
        <v>254</v>
      </c>
      <c r="D21" s="305" t="s">
        <v>551</v>
      </c>
      <c r="E21" s="233">
        <v>0</v>
      </c>
      <c r="F21" s="288" t="s">
        <v>551</v>
      </c>
      <c r="G21" s="158" t="s">
        <v>252</v>
      </c>
      <c r="H21" s="523" t="s">
        <v>552</v>
      </c>
      <c r="I21" s="290" t="s">
        <v>553</v>
      </c>
      <c r="J21" s="493" t="s">
        <v>251</v>
      </c>
      <c r="K21" s="148" t="s">
        <v>252</v>
      </c>
      <c r="L21" s="189" t="s">
        <v>252</v>
      </c>
      <c r="M21" s="189" t="s">
        <v>252</v>
      </c>
      <c r="N21" s="235" t="s">
        <v>554</v>
      </c>
      <c r="O21" s="343">
        <v>4</v>
      </c>
      <c r="P21" s="169">
        <f>0</f>
        <v>0</v>
      </c>
      <c r="Q21" s="169">
        <f>0</f>
        <v>0</v>
      </c>
      <c r="R21" s="169">
        <f>0</f>
        <v>0</v>
      </c>
      <c r="S21" s="169">
        <f>0</f>
        <v>0</v>
      </c>
      <c r="T21" s="169">
        <f>0</f>
        <v>0</v>
      </c>
      <c r="U21" s="169">
        <f>0</f>
        <v>0</v>
      </c>
      <c r="V21" s="169">
        <f>0</f>
        <v>0</v>
      </c>
      <c r="W21" s="169">
        <f>0</f>
        <v>0</v>
      </c>
      <c r="X21" s="169">
        <f>0</f>
        <v>0</v>
      </c>
      <c r="Y21" s="169">
        <f>0</f>
        <v>0</v>
      </c>
      <c r="Z21" s="219">
        <f>0</f>
        <v>0</v>
      </c>
      <c r="AA21" s="149">
        <f t="shared" si="0"/>
        <v>4</v>
      </c>
      <c r="AB21" s="572">
        <v>0</v>
      </c>
      <c r="AC21" s="163">
        <f t="shared" si="1"/>
        <v>4</v>
      </c>
      <c r="AD21" s="129">
        <v>44936</v>
      </c>
      <c r="AE21" s="195" t="s">
        <v>284</v>
      </c>
      <c r="AF21" s="97" t="s">
        <v>744</v>
      </c>
      <c r="AG21" s="158"/>
      <c r="AH21" s="205"/>
      <c r="AI21" s="101"/>
      <c r="AJ21" s="102">
        <v>4</v>
      </c>
      <c r="AK21" s="207">
        <f t="shared" si="2"/>
        <v>0</v>
      </c>
      <c r="AL21" s="101" t="s">
        <v>746</v>
      </c>
      <c r="AM21" s="96"/>
      <c r="AN21" s="103"/>
      <c r="AO21" s="198"/>
    </row>
    <row r="22" spans="1:41" s="330" customFormat="1" ht="30.75" hidden="1" customHeight="1" x14ac:dyDescent="0.35">
      <c r="A22" s="244">
        <v>49</v>
      </c>
      <c r="B22" s="253"/>
      <c r="C22" s="246" t="s">
        <v>237</v>
      </c>
      <c r="D22" s="236"/>
      <c r="E22" s="236"/>
      <c r="F22" s="267" t="s">
        <v>156</v>
      </c>
      <c r="G22" s="268"/>
      <c r="H22" s="269" t="s">
        <v>1358</v>
      </c>
      <c r="I22" s="430" t="s">
        <v>1455</v>
      </c>
      <c r="J22" s="271"/>
      <c r="K22" s="266"/>
      <c r="L22" s="97"/>
      <c r="M22" s="97"/>
      <c r="N22" s="235" t="s">
        <v>71</v>
      </c>
      <c r="O22" s="343">
        <v>4</v>
      </c>
      <c r="P22" s="169">
        <f>0</f>
        <v>0</v>
      </c>
      <c r="Q22" s="169">
        <f>0</f>
        <v>0</v>
      </c>
      <c r="R22" s="169">
        <f>0</f>
        <v>0</v>
      </c>
      <c r="S22" s="169">
        <f>0</f>
        <v>0</v>
      </c>
      <c r="T22" s="169">
        <f>0</f>
        <v>0</v>
      </c>
      <c r="U22" s="169">
        <f>0</f>
        <v>0</v>
      </c>
      <c r="V22" s="169">
        <f>0</f>
        <v>0</v>
      </c>
      <c r="W22" s="169">
        <f>0</f>
        <v>0</v>
      </c>
      <c r="X22" s="169">
        <f>0</f>
        <v>0</v>
      </c>
      <c r="Y22" s="169">
        <f>0</f>
        <v>0</v>
      </c>
      <c r="Z22" s="219">
        <f>0</f>
        <v>0</v>
      </c>
      <c r="AA22" s="128">
        <f t="shared" si="0"/>
        <v>4</v>
      </c>
      <c r="AB22" s="213">
        <v>4</v>
      </c>
      <c r="AC22" s="137">
        <f t="shared" si="1"/>
        <v>0</v>
      </c>
      <c r="AD22" s="129">
        <v>44756</v>
      </c>
      <c r="AE22" s="195" t="s">
        <v>239</v>
      </c>
      <c r="AF22" s="97" t="s">
        <v>588</v>
      </c>
      <c r="AG22" s="159" t="s">
        <v>273</v>
      </c>
      <c r="AH22" s="101"/>
      <c r="AI22" s="101"/>
      <c r="AJ22" s="102">
        <v>4</v>
      </c>
      <c r="AK22" s="207">
        <f t="shared" si="2"/>
        <v>-4</v>
      </c>
      <c r="AL22" s="101" t="s">
        <v>589</v>
      </c>
      <c r="AM22" s="96"/>
      <c r="AN22" s="103"/>
      <c r="AO22" s="198"/>
    </row>
    <row r="23" spans="1:41" s="120" customFormat="1" ht="30.75" hidden="1" customHeight="1" x14ac:dyDescent="0.35">
      <c r="A23" s="252">
        <v>50</v>
      </c>
      <c r="B23" s="253"/>
      <c r="C23" s="246" t="s">
        <v>237</v>
      </c>
      <c r="D23" s="189"/>
      <c r="E23" s="229"/>
      <c r="F23" s="283" t="s">
        <v>157</v>
      </c>
      <c r="G23" s="284"/>
      <c r="H23" s="285" t="s">
        <v>1359</v>
      </c>
      <c r="I23" s="431" t="s">
        <v>1455</v>
      </c>
      <c r="J23" s="286"/>
      <c r="K23" s="266"/>
      <c r="L23" s="189"/>
      <c r="M23" s="189"/>
      <c r="N23" s="235" t="s">
        <v>71</v>
      </c>
      <c r="O23" s="343">
        <v>4</v>
      </c>
      <c r="P23" s="169">
        <f>0</f>
        <v>0</v>
      </c>
      <c r="Q23" s="169">
        <f>0</f>
        <v>0</v>
      </c>
      <c r="R23" s="169">
        <f>0</f>
        <v>0</v>
      </c>
      <c r="S23" s="169">
        <f>0</f>
        <v>0</v>
      </c>
      <c r="T23" s="169">
        <f>0</f>
        <v>0</v>
      </c>
      <c r="U23" s="169">
        <f>0</f>
        <v>0</v>
      </c>
      <c r="V23" s="169">
        <f>0</f>
        <v>0</v>
      </c>
      <c r="W23" s="169">
        <f>0</f>
        <v>0</v>
      </c>
      <c r="X23" s="169">
        <f>0</f>
        <v>0</v>
      </c>
      <c r="Y23" s="169">
        <f>0</f>
        <v>0</v>
      </c>
      <c r="Z23" s="219">
        <f>0</f>
        <v>0</v>
      </c>
      <c r="AA23" s="128">
        <f t="shared" si="0"/>
        <v>4</v>
      </c>
      <c r="AB23" s="213">
        <v>4</v>
      </c>
      <c r="AC23" s="137">
        <f t="shared" si="1"/>
        <v>0</v>
      </c>
      <c r="AD23" s="129">
        <v>44756</v>
      </c>
      <c r="AE23" s="195" t="s">
        <v>239</v>
      </c>
      <c r="AF23" s="97" t="s">
        <v>588</v>
      </c>
      <c r="AG23" s="159" t="s">
        <v>273</v>
      </c>
      <c r="AH23" s="101"/>
      <c r="AI23" s="101"/>
      <c r="AJ23" s="102">
        <v>4</v>
      </c>
      <c r="AK23" s="207">
        <f t="shared" si="2"/>
        <v>-4</v>
      </c>
      <c r="AL23" s="101" t="s">
        <v>582</v>
      </c>
      <c r="AM23" s="96"/>
      <c r="AN23" s="103"/>
      <c r="AO23" s="198"/>
    </row>
    <row r="24" spans="1:41" s="330" customFormat="1" ht="30.75" hidden="1" customHeight="1" x14ac:dyDescent="0.35">
      <c r="A24" s="244">
        <v>45</v>
      </c>
      <c r="B24" s="253"/>
      <c r="C24" s="246" t="s">
        <v>237</v>
      </c>
      <c r="D24" s="236"/>
      <c r="E24" s="236"/>
      <c r="F24" s="267" t="s">
        <v>145</v>
      </c>
      <c r="G24" s="268" t="s">
        <v>146</v>
      </c>
      <c r="H24" s="269" t="s">
        <v>147</v>
      </c>
      <c r="I24" s="270" t="s">
        <v>148</v>
      </c>
      <c r="J24" s="271"/>
      <c r="K24" s="266"/>
      <c r="L24" s="97"/>
      <c r="M24" s="97"/>
      <c r="N24" s="235" t="s">
        <v>71</v>
      </c>
      <c r="O24" s="343">
        <v>2</v>
      </c>
      <c r="P24" s="169">
        <f>0</f>
        <v>0</v>
      </c>
      <c r="Q24" s="169">
        <f>0</f>
        <v>0</v>
      </c>
      <c r="R24" s="169">
        <f>0</f>
        <v>0</v>
      </c>
      <c r="S24" s="169">
        <f>0</f>
        <v>0</v>
      </c>
      <c r="T24" s="169">
        <f>0</f>
        <v>0</v>
      </c>
      <c r="U24" s="169">
        <f>0</f>
        <v>0</v>
      </c>
      <c r="V24" s="169">
        <f>0</f>
        <v>0</v>
      </c>
      <c r="W24" s="169">
        <f>0</f>
        <v>0</v>
      </c>
      <c r="X24" s="169">
        <f>0</f>
        <v>0</v>
      </c>
      <c r="Y24" s="169">
        <f>0</f>
        <v>0</v>
      </c>
      <c r="Z24" s="219">
        <f>0</f>
        <v>0</v>
      </c>
      <c r="AA24" s="128">
        <f t="shared" si="0"/>
        <v>2</v>
      </c>
      <c r="AB24" s="175">
        <v>2</v>
      </c>
      <c r="AC24" s="137">
        <f t="shared" si="1"/>
        <v>0</v>
      </c>
      <c r="AD24" s="129">
        <v>44756</v>
      </c>
      <c r="AE24" s="195" t="s">
        <v>239</v>
      </c>
      <c r="AF24" s="97" t="s">
        <v>583</v>
      </c>
      <c r="AG24" s="159"/>
      <c r="AH24" s="101"/>
      <c r="AI24" s="101"/>
      <c r="AJ24" s="102">
        <v>2</v>
      </c>
      <c r="AK24" s="207">
        <f t="shared" si="2"/>
        <v>-2</v>
      </c>
      <c r="AL24" s="101" t="s">
        <v>582</v>
      </c>
      <c r="AM24" s="96"/>
      <c r="AN24" s="103"/>
      <c r="AO24" s="198"/>
    </row>
    <row r="25" spans="1:41" s="120" customFormat="1" ht="30.75" hidden="1" customHeight="1" x14ac:dyDescent="0.35">
      <c r="A25" s="244">
        <v>47</v>
      </c>
      <c r="B25" s="253"/>
      <c r="C25" s="246" t="s">
        <v>237</v>
      </c>
      <c r="D25" s="233"/>
      <c r="E25" s="233"/>
      <c r="F25" s="261" t="s">
        <v>151</v>
      </c>
      <c r="G25" s="262" t="s">
        <v>152</v>
      </c>
      <c r="H25" s="263" t="s">
        <v>153</v>
      </c>
      <c r="I25" s="264" t="s">
        <v>148</v>
      </c>
      <c r="J25" s="265"/>
      <c r="K25" s="266"/>
      <c r="L25" s="189"/>
      <c r="M25" s="189"/>
      <c r="N25" s="235" t="s">
        <v>71</v>
      </c>
      <c r="O25" s="343">
        <v>6</v>
      </c>
      <c r="P25" s="169">
        <f>0</f>
        <v>0</v>
      </c>
      <c r="Q25" s="169">
        <f>0</f>
        <v>0</v>
      </c>
      <c r="R25" s="169">
        <f>0</f>
        <v>0</v>
      </c>
      <c r="S25" s="169">
        <f>0</f>
        <v>0</v>
      </c>
      <c r="T25" s="169">
        <f>0</f>
        <v>0</v>
      </c>
      <c r="U25" s="169">
        <f>0</f>
        <v>0</v>
      </c>
      <c r="V25" s="169">
        <f>0</f>
        <v>0</v>
      </c>
      <c r="W25" s="169">
        <f>0</f>
        <v>0</v>
      </c>
      <c r="X25" s="169">
        <f>0</f>
        <v>0</v>
      </c>
      <c r="Y25" s="169">
        <f>0</f>
        <v>0</v>
      </c>
      <c r="Z25" s="219">
        <f>0</f>
        <v>0</v>
      </c>
      <c r="AA25" s="128">
        <f t="shared" si="0"/>
        <v>6</v>
      </c>
      <c r="AB25" s="213">
        <v>6</v>
      </c>
      <c r="AC25" s="137">
        <f t="shared" si="1"/>
        <v>0</v>
      </c>
      <c r="AD25" s="129">
        <v>44694</v>
      </c>
      <c r="AE25" s="195" t="s">
        <v>239</v>
      </c>
      <c r="AF25" s="97" t="s">
        <v>436</v>
      </c>
      <c r="AG25" s="159" t="s">
        <v>434</v>
      </c>
      <c r="AH25" s="183" t="s">
        <v>437</v>
      </c>
      <c r="AI25" s="101"/>
      <c r="AJ25" s="184" t="s">
        <v>502</v>
      </c>
      <c r="AK25" s="207" t="e">
        <f t="shared" si="2"/>
        <v>#VALUE!</v>
      </c>
      <c r="AL25" s="101" t="s">
        <v>1505</v>
      </c>
      <c r="AM25" s="96"/>
      <c r="AN25" s="103"/>
      <c r="AO25" s="198"/>
    </row>
    <row r="26" spans="1:41" s="120" customFormat="1" ht="63.75" hidden="1" customHeight="1" x14ac:dyDescent="0.35">
      <c r="A26" s="244">
        <v>48</v>
      </c>
      <c r="B26" s="253"/>
      <c r="C26" s="246" t="s">
        <v>237</v>
      </c>
      <c r="D26" s="97"/>
      <c r="E26" s="231"/>
      <c r="F26" s="275" t="s">
        <v>149</v>
      </c>
      <c r="G26" s="276" t="s">
        <v>154</v>
      </c>
      <c r="H26" s="277" t="s">
        <v>155</v>
      </c>
      <c r="I26" s="278" t="s">
        <v>148</v>
      </c>
      <c r="J26" s="279" t="s">
        <v>150</v>
      </c>
      <c r="K26" s="266"/>
      <c r="L26" s="97"/>
      <c r="M26" s="97" t="s">
        <v>432</v>
      </c>
      <c r="N26" s="235" t="s">
        <v>80</v>
      </c>
      <c r="O26" s="343">
        <v>14</v>
      </c>
      <c r="P26" s="169">
        <f>0</f>
        <v>0</v>
      </c>
      <c r="Q26" s="169">
        <f>0</f>
        <v>0</v>
      </c>
      <c r="R26" s="169">
        <f>0</f>
        <v>0</v>
      </c>
      <c r="S26" s="169">
        <f>0</f>
        <v>0</v>
      </c>
      <c r="T26" s="169">
        <f>0</f>
        <v>0</v>
      </c>
      <c r="U26" s="169">
        <f>0</f>
        <v>0</v>
      </c>
      <c r="V26" s="169">
        <f>0</f>
        <v>0</v>
      </c>
      <c r="W26" s="169">
        <f>0</f>
        <v>0</v>
      </c>
      <c r="X26" s="169">
        <f>0</f>
        <v>0</v>
      </c>
      <c r="Y26" s="169">
        <f>0</f>
        <v>0</v>
      </c>
      <c r="Z26" s="219">
        <f>0</f>
        <v>0</v>
      </c>
      <c r="AA26" s="128">
        <f t="shared" si="0"/>
        <v>14</v>
      </c>
      <c r="AB26" s="213">
        <f>0</f>
        <v>0</v>
      </c>
      <c r="AC26" s="137">
        <f t="shared" si="1"/>
        <v>14</v>
      </c>
      <c r="AD26" s="129">
        <v>44694</v>
      </c>
      <c r="AE26" s="195" t="s">
        <v>239</v>
      </c>
      <c r="AF26" s="97" t="s">
        <v>433</v>
      </c>
      <c r="AG26" s="159" t="s">
        <v>434</v>
      </c>
      <c r="AH26" s="101" t="s">
        <v>435</v>
      </c>
      <c r="AI26" s="101"/>
      <c r="AJ26" s="102">
        <v>14</v>
      </c>
      <c r="AK26" s="207">
        <f t="shared" si="2"/>
        <v>0</v>
      </c>
      <c r="AL26" s="101" t="s">
        <v>292</v>
      </c>
      <c r="AM26" s="96"/>
      <c r="AN26" s="103"/>
      <c r="AO26" s="198"/>
    </row>
    <row r="27" spans="1:41" s="120" customFormat="1" ht="30.75" hidden="1" customHeight="1" x14ac:dyDescent="0.35">
      <c r="A27" s="252">
        <v>51</v>
      </c>
      <c r="B27" s="253"/>
      <c r="C27" s="246" t="s">
        <v>237</v>
      </c>
      <c r="D27" s="233"/>
      <c r="E27" s="233"/>
      <c r="F27" s="261" t="s">
        <v>158</v>
      </c>
      <c r="G27" s="262" t="s">
        <v>159</v>
      </c>
      <c r="H27" s="263" t="s">
        <v>160</v>
      </c>
      <c r="I27" s="264" t="s">
        <v>148</v>
      </c>
      <c r="J27" s="265"/>
      <c r="K27" s="280"/>
      <c r="L27" s="189"/>
      <c r="M27" s="189"/>
      <c r="N27" s="235" t="s">
        <v>71</v>
      </c>
      <c r="O27" s="343">
        <v>10</v>
      </c>
      <c r="P27" s="169">
        <f>0</f>
        <v>0</v>
      </c>
      <c r="Q27" s="169">
        <f>0</f>
        <v>0</v>
      </c>
      <c r="R27" s="169">
        <f>0</f>
        <v>0</v>
      </c>
      <c r="S27" s="169">
        <f>0</f>
        <v>0</v>
      </c>
      <c r="T27" s="169">
        <f>0</f>
        <v>0</v>
      </c>
      <c r="U27" s="169">
        <f>0</f>
        <v>0</v>
      </c>
      <c r="V27" s="169">
        <f>0</f>
        <v>0</v>
      </c>
      <c r="W27" s="169">
        <f>0</f>
        <v>0</v>
      </c>
      <c r="X27" s="169">
        <f>0</f>
        <v>0</v>
      </c>
      <c r="Y27" s="169">
        <f>0</f>
        <v>0</v>
      </c>
      <c r="Z27" s="219">
        <f>0</f>
        <v>0</v>
      </c>
      <c r="AA27" s="128">
        <f t="shared" si="0"/>
        <v>10</v>
      </c>
      <c r="AB27" s="213">
        <f>0</f>
        <v>0</v>
      </c>
      <c r="AC27" s="137">
        <f t="shared" si="1"/>
        <v>10</v>
      </c>
      <c r="AD27" s="129" t="s">
        <v>1508</v>
      </c>
      <c r="AE27" s="195" t="s">
        <v>239</v>
      </c>
      <c r="AF27" s="97" t="s">
        <v>1507</v>
      </c>
      <c r="AG27" s="159" t="s">
        <v>266</v>
      </c>
      <c r="AH27" s="101"/>
      <c r="AI27" s="101"/>
      <c r="AJ27" s="102">
        <v>10</v>
      </c>
      <c r="AK27" s="207">
        <f t="shared" si="2"/>
        <v>0</v>
      </c>
      <c r="AL27" s="101" t="s">
        <v>1542</v>
      </c>
      <c r="AM27" s="96"/>
      <c r="AN27" s="103"/>
      <c r="AO27" s="198"/>
    </row>
    <row r="28" spans="1:41" s="120" customFormat="1" ht="51" hidden="1" customHeight="1" x14ac:dyDescent="0.35">
      <c r="A28" s="244">
        <v>52</v>
      </c>
      <c r="B28" s="253"/>
      <c r="C28" s="246" t="s">
        <v>237</v>
      </c>
      <c r="D28" s="97"/>
      <c r="E28" s="231"/>
      <c r="F28" s="275" t="s">
        <v>161</v>
      </c>
      <c r="G28" s="276" t="s">
        <v>1360</v>
      </c>
      <c r="H28" s="277" t="s">
        <v>1361</v>
      </c>
      <c r="I28" s="278" t="s">
        <v>148</v>
      </c>
      <c r="J28" s="279"/>
      <c r="K28" s="266"/>
      <c r="L28" s="97"/>
      <c r="M28" s="97"/>
      <c r="N28" s="235" t="s">
        <v>71</v>
      </c>
      <c r="O28" s="343">
        <v>7</v>
      </c>
      <c r="P28" s="169">
        <f>0</f>
        <v>0</v>
      </c>
      <c r="Q28" s="169">
        <f>0</f>
        <v>0</v>
      </c>
      <c r="R28" s="169">
        <f>0</f>
        <v>0</v>
      </c>
      <c r="S28" s="169">
        <f>0</f>
        <v>0</v>
      </c>
      <c r="T28" s="169">
        <f>0</f>
        <v>0</v>
      </c>
      <c r="U28" s="169">
        <f>0</f>
        <v>0</v>
      </c>
      <c r="V28" s="169">
        <f>0</f>
        <v>0</v>
      </c>
      <c r="W28" s="169">
        <f>0</f>
        <v>0</v>
      </c>
      <c r="X28" s="169">
        <f>0</f>
        <v>0</v>
      </c>
      <c r="Y28" s="169">
        <f>0</f>
        <v>0</v>
      </c>
      <c r="Z28" s="219">
        <f>0</f>
        <v>0</v>
      </c>
      <c r="AA28" s="128">
        <f t="shared" si="0"/>
        <v>7</v>
      </c>
      <c r="AB28" s="213">
        <v>18</v>
      </c>
      <c r="AC28" s="137">
        <f t="shared" si="1"/>
        <v>-11</v>
      </c>
      <c r="AD28" s="129">
        <v>44694</v>
      </c>
      <c r="AE28" s="195" t="s">
        <v>239</v>
      </c>
      <c r="AF28" s="97" t="s">
        <v>584</v>
      </c>
      <c r="AG28" s="159" t="s">
        <v>434</v>
      </c>
      <c r="AH28" s="101" t="s">
        <v>438</v>
      </c>
      <c r="AI28" s="101"/>
      <c r="AJ28" s="102">
        <v>18</v>
      </c>
      <c r="AK28" s="207">
        <f t="shared" si="2"/>
        <v>-29</v>
      </c>
      <c r="AL28" s="101" t="s">
        <v>582</v>
      </c>
      <c r="AM28" s="96"/>
      <c r="AN28" s="103"/>
      <c r="AO28" s="198"/>
    </row>
    <row r="29" spans="1:41" s="120" customFormat="1" ht="30.75" hidden="1" customHeight="1" x14ac:dyDescent="0.35">
      <c r="A29" s="244">
        <v>274</v>
      </c>
      <c r="B29" s="253"/>
      <c r="C29" s="246"/>
      <c r="D29" s="189"/>
      <c r="E29" s="229"/>
      <c r="F29" s="283" t="s">
        <v>472</v>
      </c>
      <c r="G29" s="284" t="s">
        <v>475</v>
      </c>
      <c r="H29" s="285" t="s">
        <v>473</v>
      </c>
      <c r="I29" s="281" t="s">
        <v>148</v>
      </c>
      <c r="J29" s="265"/>
      <c r="K29" s="232"/>
      <c r="L29" s="229"/>
      <c r="M29" s="229"/>
      <c r="N29" s="235" t="s">
        <v>71</v>
      </c>
      <c r="O29" s="343">
        <v>6</v>
      </c>
      <c r="P29" s="169">
        <f>0</f>
        <v>0</v>
      </c>
      <c r="Q29" s="169">
        <f>0</f>
        <v>0</v>
      </c>
      <c r="R29" s="169">
        <f>0</f>
        <v>0</v>
      </c>
      <c r="S29" s="169">
        <f>0</f>
        <v>0</v>
      </c>
      <c r="T29" s="169">
        <f>0</f>
        <v>0</v>
      </c>
      <c r="U29" s="169">
        <f>0</f>
        <v>0</v>
      </c>
      <c r="V29" s="169">
        <f>0</f>
        <v>0</v>
      </c>
      <c r="W29" s="169">
        <f>0</f>
        <v>0</v>
      </c>
      <c r="X29" s="169">
        <f>0</f>
        <v>0</v>
      </c>
      <c r="Y29" s="169">
        <f>0</f>
        <v>0</v>
      </c>
      <c r="Z29" s="219">
        <f>0</f>
        <v>0</v>
      </c>
      <c r="AA29" s="128">
        <f t="shared" si="0"/>
        <v>6</v>
      </c>
      <c r="AB29" s="175"/>
      <c r="AC29" s="137">
        <f t="shared" si="1"/>
        <v>6</v>
      </c>
      <c r="AD29" s="129">
        <v>44756</v>
      </c>
      <c r="AE29" s="195" t="s">
        <v>239</v>
      </c>
      <c r="AF29" s="97" t="s">
        <v>274</v>
      </c>
      <c r="AG29" s="159"/>
      <c r="AH29" s="101"/>
      <c r="AI29" s="101"/>
      <c r="AJ29" s="102"/>
      <c r="AK29" s="207">
        <f t="shared" si="2"/>
        <v>6</v>
      </c>
      <c r="AL29" s="101"/>
      <c r="AM29" s="96"/>
      <c r="AN29" s="103"/>
      <c r="AO29" s="198"/>
    </row>
    <row r="30" spans="1:41" s="120" customFormat="1" ht="30.75" hidden="1" customHeight="1" x14ac:dyDescent="0.35">
      <c r="A30" s="244">
        <v>275</v>
      </c>
      <c r="B30" s="253"/>
      <c r="C30" s="246"/>
      <c r="D30" s="236"/>
      <c r="E30" s="236"/>
      <c r="F30" s="261" t="s">
        <v>149</v>
      </c>
      <c r="G30" s="262" t="s">
        <v>474</v>
      </c>
      <c r="H30" s="263" t="s">
        <v>155</v>
      </c>
      <c r="I30" s="264" t="s">
        <v>148</v>
      </c>
      <c r="J30" s="265"/>
      <c r="K30" s="232"/>
      <c r="L30" s="231"/>
      <c r="M30" s="231"/>
      <c r="N30" s="235" t="s">
        <v>71</v>
      </c>
      <c r="O30" s="343">
        <v>14</v>
      </c>
      <c r="P30" s="169">
        <f>0</f>
        <v>0</v>
      </c>
      <c r="Q30" s="169">
        <f>0</f>
        <v>0</v>
      </c>
      <c r="R30" s="169">
        <f>0</f>
        <v>0</v>
      </c>
      <c r="S30" s="169">
        <f>0</f>
        <v>0</v>
      </c>
      <c r="T30" s="169">
        <f>0</f>
        <v>0</v>
      </c>
      <c r="U30" s="169">
        <f>0</f>
        <v>0</v>
      </c>
      <c r="V30" s="169">
        <f>0</f>
        <v>0</v>
      </c>
      <c r="W30" s="169">
        <f>0</f>
        <v>0</v>
      </c>
      <c r="X30" s="169">
        <f>0</f>
        <v>0</v>
      </c>
      <c r="Y30" s="169">
        <f>0</f>
        <v>0</v>
      </c>
      <c r="Z30" s="219">
        <f>0</f>
        <v>0</v>
      </c>
      <c r="AA30" s="128">
        <f t="shared" si="0"/>
        <v>14</v>
      </c>
      <c r="AB30" s="175">
        <v>26</v>
      </c>
      <c r="AC30" s="137">
        <f t="shared" si="1"/>
        <v>-12</v>
      </c>
      <c r="AD30" s="129">
        <v>44756</v>
      </c>
      <c r="AE30" s="195" t="s">
        <v>239</v>
      </c>
      <c r="AF30" s="97" t="s">
        <v>274</v>
      </c>
      <c r="AG30" s="159"/>
      <c r="AH30" s="101" t="s">
        <v>476</v>
      </c>
      <c r="AI30" s="101"/>
      <c r="AJ30" s="102">
        <v>26</v>
      </c>
      <c r="AK30" s="207">
        <f t="shared" si="2"/>
        <v>-38</v>
      </c>
      <c r="AL30" s="101" t="s">
        <v>550</v>
      </c>
      <c r="AM30" s="96"/>
      <c r="AN30" s="103"/>
      <c r="AO30" s="198"/>
    </row>
    <row r="31" spans="1:41" s="120" customFormat="1" ht="35.5" hidden="1" thickTop="1" x14ac:dyDescent="0.35">
      <c r="A31" s="252">
        <v>375</v>
      </c>
      <c r="B31" s="253">
        <v>44946</v>
      </c>
      <c r="C31" s="246" t="s">
        <v>456</v>
      </c>
      <c r="D31" s="233"/>
      <c r="E31" s="233"/>
      <c r="F31" s="294" t="s">
        <v>967</v>
      </c>
      <c r="G31" s="211" t="s">
        <v>1060</v>
      </c>
      <c r="H31" s="522" t="s">
        <v>1152</v>
      </c>
      <c r="I31" s="539" t="s">
        <v>1180</v>
      </c>
      <c r="J31" s="211"/>
      <c r="K31" s="148"/>
      <c r="L31" s="189"/>
      <c r="M31" s="189"/>
      <c r="N31" s="235"/>
      <c r="O31" s="343">
        <v>8</v>
      </c>
      <c r="P31" s="169">
        <v>0</v>
      </c>
      <c r="Q31" s="169">
        <v>0</v>
      </c>
      <c r="R31" s="169">
        <v>0</v>
      </c>
      <c r="S31" s="169">
        <v>0</v>
      </c>
      <c r="T31" s="169">
        <v>0</v>
      </c>
      <c r="U31" s="169">
        <v>0</v>
      </c>
      <c r="V31" s="169">
        <v>0</v>
      </c>
      <c r="W31" s="169">
        <v>0</v>
      </c>
      <c r="X31" s="169">
        <v>0</v>
      </c>
      <c r="Y31" s="169">
        <f>0</f>
        <v>0</v>
      </c>
      <c r="Z31" s="219">
        <f>0</f>
        <v>0</v>
      </c>
      <c r="AA31" s="149">
        <f t="shared" si="0"/>
        <v>8</v>
      </c>
      <c r="AB31" s="572">
        <v>8</v>
      </c>
      <c r="AC31" s="163">
        <f t="shared" si="1"/>
        <v>0</v>
      </c>
      <c r="AD31" s="129"/>
      <c r="AE31" s="195" t="s">
        <v>531</v>
      </c>
      <c r="AF31" s="97" t="s">
        <v>44</v>
      </c>
      <c r="AG31" s="158"/>
      <c r="AH31" s="205"/>
      <c r="AI31" s="101"/>
      <c r="AJ31" s="102" t="s">
        <v>501</v>
      </c>
      <c r="AK31" s="207" t="e">
        <f t="shared" si="2"/>
        <v>#VALUE!</v>
      </c>
      <c r="AL31" s="101" t="s">
        <v>959</v>
      </c>
      <c r="AM31" s="96"/>
      <c r="AN31" s="103"/>
      <c r="AO31" s="198"/>
    </row>
    <row r="32" spans="1:41" s="120" customFormat="1" ht="30.75" hidden="1" customHeight="1" x14ac:dyDescent="0.35">
      <c r="A32" s="244">
        <v>376</v>
      </c>
      <c r="B32" s="253">
        <v>44946</v>
      </c>
      <c r="C32" s="246" t="s">
        <v>456</v>
      </c>
      <c r="D32" s="236"/>
      <c r="E32" s="236"/>
      <c r="F32" s="291" t="s">
        <v>968</v>
      </c>
      <c r="G32" s="209" t="s">
        <v>1061</v>
      </c>
      <c r="H32" s="524" t="s">
        <v>1153</v>
      </c>
      <c r="I32" s="543" t="s">
        <v>1180</v>
      </c>
      <c r="J32" s="209"/>
      <c r="K32" s="148"/>
      <c r="L32" s="97"/>
      <c r="M32" s="97"/>
      <c r="N32" s="235"/>
      <c r="O32" s="343">
        <v>4</v>
      </c>
      <c r="P32" s="169">
        <v>0</v>
      </c>
      <c r="Q32" s="169">
        <v>0</v>
      </c>
      <c r="R32" s="169">
        <v>0</v>
      </c>
      <c r="S32" s="169">
        <v>0</v>
      </c>
      <c r="T32" s="169">
        <v>0</v>
      </c>
      <c r="U32" s="169">
        <v>0</v>
      </c>
      <c r="V32" s="169">
        <v>0</v>
      </c>
      <c r="W32" s="169">
        <v>0</v>
      </c>
      <c r="X32" s="169">
        <v>0</v>
      </c>
      <c r="Y32" s="169">
        <f>0</f>
        <v>0</v>
      </c>
      <c r="Z32" s="219">
        <f>0</f>
        <v>0</v>
      </c>
      <c r="AA32" s="149">
        <f t="shared" si="0"/>
        <v>4</v>
      </c>
      <c r="AB32" s="572">
        <v>4</v>
      </c>
      <c r="AC32" s="163">
        <f t="shared" si="1"/>
        <v>0</v>
      </c>
      <c r="AD32" s="129"/>
      <c r="AE32" s="195" t="s">
        <v>284</v>
      </c>
      <c r="AF32" s="97" t="s">
        <v>294</v>
      </c>
      <c r="AG32" s="158"/>
      <c r="AH32" s="205"/>
      <c r="AI32" s="101"/>
      <c r="AJ32" s="102" t="s">
        <v>1298</v>
      </c>
      <c r="AK32" s="207" t="e">
        <f t="shared" si="2"/>
        <v>#VALUE!</v>
      </c>
      <c r="AL32" s="101" t="s">
        <v>1297</v>
      </c>
      <c r="AM32" s="96"/>
      <c r="AN32" s="103"/>
      <c r="AO32" s="198"/>
    </row>
    <row r="33" spans="1:41" s="120" customFormat="1" ht="30.75" hidden="1" customHeight="1" x14ac:dyDescent="0.35">
      <c r="A33" s="244">
        <v>377</v>
      </c>
      <c r="B33" s="253">
        <v>44946</v>
      </c>
      <c r="C33" s="246" t="s">
        <v>456</v>
      </c>
      <c r="D33" s="233"/>
      <c r="E33" s="233"/>
      <c r="F33" s="294" t="s">
        <v>969</v>
      </c>
      <c r="G33" s="211" t="s">
        <v>1062</v>
      </c>
      <c r="H33" s="522" t="s">
        <v>1154</v>
      </c>
      <c r="I33" s="539" t="s">
        <v>1180</v>
      </c>
      <c r="J33" s="211"/>
      <c r="K33" s="148"/>
      <c r="L33" s="189"/>
      <c r="M33" s="189"/>
      <c r="N33" s="235"/>
      <c r="O33" s="343">
        <v>3</v>
      </c>
      <c r="P33" s="169">
        <v>0</v>
      </c>
      <c r="Q33" s="169">
        <v>0</v>
      </c>
      <c r="R33" s="169">
        <v>0</v>
      </c>
      <c r="S33" s="169">
        <v>0</v>
      </c>
      <c r="T33" s="169">
        <v>0</v>
      </c>
      <c r="U33" s="169">
        <v>0</v>
      </c>
      <c r="V33" s="169">
        <v>0</v>
      </c>
      <c r="W33" s="169">
        <v>0</v>
      </c>
      <c r="X33" s="169">
        <v>0</v>
      </c>
      <c r="Y33" s="169">
        <f>0</f>
        <v>0</v>
      </c>
      <c r="Z33" s="219">
        <f>0</f>
        <v>0</v>
      </c>
      <c r="AA33" s="149">
        <f t="shared" si="0"/>
        <v>3</v>
      </c>
      <c r="AB33" s="572">
        <v>2</v>
      </c>
      <c r="AC33" s="163">
        <f t="shared" si="1"/>
        <v>1</v>
      </c>
      <c r="AD33" s="129">
        <v>44971</v>
      </c>
      <c r="AE33" s="195" t="s">
        <v>284</v>
      </c>
      <c r="AF33" s="578" t="s">
        <v>1429</v>
      </c>
      <c r="AG33" s="206"/>
      <c r="AH33" s="205"/>
      <c r="AI33" s="101"/>
      <c r="AJ33" s="102" t="s">
        <v>1459</v>
      </c>
      <c r="AK33" s="207" t="e">
        <f t="shared" si="2"/>
        <v>#VALUE!</v>
      </c>
      <c r="AL33" s="101" t="s">
        <v>1460</v>
      </c>
      <c r="AM33" s="96"/>
      <c r="AN33" s="103"/>
      <c r="AO33" s="198"/>
    </row>
    <row r="34" spans="1:41" s="120" customFormat="1" ht="30.75" hidden="1" customHeight="1" x14ac:dyDescent="0.35">
      <c r="A34" s="244">
        <v>378</v>
      </c>
      <c r="B34" s="253">
        <v>44946</v>
      </c>
      <c r="C34" s="246" t="s">
        <v>456</v>
      </c>
      <c r="D34" s="236"/>
      <c r="E34" s="236"/>
      <c r="F34" s="291" t="s">
        <v>970</v>
      </c>
      <c r="G34" s="209" t="s">
        <v>1063</v>
      </c>
      <c r="H34" s="524" t="s">
        <v>1155</v>
      </c>
      <c r="I34" s="543" t="s">
        <v>1180</v>
      </c>
      <c r="J34" s="209"/>
      <c r="K34" s="148"/>
      <c r="L34" s="97"/>
      <c r="M34" s="97"/>
      <c r="N34" s="235"/>
      <c r="O34" s="343">
        <v>10</v>
      </c>
      <c r="P34" s="169">
        <v>0</v>
      </c>
      <c r="Q34" s="169">
        <v>0</v>
      </c>
      <c r="R34" s="169">
        <v>0</v>
      </c>
      <c r="S34" s="169">
        <v>0</v>
      </c>
      <c r="T34" s="169">
        <v>0</v>
      </c>
      <c r="U34" s="169">
        <v>0</v>
      </c>
      <c r="V34" s="169">
        <v>0</v>
      </c>
      <c r="W34" s="169">
        <v>0</v>
      </c>
      <c r="X34" s="169">
        <v>0</v>
      </c>
      <c r="Y34" s="169">
        <f>0</f>
        <v>0</v>
      </c>
      <c r="Z34" s="219">
        <f>0</f>
        <v>0</v>
      </c>
      <c r="AA34" s="149">
        <f t="shared" si="0"/>
        <v>10</v>
      </c>
      <c r="AB34" s="572">
        <v>5</v>
      </c>
      <c r="AC34" s="163">
        <f t="shared" si="1"/>
        <v>5</v>
      </c>
      <c r="AD34" s="129">
        <v>44971</v>
      </c>
      <c r="AE34" s="195" t="s">
        <v>284</v>
      </c>
      <c r="AF34" s="578" t="s">
        <v>1429</v>
      </c>
      <c r="AG34" s="206"/>
      <c r="AH34" s="205"/>
      <c r="AI34" s="101"/>
      <c r="AJ34" s="102" t="s">
        <v>1461</v>
      </c>
      <c r="AK34" s="207" t="e">
        <f t="shared" si="2"/>
        <v>#VALUE!</v>
      </c>
      <c r="AL34" s="101" t="s">
        <v>1460</v>
      </c>
      <c r="AM34" s="96"/>
      <c r="AN34" s="103"/>
      <c r="AO34" s="198"/>
    </row>
    <row r="35" spans="1:41" s="120" customFormat="1" ht="30.75" hidden="1" customHeight="1" x14ac:dyDescent="0.35">
      <c r="A35" s="252">
        <v>379</v>
      </c>
      <c r="B35" s="253">
        <v>44946</v>
      </c>
      <c r="C35" s="246" t="s">
        <v>456</v>
      </c>
      <c r="D35" s="233"/>
      <c r="E35" s="233"/>
      <c r="F35" s="294" t="s">
        <v>971</v>
      </c>
      <c r="G35" s="211" t="s">
        <v>1064</v>
      </c>
      <c r="H35" s="522" t="s">
        <v>1156</v>
      </c>
      <c r="I35" s="539" t="s">
        <v>1180</v>
      </c>
      <c r="J35" s="211"/>
      <c r="K35" s="148"/>
      <c r="L35" s="189"/>
      <c r="M35" s="189"/>
      <c r="N35" s="235"/>
      <c r="O35" s="343">
        <v>73</v>
      </c>
      <c r="P35" s="169">
        <v>0</v>
      </c>
      <c r="Q35" s="169">
        <v>0</v>
      </c>
      <c r="R35" s="169">
        <v>0</v>
      </c>
      <c r="S35" s="169">
        <v>0</v>
      </c>
      <c r="T35" s="169">
        <v>0</v>
      </c>
      <c r="U35" s="169">
        <v>0</v>
      </c>
      <c r="V35" s="169">
        <v>0</v>
      </c>
      <c r="W35" s="169">
        <v>0</v>
      </c>
      <c r="X35" s="169">
        <v>0</v>
      </c>
      <c r="Y35" s="169">
        <f>0</f>
        <v>0</v>
      </c>
      <c r="Z35" s="219">
        <f>0</f>
        <v>0</v>
      </c>
      <c r="AA35" s="149">
        <f t="shared" si="0"/>
        <v>73</v>
      </c>
      <c r="AB35" s="572"/>
      <c r="AC35" s="163">
        <f t="shared" si="1"/>
        <v>73</v>
      </c>
      <c r="AD35" s="129">
        <v>44971</v>
      </c>
      <c r="AE35" s="195" t="s">
        <v>284</v>
      </c>
      <c r="AF35" s="578" t="s">
        <v>1429</v>
      </c>
      <c r="AG35" s="158"/>
      <c r="AH35" s="205"/>
      <c r="AI35" s="101"/>
      <c r="AJ35" s="102" t="s">
        <v>1467</v>
      </c>
      <c r="AK35" s="207" t="e">
        <f t="shared" si="2"/>
        <v>#VALUE!</v>
      </c>
      <c r="AL35" s="101" t="s">
        <v>1462</v>
      </c>
      <c r="AM35" s="96"/>
      <c r="AN35" s="103"/>
      <c r="AO35" s="198"/>
    </row>
    <row r="36" spans="1:41" s="120" customFormat="1" ht="30.75" hidden="1" customHeight="1" x14ac:dyDescent="0.35">
      <c r="A36" s="244">
        <v>380</v>
      </c>
      <c r="B36" s="253">
        <v>44946</v>
      </c>
      <c r="C36" s="246" t="s">
        <v>456</v>
      </c>
      <c r="D36" s="236"/>
      <c r="E36" s="236"/>
      <c r="F36" s="291" t="s">
        <v>972</v>
      </c>
      <c r="G36" s="209" t="s">
        <v>1065</v>
      </c>
      <c r="H36" s="524" t="s">
        <v>1157</v>
      </c>
      <c r="I36" s="543" t="s">
        <v>1180</v>
      </c>
      <c r="J36" s="209"/>
      <c r="K36" s="148"/>
      <c r="L36" s="97"/>
      <c r="M36" s="97"/>
      <c r="N36" s="235"/>
      <c r="O36" s="343">
        <v>1</v>
      </c>
      <c r="P36" s="169">
        <v>0</v>
      </c>
      <c r="Q36" s="169">
        <v>0</v>
      </c>
      <c r="R36" s="169">
        <v>0</v>
      </c>
      <c r="S36" s="169">
        <v>0</v>
      </c>
      <c r="T36" s="169">
        <v>0</v>
      </c>
      <c r="U36" s="169">
        <v>0</v>
      </c>
      <c r="V36" s="169">
        <v>0</v>
      </c>
      <c r="W36" s="169">
        <v>0</v>
      </c>
      <c r="X36" s="169">
        <v>0</v>
      </c>
      <c r="Y36" s="169">
        <f>0</f>
        <v>0</v>
      </c>
      <c r="Z36" s="219">
        <f>0</f>
        <v>0</v>
      </c>
      <c r="AA36" s="128">
        <f t="shared" si="0"/>
        <v>1</v>
      </c>
      <c r="AB36" s="213">
        <v>1</v>
      </c>
      <c r="AC36" s="137">
        <f t="shared" si="1"/>
        <v>0</v>
      </c>
      <c r="AD36" s="129"/>
      <c r="AE36" s="195" t="s">
        <v>284</v>
      </c>
      <c r="AF36" s="97" t="s">
        <v>590</v>
      </c>
      <c r="AG36" s="158"/>
      <c r="AH36" s="205"/>
      <c r="AI36" s="101"/>
      <c r="AJ36" s="102" t="s">
        <v>286</v>
      </c>
      <c r="AK36" s="207" t="e">
        <f t="shared" si="2"/>
        <v>#VALUE!</v>
      </c>
      <c r="AL36" s="101" t="s">
        <v>1299</v>
      </c>
      <c r="AM36" s="96"/>
      <c r="AN36" s="103"/>
      <c r="AO36" s="198"/>
    </row>
    <row r="37" spans="1:41" s="120" customFormat="1" ht="30.75" hidden="1" customHeight="1" x14ac:dyDescent="0.35">
      <c r="A37" s="244">
        <v>381</v>
      </c>
      <c r="B37" s="253">
        <v>44946</v>
      </c>
      <c r="C37" s="246" t="s">
        <v>456</v>
      </c>
      <c r="D37" s="233"/>
      <c r="E37" s="233"/>
      <c r="F37" s="294" t="s">
        <v>973</v>
      </c>
      <c r="G37" s="211" t="s">
        <v>1066</v>
      </c>
      <c r="H37" s="522" t="s">
        <v>1066</v>
      </c>
      <c r="I37" s="539" t="s">
        <v>1180</v>
      </c>
      <c r="J37" s="211"/>
      <c r="K37" s="148"/>
      <c r="L37" s="189"/>
      <c r="M37" s="189"/>
      <c r="N37" s="235"/>
      <c r="O37" s="343">
        <v>13</v>
      </c>
      <c r="P37" s="169">
        <v>0</v>
      </c>
      <c r="Q37" s="169">
        <v>0</v>
      </c>
      <c r="R37" s="169">
        <v>0</v>
      </c>
      <c r="S37" s="169">
        <v>0</v>
      </c>
      <c r="T37" s="169">
        <v>0</v>
      </c>
      <c r="U37" s="169">
        <v>0</v>
      </c>
      <c r="V37" s="169">
        <v>0</v>
      </c>
      <c r="W37" s="169">
        <v>0</v>
      </c>
      <c r="X37" s="169">
        <v>0</v>
      </c>
      <c r="Y37" s="169">
        <f>0</f>
        <v>0</v>
      </c>
      <c r="Z37" s="219">
        <f>0</f>
        <v>0</v>
      </c>
      <c r="AA37" s="128">
        <f t="shared" si="0"/>
        <v>13</v>
      </c>
      <c r="AB37" s="213">
        <v>13</v>
      </c>
      <c r="AC37" s="137">
        <f t="shared" si="1"/>
        <v>0</v>
      </c>
      <c r="AD37" s="129"/>
      <c r="AE37" s="195" t="s">
        <v>531</v>
      </c>
      <c r="AF37" s="97" t="s">
        <v>44</v>
      </c>
      <c r="AG37" s="158"/>
      <c r="AH37" s="205"/>
      <c r="AI37" s="101"/>
      <c r="AJ37" s="102" t="s">
        <v>501</v>
      </c>
      <c r="AK37" s="207" t="e">
        <f t="shared" si="2"/>
        <v>#VALUE!</v>
      </c>
      <c r="AL37" s="101" t="s">
        <v>959</v>
      </c>
      <c r="AM37" s="96"/>
      <c r="AN37" s="103"/>
      <c r="AO37" s="198"/>
    </row>
    <row r="38" spans="1:41" s="120" customFormat="1" ht="30.75" hidden="1" customHeight="1" x14ac:dyDescent="0.35">
      <c r="A38" s="244">
        <v>382</v>
      </c>
      <c r="B38" s="253">
        <v>44946</v>
      </c>
      <c r="C38" s="246" t="s">
        <v>456</v>
      </c>
      <c r="D38" s="236"/>
      <c r="E38" s="236"/>
      <c r="F38" s="291" t="s">
        <v>974</v>
      </c>
      <c r="G38" s="209" t="s">
        <v>1067</v>
      </c>
      <c r="H38" s="524" t="s">
        <v>1158</v>
      </c>
      <c r="I38" s="543" t="s">
        <v>1180</v>
      </c>
      <c r="J38" s="209"/>
      <c r="K38" s="148"/>
      <c r="L38" s="97"/>
      <c r="M38" s="97"/>
      <c r="N38" s="235"/>
      <c r="O38" s="343">
        <v>2</v>
      </c>
      <c r="P38" s="169">
        <v>0</v>
      </c>
      <c r="Q38" s="169">
        <v>0</v>
      </c>
      <c r="R38" s="169">
        <v>0</v>
      </c>
      <c r="S38" s="169">
        <v>0</v>
      </c>
      <c r="T38" s="169">
        <v>0</v>
      </c>
      <c r="U38" s="169">
        <v>0</v>
      </c>
      <c r="V38" s="169">
        <v>0</v>
      </c>
      <c r="W38" s="169">
        <v>0</v>
      </c>
      <c r="X38" s="169">
        <v>0</v>
      </c>
      <c r="Y38" s="169">
        <f>0</f>
        <v>0</v>
      </c>
      <c r="Z38" s="219">
        <f>0</f>
        <v>0</v>
      </c>
      <c r="AA38" s="128">
        <f t="shared" si="0"/>
        <v>2</v>
      </c>
      <c r="AB38" s="213">
        <v>4</v>
      </c>
      <c r="AC38" s="137">
        <f t="shared" si="1"/>
        <v>-2</v>
      </c>
      <c r="AD38" s="129"/>
      <c r="AE38" s="195" t="s">
        <v>531</v>
      </c>
      <c r="AF38" s="97" t="s">
        <v>44</v>
      </c>
      <c r="AG38" s="158"/>
      <c r="AH38" s="205"/>
      <c r="AI38" s="101"/>
      <c r="AJ38" s="102" t="s">
        <v>501</v>
      </c>
      <c r="AK38" s="207" t="e">
        <f t="shared" si="2"/>
        <v>#VALUE!</v>
      </c>
      <c r="AL38" s="101" t="s">
        <v>959</v>
      </c>
      <c r="AM38" s="96"/>
      <c r="AN38" s="103"/>
      <c r="AO38" s="198"/>
    </row>
    <row r="39" spans="1:41" s="120" customFormat="1" ht="30.75" hidden="1" customHeight="1" x14ac:dyDescent="0.35">
      <c r="A39" s="252">
        <v>383</v>
      </c>
      <c r="B39" s="253">
        <v>44946</v>
      </c>
      <c r="C39" s="246" t="s">
        <v>456</v>
      </c>
      <c r="D39" s="233"/>
      <c r="E39" s="233"/>
      <c r="F39" s="294" t="s">
        <v>975</v>
      </c>
      <c r="G39" s="211" t="s">
        <v>1068</v>
      </c>
      <c r="H39" s="522" t="s">
        <v>1159</v>
      </c>
      <c r="I39" s="539" t="s">
        <v>1180</v>
      </c>
      <c r="J39" s="211"/>
      <c r="K39" s="148"/>
      <c r="L39" s="189"/>
      <c r="M39" s="189"/>
      <c r="N39" s="235"/>
      <c r="O39" s="343">
        <v>4</v>
      </c>
      <c r="P39" s="169">
        <v>0</v>
      </c>
      <c r="Q39" s="169">
        <v>0</v>
      </c>
      <c r="R39" s="169">
        <v>0</v>
      </c>
      <c r="S39" s="169">
        <v>0</v>
      </c>
      <c r="T39" s="169">
        <v>0</v>
      </c>
      <c r="U39" s="169">
        <v>0</v>
      </c>
      <c r="V39" s="169">
        <v>0</v>
      </c>
      <c r="W39" s="169">
        <v>0</v>
      </c>
      <c r="X39" s="169">
        <v>0</v>
      </c>
      <c r="Y39" s="169">
        <f>0</f>
        <v>0</v>
      </c>
      <c r="Z39" s="219">
        <f>0</f>
        <v>0</v>
      </c>
      <c r="AA39" s="128">
        <f t="shared" si="0"/>
        <v>4</v>
      </c>
      <c r="AB39" s="213">
        <v>4</v>
      </c>
      <c r="AC39" s="137">
        <f t="shared" si="1"/>
        <v>0</v>
      </c>
      <c r="AD39" s="129"/>
      <c r="AE39" s="195" t="s">
        <v>531</v>
      </c>
      <c r="AF39" s="97" t="s">
        <v>44</v>
      </c>
      <c r="AG39" s="158"/>
      <c r="AH39" s="205"/>
      <c r="AI39" s="101"/>
      <c r="AJ39" s="102" t="s">
        <v>501</v>
      </c>
      <c r="AK39" s="207" t="e">
        <f t="shared" si="2"/>
        <v>#VALUE!</v>
      </c>
      <c r="AL39" s="101" t="s">
        <v>959</v>
      </c>
      <c r="AM39" s="96"/>
      <c r="AN39" s="103"/>
      <c r="AO39" s="198"/>
    </row>
    <row r="40" spans="1:41" s="120" customFormat="1" ht="30.75" hidden="1" customHeight="1" x14ac:dyDescent="0.35">
      <c r="A40" s="244">
        <v>384</v>
      </c>
      <c r="B40" s="253">
        <v>44946</v>
      </c>
      <c r="C40" s="246" t="s">
        <v>456</v>
      </c>
      <c r="D40" s="236"/>
      <c r="E40" s="236"/>
      <c r="F40" s="291" t="s">
        <v>976</v>
      </c>
      <c r="G40" s="209" t="s">
        <v>1069</v>
      </c>
      <c r="H40" s="524" t="s">
        <v>1160</v>
      </c>
      <c r="I40" s="543" t="s">
        <v>1180</v>
      </c>
      <c r="J40" s="209"/>
      <c r="K40" s="148"/>
      <c r="L40" s="97"/>
      <c r="M40" s="97"/>
      <c r="N40" s="235"/>
      <c r="O40" s="343">
        <v>1</v>
      </c>
      <c r="P40" s="169">
        <v>0</v>
      </c>
      <c r="Q40" s="169">
        <v>0</v>
      </c>
      <c r="R40" s="169">
        <v>0</v>
      </c>
      <c r="S40" s="169">
        <v>0</v>
      </c>
      <c r="T40" s="169">
        <v>0</v>
      </c>
      <c r="U40" s="169">
        <v>0</v>
      </c>
      <c r="V40" s="169">
        <v>0</v>
      </c>
      <c r="W40" s="169">
        <v>0</v>
      </c>
      <c r="X40" s="169">
        <v>0</v>
      </c>
      <c r="Y40" s="169">
        <f>0</f>
        <v>0</v>
      </c>
      <c r="Z40" s="219">
        <f>0</f>
        <v>0</v>
      </c>
      <c r="AA40" s="128">
        <f t="shared" si="0"/>
        <v>1</v>
      </c>
      <c r="AB40" s="213">
        <v>1</v>
      </c>
      <c r="AC40" s="137">
        <f t="shared" si="1"/>
        <v>0</v>
      </c>
      <c r="AD40" s="129"/>
      <c r="AE40" s="195" t="s">
        <v>284</v>
      </c>
      <c r="AF40" s="97" t="s">
        <v>294</v>
      </c>
      <c r="AG40" s="158"/>
      <c r="AH40" s="205"/>
      <c r="AI40" s="101"/>
      <c r="AJ40" s="102" t="s">
        <v>286</v>
      </c>
      <c r="AK40" s="207" t="e">
        <f t="shared" si="2"/>
        <v>#VALUE!</v>
      </c>
      <c r="AL40" s="101" t="s">
        <v>1296</v>
      </c>
      <c r="AM40" s="96"/>
      <c r="AN40" s="103"/>
      <c r="AO40" s="198"/>
    </row>
    <row r="41" spans="1:41" s="120" customFormat="1" ht="30.75" hidden="1" customHeight="1" x14ac:dyDescent="0.35">
      <c r="A41" s="244">
        <v>153</v>
      </c>
      <c r="B41" s="297">
        <v>44909</v>
      </c>
      <c r="C41" s="298" t="s">
        <v>374</v>
      </c>
      <c r="D41" s="305" t="s">
        <v>517</v>
      </c>
      <c r="E41" s="507" t="s">
        <v>330</v>
      </c>
      <c r="F41" s="267" t="s">
        <v>518</v>
      </c>
      <c r="G41" s="271" t="s">
        <v>517</v>
      </c>
      <c r="H41" s="269" t="s">
        <v>517</v>
      </c>
      <c r="I41" s="270" t="s">
        <v>519</v>
      </c>
      <c r="J41" s="493" t="s">
        <v>251</v>
      </c>
      <c r="K41" s="301"/>
      <c r="L41" s="306"/>
      <c r="M41" s="307"/>
      <c r="N41" s="235" t="s">
        <v>71</v>
      </c>
      <c r="O41" s="343">
        <v>0</v>
      </c>
      <c r="P41" s="169">
        <f>0</f>
        <v>0</v>
      </c>
      <c r="Q41" s="169">
        <f>0</f>
        <v>0</v>
      </c>
      <c r="R41" s="169">
        <f>0</f>
        <v>0</v>
      </c>
      <c r="S41" s="169">
        <v>4</v>
      </c>
      <c r="T41" s="169">
        <f>0</f>
        <v>0</v>
      </c>
      <c r="U41" s="169">
        <f>0</f>
        <v>0</v>
      </c>
      <c r="V41" s="169">
        <f>0</f>
        <v>0</v>
      </c>
      <c r="W41" s="169">
        <f>0</f>
        <v>0</v>
      </c>
      <c r="X41" s="169">
        <f>0</f>
        <v>0</v>
      </c>
      <c r="Y41" s="169">
        <f>0</f>
        <v>0</v>
      </c>
      <c r="Z41" s="219">
        <f>0</f>
        <v>0</v>
      </c>
      <c r="AA41" s="128">
        <f t="shared" si="0"/>
        <v>4</v>
      </c>
      <c r="AB41" s="213">
        <f>0</f>
        <v>0</v>
      </c>
      <c r="AC41" s="137">
        <f t="shared" si="1"/>
        <v>4</v>
      </c>
      <c r="AD41" s="129"/>
      <c r="AE41" s="195" t="s">
        <v>531</v>
      </c>
      <c r="AF41" s="97" t="s">
        <v>44</v>
      </c>
      <c r="AG41" s="206"/>
      <c r="AH41" s="205"/>
      <c r="AI41" s="101"/>
      <c r="AJ41" s="102"/>
      <c r="AK41" s="207">
        <f t="shared" si="2"/>
        <v>4</v>
      </c>
      <c r="AL41" s="101"/>
      <c r="AM41" s="96"/>
      <c r="AN41" s="103"/>
      <c r="AO41" s="198"/>
    </row>
    <row r="42" spans="1:41" s="120" customFormat="1" ht="30.75" hidden="1" customHeight="1" x14ac:dyDescent="0.35">
      <c r="A42" s="244">
        <v>526</v>
      </c>
      <c r="B42" s="500">
        <v>44971</v>
      </c>
      <c r="C42" s="502" t="s">
        <v>254</v>
      </c>
      <c r="D42" s="236" t="s">
        <v>1423</v>
      </c>
      <c r="E42" s="236" t="s">
        <v>330</v>
      </c>
      <c r="F42" s="291" t="s">
        <v>518</v>
      </c>
      <c r="G42" s="494" t="s">
        <v>1423</v>
      </c>
      <c r="H42" s="526" t="s">
        <v>1423</v>
      </c>
      <c r="I42" s="293" t="s">
        <v>519</v>
      </c>
      <c r="J42" s="209" t="s">
        <v>251</v>
      </c>
      <c r="K42" s="148" t="s">
        <v>252</v>
      </c>
      <c r="L42" s="97" t="s">
        <v>252</v>
      </c>
      <c r="M42" s="97" t="s">
        <v>1424</v>
      </c>
      <c r="N42" s="235" t="s">
        <v>252</v>
      </c>
      <c r="O42" s="343">
        <v>0</v>
      </c>
      <c r="P42" s="169">
        <v>0</v>
      </c>
      <c r="Q42" s="169">
        <v>0</v>
      </c>
      <c r="R42" s="169">
        <v>4</v>
      </c>
      <c r="S42" s="169">
        <v>0</v>
      </c>
      <c r="T42" s="169">
        <v>0</v>
      </c>
      <c r="U42" s="169">
        <v>0</v>
      </c>
      <c r="V42" s="169">
        <v>0</v>
      </c>
      <c r="W42" s="169">
        <v>0</v>
      </c>
      <c r="X42" s="169">
        <v>0</v>
      </c>
      <c r="Y42" s="169">
        <v>0</v>
      </c>
      <c r="Z42" s="219">
        <v>0</v>
      </c>
      <c r="AA42" s="149">
        <f t="shared" si="0"/>
        <v>4</v>
      </c>
      <c r="AB42" s="574"/>
      <c r="AC42" s="577">
        <f t="shared" si="1"/>
        <v>4</v>
      </c>
      <c r="AD42" s="129"/>
      <c r="AE42" s="195" t="s">
        <v>531</v>
      </c>
      <c r="AF42" s="97" t="s">
        <v>44</v>
      </c>
      <c r="AG42" s="206"/>
      <c r="AH42" s="205"/>
      <c r="AI42" s="394"/>
      <c r="AJ42" s="102" t="s">
        <v>501</v>
      </c>
      <c r="AK42" s="207" t="e">
        <f t="shared" si="2"/>
        <v>#VALUE!</v>
      </c>
      <c r="AL42" s="394"/>
      <c r="AM42" s="395"/>
      <c r="AN42" s="396"/>
      <c r="AO42" s="198"/>
    </row>
    <row r="43" spans="1:41" s="120" customFormat="1" ht="30.75" hidden="1" customHeight="1" x14ac:dyDescent="0.35">
      <c r="A43" s="252">
        <v>243</v>
      </c>
      <c r="B43" s="253">
        <v>44939</v>
      </c>
      <c r="C43" s="246" t="s">
        <v>308</v>
      </c>
      <c r="D43" s="233" t="s">
        <v>765</v>
      </c>
      <c r="E43" s="233" t="s">
        <v>330</v>
      </c>
      <c r="F43" s="294" t="s">
        <v>766</v>
      </c>
      <c r="G43" s="158"/>
      <c r="H43" s="289" t="s">
        <v>765</v>
      </c>
      <c r="I43" s="290" t="s">
        <v>775</v>
      </c>
      <c r="J43" s="271" t="s">
        <v>251</v>
      </c>
      <c r="K43" s="232" t="s">
        <v>252</v>
      </c>
      <c r="L43" s="229" t="s">
        <v>252</v>
      </c>
      <c r="M43" s="229"/>
      <c r="N43" s="235" t="s">
        <v>777</v>
      </c>
      <c r="O43" s="343">
        <v>0</v>
      </c>
      <c r="P43" s="169">
        <f>0</f>
        <v>0</v>
      </c>
      <c r="Q43" s="169">
        <v>0</v>
      </c>
      <c r="R43" s="169">
        <f>0</f>
        <v>0</v>
      </c>
      <c r="S43" s="169">
        <v>0</v>
      </c>
      <c r="T43" s="169">
        <v>0</v>
      </c>
      <c r="U43" s="169">
        <v>0</v>
      </c>
      <c r="V43" s="169">
        <f>0</f>
        <v>0</v>
      </c>
      <c r="W43" s="169">
        <v>2</v>
      </c>
      <c r="X43" s="169">
        <f>0</f>
        <v>0</v>
      </c>
      <c r="Y43" s="169">
        <f>0</f>
        <v>0</v>
      </c>
      <c r="Z43" s="219">
        <f>0</f>
        <v>0</v>
      </c>
      <c r="AA43" s="149">
        <f t="shared" si="0"/>
        <v>2</v>
      </c>
      <c r="AB43" s="572"/>
      <c r="AC43" s="163">
        <f t="shared" si="1"/>
        <v>2</v>
      </c>
      <c r="AD43" s="129"/>
      <c r="AE43" s="195" t="s">
        <v>531</v>
      </c>
      <c r="AF43" s="97" t="s">
        <v>44</v>
      </c>
      <c r="AG43" s="158"/>
      <c r="AH43" s="205"/>
      <c r="AI43" s="101"/>
      <c r="AJ43" s="102" t="s">
        <v>501</v>
      </c>
      <c r="AK43" s="207" t="e">
        <f t="shared" si="2"/>
        <v>#VALUE!</v>
      </c>
      <c r="AL43" s="101"/>
      <c r="AM43" s="96"/>
      <c r="AN43" s="103"/>
      <c r="AO43" s="198"/>
    </row>
    <row r="44" spans="1:41" s="308" customFormat="1" ht="30.75" hidden="1" customHeight="1" x14ac:dyDescent="0.35">
      <c r="A44" s="244">
        <v>527</v>
      </c>
      <c r="B44" s="498">
        <v>44981</v>
      </c>
      <c r="C44" s="246" t="s">
        <v>254</v>
      </c>
      <c r="D44" s="236" t="s">
        <v>1471</v>
      </c>
      <c r="E44" s="400"/>
      <c r="F44" s="291" t="s">
        <v>1473</v>
      </c>
      <c r="G44" s="494" t="s">
        <v>1471</v>
      </c>
      <c r="H44" s="526" t="s">
        <v>1471</v>
      </c>
      <c r="I44" s="293" t="s">
        <v>1472</v>
      </c>
      <c r="J44" s="556"/>
      <c r="K44" s="559"/>
      <c r="L44" s="405"/>
      <c r="M44" s="405"/>
      <c r="N44" s="406"/>
      <c r="O44" s="343">
        <v>0</v>
      </c>
      <c r="P44" s="169">
        <v>0</v>
      </c>
      <c r="Q44" s="169">
        <v>0</v>
      </c>
      <c r="R44" s="169">
        <v>0</v>
      </c>
      <c r="S44" s="169">
        <v>0</v>
      </c>
      <c r="T44" s="169">
        <v>0</v>
      </c>
      <c r="U44" s="169">
        <v>0</v>
      </c>
      <c r="V44" s="169">
        <v>1</v>
      </c>
      <c r="W44" s="169">
        <v>0</v>
      </c>
      <c r="X44" s="169">
        <v>0</v>
      </c>
      <c r="Y44" s="169">
        <v>0</v>
      </c>
      <c r="Z44" s="418">
        <v>0</v>
      </c>
      <c r="AA44" s="149">
        <f t="shared" si="0"/>
        <v>1</v>
      </c>
      <c r="AB44" s="620"/>
      <c r="AC44" s="609">
        <f t="shared" si="1"/>
        <v>1</v>
      </c>
      <c r="AD44" s="129"/>
      <c r="AE44" s="195"/>
      <c r="AF44" s="97"/>
      <c r="AG44" s="158"/>
      <c r="AH44" s="205"/>
      <c r="AI44" s="610"/>
      <c r="AJ44" s="585">
        <v>1</v>
      </c>
      <c r="AK44" s="207">
        <f t="shared" si="2"/>
        <v>0</v>
      </c>
      <c r="AL44" s="101" t="s">
        <v>1632</v>
      </c>
      <c r="AM44" s="590"/>
      <c r="AN44" s="591"/>
      <c r="AO44" s="198"/>
    </row>
    <row r="45" spans="1:41" s="120" customFormat="1" ht="30.75" hidden="1" customHeight="1" x14ac:dyDescent="0.35">
      <c r="A45" s="244">
        <v>83</v>
      </c>
      <c r="B45" s="297">
        <v>44756</v>
      </c>
      <c r="C45" s="298" t="s">
        <v>254</v>
      </c>
      <c r="D45" s="305" t="s">
        <v>564</v>
      </c>
      <c r="E45" s="233" t="s">
        <v>324</v>
      </c>
      <c r="F45" s="294" t="s">
        <v>563</v>
      </c>
      <c r="G45" s="158" t="s">
        <v>488</v>
      </c>
      <c r="H45" s="289"/>
      <c r="I45" s="290" t="s">
        <v>255</v>
      </c>
      <c r="J45" s="294"/>
      <c r="K45" s="319"/>
      <c r="L45" s="241" t="s">
        <v>252</v>
      </c>
      <c r="M45" s="189" t="s">
        <v>909</v>
      </c>
      <c r="N45" s="235" t="s">
        <v>950</v>
      </c>
      <c r="O45" s="417">
        <v>2</v>
      </c>
      <c r="P45" s="90">
        <f>0</f>
        <v>0</v>
      </c>
      <c r="Q45" s="90">
        <f>0</f>
        <v>0</v>
      </c>
      <c r="R45" s="90">
        <f>0</f>
        <v>0</v>
      </c>
      <c r="S45" s="90">
        <f>0</f>
        <v>0</v>
      </c>
      <c r="T45" s="90">
        <f>0</f>
        <v>0</v>
      </c>
      <c r="U45" s="90">
        <f>0</f>
        <v>0</v>
      </c>
      <c r="V45" s="90">
        <f>0</f>
        <v>0</v>
      </c>
      <c r="W45" s="90">
        <f>0</f>
        <v>0</v>
      </c>
      <c r="X45" s="90">
        <f>0</f>
        <v>0</v>
      </c>
      <c r="Y45" s="90">
        <f>0</f>
        <v>0</v>
      </c>
      <c r="Z45" s="418">
        <f>0</f>
        <v>0</v>
      </c>
      <c r="AA45" s="149">
        <f t="shared" si="0"/>
        <v>2</v>
      </c>
      <c r="AB45" s="572">
        <f>0</f>
        <v>0</v>
      </c>
      <c r="AC45" s="163">
        <f t="shared" si="1"/>
        <v>2</v>
      </c>
      <c r="AD45" s="129"/>
      <c r="AE45" s="195" t="s">
        <v>239</v>
      </c>
      <c r="AF45" s="97"/>
      <c r="AG45" s="215"/>
      <c r="AH45" s="111"/>
      <c r="AI45" s="101" t="s">
        <v>1448</v>
      </c>
      <c r="AJ45" s="102">
        <v>2</v>
      </c>
      <c r="AK45" s="207">
        <f t="shared" si="2"/>
        <v>0</v>
      </c>
      <c r="AL45" s="101" t="s">
        <v>1554</v>
      </c>
      <c r="AM45" s="96"/>
      <c r="AN45" s="103"/>
      <c r="AO45" s="198"/>
    </row>
    <row r="46" spans="1:41" s="120" customFormat="1" ht="30.75" hidden="1" customHeight="1" x14ac:dyDescent="0.35">
      <c r="A46" s="244">
        <v>84</v>
      </c>
      <c r="B46" s="297">
        <v>44756</v>
      </c>
      <c r="C46" s="298" t="s">
        <v>254</v>
      </c>
      <c r="D46" s="299" t="s">
        <v>562</v>
      </c>
      <c r="E46" s="236" t="s">
        <v>324</v>
      </c>
      <c r="F46" s="291" t="s">
        <v>561</v>
      </c>
      <c r="G46" s="210" t="s">
        <v>489</v>
      </c>
      <c r="H46" s="292"/>
      <c r="I46" s="293" t="s">
        <v>255</v>
      </c>
      <c r="J46" s="291"/>
      <c r="K46" s="319"/>
      <c r="L46" s="185" t="s">
        <v>252</v>
      </c>
      <c r="M46" s="97" t="s">
        <v>908</v>
      </c>
      <c r="N46" s="235" t="s">
        <v>953</v>
      </c>
      <c r="O46" s="417">
        <v>2</v>
      </c>
      <c r="P46" s="90">
        <f>0</f>
        <v>0</v>
      </c>
      <c r="Q46" s="90">
        <f>0</f>
        <v>0</v>
      </c>
      <c r="R46" s="90">
        <f>0</f>
        <v>0</v>
      </c>
      <c r="S46" s="90">
        <f>0</f>
        <v>0</v>
      </c>
      <c r="T46" s="90">
        <f>0</f>
        <v>0</v>
      </c>
      <c r="U46" s="90">
        <f>0</f>
        <v>0</v>
      </c>
      <c r="V46" s="90">
        <f>0</f>
        <v>0</v>
      </c>
      <c r="W46" s="90">
        <f>0</f>
        <v>0</v>
      </c>
      <c r="X46" s="90">
        <f>0</f>
        <v>0</v>
      </c>
      <c r="Y46" s="90">
        <f>0</f>
        <v>0</v>
      </c>
      <c r="Z46" s="418">
        <f>0</f>
        <v>0</v>
      </c>
      <c r="AA46" s="149">
        <f t="shared" si="0"/>
        <v>2</v>
      </c>
      <c r="AB46" s="572">
        <f>0</f>
        <v>0</v>
      </c>
      <c r="AC46" s="163">
        <f t="shared" si="1"/>
        <v>2</v>
      </c>
      <c r="AD46" s="129"/>
      <c r="AE46" s="195" t="s">
        <v>239</v>
      </c>
      <c r="AF46" s="97"/>
      <c r="AG46" s="215"/>
      <c r="AH46" s="111"/>
      <c r="AI46" s="101" t="s">
        <v>1448</v>
      </c>
      <c r="AJ46" s="102">
        <v>2</v>
      </c>
      <c r="AK46" s="207">
        <f t="shared" si="2"/>
        <v>0</v>
      </c>
      <c r="AL46" s="101" t="s">
        <v>1554</v>
      </c>
      <c r="AM46" s="96"/>
      <c r="AN46" s="103"/>
      <c r="AO46" s="198"/>
    </row>
    <row r="47" spans="1:41" s="120" customFormat="1" ht="30.75" hidden="1" customHeight="1" x14ac:dyDescent="0.35">
      <c r="A47" s="252">
        <v>85</v>
      </c>
      <c r="B47" s="297">
        <v>44756</v>
      </c>
      <c r="C47" s="298" t="s">
        <v>254</v>
      </c>
      <c r="D47" s="305">
        <v>842900300</v>
      </c>
      <c r="E47" s="233">
        <v>0</v>
      </c>
      <c r="F47" s="294" t="s">
        <v>256</v>
      </c>
      <c r="G47" s="158" t="s">
        <v>257</v>
      </c>
      <c r="H47" s="289">
        <v>842900300</v>
      </c>
      <c r="I47" s="290" t="s">
        <v>255</v>
      </c>
      <c r="J47" s="294"/>
      <c r="K47" s="319"/>
      <c r="L47" s="241" t="s">
        <v>252</v>
      </c>
      <c r="M47" s="241" t="s">
        <v>252</v>
      </c>
      <c r="N47" s="235" t="s">
        <v>71</v>
      </c>
      <c r="O47" s="417">
        <v>9</v>
      </c>
      <c r="P47" s="90">
        <f>0</f>
        <v>0</v>
      </c>
      <c r="Q47" s="90">
        <f>0</f>
        <v>0</v>
      </c>
      <c r="R47" s="90">
        <f>0</f>
        <v>0</v>
      </c>
      <c r="S47" s="90">
        <f>0</f>
        <v>0</v>
      </c>
      <c r="T47" s="90">
        <f>0</f>
        <v>0</v>
      </c>
      <c r="U47" s="90">
        <v>1</v>
      </c>
      <c r="V47" s="90">
        <f>0</f>
        <v>0</v>
      </c>
      <c r="W47" s="90">
        <f>0</f>
        <v>0</v>
      </c>
      <c r="X47" s="90">
        <f>0</f>
        <v>0</v>
      </c>
      <c r="Y47" s="90">
        <f>0</f>
        <v>0</v>
      </c>
      <c r="Z47" s="418">
        <f>0</f>
        <v>0</v>
      </c>
      <c r="AA47" s="149">
        <f t="shared" si="0"/>
        <v>10</v>
      </c>
      <c r="AB47" s="572">
        <v>6</v>
      </c>
      <c r="AC47" s="163">
        <f t="shared" si="1"/>
        <v>4</v>
      </c>
      <c r="AD47" s="129"/>
      <c r="AE47" s="195" t="s">
        <v>239</v>
      </c>
      <c r="AF47" s="97" t="s">
        <v>1564</v>
      </c>
      <c r="AG47" s="215"/>
      <c r="AH47" s="111"/>
      <c r="AI47" s="101" t="s">
        <v>1448</v>
      </c>
      <c r="AJ47" s="102" t="s">
        <v>1628</v>
      </c>
      <c r="AK47" s="207" t="e">
        <f t="shared" si="2"/>
        <v>#VALUE!</v>
      </c>
      <c r="AL47" s="101" t="s">
        <v>1629</v>
      </c>
      <c r="AM47" s="96"/>
      <c r="AN47" s="103"/>
      <c r="AO47" s="198"/>
    </row>
    <row r="48" spans="1:41" s="120" customFormat="1" ht="30.75" hidden="1" customHeight="1" x14ac:dyDescent="0.35">
      <c r="A48" s="244">
        <v>86</v>
      </c>
      <c r="B48" s="297">
        <v>44756</v>
      </c>
      <c r="C48" s="298" t="s">
        <v>254</v>
      </c>
      <c r="D48" s="299">
        <v>3842557600</v>
      </c>
      <c r="E48" s="236">
        <v>0</v>
      </c>
      <c r="F48" s="291" t="s">
        <v>258</v>
      </c>
      <c r="G48" s="210" t="s">
        <v>259</v>
      </c>
      <c r="H48" s="292">
        <v>3842557600</v>
      </c>
      <c r="I48" s="293" t="s">
        <v>255</v>
      </c>
      <c r="J48" s="291"/>
      <c r="K48" s="319"/>
      <c r="L48" s="185" t="s">
        <v>252</v>
      </c>
      <c r="M48" s="185" t="s">
        <v>252</v>
      </c>
      <c r="N48" s="235" t="s">
        <v>71</v>
      </c>
      <c r="O48" s="417">
        <v>10</v>
      </c>
      <c r="P48" s="90">
        <f>0</f>
        <v>0</v>
      </c>
      <c r="Q48" s="90">
        <f>0</f>
        <v>0</v>
      </c>
      <c r="R48" s="90">
        <f>0</f>
        <v>0</v>
      </c>
      <c r="S48" s="90">
        <f>0</f>
        <v>0</v>
      </c>
      <c r="T48" s="90">
        <f>0</f>
        <v>0</v>
      </c>
      <c r="U48" s="90">
        <f>0</f>
        <v>0</v>
      </c>
      <c r="V48" s="90">
        <f>0</f>
        <v>0</v>
      </c>
      <c r="W48" s="90">
        <f>0</f>
        <v>0</v>
      </c>
      <c r="X48" s="90">
        <f>0</f>
        <v>0</v>
      </c>
      <c r="Y48" s="90">
        <f>0</f>
        <v>0</v>
      </c>
      <c r="Z48" s="418">
        <f>0</f>
        <v>0</v>
      </c>
      <c r="AA48" s="149">
        <f t="shared" si="0"/>
        <v>10</v>
      </c>
      <c r="AB48" s="572">
        <v>6</v>
      </c>
      <c r="AC48" s="163">
        <f t="shared" si="1"/>
        <v>4</v>
      </c>
      <c r="AD48" s="129"/>
      <c r="AE48" s="195" t="s">
        <v>239</v>
      </c>
      <c r="AF48" s="97" t="s">
        <v>590</v>
      </c>
      <c r="AG48" s="215"/>
      <c r="AH48" s="111"/>
      <c r="AI48" s="101" t="s">
        <v>1448</v>
      </c>
      <c r="AJ48" s="102" t="s">
        <v>1496</v>
      </c>
      <c r="AK48" s="207" t="e">
        <f t="shared" si="2"/>
        <v>#VALUE!</v>
      </c>
      <c r="AL48" s="101" t="s">
        <v>1497</v>
      </c>
      <c r="AM48" s="96"/>
      <c r="AN48" s="103"/>
      <c r="AO48" s="198"/>
    </row>
    <row r="49" spans="1:41" s="120" customFormat="1" ht="30.75" hidden="1" customHeight="1" x14ac:dyDescent="0.35">
      <c r="A49" s="244">
        <v>87</v>
      </c>
      <c r="B49" s="297">
        <v>44756</v>
      </c>
      <c r="C49" s="298" t="s">
        <v>254</v>
      </c>
      <c r="D49" s="306">
        <v>3842174304</v>
      </c>
      <c r="E49" s="254">
        <v>0</v>
      </c>
      <c r="F49" s="456" t="s">
        <v>260</v>
      </c>
      <c r="G49" s="457" t="s">
        <v>261</v>
      </c>
      <c r="H49" s="458">
        <v>3842174304</v>
      </c>
      <c r="I49" s="459" t="s">
        <v>255</v>
      </c>
      <c r="J49" s="456"/>
      <c r="K49" s="599"/>
      <c r="L49" s="455" t="s">
        <v>252</v>
      </c>
      <c r="M49" s="455" t="s">
        <v>252</v>
      </c>
      <c r="N49" s="100" t="s">
        <v>71</v>
      </c>
      <c r="O49" s="417">
        <v>0</v>
      </c>
      <c r="P49" s="90">
        <f>0</f>
        <v>0</v>
      </c>
      <c r="Q49" s="90">
        <f>0</f>
        <v>0</v>
      </c>
      <c r="R49" s="90">
        <f>0</f>
        <v>0</v>
      </c>
      <c r="S49" s="90">
        <f>0</f>
        <v>0</v>
      </c>
      <c r="T49" s="90">
        <f>0</f>
        <v>0</v>
      </c>
      <c r="U49" s="90">
        <f>0</f>
        <v>0</v>
      </c>
      <c r="V49" s="90">
        <f>0</f>
        <v>0</v>
      </c>
      <c r="W49" s="90">
        <f>0</f>
        <v>0</v>
      </c>
      <c r="X49" s="90">
        <f>0</f>
        <v>0</v>
      </c>
      <c r="Y49" s="90">
        <f>0</f>
        <v>0</v>
      </c>
      <c r="Z49" s="418">
        <v>36</v>
      </c>
      <c r="AA49" s="149">
        <f t="shared" si="0"/>
        <v>36</v>
      </c>
      <c r="AB49" s="572">
        <f>0</f>
        <v>0</v>
      </c>
      <c r="AC49" s="163">
        <f t="shared" si="1"/>
        <v>36</v>
      </c>
      <c r="AD49" s="461"/>
      <c r="AE49" s="195" t="s">
        <v>239</v>
      </c>
      <c r="AF49" s="90" t="s">
        <v>740</v>
      </c>
      <c r="AG49" s="156"/>
      <c r="AH49" s="112"/>
      <c r="AI49" s="101" t="s">
        <v>1448</v>
      </c>
      <c r="AJ49" s="102" t="s">
        <v>1555</v>
      </c>
      <c r="AK49" s="462" t="e">
        <f t="shared" si="2"/>
        <v>#VALUE!</v>
      </c>
      <c r="AL49" s="101" t="s">
        <v>1557</v>
      </c>
      <c r="AM49" s="96"/>
      <c r="AN49" s="103"/>
      <c r="AO49" s="463"/>
    </row>
    <row r="50" spans="1:41" s="120" customFormat="1" ht="30.75" hidden="1" customHeight="1" x14ac:dyDescent="0.35">
      <c r="A50" s="244">
        <v>88</v>
      </c>
      <c r="B50" s="297">
        <v>44756</v>
      </c>
      <c r="C50" s="298" t="s">
        <v>254</v>
      </c>
      <c r="D50" s="302">
        <v>3842524614</v>
      </c>
      <c r="E50" s="327">
        <v>0</v>
      </c>
      <c r="F50" s="510" t="s">
        <v>262</v>
      </c>
      <c r="G50" s="517" t="s">
        <v>263</v>
      </c>
      <c r="H50" s="527">
        <v>3842524614</v>
      </c>
      <c r="I50" s="547" t="s">
        <v>255</v>
      </c>
      <c r="J50" s="510"/>
      <c r="K50" s="599"/>
      <c r="L50" s="562" t="s">
        <v>252</v>
      </c>
      <c r="M50" s="562" t="s">
        <v>252</v>
      </c>
      <c r="N50" s="100" t="s">
        <v>71</v>
      </c>
      <c r="O50" s="417">
        <v>0</v>
      </c>
      <c r="P50" s="90">
        <f>0</f>
        <v>0</v>
      </c>
      <c r="Q50" s="90">
        <f>0</f>
        <v>0</v>
      </c>
      <c r="R50" s="90">
        <f>0</f>
        <v>0</v>
      </c>
      <c r="S50" s="90">
        <f>0</f>
        <v>0</v>
      </c>
      <c r="T50" s="90">
        <f>0</f>
        <v>0</v>
      </c>
      <c r="U50" s="90">
        <f>0</f>
        <v>0</v>
      </c>
      <c r="V50" s="90">
        <f>0</f>
        <v>0</v>
      </c>
      <c r="W50" s="90">
        <f>0</f>
        <v>0</v>
      </c>
      <c r="X50" s="90">
        <f>0</f>
        <v>0</v>
      </c>
      <c r="Y50" s="90">
        <f>0</f>
        <v>0</v>
      </c>
      <c r="Z50" s="418">
        <v>36</v>
      </c>
      <c r="AA50" s="149">
        <f t="shared" si="0"/>
        <v>36</v>
      </c>
      <c r="AB50" s="572">
        <f>0</f>
        <v>0</v>
      </c>
      <c r="AC50" s="163">
        <f t="shared" si="1"/>
        <v>36</v>
      </c>
      <c r="AD50" s="461"/>
      <c r="AE50" s="195" t="s">
        <v>239</v>
      </c>
      <c r="AF50" s="90" t="s">
        <v>740</v>
      </c>
      <c r="AG50" s="583"/>
      <c r="AH50" s="112"/>
      <c r="AI50" s="101" t="s">
        <v>1448</v>
      </c>
      <c r="AJ50" s="102" t="s">
        <v>1555</v>
      </c>
      <c r="AK50" s="462" t="e">
        <f t="shared" si="2"/>
        <v>#VALUE!</v>
      </c>
      <c r="AL50" s="101" t="s">
        <v>1556</v>
      </c>
      <c r="AM50" s="96"/>
      <c r="AN50" s="103"/>
      <c r="AO50" s="463"/>
    </row>
    <row r="51" spans="1:41" s="120" customFormat="1" ht="30.75" hidden="1" customHeight="1" x14ac:dyDescent="0.35">
      <c r="A51" s="252">
        <v>199</v>
      </c>
      <c r="B51" s="253" t="s">
        <v>616</v>
      </c>
      <c r="C51" s="246" t="s">
        <v>617</v>
      </c>
      <c r="D51" s="305" t="s">
        <v>1401</v>
      </c>
      <c r="E51" s="326" t="s">
        <v>340</v>
      </c>
      <c r="F51" s="271" t="s">
        <v>661</v>
      </c>
      <c r="G51" s="515"/>
      <c r="H51" s="269" t="s">
        <v>662</v>
      </c>
      <c r="I51" s="538" t="s">
        <v>255</v>
      </c>
      <c r="J51" s="271" t="s">
        <v>251</v>
      </c>
      <c r="K51" s="232" t="s">
        <v>252</v>
      </c>
      <c r="L51" s="229" t="s">
        <v>252</v>
      </c>
      <c r="M51" s="229"/>
      <c r="N51" s="235" t="s">
        <v>712</v>
      </c>
      <c r="O51" s="417">
        <f>0</f>
        <v>0</v>
      </c>
      <c r="P51" s="90">
        <f>0</f>
        <v>0</v>
      </c>
      <c r="Q51" s="90">
        <f>0</f>
        <v>0</v>
      </c>
      <c r="R51" s="90">
        <f>0</f>
        <v>0</v>
      </c>
      <c r="S51" s="90">
        <f>0</f>
        <v>0</v>
      </c>
      <c r="T51" s="90">
        <f>0</f>
        <v>0</v>
      </c>
      <c r="U51" s="90">
        <f>0</f>
        <v>0</v>
      </c>
      <c r="V51" s="90">
        <f>0</f>
        <v>0</v>
      </c>
      <c r="W51" s="90">
        <v>16</v>
      </c>
      <c r="X51" s="90">
        <f>0</f>
        <v>0</v>
      </c>
      <c r="Y51" s="90">
        <f>0</f>
        <v>0</v>
      </c>
      <c r="Z51" s="418">
        <f>0</f>
        <v>0</v>
      </c>
      <c r="AA51" s="149">
        <f t="shared" si="0"/>
        <v>16</v>
      </c>
      <c r="AB51" s="572"/>
      <c r="AC51" s="163">
        <f t="shared" si="1"/>
        <v>16</v>
      </c>
      <c r="AD51" s="129">
        <v>44938</v>
      </c>
      <c r="AE51" s="195" t="s">
        <v>284</v>
      </c>
      <c r="AF51" s="220" t="s">
        <v>751</v>
      </c>
      <c r="AG51" s="158"/>
      <c r="AH51" s="205"/>
      <c r="AI51" s="101"/>
      <c r="AJ51" s="102" t="s">
        <v>501</v>
      </c>
      <c r="AK51" s="207" t="e">
        <f t="shared" si="2"/>
        <v>#VALUE!</v>
      </c>
      <c r="AL51" s="101"/>
      <c r="AM51" s="96"/>
      <c r="AN51" s="103"/>
      <c r="AO51" s="198"/>
    </row>
    <row r="52" spans="1:41" s="120" customFormat="1" ht="30.75" hidden="1" customHeight="1" x14ac:dyDescent="0.35">
      <c r="A52" s="244">
        <v>221</v>
      </c>
      <c r="B52" s="253">
        <v>44928</v>
      </c>
      <c r="C52" s="246" t="s">
        <v>617</v>
      </c>
      <c r="D52" s="236" t="s">
        <v>715</v>
      </c>
      <c r="E52" s="236" t="s">
        <v>340</v>
      </c>
      <c r="F52" s="291" t="s">
        <v>661</v>
      </c>
      <c r="G52" s="210"/>
      <c r="H52" s="292" t="s">
        <v>662</v>
      </c>
      <c r="I52" s="293" t="s">
        <v>255</v>
      </c>
      <c r="J52" s="265" t="s">
        <v>251</v>
      </c>
      <c r="K52" s="232" t="s">
        <v>252</v>
      </c>
      <c r="L52" s="231" t="s">
        <v>252</v>
      </c>
      <c r="M52" s="231"/>
      <c r="N52" s="235" t="s">
        <v>716</v>
      </c>
      <c r="O52" s="417">
        <v>0</v>
      </c>
      <c r="P52" s="90">
        <f>0</f>
        <v>0</v>
      </c>
      <c r="Q52" s="90">
        <v>0</v>
      </c>
      <c r="R52" s="90">
        <f>0</f>
        <v>0</v>
      </c>
      <c r="S52" s="90">
        <v>0</v>
      </c>
      <c r="T52" s="90">
        <v>0</v>
      </c>
      <c r="U52" s="90">
        <v>0</v>
      </c>
      <c r="V52" s="90">
        <f>0</f>
        <v>0</v>
      </c>
      <c r="W52" s="90">
        <v>6</v>
      </c>
      <c r="X52" s="90">
        <f>0</f>
        <v>0</v>
      </c>
      <c r="Y52" s="90">
        <f>0</f>
        <v>0</v>
      </c>
      <c r="Z52" s="418">
        <f>0</f>
        <v>0</v>
      </c>
      <c r="AA52" s="149">
        <f t="shared" si="0"/>
        <v>6</v>
      </c>
      <c r="AB52" s="572"/>
      <c r="AC52" s="163">
        <f t="shared" si="1"/>
        <v>6</v>
      </c>
      <c r="AD52" s="129">
        <v>44938</v>
      </c>
      <c r="AE52" s="195" t="s">
        <v>284</v>
      </c>
      <c r="AF52" s="220" t="s">
        <v>751</v>
      </c>
      <c r="AG52" s="158"/>
      <c r="AH52" s="205"/>
      <c r="AI52" s="101"/>
      <c r="AJ52" s="102" t="s">
        <v>501</v>
      </c>
      <c r="AK52" s="207" t="e">
        <f t="shared" si="2"/>
        <v>#VALUE!</v>
      </c>
      <c r="AL52" s="101"/>
      <c r="AM52" s="96"/>
      <c r="AN52" s="103"/>
      <c r="AO52" s="198"/>
    </row>
    <row r="53" spans="1:41" s="120" customFormat="1" ht="30.75" hidden="1" customHeight="1" x14ac:dyDescent="0.35">
      <c r="A53" s="244">
        <v>198</v>
      </c>
      <c r="B53" s="253" t="s">
        <v>616</v>
      </c>
      <c r="C53" s="246" t="s">
        <v>617</v>
      </c>
      <c r="D53" s="305" t="s">
        <v>658</v>
      </c>
      <c r="E53" s="326" t="s">
        <v>330</v>
      </c>
      <c r="F53" s="271" t="s">
        <v>659</v>
      </c>
      <c r="G53" s="515"/>
      <c r="H53" s="269" t="s">
        <v>658</v>
      </c>
      <c r="I53" s="538" t="s">
        <v>660</v>
      </c>
      <c r="J53" s="271" t="s">
        <v>251</v>
      </c>
      <c r="K53" s="232" t="s">
        <v>252</v>
      </c>
      <c r="L53" s="229" t="s">
        <v>252</v>
      </c>
      <c r="M53" s="229"/>
      <c r="N53" s="235" t="s">
        <v>712</v>
      </c>
      <c r="O53" s="343">
        <f>0</f>
        <v>0</v>
      </c>
      <c r="P53" s="169">
        <f>0</f>
        <v>0</v>
      </c>
      <c r="Q53" s="169">
        <f>0</f>
        <v>0</v>
      </c>
      <c r="R53" s="169">
        <f>0</f>
        <v>0</v>
      </c>
      <c r="S53" s="169">
        <f>0</f>
        <v>0</v>
      </c>
      <c r="T53" s="169">
        <f>0</f>
        <v>0</v>
      </c>
      <c r="U53" s="169">
        <f>0</f>
        <v>0</v>
      </c>
      <c r="V53" s="169">
        <f>0</f>
        <v>0</v>
      </c>
      <c r="W53" s="169">
        <v>8</v>
      </c>
      <c r="X53" s="169">
        <f>0</f>
        <v>0</v>
      </c>
      <c r="Y53" s="169">
        <f>0</f>
        <v>0</v>
      </c>
      <c r="Z53" s="219">
        <f>0</f>
        <v>0</v>
      </c>
      <c r="AA53" s="128">
        <f t="shared" si="0"/>
        <v>8</v>
      </c>
      <c r="AB53" s="213"/>
      <c r="AC53" s="137">
        <f t="shared" si="1"/>
        <v>8</v>
      </c>
      <c r="AD53" s="129">
        <v>44945</v>
      </c>
      <c r="AE53" s="195" t="s">
        <v>284</v>
      </c>
      <c r="AF53" s="97" t="s">
        <v>1333</v>
      </c>
      <c r="AG53" s="158"/>
      <c r="AH53" s="205"/>
      <c r="AI53" s="101"/>
      <c r="AJ53" s="102">
        <v>8</v>
      </c>
      <c r="AK53" s="207">
        <f t="shared" si="2"/>
        <v>0</v>
      </c>
      <c r="AL53" s="101" t="s">
        <v>1250</v>
      </c>
      <c r="AM53" s="96"/>
      <c r="AN53" s="103"/>
      <c r="AO53" s="198"/>
    </row>
    <row r="54" spans="1:41" s="120" customFormat="1" ht="30.75" hidden="1" customHeight="1" x14ac:dyDescent="0.35">
      <c r="A54" s="244">
        <v>385</v>
      </c>
      <c r="B54" s="253">
        <v>44946</v>
      </c>
      <c r="C54" s="246" t="s">
        <v>456</v>
      </c>
      <c r="D54" s="236"/>
      <c r="E54" s="400"/>
      <c r="F54" s="291" t="s">
        <v>977</v>
      </c>
      <c r="G54" s="209" t="s">
        <v>1070</v>
      </c>
      <c r="H54" s="524" t="s">
        <v>1070</v>
      </c>
      <c r="I54" s="543" t="s">
        <v>1181</v>
      </c>
      <c r="J54" s="209"/>
      <c r="K54" s="148"/>
      <c r="L54" s="97"/>
      <c r="M54" s="97"/>
      <c r="N54" s="235"/>
      <c r="O54" s="343">
        <v>1</v>
      </c>
      <c r="P54" s="169">
        <v>0</v>
      </c>
      <c r="Q54" s="169">
        <v>0</v>
      </c>
      <c r="R54" s="169">
        <v>0</v>
      </c>
      <c r="S54" s="169">
        <v>0</v>
      </c>
      <c r="T54" s="169">
        <v>0</v>
      </c>
      <c r="U54" s="169">
        <v>0</v>
      </c>
      <c r="V54" s="169">
        <v>0</v>
      </c>
      <c r="W54" s="169">
        <v>0</v>
      </c>
      <c r="X54" s="169">
        <v>0</v>
      </c>
      <c r="Y54" s="169">
        <f>0</f>
        <v>0</v>
      </c>
      <c r="Z54" s="219">
        <f>0</f>
        <v>0</v>
      </c>
      <c r="AA54" s="149">
        <f t="shared" si="0"/>
        <v>1</v>
      </c>
      <c r="AB54" s="572"/>
      <c r="AC54" s="163">
        <f t="shared" si="1"/>
        <v>1</v>
      </c>
      <c r="AD54" s="129"/>
      <c r="AE54" s="195"/>
      <c r="AF54" s="97" t="s">
        <v>1439</v>
      </c>
      <c r="AG54" s="206"/>
      <c r="AH54" s="205"/>
      <c r="AI54" s="101"/>
      <c r="AJ54" s="102"/>
      <c r="AK54" s="207">
        <f t="shared" si="2"/>
        <v>1</v>
      </c>
      <c r="AL54" s="101"/>
      <c r="AM54" s="96"/>
      <c r="AN54" s="103"/>
      <c r="AO54" s="198"/>
    </row>
    <row r="55" spans="1:41" s="308" customFormat="1" ht="30.75" hidden="1" customHeight="1" x14ac:dyDescent="0.35">
      <c r="A55" s="252">
        <v>149</v>
      </c>
      <c r="B55" s="297">
        <v>44909</v>
      </c>
      <c r="C55" s="246" t="s">
        <v>374</v>
      </c>
      <c r="D55" s="233" t="s">
        <v>509</v>
      </c>
      <c r="E55" s="305">
        <v>0</v>
      </c>
      <c r="F55" s="294" t="s">
        <v>510</v>
      </c>
      <c r="G55" s="594" t="s">
        <v>509</v>
      </c>
      <c r="H55" s="598" t="s">
        <v>509</v>
      </c>
      <c r="I55" s="290" t="s">
        <v>511</v>
      </c>
      <c r="J55" s="493" t="s">
        <v>251</v>
      </c>
      <c r="K55" s="301"/>
      <c r="L55" s="306"/>
      <c r="M55" s="189" t="s">
        <v>1411</v>
      </c>
      <c r="N55" s="235" t="s">
        <v>71</v>
      </c>
      <c r="O55" s="417">
        <v>0</v>
      </c>
      <c r="P55" s="90">
        <f>0</f>
        <v>0</v>
      </c>
      <c r="Q55" s="90">
        <f>0</f>
        <v>0</v>
      </c>
      <c r="R55" s="90">
        <f>0</f>
        <v>0</v>
      </c>
      <c r="S55" s="90">
        <v>2</v>
      </c>
      <c r="T55" s="90">
        <f>0</f>
        <v>0</v>
      </c>
      <c r="U55" s="90">
        <f>0</f>
        <v>0</v>
      </c>
      <c r="V55" s="90">
        <f>0</f>
        <v>0</v>
      </c>
      <c r="W55" s="90">
        <f>0</f>
        <v>0</v>
      </c>
      <c r="X55" s="90">
        <f>0</f>
        <v>0</v>
      </c>
      <c r="Y55" s="90">
        <f>0</f>
        <v>0</v>
      </c>
      <c r="Z55" s="418">
        <f>0</f>
        <v>0</v>
      </c>
      <c r="AA55" s="149">
        <f t="shared" si="0"/>
        <v>2</v>
      </c>
      <c r="AB55" s="572">
        <f>0</f>
        <v>0</v>
      </c>
      <c r="AC55" s="163">
        <f t="shared" si="1"/>
        <v>2</v>
      </c>
      <c r="AD55" s="129" t="s">
        <v>1596</v>
      </c>
      <c r="AE55" s="195" t="s">
        <v>239</v>
      </c>
      <c r="AF55" s="97" t="s">
        <v>1597</v>
      </c>
      <c r="AG55" s="158"/>
      <c r="AH55" s="205"/>
      <c r="AI55" s="101" t="s">
        <v>1448</v>
      </c>
      <c r="AJ55" s="102">
        <v>2</v>
      </c>
      <c r="AK55" s="207">
        <f t="shared" si="2"/>
        <v>0</v>
      </c>
      <c r="AL55" s="101" t="s">
        <v>1623</v>
      </c>
      <c r="AM55" s="96"/>
      <c r="AN55" s="103"/>
      <c r="AO55" s="198"/>
    </row>
    <row r="56" spans="1:41" s="308" customFormat="1" ht="30.75" hidden="1" customHeight="1" x14ac:dyDescent="0.35">
      <c r="A56" s="244">
        <v>184</v>
      </c>
      <c r="B56" s="253">
        <v>44923</v>
      </c>
      <c r="C56" s="246" t="s">
        <v>254</v>
      </c>
      <c r="D56" s="236" t="s">
        <v>835</v>
      </c>
      <c r="E56" s="236">
        <v>0</v>
      </c>
      <c r="F56" s="291" t="s">
        <v>614</v>
      </c>
      <c r="G56" s="494" t="s">
        <v>835</v>
      </c>
      <c r="H56" s="526" t="s">
        <v>835</v>
      </c>
      <c r="I56" s="293" t="s">
        <v>511</v>
      </c>
      <c r="J56" s="209" t="s">
        <v>251</v>
      </c>
      <c r="K56" s="148" t="s">
        <v>252</v>
      </c>
      <c r="L56" s="97" t="s">
        <v>252</v>
      </c>
      <c r="M56" s="97" t="s">
        <v>615</v>
      </c>
      <c r="N56" s="235" t="s">
        <v>71</v>
      </c>
      <c r="O56" s="417">
        <f>0</f>
        <v>0</v>
      </c>
      <c r="P56" s="90">
        <f>0</f>
        <v>0</v>
      </c>
      <c r="Q56" s="90">
        <f>0</f>
        <v>0</v>
      </c>
      <c r="R56" s="90">
        <f>0</f>
        <v>0</v>
      </c>
      <c r="S56" s="90">
        <f>0</f>
        <v>0</v>
      </c>
      <c r="T56" s="90">
        <f>0</f>
        <v>0</v>
      </c>
      <c r="U56" s="90">
        <v>2</v>
      </c>
      <c r="V56" s="90">
        <f>0</f>
        <v>0</v>
      </c>
      <c r="W56" s="90">
        <f>0</f>
        <v>0</v>
      </c>
      <c r="X56" s="90">
        <f>0</f>
        <v>0</v>
      </c>
      <c r="Y56" s="90">
        <f>0</f>
        <v>0</v>
      </c>
      <c r="Z56" s="418">
        <f>0</f>
        <v>0</v>
      </c>
      <c r="AA56" s="149">
        <f t="shared" si="0"/>
        <v>2</v>
      </c>
      <c r="AB56" s="572"/>
      <c r="AC56" s="163">
        <f t="shared" si="1"/>
        <v>2</v>
      </c>
      <c r="AD56" s="129" t="s">
        <v>1596</v>
      </c>
      <c r="AE56" s="195" t="s">
        <v>239</v>
      </c>
      <c r="AF56" s="97" t="s">
        <v>1597</v>
      </c>
      <c r="AG56" s="158"/>
      <c r="AH56" s="205" t="s">
        <v>1625</v>
      </c>
      <c r="AI56" s="101" t="s">
        <v>1624</v>
      </c>
      <c r="AJ56" s="102"/>
      <c r="AK56" s="207">
        <f t="shared" si="2"/>
        <v>2</v>
      </c>
      <c r="AL56" s="101" t="s">
        <v>1623</v>
      </c>
      <c r="AM56" s="96"/>
      <c r="AN56" s="103"/>
      <c r="AO56" s="198"/>
    </row>
    <row r="57" spans="1:41" s="308" customFormat="1" ht="56.25" hidden="1" customHeight="1" x14ac:dyDescent="0.35">
      <c r="A57" s="244">
        <v>327</v>
      </c>
      <c r="B57" s="253">
        <v>44945</v>
      </c>
      <c r="C57" s="246" t="s">
        <v>308</v>
      </c>
      <c r="D57" s="233" t="s">
        <v>854</v>
      </c>
      <c r="E57" s="233" t="s">
        <v>324</v>
      </c>
      <c r="F57" s="294" t="s">
        <v>855</v>
      </c>
      <c r="G57" s="158" t="s">
        <v>854</v>
      </c>
      <c r="H57" s="289" t="s">
        <v>854</v>
      </c>
      <c r="I57" s="290" t="s">
        <v>511</v>
      </c>
      <c r="J57" s="211"/>
      <c r="K57" s="148" t="s">
        <v>252</v>
      </c>
      <c r="L57" s="189" t="s">
        <v>252</v>
      </c>
      <c r="M57" s="189" t="s">
        <v>604</v>
      </c>
      <c r="N57" s="235" t="s">
        <v>71</v>
      </c>
      <c r="O57" s="417">
        <f>0</f>
        <v>0</v>
      </c>
      <c r="P57" s="90">
        <f>0</f>
        <v>0</v>
      </c>
      <c r="Q57" s="90">
        <f>0</f>
        <v>0</v>
      </c>
      <c r="R57" s="90">
        <f>0</f>
        <v>0</v>
      </c>
      <c r="S57" s="90">
        <f>0</f>
        <v>0</v>
      </c>
      <c r="T57" s="90">
        <v>1</v>
      </c>
      <c r="U57" s="90">
        <f>0</f>
        <v>0</v>
      </c>
      <c r="V57" s="90">
        <f>0</f>
        <v>0</v>
      </c>
      <c r="W57" s="90">
        <f>0</f>
        <v>0</v>
      </c>
      <c r="X57" s="90">
        <f>0</f>
        <v>0</v>
      </c>
      <c r="Y57" s="90">
        <f>0</f>
        <v>0</v>
      </c>
      <c r="Z57" s="418">
        <f>0</f>
        <v>0</v>
      </c>
      <c r="AA57" s="149">
        <f t="shared" si="0"/>
        <v>1</v>
      </c>
      <c r="AB57" s="572"/>
      <c r="AC57" s="460">
        <f t="shared" si="1"/>
        <v>1</v>
      </c>
      <c r="AD57" s="129" t="s">
        <v>1596</v>
      </c>
      <c r="AE57" s="195" t="s">
        <v>239</v>
      </c>
      <c r="AF57" s="97" t="s">
        <v>1597</v>
      </c>
      <c r="AG57" s="158"/>
      <c r="AH57" s="195"/>
      <c r="AI57" s="98" t="s">
        <v>1448</v>
      </c>
      <c r="AJ57" s="99">
        <v>1</v>
      </c>
      <c r="AK57" s="197">
        <f t="shared" si="2"/>
        <v>0</v>
      </c>
      <c r="AL57" s="98"/>
      <c r="AM57" s="90"/>
      <c r="AN57" s="100"/>
      <c r="AO57" s="198"/>
    </row>
    <row r="58" spans="1:41" s="308" customFormat="1" ht="30.75" hidden="1" customHeight="1" x14ac:dyDescent="0.35">
      <c r="A58" s="244">
        <v>508</v>
      </c>
      <c r="B58" s="253">
        <v>44955</v>
      </c>
      <c r="C58" s="246" t="s">
        <v>254</v>
      </c>
      <c r="D58" s="236" t="s">
        <v>1279</v>
      </c>
      <c r="E58" s="236">
        <v>0</v>
      </c>
      <c r="F58" s="291" t="s">
        <v>1280</v>
      </c>
      <c r="G58" s="210" t="s">
        <v>1279</v>
      </c>
      <c r="H58" s="292" t="s">
        <v>1279</v>
      </c>
      <c r="I58" s="293" t="s">
        <v>511</v>
      </c>
      <c r="J58" s="209" t="s">
        <v>251</v>
      </c>
      <c r="K58" s="148" t="s">
        <v>252</v>
      </c>
      <c r="L58" s="97" t="s">
        <v>252</v>
      </c>
      <c r="M58" s="97" t="s">
        <v>1281</v>
      </c>
      <c r="N58" s="235" t="s">
        <v>71</v>
      </c>
      <c r="O58" s="417">
        <v>0</v>
      </c>
      <c r="P58" s="90">
        <v>0</v>
      </c>
      <c r="Q58" s="90">
        <v>0</v>
      </c>
      <c r="R58" s="90">
        <v>0</v>
      </c>
      <c r="S58" s="90">
        <v>2</v>
      </c>
      <c r="T58" s="90">
        <v>0</v>
      </c>
      <c r="U58" s="90">
        <v>0</v>
      </c>
      <c r="V58" s="90">
        <v>0</v>
      </c>
      <c r="W58" s="90">
        <v>0</v>
      </c>
      <c r="X58" s="90">
        <v>0</v>
      </c>
      <c r="Y58" s="90">
        <v>0</v>
      </c>
      <c r="Z58" s="418">
        <v>0</v>
      </c>
      <c r="AA58" s="149">
        <f t="shared" si="0"/>
        <v>2</v>
      </c>
      <c r="AB58" s="572"/>
      <c r="AC58" s="460">
        <f t="shared" si="1"/>
        <v>2</v>
      </c>
      <c r="AD58" s="129" t="s">
        <v>1596</v>
      </c>
      <c r="AE58" s="195" t="s">
        <v>239</v>
      </c>
      <c r="AF58" s="97" t="s">
        <v>1597</v>
      </c>
      <c r="AG58" s="196"/>
      <c r="AH58" s="195"/>
      <c r="AI58" s="98" t="s">
        <v>1448</v>
      </c>
      <c r="AJ58" s="99">
        <v>2</v>
      </c>
      <c r="AK58" s="197">
        <f t="shared" si="2"/>
        <v>0</v>
      </c>
      <c r="AL58" s="98" t="s">
        <v>1623</v>
      </c>
      <c r="AM58" s="90"/>
      <c r="AN58" s="100"/>
      <c r="AO58" s="198"/>
    </row>
    <row r="59" spans="1:41" s="120" customFormat="1" ht="30.75" hidden="1" customHeight="1" x14ac:dyDescent="0.35">
      <c r="A59" s="252">
        <v>146</v>
      </c>
      <c r="B59" s="297">
        <v>44909</v>
      </c>
      <c r="C59" s="298" t="s">
        <v>374</v>
      </c>
      <c r="D59" s="305" t="s">
        <v>513</v>
      </c>
      <c r="E59" s="505" t="s">
        <v>324</v>
      </c>
      <c r="F59" s="267" t="s">
        <v>513</v>
      </c>
      <c r="G59" s="271" t="s">
        <v>513</v>
      </c>
      <c r="H59" s="269" t="s">
        <v>513</v>
      </c>
      <c r="I59" s="270" t="s">
        <v>512</v>
      </c>
      <c r="J59" s="493" t="s">
        <v>251</v>
      </c>
      <c r="K59" s="301"/>
      <c r="L59" s="306"/>
      <c r="M59" s="307"/>
      <c r="N59" s="235" t="s">
        <v>71</v>
      </c>
      <c r="O59" s="343">
        <v>0</v>
      </c>
      <c r="P59" s="169">
        <f>0</f>
        <v>0</v>
      </c>
      <c r="Q59" s="169">
        <f>0</f>
        <v>0</v>
      </c>
      <c r="R59" s="169">
        <f>0</f>
        <v>0</v>
      </c>
      <c r="S59" s="169">
        <v>1</v>
      </c>
      <c r="T59" s="169">
        <f>0</f>
        <v>0</v>
      </c>
      <c r="U59" s="169">
        <f>0</f>
        <v>0</v>
      </c>
      <c r="V59" s="169">
        <f>0</f>
        <v>0</v>
      </c>
      <c r="W59" s="169">
        <f>0</f>
        <v>0</v>
      </c>
      <c r="X59" s="169">
        <f>0</f>
        <v>0</v>
      </c>
      <c r="Y59" s="169">
        <f>0</f>
        <v>0</v>
      </c>
      <c r="Z59" s="219">
        <f>0</f>
        <v>0</v>
      </c>
      <c r="AA59" s="128">
        <f t="shared" si="0"/>
        <v>1</v>
      </c>
      <c r="AB59" s="213">
        <v>1</v>
      </c>
      <c r="AC59" s="136">
        <f t="shared" si="1"/>
        <v>0</v>
      </c>
      <c r="AD59" s="129"/>
      <c r="AE59" s="195" t="s">
        <v>531</v>
      </c>
      <c r="AF59" s="97" t="s">
        <v>44</v>
      </c>
      <c r="AG59" s="206"/>
      <c r="AH59" s="205"/>
      <c r="AI59" s="98"/>
      <c r="AJ59" s="99"/>
      <c r="AK59" s="197">
        <f t="shared" si="2"/>
        <v>0</v>
      </c>
      <c r="AL59" s="98" t="s">
        <v>532</v>
      </c>
      <c r="AM59" s="90"/>
      <c r="AN59" s="100"/>
      <c r="AO59" s="198"/>
    </row>
    <row r="60" spans="1:41" s="120" customFormat="1" ht="30.75" hidden="1" customHeight="1" x14ac:dyDescent="0.35">
      <c r="A60" s="244">
        <v>147</v>
      </c>
      <c r="B60" s="297">
        <v>44909</v>
      </c>
      <c r="C60" s="298" t="s">
        <v>374</v>
      </c>
      <c r="D60" s="299" t="s">
        <v>507</v>
      </c>
      <c r="E60" s="316" t="s">
        <v>330</v>
      </c>
      <c r="F60" s="261" t="s">
        <v>507</v>
      </c>
      <c r="G60" s="265" t="s">
        <v>507</v>
      </c>
      <c r="H60" s="263" t="s">
        <v>507</v>
      </c>
      <c r="I60" s="264" t="s">
        <v>512</v>
      </c>
      <c r="J60" s="300" t="s">
        <v>251</v>
      </c>
      <c r="K60" s="301"/>
      <c r="L60" s="302"/>
      <c r="M60" s="310"/>
      <c r="N60" s="235" t="s">
        <v>71</v>
      </c>
      <c r="O60" s="343">
        <v>0</v>
      </c>
      <c r="P60" s="169">
        <f>0</f>
        <v>0</v>
      </c>
      <c r="Q60" s="169">
        <f>0</f>
        <v>0</v>
      </c>
      <c r="R60" s="169">
        <f>0</f>
        <v>0</v>
      </c>
      <c r="S60" s="169">
        <v>1</v>
      </c>
      <c r="T60" s="169">
        <f>0</f>
        <v>0</v>
      </c>
      <c r="U60" s="169">
        <f>0</f>
        <v>0</v>
      </c>
      <c r="V60" s="169">
        <f>0</f>
        <v>0</v>
      </c>
      <c r="W60" s="169">
        <f>0</f>
        <v>0</v>
      </c>
      <c r="X60" s="169">
        <f>0</f>
        <v>0</v>
      </c>
      <c r="Y60" s="169">
        <f>0</f>
        <v>0</v>
      </c>
      <c r="Z60" s="219">
        <f>0</f>
        <v>0</v>
      </c>
      <c r="AA60" s="128">
        <f t="shared" si="0"/>
        <v>1</v>
      </c>
      <c r="AB60" s="213">
        <v>1</v>
      </c>
      <c r="AC60" s="136">
        <f t="shared" si="1"/>
        <v>0</v>
      </c>
      <c r="AD60" s="129"/>
      <c r="AE60" s="195" t="s">
        <v>531</v>
      </c>
      <c r="AF60" s="97" t="s">
        <v>294</v>
      </c>
      <c r="AG60" s="206"/>
      <c r="AH60" s="205"/>
      <c r="AI60" s="98"/>
      <c r="AJ60" s="99" t="s">
        <v>286</v>
      </c>
      <c r="AK60" s="197" t="e">
        <f t="shared" si="2"/>
        <v>#VALUE!</v>
      </c>
      <c r="AL60" s="98" t="s">
        <v>536</v>
      </c>
      <c r="AM60" s="90"/>
      <c r="AN60" s="100"/>
      <c r="AO60" s="198"/>
    </row>
    <row r="61" spans="1:41" s="120" customFormat="1" ht="30.75" hidden="1" customHeight="1" x14ac:dyDescent="0.35">
      <c r="A61" s="244">
        <v>386</v>
      </c>
      <c r="B61" s="253">
        <v>44946</v>
      </c>
      <c r="C61" s="246" t="s">
        <v>456</v>
      </c>
      <c r="D61" s="233"/>
      <c r="E61" s="233"/>
      <c r="F61" s="294" t="s">
        <v>978</v>
      </c>
      <c r="G61" s="211" t="s">
        <v>1071</v>
      </c>
      <c r="H61" s="522" t="s">
        <v>1161</v>
      </c>
      <c r="I61" s="539" t="s">
        <v>1182</v>
      </c>
      <c r="J61" s="211"/>
      <c r="K61" s="148"/>
      <c r="L61" s="189"/>
      <c r="M61" s="189"/>
      <c r="N61" s="235"/>
      <c r="O61" s="343">
        <v>2</v>
      </c>
      <c r="P61" s="169">
        <v>0</v>
      </c>
      <c r="Q61" s="169">
        <v>0</v>
      </c>
      <c r="R61" s="169">
        <v>0</v>
      </c>
      <c r="S61" s="169">
        <v>0</v>
      </c>
      <c r="T61" s="169">
        <v>0</v>
      </c>
      <c r="U61" s="169">
        <v>0</v>
      </c>
      <c r="V61" s="169">
        <v>0</v>
      </c>
      <c r="W61" s="169">
        <v>0</v>
      </c>
      <c r="X61" s="169">
        <v>0</v>
      </c>
      <c r="Y61" s="169">
        <f>0</f>
        <v>0</v>
      </c>
      <c r="Z61" s="219">
        <f>0</f>
        <v>0</v>
      </c>
      <c r="AA61" s="149">
        <f t="shared" si="0"/>
        <v>2</v>
      </c>
      <c r="AB61" s="572"/>
      <c r="AC61" s="460">
        <f t="shared" si="1"/>
        <v>2</v>
      </c>
      <c r="AD61" s="129">
        <v>44966</v>
      </c>
      <c r="AE61" s="195" t="s">
        <v>284</v>
      </c>
      <c r="AF61" s="97" t="s">
        <v>1409</v>
      </c>
      <c r="AG61" s="206"/>
      <c r="AH61" s="205"/>
      <c r="AI61" s="98"/>
      <c r="AJ61" s="99">
        <v>2</v>
      </c>
      <c r="AK61" s="197">
        <f t="shared" si="2"/>
        <v>0</v>
      </c>
      <c r="AL61" s="98" t="s">
        <v>1405</v>
      </c>
      <c r="AM61" s="90"/>
      <c r="AN61" s="100"/>
      <c r="AO61" s="198"/>
    </row>
    <row r="62" spans="1:41" s="120" customFormat="1" ht="30.75" hidden="1" customHeight="1" x14ac:dyDescent="0.35">
      <c r="A62" s="244">
        <v>387</v>
      </c>
      <c r="B62" s="253">
        <v>44946</v>
      </c>
      <c r="C62" s="246" t="s">
        <v>456</v>
      </c>
      <c r="D62" s="236"/>
      <c r="E62" s="236"/>
      <c r="F62" s="291" t="s">
        <v>979</v>
      </c>
      <c r="G62" s="209" t="s">
        <v>1072</v>
      </c>
      <c r="H62" s="524" t="s">
        <v>1072</v>
      </c>
      <c r="I62" s="543" t="s">
        <v>1182</v>
      </c>
      <c r="J62" s="209"/>
      <c r="K62" s="148"/>
      <c r="L62" s="97"/>
      <c r="M62" s="97"/>
      <c r="N62" s="235"/>
      <c r="O62" s="343">
        <v>2</v>
      </c>
      <c r="P62" s="169">
        <v>0</v>
      </c>
      <c r="Q62" s="169">
        <v>0</v>
      </c>
      <c r="R62" s="169">
        <v>0</v>
      </c>
      <c r="S62" s="169">
        <v>0</v>
      </c>
      <c r="T62" s="169">
        <v>0</v>
      </c>
      <c r="U62" s="169">
        <v>0</v>
      </c>
      <c r="V62" s="169">
        <v>0</v>
      </c>
      <c r="W62" s="169">
        <v>0</v>
      </c>
      <c r="X62" s="169">
        <v>0</v>
      </c>
      <c r="Y62" s="169">
        <f>0</f>
        <v>0</v>
      </c>
      <c r="Z62" s="219">
        <f>0</f>
        <v>0</v>
      </c>
      <c r="AA62" s="149">
        <f t="shared" si="0"/>
        <v>2</v>
      </c>
      <c r="AB62" s="176"/>
      <c r="AC62" s="163">
        <f t="shared" si="1"/>
        <v>2</v>
      </c>
      <c r="AD62" s="129"/>
      <c r="AE62" s="195" t="s">
        <v>284</v>
      </c>
      <c r="AF62" s="97" t="s">
        <v>1404</v>
      </c>
      <c r="AG62" s="206"/>
      <c r="AH62" s="205"/>
      <c r="AI62" s="101"/>
      <c r="AJ62" s="102">
        <v>2</v>
      </c>
      <c r="AK62" s="207">
        <f t="shared" si="2"/>
        <v>0</v>
      </c>
      <c r="AL62" s="101" t="s">
        <v>1403</v>
      </c>
      <c r="AM62" s="96"/>
      <c r="AN62" s="103"/>
      <c r="AO62" s="198"/>
    </row>
    <row r="63" spans="1:41" s="120" customFormat="1" ht="30.75" hidden="1" customHeight="1" x14ac:dyDescent="0.35">
      <c r="A63" s="252">
        <v>368</v>
      </c>
      <c r="B63" s="253">
        <v>44945</v>
      </c>
      <c r="C63" s="246" t="s">
        <v>863</v>
      </c>
      <c r="D63" s="233" t="s">
        <v>942</v>
      </c>
      <c r="E63" s="233"/>
      <c r="F63" s="294" t="s">
        <v>943</v>
      </c>
      <c r="G63" s="211"/>
      <c r="H63" s="522" t="s">
        <v>252</v>
      </c>
      <c r="I63" s="539" t="s">
        <v>944</v>
      </c>
      <c r="J63" s="211" t="s">
        <v>875</v>
      </c>
      <c r="K63" s="148"/>
      <c r="L63" s="189"/>
      <c r="M63" s="189"/>
      <c r="N63" s="235" t="s">
        <v>951</v>
      </c>
      <c r="O63" s="343">
        <v>0</v>
      </c>
      <c r="P63" s="169">
        <v>2</v>
      </c>
      <c r="Q63" s="169">
        <v>0</v>
      </c>
      <c r="R63" s="169">
        <v>0</v>
      </c>
      <c r="S63" s="169">
        <v>0</v>
      </c>
      <c r="T63" s="169">
        <v>0</v>
      </c>
      <c r="U63" s="169">
        <v>0</v>
      </c>
      <c r="V63" s="169">
        <f>0</f>
        <v>0</v>
      </c>
      <c r="W63" s="169">
        <v>0</v>
      </c>
      <c r="X63" s="169">
        <f>0</f>
        <v>0</v>
      </c>
      <c r="Y63" s="169">
        <f>0</f>
        <v>0</v>
      </c>
      <c r="Z63" s="219">
        <f>0</f>
        <v>0</v>
      </c>
      <c r="AA63" s="149">
        <f t="shared" si="0"/>
        <v>2</v>
      </c>
      <c r="AB63" s="176">
        <v>2</v>
      </c>
      <c r="AC63" s="163">
        <f t="shared" si="1"/>
        <v>0</v>
      </c>
      <c r="AD63" s="129"/>
      <c r="AE63" s="195" t="s">
        <v>531</v>
      </c>
      <c r="AF63" s="97" t="s">
        <v>44</v>
      </c>
      <c r="AG63" s="206"/>
      <c r="AH63" s="205"/>
      <c r="AI63" s="98"/>
      <c r="AJ63" s="101" t="s">
        <v>501</v>
      </c>
      <c r="AK63" s="207" t="e">
        <f t="shared" si="2"/>
        <v>#VALUE!</v>
      </c>
      <c r="AL63" s="101"/>
      <c r="AM63" s="96"/>
      <c r="AN63" s="103"/>
      <c r="AO63" s="198"/>
    </row>
    <row r="64" spans="1:41" s="120" customFormat="1" ht="30.75" hidden="1" customHeight="1" x14ac:dyDescent="0.35">
      <c r="A64" s="244">
        <v>189</v>
      </c>
      <c r="B64" s="253" t="s">
        <v>616</v>
      </c>
      <c r="C64" s="246" t="s">
        <v>617</v>
      </c>
      <c r="D64" s="299" t="s">
        <v>647</v>
      </c>
      <c r="E64" s="400" t="s">
        <v>620</v>
      </c>
      <c r="F64" s="291" t="s">
        <v>630</v>
      </c>
      <c r="G64" s="210" t="s">
        <v>631</v>
      </c>
      <c r="H64" s="292" t="s">
        <v>644</v>
      </c>
      <c r="I64" s="293" t="s">
        <v>632</v>
      </c>
      <c r="J64" s="209" t="s">
        <v>251</v>
      </c>
      <c r="K64" s="148" t="s">
        <v>252</v>
      </c>
      <c r="L64" s="97" t="s">
        <v>252</v>
      </c>
      <c r="M64" s="97"/>
      <c r="N64" s="324" t="s">
        <v>643</v>
      </c>
      <c r="O64" s="343">
        <f>0</f>
        <v>0</v>
      </c>
      <c r="P64" s="169">
        <f>0</f>
        <v>0</v>
      </c>
      <c r="Q64" s="169">
        <f>0</f>
        <v>0</v>
      </c>
      <c r="R64" s="169">
        <f>0</f>
        <v>0</v>
      </c>
      <c r="S64" s="169">
        <f>0</f>
        <v>0</v>
      </c>
      <c r="T64" s="169">
        <f>0</f>
        <v>0</v>
      </c>
      <c r="U64" s="169">
        <f>0</f>
        <v>0</v>
      </c>
      <c r="V64" s="169">
        <f>0</f>
        <v>0</v>
      </c>
      <c r="W64" s="169">
        <v>1</v>
      </c>
      <c r="X64" s="169">
        <f>0</f>
        <v>0</v>
      </c>
      <c r="Y64" s="169">
        <f>0</f>
        <v>0</v>
      </c>
      <c r="Z64" s="219">
        <f>0</f>
        <v>0</v>
      </c>
      <c r="AA64" s="128">
        <f t="shared" si="0"/>
        <v>1</v>
      </c>
      <c r="AB64" s="218"/>
      <c r="AC64" s="137">
        <f t="shared" si="1"/>
        <v>1</v>
      </c>
      <c r="AD64" s="129"/>
      <c r="AE64" s="195" t="s">
        <v>284</v>
      </c>
      <c r="AF64" s="97" t="s">
        <v>294</v>
      </c>
      <c r="AG64" s="206"/>
      <c r="AH64" s="205"/>
      <c r="AI64" s="101"/>
      <c r="AJ64" s="102" t="s">
        <v>501</v>
      </c>
      <c r="AK64" s="207" t="e">
        <f t="shared" si="2"/>
        <v>#VALUE!</v>
      </c>
      <c r="AL64" s="101"/>
      <c r="AM64" s="96"/>
      <c r="AN64" s="103"/>
      <c r="AO64" s="198"/>
    </row>
    <row r="65" spans="1:41" s="120" customFormat="1" ht="30.75" hidden="1" customHeight="1" x14ac:dyDescent="0.35">
      <c r="A65" s="244">
        <v>190</v>
      </c>
      <c r="B65" s="253" t="s">
        <v>616</v>
      </c>
      <c r="C65" s="246" t="s">
        <v>617</v>
      </c>
      <c r="D65" s="305" t="s">
        <v>648</v>
      </c>
      <c r="E65" s="287">
        <v>0</v>
      </c>
      <c r="F65" s="294" t="s">
        <v>315</v>
      </c>
      <c r="G65" s="158" t="s">
        <v>1396</v>
      </c>
      <c r="H65" s="289" t="s">
        <v>633</v>
      </c>
      <c r="I65" s="290" t="s">
        <v>632</v>
      </c>
      <c r="J65" s="211" t="s">
        <v>251</v>
      </c>
      <c r="K65" s="148" t="s">
        <v>252</v>
      </c>
      <c r="L65" s="189" t="s">
        <v>252</v>
      </c>
      <c r="M65" s="189"/>
      <c r="N65" s="324" t="s">
        <v>643</v>
      </c>
      <c r="O65" s="343">
        <f>0</f>
        <v>0</v>
      </c>
      <c r="P65" s="169">
        <f>0</f>
        <v>0</v>
      </c>
      <c r="Q65" s="169">
        <f>0</f>
        <v>0</v>
      </c>
      <c r="R65" s="169">
        <f>0</f>
        <v>0</v>
      </c>
      <c r="S65" s="169">
        <f>0</f>
        <v>0</v>
      </c>
      <c r="T65" s="169">
        <f>0</f>
        <v>0</v>
      </c>
      <c r="U65" s="169">
        <f>0</f>
        <v>0</v>
      </c>
      <c r="V65" s="169">
        <f>0</f>
        <v>0</v>
      </c>
      <c r="W65" s="169">
        <v>1</v>
      </c>
      <c r="X65" s="169">
        <f>0</f>
        <v>0</v>
      </c>
      <c r="Y65" s="169">
        <f>0</f>
        <v>0</v>
      </c>
      <c r="Z65" s="219">
        <f>0</f>
        <v>0</v>
      </c>
      <c r="AA65" s="128">
        <f t="shared" si="0"/>
        <v>1</v>
      </c>
      <c r="AB65" s="218"/>
      <c r="AC65" s="137">
        <f t="shared" si="1"/>
        <v>1</v>
      </c>
      <c r="AD65" s="129"/>
      <c r="AE65" s="195" t="s">
        <v>284</v>
      </c>
      <c r="AF65" s="97" t="s">
        <v>294</v>
      </c>
      <c r="AG65" s="206"/>
      <c r="AH65" s="205"/>
      <c r="AI65" s="101"/>
      <c r="AJ65" s="102" t="s">
        <v>501</v>
      </c>
      <c r="AK65" s="207" t="e">
        <f t="shared" si="2"/>
        <v>#VALUE!</v>
      </c>
      <c r="AL65" s="101"/>
      <c r="AM65" s="96"/>
      <c r="AN65" s="103"/>
      <c r="AO65" s="198"/>
    </row>
    <row r="66" spans="1:41" s="120" customFormat="1" ht="30.75" hidden="1" customHeight="1" x14ac:dyDescent="0.35">
      <c r="A66" s="244">
        <v>191</v>
      </c>
      <c r="B66" s="253" t="s">
        <v>616</v>
      </c>
      <c r="C66" s="246" t="s">
        <v>617</v>
      </c>
      <c r="D66" s="299" t="s">
        <v>634</v>
      </c>
      <c r="E66" s="400" t="s">
        <v>324</v>
      </c>
      <c r="F66" s="291" t="s">
        <v>635</v>
      </c>
      <c r="G66" s="210" t="s">
        <v>636</v>
      </c>
      <c r="H66" s="292" t="s">
        <v>637</v>
      </c>
      <c r="I66" s="293" t="s">
        <v>632</v>
      </c>
      <c r="J66" s="209" t="s">
        <v>251</v>
      </c>
      <c r="K66" s="148" t="s">
        <v>252</v>
      </c>
      <c r="L66" s="97" t="s">
        <v>252</v>
      </c>
      <c r="M66" s="97"/>
      <c r="N66" s="324" t="s">
        <v>643</v>
      </c>
      <c r="O66" s="343">
        <f>0</f>
        <v>0</v>
      </c>
      <c r="P66" s="169">
        <f>0</f>
        <v>0</v>
      </c>
      <c r="Q66" s="169">
        <f>0</f>
        <v>0</v>
      </c>
      <c r="R66" s="169">
        <f>0</f>
        <v>0</v>
      </c>
      <c r="S66" s="169">
        <f>0</f>
        <v>0</v>
      </c>
      <c r="T66" s="169">
        <f>0</f>
        <v>0</v>
      </c>
      <c r="U66" s="169">
        <f>0</f>
        <v>0</v>
      </c>
      <c r="V66" s="169">
        <f>0</f>
        <v>0</v>
      </c>
      <c r="W66" s="169">
        <v>6</v>
      </c>
      <c r="X66" s="169">
        <f>0</f>
        <v>0</v>
      </c>
      <c r="Y66" s="169">
        <f>0</f>
        <v>0</v>
      </c>
      <c r="Z66" s="219">
        <f>0</f>
        <v>0</v>
      </c>
      <c r="AA66" s="128">
        <f t="shared" si="0"/>
        <v>6</v>
      </c>
      <c r="AB66" s="218"/>
      <c r="AC66" s="137">
        <f t="shared" si="1"/>
        <v>6</v>
      </c>
      <c r="AD66" s="129"/>
      <c r="AE66" s="195" t="s">
        <v>284</v>
      </c>
      <c r="AF66" s="97" t="s">
        <v>294</v>
      </c>
      <c r="AG66" s="206"/>
      <c r="AH66" s="205"/>
      <c r="AI66" s="101"/>
      <c r="AJ66" s="102" t="s">
        <v>501</v>
      </c>
      <c r="AK66" s="207" t="e">
        <f t="shared" si="2"/>
        <v>#VALUE!</v>
      </c>
      <c r="AL66" s="101"/>
      <c r="AM66" s="96"/>
      <c r="AN66" s="103"/>
      <c r="AO66" s="198"/>
    </row>
    <row r="67" spans="1:41" s="120" customFormat="1" ht="30.75" hidden="1" customHeight="1" x14ac:dyDescent="0.35">
      <c r="A67" s="252">
        <v>192</v>
      </c>
      <c r="B67" s="253" t="s">
        <v>616</v>
      </c>
      <c r="C67" s="246" t="s">
        <v>617</v>
      </c>
      <c r="D67" s="305" t="s">
        <v>638</v>
      </c>
      <c r="E67" s="287" t="s">
        <v>314</v>
      </c>
      <c r="F67" s="294" t="s">
        <v>639</v>
      </c>
      <c r="G67" s="158" t="s">
        <v>640</v>
      </c>
      <c r="H67" s="289" t="s">
        <v>641</v>
      </c>
      <c r="I67" s="290" t="s">
        <v>632</v>
      </c>
      <c r="J67" s="211" t="s">
        <v>251</v>
      </c>
      <c r="K67" s="148" t="s">
        <v>252</v>
      </c>
      <c r="L67" s="189" t="s">
        <v>252</v>
      </c>
      <c r="M67" s="189"/>
      <c r="N67" s="324" t="s">
        <v>643</v>
      </c>
      <c r="O67" s="343">
        <f>0</f>
        <v>0</v>
      </c>
      <c r="P67" s="169">
        <f>0</f>
        <v>0</v>
      </c>
      <c r="Q67" s="169">
        <f>0</f>
        <v>0</v>
      </c>
      <c r="R67" s="169">
        <f>0</f>
        <v>0</v>
      </c>
      <c r="S67" s="169">
        <f>0</f>
        <v>0</v>
      </c>
      <c r="T67" s="169">
        <f>0</f>
        <v>0</v>
      </c>
      <c r="U67" s="169">
        <f>0</f>
        <v>0</v>
      </c>
      <c r="V67" s="169">
        <f>0</f>
        <v>0</v>
      </c>
      <c r="W67" s="169">
        <v>1</v>
      </c>
      <c r="X67" s="169">
        <f>0</f>
        <v>0</v>
      </c>
      <c r="Y67" s="169">
        <f>0</f>
        <v>0</v>
      </c>
      <c r="Z67" s="219">
        <f>0</f>
        <v>0</v>
      </c>
      <c r="AA67" s="128">
        <f t="shared" si="0"/>
        <v>1</v>
      </c>
      <c r="AB67" s="218"/>
      <c r="AC67" s="137">
        <f t="shared" si="1"/>
        <v>1</v>
      </c>
      <c r="AD67" s="129"/>
      <c r="AE67" s="195" t="s">
        <v>284</v>
      </c>
      <c r="AF67" s="97" t="s">
        <v>738</v>
      </c>
      <c r="AG67" s="206"/>
      <c r="AH67" s="205"/>
      <c r="AI67" s="101"/>
      <c r="AJ67" s="102" t="s">
        <v>501</v>
      </c>
      <c r="AK67" s="207" t="e">
        <f t="shared" si="2"/>
        <v>#VALUE!</v>
      </c>
      <c r="AL67" s="101"/>
      <c r="AM67" s="96"/>
      <c r="AN67" s="103"/>
      <c r="AO67" s="198"/>
    </row>
    <row r="68" spans="1:41" s="120" customFormat="1" ht="30.75" hidden="1" customHeight="1" x14ac:dyDescent="0.35">
      <c r="A68" s="244">
        <v>208</v>
      </c>
      <c r="B68" s="253">
        <v>44924</v>
      </c>
      <c r="C68" s="246" t="s">
        <v>308</v>
      </c>
      <c r="D68" s="299" t="s">
        <v>691</v>
      </c>
      <c r="E68" s="236" t="s">
        <v>363</v>
      </c>
      <c r="F68" s="291" t="s">
        <v>385</v>
      </c>
      <c r="G68" s="210" t="s">
        <v>682</v>
      </c>
      <c r="H68" s="292" t="s">
        <v>683</v>
      </c>
      <c r="I68" s="293" t="s">
        <v>632</v>
      </c>
      <c r="J68" s="265" t="s">
        <v>251</v>
      </c>
      <c r="K68" s="232" t="s">
        <v>252</v>
      </c>
      <c r="L68" s="231" t="s">
        <v>252</v>
      </c>
      <c r="M68" s="231" t="s">
        <v>692</v>
      </c>
      <c r="N68" s="235" t="s">
        <v>694</v>
      </c>
      <c r="O68" s="343">
        <f>0</f>
        <v>0</v>
      </c>
      <c r="P68" s="169">
        <f>0</f>
        <v>0</v>
      </c>
      <c r="Q68" s="169">
        <f>0</f>
        <v>0</v>
      </c>
      <c r="R68" s="169">
        <f>0</f>
        <v>0</v>
      </c>
      <c r="S68" s="169">
        <f>0</f>
        <v>0</v>
      </c>
      <c r="T68" s="169">
        <v>8</v>
      </c>
      <c r="U68" s="169">
        <f>0</f>
        <v>0</v>
      </c>
      <c r="V68" s="169">
        <f>0</f>
        <v>0</v>
      </c>
      <c r="W68" s="169">
        <f>0</f>
        <v>0</v>
      </c>
      <c r="X68" s="169">
        <f>0</f>
        <v>0</v>
      </c>
      <c r="Y68" s="169">
        <f>0</f>
        <v>0</v>
      </c>
      <c r="Z68" s="219">
        <f>0</f>
        <v>0</v>
      </c>
      <c r="AA68" s="128">
        <f t="shared" si="0"/>
        <v>8</v>
      </c>
      <c r="AB68" s="218"/>
      <c r="AC68" s="137">
        <f t="shared" si="1"/>
        <v>8</v>
      </c>
      <c r="AD68" s="129"/>
      <c r="AE68" s="195" t="s">
        <v>284</v>
      </c>
      <c r="AF68" s="97" t="s">
        <v>294</v>
      </c>
      <c r="AG68" s="206"/>
      <c r="AH68" s="205"/>
      <c r="AI68" s="101"/>
      <c r="AJ68" s="102" t="s">
        <v>501</v>
      </c>
      <c r="AK68" s="207" t="e">
        <f t="shared" si="2"/>
        <v>#VALUE!</v>
      </c>
      <c r="AL68" s="101"/>
      <c r="AM68" s="96"/>
      <c r="AN68" s="103"/>
      <c r="AO68" s="198"/>
    </row>
    <row r="69" spans="1:41" s="120" customFormat="1" ht="30.75" hidden="1" customHeight="1" x14ac:dyDescent="0.35">
      <c r="A69" s="244">
        <v>209</v>
      </c>
      <c r="B69" s="253">
        <v>44924</v>
      </c>
      <c r="C69" s="246" t="s">
        <v>308</v>
      </c>
      <c r="D69" s="305" t="s">
        <v>684</v>
      </c>
      <c r="E69" s="233" t="s">
        <v>314</v>
      </c>
      <c r="F69" s="294" t="s">
        <v>639</v>
      </c>
      <c r="G69" s="158" t="s">
        <v>640</v>
      </c>
      <c r="H69" s="289" t="s">
        <v>641</v>
      </c>
      <c r="I69" s="290" t="s">
        <v>632</v>
      </c>
      <c r="J69" s="271" t="s">
        <v>251</v>
      </c>
      <c r="K69" s="232" t="s">
        <v>252</v>
      </c>
      <c r="L69" s="229" t="s">
        <v>252</v>
      </c>
      <c r="M69" s="229" t="s">
        <v>252</v>
      </c>
      <c r="N69" s="235" t="s">
        <v>694</v>
      </c>
      <c r="O69" s="343">
        <f>0</f>
        <v>0</v>
      </c>
      <c r="P69" s="169">
        <f>0</f>
        <v>0</v>
      </c>
      <c r="Q69" s="169">
        <f>0</f>
        <v>0</v>
      </c>
      <c r="R69" s="169">
        <f>0</f>
        <v>0</v>
      </c>
      <c r="S69" s="169">
        <f>0</f>
        <v>0</v>
      </c>
      <c r="T69" s="169">
        <v>4</v>
      </c>
      <c r="U69" s="169">
        <f>0</f>
        <v>0</v>
      </c>
      <c r="V69" s="169">
        <f>0</f>
        <v>0</v>
      </c>
      <c r="W69" s="169">
        <f>0</f>
        <v>0</v>
      </c>
      <c r="X69" s="169">
        <f>0</f>
        <v>0</v>
      </c>
      <c r="Y69" s="169">
        <f>0</f>
        <v>0</v>
      </c>
      <c r="Z69" s="219">
        <f>0</f>
        <v>0</v>
      </c>
      <c r="AA69" s="128">
        <f t="shared" si="0"/>
        <v>4</v>
      </c>
      <c r="AB69" s="218"/>
      <c r="AC69" s="137">
        <f t="shared" si="1"/>
        <v>4</v>
      </c>
      <c r="AD69" s="129"/>
      <c r="AE69" s="195" t="s">
        <v>284</v>
      </c>
      <c r="AF69" s="97" t="s">
        <v>739</v>
      </c>
      <c r="AG69" s="206"/>
      <c r="AH69" s="205"/>
      <c r="AI69" s="101"/>
      <c r="AJ69" s="102" t="s">
        <v>501</v>
      </c>
      <c r="AK69" s="207" t="e">
        <f t="shared" si="2"/>
        <v>#VALUE!</v>
      </c>
      <c r="AL69" s="101"/>
      <c r="AM69" s="96"/>
      <c r="AN69" s="103"/>
      <c r="AO69" s="198"/>
    </row>
    <row r="70" spans="1:41" s="120" customFormat="1" ht="30.75" hidden="1" customHeight="1" x14ac:dyDescent="0.35">
      <c r="A70" s="244">
        <v>220</v>
      </c>
      <c r="B70" s="253">
        <v>44928</v>
      </c>
      <c r="C70" s="246" t="s">
        <v>617</v>
      </c>
      <c r="D70" s="236" t="s">
        <v>714</v>
      </c>
      <c r="E70" s="400" t="s">
        <v>363</v>
      </c>
      <c r="F70" s="291" t="s">
        <v>385</v>
      </c>
      <c r="G70" s="210"/>
      <c r="H70" s="292" t="s">
        <v>683</v>
      </c>
      <c r="I70" s="293" t="s">
        <v>632</v>
      </c>
      <c r="J70" s="265" t="s">
        <v>251</v>
      </c>
      <c r="K70" s="232" t="s">
        <v>252</v>
      </c>
      <c r="L70" s="231" t="s">
        <v>252</v>
      </c>
      <c r="M70" s="231"/>
      <c r="N70" s="235" t="s">
        <v>716</v>
      </c>
      <c r="O70" s="343">
        <v>0</v>
      </c>
      <c r="P70" s="169">
        <f>0</f>
        <v>0</v>
      </c>
      <c r="Q70" s="169">
        <v>0</v>
      </c>
      <c r="R70" s="169">
        <f>0</f>
        <v>0</v>
      </c>
      <c r="S70" s="169">
        <v>0</v>
      </c>
      <c r="T70" s="169">
        <v>0</v>
      </c>
      <c r="U70" s="169">
        <v>0</v>
      </c>
      <c r="V70" s="169">
        <f>0</f>
        <v>0</v>
      </c>
      <c r="W70" s="169">
        <v>8</v>
      </c>
      <c r="X70" s="169">
        <f>0</f>
        <v>0</v>
      </c>
      <c r="Y70" s="169">
        <f>0</f>
        <v>0</v>
      </c>
      <c r="Z70" s="219">
        <f>0</f>
        <v>0</v>
      </c>
      <c r="AA70" s="128">
        <f t="shared" si="0"/>
        <v>8</v>
      </c>
      <c r="AB70" s="218"/>
      <c r="AC70" s="137">
        <f t="shared" si="1"/>
        <v>8</v>
      </c>
      <c r="AD70" s="129"/>
      <c r="AE70" s="195" t="s">
        <v>284</v>
      </c>
      <c r="AF70" s="97" t="s">
        <v>294</v>
      </c>
      <c r="AG70" s="206"/>
      <c r="AH70" s="205"/>
      <c r="AI70" s="101"/>
      <c r="AJ70" s="587" t="s">
        <v>501</v>
      </c>
      <c r="AK70" s="207" t="e">
        <f t="shared" si="2"/>
        <v>#VALUE!</v>
      </c>
      <c r="AL70" s="101"/>
      <c r="AM70" s="96"/>
      <c r="AN70" s="103"/>
      <c r="AO70" s="198"/>
    </row>
    <row r="71" spans="1:41" s="120" customFormat="1" ht="30.75" hidden="1" customHeight="1" x14ac:dyDescent="0.35">
      <c r="A71" s="252">
        <v>230</v>
      </c>
      <c r="B71" s="253">
        <v>44929</v>
      </c>
      <c r="C71" s="246" t="s">
        <v>617</v>
      </c>
      <c r="D71" s="233" t="s">
        <v>714</v>
      </c>
      <c r="E71" s="400" t="s">
        <v>363</v>
      </c>
      <c r="F71" s="294" t="s">
        <v>385</v>
      </c>
      <c r="G71" s="158" t="s">
        <v>682</v>
      </c>
      <c r="H71" s="289" t="s">
        <v>683</v>
      </c>
      <c r="I71" s="290" t="s">
        <v>632</v>
      </c>
      <c r="J71" s="271" t="s">
        <v>251</v>
      </c>
      <c r="K71" s="232" t="s">
        <v>252</v>
      </c>
      <c r="L71" s="229" t="s">
        <v>252</v>
      </c>
      <c r="M71" s="229"/>
      <c r="N71" s="235" t="s">
        <v>723</v>
      </c>
      <c r="O71" s="343">
        <v>0</v>
      </c>
      <c r="P71" s="169">
        <f>0</f>
        <v>0</v>
      </c>
      <c r="Q71" s="169">
        <v>0</v>
      </c>
      <c r="R71" s="169">
        <f>0</f>
        <v>0</v>
      </c>
      <c r="S71" s="169">
        <v>0</v>
      </c>
      <c r="T71" s="169">
        <v>0</v>
      </c>
      <c r="U71" s="169">
        <v>0</v>
      </c>
      <c r="V71" s="169">
        <f>0</f>
        <v>0</v>
      </c>
      <c r="W71" s="169">
        <v>2</v>
      </c>
      <c r="X71" s="169">
        <f>0</f>
        <v>0</v>
      </c>
      <c r="Y71" s="169">
        <f>0</f>
        <v>0</v>
      </c>
      <c r="Z71" s="219">
        <f>0</f>
        <v>0</v>
      </c>
      <c r="AA71" s="128">
        <f t="shared" ref="AA71:AA134" si="3">SUM(O71:Z71)</f>
        <v>2</v>
      </c>
      <c r="AB71" s="218"/>
      <c r="AC71" s="137">
        <f t="shared" ref="AC71:AC134" si="4">AA71-AB71</f>
        <v>2</v>
      </c>
      <c r="AD71" s="129">
        <v>44930</v>
      </c>
      <c r="AE71" s="195"/>
      <c r="AF71" s="97" t="s">
        <v>294</v>
      </c>
      <c r="AG71" s="206"/>
      <c r="AH71" s="205"/>
      <c r="AI71" s="101"/>
      <c r="AJ71" s="99" t="s">
        <v>501</v>
      </c>
      <c r="AK71" s="207" t="e">
        <f t="shared" ref="AK71:AK134" si="5">AC71-AJ71</f>
        <v>#VALUE!</v>
      </c>
      <c r="AL71" s="101"/>
      <c r="AM71" s="96"/>
      <c r="AN71" s="103"/>
      <c r="AO71" s="198"/>
    </row>
    <row r="72" spans="1:41" s="120" customFormat="1" ht="30.75" hidden="1" customHeight="1" x14ac:dyDescent="0.35">
      <c r="A72" s="244">
        <v>242</v>
      </c>
      <c r="B72" s="253">
        <v>44939</v>
      </c>
      <c r="C72" s="246" t="s">
        <v>308</v>
      </c>
      <c r="D72" s="236" t="s">
        <v>691</v>
      </c>
      <c r="E72" s="236" t="s">
        <v>363</v>
      </c>
      <c r="F72" s="291" t="s">
        <v>385</v>
      </c>
      <c r="G72" s="210"/>
      <c r="H72" s="292" t="s">
        <v>683</v>
      </c>
      <c r="I72" s="293" t="s">
        <v>632</v>
      </c>
      <c r="J72" s="265" t="s">
        <v>251</v>
      </c>
      <c r="K72" s="232" t="s">
        <v>252</v>
      </c>
      <c r="L72" s="231" t="s">
        <v>252</v>
      </c>
      <c r="M72" s="231" t="s">
        <v>692</v>
      </c>
      <c r="N72" s="235" t="s">
        <v>777</v>
      </c>
      <c r="O72" s="343">
        <v>0</v>
      </c>
      <c r="P72" s="169">
        <f>0</f>
        <v>0</v>
      </c>
      <c r="Q72" s="169">
        <v>0</v>
      </c>
      <c r="R72" s="169">
        <f>0</f>
        <v>0</v>
      </c>
      <c r="S72" s="169">
        <v>0</v>
      </c>
      <c r="T72" s="169">
        <v>0</v>
      </c>
      <c r="U72" s="169">
        <v>0</v>
      </c>
      <c r="V72" s="169">
        <f>0</f>
        <v>0</v>
      </c>
      <c r="W72" s="169">
        <v>5</v>
      </c>
      <c r="X72" s="169">
        <f>0</f>
        <v>0</v>
      </c>
      <c r="Y72" s="169">
        <f>0</f>
        <v>0</v>
      </c>
      <c r="Z72" s="219">
        <f>0</f>
        <v>0</v>
      </c>
      <c r="AA72" s="128">
        <f t="shared" si="3"/>
        <v>5</v>
      </c>
      <c r="AB72" s="218"/>
      <c r="AC72" s="137">
        <f t="shared" si="4"/>
        <v>5</v>
      </c>
      <c r="AD72" s="129"/>
      <c r="AE72" s="195" t="s">
        <v>531</v>
      </c>
      <c r="AF72" s="97" t="s">
        <v>44</v>
      </c>
      <c r="AG72" s="206"/>
      <c r="AH72" s="205"/>
      <c r="AI72" s="101"/>
      <c r="AJ72" s="102" t="s">
        <v>501</v>
      </c>
      <c r="AK72" s="207" t="e">
        <f t="shared" si="5"/>
        <v>#VALUE!</v>
      </c>
      <c r="AL72" s="101"/>
      <c r="AM72" s="96"/>
      <c r="AN72" s="103"/>
      <c r="AO72" s="198"/>
    </row>
    <row r="73" spans="1:41" s="120" customFormat="1" ht="30.75" hidden="1" customHeight="1" x14ac:dyDescent="0.35">
      <c r="A73" s="244">
        <v>292</v>
      </c>
      <c r="B73" s="253">
        <v>44944</v>
      </c>
      <c r="C73" s="246" t="s">
        <v>817</v>
      </c>
      <c r="D73" s="233" t="s">
        <v>802</v>
      </c>
      <c r="E73" s="233">
        <v>0</v>
      </c>
      <c r="F73" s="294" t="s">
        <v>630</v>
      </c>
      <c r="G73" s="158"/>
      <c r="H73" s="289" t="s">
        <v>252</v>
      </c>
      <c r="I73" s="290" t="s">
        <v>632</v>
      </c>
      <c r="J73" s="211"/>
      <c r="K73" s="148"/>
      <c r="L73" s="189"/>
      <c r="M73" s="189"/>
      <c r="N73" s="235" t="s">
        <v>814</v>
      </c>
      <c r="O73" s="343">
        <f>0</f>
        <v>0</v>
      </c>
      <c r="P73" s="169">
        <f>0</f>
        <v>0</v>
      </c>
      <c r="Q73" s="169">
        <f>0</f>
        <v>0</v>
      </c>
      <c r="R73" s="169">
        <v>1</v>
      </c>
      <c r="S73" s="169">
        <f>0</f>
        <v>0</v>
      </c>
      <c r="T73" s="169">
        <f>0</f>
        <v>0</v>
      </c>
      <c r="U73" s="169">
        <f>0</f>
        <v>0</v>
      </c>
      <c r="V73" s="169">
        <f>0</f>
        <v>0</v>
      </c>
      <c r="W73" s="169">
        <f>0</f>
        <v>0</v>
      </c>
      <c r="X73" s="169">
        <f>0</f>
        <v>0</v>
      </c>
      <c r="Y73" s="169">
        <f>0</f>
        <v>0</v>
      </c>
      <c r="Z73" s="219">
        <f>0</f>
        <v>0</v>
      </c>
      <c r="AA73" s="149">
        <f t="shared" si="3"/>
        <v>1</v>
      </c>
      <c r="AB73" s="176"/>
      <c r="AC73" s="163">
        <f t="shared" si="4"/>
        <v>1</v>
      </c>
      <c r="AD73" s="129"/>
      <c r="AE73" s="195" t="s">
        <v>531</v>
      </c>
      <c r="AF73" s="97" t="s">
        <v>44</v>
      </c>
      <c r="AG73" s="206"/>
      <c r="AH73" s="205"/>
      <c r="AI73" s="101"/>
      <c r="AJ73" s="99" t="s">
        <v>501</v>
      </c>
      <c r="AK73" s="207" t="e">
        <f t="shared" si="5"/>
        <v>#VALUE!</v>
      </c>
      <c r="AL73" s="101"/>
      <c r="AM73" s="96"/>
      <c r="AN73" s="103"/>
      <c r="AO73" s="198"/>
    </row>
    <row r="74" spans="1:41" s="120" customFormat="1" ht="30.75" hidden="1" customHeight="1" x14ac:dyDescent="0.35">
      <c r="A74" s="244">
        <v>294</v>
      </c>
      <c r="B74" s="253">
        <v>44944</v>
      </c>
      <c r="C74" s="246" t="s">
        <v>817</v>
      </c>
      <c r="D74" s="236" t="s">
        <v>804</v>
      </c>
      <c r="E74" s="236"/>
      <c r="F74" s="291" t="s">
        <v>315</v>
      </c>
      <c r="G74" s="210"/>
      <c r="H74" s="292" t="s">
        <v>805</v>
      </c>
      <c r="I74" s="293" t="s">
        <v>632</v>
      </c>
      <c r="J74" s="209"/>
      <c r="K74" s="148"/>
      <c r="L74" s="97"/>
      <c r="M74" s="97"/>
      <c r="N74" s="235" t="s">
        <v>814</v>
      </c>
      <c r="O74" s="343">
        <f>0</f>
        <v>0</v>
      </c>
      <c r="P74" s="169">
        <f>0</f>
        <v>0</v>
      </c>
      <c r="Q74" s="169">
        <f>0</f>
        <v>0</v>
      </c>
      <c r="R74" s="169">
        <v>2</v>
      </c>
      <c r="S74" s="169">
        <f>0</f>
        <v>0</v>
      </c>
      <c r="T74" s="169">
        <f>0</f>
        <v>0</v>
      </c>
      <c r="U74" s="169">
        <f>0</f>
        <v>0</v>
      </c>
      <c r="V74" s="169">
        <f>0</f>
        <v>0</v>
      </c>
      <c r="W74" s="169">
        <f>0</f>
        <v>0</v>
      </c>
      <c r="X74" s="169">
        <f>0</f>
        <v>0</v>
      </c>
      <c r="Y74" s="169">
        <f>0</f>
        <v>0</v>
      </c>
      <c r="Z74" s="219">
        <f>0</f>
        <v>0</v>
      </c>
      <c r="AA74" s="149">
        <f t="shared" si="3"/>
        <v>2</v>
      </c>
      <c r="AB74" s="176"/>
      <c r="AC74" s="163">
        <f t="shared" si="4"/>
        <v>2</v>
      </c>
      <c r="AD74" s="129">
        <v>44946</v>
      </c>
      <c r="AE74" s="195" t="s">
        <v>284</v>
      </c>
      <c r="AF74" s="97" t="s">
        <v>1327</v>
      </c>
      <c r="AG74" s="206"/>
      <c r="AH74" s="205"/>
      <c r="AI74" s="101"/>
      <c r="AJ74" s="99">
        <v>2</v>
      </c>
      <c r="AK74" s="207">
        <f t="shared" si="5"/>
        <v>0</v>
      </c>
      <c r="AL74" s="101" t="s">
        <v>1334</v>
      </c>
      <c r="AM74" s="96"/>
      <c r="AN74" s="103"/>
      <c r="AO74" s="198"/>
    </row>
    <row r="75" spans="1:41" s="120" customFormat="1" ht="30.75" hidden="1" customHeight="1" x14ac:dyDescent="0.35">
      <c r="A75" s="252">
        <v>295</v>
      </c>
      <c r="B75" s="253">
        <v>44944</v>
      </c>
      <c r="C75" s="246" t="s">
        <v>817</v>
      </c>
      <c r="D75" s="233" t="s">
        <v>714</v>
      </c>
      <c r="E75" s="233"/>
      <c r="F75" s="294" t="s">
        <v>385</v>
      </c>
      <c r="G75" s="158"/>
      <c r="H75" s="289" t="s">
        <v>683</v>
      </c>
      <c r="I75" s="290" t="s">
        <v>632</v>
      </c>
      <c r="J75" s="211"/>
      <c r="K75" s="148"/>
      <c r="L75" s="189"/>
      <c r="M75" s="189"/>
      <c r="N75" s="235" t="s">
        <v>814</v>
      </c>
      <c r="O75" s="343">
        <f>0</f>
        <v>0</v>
      </c>
      <c r="P75" s="169">
        <f>0</f>
        <v>0</v>
      </c>
      <c r="Q75" s="169">
        <f>0</f>
        <v>0</v>
      </c>
      <c r="R75" s="169">
        <v>2</v>
      </c>
      <c r="S75" s="169">
        <f>0</f>
        <v>0</v>
      </c>
      <c r="T75" s="169">
        <f>0</f>
        <v>0</v>
      </c>
      <c r="U75" s="169">
        <f>0</f>
        <v>0</v>
      </c>
      <c r="V75" s="169">
        <f>0</f>
        <v>0</v>
      </c>
      <c r="W75" s="169">
        <f>0</f>
        <v>0</v>
      </c>
      <c r="X75" s="169">
        <f>0</f>
        <v>0</v>
      </c>
      <c r="Y75" s="169">
        <f>0</f>
        <v>0</v>
      </c>
      <c r="Z75" s="219">
        <f>0</f>
        <v>0</v>
      </c>
      <c r="AA75" s="149">
        <f t="shared" si="3"/>
        <v>2</v>
      </c>
      <c r="AB75" s="176"/>
      <c r="AC75" s="163">
        <f t="shared" si="4"/>
        <v>2</v>
      </c>
      <c r="AD75" s="129"/>
      <c r="AE75" s="195" t="s">
        <v>531</v>
      </c>
      <c r="AF75" s="97" t="s">
        <v>44</v>
      </c>
      <c r="AG75" s="206"/>
      <c r="AH75" s="205"/>
      <c r="AI75" s="101"/>
      <c r="AJ75" s="99" t="s">
        <v>501</v>
      </c>
      <c r="AK75" s="207" t="e">
        <f t="shared" si="5"/>
        <v>#VALUE!</v>
      </c>
      <c r="AL75" s="101"/>
      <c r="AM75" s="96"/>
      <c r="AN75" s="103"/>
      <c r="AO75" s="198"/>
    </row>
    <row r="76" spans="1:41" s="120" customFormat="1" ht="30.75" hidden="1" customHeight="1" x14ac:dyDescent="0.35">
      <c r="A76" s="244">
        <v>297</v>
      </c>
      <c r="B76" s="253">
        <v>44944</v>
      </c>
      <c r="C76" s="246" t="s">
        <v>817</v>
      </c>
      <c r="D76" s="236" t="s">
        <v>806</v>
      </c>
      <c r="E76" s="236">
        <v>0</v>
      </c>
      <c r="F76" s="291" t="s">
        <v>630</v>
      </c>
      <c r="G76" s="210"/>
      <c r="H76" s="292" t="s">
        <v>252</v>
      </c>
      <c r="I76" s="293" t="s">
        <v>632</v>
      </c>
      <c r="J76" s="209"/>
      <c r="K76" s="148"/>
      <c r="L76" s="97"/>
      <c r="M76" s="97"/>
      <c r="N76" s="235" t="s">
        <v>814</v>
      </c>
      <c r="O76" s="343">
        <f>0</f>
        <v>0</v>
      </c>
      <c r="P76" s="169">
        <f>0</f>
        <v>0</v>
      </c>
      <c r="Q76" s="169">
        <f>0</f>
        <v>0</v>
      </c>
      <c r="R76" s="169">
        <v>1</v>
      </c>
      <c r="S76" s="169">
        <f>0</f>
        <v>0</v>
      </c>
      <c r="T76" s="169">
        <f>0</f>
        <v>0</v>
      </c>
      <c r="U76" s="169">
        <f>0</f>
        <v>0</v>
      </c>
      <c r="V76" s="169">
        <f>0</f>
        <v>0</v>
      </c>
      <c r="W76" s="169">
        <f>0</f>
        <v>0</v>
      </c>
      <c r="X76" s="169">
        <f>0</f>
        <v>0</v>
      </c>
      <c r="Y76" s="169">
        <f>0</f>
        <v>0</v>
      </c>
      <c r="Z76" s="219">
        <f>0</f>
        <v>0</v>
      </c>
      <c r="AA76" s="149">
        <f t="shared" si="3"/>
        <v>1</v>
      </c>
      <c r="AB76" s="176"/>
      <c r="AC76" s="163">
        <f t="shared" si="4"/>
        <v>1</v>
      </c>
      <c r="AD76" s="129">
        <v>44946</v>
      </c>
      <c r="AE76" s="195" t="s">
        <v>284</v>
      </c>
      <c r="AF76" s="304" t="s">
        <v>958</v>
      </c>
      <c r="AG76" s="206"/>
      <c r="AH76" s="205"/>
      <c r="AI76" s="101"/>
      <c r="AJ76" s="99">
        <v>1</v>
      </c>
      <c r="AK76" s="207">
        <f t="shared" si="5"/>
        <v>0</v>
      </c>
      <c r="AL76" s="101" t="s">
        <v>1248</v>
      </c>
      <c r="AM76" s="96"/>
      <c r="AN76" s="103"/>
      <c r="AO76" s="198"/>
    </row>
    <row r="77" spans="1:41" s="120" customFormat="1" ht="30.75" hidden="1" customHeight="1" x14ac:dyDescent="0.35">
      <c r="A77" s="244">
        <v>357</v>
      </c>
      <c r="B77" s="253">
        <v>44945</v>
      </c>
      <c r="C77" s="246" t="s">
        <v>863</v>
      </c>
      <c r="D77" s="233" t="s">
        <v>910</v>
      </c>
      <c r="E77" s="233" t="s">
        <v>330</v>
      </c>
      <c r="F77" s="294" t="s">
        <v>911</v>
      </c>
      <c r="G77" s="211" t="s">
        <v>912</v>
      </c>
      <c r="H77" s="522" t="s">
        <v>913</v>
      </c>
      <c r="I77" s="539" t="s">
        <v>914</v>
      </c>
      <c r="J77" s="211" t="s">
        <v>915</v>
      </c>
      <c r="K77" s="148" t="s">
        <v>252</v>
      </c>
      <c r="L77" s="189" t="s">
        <v>252</v>
      </c>
      <c r="M77" s="189" t="s">
        <v>1357</v>
      </c>
      <c r="N77" s="235" t="s">
        <v>953</v>
      </c>
      <c r="O77" s="343">
        <v>0</v>
      </c>
      <c r="P77" s="169">
        <v>30</v>
      </c>
      <c r="Q77" s="169">
        <v>0</v>
      </c>
      <c r="R77" s="169">
        <v>0</v>
      </c>
      <c r="S77" s="169">
        <v>0</v>
      </c>
      <c r="T77" s="169">
        <v>0</v>
      </c>
      <c r="U77" s="169">
        <v>0</v>
      </c>
      <c r="V77" s="169">
        <f>0</f>
        <v>0</v>
      </c>
      <c r="W77" s="169">
        <v>0</v>
      </c>
      <c r="X77" s="169">
        <f>0</f>
        <v>0</v>
      </c>
      <c r="Y77" s="169">
        <f>0</f>
        <v>0</v>
      </c>
      <c r="Z77" s="219">
        <f>0</f>
        <v>0</v>
      </c>
      <c r="AA77" s="128">
        <f t="shared" si="3"/>
        <v>30</v>
      </c>
      <c r="AB77" s="218"/>
      <c r="AC77" s="137">
        <f t="shared" si="4"/>
        <v>30</v>
      </c>
      <c r="AD77" s="129">
        <v>44951</v>
      </c>
      <c r="AE77" s="195" t="s">
        <v>284</v>
      </c>
      <c r="AF77" s="97" t="s">
        <v>1258</v>
      </c>
      <c r="AG77" s="206"/>
      <c r="AH77" s="205"/>
      <c r="AI77" s="101"/>
      <c r="AJ77" s="99">
        <v>30</v>
      </c>
      <c r="AK77" s="207">
        <f t="shared" si="5"/>
        <v>0</v>
      </c>
      <c r="AL77" s="101" t="s">
        <v>1282</v>
      </c>
      <c r="AM77" s="96"/>
      <c r="AN77" s="103"/>
      <c r="AO77" s="198"/>
    </row>
    <row r="78" spans="1:41" s="120" customFormat="1" ht="30.75" hidden="1" customHeight="1" x14ac:dyDescent="0.35">
      <c r="A78" s="244">
        <v>118</v>
      </c>
      <c r="B78" s="297">
        <v>44903</v>
      </c>
      <c r="C78" s="298" t="s">
        <v>374</v>
      </c>
      <c r="D78" s="299">
        <v>9304702</v>
      </c>
      <c r="E78" s="400" t="s">
        <v>340</v>
      </c>
      <c r="F78" s="291" t="s">
        <v>365</v>
      </c>
      <c r="G78" s="210">
        <v>9304702</v>
      </c>
      <c r="H78" s="292">
        <v>9304702</v>
      </c>
      <c r="I78" s="293" t="s">
        <v>250</v>
      </c>
      <c r="J78" s="300" t="s">
        <v>251</v>
      </c>
      <c r="K78" s="301" t="s">
        <v>252</v>
      </c>
      <c r="L78" s="302" t="s">
        <v>252</v>
      </c>
      <c r="M78" s="310"/>
      <c r="N78" s="235" t="s">
        <v>71</v>
      </c>
      <c r="O78" s="343">
        <v>0</v>
      </c>
      <c r="P78" s="169">
        <f>0</f>
        <v>0</v>
      </c>
      <c r="Q78" s="169">
        <f>0</f>
        <v>0</v>
      </c>
      <c r="R78" s="169">
        <f>0</f>
        <v>0</v>
      </c>
      <c r="S78" s="169">
        <v>2</v>
      </c>
      <c r="T78" s="169">
        <f>0</f>
        <v>0</v>
      </c>
      <c r="U78" s="169">
        <f>0</f>
        <v>0</v>
      </c>
      <c r="V78" s="169">
        <f>0</f>
        <v>0</v>
      </c>
      <c r="W78" s="169">
        <f>0</f>
        <v>0</v>
      </c>
      <c r="X78" s="169">
        <f>0</f>
        <v>0</v>
      </c>
      <c r="Y78" s="169">
        <f>0</f>
        <v>0</v>
      </c>
      <c r="Z78" s="219">
        <f>0</f>
        <v>0</v>
      </c>
      <c r="AA78" s="128">
        <f t="shared" si="3"/>
        <v>2</v>
      </c>
      <c r="AB78" s="141">
        <f>0</f>
        <v>0</v>
      </c>
      <c r="AC78" s="136">
        <f t="shared" si="4"/>
        <v>2</v>
      </c>
      <c r="AD78" s="129"/>
      <c r="AE78" s="142" t="s">
        <v>284</v>
      </c>
      <c r="AF78" s="97" t="s">
        <v>294</v>
      </c>
      <c r="AG78" s="206"/>
      <c r="AH78" s="195"/>
      <c r="AI78" s="98"/>
      <c r="AJ78" s="107" t="s">
        <v>501</v>
      </c>
      <c r="AK78" s="203" t="e">
        <f t="shared" si="5"/>
        <v>#VALUE!</v>
      </c>
      <c r="AL78" s="106"/>
      <c r="AM78" s="58"/>
      <c r="AN78" s="108"/>
      <c r="AO78" s="416"/>
    </row>
    <row r="79" spans="1:41" s="120" customFormat="1" ht="30.75" hidden="1" customHeight="1" x14ac:dyDescent="0.35">
      <c r="A79" s="252">
        <v>119</v>
      </c>
      <c r="B79" s="297">
        <v>44903</v>
      </c>
      <c r="C79" s="298" t="s">
        <v>374</v>
      </c>
      <c r="D79" s="305">
        <v>92001</v>
      </c>
      <c r="E79" s="287" t="s">
        <v>324</v>
      </c>
      <c r="F79" s="294" t="s">
        <v>366</v>
      </c>
      <c r="G79" s="158">
        <v>92001</v>
      </c>
      <c r="H79" s="289">
        <v>92001</v>
      </c>
      <c r="I79" s="290" t="s">
        <v>250</v>
      </c>
      <c r="J79" s="493" t="s">
        <v>251</v>
      </c>
      <c r="K79" s="301" t="s">
        <v>252</v>
      </c>
      <c r="L79" s="306" t="s">
        <v>252</v>
      </c>
      <c r="M79" s="307"/>
      <c r="N79" s="235" t="s">
        <v>71</v>
      </c>
      <c r="O79" s="343">
        <v>0</v>
      </c>
      <c r="P79" s="169">
        <f>0</f>
        <v>0</v>
      </c>
      <c r="Q79" s="169">
        <f>0</f>
        <v>0</v>
      </c>
      <c r="R79" s="169">
        <f>0</f>
        <v>0</v>
      </c>
      <c r="S79" s="169">
        <v>1</v>
      </c>
      <c r="T79" s="169">
        <f>0</f>
        <v>0</v>
      </c>
      <c r="U79" s="169">
        <f>0</f>
        <v>0</v>
      </c>
      <c r="V79" s="169">
        <f>0</f>
        <v>0</v>
      </c>
      <c r="W79" s="169">
        <f>0</f>
        <v>0</v>
      </c>
      <c r="X79" s="169">
        <f>0</f>
        <v>0</v>
      </c>
      <c r="Y79" s="169">
        <f>0</f>
        <v>0</v>
      </c>
      <c r="Z79" s="219">
        <f>0</f>
        <v>0</v>
      </c>
      <c r="AA79" s="128">
        <f t="shared" si="3"/>
        <v>1</v>
      </c>
      <c r="AB79" s="141">
        <f>0</f>
        <v>0</v>
      </c>
      <c r="AC79" s="136">
        <f t="shared" si="4"/>
        <v>1</v>
      </c>
      <c r="AD79" s="129"/>
      <c r="AE79" s="142" t="s">
        <v>284</v>
      </c>
      <c r="AF79" s="97" t="s">
        <v>294</v>
      </c>
      <c r="AG79" s="206"/>
      <c r="AH79" s="195"/>
      <c r="AI79" s="98"/>
      <c r="AJ79" s="107" t="s">
        <v>501</v>
      </c>
      <c r="AK79" s="203" t="e">
        <f t="shared" si="5"/>
        <v>#VALUE!</v>
      </c>
      <c r="AL79" s="106"/>
      <c r="AM79" s="58"/>
      <c r="AN79" s="108"/>
      <c r="AO79" s="416"/>
    </row>
    <row r="80" spans="1:41" s="120" customFormat="1" ht="30.75" hidden="1" customHeight="1" x14ac:dyDescent="0.35">
      <c r="A80" s="244">
        <v>121</v>
      </c>
      <c r="B80" s="297">
        <v>44903</v>
      </c>
      <c r="C80" s="298" t="s">
        <v>374</v>
      </c>
      <c r="D80" s="299" t="s">
        <v>367</v>
      </c>
      <c r="E80" s="400" t="s">
        <v>330</v>
      </c>
      <c r="F80" s="291" t="s">
        <v>368</v>
      </c>
      <c r="G80" s="210" t="s">
        <v>367</v>
      </c>
      <c r="H80" s="292" t="s">
        <v>367</v>
      </c>
      <c r="I80" s="293" t="s">
        <v>250</v>
      </c>
      <c r="J80" s="300" t="s">
        <v>251</v>
      </c>
      <c r="K80" s="301" t="s">
        <v>252</v>
      </c>
      <c r="L80" s="302" t="s">
        <v>252</v>
      </c>
      <c r="M80" s="310"/>
      <c r="N80" s="235" t="s">
        <v>71</v>
      </c>
      <c r="O80" s="343">
        <v>0</v>
      </c>
      <c r="P80" s="169">
        <f>0</f>
        <v>0</v>
      </c>
      <c r="Q80" s="169">
        <f>0</f>
        <v>0</v>
      </c>
      <c r="R80" s="169">
        <f>0</f>
        <v>0</v>
      </c>
      <c r="S80" s="169">
        <v>2</v>
      </c>
      <c r="T80" s="169">
        <f>0</f>
        <v>0</v>
      </c>
      <c r="U80" s="169">
        <f>0</f>
        <v>0</v>
      </c>
      <c r="V80" s="169">
        <f>0</f>
        <v>0</v>
      </c>
      <c r="W80" s="169">
        <f>0</f>
        <v>0</v>
      </c>
      <c r="X80" s="169">
        <f>0</f>
        <v>0</v>
      </c>
      <c r="Y80" s="169">
        <f>0</f>
        <v>0</v>
      </c>
      <c r="Z80" s="219">
        <f>0</f>
        <v>0</v>
      </c>
      <c r="AA80" s="128">
        <f t="shared" si="3"/>
        <v>2</v>
      </c>
      <c r="AB80" s="218">
        <f>0</f>
        <v>0</v>
      </c>
      <c r="AC80" s="137">
        <f t="shared" si="4"/>
        <v>2</v>
      </c>
      <c r="AD80" s="129"/>
      <c r="AE80" s="142" t="s">
        <v>284</v>
      </c>
      <c r="AF80" s="97" t="s">
        <v>294</v>
      </c>
      <c r="AG80" s="206"/>
      <c r="AH80" s="205"/>
      <c r="AI80" s="101"/>
      <c r="AJ80" s="107" t="s">
        <v>501</v>
      </c>
      <c r="AK80" s="203" t="e">
        <f t="shared" si="5"/>
        <v>#VALUE!</v>
      </c>
      <c r="AL80" s="106"/>
      <c r="AM80" s="58"/>
      <c r="AN80" s="108"/>
      <c r="AO80" s="416"/>
    </row>
    <row r="81" spans="1:41" s="120" customFormat="1" ht="30.75" hidden="1" customHeight="1" x14ac:dyDescent="0.35">
      <c r="A81" s="244">
        <v>122</v>
      </c>
      <c r="B81" s="297">
        <v>44903</v>
      </c>
      <c r="C81" s="298" t="s">
        <v>374</v>
      </c>
      <c r="D81" s="305">
        <v>91046</v>
      </c>
      <c r="E81" s="287" t="s">
        <v>330</v>
      </c>
      <c r="F81" s="294" t="s">
        <v>369</v>
      </c>
      <c r="G81" s="158">
        <v>91046</v>
      </c>
      <c r="H81" s="289">
        <v>91046</v>
      </c>
      <c r="I81" s="290" t="s">
        <v>250</v>
      </c>
      <c r="J81" s="493" t="s">
        <v>251</v>
      </c>
      <c r="K81" s="301" t="s">
        <v>252</v>
      </c>
      <c r="L81" s="306" t="s">
        <v>252</v>
      </c>
      <c r="M81" s="307"/>
      <c r="N81" s="235" t="s">
        <v>71</v>
      </c>
      <c r="O81" s="343">
        <v>0</v>
      </c>
      <c r="P81" s="169">
        <f>0</f>
        <v>0</v>
      </c>
      <c r="Q81" s="169">
        <f>0</f>
        <v>0</v>
      </c>
      <c r="R81" s="169">
        <f>0</f>
        <v>0</v>
      </c>
      <c r="S81" s="169">
        <v>2</v>
      </c>
      <c r="T81" s="169">
        <f>0</f>
        <v>0</v>
      </c>
      <c r="U81" s="169">
        <f>0</f>
        <v>0</v>
      </c>
      <c r="V81" s="169">
        <f>0</f>
        <v>0</v>
      </c>
      <c r="W81" s="169">
        <f>0</f>
        <v>0</v>
      </c>
      <c r="X81" s="169">
        <f>0</f>
        <v>0</v>
      </c>
      <c r="Y81" s="169">
        <f>0</f>
        <v>0</v>
      </c>
      <c r="Z81" s="219">
        <f>0</f>
        <v>0</v>
      </c>
      <c r="AA81" s="128">
        <f t="shared" si="3"/>
        <v>2</v>
      </c>
      <c r="AB81" s="218">
        <f>0</f>
        <v>0</v>
      </c>
      <c r="AC81" s="137">
        <f t="shared" si="4"/>
        <v>2</v>
      </c>
      <c r="AD81" s="129"/>
      <c r="AE81" s="142" t="s">
        <v>284</v>
      </c>
      <c r="AF81" s="97" t="s">
        <v>294</v>
      </c>
      <c r="AG81" s="206"/>
      <c r="AH81" s="205"/>
      <c r="AI81" s="101"/>
      <c r="AJ81" s="107" t="s">
        <v>501</v>
      </c>
      <c r="AK81" s="203" t="e">
        <f t="shared" si="5"/>
        <v>#VALUE!</v>
      </c>
      <c r="AL81" s="106"/>
      <c r="AM81" s="58"/>
      <c r="AN81" s="108"/>
      <c r="AO81" s="416"/>
    </row>
    <row r="82" spans="1:41" s="308" customFormat="1" ht="30.75" hidden="1" customHeight="1" x14ac:dyDescent="0.35">
      <c r="A82" s="244">
        <v>143</v>
      </c>
      <c r="B82" s="297">
        <v>44903</v>
      </c>
      <c r="C82" s="298" t="s">
        <v>374</v>
      </c>
      <c r="D82" s="299" t="s">
        <v>253</v>
      </c>
      <c r="E82" s="287" t="s">
        <v>314</v>
      </c>
      <c r="F82" s="241" t="s">
        <v>249</v>
      </c>
      <c r="G82" s="206" t="s">
        <v>253</v>
      </c>
      <c r="H82" s="250" t="s">
        <v>253</v>
      </c>
      <c r="I82" s="251" t="s">
        <v>250</v>
      </c>
      <c r="J82" s="252" t="s">
        <v>251</v>
      </c>
      <c r="K82" s="297"/>
      <c r="L82" s="306"/>
      <c r="M82" s="307"/>
      <c r="N82" s="235" t="s">
        <v>71</v>
      </c>
      <c r="O82" s="343">
        <v>0</v>
      </c>
      <c r="P82" s="169">
        <f>0</f>
        <v>0</v>
      </c>
      <c r="Q82" s="169">
        <f>0</f>
        <v>0</v>
      </c>
      <c r="R82" s="169">
        <f>0</f>
        <v>0</v>
      </c>
      <c r="S82" s="169">
        <v>4</v>
      </c>
      <c r="T82" s="169">
        <f>0</f>
        <v>0</v>
      </c>
      <c r="U82" s="169">
        <f>0</f>
        <v>0</v>
      </c>
      <c r="V82" s="169">
        <f>0</f>
        <v>0</v>
      </c>
      <c r="W82" s="169">
        <f>0</f>
        <v>0</v>
      </c>
      <c r="X82" s="169">
        <f>0</f>
        <v>0</v>
      </c>
      <c r="Y82" s="169">
        <f>0</f>
        <v>0</v>
      </c>
      <c r="Z82" s="219">
        <f>0</f>
        <v>0</v>
      </c>
      <c r="AA82" s="128">
        <f t="shared" si="3"/>
        <v>4</v>
      </c>
      <c r="AB82" s="218">
        <f>0</f>
        <v>0</v>
      </c>
      <c r="AC82" s="172">
        <f t="shared" si="4"/>
        <v>4</v>
      </c>
      <c r="AD82" s="188"/>
      <c r="AE82" s="114" t="s">
        <v>284</v>
      </c>
      <c r="AF82" s="189" t="s">
        <v>294</v>
      </c>
      <c r="AG82" s="206"/>
      <c r="AH82" s="205"/>
      <c r="AI82" s="101"/>
      <c r="AJ82" s="107" t="s">
        <v>501</v>
      </c>
      <c r="AK82" s="203" t="e">
        <f t="shared" si="5"/>
        <v>#VALUE!</v>
      </c>
      <c r="AL82" s="106"/>
      <c r="AM82" s="58"/>
      <c r="AN82" s="108"/>
      <c r="AO82" s="416"/>
    </row>
    <row r="83" spans="1:41" s="308" customFormat="1" ht="30.75" hidden="1" customHeight="1" x14ac:dyDescent="0.35">
      <c r="A83" s="252">
        <v>144</v>
      </c>
      <c r="B83" s="297">
        <v>44903</v>
      </c>
      <c r="C83" s="298" t="s">
        <v>374</v>
      </c>
      <c r="D83" s="299" t="s">
        <v>394</v>
      </c>
      <c r="E83" s="400" t="s">
        <v>363</v>
      </c>
      <c r="F83" s="185" t="s">
        <v>395</v>
      </c>
      <c r="G83" s="196" t="s">
        <v>394</v>
      </c>
      <c r="H83" s="247" t="s">
        <v>394</v>
      </c>
      <c r="I83" s="248" t="s">
        <v>250</v>
      </c>
      <c r="J83" s="244" t="s">
        <v>251</v>
      </c>
      <c r="K83" s="303"/>
      <c r="L83" s="302"/>
      <c r="M83" s="307"/>
      <c r="N83" s="235" t="s">
        <v>71</v>
      </c>
      <c r="O83" s="343">
        <v>0</v>
      </c>
      <c r="P83" s="169">
        <f>0</f>
        <v>0</v>
      </c>
      <c r="Q83" s="169">
        <f>0</f>
        <v>0</v>
      </c>
      <c r="R83" s="169">
        <f>0</f>
        <v>0</v>
      </c>
      <c r="S83" s="169">
        <v>8</v>
      </c>
      <c r="T83" s="169">
        <f>0</f>
        <v>0</v>
      </c>
      <c r="U83" s="169">
        <f>0</f>
        <v>0</v>
      </c>
      <c r="V83" s="169">
        <f>0</f>
        <v>0</v>
      </c>
      <c r="W83" s="169">
        <f>0</f>
        <v>0</v>
      </c>
      <c r="X83" s="169">
        <f>0</f>
        <v>0</v>
      </c>
      <c r="Y83" s="169">
        <f>0</f>
        <v>0</v>
      </c>
      <c r="Z83" s="219">
        <f>0</f>
        <v>0</v>
      </c>
      <c r="AA83" s="128">
        <f t="shared" si="3"/>
        <v>8</v>
      </c>
      <c r="AB83" s="218">
        <f>0</f>
        <v>0</v>
      </c>
      <c r="AC83" s="137">
        <f t="shared" si="4"/>
        <v>8</v>
      </c>
      <c r="AD83" s="188"/>
      <c r="AE83" s="114" t="s">
        <v>284</v>
      </c>
      <c r="AF83" s="189" t="s">
        <v>294</v>
      </c>
      <c r="AG83" s="206"/>
      <c r="AH83" s="205"/>
      <c r="AI83" s="101"/>
      <c r="AJ83" s="107" t="s">
        <v>501</v>
      </c>
      <c r="AK83" s="203" t="e">
        <f t="shared" si="5"/>
        <v>#VALUE!</v>
      </c>
      <c r="AL83" s="106"/>
      <c r="AM83" s="58"/>
      <c r="AN83" s="108"/>
      <c r="AO83" s="416"/>
    </row>
    <row r="84" spans="1:41" s="308" customFormat="1" ht="30.75" hidden="1" customHeight="1" x14ac:dyDescent="0.35">
      <c r="A84" s="244">
        <v>145</v>
      </c>
      <c r="B84" s="297">
        <v>44903</v>
      </c>
      <c r="C84" s="298" t="s">
        <v>374</v>
      </c>
      <c r="D84" s="299" t="s">
        <v>396</v>
      </c>
      <c r="E84" s="400" t="s">
        <v>340</v>
      </c>
      <c r="F84" s="291" t="s">
        <v>397</v>
      </c>
      <c r="G84" s="210" t="s">
        <v>396</v>
      </c>
      <c r="H84" s="292" t="s">
        <v>396</v>
      </c>
      <c r="I84" s="293" t="s">
        <v>250</v>
      </c>
      <c r="J84" s="300" t="s">
        <v>251</v>
      </c>
      <c r="K84" s="301"/>
      <c r="L84" s="302"/>
      <c r="M84" s="307"/>
      <c r="N84" s="235" t="s">
        <v>71</v>
      </c>
      <c r="O84" s="343">
        <v>0</v>
      </c>
      <c r="P84" s="169">
        <f>0</f>
        <v>0</v>
      </c>
      <c r="Q84" s="169">
        <f>0</f>
        <v>0</v>
      </c>
      <c r="R84" s="169">
        <f>0</f>
        <v>0</v>
      </c>
      <c r="S84" s="169">
        <v>4</v>
      </c>
      <c r="T84" s="169">
        <f>0</f>
        <v>0</v>
      </c>
      <c r="U84" s="169">
        <f>0</f>
        <v>0</v>
      </c>
      <c r="V84" s="169">
        <f>0</f>
        <v>0</v>
      </c>
      <c r="W84" s="169">
        <f>0</f>
        <v>0</v>
      </c>
      <c r="X84" s="169">
        <f>0</f>
        <v>0</v>
      </c>
      <c r="Y84" s="169">
        <f>0</f>
        <v>0</v>
      </c>
      <c r="Z84" s="219">
        <f>0</f>
        <v>0</v>
      </c>
      <c r="AA84" s="128">
        <f t="shared" si="3"/>
        <v>4</v>
      </c>
      <c r="AB84" s="141">
        <f>0</f>
        <v>0</v>
      </c>
      <c r="AC84" s="136">
        <f t="shared" si="4"/>
        <v>4</v>
      </c>
      <c r="AD84" s="188"/>
      <c r="AE84" s="114" t="s">
        <v>284</v>
      </c>
      <c r="AF84" s="189" t="s">
        <v>294</v>
      </c>
      <c r="AG84" s="196"/>
      <c r="AH84" s="195"/>
      <c r="AI84" s="101"/>
      <c r="AJ84" s="143" t="s">
        <v>501</v>
      </c>
      <c r="AK84" s="414" t="e">
        <f t="shared" si="5"/>
        <v>#VALUE!</v>
      </c>
      <c r="AL84" s="157"/>
      <c r="AM84" s="169"/>
      <c r="AN84" s="171"/>
      <c r="AO84" s="416"/>
    </row>
    <row r="85" spans="1:41" s="308" customFormat="1" ht="30.75" hidden="1" customHeight="1" x14ac:dyDescent="0.35">
      <c r="A85" s="244">
        <v>148</v>
      </c>
      <c r="B85" s="297">
        <v>44909</v>
      </c>
      <c r="C85" s="298" t="s">
        <v>374</v>
      </c>
      <c r="D85" s="305" t="s">
        <v>394</v>
      </c>
      <c r="E85" s="506" t="s">
        <v>330</v>
      </c>
      <c r="F85" s="294" t="s">
        <v>508</v>
      </c>
      <c r="G85" s="158" t="s">
        <v>394</v>
      </c>
      <c r="H85" s="528" t="s">
        <v>394</v>
      </c>
      <c r="I85" s="290" t="s">
        <v>250</v>
      </c>
      <c r="J85" s="493" t="s">
        <v>251</v>
      </c>
      <c r="K85" s="301"/>
      <c r="L85" s="306"/>
      <c r="M85" s="307"/>
      <c r="N85" s="235" t="s">
        <v>71</v>
      </c>
      <c r="O85" s="343">
        <v>0</v>
      </c>
      <c r="P85" s="169">
        <f>0</f>
        <v>0</v>
      </c>
      <c r="Q85" s="169">
        <f>0</f>
        <v>0</v>
      </c>
      <c r="R85" s="169">
        <f>0</f>
        <v>0</v>
      </c>
      <c r="S85" s="169">
        <v>2</v>
      </c>
      <c r="T85" s="169">
        <f>0</f>
        <v>0</v>
      </c>
      <c r="U85" s="169">
        <f>0</f>
        <v>0</v>
      </c>
      <c r="V85" s="169">
        <f>0</f>
        <v>0</v>
      </c>
      <c r="W85" s="169">
        <f>0</f>
        <v>0</v>
      </c>
      <c r="X85" s="169">
        <f>0</f>
        <v>0</v>
      </c>
      <c r="Y85" s="169">
        <f>0</f>
        <v>0</v>
      </c>
      <c r="Z85" s="219">
        <f>0</f>
        <v>0</v>
      </c>
      <c r="AA85" s="128">
        <f t="shared" si="3"/>
        <v>2</v>
      </c>
      <c r="AB85" s="218">
        <f>0</f>
        <v>0</v>
      </c>
      <c r="AC85" s="137">
        <f t="shared" si="4"/>
        <v>2</v>
      </c>
      <c r="AD85" s="188"/>
      <c r="AE85" s="205" t="s">
        <v>531</v>
      </c>
      <c r="AF85" s="189" t="s">
        <v>44</v>
      </c>
      <c r="AG85" s="206"/>
      <c r="AH85" s="205"/>
      <c r="AI85" s="101"/>
      <c r="AJ85" s="102"/>
      <c r="AK85" s="207">
        <f t="shared" si="5"/>
        <v>2</v>
      </c>
      <c r="AL85" s="101"/>
      <c r="AM85" s="96"/>
      <c r="AN85" s="103"/>
      <c r="AO85" s="198"/>
    </row>
    <row r="86" spans="1:41" s="308" customFormat="1" ht="30.75" hidden="1" customHeight="1" x14ac:dyDescent="0.35">
      <c r="A86" s="244">
        <v>169</v>
      </c>
      <c r="B86" s="253">
        <v>44914</v>
      </c>
      <c r="C86" s="298" t="s">
        <v>254</v>
      </c>
      <c r="D86" s="299" t="s">
        <v>576</v>
      </c>
      <c r="E86" s="236" t="s">
        <v>324</v>
      </c>
      <c r="F86" s="291" t="s">
        <v>577</v>
      </c>
      <c r="G86" s="210"/>
      <c r="H86" s="292" t="s">
        <v>252</v>
      </c>
      <c r="I86" s="293" t="s">
        <v>250</v>
      </c>
      <c r="J86" s="209" t="s">
        <v>251</v>
      </c>
      <c r="K86" s="148" t="s">
        <v>252</v>
      </c>
      <c r="L86" s="97" t="s">
        <v>252</v>
      </c>
      <c r="M86" s="97" t="s">
        <v>252</v>
      </c>
      <c r="N86" s="235" t="s">
        <v>580</v>
      </c>
      <c r="O86" s="343">
        <v>0</v>
      </c>
      <c r="P86" s="169">
        <f>0</f>
        <v>0</v>
      </c>
      <c r="Q86" s="169">
        <v>4</v>
      </c>
      <c r="R86" s="169">
        <f>0</f>
        <v>0</v>
      </c>
      <c r="S86" s="169">
        <f>0</f>
        <v>0</v>
      </c>
      <c r="T86" s="169">
        <f>0</f>
        <v>0</v>
      </c>
      <c r="U86" s="169">
        <f>0</f>
        <v>0</v>
      </c>
      <c r="V86" s="169">
        <f>0</f>
        <v>0</v>
      </c>
      <c r="W86" s="169">
        <f>0</f>
        <v>0</v>
      </c>
      <c r="X86" s="169">
        <f>0</f>
        <v>0</v>
      </c>
      <c r="Y86" s="169">
        <f>0</f>
        <v>0</v>
      </c>
      <c r="Z86" s="219">
        <f>0</f>
        <v>0</v>
      </c>
      <c r="AA86" s="128">
        <f t="shared" si="3"/>
        <v>4</v>
      </c>
      <c r="AB86" s="218"/>
      <c r="AC86" s="137">
        <f t="shared" si="4"/>
        <v>4</v>
      </c>
      <c r="AD86" s="129"/>
      <c r="AE86" s="195" t="s">
        <v>531</v>
      </c>
      <c r="AF86" s="97" t="s">
        <v>294</v>
      </c>
      <c r="AG86" s="206"/>
      <c r="AH86" s="205"/>
      <c r="AI86" s="101"/>
      <c r="AJ86" s="102"/>
      <c r="AK86" s="207">
        <f t="shared" si="5"/>
        <v>4</v>
      </c>
      <c r="AL86" s="101"/>
      <c r="AM86" s="96"/>
      <c r="AN86" s="103"/>
      <c r="AO86" s="198"/>
    </row>
    <row r="87" spans="1:41" s="308" customFormat="1" ht="30.75" hidden="1" customHeight="1" x14ac:dyDescent="0.35">
      <c r="A87" s="252">
        <v>170</v>
      </c>
      <c r="B87" s="253">
        <v>44914</v>
      </c>
      <c r="C87" s="298" t="s">
        <v>254</v>
      </c>
      <c r="D87" s="305" t="s">
        <v>253</v>
      </c>
      <c r="E87" s="233" t="s">
        <v>314</v>
      </c>
      <c r="F87" s="294" t="s">
        <v>249</v>
      </c>
      <c r="G87" s="158"/>
      <c r="H87" s="289" t="s">
        <v>253</v>
      </c>
      <c r="I87" s="290" t="s">
        <v>250</v>
      </c>
      <c r="J87" s="211" t="s">
        <v>251</v>
      </c>
      <c r="K87" s="148" t="s">
        <v>252</v>
      </c>
      <c r="L87" s="189" t="s">
        <v>252</v>
      </c>
      <c r="M87" s="189" t="s">
        <v>252</v>
      </c>
      <c r="N87" s="235" t="s">
        <v>580</v>
      </c>
      <c r="O87" s="343">
        <v>0</v>
      </c>
      <c r="P87" s="169">
        <f>0</f>
        <v>0</v>
      </c>
      <c r="Q87" s="169">
        <v>4</v>
      </c>
      <c r="R87" s="169">
        <f>0</f>
        <v>0</v>
      </c>
      <c r="S87" s="169">
        <f>0</f>
        <v>0</v>
      </c>
      <c r="T87" s="169">
        <f>0</f>
        <v>0</v>
      </c>
      <c r="U87" s="169">
        <f>0</f>
        <v>0</v>
      </c>
      <c r="V87" s="169">
        <f>0</f>
        <v>0</v>
      </c>
      <c r="W87" s="169">
        <f>0</f>
        <v>0</v>
      </c>
      <c r="X87" s="169">
        <f>0</f>
        <v>0</v>
      </c>
      <c r="Y87" s="169">
        <f>0</f>
        <v>0</v>
      </c>
      <c r="Z87" s="219">
        <f>0</f>
        <v>0</v>
      </c>
      <c r="AA87" s="128">
        <f t="shared" si="3"/>
        <v>4</v>
      </c>
      <c r="AB87" s="218"/>
      <c r="AC87" s="137">
        <f t="shared" si="4"/>
        <v>4</v>
      </c>
      <c r="AD87" s="129"/>
      <c r="AE87" s="195" t="s">
        <v>531</v>
      </c>
      <c r="AF87" s="97" t="s">
        <v>294</v>
      </c>
      <c r="AG87" s="206"/>
      <c r="AH87" s="205"/>
      <c r="AI87" s="101"/>
      <c r="AJ87" s="102"/>
      <c r="AK87" s="207">
        <f t="shared" si="5"/>
        <v>4</v>
      </c>
      <c r="AL87" s="101"/>
      <c r="AM87" s="96"/>
      <c r="AN87" s="103"/>
      <c r="AO87" s="198"/>
    </row>
    <row r="88" spans="1:41" s="120" customFormat="1" ht="30.75" hidden="1" customHeight="1" x14ac:dyDescent="0.35">
      <c r="A88" s="244">
        <v>175</v>
      </c>
      <c r="B88" s="253">
        <v>44916</v>
      </c>
      <c r="C88" s="246" t="s">
        <v>308</v>
      </c>
      <c r="D88" s="299" t="s">
        <v>600</v>
      </c>
      <c r="E88" s="236" t="s">
        <v>330</v>
      </c>
      <c r="F88" s="291" t="s">
        <v>601</v>
      </c>
      <c r="G88" s="210"/>
      <c r="H88" s="292" t="s">
        <v>600</v>
      </c>
      <c r="I88" s="293" t="s">
        <v>250</v>
      </c>
      <c r="J88" s="209" t="s">
        <v>251</v>
      </c>
      <c r="K88" s="148" t="s">
        <v>252</v>
      </c>
      <c r="L88" s="97" t="s">
        <v>252</v>
      </c>
      <c r="M88" s="97" t="s">
        <v>252</v>
      </c>
      <c r="N88" s="235" t="s">
        <v>604</v>
      </c>
      <c r="O88" s="343">
        <f>0</f>
        <v>0</v>
      </c>
      <c r="P88" s="169">
        <f>0</f>
        <v>0</v>
      </c>
      <c r="Q88" s="169">
        <f>0</f>
        <v>0</v>
      </c>
      <c r="R88" s="169">
        <f>0</f>
        <v>0</v>
      </c>
      <c r="S88" s="169">
        <f>0</f>
        <v>0</v>
      </c>
      <c r="T88" s="169">
        <v>25</v>
      </c>
      <c r="U88" s="169">
        <f>0</f>
        <v>0</v>
      </c>
      <c r="V88" s="169">
        <f>0</f>
        <v>0</v>
      </c>
      <c r="W88" s="169">
        <f>0</f>
        <v>0</v>
      </c>
      <c r="X88" s="169">
        <f>0</f>
        <v>0</v>
      </c>
      <c r="Y88" s="169">
        <f>0</f>
        <v>0</v>
      </c>
      <c r="Z88" s="219">
        <f>0</f>
        <v>0</v>
      </c>
      <c r="AA88" s="128">
        <f t="shared" si="3"/>
        <v>25</v>
      </c>
      <c r="AB88" s="218"/>
      <c r="AC88" s="137">
        <f t="shared" si="4"/>
        <v>25</v>
      </c>
      <c r="AD88" s="129"/>
      <c r="AE88" s="195" t="s">
        <v>531</v>
      </c>
      <c r="AF88" s="97" t="s">
        <v>294</v>
      </c>
      <c r="AG88" s="206"/>
      <c r="AH88" s="205"/>
      <c r="AI88" s="101"/>
      <c r="AJ88" s="102"/>
      <c r="AK88" s="207">
        <f t="shared" si="5"/>
        <v>25</v>
      </c>
      <c r="AL88" s="101"/>
      <c r="AM88" s="96"/>
      <c r="AN88" s="103"/>
      <c r="AO88" s="198"/>
    </row>
    <row r="89" spans="1:41" s="308" customFormat="1" ht="30.75" hidden="1" customHeight="1" x14ac:dyDescent="0.35">
      <c r="A89" s="244">
        <v>176</v>
      </c>
      <c r="B89" s="253">
        <v>44916</v>
      </c>
      <c r="C89" s="246" t="s">
        <v>308</v>
      </c>
      <c r="D89" s="305" t="s">
        <v>602</v>
      </c>
      <c r="E89" s="233" t="s">
        <v>330</v>
      </c>
      <c r="F89" s="294" t="s">
        <v>603</v>
      </c>
      <c r="G89" s="158"/>
      <c r="H89" s="289" t="s">
        <v>602</v>
      </c>
      <c r="I89" s="290" t="s">
        <v>250</v>
      </c>
      <c r="J89" s="211" t="s">
        <v>251</v>
      </c>
      <c r="K89" s="148" t="s">
        <v>252</v>
      </c>
      <c r="L89" s="189" t="s">
        <v>252</v>
      </c>
      <c r="M89" s="235" t="s">
        <v>252</v>
      </c>
      <c r="N89" s="235" t="s">
        <v>604</v>
      </c>
      <c r="O89" s="343">
        <f>0</f>
        <v>0</v>
      </c>
      <c r="P89" s="169">
        <f>0</f>
        <v>0</v>
      </c>
      <c r="Q89" s="169">
        <f>0</f>
        <v>0</v>
      </c>
      <c r="R89" s="169">
        <f>0</f>
        <v>0</v>
      </c>
      <c r="S89" s="169">
        <f>0</f>
        <v>0</v>
      </c>
      <c r="T89" s="169">
        <v>4</v>
      </c>
      <c r="U89" s="169">
        <f>0</f>
        <v>0</v>
      </c>
      <c r="V89" s="169">
        <f>0</f>
        <v>0</v>
      </c>
      <c r="W89" s="169">
        <f>0</f>
        <v>0</v>
      </c>
      <c r="X89" s="169">
        <f>0</f>
        <v>0</v>
      </c>
      <c r="Y89" s="169">
        <f>0</f>
        <v>0</v>
      </c>
      <c r="Z89" s="219">
        <f>0</f>
        <v>0</v>
      </c>
      <c r="AA89" s="128">
        <f t="shared" si="3"/>
        <v>4</v>
      </c>
      <c r="AB89" s="141"/>
      <c r="AC89" s="136">
        <f t="shared" si="4"/>
        <v>4</v>
      </c>
      <c r="AD89" s="129"/>
      <c r="AE89" s="195" t="s">
        <v>531</v>
      </c>
      <c r="AF89" s="97" t="s">
        <v>294</v>
      </c>
      <c r="AG89" s="206"/>
      <c r="AH89" s="195"/>
      <c r="AI89" s="101"/>
      <c r="AJ89" s="102"/>
      <c r="AK89" s="207">
        <f t="shared" si="5"/>
        <v>4</v>
      </c>
      <c r="AL89" s="101"/>
      <c r="AM89" s="96"/>
      <c r="AN89" s="103"/>
      <c r="AO89" s="198"/>
    </row>
    <row r="90" spans="1:41" s="308" customFormat="1" ht="30.75" hidden="1" customHeight="1" x14ac:dyDescent="0.35">
      <c r="A90" s="244">
        <v>177</v>
      </c>
      <c r="B90" s="253">
        <v>44916</v>
      </c>
      <c r="C90" s="246" t="s">
        <v>308</v>
      </c>
      <c r="D90" s="299" t="s">
        <v>253</v>
      </c>
      <c r="E90" s="236" t="s">
        <v>314</v>
      </c>
      <c r="F90" s="291" t="s">
        <v>249</v>
      </c>
      <c r="G90" s="210"/>
      <c r="H90" s="292" t="s">
        <v>253</v>
      </c>
      <c r="I90" s="293" t="s">
        <v>250</v>
      </c>
      <c r="J90" s="209" t="s">
        <v>251</v>
      </c>
      <c r="K90" s="148" t="s">
        <v>252</v>
      </c>
      <c r="L90" s="97" t="s">
        <v>252</v>
      </c>
      <c r="M90" s="235" t="s">
        <v>252</v>
      </c>
      <c r="N90" s="235" t="s">
        <v>604</v>
      </c>
      <c r="O90" s="343">
        <f>0</f>
        <v>0</v>
      </c>
      <c r="P90" s="169">
        <f>0</f>
        <v>0</v>
      </c>
      <c r="Q90" s="169">
        <f>0</f>
        <v>0</v>
      </c>
      <c r="R90" s="169">
        <f>0</f>
        <v>0</v>
      </c>
      <c r="S90" s="169">
        <f>0</f>
        <v>0</v>
      </c>
      <c r="T90" s="169">
        <v>4</v>
      </c>
      <c r="U90" s="169">
        <f>0</f>
        <v>0</v>
      </c>
      <c r="V90" s="169">
        <f>0</f>
        <v>0</v>
      </c>
      <c r="W90" s="169">
        <f>0</f>
        <v>0</v>
      </c>
      <c r="X90" s="169">
        <f>0</f>
        <v>0</v>
      </c>
      <c r="Y90" s="169">
        <f>0</f>
        <v>0</v>
      </c>
      <c r="Z90" s="219">
        <f>0</f>
        <v>0</v>
      </c>
      <c r="AA90" s="128">
        <f t="shared" si="3"/>
        <v>4</v>
      </c>
      <c r="AB90" s="141"/>
      <c r="AC90" s="136">
        <f t="shared" si="4"/>
        <v>4</v>
      </c>
      <c r="AD90" s="129"/>
      <c r="AE90" s="195" t="s">
        <v>531</v>
      </c>
      <c r="AF90" s="97" t="s">
        <v>294</v>
      </c>
      <c r="AG90" s="206"/>
      <c r="AH90" s="195"/>
      <c r="AI90" s="101"/>
      <c r="AJ90" s="99"/>
      <c r="AK90" s="197">
        <f t="shared" si="5"/>
        <v>4</v>
      </c>
      <c r="AL90" s="98"/>
      <c r="AM90" s="90"/>
      <c r="AN90" s="100"/>
      <c r="AO90" s="198"/>
    </row>
    <row r="91" spans="1:41" s="308" customFormat="1" ht="30.75" hidden="1" customHeight="1" x14ac:dyDescent="0.35">
      <c r="A91" s="252">
        <v>183</v>
      </c>
      <c r="B91" s="253">
        <v>44923</v>
      </c>
      <c r="C91" s="246" t="s">
        <v>254</v>
      </c>
      <c r="D91" s="305" t="s">
        <v>394</v>
      </c>
      <c r="E91" s="287" t="s">
        <v>363</v>
      </c>
      <c r="F91" s="241" t="s">
        <v>395</v>
      </c>
      <c r="G91" s="206"/>
      <c r="H91" s="250" t="s">
        <v>394</v>
      </c>
      <c r="I91" s="251" t="s">
        <v>250</v>
      </c>
      <c r="J91" s="189" t="s">
        <v>251</v>
      </c>
      <c r="K91" s="189" t="s">
        <v>252</v>
      </c>
      <c r="L91" s="189" t="s">
        <v>252</v>
      </c>
      <c r="M91" s="189" t="s">
        <v>252</v>
      </c>
      <c r="N91" s="235" t="s">
        <v>615</v>
      </c>
      <c r="O91" s="343">
        <f>0</f>
        <v>0</v>
      </c>
      <c r="P91" s="169">
        <f>0</f>
        <v>0</v>
      </c>
      <c r="Q91" s="169">
        <f>0</f>
        <v>0</v>
      </c>
      <c r="R91" s="169">
        <f>0</f>
        <v>0</v>
      </c>
      <c r="S91" s="169">
        <f>0</f>
        <v>0</v>
      </c>
      <c r="T91" s="169">
        <f>0</f>
        <v>0</v>
      </c>
      <c r="U91" s="169">
        <v>4</v>
      </c>
      <c r="V91" s="169">
        <f>0</f>
        <v>0</v>
      </c>
      <c r="W91" s="169">
        <f>0</f>
        <v>0</v>
      </c>
      <c r="X91" s="169">
        <f>0</f>
        <v>0</v>
      </c>
      <c r="Y91" s="169">
        <f>0</f>
        <v>0</v>
      </c>
      <c r="Z91" s="219">
        <f>0</f>
        <v>0</v>
      </c>
      <c r="AA91" s="128">
        <f t="shared" si="3"/>
        <v>4</v>
      </c>
      <c r="AB91" s="218"/>
      <c r="AC91" s="137">
        <f t="shared" si="4"/>
        <v>4</v>
      </c>
      <c r="AD91" s="188"/>
      <c r="AE91" s="114" t="s">
        <v>284</v>
      </c>
      <c r="AF91" s="189" t="s">
        <v>294</v>
      </c>
      <c r="AG91" s="206"/>
      <c r="AH91" s="205"/>
      <c r="AI91" s="101"/>
      <c r="AJ91" s="107" t="s">
        <v>501</v>
      </c>
      <c r="AK91" s="203" t="e">
        <f t="shared" si="5"/>
        <v>#VALUE!</v>
      </c>
      <c r="AL91" s="106"/>
      <c r="AM91" s="58"/>
      <c r="AN91" s="108"/>
      <c r="AO91" s="416"/>
    </row>
    <row r="92" spans="1:41" s="308" customFormat="1" ht="30.75" hidden="1" customHeight="1" x14ac:dyDescent="0.35">
      <c r="A92" s="244">
        <v>197</v>
      </c>
      <c r="B92" s="253" t="s">
        <v>616</v>
      </c>
      <c r="C92" s="246" t="s">
        <v>617</v>
      </c>
      <c r="D92" s="305">
        <v>91046</v>
      </c>
      <c r="E92" s="227" t="s">
        <v>330</v>
      </c>
      <c r="F92" s="229" t="s">
        <v>369</v>
      </c>
      <c r="G92" s="260"/>
      <c r="H92" s="314">
        <v>91046</v>
      </c>
      <c r="I92" s="541" t="s">
        <v>250</v>
      </c>
      <c r="J92" s="229" t="s">
        <v>251</v>
      </c>
      <c r="K92" s="229" t="s">
        <v>252</v>
      </c>
      <c r="L92" s="229" t="s">
        <v>252</v>
      </c>
      <c r="M92" s="229"/>
      <c r="N92" s="235" t="s">
        <v>712</v>
      </c>
      <c r="O92" s="343">
        <f>0</f>
        <v>0</v>
      </c>
      <c r="P92" s="169">
        <f>0</f>
        <v>0</v>
      </c>
      <c r="Q92" s="169">
        <f>0</f>
        <v>0</v>
      </c>
      <c r="R92" s="169">
        <f>0</f>
        <v>0</v>
      </c>
      <c r="S92" s="169">
        <f>0</f>
        <v>0</v>
      </c>
      <c r="T92" s="169">
        <f>0</f>
        <v>0</v>
      </c>
      <c r="U92" s="169">
        <f>0</f>
        <v>0</v>
      </c>
      <c r="V92" s="169">
        <f>0</f>
        <v>0</v>
      </c>
      <c r="W92" s="169">
        <v>4</v>
      </c>
      <c r="X92" s="169">
        <f>0</f>
        <v>0</v>
      </c>
      <c r="Y92" s="169">
        <f>0</f>
        <v>0</v>
      </c>
      <c r="Z92" s="219">
        <f>0</f>
        <v>0</v>
      </c>
      <c r="AA92" s="128">
        <f t="shared" si="3"/>
        <v>4</v>
      </c>
      <c r="AB92" s="218"/>
      <c r="AC92" s="137">
        <f t="shared" si="4"/>
        <v>4</v>
      </c>
      <c r="AD92" s="188"/>
      <c r="AE92" s="114" t="s">
        <v>284</v>
      </c>
      <c r="AF92" s="189" t="s">
        <v>294</v>
      </c>
      <c r="AG92" s="206"/>
      <c r="AH92" s="205"/>
      <c r="AI92" s="101"/>
      <c r="AJ92" s="107" t="s">
        <v>501</v>
      </c>
      <c r="AK92" s="203" t="e">
        <f t="shared" si="5"/>
        <v>#VALUE!</v>
      </c>
      <c r="AL92" s="106"/>
      <c r="AM92" s="58"/>
      <c r="AN92" s="108"/>
      <c r="AO92" s="416"/>
    </row>
    <row r="93" spans="1:41" s="308" customFormat="1" ht="18.5" hidden="1" thickTop="1" x14ac:dyDescent="0.35">
      <c r="A93" s="244">
        <v>216</v>
      </c>
      <c r="B93" s="253">
        <v>44928</v>
      </c>
      <c r="C93" s="246" t="s">
        <v>617</v>
      </c>
      <c r="D93" s="233">
        <v>91046</v>
      </c>
      <c r="E93" s="287" t="s">
        <v>330</v>
      </c>
      <c r="F93" s="241" t="s">
        <v>369</v>
      </c>
      <c r="G93" s="206"/>
      <c r="H93" s="250">
        <v>91046</v>
      </c>
      <c r="I93" s="251" t="s">
        <v>250</v>
      </c>
      <c r="J93" s="229" t="s">
        <v>251</v>
      </c>
      <c r="K93" s="229" t="s">
        <v>252</v>
      </c>
      <c r="L93" s="229" t="s">
        <v>252</v>
      </c>
      <c r="M93" s="229"/>
      <c r="N93" s="235" t="s">
        <v>716</v>
      </c>
      <c r="O93" s="343">
        <v>0</v>
      </c>
      <c r="P93" s="169">
        <f>0</f>
        <v>0</v>
      </c>
      <c r="Q93" s="169">
        <v>0</v>
      </c>
      <c r="R93" s="169">
        <f>0</f>
        <v>0</v>
      </c>
      <c r="S93" s="169">
        <v>0</v>
      </c>
      <c r="T93" s="169">
        <v>0</v>
      </c>
      <c r="U93" s="169">
        <v>0</v>
      </c>
      <c r="V93" s="169">
        <f>0</f>
        <v>0</v>
      </c>
      <c r="W93" s="169">
        <v>4</v>
      </c>
      <c r="X93" s="169">
        <f>0</f>
        <v>0</v>
      </c>
      <c r="Y93" s="169">
        <f>0</f>
        <v>0</v>
      </c>
      <c r="Z93" s="219">
        <f>0</f>
        <v>0</v>
      </c>
      <c r="AA93" s="128">
        <f t="shared" si="3"/>
        <v>4</v>
      </c>
      <c r="AB93" s="218"/>
      <c r="AC93" s="137">
        <f t="shared" si="4"/>
        <v>4</v>
      </c>
      <c r="AD93" s="129"/>
      <c r="AE93" s="142" t="s">
        <v>284</v>
      </c>
      <c r="AF93" s="97" t="s">
        <v>294</v>
      </c>
      <c r="AG93" s="206"/>
      <c r="AH93" s="205"/>
      <c r="AI93" s="101"/>
      <c r="AJ93" s="107" t="s">
        <v>501</v>
      </c>
      <c r="AK93" s="203" t="e">
        <f t="shared" si="5"/>
        <v>#VALUE!</v>
      </c>
      <c r="AL93" s="106"/>
      <c r="AM93" s="58"/>
      <c r="AN93" s="108"/>
      <c r="AO93" s="416"/>
    </row>
    <row r="94" spans="1:41" s="308" customFormat="1" ht="18.5" hidden="1" thickTop="1" x14ac:dyDescent="0.35">
      <c r="A94" s="244">
        <v>217</v>
      </c>
      <c r="B94" s="253">
        <v>44928</v>
      </c>
      <c r="C94" s="246" t="s">
        <v>617</v>
      </c>
      <c r="D94" s="233" t="s">
        <v>576</v>
      </c>
      <c r="E94" s="287" t="s">
        <v>324</v>
      </c>
      <c r="F94" s="294" t="s">
        <v>713</v>
      </c>
      <c r="G94" s="158"/>
      <c r="H94" s="289" t="s">
        <v>252</v>
      </c>
      <c r="I94" s="290" t="s">
        <v>250</v>
      </c>
      <c r="J94" s="271" t="s">
        <v>251</v>
      </c>
      <c r="K94" s="232" t="s">
        <v>252</v>
      </c>
      <c r="L94" s="229" t="s">
        <v>252</v>
      </c>
      <c r="M94" s="229"/>
      <c r="N94" s="235" t="s">
        <v>716</v>
      </c>
      <c r="O94" s="343">
        <v>0</v>
      </c>
      <c r="P94" s="169">
        <f>0</f>
        <v>0</v>
      </c>
      <c r="Q94" s="169">
        <v>0</v>
      </c>
      <c r="R94" s="169">
        <f>0</f>
        <v>0</v>
      </c>
      <c r="S94" s="169">
        <v>0</v>
      </c>
      <c r="T94" s="169">
        <v>0</v>
      </c>
      <c r="U94" s="169">
        <v>0</v>
      </c>
      <c r="V94" s="169">
        <f>0</f>
        <v>0</v>
      </c>
      <c r="W94" s="169">
        <v>4</v>
      </c>
      <c r="X94" s="169">
        <f>0</f>
        <v>0</v>
      </c>
      <c r="Y94" s="169">
        <f>0</f>
        <v>0</v>
      </c>
      <c r="Z94" s="219">
        <f>0</f>
        <v>0</v>
      </c>
      <c r="AA94" s="128">
        <f t="shared" si="3"/>
        <v>4</v>
      </c>
      <c r="AB94" s="141"/>
      <c r="AC94" s="136">
        <f t="shared" si="4"/>
        <v>4</v>
      </c>
      <c r="AD94" s="129"/>
      <c r="AE94" s="142" t="s">
        <v>284</v>
      </c>
      <c r="AF94" s="97" t="s">
        <v>294</v>
      </c>
      <c r="AG94" s="206"/>
      <c r="AH94" s="195"/>
      <c r="AI94" s="101"/>
      <c r="AJ94" s="107" t="s">
        <v>501</v>
      </c>
      <c r="AK94" s="203" t="e">
        <f t="shared" si="5"/>
        <v>#VALUE!</v>
      </c>
      <c r="AL94" s="106"/>
      <c r="AM94" s="58"/>
      <c r="AN94" s="108"/>
      <c r="AO94" s="416"/>
    </row>
    <row r="95" spans="1:41" s="120" customFormat="1" ht="30.75" hidden="1" customHeight="1" x14ac:dyDescent="0.35">
      <c r="A95" s="252">
        <v>218</v>
      </c>
      <c r="B95" s="253">
        <v>44928</v>
      </c>
      <c r="C95" s="246" t="s">
        <v>617</v>
      </c>
      <c r="D95" s="236" t="s">
        <v>253</v>
      </c>
      <c r="E95" s="400" t="s">
        <v>314</v>
      </c>
      <c r="F95" s="291" t="s">
        <v>249</v>
      </c>
      <c r="G95" s="210"/>
      <c r="H95" s="292" t="s">
        <v>253</v>
      </c>
      <c r="I95" s="293" t="s">
        <v>250</v>
      </c>
      <c r="J95" s="265" t="s">
        <v>251</v>
      </c>
      <c r="K95" s="232" t="s">
        <v>252</v>
      </c>
      <c r="L95" s="231" t="s">
        <v>252</v>
      </c>
      <c r="M95" s="231"/>
      <c r="N95" s="235" t="s">
        <v>716</v>
      </c>
      <c r="O95" s="343">
        <v>0</v>
      </c>
      <c r="P95" s="169">
        <f>0</f>
        <v>0</v>
      </c>
      <c r="Q95" s="169">
        <v>0</v>
      </c>
      <c r="R95" s="169">
        <f>0</f>
        <v>0</v>
      </c>
      <c r="S95" s="169">
        <v>0</v>
      </c>
      <c r="T95" s="169">
        <v>0</v>
      </c>
      <c r="U95" s="169">
        <v>0</v>
      </c>
      <c r="V95" s="169">
        <f>0</f>
        <v>0</v>
      </c>
      <c r="W95" s="169">
        <v>4</v>
      </c>
      <c r="X95" s="169">
        <f>0</f>
        <v>0</v>
      </c>
      <c r="Y95" s="169">
        <f>0</f>
        <v>0</v>
      </c>
      <c r="Z95" s="219">
        <f>0</f>
        <v>0</v>
      </c>
      <c r="AA95" s="128">
        <f t="shared" si="3"/>
        <v>4</v>
      </c>
      <c r="AB95" s="141"/>
      <c r="AC95" s="136">
        <f t="shared" si="4"/>
        <v>4</v>
      </c>
      <c r="AD95" s="129"/>
      <c r="AE95" s="142" t="s">
        <v>284</v>
      </c>
      <c r="AF95" s="97" t="s">
        <v>294</v>
      </c>
      <c r="AG95" s="206"/>
      <c r="AH95" s="195"/>
      <c r="AI95" s="98"/>
      <c r="AJ95" s="143" t="s">
        <v>501</v>
      </c>
      <c r="AK95" s="201" t="e">
        <f t="shared" si="5"/>
        <v>#VALUE!</v>
      </c>
      <c r="AL95" s="157"/>
      <c r="AM95" s="169"/>
      <c r="AN95" s="171"/>
      <c r="AO95" s="202"/>
    </row>
    <row r="96" spans="1:41" s="120" customFormat="1" ht="30.75" hidden="1" customHeight="1" x14ac:dyDescent="0.35">
      <c r="A96" s="244">
        <v>219</v>
      </c>
      <c r="B96" s="253">
        <v>44928</v>
      </c>
      <c r="C96" s="246" t="s">
        <v>617</v>
      </c>
      <c r="D96" s="236" t="s">
        <v>394</v>
      </c>
      <c r="E96" s="400" t="s">
        <v>363</v>
      </c>
      <c r="F96" s="185" t="s">
        <v>395</v>
      </c>
      <c r="G96" s="196"/>
      <c r="H96" s="247" t="s">
        <v>394</v>
      </c>
      <c r="I96" s="248" t="s">
        <v>250</v>
      </c>
      <c r="J96" s="231" t="s">
        <v>251</v>
      </c>
      <c r="K96" s="231" t="s">
        <v>252</v>
      </c>
      <c r="L96" s="231" t="s">
        <v>252</v>
      </c>
      <c r="M96" s="231"/>
      <c r="N96" s="235" t="s">
        <v>716</v>
      </c>
      <c r="O96" s="343">
        <v>0</v>
      </c>
      <c r="P96" s="169">
        <f>0</f>
        <v>0</v>
      </c>
      <c r="Q96" s="169">
        <v>0</v>
      </c>
      <c r="R96" s="169">
        <f>0</f>
        <v>0</v>
      </c>
      <c r="S96" s="169">
        <v>0</v>
      </c>
      <c r="T96" s="169">
        <v>0</v>
      </c>
      <c r="U96" s="169">
        <v>0</v>
      </c>
      <c r="V96" s="169">
        <f>0</f>
        <v>0</v>
      </c>
      <c r="W96" s="169">
        <v>4</v>
      </c>
      <c r="X96" s="169">
        <f>0</f>
        <v>0</v>
      </c>
      <c r="Y96" s="169">
        <f>0</f>
        <v>0</v>
      </c>
      <c r="Z96" s="219">
        <f>0</f>
        <v>0</v>
      </c>
      <c r="AA96" s="128">
        <f t="shared" si="3"/>
        <v>4</v>
      </c>
      <c r="AB96" s="218"/>
      <c r="AC96" s="137">
        <f t="shared" si="4"/>
        <v>4</v>
      </c>
      <c r="AD96" s="188"/>
      <c r="AE96" s="114" t="s">
        <v>284</v>
      </c>
      <c r="AF96" s="97" t="s">
        <v>294</v>
      </c>
      <c r="AG96" s="206"/>
      <c r="AH96" s="205"/>
      <c r="AI96" s="101"/>
      <c r="AJ96" s="107" t="s">
        <v>501</v>
      </c>
      <c r="AK96" s="203" t="e">
        <f t="shared" si="5"/>
        <v>#VALUE!</v>
      </c>
      <c r="AL96" s="106"/>
      <c r="AM96" s="58"/>
      <c r="AN96" s="108"/>
      <c r="AO96" s="416"/>
    </row>
    <row r="97" spans="1:41" s="120" customFormat="1" ht="30.75" hidden="1" customHeight="1" x14ac:dyDescent="0.35">
      <c r="A97" s="244">
        <v>225</v>
      </c>
      <c r="B97" s="253">
        <v>44929</v>
      </c>
      <c r="C97" s="246" t="s">
        <v>617</v>
      </c>
      <c r="D97" s="233">
        <v>92001</v>
      </c>
      <c r="E97" s="287" t="s">
        <v>324</v>
      </c>
      <c r="F97" s="241" t="s">
        <v>366</v>
      </c>
      <c r="G97" s="206" t="s">
        <v>730</v>
      </c>
      <c r="H97" s="250">
        <v>92001</v>
      </c>
      <c r="I97" s="251" t="s">
        <v>250</v>
      </c>
      <c r="J97" s="229" t="s">
        <v>251</v>
      </c>
      <c r="K97" s="229" t="s">
        <v>252</v>
      </c>
      <c r="L97" s="229" t="s">
        <v>252</v>
      </c>
      <c r="M97" s="229"/>
      <c r="N97" s="235" t="s">
        <v>723</v>
      </c>
      <c r="O97" s="343">
        <v>0</v>
      </c>
      <c r="P97" s="169">
        <f>0</f>
        <v>0</v>
      </c>
      <c r="Q97" s="169">
        <v>0</v>
      </c>
      <c r="R97" s="169">
        <f>0</f>
        <v>0</v>
      </c>
      <c r="S97" s="169">
        <v>0</v>
      </c>
      <c r="T97" s="169">
        <v>0</v>
      </c>
      <c r="U97" s="169">
        <v>0</v>
      </c>
      <c r="V97" s="169">
        <f>0</f>
        <v>0</v>
      </c>
      <c r="W97" s="169">
        <v>1</v>
      </c>
      <c r="X97" s="169">
        <f>0</f>
        <v>0</v>
      </c>
      <c r="Y97" s="169">
        <f>0</f>
        <v>0</v>
      </c>
      <c r="Z97" s="219">
        <f>0</f>
        <v>0</v>
      </c>
      <c r="AA97" s="128">
        <f t="shared" si="3"/>
        <v>1</v>
      </c>
      <c r="AB97" s="218"/>
      <c r="AC97" s="137">
        <f t="shared" si="4"/>
        <v>1</v>
      </c>
      <c r="AD97" s="188"/>
      <c r="AE97" s="114" t="s">
        <v>284</v>
      </c>
      <c r="AF97" s="97" t="s">
        <v>294</v>
      </c>
      <c r="AG97" s="206"/>
      <c r="AH97" s="205"/>
      <c r="AI97" s="101"/>
      <c r="AJ97" s="107" t="s">
        <v>501</v>
      </c>
      <c r="AK97" s="203" t="e">
        <f t="shared" si="5"/>
        <v>#VALUE!</v>
      </c>
      <c r="AL97" s="106"/>
      <c r="AM97" s="58"/>
      <c r="AN97" s="108"/>
      <c r="AO97" s="202"/>
    </row>
    <row r="98" spans="1:41" s="120" customFormat="1" ht="30.75" hidden="1" customHeight="1" x14ac:dyDescent="0.35">
      <c r="A98" s="244">
        <v>226</v>
      </c>
      <c r="B98" s="253">
        <v>44929</v>
      </c>
      <c r="C98" s="246" t="s">
        <v>617</v>
      </c>
      <c r="D98" s="236">
        <v>91046</v>
      </c>
      <c r="E98" s="400" t="s">
        <v>330</v>
      </c>
      <c r="F98" s="185" t="s">
        <v>369</v>
      </c>
      <c r="G98" s="196" t="s">
        <v>731</v>
      </c>
      <c r="H98" s="247">
        <v>91046</v>
      </c>
      <c r="I98" s="248" t="s">
        <v>250</v>
      </c>
      <c r="J98" s="231" t="s">
        <v>251</v>
      </c>
      <c r="K98" s="231" t="s">
        <v>252</v>
      </c>
      <c r="L98" s="231" t="s">
        <v>252</v>
      </c>
      <c r="M98" s="231"/>
      <c r="N98" s="235" t="s">
        <v>723</v>
      </c>
      <c r="O98" s="343">
        <v>0</v>
      </c>
      <c r="P98" s="169">
        <f>0</f>
        <v>0</v>
      </c>
      <c r="Q98" s="169">
        <v>0</v>
      </c>
      <c r="R98" s="169">
        <f>0</f>
        <v>0</v>
      </c>
      <c r="S98" s="169">
        <v>0</v>
      </c>
      <c r="T98" s="169">
        <v>0</v>
      </c>
      <c r="U98" s="169">
        <v>0</v>
      </c>
      <c r="V98" s="169">
        <f>0</f>
        <v>0</v>
      </c>
      <c r="W98" s="169">
        <v>3</v>
      </c>
      <c r="X98" s="169">
        <f>0</f>
        <v>0</v>
      </c>
      <c r="Y98" s="169">
        <f>0</f>
        <v>0</v>
      </c>
      <c r="Z98" s="219">
        <f>0</f>
        <v>0</v>
      </c>
      <c r="AA98" s="128">
        <f t="shared" si="3"/>
        <v>3</v>
      </c>
      <c r="AB98" s="218"/>
      <c r="AC98" s="137">
        <f t="shared" si="4"/>
        <v>3</v>
      </c>
      <c r="AD98" s="188"/>
      <c r="AE98" s="114" t="s">
        <v>284</v>
      </c>
      <c r="AF98" s="97" t="s">
        <v>294</v>
      </c>
      <c r="AG98" s="206"/>
      <c r="AH98" s="205"/>
      <c r="AI98" s="101"/>
      <c r="AJ98" s="107" t="s">
        <v>501</v>
      </c>
      <c r="AK98" s="203" t="e">
        <f t="shared" si="5"/>
        <v>#VALUE!</v>
      </c>
      <c r="AL98" s="106"/>
      <c r="AM98" s="58"/>
      <c r="AN98" s="108"/>
      <c r="AO98" s="416"/>
    </row>
    <row r="99" spans="1:41" s="120" customFormat="1" ht="30.75" hidden="1" customHeight="1" x14ac:dyDescent="0.35">
      <c r="A99" s="252">
        <v>227</v>
      </c>
      <c r="B99" s="253">
        <v>44929</v>
      </c>
      <c r="C99" s="246" t="s">
        <v>617</v>
      </c>
      <c r="D99" s="233" t="s">
        <v>576</v>
      </c>
      <c r="E99" s="287" t="s">
        <v>324</v>
      </c>
      <c r="F99" s="241" t="s">
        <v>713</v>
      </c>
      <c r="G99" s="206" t="s">
        <v>732</v>
      </c>
      <c r="H99" s="250" t="s">
        <v>252</v>
      </c>
      <c r="I99" s="251" t="s">
        <v>250</v>
      </c>
      <c r="J99" s="229" t="s">
        <v>251</v>
      </c>
      <c r="K99" s="229" t="s">
        <v>252</v>
      </c>
      <c r="L99" s="229" t="s">
        <v>252</v>
      </c>
      <c r="M99" s="229"/>
      <c r="N99" s="235" t="s">
        <v>723</v>
      </c>
      <c r="O99" s="343">
        <v>0</v>
      </c>
      <c r="P99" s="169">
        <f>0</f>
        <v>0</v>
      </c>
      <c r="Q99" s="169">
        <v>0</v>
      </c>
      <c r="R99" s="169">
        <f>0</f>
        <v>0</v>
      </c>
      <c r="S99" s="169">
        <v>0</v>
      </c>
      <c r="T99" s="169">
        <v>0</v>
      </c>
      <c r="U99" s="169">
        <v>0</v>
      </c>
      <c r="V99" s="169">
        <f>0</f>
        <v>0</v>
      </c>
      <c r="W99" s="169">
        <v>2</v>
      </c>
      <c r="X99" s="169">
        <f>0</f>
        <v>0</v>
      </c>
      <c r="Y99" s="169">
        <f>0</f>
        <v>0</v>
      </c>
      <c r="Z99" s="219">
        <f>0</f>
        <v>0</v>
      </c>
      <c r="AA99" s="128">
        <f t="shared" si="3"/>
        <v>2</v>
      </c>
      <c r="AB99" s="218"/>
      <c r="AC99" s="137">
        <f t="shared" si="4"/>
        <v>2</v>
      </c>
      <c r="AD99" s="129"/>
      <c r="AE99" s="142" t="s">
        <v>284</v>
      </c>
      <c r="AF99" s="97" t="s">
        <v>294</v>
      </c>
      <c r="AG99" s="206"/>
      <c r="AH99" s="205"/>
      <c r="AI99" s="101"/>
      <c r="AJ99" s="107" t="s">
        <v>501</v>
      </c>
      <c r="AK99" s="203" t="e">
        <f t="shared" si="5"/>
        <v>#VALUE!</v>
      </c>
      <c r="AL99" s="106"/>
      <c r="AM99" s="58"/>
      <c r="AN99" s="108"/>
      <c r="AO99" s="416"/>
    </row>
    <row r="100" spans="1:41" s="120" customFormat="1" ht="30.75" hidden="1" customHeight="1" x14ac:dyDescent="0.35">
      <c r="A100" s="244">
        <v>228</v>
      </c>
      <c r="B100" s="253">
        <v>44929</v>
      </c>
      <c r="C100" s="246" t="s">
        <v>617</v>
      </c>
      <c r="D100" s="233" t="s">
        <v>253</v>
      </c>
      <c r="E100" s="287" t="s">
        <v>314</v>
      </c>
      <c r="F100" s="241" t="s">
        <v>249</v>
      </c>
      <c r="G100" s="206" t="s">
        <v>733</v>
      </c>
      <c r="H100" s="250" t="s">
        <v>253</v>
      </c>
      <c r="I100" s="251" t="s">
        <v>250</v>
      </c>
      <c r="J100" s="229" t="s">
        <v>251</v>
      </c>
      <c r="K100" s="229" t="s">
        <v>252</v>
      </c>
      <c r="L100" s="229" t="s">
        <v>252</v>
      </c>
      <c r="M100" s="229"/>
      <c r="N100" s="235" t="s">
        <v>723</v>
      </c>
      <c r="O100" s="343">
        <v>0</v>
      </c>
      <c r="P100" s="169">
        <f>0</f>
        <v>0</v>
      </c>
      <c r="Q100" s="169">
        <v>0</v>
      </c>
      <c r="R100" s="169">
        <f>0</f>
        <v>0</v>
      </c>
      <c r="S100" s="169">
        <v>0</v>
      </c>
      <c r="T100" s="169">
        <v>0</v>
      </c>
      <c r="U100" s="169">
        <v>0</v>
      </c>
      <c r="V100" s="169">
        <f>0</f>
        <v>0</v>
      </c>
      <c r="W100" s="169">
        <v>2</v>
      </c>
      <c r="X100" s="169">
        <f>0</f>
        <v>0</v>
      </c>
      <c r="Y100" s="169">
        <f>0</f>
        <v>0</v>
      </c>
      <c r="Z100" s="219">
        <f>0</f>
        <v>0</v>
      </c>
      <c r="AA100" s="128">
        <f t="shared" si="3"/>
        <v>2</v>
      </c>
      <c r="AB100" s="218"/>
      <c r="AC100" s="137">
        <f t="shared" si="4"/>
        <v>2</v>
      </c>
      <c r="AD100" s="129"/>
      <c r="AE100" s="142" t="s">
        <v>284</v>
      </c>
      <c r="AF100" s="97" t="s">
        <v>294</v>
      </c>
      <c r="AG100" s="206"/>
      <c r="AH100" s="205"/>
      <c r="AI100" s="101"/>
      <c r="AJ100" s="107" t="s">
        <v>501</v>
      </c>
      <c r="AK100" s="203" t="e">
        <f t="shared" si="5"/>
        <v>#VALUE!</v>
      </c>
      <c r="AL100" s="106"/>
      <c r="AM100" s="58"/>
      <c r="AN100" s="108"/>
      <c r="AO100" s="416"/>
    </row>
    <row r="101" spans="1:41" s="120" customFormat="1" ht="30.75" hidden="1" customHeight="1" x14ac:dyDescent="0.35">
      <c r="A101" s="244">
        <v>229</v>
      </c>
      <c r="B101" s="253">
        <v>44929</v>
      </c>
      <c r="C101" s="246" t="s">
        <v>617</v>
      </c>
      <c r="D101" s="233" t="s">
        <v>367</v>
      </c>
      <c r="E101" s="287" t="s">
        <v>330</v>
      </c>
      <c r="F101" s="241" t="s">
        <v>368</v>
      </c>
      <c r="G101" s="206" t="s">
        <v>734</v>
      </c>
      <c r="H101" s="250" t="s">
        <v>367</v>
      </c>
      <c r="I101" s="251" t="s">
        <v>250</v>
      </c>
      <c r="J101" s="229" t="s">
        <v>251</v>
      </c>
      <c r="K101" s="229" t="s">
        <v>252</v>
      </c>
      <c r="L101" s="229" t="s">
        <v>252</v>
      </c>
      <c r="M101" s="229"/>
      <c r="N101" s="235" t="s">
        <v>723</v>
      </c>
      <c r="O101" s="343">
        <v>0</v>
      </c>
      <c r="P101" s="169">
        <f>0</f>
        <v>0</v>
      </c>
      <c r="Q101" s="169">
        <v>0</v>
      </c>
      <c r="R101" s="169">
        <f>0</f>
        <v>0</v>
      </c>
      <c r="S101" s="169">
        <v>0</v>
      </c>
      <c r="T101" s="169">
        <v>0</v>
      </c>
      <c r="U101" s="169">
        <v>0</v>
      </c>
      <c r="V101" s="169">
        <f>0</f>
        <v>0</v>
      </c>
      <c r="W101" s="169">
        <v>2</v>
      </c>
      <c r="X101" s="169">
        <f>0</f>
        <v>0</v>
      </c>
      <c r="Y101" s="169">
        <f>0</f>
        <v>0</v>
      </c>
      <c r="Z101" s="219">
        <f>0</f>
        <v>0</v>
      </c>
      <c r="AA101" s="128">
        <f t="shared" si="3"/>
        <v>2</v>
      </c>
      <c r="AB101" s="218"/>
      <c r="AC101" s="137">
        <f t="shared" si="4"/>
        <v>2</v>
      </c>
      <c r="AD101" s="129"/>
      <c r="AE101" s="142" t="s">
        <v>284</v>
      </c>
      <c r="AF101" s="97" t="s">
        <v>294</v>
      </c>
      <c r="AG101" s="206"/>
      <c r="AH101" s="205"/>
      <c r="AI101" s="101"/>
      <c r="AJ101" s="107" t="s">
        <v>501</v>
      </c>
      <c r="AK101" s="203" t="e">
        <f t="shared" si="5"/>
        <v>#VALUE!</v>
      </c>
      <c r="AL101" s="106"/>
      <c r="AM101" s="58"/>
      <c r="AN101" s="108"/>
      <c r="AO101" s="416"/>
    </row>
    <row r="102" spans="1:41" s="120" customFormat="1" ht="30.75" hidden="1" customHeight="1" x14ac:dyDescent="0.35">
      <c r="A102" s="244">
        <v>278</v>
      </c>
      <c r="B102" s="253">
        <v>44944</v>
      </c>
      <c r="C102" s="246" t="s">
        <v>817</v>
      </c>
      <c r="D102" s="233" t="s">
        <v>786</v>
      </c>
      <c r="E102" s="233"/>
      <c r="F102" s="241" t="s">
        <v>787</v>
      </c>
      <c r="G102" s="206"/>
      <c r="H102" s="250" t="s">
        <v>786</v>
      </c>
      <c r="I102" s="251" t="s">
        <v>250</v>
      </c>
      <c r="J102" s="229"/>
      <c r="K102" s="229"/>
      <c r="L102" s="229"/>
      <c r="M102" s="229"/>
      <c r="N102" s="235" t="s">
        <v>814</v>
      </c>
      <c r="O102" s="343">
        <f>0</f>
        <v>0</v>
      </c>
      <c r="P102" s="169">
        <f>0</f>
        <v>0</v>
      </c>
      <c r="Q102" s="169">
        <f>0</f>
        <v>0</v>
      </c>
      <c r="R102" s="169">
        <v>6</v>
      </c>
      <c r="S102" s="169">
        <f>0</f>
        <v>0</v>
      </c>
      <c r="T102" s="169">
        <f>0</f>
        <v>0</v>
      </c>
      <c r="U102" s="169">
        <f>0</f>
        <v>0</v>
      </c>
      <c r="V102" s="169">
        <f>0</f>
        <v>0</v>
      </c>
      <c r="W102" s="169">
        <f>0</f>
        <v>0</v>
      </c>
      <c r="X102" s="169">
        <f>0</f>
        <v>0</v>
      </c>
      <c r="Y102" s="169">
        <f>0</f>
        <v>0</v>
      </c>
      <c r="Z102" s="219">
        <f>0</f>
        <v>0</v>
      </c>
      <c r="AA102" s="149">
        <f t="shared" si="3"/>
        <v>6</v>
      </c>
      <c r="AB102" s="176"/>
      <c r="AC102" s="163">
        <f t="shared" si="4"/>
        <v>6</v>
      </c>
      <c r="AD102" s="129"/>
      <c r="AE102" s="195" t="s">
        <v>531</v>
      </c>
      <c r="AF102" s="97" t="s">
        <v>44</v>
      </c>
      <c r="AG102" s="206"/>
      <c r="AH102" s="205"/>
      <c r="AI102" s="101"/>
      <c r="AJ102" s="102" t="s">
        <v>857</v>
      </c>
      <c r="AK102" s="207" t="e">
        <f t="shared" si="5"/>
        <v>#VALUE!</v>
      </c>
      <c r="AL102" s="101"/>
      <c r="AM102" s="96"/>
      <c r="AN102" s="103"/>
      <c r="AO102" s="198"/>
    </row>
    <row r="103" spans="1:41" s="308" customFormat="1" ht="30.75" hidden="1" customHeight="1" x14ac:dyDescent="0.35">
      <c r="A103" s="252">
        <v>298</v>
      </c>
      <c r="B103" s="253">
        <v>44944</v>
      </c>
      <c r="C103" s="246" t="s">
        <v>817</v>
      </c>
      <c r="D103" s="233" t="s">
        <v>253</v>
      </c>
      <c r="E103" s="233"/>
      <c r="F103" s="241" t="s">
        <v>249</v>
      </c>
      <c r="G103" s="206"/>
      <c r="H103" s="250" t="s">
        <v>253</v>
      </c>
      <c r="I103" s="251" t="s">
        <v>250</v>
      </c>
      <c r="J103" s="189"/>
      <c r="K103" s="189"/>
      <c r="L103" s="189"/>
      <c r="M103" s="189"/>
      <c r="N103" s="235" t="s">
        <v>814</v>
      </c>
      <c r="O103" s="343">
        <f>0</f>
        <v>0</v>
      </c>
      <c r="P103" s="169">
        <f>0</f>
        <v>0</v>
      </c>
      <c r="Q103" s="169">
        <f>0</f>
        <v>0</v>
      </c>
      <c r="R103" s="169">
        <v>7</v>
      </c>
      <c r="S103" s="169">
        <f>0</f>
        <v>0</v>
      </c>
      <c r="T103" s="169">
        <f>0</f>
        <v>0</v>
      </c>
      <c r="U103" s="169">
        <f>0</f>
        <v>0</v>
      </c>
      <c r="V103" s="169">
        <f>0</f>
        <v>0</v>
      </c>
      <c r="W103" s="169">
        <f>0</f>
        <v>0</v>
      </c>
      <c r="X103" s="169">
        <f>0</f>
        <v>0</v>
      </c>
      <c r="Y103" s="169">
        <f>0</f>
        <v>0</v>
      </c>
      <c r="Z103" s="219">
        <f>0</f>
        <v>0</v>
      </c>
      <c r="AA103" s="149">
        <f t="shared" si="3"/>
        <v>7</v>
      </c>
      <c r="AB103" s="176"/>
      <c r="AC103" s="163">
        <f t="shared" si="4"/>
        <v>7</v>
      </c>
      <c r="AD103" s="129"/>
      <c r="AE103" s="195" t="s">
        <v>531</v>
      </c>
      <c r="AF103" s="97" t="s">
        <v>44</v>
      </c>
      <c r="AG103" s="206"/>
      <c r="AH103" s="205"/>
      <c r="AI103" s="101"/>
      <c r="AJ103" s="102" t="s">
        <v>857</v>
      </c>
      <c r="AK103" s="207" t="e">
        <f t="shared" si="5"/>
        <v>#VALUE!</v>
      </c>
      <c r="AL103" s="101"/>
      <c r="AM103" s="96"/>
      <c r="AN103" s="103"/>
      <c r="AO103" s="198"/>
    </row>
    <row r="104" spans="1:41" s="120" customFormat="1" ht="30.75" hidden="1" customHeight="1" x14ac:dyDescent="0.35">
      <c r="A104" s="244">
        <v>299</v>
      </c>
      <c r="B104" s="253">
        <v>44944</v>
      </c>
      <c r="C104" s="246" t="s">
        <v>817</v>
      </c>
      <c r="D104" s="233" t="s">
        <v>576</v>
      </c>
      <c r="E104" s="233"/>
      <c r="F104" s="241" t="s">
        <v>577</v>
      </c>
      <c r="G104" s="206"/>
      <c r="H104" s="525" t="s">
        <v>576</v>
      </c>
      <c r="I104" s="251" t="s">
        <v>250</v>
      </c>
      <c r="J104" s="189"/>
      <c r="K104" s="189"/>
      <c r="L104" s="189"/>
      <c r="M104" s="189"/>
      <c r="N104" s="235" t="s">
        <v>814</v>
      </c>
      <c r="O104" s="343">
        <f>0</f>
        <v>0</v>
      </c>
      <c r="P104" s="169">
        <f>0</f>
        <v>0</v>
      </c>
      <c r="Q104" s="169">
        <f>0</f>
        <v>0</v>
      </c>
      <c r="R104" s="169">
        <v>4</v>
      </c>
      <c r="S104" s="169">
        <f>0</f>
        <v>0</v>
      </c>
      <c r="T104" s="169">
        <f>0</f>
        <v>0</v>
      </c>
      <c r="U104" s="169">
        <f>0</f>
        <v>0</v>
      </c>
      <c r="V104" s="169">
        <f>0</f>
        <v>0</v>
      </c>
      <c r="W104" s="169">
        <f>0</f>
        <v>0</v>
      </c>
      <c r="X104" s="169">
        <f>0</f>
        <v>0</v>
      </c>
      <c r="Y104" s="169">
        <f>0</f>
        <v>0</v>
      </c>
      <c r="Z104" s="219">
        <f>0</f>
        <v>0</v>
      </c>
      <c r="AA104" s="149">
        <f t="shared" si="3"/>
        <v>4</v>
      </c>
      <c r="AB104" s="176"/>
      <c r="AC104" s="163">
        <f t="shared" si="4"/>
        <v>4</v>
      </c>
      <c r="AD104" s="129"/>
      <c r="AE104" s="195" t="s">
        <v>531</v>
      </c>
      <c r="AF104" s="97" t="s">
        <v>44</v>
      </c>
      <c r="AG104" s="206"/>
      <c r="AH104" s="205"/>
      <c r="AI104" s="101"/>
      <c r="AJ104" s="102" t="s">
        <v>857</v>
      </c>
      <c r="AK104" s="207" t="e">
        <f t="shared" si="5"/>
        <v>#VALUE!</v>
      </c>
      <c r="AL104" s="101"/>
      <c r="AM104" s="96"/>
      <c r="AN104" s="103"/>
      <c r="AO104" s="198"/>
    </row>
    <row r="105" spans="1:41" s="308" customFormat="1" ht="30.75" hidden="1" customHeight="1" x14ac:dyDescent="0.35">
      <c r="A105" s="244">
        <v>300</v>
      </c>
      <c r="B105" s="253">
        <v>44944</v>
      </c>
      <c r="C105" s="246" t="s">
        <v>817</v>
      </c>
      <c r="D105" s="233" t="s">
        <v>807</v>
      </c>
      <c r="E105" s="233"/>
      <c r="F105" s="241" t="s">
        <v>808</v>
      </c>
      <c r="G105" s="206"/>
      <c r="H105" s="250" t="s">
        <v>807</v>
      </c>
      <c r="I105" s="251" t="s">
        <v>250</v>
      </c>
      <c r="J105" s="189"/>
      <c r="K105" s="189"/>
      <c r="L105" s="189"/>
      <c r="M105" s="189"/>
      <c r="N105" s="235" t="s">
        <v>814</v>
      </c>
      <c r="O105" s="343">
        <f>0</f>
        <v>0</v>
      </c>
      <c r="P105" s="169">
        <f>0</f>
        <v>0</v>
      </c>
      <c r="Q105" s="169">
        <f>0</f>
        <v>0</v>
      </c>
      <c r="R105" s="169">
        <v>4</v>
      </c>
      <c r="S105" s="169">
        <f>0</f>
        <v>0</v>
      </c>
      <c r="T105" s="169">
        <f>0</f>
        <v>0</v>
      </c>
      <c r="U105" s="169">
        <f>0</f>
        <v>0</v>
      </c>
      <c r="V105" s="169">
        <f>0</f>
        <v>0</v>
      </c>
      <c r="W105" s="169">
        <f>0</f>
        <v>0</v>
      </c>
      <c r="X105" s="169">
        <f>0</f>
        <v>0</v>
      </c>
      <c r="Y105" s="169">
        <f>0</f>
        <v>0</v>
      </c>
      <c r="Z105" s="219">
        <f>0</f>
        <v>0</v>
      </c>
      <c r="AA105" s="149">
        <f t="shared" si="3"/>
        <v>4</v>
      </c>
      <c r="AB105" s="176"/>
      <c r="AC105" s="163">
        <f t="shared" si="4"/>
        <v>4</v>
      </c>
      <c r="AD105" s="129"/>
      <c r="AE105" s="195" t="s">
        <v>531</v>
      </c>
      <c r="AF105" s="97" t="s">
        <v>44</v>
      </c>
      <c r="AG105" s="206"/>
      <c r="AH105" s="205"/>
      <c r="AI105" s="101"/>
      <c r="AJ105" s="102" t="s">
        <v>857</v>
      </c>
      <c r="AK105" s="207" t="e">
        <f t="shared" si="5"/>
        <v>#VALUE!</v>
      </c>
      <c r="AL105" s="101"/>
      <c r="AM105" s="96"/>
      <c r="AN105" s="103"/>
      <c r="AO105" s="198"/>
    </row>
    <row r="106" spans="1:41" s="120" customFormat="1" ht="30.75" hidden="1" customHeight="1" x14ac:dyDescent="0.35">
      <c r="A106" s="244">
        <v>301</v>
      </c>
      <c r="B106" s="253">
        <v>44944</v>
      </c>
      <c r="C106" s="246" t="s">
        <v>817</v>
      </c>
      <c r="D106" s="233">
        <v>91137</v>
      </c>
      <c r="E106" s="233"/>
      <c r="F106" s="241" t="s">
        <v>809</v>
      </c>
      <c r="G106" s="206"/>
      <c r="H106" s="250">
        <v>91137</v>
      </c>
      <c r="I106" s="251" t="s">
        <v>250</v>
      </c>
      <c r="J106" s="189"/>
      <c r="K106" s="189"/>
      <c r="L106" s="189"/>
      <c r="M106" s="189"/>
      <c r="N106" s="235" t="s">
        <v>814</v>
      </c>
      <c r="O106" s="343">
        <f>0</f>
        <v>0</v>
      </c>
      <c r="P106" s="169">
        <f>0</f>
        <v>0</v>
      </c>
      <c r="Q106" s="169">
        <f>0</f>
        <v>0</v>
      </c>
      <c r="R106" s="169">
        <v>10</v>
      </c>
      <c r="S106" s="169">
        <f>0</f>
        <v>0</v>
      </c>
      <c r="T106" s="169">
        <f>0</f>
        <v>0</v>
      </c>
      <c r="U106" s="169">
        <f>0</f>
        <v>0</v>
      </c>
      <c r="V106" s="169">
        <f>0</f>
        <v>0</v>
      </c>
      <c r="W106" s="169">
        <f>0</f>
        <v>0</v>
      </c>
      <c r="X106" s="169">
        <f>0</f>
        <v>0</v>
      </c>
      <c r="Y106" s="169">
        <f>0</f>
        <v>0</v>
      </c>
      <c r="Z106" s="219">
        <f>0</f>
        <v>0</v>
      </c>
      <c r="AA106" s="149">
        <f t="shared" si="3"/>
        <v>10</v>
      </c>
      <c r="AB106" s="176"/>
      <c r="AC106" s="163">
        <f t="shared" si="4"/>
        <v>10</v>
      </c>
      <c r="AD106" s="129"/>
      <c r="AE106" s="195" t="s">
        <v>531</v>
      </c>
      <c r="AF106" s="97" t="s">
        <v>44</v>
      </c>
      <c r="AG106" s="206"/>
      <c r="AH106" s="205"/>
      <c r="AI106" s="101"/>
      <c r="AJ106" s="102" t="s">
        <v>857</v>
      </c>
      <c r="AK106" s="207" t="e">
        <f t="shared" si="5"/>
        <v>#VALUE!</v>
      </c>
      <c r="AL106" s="101"/>
      <c r="AM106" s="96"/>
      <c r="AN106" s="103"/>
      <c r="AO106" s="198"/>
    </row>
    <row r="107" spans="1:41" s="120" customFormat="1" ht="30.75" hidden="1" customHeight="1" x14ac:dyDescent="0.35">
      <c r="A107" s="252">
        <v>309</v>
      </c>
      <c r="B107" s="253">
        <v>44944</v>
      </c>
      <c r="C107" s="246" t="s">
        <v>817</v>
      </c>
      <c r="D107" s="233" t="s">
        <v>396</v>
      </c>
      <c r="E107" s="233"/>
      <c r="F107" s="241" t="s">
        <v>397</v>
      </c>
      <c r="G107" s="206"/>
      <c r="H107" s="250" t="s">
        <v>396</v>
      </c>
      <c r="I107" s="251" t="s">
        <v>250</v>
      </c>
      <c r="J107" s="189"/>
      <c r="K107" s="189"/>
      <c r="L107" s="189"/>
      <c r="M107" s="189"/>
      <c r="N107" s="235" t="s">
        <v>814</v>
      </c>
      <c r="O107" s="343">
        <f>0</f>
        <v>0</v>
      </c>
      <c r="P107" s="169">
        <f>0</f>
        <v>0</v>
      </c>
      <c r="Q107" s="169">
        <f>0</f>
        <v>0</v>
      </c>
      <c r="R107" s="169">
        <v>3</v>
      </c>
      <c r="S107" s="169">
        <f>0</f>
        <v>0</v>
      </c>
      <c r="T107" s="169">
        <f>0</f>
        <v>0</v>
      </c>
      <c r="U107" s="169">
        <f>0</f>
        <v>0</v>
      </c>
      <c r="V107" s="169">
        <f>0</f>
        <v>0</v>
      </c>
      <c r="W107" s="169">
        <f>0</f>
        <v>0</v>
      </c>
      <c r="X107" s="169">
        <f>0</f>
        <v>0</v>
      </c>
      <c r="Y107" s="169">
        <f>0</f>
        <v>0</v>
      </c>
      <c r="Z107" s="219">
        <f>0</f>
        <v>0</v>
      </c>
      <c r="AA107" s="149">
        <f t="shared" si="3"/>
        <v>3</v>
      </c>
      <c r="AB107" s="176"/>
      <c r="AC107" s="163">
        <f t="shared" si="4"/>
        <v>3</v>
      </c>
      <c r="AD107" s="129"/>
      <c r="AE107" s="195" t="s">
        <v>531</v>
      </c>
      <c r="AF107" s="97" t="s">
        <v>44</v>
      </c>
      <c r="AG107" s="206"/>
      <c r="AH107" s="205"/>
      <c r="AI107" s="101"/>
      <c r="AJ107" s="102" t="s">
        <v>857</v>
      </c>
      <c r="AK107" s="207" t="e">
        <f t="shared" si="5"/>
        <v>#VALUE!</v>
      </c>
      <c r="AL107" s="101"/>
      <c r="AM107" s="96"/>
      <c r="AN107" s="103"/>
      <c r="AO107" s="198"/>
    </row>
    <row r="108" spans="1:41" s="120" customFormat="1" ht="30.75" hidden="1" customHeight="1" x14ac:dyDescent="0.35">
      <c r="A108" s="244">
        <v>318</v>
      </c>
      <c r="B108" s="253">
        <v>44945</v>
      </c>
      <c r="C108" s="246" t="s">
        <v>308</v>
      </c>
      <c r="D108" s="233" t="s">
        <v>839</v>
      </c>
      <c r="E108" s="233" t="s">
        <v>324</v>
      </c>
      <c r="F108" s="241" t="s">
        <v>840</v>
      </c>
      <c r="G108" s="206" t="s">
        <v>841</v>
      </c>
      <c r="H108" s="250" t="s">
        <v>839</v>
      </c>
      <c r="I108" s="251" t="s">
        <v>250</v>
      </c>
      <c r="J108" s="189" t="s">
        <v>251</v>
      </c>
      <c r="K108" s="189" t="s">
        <v>252</v>
      </c>
      <c r="L108" s="189" t="s">
        <v>252</v>
      </c>
      <c r="M108" s="189"/>
      <c r="N108" s="235" t="s">
        <v>604</v>
      </c>
      <c r="O108" s="343">
        <f>0</f>
        <v>0</v>
      </c>
      <c r="P108" s="169">
        <f>0</f>
        <v>0</v>
      </c>
      <c r="Q108" s="169">
        <f>0</f>
        <v>0</v>
      </c>
      <c r="R108" s="169">
        <f>0</f>
        <v>0</v>
      </c>
      <c r="S108" s="169">
        <f>0</f>
        <v>0</v>
      </c>
      <c r="T108" s="169">
        <v>4</v>
      </c>
      <c r="U108" s="169">
        <f>0</f>
        <v>0</v>
      </c>
      <c r="V108" s="169">
        <f>0</f>
        <v>0</v>
      </c>
      <c r="W108" s="169">
        <f>0</f>
        <v>0</v>
      </c>
      <c r="X108" s="169">
        <f>0</f>
        <v>0</v>
      </c>
      <c r="Y108" s="169">
        <f>0</f>
        <v>0</v>
      </c>
      <c r="Z108" s="219">
        <f>0</f>
        <v>0</v>
      </c>
      <c r="AA108" s="128">
        <f t="shared" si="3"/>
        <v>4</v>
      </c>
      <c r="AB108" s="218"/>
      <c r="AC108" s="137">
        <f t="shared" si="4"/>
        <v>4</v>
      </c>
      <c r="AD108" s="129"/>
      <c r="AE108" s="195" t="s">
        <v>531</v>
      </c>
      <c r="AF108" s="97" t="s">
        <v>44</v>
      </c>
      <c r="AG108" s="206"/>
      <c r="AH108" s="205"/>
      <c r="AI108" s="101"/>
      <c r="AJ108" s="102" t="s">
        <v>857</v>
      </c>
      <c r="AK108" s="207" t="e">
        <f t="shared" si="5"/>
        <v>#VALUE!</v>
      </c>
      <c r="AL108" s="101"/>
      <c r="AM108" s="96"/>
      <c r="AN108" s="103"/>
      <c r="AO108" s="198"/>
    </row>
    <row r="109" spans="1:41" s="308" customFormat="1" ht="30.75" hidden="1" customHeight="1" x14ac:dyDescent="0.35">
      <c r="A109" s="244">
        <v>319</v>
      </c>
      <c r="B109" s="253">
        <v>44945</v>
      </c>
      <c r="C109" s="246" t="s">
        <v>308</v>
      </c>
      <c r="D109" s="233" t="s">
        <v>394</v>
      </c>
      <c r="E109" s="233" t="s">
        <v>363</v>
      </c>
      <c r="F109" s="241" t="s">
        <v>395</v>
      </c>
      <c r="G109" s="206" t="s">
        <v>394</v>
      </c>
      <c r="H109" s="250" t="s">
        <v>394</v>
      </c>
      <c r="I109" s="251" t="s">
        <v>250</v>
      </c>
      <c r="J109" s="189" t="s">
        <v>251</v>
      </c>
      <c r="K109" s="189" t="s">
        <v>252</v>
      </c>
      <c r="L109" s="189" t="s">
        <v>252</v>
      </c>
      <c r="M109" s="189"/>
      <c r="N109" s="235" t="s">
        <v>604</v>
      </c>
      <c r="O109" s="343">
        <f>0</f>
        <v>0</v>
      </c>
      <c r="P109" s="169">
        <f>0</f>
        <v>0</v>
      </c>
      <c r="Q109" s="169">
        <f>0</f>
        <v>0</v>
      </c>
      <c r="R109" s="169">
        <f>0</f>
        <v>0</v>
      </c>
      <c r="S109" s="169">
        <f>0</f>
        <v>0</v>
      </c>
      <c r="T109" s="169">
        <v>6</v>
      </c>
      <c r="U109" s="169">
        <f>0</f>
        <v>0</v>
      </c>
      <c r="V109" s="169">
        <f>0</f>
        <v>0</v>
      </c>
      <c r="W109" s="169">
        <f>0</f>
        <v>0</v>
      </c>
      <c r="X109" s="169">
        <f>0</f>
        <v>0</v>
      </c>
      <c r="Y109" s="169">
        <f>0</f>
        <v>0</v>
      </c>
      <c r="Z109" s="219">
        <f>0</f>
        <v>0</v>
      </c>
      <c r="AA109" s="128">
        <f t="shared" si="3"/>
        <v>6</v>
      </c>
      <c r="AB109" s="218"/>
      <c r="AC109" s="137">
        <f t="shared" si="4"/>
        <v>6</v>
      </c>
      <c r="AD109" s="129"/>
      <c r="AE109" s="195" t="s">
        <v>531</v>
      </c>
      <c r="AF109" s="97" t="s">
        <v>44</v>
      </c>
      <c r="AG109" s="206"/>
      <c r="AH109" s="205"/>
      <c r="AI109" s="101"/>
      <c r="AJ109" s="102" t="s">
        <v>857</v>
      </c>
      <c r="AK109" s="207" t="e">
        <f t="shared" si="5"/>
        <v>#VALUE!</v>
      </c>
      <c r="AL109" s="101"/>
      <c r="AM109" s="96"/>
      <c r="AN109" s="103"/>
      <c r="AO109" s="198"/>
    </row>
    <row r="110" spans="1:41" s="308" customFormat="1" ht="30.75" hidden="1" customHeight="1" x14ac:dyDescent="0.35">
      <c r="A110" s="244">
        <v>320</v>
      </c>
      <c r="B110" s="253">
        <v>44945</v>
      </c>
      <c r="C110" s="246" t="s">
        <v>308</v>
      </c>
      <c r="D110" s="233">
        <v>92001</v>
      </c>
      <c r="E110" s="233" t="s">
        <v>324</v>
      </c>
      <c r="F110" s="241" t="s">
        <v>366</v>
      </c>
      <c r="G110" s="206">
        <v>92001</v>
      </c>
      <c r="H110" s="250">
        <v>92001</v>
      </c>
      <c r="I110" s="251" t="s">
        <v>250</v>
      </c>
      <c r="J110" s="189" t="s">
        <v>251</v>
      </c>
      <c r="K110" s="189" t="s">
        <v>252</v>
      </c>
      <c r="L110" s="189" t="s">
        <v>252</v>
      </c>
      <c r="M110" s="189"/>
      <c r="N110" s="235" t="s">
        <v>604</v>
      </c>
      <c r="O110" s="343">
        <f>0</f>
        <v>0</v>
      </c>
      <c r="P110" s="169">
        <f>0</f>
        <v>0</v>
      </c>
      <c r="Q110" s="169">
        <f>0</f>
        <v>0</v>
      </c>
      <c r="R110" s="169">
        <f>0</f>
        <v>0</v>
      </c>
      <c r="S110" s="169">
        <f>0</f>
        <v>0</v>
      </c>
      <c r="T110" s="169">
        <v>2</v>
      </c>
      <c r="U110" s="169">
        <f>0</f>
        <v>0</v>
      </c>
      <c r="V110" s="169">
        <f>0</f>
        <v>0</v>
      </c>
      <c r="W110" s="169">
        <f>0</f>
        <v>0</v>
      </c>
      <c r="X110" s="169">
        <f>0</f>
        <v>0</v>
      </c>
      <c r="Y110" s="169">
        <f>0</f>
        <v>0</v>
      </c>
      <c r="Z110" s="219">
        <f>0</f>
        <v>0</v>
      </c>
      <c r="AA110" s="128">
        <f t="shared" si="3"/>
        <v>2</v>
      </c>
      <c r="AB110" s="218"/>
      <c r="AC110" s="137">
        <f t="shared" si="4"/>
        <v>2</v>
      </c>
      <c r="AD110" s="129"/>
      <c r="AE110" s="195" t="s">
        <v>531</v>
      </c>
      <c r="AF110" s="97" t="s">
        <v>44</v>
      </c>
      <c r="AG110" s="206"/>
      <c r="AH110" s="205"/>
      <c r="AI110" s="101"/>
      <c r="AJ110" s="102" t="s">
        <v>857</v>
      </c>
      <c r="AK110" s="207" t="e">
        <f t="shared" si="5"/>
        <v>#VALUE!</v>
      </c>
      <c r="AL110" s="101"/>
      <c r="AM110" s="96"/>
      <c r="AN110" s="103"/>
      <c r="AO110" s="198"/>
    </row>
    <row r="111" spans="1:41" s="308" customFormat="1" ht="30.75" hidden="1" customHeight="1" x14ac:dyDescent="0.35">
      <c r="A111" s="252">
        <v>346</v>
      </c>
      <c r="B111" s="253">
        <v>44945</v>
      </c>
      <c r="C111" s="246" t="s">
        <v>863</v>
      </c>
      <c r="D111" s="233" t="s">
        <v>891</v>
      </c>
      <c r="E111" s="233">
        <v>0</v>
      </c>
      <c r="F111" s="241" t="s">
        <v>892</v>
      </c>
      <c r="G111" s="206" t="s">
        <v>893</v>
      </c>
      <c r="H111" s="243" t="s">
        <v>891</v>
      </c>
      <c r="I111" s="536" t="s">
        <v>250</v>
      </c>
      <c r="J111" s="189" t="s">
        <v>251</v>
      </c>
      <c r="K111" s="189" t="s">
        <v>252</v>
      </c>
      <c r="L111" s="189" t="s">
        <v>252</v>
      </c>
      <c r="M111" s="189"/>
      <c r="N111" s="235" t="s">
        <v>953</v>
      </c>
      <c r="O111" s="343">
        <v>0</v>
      </c>
      <c r="P111" s="169">
        <v>18</v>
      </c>
      <c r="Q111" s="169">
        <v>0</v>
      </c>
      <c r="R111" s="169">
        <v>0</v>
      </c>
      <c r="S111" s="169">
        <v>0</v>
      </c>
      <c r="T111" s="169">
        <v>0</v>
      </c>
      <c r="U111" s="169">
        <v>0</v>
      </c>
      <c r="V111" s="169">
        <f>0</f>
        <v>0</v>
      </c>
      <c r="W111" s="169">
        <v>0</v>
      </c>
      <c r="X111" s="169">
        <f>0</f>
        <v>0</v>
      </c>
      <c r="Y111" s="169">
        <f>0</f>
        <v>0</v>
      </c>
      <c r="Z111" s="219">
        <f>0</f>
        <v>0</v>
      </c>
      <c r="AA111" s="128">
        <f t="shared" si="3"/>
        <v>18</v>
      </c>
      <c r="AB111" s="218"/>
      <c r="AC111" s="137">
        <f t="shared" si="4"/>
        <v>18</v>
      </c>
      <c r="AD111" s="129"/>
      <c r="AE111" s="195" t="s">
        <v>531</v>
      </c>
      <c r="AF111" s="97" t="s">
        <v>44</v>
      </c>
      <c r="AG111" s="206"/>
      <c r="AH111" s="205"/>
      <c r="AI111" s="101"/>
      <c r="AJ111" s="102" t="s">
        <v>501</v>
      </c>
      <c r="AK111" s="207" t="e">
        <f t="shared" si="5"/>
        <v>#VALUE!</v>
      </c>
      <c r="AL111" s="101"/>
      <c r="AM111" s="96"/>
      <c r="AN111" s="103"/>
      <c r="AO111" s="198"/>
    </row>
    <row r="112" spans="1:41" s="120" customFormat="1" ht="30.75" hidden="1" customHeight="1" x14ac:dyDescent="0.35">
      <c r="A112" s="244">
        <v>347</v>
      </c>
      <c r="B112" s="253">
        <v>44945</v>
      </c>
      <c r="C112" s="246" t="s">
        <v>863</v>
      </c>
      <c r="D112" s="233" t="s">
        <v>253</v>
      </c>
      <c r="E112" s="233">
        <v>0</v>
      </c>
      <c r="F112" s="241" t="s">
        <v>894</v>
      </c>
      <c r="G112" s="206" t="s">
        <v>895</v>
      </c>
      <c r="H112" s="243" t="s">
        <v>253</v>
      </c>
      <c r="I112" s="536" t="s">
        <v>250</v>
      </c>
      <c r="J112" s="189" t="s">
        <v>251</v>
      </c>
      <c r="K112" s="189" t="s">
        <v>252</v>
      </c>
      <c r="L112" s="189" t="s">
        <v>252</v>
      </c>
      <c r="M112" s="189"/>
      <c r="N112" s="235" t="s">
        <v>953</v>
      </c>
      <c r="O112" s="343">
        <v>0</v>
      </c>
      <c r="P112" s="169">
        <v>18</v>
      </c>
      <c r="Q112" s="169">
        <v>0</v>
      </c>
      <c r="R112" s="169">
        <v>0</v>
      </c>
      <c r="S112" s="169">
        <v>0</v>
      </c>
      <c r="T112" s="169">
        <v>0</v>
      </c>
      <c r="U112" s="169">
        <v>0</v>
      </c>
      <c r="V112" s="169">
        <f>0</f>
        <v>0</v>
      </c>
      <c r="W112" s="169">
        <v>0</v>
      </c>
      <c r="X112" s="169">
        <f>0</f>
        <v>0</v>
      </c>
      <c r="Y112" s="169">
        <f>0</f>
        <v>0</v>
      </c>
      <c r="Z112" s="219">
        <f>0</f>
        <v>0</v>
      </c>
      <c r="AA112" s="128">
        <f t="shared" si="3"/>
        <v>18</v>
      </c>
      <c r="AB112" s="218"/>
      <c r="AC112" s="137">
        <f t="shared" si="4"/>
        <v>18</v>
      </c>
      <c r="AD112" s="129"/>
      <c r="AE112" s="195" t="s">
        <v>531</v>
      </c>
      <c r="AF112" s="97" t="s">
        <v>44</v>
      </c>
      <c r="AG112" s="206"/>
      <c r="AH112" s="205"/>
      <c r="AI112" s="101"/>
      <c r="AJ112" s="102" t="s">
        <v>501</v>
      </c>
      <c r="AK112" s="207" t="e">
        <f t="shared" si="5"/>
        <v>#VALUE!</v>
      </c>
      <c r="AL112" s="101"/>
      <c r="AM112" s="96"/>
      <c r="AN112" s="103"/>
      <c r="AO112" s="198"/>
    </row>
    <row r="113" spans="1:42" s="308" customFormat="1" ht="30.75" hidden="1" customHeight="1" x14ac:dyDescent="0.35">
      <c r="A113" s="244">
        <v>528</v>
      </c>
      <c r="B113" s="498">
        <v>44984</v>
      </c>
      <c r="C113" s="246" t="s">
        <v>1475</v>
      </c>
      <c r="D113" s="233" t="s">
        <v>394</v>
      </c>
      <c r="E113" s="233"/>
      <c r="F113" s="233" t="s">
        <v>395</v>
      </c>
      <c r="G113" s="233" t="s">
        <v>394</v>
      </c>
      <c r="H113" s="525" t="s">
        <v>394</v>
      </c>
      <c r="I113" s="606" t="s">
        <v>250</v>
      </c>
      <c r="J113" s="189"/>
      <c r="K113" s="189"/>
      <c r="L113" s="189"/>
      <c r="M113" s="189"/>
      <c r="N113" s="235" t="s">
        <v>1479</v>
      </c>
      <c r="O113" s="417">
        <v>0</v>
      </c>
      <c r="P113" s="90">
        <v>0</v>
      </c>
      <c r="Q113" s="90">
        <v>0</v>
      </c>
      <c r="R113" s="90">
        <v>0</v>
      </c>
      <c r="S113" s="90">
        <v>0</v>
      </c>
      <c r="T113" s="90">
        <v>0</v>
      </c>
      <c r="U113" s="90">
        <v>0</v>
      </c>
      <c r="V113" s="90">
        <v>0</v>
      </c>
      <c r="W113" s="90">
        <v>0</v>
      </c>
      <c r="X113" s="607">
        <v>2</v>
      </c>
      <c r="Y113" s="90">
        <v>0</v>
      </c>
      <c r="Z113" s="418">
        <v>0</v>
      </c>
      <c r="AA113" s="149">
        <f t="shared" si="3"/>
        <v>2</v>
      </c>
      <c r="AB113" s="608"/>
      <c r="AC113" s="609">
        <f t="shared" si="4"/>
        <v>2</v>
      </c>
      <c r="AD113" s="129"/>
      <c r="AE113" s="195" t="s">
        <v>531</v>
      </c>
      <c r="AF113" s="97" t="s">
        <v>44</v>
      </c>
      <c r="AG113" s="206"/>
      <c r="AH113" s="205"/>
      <c r="AI113" s="610"/>
      <c r="AJ113" s="585"/>
      <c r="AK113" s="207">
        <f t="shared" si="5"/>
        <v>2</v>
      </c>
      <c r="AL113" s="610"/>
      <c r="AM113" s="590"/>
      <c r="AN113" s="591"/>
      <c r="AO113" s="198"/>
    </row>
    <row r="114" spans="1:42" s="308" customFormat="1" ht="30.75" hidden="1" customHeight="1" x14ac:dyDescent="0.35">
      <c r="A114" s="244">
        <v>529</v>
      </c>
      <c r="B114" s="498">
        <v>44984</v>
      </c>
      <c r="C114" s="246" t="s">
        <v>1475</v>
      </c>
      <c r="D114" s="233" t="s">
        <v>396</v>
      </c>
      <c r="E114" s="233"/>
      <c r="F114" s="233" t="s">
        <v>397</v>
      </c>
      <c r="G114" s="233" t="s">
        <v>396</v>
      </c>
      <c r="H114" s="525" t="s">
        <v>396</v>
      </c>
      <c r="I114" s="606" t="s">
        <v>250</v>
      </c>
      <c r="J114" s="189"/>
      <c r="K114" s="189"/>
      <c r="L114" s="189"/>
      <c r="M114" s="189"/>
      <c r="N114" s="235" t="s">
        <v>1479</v>
      </c>
      <c r="O114" s="417">
        <v>0</v>
      </c>
      <c r="P114" s="90">
        <v>0</v>
      </c>
      <c r="Q114" s="90">
        <v>0</v>
      </c>
      <c r="R114" s="90">
        <v>0</v>
      </c>
      <c r="S114" s="90">
        <v>0</v>
      </c>
      <c r="T114" s="90">
        <v>0</v>
      </c>
      <c r="U114" s="90">
        <v>0</v>
      </c>
      <c r="V114" s="90">
        <v>0</v>
      </c>
      <c r="W114" s="90">
        <v>0</v>
      </c>
      <c r="X114" s="607">
        <v>1</v>
      </c>
      <c r="Y114" s="90">
        <v>0</v>
      </c>
      <c r="Z114" s="418">
        <v>0</v>
      </c>
      <c r="AA114" s="149">
        <f t="shared" si="3"/>
        <v>1</v>
      </c>
      <c r="AB114" s="608"/>
      <c r="AC114" s="609">
        <f t="shared" si="4"/>
        <v>1</v>
      </c>
      <c r="AD114" s="129"/>
      <c r="AE114" s="195" t="s">
        <v>531</v>
      </c>
      <c r="AF114" s="97" t="s">
        <v>44</v>
      </c>
      <c r="AG114" s="206"/>
      <c r="AH114" s="205"/>
      <c r="AI114" s="610"/>
      <c r="AJ114" s="585"/>
      <c r="AK114" s="207">
        <f t="shared" si="5"/>
        <v>1</v>
      </c>
      <c r="AL114" s="610"/>
      <c r="AM114" s="590"/>
      <c r="AN114" s="591"/>
      <c r="AO114" s="198"/>
    </row>
    <row r="115" spans="1:42" s="308" customFormat="1" ht="30.75" hidden="1" customHeight="1" x14ac:dyDescent="0.35">
      <c r="A115" s="252">
        <v>530</v>
      </c>
      <c r="B115" s="498">
        <v>44984</v>
      </c>
      <c r="C115" s="246" t="s">
        <v>1475</v>
      </c>
      <c r="D115" s="233">
        <v>9304702</v>
      </c>
      <c r="E115" s="233"/>
      <c r="F115" s="233" t="s">
        <v>1477</v>
      </c>
      <c r="G115" s="233">
        <v>9304702</v>
      </c>
      <c r="H115" s="525">
        <v>9304702</v>
      </c>
      <c r="I115" s="606" t="s">
        <v>250</v>
      </c>
      <c r="J115" s="189"/>
      <c r="K115" s="189"/>
      <c r="L115" s="189"/>
      <c r="M115" s="189"/>
      <c r="N115" s="235" t="s">
        <v>1479</v>
      </c>
      <c r="O115" s="417">
        <v>0</v>
      </c>
      <c r="P115" s="90">
        <v>0</v>
      </c>
      <c r="Q115" s="90">
        <v>0</v>
      </c>
      <c r="R115" s="90">
        <v>0</v>
      </c>
      <c r="S115" s="90">
        <v>0</v>
      </c>
      <c r="T115" s="90">
        <v>0</v>
      </c>
      <c r="U115" s="90">
        <v>0</v>
      </c>
      <c r="V115" s="90">
        <v>0</v>
      </c>
      <c r="W115" s="90">
        <v>0</v>
      </c>
      <c r="X115" s="607">
        <v>1</v>
      </c>
      <c r="Y115" s="90">
        <v>0</v>
      </c>
      <c r="Z115" s="418">
        <v>0</v>
      </c>
      <c r="AA115" s="149">
        <f t="shared" si="3"/>
        <v>1</v>
      </c>
      <c r="AB115" s="608"/>
      <c r="AC115" s="609">
        <f t="shared" si="4"/>
        <v>1</v>
      </c>
      <c r="AD115" s="129"/>
      <c r="AE115" s="195" t="s">
        <v>531</v>
      </c>
      <c r="AF115" s="97" t="s">
        <v>44</v>
      </c>
      <c r="AG115" s="206"/>
      <c r="AH115" s="205"/>
      <c r="AI115" s="610"/>
      <c r="AJ115" s="585"/>
      <c r="AK115" s="207">
        <f t="shared" si="5"/>
        <v>1</v>
      </c>
      <c r="AL115" s="610"/>
      <c r="AM115" s="590"/>
      <c r="AN115" s="591"/>
      <c r="AO115" s="198"/>
    </row>
    <row r="116" spans="1:42" s="308" customFormat="1" ht="30.75" hidden="1" customHeight="1" x14ac:dyDescent="0.35">
      <c r="A116" s="244">
        <v>532</v>
      </c>
      <c r="B116" s="498">
        <v>44984</v>
      </c>
      <c r="C116" s="246" t="s">
        <v>1475</v>
      </c>
      <c r="D116" s="233">
        <v>91046</v>
      </c>
      <c r="E116" s="233"/>
      <c r="F116" s="233" t="s">
        <v>369</v>
      </c>
      <c r="G116" s="233">
        <v>91046</v>
      </c>
      <c r="H116" s="525">
        <v>91046</v>
      </c>
      <c r="I116" s="606" t="s">
        <v>250</v>
      </c>
      <c r="J116" s="189"/>
      <c r="K116" s="189"/>
      <c r="L116" s="189"/>
      <c r="M116" s="189"/>
      <c r="N116" s="235" t="s">
        <v>1479</v>
      </c>
      <c r="O116" s="417">
        <v>0</v>
      </c>
      <c r="P116" s="90">
        <v>0</v>
      </c>
      <c r="Q116" s="90">
        <v>0</v>
      </c>
      <c r="R116" s="90">
        <v>0</v>
      </c>
      <c r="S116" s="90">
        <v>0</v>
      </c>
      <c r="T116" s="90">
        <v>0</v>
      </c>
      <c r="U116" s="90">
        <v>0</v>
      </c>
      <c r="V116" s="90">
        <v>0</v>
      </c>
      <c r="W116" s="90">
        <v>0</v>
      </c>
      <c r="X116" s="607">
        <v>6</v>
      </c>
      <c r="Y116" s="90">
        <v>0</v>
      </c>
      <c r="Z116" s="418">
        <v>0</v>
      </c>
      <c r="AA116" s="149">
        <f t="shared" si="3"/>
        <v>6</v>
      </c>
      <c r="AB116" s="608"/>
      <c r="AC116" s="609">
        <f t="shared" si="4"/>
        <v>6</v>
      </c>
      <c r="AD116" s="129"/>
      <c r="AE116" s="195" t="s">
        <v>531</v>
      </c>
      <c r="AF116" s="97" t="s">
        <v>44</v>
      </c>
      <c r="AG116" s="206"/>
      <c r="AH116" s="205"/>
      <c r="AI116" s="610"/>
      <c r="AJ116" s="585"/>
      <c r="AK116" s="207">
        <f t="shared" si="5"/>
        <v>6</v>
      </c>
      <c r="AL116" s="610"/>
      <c r="AM116" s="590"/>
      <c r="AN116" s="591"/>
      <c r="AO116" s="198"/>
    </row>
    <row r="117" spans="1:42" s="308" customFormat="1" ht="30.75" hidden="1" customHeight="1" x14ac:dyDescent="0.35">
      <c r="A117" s="244">
        <v>533</v>
      </c>
      <c r="B117" s="498">
        <v>44984</v>
      </c>
      <c r="C117" s="246" t="s">
        <v>1475</v>
      </c>
      <c r="D117" s="233">
        <v>9304702</v>
      </c>
      <c r="E117" s="233"/>
      <c r="F117" s="233" t="s">
        <v>1477</v>
      </c>
      <c r="G117" s="233">
        <v>9304702</v>
      </c>
      <c r="H117" s="525">
        <v>9304702</v>
      </c>
      <c r="I117" s="606" t="s">
        <v>250</v>
      </c>
      <c r="J117" s="189"/>
      <c r="K117" s="189"/>
      <c r="L117" s="189"/>
      <c r="M117" s="189"/>
      <c r="N117" s="235" t="s">
        <v>1479</v>
      </c>
      <c r="O117" s="417">
        <v>0</v>
      </c>
      <c r="P117" s="90">
        <v>0</v>
      </c>
      <c r="Q117" s="90">
        <v>0</v>
      </c>
      <c r="R117" s="90">
        <v>0</v>
      </c>
      <c r="S117" s="90">
        <v>0</v>
      </c>
      <c r="T117" s="90">
        <v>0</v>
      </c>
      <c r="U117" s="90">
        <v>0</v>
      </c>
      <c r="V117" s="90">
        <v>0</v>
      </c>
      <c r="W117" s="90">
        <v>0</v>
      </c>
      <c r="X117" s="607">
        <v>1</v>
      </c>
      <c r="Y117" s="90">
        <v>0</v>
      </c>
      <c r="Z117" s="418">
        <v>0</v>
      </c>
      <c r="AA117" s="149">
        <f t="shared" si="3"/>
        <v>1</v>
      </c>
      <c r="AB117" s="608"/>
      <c r="AC117" s="609">
        <f t="shared" si="4"/>
        <v>1</v>
      </c>
      <c r="AD117" s="129"/>
      <c r="AE117" s="195" t="s">
        <v>531</v>
      </c>
      <c r="AF117" s="97" t="s">
        <v>44</v>
      </c>
      <c r="AG117" s="206"/>
      <c r="AH117" s="205"/>
      <c r="AI117" s="610"/>
      <c r="AJ117" s="585"/>
      <c r="AK117" s="207">
        <f t="shared" si="5"/>
        <v>1</v>
      </c>
      <c r="AL117" s="610"/>
      <c r="AM117" s="590"/>
      <c r="AN117" s="591"/>
      <c r="AO117" s="198"/>
    </row>
    <row r="118" spans="1:42" s="308" customFormat="1" ht="30.75" hidden="1" customHeight="1" x14ac:dyDescent="0.35">
      <c r="A118" s="244">
        <v>534</v>
      </c>
      <c r="B118" s="498">
        <v>44984</v>
      </c>
      <c r="C118" s="246" t="s">
        <v>1475</v>
      </c>
      <c r="D118" s="233">
        <v>92001</v>
      </c>
      <c r="E118" s="233"/>
      <c r="F118" s="233" t="s">
        <v>366</v>
      </c>
      <c r="G118" s="233">
        <v>92001</v>
      </c>
      <c r="H118" s="525">
        <v>92001</v>
      </c>
      <c r="I118" s="606" t="s">
        <v>250</v>
      </c>
      <c r="J118" s="189"/>
      <c r="K118" s="189"/>
      <c r="L118" s="189"/>
      <c r="M118" s="189"/>
      <c r="N118" s="235" t="s">
        <v>1479</v>
      </c>
      <c r="O118" s="417">
        <v>0</v>
      </c>
      <c r="P118" s="90">
        <v>0</v>
      </c>
      <c r="Q118" s="90">
        <v>0</v>
      </c>
      <c r="R118" s="90">
        <v>0</v>
      </c>
      <c r="S118" s="90">
        <v>0</v>
      </c>
      <c r="T118" s="90">
        <v>0</v>
      </c>
      <c r="U118" s="90">
        <v>0</v>
      </c>
      <c r="V118" s="90">
        <v>0</v>
      </c>
      <c r="W118" s="90">
        <v>0</v>
      </c>
      <c r="X118" s="607">
        <v>2</v>
      </c>
      <c r="Y118" s="90">
        <v>0</v>
      </c>
      <c r="Z118" s="418">
        <v>0</v>
      </c>
      <c r="AA118" s="149">
        <f t="shared" si="3"/>
        <v>2</v>
      </c>
      <c r="AB118" s="608"/>
      <c r="AC118" s="609">
        <f t="shared" si="4"/>
        <v>2</v>
      </c>
      <c r="AD118" s="129"/>
      <c r="AE118" s="195" t="s">
        <v>531</v>
      </c>
      <c r="AF118" s="97" t="s">
        <v>44</v>
      </c>
      <c r="AG118" s="206"/>
      <c r="AH118" s="205"/>
      <c r="AI118" s="610"/>
      <c r="AJ118" s="585"/>
      <c r="AK118" s="207">
        <f t="shared" si="5"/>
        <v>2</v>
      </c>
      <c r="AL118" s="610"/>
      <c r="AM118" s="590"/>
      <c r="AN118" s="591"/>
      <c r="AO118" s="198"/>
    </row>
    <row r="119" spans="1:42" s="308" customFormat="1" ht="30.75" hidden="1" customHeight="1" x14ac:dyDescent="0.35">
      <c r="A119" s="252">
        <v>535</v>
      </c>
      <c r="B119" s="498">
        <v>44984</v>
      </c>
      <c r="C119" s="246" t="s">
        <v>1475</v>
      </c>
      <c r="D119" s="233" t="s">
        <v>367</v>
      </c>
      <c r="E119" s="233"/>
      <c r="F119" s="233" t="s">
        <v>368</v>
      </c>
      <c r="G119" s="233" t="s">
        <v>367</v>
      </c>
      <c r="H119" s="525" t="s">
        <v>367</v>
      </c>
      <c r="I119" s="606" t="s">
        <v>250</v>
      </c>
      <c r="J119" s="189"/>
      <c r="K119" s="189"/>
      <c r="L119" s="189"/>
      <c r="M119" s="189"/>
      <c r="N119" s="235" t="s">
        <v>1479</v>
      </c>
      <c r="O119" s="417">
        <v>0</v>
      </c>
      <c r="P119" s="90">
        <v>0</v>
      </c>
      <c r="Q119" s="90">
        <v>0</v>
      </c>
      <c r="R119" s="90">
        <v>0</v>
      </c>
      <c r="S119" s="90">
        <v>0</v>
      </c>
      <c r="T119" s="90">
        <v>0</v>
      </c>
      <c r="U119" s="90">
        <v>0</v>
      </c>
      <c r="V119" s="90">
        <v>0</v>
      </c>
      <c r="W119" s="90">
        <v>0</v>
      </c>
      <c r="X119" s="607">
        <v>7</v>
      </c>
      <c r="Y119" s="90">
        <v>0</v>
      </c>
      <c r="Z119" s="418">
        <v>0</v>
      </c>
      <c r="AA119" s="149">
        <f t="shared" si="3"/>
        <v>7</v>
      </c>
      <c r="AB119" s="608"/>
      <c r="AC119" s="609">
        <f t="shared" si="4"/>
        <v>7</v>
      </c>
      <c r="AD119" s="129"/>
      <c r="AE119" s="195" t="s">
        <v>531</v>
      </c>
      <c r="AF119" s="97" t="s">
        <v>44</v>
      </c>
      <c r="AG119" s="206"/>
      <c r="AH119" s="205"/>
      <c r="AI119" s="610"/>
      <c r="AJ119" s="585"/>
      <c r="AK119" s="207">
        <f t="shared" si="5"/>
        <v>7</v>
      </c>
      <c r="AL119" s="610"/>
      <c r="AM119" s="590"/>
      <c r="AN119" s="591"/>
      <c r="AO119" s="198"/>
    </row>
    <row r="120" spans="1:42" s="120" customFormat="1" ht="30.75" hidden="1" customHeight="1" x14ac:dyDescent="0.35">
      <c r="A120" s="244">
        <v>536</v>
      </c>
      <c r="B120" s="498">
        <v>44984</v>
      </c>
      <c r="C120" s="246" t="s">
        <v>1475</v>
      </c>
      <c r="D120" s="236" t="s">
        <v>807</v>
      </c>
      <c r="E120" s="236"/>
      <c r="F120" s="494" t="s">
        <v>1478</v>
      </c>
      <c r="G120" s="494" t="s">
        <v>807</v>
      </c>
      <c r="H120" s="526" t="s">
        <v>807</v>
      </c>
      <c r="I120" s="611" t="s">
        <v>250</v>
      </c>
      <c r="J120" s="209"/>
      <c r="K120" s="148"/>
      <c r="L120" s="97"/>
      <c r="M120" s="97"/>
      <c r="N120" s="235" t="s">
        <v>1479</v>
      </c>
      <c r="O120" s="417">
        <v>0</v>
      </c>
      <c r="P120" s="90">
        <v>0</v>
      </c>
      <c r="Q120" s="90">
        <v>0</v>
      </c>
      <c r="R120" s="90">
        <v>0</v>
      </c>
      <c r="S120" s="90">
        <v>0</v>
      </c>
      <c r="T120" s="90">
        <v>0</v>
      </c>
      <c r="U120" s="90">
        <v>0</v>
      </c>
      <c r="V120" s="90">
        <v>0</v>
      </c>
      <c r="W120" s="90">
        <v>0</v>
      </c>
      <c r="X120" s="607">
        <v>1</v>
      </c>
      <c r="Y120" s="90">
        <v>0</v>
      </c>
      <c r="Z120" s="418">
        <v>0</v>
      </c>
      <c r="AA120" s="149">
        <f t="shared" si="3"/>
        <v>1</v>
      </c>
      <c r="AB120" s="465"/>
      <c r="AC120" s="612">
        <f t="shared" si="4"/>
        <v>1</v>
      </c>
      <c r="AD120" s="129"/>
      <c r="AE120" s="195" t="s">
        <v>531</v>
      </c>
      <c r="AF120" s="97" t="s">
        <v>44</v>
      </c>
      <c r="AG120" s="206"/>
      <c r="AH120" s="195"/>
      <c r="AI120" s="467"/>
      <c r="AJ120" s="468"/>
      <c r="AK120" s="197">
        <f t="shared" si="5"/>
        <v>1</v>
      </c>
      <c r="AL120" s="467"/>
      <c r="AM120" s="469"/>
      <c r="AN120" s="470"/>
      <c r="AO120" s="198"/>
      <c r="AP120" s="308"/>
    </row>
    <row r="121" spans="1:42" s="309" customFormat="1" ht="30.75" hidden="1" customHeight="1" x14ac:dyDescent="0.35">
      <c r="A121" s="244">
        <v>537</v>
      </c>
      <c r="B121" s="498">
        <v>44984</v>
      </c>
      <c r="C121" s="254" t="s">
        <v>1475</v>
      </c>
      <c r="D121" s="233" t="s">
        <v>576</v>
      </c>
      <c r="E121" s="236"/>
      <c r="F121" s="233" t="s">
        <v>577</v>
      </c>
      <c r="G121" s="233" t="s">
        <v>576</v>
      </c>
      <c r="H121" s="525" t="s">
        <v>576</v>
      </c>
      <c r="I121" s="606" t="s">
        <v>250</v>
      </c>
      <c r="J121" s="189"/>
      <c r="K121" s="189"/>
      <c r="L121" s="189"/>
      <c r="M121" s="189"/>
      <c r="N121" s="235" t="s">
        <v>1479</v>
      </c>
      <c r="O121" s="417">
        <v>0</v>
      </c>
      <c r="P121" s="90">
        <v>0</v>
      </c>
      <c r="Q121" s="90">
        <v>0</v>
      </c>
      <c r="R121" s="90">
        <v>0</v>
      </c>
      <c r="S121" s="90">
        <v>0</v>
      </c>
      <c r="T121" s="90">
        <v>0</v>
      </c>
      <c r="U121" s="90">
        <v>0</v>
      </c>
      <c r="V121" s="90">
        <v>0</v>
      </c>
      <c r="W121" s="90">
        <v>0</v>
      </c>
      <c r="X121" s="607">
        <v>5</v>
      </c>
      <c r="Y121" s="90">
        <v>0</v>
      </c>
      <c r="Z121" s="418">
        <v>0</v>
      </c>
      <c r="AA121" s="149">
        <f t="shared" si="3"/>
        <v>5</v>
      </c>
      <c r="AB121" s="608"/>
      <c r="AC121" s="609">
        <f t="shared" si="4"/>
        <v>5</v>
      </c>
      <c r="AD121" s="188"/>
      <c r="AE121" s="205" t="s">
        <v>531</v>
      </c>
      <c r="AF121" s="189" t="s">
        <v>44</v>
      </c>
      <c r="AG121" s="206"/>
      <c r="AH121" s="205"/>
      <c r="AI121" s="610"/>
      <c r="AJ121" s="585"/>
      <c r="AK121" s="207">
        <f t="shared" si="5"/>
        <v>5</v>
      </c>
      <c r="AL121" s="610"/>
      <c r="AM121" s="590"/>
      <c r="AN121" s="591"/>
      <c r="AO121" s="198"/>
      <c r="AP121" s="308"/>
    </row>
    <row r="122" spans="1:42" s="309" customFormat="1" ht="30.75" hidden="1" customHeight="1" x14ac:dyDescent="0.35">
      <c r="A122" s="244">
        <v>538</v>
      </c>
      <c r="B122" s="498">
        <v>44984</v>
      </c>
      <c r="C122" s="254" t="s">
        <v>1475</v>
      </c>
      <c r="D122" s="233" t="s">
        <v>253</v>
      </c>
      <c r="E122" s="236"/>
      <c r="F122" s="233" t="s">
        <v>249</v>
      </c>
      <c r="G122" s="233" t="s">
        <v>253</v>
      </c>
      <c r="H122" s="525" t="s">
        <v>253</v>
      </c>
      <c r="I122" s="606" t="s">
        <v>250</v>
      </c>
      <c r="J122" s="189"/>
      <c r="K122" s="189"/>
      <c r="L122" s="189"/>
      <c r="M122" s="189"/>
      <c r="N122" s="235" t="s">
        <v>1479</v>
      </c>
      <c r="O122" s="417">
        <v>0</v>
      </c>
      <c r="P122" s="90">
        <v>0</v>
      </c>
      <c r="Q122" s="90">
        <v>0</v>
      </c>
      <c r="R122" s="90">
        <v>0</v>
      </c>
      <c r="S122" s="90">
        <v>0</v>
      </c>
      <c r="T122" s="90">
        <v>0</v>
      </c>
      <c r="U122" s="90">
        <v>0</v>
      </c>
      <c r="V122" s="90">
        <v>0</v>
      </c>
      <c r="W122" s="90">
        <v>0</v>
      </c>
      <c r="X122" s="607">
        <v>6</v>
      </c>
      <c r="Y122" s="90">
        <v>0</v>
      </c>
      <c r="Z122" s="418">
        <v>0</v>
      </c>
      <c r="AA122" s="149">
        <f t="shared" si="3"/>
        <v>6</v>
      </c>
      <c r="AB122" s="608"/>
      <c r="AC122" s="609">
        <f t="shared" si="4"/>
        <v>6</v>
      </c>
      <c r="AD122" s="188"/>
      <c r="AE122" s="205" t="s">
        <v>531</v>
      </c>
      <c r="AF122" s="189" t="s">
        <v>44</v>
      </c>
      <c r="AG122" s="206"/>
      <c r="AH122" s="205"/>
      <c r="AI122" s="610"/>
      <c r="AJ122" s="585"/>
      <c r="AK122" s="207">
        <f t="shared" si="5"/>
        <v>6</v>
      </c>
      <c r="AL122" s="610"/>
      <c r="AM122" s="590"/>
      <c r="AN122" s="591"/>
      <c r="AO122" s="198"/>
      <c r="AP122" s="308"/>
    </row>
    <row r="123" spans="1:42" s="309" customFormat="1" ht="30.75" hidden="1" customHeight="1" x14ac:dyDescent="0.35">
      <c r="A123" s="252">
        <v>96</v>
      </c>
      <c r="B123" s="297">
        <v>44903</v>
      </c>
      <c r="C123" s="306" t="s">
        <v>374</v>
      </c>
      <c r="D123" s="305" t="s">
        <v>326</v>
      </c>
      <c r="E123" s="400" t="s">
        <v>324</v>
      </c>
      <c r="F123" s="241" t="s">
        <v>327</v>
      </c>
      <c r="G123" s="206" t="s">
        <v>326</v>
      </c>
      <c r="H123" s="250" t="s">
        <v>326</v>
      </c>
      <c r="I123" s="251" t="s">
        <v>354</v>
      </c>
      <c r="J123" s="252" t="s">
        <v>251</v>
      </c>
      <c r="K123" s="297" t="s">
        <v>328</v>
      </c>
      <c r="L123" s="306" t="s">
        <v>328</v>
      </c>
      <c r="M123" s="189"/>
      <c r="N123" s="235" t="s">
        <v>71</v>
      </c>
      <c r="O123" s="343">
        <v>0</v>
      </c>
      <c r="P123" s="169">
        <f>0</f>
        <v>0</v>
      </c>
      <c r="Q123" s="169">
        <f>0</f>
        <v>0</v>
      </c>
      <c r="R123" s="169">
        <f>0</f>
        <v>0</v>
      </c>
      <c r="S123" s="169">
        <v>2</v>
      </c>
      <c r="T123" s="169">
        <f>0</f>
        <v>0</v>
      </c>
      <c r="U123" s="169">
        <f>0</f>
        <v>0</v>
      </c>
      <c r="V123" s="169">
        <f>0</f>
        <v>0</v>
      </c>
      <c r="W123" s="169">
        <f>0</f>
        <v>0</v>
      </c>
      <c r="X123" s="169">
        <f>0</f>
        <v>0</v>
      </c>
      <c r="Y123" s="169">
        <f>0</f>
        <v>0</v>
      </c>
      <c r="Z123" s="219">
        <f>0</f>
        <v>0</v>
      </c>
      <c r="AA123" s="128">
        <f t="shared" si="3"/>
        <v>2</v>
      </c>
      <c r="AB123" s="218">
        <v>2</v>
      </c>
      <c r="AC123" s="137">
        <f t="shared" si="4"/>
        <v>0</v>
      </c>
      <c r="AD123" s="188"/>
      <c r="AE123" s="114" t="s">
        <v>284</v>
      </c>
      <c r="AF123" s="189" t="s">
        <v>294</v>
      </c>
      <c r="AG123" s="206"/>
      <c r="AH123" s="205"/>
      <c r="AI123" s="101"/>
      <c r="AJ123" s="107" t="s">
        <v>297</v>
      </c>
      <c r="AK123" s="203" t="e">
        <f t="shared" si="5"/>
        <v>#VALUE!</v>
      </c>
      <c r="AL123" s="106" t="s">
        <v>1296</v>
      </c>
      <c r="AM123" s="58"/>
      <c r="AN123" s="108"/>
      <c r="AO123" s="202"/>
    </row>
    <row r="124" spans="1:42" s="309" customFormat="1" ht="30.75" hidden="1" customHeight="1" x14ac:dyDescent="0.35">
      <c r="A124" s="244">
        <v>97</v>
      </c>
      <c r="B124" s="297">
        <v>44903</v>
      </c>
      <c r="C124" s="306" t="s">
        <v>374</v>
      </c>
      <c r="D124" s="305" t="s">
        <v>329</v>
      </c>
      <c r="E124" s="236" t="s">
        <v>330</v>
      </c>
      <c r="F124" s="241" t="s">
        <v>1366</v>
      </c>
      <c r="G124" s="206" t="s">
        <v>329</v>
      </c>
      <c r="H124" s="250" t="s">
        <v>329</v>
      </c>
      <c r="I124" s="251" t="s">
        <v>331</v>
      </c>
      <c r="J124" s="252" t="s">
        <v>251</v>
      </c>
      <c r="K124" s="297" t="s">
        <v>252</v>
      </c>
      <c r="L124" s="306" t="s">
        <v>252</v>
      </c>
      <c r="M124" s="189"/>
      <c r="N124" s="235" t="s">
        <v>71</v>
      </c>
      <c r="O124" s="343">
        <v>0</v>
      </c>
      <c r="P124" s="169">
        <f>0</f>
        <v>0</v>
      </c>
      <c r="Q124" s="169">
        <f>0</f>
        <v>0</v>
      </c>
      <c r="R124" s="169">
        <f>0</f>
        <v>0</v>
      </c>
      <c r="S124" s="169">
        <v>4</v>
      </c>
      <c r="T124" s="169">
        <f>0</f>
        <v>0</v>
      </c>
      <c r="U124" s="169">
        <f>0</f>
        <v>0</v>
      </c>
      <c r="V124" s="169">
        <f>0</f>
        <v>0</v>
      </c>
      <c r="W124" s="169">
        <f>0</f>
        <v>0</v>
      </c>
      <c r="X124" s="169">
        <f>0</f>
        <v>0</v>
      </c>
      <c r="Y124" s="169">
        <f>0</f>
        <v>0</v>
      </c>
      <c r="Z124" s="219">
        <f>0</f>
        <v>0</v>
      </c>
      <c r="AA124" s="149">
        <f t="shared" si="3"/>
        <v>4</v>
      </c>
      <c r="AB124" s="176">
        <v>2</v>
      </c>
      <c r="AC124" s="163">
        <f t="shared" si="4"/>
        <v>2</v>
      </c>
      <c r="AD124" s="188">
        <v>44965</v>
      </c>
      <c r="AE124" s="205" t="s">
        <v>284</v>
      </c>
      <c r="AF124" s="189" t="s">
        <v>1346</v>
      </c>
      <c r="AG124" s="206"/>
      <c r="AH124" s="204" t="s">
        <v>1509</v>
      </c>
      <c r="AI124" s="101"/>
      <c r="AJ124" s="102">
        <v>2</v>
      </c>
      <c r="AK124" s="207">
        <f t="shared" si="5"/>
        <v>0</v>
      </c>
      <c r="AL124" s="101" t="s">
        <v>1589</v>
      </c>
      <c r="AM124" s="96"/>
      <c r="AN124" s="103"/>
      <c r="AO124" s="198"/>
    </row>
    <row r="125" spans="1:42" s="311" customFormat="1" ht="30.75" hidden="1" customHeight="1" x14ac:dyDescent="0.35">
      <c r="A125" s="244">
        <v>100</v>
      </c>
      <c r="B125" s="297">
        <v>44903</v>
      </c>
      <c r="C125" s="306" t="s">
        <v>374</v>
      </c>
      <c r="D125" s="305" t="s">
        <v>336</v>
      </c>
      <c r="E125" s="400" t="s">
        <v>330</v>
      </c>
      <c r="F125" s="241" t="s">
        <v>1366</v>
      </c>
      <c r="G125" s="206" t="s">
        <v>336</v>
      </c>
      <c r="H125" s="250" t="s">
        <v>336</v>
      </c>
      <c r="I125" s="251" t="s">
        <v>331</v>
      </c>
      <c r="J125" s="252" t="s">
        <v>251</v>
      </c>
      <c r="K125" s="297" t="s">
        <v>252</v>
      </c>
      <c r="L125" s="306" t="s">
        <v>252</v>
      </c>
      <c r="M125" s="307"/>
      <c r="N125" s="235" t="s">
        <v>71</v>
      </c>
      <c r="O125" s="343">
        <v>0</v>
      </c>
      <c r="P125" s="169">
        <f>0</f>
        <v>0</v>
      </c>
      <c r="Q125" s="169">
        <f>0</f>
        <v>0</v>
      </c>
      <c r="R125" s="169">
        <f>0</f>
        <v>0</v>
      </c>
      <c r="S125" s="169">
        <v>4</v>
      </c>
      <c r="T125" s="169">
        <f>0</f>
        <v>0</v>
      </c>
      <c r="U125" s="169">
        <f>0</f>
        <v>0</v>
      </c>
      <c r="V125" s="169">
        <f>0</f>
        <v>0</v>
      </c>
      <c r="W125" s="169">
        <f>0</f>
        <v>0</v>
      </c>
      <c r="X125" s="169">
        <f>0</f>
        <v>0</v>
      </c>
      <c r="Y125" s="169">
        <f>0</f>
        <v>0</v>
      </c>
      <c r="Z125" s="219">
        <f>0</f>
        <v>0</v>
      </c>
      <c r="AA125" s="128">
        <f t="shared" si="3"/>
        <v>4</v>
      </c>
      <c r="AB125" s="218">
        <v>4</v>
      </c>
      <c r="AC125" s="137">
        <f t="shared" si="4"/>
        <v>0</v>
      </c>
      <c r="AD125" s="188"/>
      <c r="AE125" s="205" t="s">
        <v>239</v>
      </c>
      <c r="AF125" s="189" t="s">
        <v>294</v>
      </c>
      <c r="AG125" s="206"/>
      <c r="AH125" s="205"/>
      <c r="AI125" s="101"/>
      <c r="AJ125" s="102" t="s">
        <v>295</v>
      </c>
      <c r="AK125" s="207" t="e">
        <f t="shared" si="5"/>
        <v>#VALUE!</v>
      </c>
      <c r="AL125" s="101" t="s">
        <v>500</v>
      </c>
      <c r="AM125" s="96"/>
      <c r="AN125" s="103"/>
      <c r="AO125" s="198"/>
    </row>
    <row r="126" spans="1:42" s="311" customFormat="1" ht="30.75" hidden="1" customHeight="1" x14ac:dyDescent="0.35">
      <c r="A126" s="244">
        <v>134</v>
      </c>
      <c r="B126" s="297">
        <v>44903</v>
      </c>
      <c r="C126" s="306" t="s">
        <v>374</v>
      </c>
      <c r="D126" s="305" t="s">
        <v>1377</v>
      </c>
      <c r="E126" s="236" t="s">
        <v>324</v>
      </c>
      <c r="F126" s="241" t="s">
        <v>393</v>
      </c>
      <c r="G126" s="206" t="s">
        <v>1377</v>
      </c>
      <c r="H126" s="250" t="s">
        <v>1442</v>
      </c>
      <c r="I126" s="251" t="s">
        <v>331</v>
      </c>
      <c r="J126" s="252" t="s">
        <v>251</v>
      </c>
      <c r="K126" s="297"/>
      <c r="L126" s="306"/>
      <c r="M126" s="307"/>
      <c r="N126" s="235" t="s">
        <v>71</v>
      </c>
      <c r="O126" s="417">
        <v>0</v>
      </c>
      <c r="P126" s="90">
        <f>0</f>
        <v>0</v>
      </c>
      <c r="Q126" s="90">
        <f>0</f>
        <v>0</v>
      </c>
      <c r="R126" s="90">
        <f>0</f>
        <v>0</v>
      </c>
      <c r="S126" s="90">
        <v>2</v>
      </c>
      <c r="T126" s="90">
        <f>0</f>
        <v>0</v>
      </c>
      <c r="U126" s="90">
        <f>0</f>
        <v>0</v>
      </c>
      <c r="V126" s="90">
        <f>0</f>
        <v>0</v>
      </c>
      <c r="W126" s="90">
        <f>0</f>
        <v>0</v>
      </c>
      <c r="X126" s="90">
        <f>0</f>
        <v>0</v>
      </c>
      <c r="Y126" s="90">
        <f>0</f>
        <v>0</v>
      </c>
      <c r="Z126" s="418">
        <f>0</f>
        <v>0</v>
      </c>
      <c r="AA126" s="149">
        <f t="shared" si="3"/>
        <v>2</v>
      </c>
      <c r="AB126" s="176">
        <v>0</v>
      </c>
      <c r="AC126" s="163">
        <f t="shared" si="4"/>
        <v>2</v>
      </c>
      <c r="AD126" s="188"/>
      <c r="AE126" s="205" t="s">
        <v>284</v>
      </c>
      <c r="AF126" s="189" t="s">
        <v>1492</v>
      </c>
      <c r="AG126" s="206"/>
      <c r="AH126" s="205"/>
      <c r="AI126" s="101" t="s">
        <v>1448</v>
      </c>
      <c r="AJ126" s="102" t="s">
        <v>297</v>
      </c>
      <c r="AK126" s="207" t="e">
        <f t="shared" si="5"/>
        <v>#VALUE!</v>
      </c>
      <c r="AL126" s="101" t="s">
        <v>1493</v>
      </c>
      <c r="AM126" s="96"/>
      <c r="AN126" s="103"/>
      <c r="AO126" s="198"/>
    </row>
    <row r="127" spans="1:42" s="120" customFormat="1" ht="30.75" hidden="1" customHeight="1" x14ac:dyDescent="0.35">
      <c r="A127" s="252">
        <v>155</v>
      </c>
      <c r="B127" s="297">
        <v>44909</v>
      </c>
      <c r="C127" s="306" t="s">
        <v>374</v>
      </c>
      <c r="D127" s="305" t="s">
        <v>329</v>
      </c>
      <c r="E127" s="316" t="s">
        <v>330</v>
      </c>
      <c r="F127" s="312" t="s">
        <v>1388</v>
      </c>
      <c r="G127" s="229" t="s">
        <v>533</v>
      </c>
      <c r="H127" s="314" t="s">
        <v>533</v>
      </c>
      <c r="I127" s="315" t="s">
        <v>331</v>
      </c>
      <c r="J127" s="244" t="s">
        <v>251</v>
      </c>
      <c r="K127" s="297"/>
      <c r="L127" s="306"/>
      <c r="M127" s="307" t="s">
        <v>535</v>
      </c>
      <c r="N127" s="235" t="s">
        <v>71</v>
      </c>
      <c r="O127" s="343">
        <v>0</v>
      </c>
      <c r="P127" s="169">
        <f>0</f>
        <v>0</v>
      </c>
      <c r="Q127" s="169">
        <f>0</f>
        <v>0</v>
      </c>
      <c r="R127" s="169">
        <f>0</f>
        <v>0</v>
      </c>
      <c r="S127" s="169">
        <v>2</v>
      </c>
      <c r="T127" s="169">
        <f>0</f>
        <v>0</v>
      </c>
      <c r="U127" s="169">
        <f>0</f>
        <v>0</v>
      </c>
      <c r="V127" s="169">
        <f>0</f>
        <v>0</v>
      </c>
      <c r="W127" s="169">
        <f>0</f>
        <v>0</v>
      </c>
      <c r="X127" s="169">
        <f>0</f>
        <v>0</v>
      </c>
      <c r="Y127" s="169">
        <f>0</f>
        <v>0</v>
      </c>
      <c r="Z127" s="219">
        <f>0</f>
        <v>0</v>
      </c>
      <c r="AA127" s="128">
        <f t="shared" si="3"/>
        <v>2</v>
      </c>
      <c r="AB127" s="218">
        <v>2</v>
      </c>
      <c r="AC127" s="137">
        <f t="shared" si="4"/>
        <v>0</v>
      </c>
      <c r="AD127" s="188"/>
      <c r="AE127" s="205" t="s">
        <v>531</v>
      </c>
      <c r="AF127" s="189" t="s">
        <v>44</v>
      </c>
      <c r="AG127" s="206"/>
      <c r="AH127" s="205"/>
      <c r="AI127" s="101"/>
      <c r="AJ127" s="102"/>
      <c r="AK127" s="207">
        <f t="shared" si="5"/>
        <v>0</v>
      </c>
      <c r="AL127" s="101" t="s">
        <v>532</v>
      </c>
      <c r="AM127" s="96"/>
      <c r="AN127" s="103"/>
      <c r="AO127" s="198"/>
    </row>
    <row r="128" spans="1:42" s="120" customFormat="1" ht="30.75" hidden="1" customHeight="1" x14ac:dyDescent="0.35">
      <c r="A128" s="244">
        <v>168</v>
      </c>
      <c r="B128" s="253">
        <v>44914</v>
      </c>
      <c r="C128" s="306" t="s">
        <v>254</v>
      </c>
      <c r="D128" s="305" t="s">
        <v>574</v>
      </c>
      <c r="E128" s="237" t="s">
        <v>324</v>
      </c>
      <c r="F128" s="241" t="s">
        <v>575</v>
      </c>
      <c r="G128" s="206"/>
      <c r="H128" s="250">
        <v>562959</v>
      </c>
      <c r="I128" s="251" t="s">
        <v>331</v>
      </c>
      <c r="J128" s="97" t="s">
        <v>251</v>
      </c>
      <c r="K128" s="189" t="s">
        <v>252</v>
      </c>
      <c r="L128" s="189" t="s">
        <v>252</v>
      </c>
      <c r="M128" s="189" t="s">
        <v>252</v>
      </c>
      <c r="N128" s="235" t="s">
        <v>580</v>
      </c>
      <c r="O128" s="343">
        <v>0</v>
      </c>
      <c r="P128" s="169">
        <f>0</f>
        <v>0</v>
      </c>
      <c r="Q128" s="169">
        <v>2</v>
      </c>
      <c r="R128" s="169">
        <f>0</f>
        <v>0</v>
      </c>
      <c r="S128" s="169">
        <f>0</f>
        <v>0</v>
      </c>
      <c r="T128" s="169">
        <f>0</f>
        <v>0</v>
      </c>
      <c r="U128" s="169">
        <f>0</f>
        <v>0</v>
      </c>
      <c r="V128" s="169">
        <f>0</f>
        <v>0</v>
      </c>
      <c r="W128" s="169">
        <f>0</f>
        <v>0</v>
      </c>
      <c r="X128" s="169">
        <f>0</f>
        <v>0</v>
      </c>
      <c r="Y128" s="169">
        <f>0</f>
        <v>0</v>
      </c>
      <c r="Z128" s="219">
        <f>0</f>
        <v>0</v>
      </c>
      <c r="AA128" s="128">
        <f t="shared" si="3"/>
        <v>2</v>
      </c>
      <c r="AB128" s="218">
        <v>10</v>
      </c>
      <c r="AC128" s="137">
        <f t="shared" si="4"/>
        <v>-8</v>
      </c>
      <c r="AD128" s="188"/>
      <c r="AE128" s="205"/>
      <c r="AF128" s="148" t="s">
        <v>590</v>
      </c>
      <c r="AG128" s="206"/>
      <c r="AH128" s="205"/>
      <c r="AI128" s="101"/>
      <c r="AJ128" s="102">
        <v>10</v>
      </c>
      <c r="AK128" s="207">
        <f t="shared" si="5"/>
        <v>-18</v>
      </c>
      <c r="AL128" s="101" t="s">
        <v>593</v>
      </c>
      <c r="AM128" s="96"/>
      <c r="AN128" s="103"/>
      <c r="AO128" s="198"/>
    </row>
    <row r="129" spans="1:41" s="308" customFormat="1" ht="30.75" hidden="1" customHeight="1" x14ac:dyDescent="0.35">
      <c r="A129" s="244">
        <v>240</v>
      </c>
      <c r="B129" s="253">
        <v>44939</v>
      </c>
      <c r="C129" s="254" t="s">
        <v>308</v>
      </c>
      <c r="D129" s="233" t="s">
        <v>764</v>
      </c>
      <c r="E129" s="236">
        <v>0</v>
      </c>
      <c r="F129" s="241" t="s">
        <v>770</v>
      </c>
      <c r="G129" s="206"/>
      <c r="H129" s="250">
        <v>530029</v>
      </c>
      <c r="I129" s="251" t="s">
        <v>331</v>
      </c>
      <c r="J129" s="231" t="s">
        <v>251</v>
      </c>
      <c r="K129" s="229" t="s">
        <v>252</v>
      </c>
      <c r="L129" s="229" t="s">
        <v>252</v>
      </c>
      <c r="M129" s="229"/>
      <c r="N129" s="235" t="s">
        <v>777</v>
      </c>
      <c r="O129" s="343">
        <v>0</v>
      </c>
      <c r="P129" s="169">
        <f>0</f>
        <v>0</v>
      </c>
      <c r="Q129" s="169">
        <v>0</v>
      </c>
      <c r="R129" s="169">
        <f>0</f>
        <v>0</v>
      </c>
      <c r="S129" s="169">
        <v>0</v>
      </c>
      <c r="T129" s="169">
        <v>0</v>
      </c>
      <c r="U129" s="169">
        <v>0</v>
      </c>
      <c r="V129" s="169">
        <f>0</f>
        <v>0</v>
      </c>
      <c r="W129" s="169">
        <v>2</v>
      </c>
      <c r="X129" s="169">
        <f>0</f>
        <v>0</v>
      </c>
      <c r="Y129" s="169">
        <f>0</f>
        <v>0</v>
      </c>
      <c r="Z129" s="219">
        <f>0</f>
        <v>0</v>
      </c>
      <c r="AA129" s="128">
        <f t="shared" si="3"/>
        <v>2</v>
      </c>
      <c r="AB129" s="218">
        <v>2</v>
      </c>
      <c r="AC129" s="137">
        <f t="shared" si="4"/>
        <v>0</v>
      </c>
      <c r="AD129" s="188"/>
      <c r="AE129" s="205" t="s">
        <v>531</v>
      </c>
      <c r="AF129" s="189" t="s">
        <v>44</v>
      </c>
      <c r="AG129" s="206"/>
      <c r="AH129" s="205"/>
      <c r="AI129" s="101"/>
      <c r="AJ129" s="102" t="s">
        <v>501</v>
      </c>
      <c r="AK129" s="207" t="e">
        <f t="shared" si="5"/>
        <v>#VALUE!</v>
      </c>
      <c r="AL129" s="101" t="s">
        <v>858</v>
      </c>
      <c r="AM129" s="96"/>
      <c r="AN129" s="103"/>
      <c r="AO129" s="198"/>
    </row>
    <row r="130" spans="1:41" s="120" customFormat="1" ht="30.75" hidden="1" customHeight="1" x14ac:dyDescent="0.35">
      <c r="A130" s="244">
        <v>241</v>
      </c>
      <c r="B130" s="253">
        <v>44939</v>
      </c>
      <c r="C130" s="254" t="s">
        <v>308</v>
      </c>
      <c r="D130" s="233" t="s">
        <v>336</v>
      </c>
      <c r="E130" s="236" t="s">
        <v>330</v>
      </c>
      <c r="F130" s="241" t="s">
        <v>770</v>
      </c>
      <c r="G130" s="206"/>
      <c r="H130" s="250">
        <v>530030</v>
      </c>
      <c r="I130" s="251" t="s">
        <v>331</v>
      </c>
      <c r="J130" s="231" t="s">
        <v>251</v>
      </c>
      <c r="K130" s="229" t="s">
        <v>252</v>
      </c>
      <c r="L130" s="229" t="s">
        <v>252</v>
      </c>
      <c r="M130" s="229"/>
      <c r="N130" s="235" t="s">
        <v>777</v>
      </c>
      <c r="O130" s="343">
        <v>0</v>
      </c>
      <c r="P130" s="169">
        <f>0</f>
        <v>0</v>
      </c>
      <c r="Q130" s="169">
        <v>0</v>
      </c>
      <c r="R130" s="169">
        <f>0</f>
        <v>0</v>
      </c>
      <c r="S130" s="169">
        <v>0</v>
      </c>
      <c r="T130" s="169">
        <v>0</v>
      </c>
      <c r="U130" s="169">
        <v>0</v>
      </c>
      <c r="V130" s="169">
        <f>0</f>
        <v>0</v>
      </c>
      <c r="W130" s="169">
        <v>1</v>
      </c>
      <c r="X130" s="169">
        <f>0</f>
        <v>0</v>
      </c>
      <c r="Y130" s="169">
        <f>0</f>
        <v>0</v>
      </c>
      <c r="Z130" s="219">
        <f>0</f>
        <v>0</v>
      </c>
      <c r="AA130" s="128">
        <f t="shared" si="3"/>
        <v>1</v>
      </c>
      <c r="AB130" s="218">
        <v>1</v>
      </c>
      <c r="AC130" s="137">
        <f t="shared" si="4"/>
        <v>0</v>
      </c>
      <c r="AD130" s="188"/>
      <c r="AE130" s="205" t="s">
        <v>531</v>
      </c>
      <c r="AF130" s="148" t="s">
        <v>44</v>
      </c>
      <c r="AG130" s="206"/>
      <c r="AH130" s="205"/>
      <c r="AI130" s="101"/>
      <c r="AJ130" s="102" t="s">
        <v>501</v>
      </c>
      <c r="AK130" s="207" t="e">
        <f t="shared" si="5"/>
        <v>#VALUE!</v>
      </c>
      <c r="AL130" s="101" t="s">
        <v>858</v>
      </c>
      <c r="AM130" s="96"/>
      <c r="AN130" s="103"/>
      <c r="AO130" s="198"/>
    </row>
    <row r="131" spans="1:41" s="120" customFormat="1" ht="30.75" hidden="1" customHeight="1" x14ac:dyDescent="0.35">
      <c r="A131" s="252">
        <v>312</v>
      </c>
      <c r="B131" s="253">
        <v>44944</v>
      </c>
      <c r="C131" s="254" t="s">
        <v>308</v>
      </c>
      <c r="D131" s="233" t="s">
        <v>826</v>
      </c>
      <c r="E131" s="236" t="s">
        <v>330</v>
      </c>
      <c r="F131" s="241" t="s">
        <v>347</v>
      </c>
      <c r="G131" s="206" t="s">
        <v>832</v>
      </c>
      <c r="H131" s="250">
        <v>1453861</v>
      </c>
      <c r="I131" s="251" t="s">
        <v>331</v>
      </c>
      <c r="J131" s="97" t="s">
        <v>251</v>
      </c>
      <c r="K131" s="189" t="s">
        <v>252</v>
      </c>
      <c r="L131" s="189" t="s">
        <v>252</v>
      </c>
      <c r="M131" s="189"/>
      <c r="N131" s="235" t="s">
        <v>833</v>
      </c>
      <c r="O131" s="343">
        <f>0</f>
        <v>0</v>
      </c>
      <c r="P131" s="169">
        <f>0</f>
        <v>0</v>
      </c>
      <c r="Q131" s="169">
        <f>0</f>
        <v>0</v>
      </c>
      <c r="R131" s="169">
        <f>0</f>
        <v>0</v>
      </c>
      <c r="S131" s="169">
        <f>0</f>
        <v>0</v>
      </c>
      <c r="T131" s="169">
        <v>1</v>
      </c>
      <c r="U131" s="169">
        <f>0</f>
        <v>0</v>
      </c>
      <c r="V131" s="169">
        <f>0</f>
        <v>0</v>
      </c>
      <c r="W131" s="169">
        <f>0</f>
        <v>0</v>
      </c>
      <c r="X131" s="169">
        <f>0</f>
        <v>0</v>
      </c>
      <c r="Y131" s="169">
        <f>0</f>
        <v>0</v>
      </c>
      <c r="Z131" s="219">
        <f>0</f>
        <v>0</v>
      </c>
      <c r="AA131" s="149">
        <f t="shared" si="3"/>
        <v>1</v>
      </c>
      <c r="AB131" s="176"/>
      <c r="AC131" s="163">
        <f t="shared" si="4"/>
        <v>1</v>
      </c>
      <c r="AD131" s="188">
        <v>44965</v>
      </c>
      <c r="AE131" s="205" t="s">
        <v>284</v>
      </c>
      <c r="AF131" s="148" t="s">
        <v>1346</v>
      </c>
      <c r="AG131" s="206"/>
      <c r="AH131" s="204" t="s">
        <v>1509</v>
      </c>
      <c r="AI131" s="101"/>
      <c r="AJ131" s="102">
        <v>1</v>
      </c>
      <c r="AK131" s="207">
        <f t="shared" si="5"/>
        <v>0</v>
      </c>
      <c r="AL131" s="101" t="s">
        <v>1589</v>
      </c>
      <c r="AM131" s="96"/>
      <c r="AN131" s="103"/>
      <c r="AO131" s="198"/>
    </row>
    <row r="132" spans="1:41" s="120" customFormat="1" ht="30.75" hidden="1" customHeight="1" x14ac:dyDescent="0.35">
      <c r="A132" s="244">
        <v>313</v>
      </c>
      <c r="B132" s="253">
        <v>44944</v>
      </c>
      <c r="C132" s="254" t="s">
        <v>308</v>
      </c>
      <c r="D132" s="233" t="s">
        <v>764</v>
      </c>
      <c r="E132" s="236">
        <v>0</v>
      </c>
      <c r="F132" s="241" t="s">
        <v>770</v>
      </c>
      <c r="G132" s="206" t="s">
        <v>764</v>
      </c>
      <c r="H132" s="250">
        <v>530029</v>
      </c>
      <c r="I132" s="251" t="s">
        <v>331</v>
      </c>
      <c r="J132" s="97" t="s">
        <v>251</v>
      </c>
      <c r="K132" s="189" t="s">
        <v>252</v>
      </c>
      <c r="L132" s="189" t="s">
        <v>252</v>
      </c>
      <c r="M132" s="189"/>
      <c r="N132" s="235" t="s">
        <v>833</v>
      </c>
      <c r="O132" s="343">
        <f>0</f>
        <v>0</v>
      </c>
      <c r="P132" s="169">
        <f>0</f>
        <v>0</v>
      </c>
      <c r="Q132" s="169">
        <f>0</f>
        <v>0</v>
      </c>
      <c r="R132" s="169">
        <f>0</f>
        <v>0</v>
      </c>
      <c r="S132" s="169">
        <f>0</f>
        <v>0</v>
      </c>
      <c r="T132" s="169">
        <v>1</v>
      </c>
      <c r="U132" s="169">
        <f>0</f>
        <v>0</v>
      </c>
      <c r="V132" s="169">
        <f>0</f>
        <v>0</v>
      </c>
      <c r="W132" s="169">
        <f>0</f>
        <v>0</v>
      </c>
      <c r="X132" s="169">
        <f>0</f>
        <v>0</v>
      </c>
      <c r="Y132" s="169">
        <f>0</f>
        <v>0</v>
      </c>
      <c r="Z132" s="219">
        <f>0</f>
        <v>0</v>
      </c>
      <c r="AA132" s="149">
        <f t="shared" si="3"/>
        <v>1</v>
      </c>
      <c r="AB132" s="176">
        <v>1</v>
      </c>
      <c r="AC132" s="163">
        <f t="shared" si="4"/>
        <v>0</v>
      </c>
      <c r="AD132" s="188"/>
      <c r="AE132" s="205" t="s">
        <v>531</v>
      </c>
      <c r="AF132" s="148" t="s">
        <v>44</v>
      </c>
      <c r="AG132" s="206"/>
      <c r="AH132" s="205"/>
      <c r="AI132" s="101"/>
      <c r="AJ132" s="102"/>
      <c r="AK132" s="207">
        <f t="shared" si="5"/>
        <v>0</v>
      </c>
      <c r="AL132" s="101" t="s">
        <v>858</v>
      </c>
      <c r="AM132" s="96"/>
      <c r="AN132" s="103"/>
      <c r="AO132" s="198"/>
    </row>
    <row r="133" spans="1:41" s="120" customFormat="1" ht="30.75" hidden="1" customHeight="1" x14ac:dyDescent="0.35">
      <c r="A133" s="244">
        <v>343</v>
      </c>
      <c r="B133" s="253">
        <v>44945</v>
      </c>
      <c r="C133" s="254" t="s">
        <v>863</v>
      </c>
      <c r="D133" s="233" t="s">
        <v>886</v>
      </c>
      <c r="E133" s="236" t="s">
        <v>330</v>
      </c>
      <c r="F133" s="241" t="s">
        <v>949</v>
      </c>
      <c r="G133" s="189" t="s">
        <v>887</v>
      </c>
      <c r="H133" s="243">
        <v>34571</v>
      </c>
      <c r="I133" s="536" t="s">
        <v>331</v>
      </c>
      <c r="J133" s="97" t="s">
        <v>251</v>
      </c>
      <c r="K133" s="189" t="s">
        <v>252</v>
      </c>
      <c r="L133" s="189" t="s">
        <v>252</v>
      </c>
      <c r="M133" s="189"/>
      <c r="N133" s="235" t="s">
        <v>950</v>
      </c>
      <c r="O133" s="343">
        <v>0</v>
      </c>
      <c r="P133" s="169">
        <v>2</v>
      </c>
      <c r="Q133" s="169">
        <v>0</v>
      </c>
      <c r="R133" s="169">
        <v>0</v>
      </c>
      <c r="S133" s="169">
        <v>0</v>
      </c>
      <c r="T133" s="169">
        <v>0</v>
      </c>
      <c r="U133" s="169">
        <v>0</v>
      </c>
      <c r="V133" s="169">
        <f>0</f>
        <v>0</v>
      </c>
      <c r="W133" s="169">
        <v>0</v>
      </c>
      <c r="X133" s="169">
        <f>0</f>
        <v>0</v>
      </c>
      <c r="Y133" s="169">
        <f>0</f>
        <v>0</v>
      </c>
      <c r="Z133" s="219">
        <f>0</f>
        <v>0</v>
      </c>
      <c r="AA133" s="149">
        <f t="shared" si="3"/>
        <v>2</v>
      </c>
      <c r="AB133" s="176"/>
      <c r="AC133" s="163">
        <f t="shared" si="4"/>
        <v>2</v>
      </c>
      <c r="AD133" s="188">
        <v>44965</v>
      </c>
      <c r="AE133" s="205" t="s">
        <v>284</v>
      </c>
      <c r="AF133" s="148" t="s">
        <v>1346</v>
      </c>
      <c r="AG133" s="206"/>
      <c r="AH133" s="204" t="s">
        <v>1509</v>
      </c>
      <c r="AI133" s="101"/>
      <c r="AJ133" s="102">
        <v>2</v>
      </c>
      <c r="AK133" s="207">
        <f t="shared" si="5"/>
        <v>0</v>
      </c>
      <c r="AL133" s="101" t="s">
        <v>1589</v>
      </c>
      <c r="AM133" s="96"/>
      <c r="AN133" s="103"/>
      <c r="AO133" s="198"/>
    </row>
    <row r="134" spans="1:41" s="120" customFormat="1" ht="30.75" hidden="1" customHeight="1" x14ac:dyDescent="0.35">
      <c r="A134" s="244">
        <v>501</v>
      </c>
      <c r="B134" s="253">
        <v>44955</v>
      </c>
      <c r="C134" s="254" t="s">
        <v>254</v>
      </c>
      <c r="D134" s="233" t="s">
        <v>764</v>
      </c>
      <c r="E134" s="236" t="s">
        <v>330</v>
      </c>
      <c r="F134" s="241" t="s">
        <v>1268</v>
      </c>
      <c r="G134" s="206">
        <v>530029</v>
      </c>
      <c r="H134" s="250">
        <v>530029</v>
      </c>
      <c r="I134" s="251" t="s">
        <v>331</v>
      </c>
      <c r="J134" s="97" t="s">
        <v>251</v>
      </c>
      <c r="K134" s="189" t="s">
        <v>252</v>
      </c>
      <c r="L134" s="189" t="s">
        <v>252</v>
      </c>
      <c r="M134" s="189" t="s">
        <v>1269</v>
      </c>
      <c r="N134" s="235" t="s">
        <v>706</v>
      </c>
      <c r="O134" s="343">
        <v>1</v>
      </c>
      <c r="P134" s="169">
        <v>0</v>
      </c>
      <c r="Q134" s="169">
        <v>4</v>
      </c>
      <c r="R134" s="169">
        <v>0</v>
      </c>
      <c r="S134" s="169">
        <v>0</v>
      </c>
      <c r="T134" s="169">
        <v>4</v>
      </c>
      <c r="U134" s="169">
        <v>4</v>
      </c>
      <c r="V134" s="169">
        <v>0</v>
      </c>
      <c r="W134" s="169">
        <v>0</v>
      </c>
      <c r="X134" s="169">
        <v>0</v>
      </c>
      <c r="Y134" s="169">
        <v>0</v>
      </c>
      <c r="Z134" s="219">
        <v>0</v>
      </c>
      <c r="AA134" s="149">
        <f t="shared" si="3"/>
        <v>13</v>
      </c>
      <c r="AB134" s="176"/>
      <c r="AC134" s="163">
        <f t="shared" si="4"/>
        <v>13</v>
      </c>
      <c r="AD134" s="188">
        <v>44965</v>
      </c>
      <c r="AE134" s="205" t="s">
        <v>284</v>
      </c>
      <c r="AF134" s="189" t="s">
        <v>1346</v>
      </c>
      <c r="AG134" s="206"/>
      <c r="AH134" s="204" t="s">
        <v>1509</v>
      </c>
      <c r="AI134" s="101"/>
      <c r="AJ134" s="102">
        <v>13</v>
      </c>
      <c r="AK134" s="207">
        <f t="shared" si="5"/>
        <v>0</v>
      </c>
      <c r="AL134" s="101" t="s">
        <v>1589</v>
      </c>
      <c r="AM134" s="96"/>
      <c r="AN134" s="103"/>
      <c r="AO134" s="198"/>
    </row>
    <row r="135" spans="1:41" s="120" customFormat="1" ht="30.75" hidden="1" customHeight="1" x14ac:dyDescent="0.35">
      <c r="A135" s="252">
        <v>507</v>
      </c>
      <c r="B135" s="253">
        <v>44955</v>
      </c>
      <c r="C135" s="254" t="s">
        <v>254</v>
      </c>
      <c r="D135" s="233" t="s">
        <v>336</v>
      </c>
      <c r="E135" s="236" t="s">
        <v>330</v>
      </c>
      <c r="F135" s="241" t="s">
        <v>1268</v>
      </c>
      <c r="G135" s="206" t="s">
        <v>336</v>
      </c>
      <c r="H135" s="250">
        <v>530030</v>
      </c>
      <c r="I135" s="251" t="s">
        <v>331</v>
      </c>
      <c r="J135" s="97" t="s">
        <v>251</v>
      </c>
      <c r="K135" s="189" t="s">
        <v>252</v>
      </c>
      <c r="L135" s="189" t="s">
        <v>252</v>
      </c>
      <c r="M135" s="189" t="s">
        <v>1271</v>
      </c>
      <c r="N135" s="235" t="s">
        <v>706</v>
      </c>
      <c r="O135" s="343">
        <v>0</v>
      </c>
      <c r="P135" s="169">
        <v>0</v>
      </c>
      <c r="Q135" s="169">
        <v>0</v>
      </c>
      <c r="R135" s="169">
        <v>4</v>
      </c>
      <c r="S135" s="169">
        <v>4</v>
      </c>
      <c r="T135" s="169">
        <v>0</v>
      </c>
      <c r="U135" s="169">
        <v>0</v>
      </c>
      <c r="V135" s="169">
        <v>0</v>
      </c>
      <c r="W135" s="169">
        <v>0</v>
      </c>
      <c r="X135" s="169">
        <v>0</v>
      </c>
      <c r="Y135" s="169">
        <v>0</v>
      </c>
      <c r="Z135" s="219">
        <v>0</v>
      </c>
      <c r="AA135" s="128">
        <f t="shared" ref="AA135:AA198" si="6">SUM(O135:Z135)</f>
        <v>8</v>
      </c>
      <c r="AB135" s="218">
        <v>8</v>
      </c>
      <c r="AC135" s="137">
        <f t="shared" ref="AC135:AC198" si="7">AA135-AB135</f>
        <v>0</v>
      </c>
      <c r="AD135" s="188">
        <v>44952</v>
      </c>
      <c r="AE135" s="205" t="s">
        <v>531</v>
      </c>
      <c r="AF135" s="189" t="s">
        <v>44</v>
      </c>
      <c r="AG135" s="206"/>
      <c r="AH135" s="205"/>
      <c r="AI135" s="101"/>
      <c r="AJ135" s="102" t="s">
        <v>501</v>
      </c>
      <c r="AK135" s="207" t="e">
        <f t="shared" ref="AK135:AK198" si="8">AC135-AJ135</f>
        <v>#VALUE!</v>
      </c>
      <c r="AL135" s="101" t="s">
        <v>1260</v>
      </c>
      <c r="AM135" s="96"/>
      <c r="AN135" s="103"/>
      <c r="AO135" s="198"/>
    </row>
    <row r="136" spans="1:41" s="308" customFormat="1" ht="30.75" hidden="1" customHeight="1" x14ac:dyDescent="0.35">
      <c r="A136" s="244">
        <v>524</v>
      </c>
      <c r="B136" s="500">
        <v>44971</v>
      </c>
      <c r="C136" s="501" t="s">
        <v>254</v>
      </c>
      <c r="D136" s="233" t="s">
        <v>329</v>
      </c>
      <c r="E136" s="237" t="s">
        <v>330</v>
      </c>
      <c r="F136" s="241" t="s">
        <v>770</v>
      </c>
      <c r="G136" s="233" t="s">
        <v>329</v>
      </c>
      <c r="H136" s="250">
        <v>530029</v>
      </c>
      <c r="I136" s="251" t="s">
        <v>331</v>
      </c>
      <c r="J136" s="97" t="s">
        <v>251</v>
      </c>
      <c r="K136" s="189" t="s">
        <v>252</v>
      </c>
      <c r="L136" s="189" t="s">
        <v>252</v>
      </c>
      <c r="M136" s="189" t="s">
        <v>1424</v>
      </c>
      <c r="N136" s="235" t="s">
        <v>71</v>
      </c>
      <c r="O136" s="417">
        <v>0</v>
      </c>
      <c r="P136" s="90">
        <v>0</v>
      </c>
      <c r="Q136" s="90">
        <v>0</v>
      </c>
      <c r="R136" s="90">
        <v>2</v>
      </c>
      <c r="S136" s="90">
        <v>0</v>
      </c>
      <c r="T136" s="90">
        <v>0</v>
      </c>
      <c r="U136" s="90">
        <v>0</v>
      </c>
      <c r="V136" s="90">
        <v>0</v>
      </c>
      <c r="W136" s="90">
        <v>0</v>
      </c>
      <c r="X136" s="90">
        <v>0</v>
      </c>
      <c r="Y136" s="90">
        <v>0</v>
      </c>
      <c r="Z136" s="418">
        <v>0</v>
      </c>
      <c r="AA136" s="149">
        <f t="shared" si="6"/>
        <v>2</v>
      </c>
      <c r="AB136" s="573"/>
      <c r="AC136" s="577">
        <f t="shared" si="7"/>
        <v>2</v>
      </c>
      <c r="AD136" s="188">
        <v>44965</v>
      </c>
      <c r="AE136" s="205" t="s">
        <v>284</v>
      </c>
      <c r="AF136" s="189" t="s">
        <v>1346</v>
      </c>
      <c r="AG136" s="206"/>
      <c r="AH136" s="205" t="s">
        <v>1509</v>
      </c>
      <c r="AI136" s="101"/>
      <c r="AJ136" s="586">
        <v>2</v>
      </c>
      <c r="AK136" s="207">
        <f t="shared" si="8"/>
        <v>0</v>
      </c>
      <c r="AL136" s="101" t="s">
        <v>1589</v>
      </c>
      <c r="AM136" s="395"/>
      <c r="AN136" s="396"/>
      <c r="AO136" s="198"/>
    </row>
    <row r="137" spans="1:41" s="120" customFormat="1" ht="30.75" hidden="1" customHeight="1" x14ac:dyDescent="0.35">
      <c r="A137" s="244">
        <v>525</v>
      </c>
      <c r="B137" s="500">
        <v>44971</v>
      </c>
      <c r="C137" s="501" t="s">
        <v>254</v>
      </c>
      <c r="D137" s="233" t="s">
        <v>380</v>
      </c>
      <c r="E137" s="236" t="s">
        <v>330</v>
      </c>
      <c r="F137" s="241" t="s">
        <v>566</v>
      </c>
      <c r="G137" s="233" t="s">
        <v>380</v>
      </c>
      <c r="H137" s="250">
        <v>197577</v>
      </c>
      <c r="I137" s="251" t="s">
        <v>331</v>
      </c>
      <c r="J137" s="97" t="s">
        <v>251</v>
      </c>
      <c r="K137" s="189" t="s">
        <v>252</v>
      </c>
      <c r="L137" s="189" t="s">
        <v>252</v>
      </c>
      <c r="M137" s="189" t="s">
        <v>1424</v>
      </c>
      <c r="N137" s="235" t="s">
        <v>252</v>
      </c>
      <c r="O137" s="343">
        <v>0</v>
      </c>
      <c r="P137" s="169">
        <v>0</v>
      </c>
      <c r="Q137" s="169">
        <v>0</v>
      </c>
      <c r="R137" s="169">
        <v>4</v>
      </c>
      <c r="S137" s="169">
        <v>0</v>
      </c>
      <c r="T137" s="169">
        <v>0</v>
      </c>
      <c r="U137" s="169">
        <v>0</v>
      </c>
      <c r="V137" s="169">
        <v>0</v>
      </c>
      <c r="W137" s="169">
        <v>0</v>
      </c>
      <c r="X137" s="169">
        <v>0</v>
      </c>
      <c r="Y137" s="169">
        <v>0</v>
      </c>
      <c r="Z137" s="219">
        <v>0</v>
      </c>
      <c r="AA137" s="149">
        <f t="shared" si="6"/>
        <v>4</v>
      </c>
      <c r="AB137" s="573">
        <v>4</v>
      </c>
      <c r="AC137" s="577">
        <f t="shared" si="7"/>
        <v>0</v>
      </c>
      <c r="AD137" s="188"/>
      <c r="AE137" s="205" t="s">
        <v>531</v>
      </c>
      <c r="AF137" s="189" t="s">
        <v>44</v>
      </c>
      <c r="AG137" s="206"/>
      <c r="AH137" s="205"/>
      <c r="AI137" s="394"/>
      <c r="AJ137" s="102" t="s">
        <v>501</v>
      </c>
      <c r="AK137" s="207" t="e">
        <f t="shared" si="8"/>
        <v>#VALUE!</v>
      </c>
      <c r="AL137" s="101" t="s">
        <v>1434</v>
      </c>
      <c r="AM137" s="395"/>
      <c r="AN137" s="396"/>
      <c r="AO137" s="198"/>
    </row>
    <row r="138" spans="1:41" s="308" customFormat="1" ht="30.75" hidden="1" customHeight="1" x14ac:dyDescent="0.35">
      <c r="A138" s="244">
        <v>101</v>
      </c>
      <c r="B138" s="297">
        <v>44903</v>
      </c>
      <c r="C138" s="306" t="s">
        <v>374</v>
      </c>
      <c r="D138" s="305" t="s">
        <v>1369</v>
      </c>
      <c r="E138" s="236" t="s">
        <v>324</v>
      </c>
      <c r="F138" s="241" t="s">
        <v>1370</v>
      </c>
      <c r="G138" s="189" t="s">
        <v>1369</v>
      </c>
      <c r="H138" s="250" t="s">
        <v>1369</v>
      </c>
      <c r="I138" s="251" t="s">
        <v>356</v>
      </c>
      <c r="J138" s="244" t="s">
        <v>251</v>
      </c>
      <c r="K138" s="297" t="s">
        <v>252</v>
      </c>
      <c r="L138" s="306" t="s">
        <v>252</v>
      </c>
      <c r="M138" s="307" t="s">
        <v>358</v>
      </c>
      <c r="N138" s="235" t="s">
        <v>71</v>
      </c>
      <c r="O138" s="343">
        <v>0</v>
      </c>
      <c r="P138" s="169">
        <f>0</f>
        <v>0</v>
      </c>
      <c r="Q138" s="169">
        <f>0</f>
        <v>0</v>
      </c>
      <c r="R138" s="169">
        <f>0</f>
        <v>0</v>
      </c>
      <c r="S138" s="169">
        <v>12</v>
      </c>
      <c r="T138" s="169">
        <f>0</f>
        <v>0</v>
      </c>
      <c r="U138" s="169">
        <f>0</f>
        <v>0</v>
      </c>
      <c r="V138" s="169">
        <f>0</f>
        <v>0</v>
      </c>
      <c r="W138" s="169">
        <f>0</f>
        <v>0</v>
      </c>
      <c r="X138" s="169">
        <f>0</f>
        <v>0</v>
      </c>
      <c r="Y138" s="169">
        <f>0</f>
        <v>0</v>
      </c>
      <c r="Z138" s="219">
        <f>0</f>
        <v>0</v>
      </c>
      <c r="AA138" s="128">
        <f t="shared" si="6"/>
        <v>12</v>
      </c>
      <c r="AB138" s="218">
        <v>12</v>
      </c>
      <c r="AC138" s="137">
        <f t="shared" si="7"/>
        <v>0</v>
      </c>
      <c r="AD138" s="188"/>
      <c r="AE138" s="205" t="s">
        <v>239</v>
      </c>
      <c r="AF138" s="189" t="s">
        <v>590</v>
      </c>
      <c r="AG138" s="206"/>
      <c r="AH138" s="205"/>
      <c r="AI138" s="101"/>
      <c r="AJ138" s="102">
        <v>12</v>
      </c>
      <c r="AK138" s="207">
        <f t="shared" si="8"/>
        <v>-12</v>
      </c>
      <c r="AL138" s="101" t="s">
        <v>591</v>
      </c>
      <c r="AM138" s="96"/>
      <c r="AN138" s="103"/>
      <c r="AO138" s="198"/>
    </row>
    <row r="139" spans="1:41" s="308" customFormat="1" ht="30.75" hidden="1" customHeight="1" x14ac:dyDescent="0.35">
      <c r="A139" s="252">
        <v>102</v>
      </c>
      <c r="B139" s="297">
        <v>44903</v>
      </c>
      <c r="C139" s="306" t="s">
        <v>374</v>
      </c>
      <c r="D139" s="305" t="s">
        <v>1371</v>
      </c>
      <c r="E139" s="400">
        <v>0</v>
      </c>
      <c r="F139" s="241" t="s">
        <v>1372</v>
      </c>
      <c r="G139" s="189" t="s">
        <v>1371</v>
      </c>
      <c r="H139" s="250" t="s">
        <v>1371</v>
      </c>
      <c r="I139" s="251" t="s">
        <v>356</v>
      </c>
      <c r="J139" s="244" t="s">
        <v>251</v>
      </c>
      <c r="K139" s="297" t="s">
        <v>252</v>
      </c>
      <c r="L139" s="306" t="s">
        <v>252</v>
      </c>
      <c r="M139" s="307" t="s">
        <v>358</v>
      </c>
      <c r="N139" s="235" t="s">
        <v>71</v>
      </c>
      <c r="O139" s="343">
        <v>0</v>
      </c>
      <c r="P139" s="169">
        <f>0</f>
        <v>0</v>
      </c>
      <c r="Q139" s="169">
        <f>0</f>
        <v>0</v>
      </c>
      <c r="R139" s="169">
        <f>0</f>
        <v>0</v>
      </c>
      <c r="S139" s="169">
        <v>2</v>
      </c>
      <c r="T139" s="169">
        <f>0</f>
        <v>0</v>
      </c>
      <c r="U139" s="169">
        <f>0</f>
        <v>0</v>
      </c>
      <c r="V139" s="169">
        <f>0</f>
        <v>0</v>
      </c>
      <c r="W139" s="169">
        <f>0</f>
        <v>0</v>
      </c>
      <c r="X139" s="169">
        <f>0</f>
        <v>0</v>
      </c>
      <c r="Y139" s="169">
        <f>0</f>
        <v>0</v>
      </c>
      <c r="Z139" s="219">
        <f>0</f>
        <v>0</v>
      </c>
      <c r="AA139" s="128">
        <f t="shared" si="6"/>
        <v>2</v>
      </c>
      <c r="AB139" s="218">
        <v>2</v>
      </c>
      <c r="AC139" s="137">
        <f t="shared" si="7"/>
        <v>0</v>
      </c>
      <c r="AD139" s="188"/>
      <c r="AE139" s="205" t="s">
        <v>239</v>
      </c>
      <c r="AF139" s="189" t="s">
        <v>590</v>
      </c>
      <c r="AG139" s="206"/>
      <c r="AH139" s="205"/>
      <c r="AI139" s="101"/>
      <c r="AJ139" s="102">
        <v>2</v>
      </c>
      <c r="AK139" s="207">
        <f t="shared" si="8"/>
        <v>-2</v>
      </c>
      <c r="AL139" s="101" t="s">
        <v>593</v>
      </c>
      <c r="AM139" s="96"/>
      <c r="AN139" s="103"/>
      <c r="AO139" s="198"/>
    </row>
    <row r="140" spans="1:41" s="308" customFormat="1" ht="30.75" hidden="1" customHeight="1" x14ac:dyDescent="0.35">
      <c r="A140" s="244">
        <v>127</v>
      </c>
      <c r="B140" s="297">
        <v>44903</v>
      </c>
      <c r="C140" s="306" t="s">
        <v>374</v>
      </c>
      <c r="D140" s="305" t="s">
        <v>380</v>
      </c>
      <c r="E140" s="236" t="s">
        <v>330</v>
      </c>
      <c r="F140" s="241" t="s">
        <v>1370</v>
      </c>
      <c r="G140" s="206" t="s">
        <v>380</v>
      </c>
      <c r="H140" s="250" t="s">
        <v>380</v>
      </c>
      <c r="I140" s="251" t="s">
        <v>356</v>
      </c>
      <c r="J140" s="244" t="s">
        <v>251</v>
      </c>
      <c r="K140" s="297"/>
      <c r="L140" s="306"/>
      <c r="M140" s="307" t="s">
        <v>358</v>
      </c>
      <c r="N140" s="235" t="s">
        <v>71</v>
      </c>
      <c r="O140" s="343">
        <v>0</v>
      </c>
      <c r="P140" s="169">
        <f>0</f>
        <v>0</v>
      </c>
      <c r="Q140" s="169">
        <f>0</f>
        <v>0</v>
      </c>
      <c r="R140" s="169">
        <f>0</f>
        <v>0</v>
      </c>
      <c r="S140" s="169">
        <v>2</v>
      </c>
      <c r="T140" s="169">
        <f>0</f>
        <v>0</v>
      </c>
      <c r="U140" s="169">
        <f>0</f>
        <v>0</v>
      </c>
      <c r="V140" s="169">
        <f>0</f>
        <v>0</v>
      </c>
      <c r="W140" s="169">
        <f>0</f>
        <v>0</v>
      </c>
      <c r="X140" s="169">
        <f>0</f>
        <v>0</v>
      </c>
      <c r="Y140" s="169">
        <f>0</f>
        <v>0</v>
      </c>
      <c r="Z140" s="219">
        <f>0</f>
        <v>0</v>
      </c>
      <c r="AA140" s="128">
        <f t="shared" si="6"/>
        <v>2</v>
      </c>
      <c r="AB140" s="218">
        <v>2</v>
      </c>
      <c r="AC140" s="137">
        <f t="shared" si="7"/>
        <v>0</v>
      </c>
      <c r="AD140" s="188"/>
      <c r="AE140" s="205" t="s">
        <v>239</v>
      </c>
      <c r="AF140" s="189" t="s">
        <v>294</v>
      </c>
      <c r="AG140" s="206"/>
      <c r="AH140" s="205"/>
      <c r="AI140" s="101"/>
      <c r="AJ140" s="102" t="s">
        <v>297</v>
      </c>
      <c r="AK140" s="207" t="e">
        <f t="shared" si="8"/>
        <v>#VALUE!</v>
      </c>
      <c r="AL140" s="101" t="s">
        <v>500</v>
      </c>
      <c r="AM140" s="96"/>
      <c r="AN140" s="103"/>
      <c r="AO140" s="198"/>
    </row>
    <row r="141" spans="1:41" s="120" customFormat="1" ht="30.75" hidden="1" customHeight="1" x14ac:dyDescent="0.35">
      <c r="A141" s="244">
        <v>139</v>
      </c>
      <c r="B141" s="297">
        <v>44903</v>
      </c>
      <c r="C141" s="306" t="s">
        <v>374</v>
      </c>
      <c r="D141" s="305" t="s">
        <v>1380</v>
      </c>
      <c r="E141" s="236" t="s">
        <v>330</v>
      </c>
      <c r="F141" s="241" t="s">
        <v>1370</v>
      </c>
      <c r="G141" s="206" t="s">
        <v>1380</v>
      </c>
      <c r="H141" s="250" t="s">
        <v>1380</v>
      </c>
      <c r="I141" s="251" t="s">
        <v>392</v>
      </c>
      <c r="J141" s="244" t="s">
        <v>251</v>
      </c>
      <c r="K141" s="297"/>
      <c r="L141" s="306"/>
      <c r="M141" s="307" t="s">
        <v>358</v>
      </c>
      <c r="N141" s="235" t="s">
        <v>71</v>
      </c>
      <c r="O141" s="343">
        <v>0</v>
      </c>
      <c r="P141" s="169">
        <f>0</f>
        <v>0</v>
      </c>
      <c r="Q141" s="169">
        <f>0</f>
        <v>0</v>
      </c>
      <c r="R141" s="169">
        <f>0</f>
        <v>0</v>
      </c>
      <c r="S141" s="169">
        <v>4</v>
      </c>
      <c r="T141" s="169">
        <f>0</f>
        <v>0</v>
      </c>
      <c r="U141" s="169">
        <f>0</f>
        <v>0</v>
      </c>
      <c r="V141" s="169">
        <f>0</f>
        <v>0</v>
      </c>
      <c r="W141" s="169">
        <f>0</f>
        <v>0</v>
      </c>
      <c r="X141" s="169">
        <f>0</f>
        <v>0</v>
      </c>
      <c r="Y141" s="169">
        <f>0</f>
        <v>0</v>
      </c>
      <c r="Z141" s="219">
        <f>0</f>
        <v>0</v>
      </c>
      <c r="AA141" s="128">
        <f t="shared" si="6"/>
        <v>4</v>
      </c>
      <c r="AB141" s="218">
        <v>4</v>
      </c>
      <c r="AC141" s="137">
        <f t="shared" si="7"/>
        <v>0</v>
      </c>
      <c r="AD141" s="188"/>
      <c r="AE141" s="205" t="s">
        <v>239</v>
      </c>
      <c r="AF141" s="189" t="s">
        <v>590</v>
      </c>
      <c r="AG141" s="206"/>
      <c r="AH141" s="205"/>
      <c r="AI141" s="101"/>
      <c r="AJ141" s="102">
        <v>4</v>
      </c>
      <c r="AK141" s="207">
        <f t="shared" si="8"/>
        <v>-4</v>
      </c>
      <c r="AL141" s="101" t="s">
        <v>582</v>
      </c>
      <c r="AM141" s="96"/>
      <c r="AN141" s="103"/>
      <c r="AO141" s="198"/>
    </row>
    <row r="142" spans="1:41" s="120" customFormat="1" ht="30.75" hidden="1" customHeight="1" x14ac:dyDescent="0.35">
      <c r="A142" s="244">
        <v>154</v>
      </c>
      <c r="B142" s="297">
        <v>44909</v>
      </c>
      <c r="C142" s="306" t="s">
        <v>374</v>
      </c>
      <c r="D142" s="305" t="s">
        <v>1385</v>
      </c>
      <c r="E142" s="316" t="s">
        <v>330</v>
      </c>
      <c r="F142" s="312" t="s">
        <v>1386</v>
      </c>
      <c r="G142" s="229" t="s">
        <v>1385</v>
      </c>
      <c r="H142" s="314" t="s">
        <v>1387</v>
      </c>
      <c r="I142" s="251" t="s">
        <v>392</v>
      </c>
      <c r="J142" s="244" t="s">
        <v>251</v>
      </c>
      <c r="K142" s="297"/>
      <c r="L142" s="306"/>
      <c r="M142" s="310" t="s">
        <v>358</v>
      </c>
      <c r="N142" s="235" t="s">
        <v>71</v>
      </c>
      <c r="O142" s="343">
        <v>0</v>
      </c>
      <c r="P142" s="169">
        <f>0</f>
        <v>0</v>
      </c>
      <c r="Q142" s="169">
        <f>0</f>
        <v>0</v>
      </c>
      <c r="R142" s="169">
        <f>0</f>
        <v>0</v>
      </c>
      <c r="S142" s="169">
        <v>4</v>
      </c>
      <c r="T142" s="169">
        <f>0</f>
        <v>0</v>
      </c>
      <c r="U142" s="169">
        <f>0</f>
        <v>0</v>
      </c>
      <c r="V142" s="169">
        <f>0</f>
        <v>0</v>
      </c>
      <c r="W142" s="169">
        <f>0</f>
        <v>0</v>
      </c>
      <c r="X142" s="169">
        <f>0</f>
        <v>0</v>
      </c>
      <c r="Y142" s="169">
        <f>0</f>
        <v>0</v>
      </c>
      <c r="Z142" s="219">
        <f>0</f>
        <v>0</v>
      </c>
      <c r="AA142" s="128">
        <f t="shared" si="6"/>
        <v>4</v>
      </c>
      <c r="AB142" s="218">
        <v>4</v>
      </c>
      <c r="AC142" s="137">
        <f t="shared" si="7"/>
        <v>0</v>
      </c>
      <c r="AD142" s="188"/>
      <c r="AE142" s="205" t="s">
        <v>531</v>
      </c>
      <c r="AF142" s="189" t="s">
        <v>44</v>
      </c>
      <c r="AG142" s="206"/>
      <c r="AH142" s="205"/>
      <c r="AI142" s="101"/>
      <c r="AJ142" s="102"/>
      <c r="AK142" s="207">
        <f t="shared" si="8"/>
        <v>0</v>
      </c>
      <c r="AL142" s="101" t="s">
        <v>532</v>
      </c>
      <c r="AM142" s="96"/>
      <c r="AN142" s="103"/>
      <c r="AO142" s="198"/>
    </row>
    <row r="143" spans="1:41" s="120" customFormat="1" ht="30.75" hidden="1" customHeight="1" x14ac:dyDescent="0.35">
      <c r="A143" s="252">
        <v>522</v>
      </c>
      <c r="B143" s="500">
        <v>44971</v>
      </c>
      <c r="C143" s="501" t="s">
        <v>254</v>
      </c>
      <c r="D143" s="233" t="s">
        <v>1419</v>
      </c>
      <c r="E143" s="236">
        <v>0</v>
      </c>
      <c r="F143" s="241" t="s">
        <v>1420</v>
      </c>
      <c r="G143" s="233" t="s">
        <v>1419</v>
      </c>
      <c r="H143" s="250">
        <v>270.77199999999999</v>
      </c>
      <c r="I143" s="251" t="s">
        <v>1422</v>
      </c>
      <c r="J143" s="97" t="s">
        <v>251</v>
      </c>
      <c r="K143" s="189" t="s">
        <v>252</v>
      </c>
      <c r="L143" s="189" t="s">
        <v>252</v>
      </c>
      <c r="M143" s="97" t="s">
        <v>1424</v>
      </c>
      <c r="N143" s="235" t="s">
        <v>71</v>
      </c>
      <c r="O143" s="417">
        <v>0</v>
      </c>
      <c r="P143" s="90">
        <v>0</v>
      </c>
      <c r="Q143" s="90">
        <v>0</v>
      </c>
      <c r="R143" s="90">
        <v>6</v>
      </c>
      <c r="S143" s="90">
        <v>0</v>
      </c>
      <c r="T143" s="90">
        <v>0</v>
      </c>
      <c r="U143" s="90">
        <v>0</v>
      </c>
      <c r="V143" s="90">
        <v>0</v>
      </c>
      <c r="W143" s="90">
        <v>0</v>
      </c>
      <c r="X143" s="90">
        <v>0</v>
      </c>
      <c r="Y143" s="90">
        <v>0</v>
      </c>
      <c r="Z143" s="418">
        <v>0</v>
      </c>
      <c r="AA143" s="149">
        <f t="shared" si="6"/>
        <v>6</v>
      </c>
      <c r="AB143" s="573">
        <v>-4</v>
      </c>
      <c r="AC143" s="577">
        <f t="shared" si="7"/>
        <v>10</v>
      </c>
      <c r="AD143" s="188">
        <v>44976</v>
      </c>
      <c r="AE143" s="205" t="s">
        <v>239</v>
      </c>
      <c r="AF143" s="273" t="s">
        <v>1446</v>
      </c>
      <c r="AG143" s="206"/>
      <c r="AH143" s="205"/>
      <c r="AI143" s="394"/>
      <c r="AJ143" s="586">
        <v>10</v>
      </c>
      <c r="AK143" s="207">
        <f t="shared" si="8"/>
        <v>0</v>
      </c>
      <c r="AL143" s="101" t="s">
        <v>1484</v>
      </c>
      <c r="AM143" s="395"/>
      <c r="AN143" s="396"/>
      <c r="AO143" s="198"/>
    </row>
    <row r="144" spans="1:41" s="120" customFormat="1" ht="30.75" hidden="1" customHeight="1" x14ac:dyDescent="0.35">
      <c r="A144" s="244">
        <v>523</v>
      </c>
      <c r="B144" s="500">
        <v>44971</v>
      </c>
      <c r="C144" s="501" t="s">
        <v>254</v>
      </c>
      <c r="D144" s="233" t="s">
        <v>1421</v>
      </c>
      <c r="E144" s="236">
        <v>0</v>
      </c>
      <c r="F144" s="241" t="s">
        <v>797</v>
      </c>
      <c r="G144" s="233" t="s">
        <v>1421</v>
      </c>
      <c r="H144" s="250" t="s">
        <v>1421</v>
      </c>
      <c r="I144" s="251" t="s">
        <v>1422</v>
      </c>
      <c r="J144" s="97" t="s">
        <v>251</v>
      </c>
      <c r="K144" s="189" t="s">
        <v>252</v>
      </c>
      <c r="L144" s="189" t="s">
        <v>252</v>
      </c>
      <c r="M144" s="97" t="s">
        <v>1424</v>
      </c>
      <c r="N144" s="235" t="s">
        <v>71</v>
      </c>
      <c r="O144" s="417">
        <v>0</v>
      </c>
      <c r="P144" s="90">
        <v>0</v>
      </c>
      <c r="Q144" s="90">
        <v>0</v>
      </c>
      <c r="R144" s="90">
        <v>6</v>
      </c>
      <c r="S144" s="90">
        <v>0</v>
      </c>
      <c r="T144" s="90">
        <v>0</v>
      </c>
      <c r="U144" s="90">
        <v>0</v>
      </c>
      <c r="V144" s="90">
        <v>0</v>
      </c>
      <c r="W144" s="90">
        <v>0</v>
      </c>
      <c r="X144" s="90">
        <v>0</v>
      </c>
      <c r="Y144" s="90">
        <v>0</v>
      </c>
      <c r="Z144" s="418">
        <v>0</v>
      </c>
      <c r="AA144" s="149">
        <f t="shared" si="6"/>
        <v>6</v>
      </c>
      <c r="AB144" s="573">
        <v>-4</v>
      </c>
      <c r="AC144" s="577">
        <f t="shared" si="7"/>
        <v>10</v>
      </c>
      <c r="AD144" s="188">
        <v>44976</v>
      </c>
      <c r="AE144" s="205" t="s">
        <v>239</v>
      </c>
      <c r="AF144" s="273" t="s">
        <v>1446</v>
      </c>
      <c r="AG144" s="206"/>
      <c r="AH144" s="205"/>
      <c r="AI144" s="394"/>
      <c r="AJ144" s="586">
        <v>10</v>
      </c>
      <c r="AK144" s="207">
        <f t="shared" si="8"/>
        <v>0</v>
      </c>
      <c r="AL144" s="101" t="s">
        <v>1484</v>
      </c>
      <c r="AM144" s="395"/>
      <c r="AN144" s="396"/>
      <c r="AO144" s="198"/>
    </row>
    <row r="145" spans="1:41" s="120" customFormat="1" ht="30.75" hidden="1" customHeight="1" x14ac:dyDescent="0.35">
      <c r="A145" s="244">
        <v>67</v>
      </c>
      <c r="B145" s="253"/>
      <c r="C145" s="254" t="s">
        <v>237</v>
      </c>
      <c r="D145" s="233"/>
      <c r="E145" s="236"/>
      <c r="F145" s="312" t="s">
        <v>197</v>
      </c>
      <c r="G145" s="313" t="s">
        <v>198</v>
      </c>
      <c r="H145" s="314" t="s">
        <v>198</v>
      </c>
      <c r="I145" s="315" t="s">
        <v>199</v>
      </c>
      <c r="J145" s="231"/>
      <c r="K145" s="260"/>
      <c r="L145" s="189"/>
      <c r="M145" s="97"/>
      <c r="N145" s="235" t="s">
        <v>71</v>
      </c>
      <c r="O145" s="343">
        <v>1</v>
      </c>
      <c r="P145" s="169">
        <f>0</f>
        <v>0</v>
      </c>
      <c r="Q145" s="169">
        <f>0</f>
        <v>0</v>
      </c>
      <c r="R145" s="169">
        <f>0</f>
        <v>0</v>
      </c>
      <c r="S145" s="169">
        <f>0</f>
        <v>0</v>
      </c>
      <c r="T145" s="169">
        <f>0</f>
        <v>0</v>
      </c>
      <c r="U145" s="169">
        <f>0</f>
        <v>0</v>
      </c>
      <c r="V145" s="169">
        <f>0</f>
        <v>0</v>
      </c>
      <c r="W145" s="169">
        <f>0</f>
        <v>0</v>
      </c>
      <c r="X145" s="169">
        <f>0</f>
        <v>0</v>
      </c>
      <c r="Y145" s="169">
        <f>0</f>
        <v>0</v>
      </c>
      <c r="Z145" s="219">
        <f>0</f>
        <v>0</v>
      </c>
      <c r="AA145" s="128">
        <f t="shared" si="6"/>
        <v>1</v>
      </c>
      <c r="AB145" s="218">
        <f>0</f>
        <v>0</v>
      </c>
      <c r="AC145" s="137">
        <f t="shared" si="7"/>
        <v>1</v>
      </c>
      <c r="AD145" s="188">
        <v>44756</v>
      </c>
      <c r="AE145" s="205" t="s">
        <v>239</v>
      </c>
      <c r="AF145" s="189" t="s">
        <v>272</v>
      </c>
      <c r="AG145" s="206"/>
      <c r="AH145" s="205"/>
      <c r="AI145" s="101"/>
      <c r="AJ145" s="102" t="s">
        <v>1413</v>
      </c>
      <c r="AK145" s="207" t="e">
        <f t="shared" si="8"/>
        <v>#VALUE!</v>
      </c>
      <c r="AL145" s="101"/>
      <c r="AM145" s="96"/>
      <c r="AN145" s="103"/>
      <c r="AO145" s="198"/>
    </row>
    <row r="146" spans="1:41" s="120" customFormat="1" ht="30.75" hidden="1" customHeight="1" x14ac:dyDescent="0.35">
      <c r="A146" s="244">
        <v>68</v>
      </c>
      <c r="B146" s="253"/>
      <c r="C146" s="254" t="s">
        <v>237</v>
      </c>
      <c r="D146" s="189"/>
      <c r="E146" s="231"/>
      <c r="F146" s="255" t="s">
        <v>200</v>
      </c>
      <c r="G146" s="256" t="s">
        <v>201</v>
      </c>
      <c r="H146" s="257" t="s">
        <v>201</v>
      </c>
      <c r="I146" s="258" t="s">
        <v>199</v>
      </c>
      <c r="J146" s="554"/>
      <c r="K146" s="260"/>
      <c r="L146" s="189"/>
      <c r="M146" s="97"/>
      <c r="N146" s="235" t="s">
        <v>71</v>
      </c>
      <c r="O146" s="343">
        <v>2</v>
      </c>
      <c r="P146" s="169">
        <f>0</f>
        <v>0</v>
      </c>
      <c r="Q146" s="169">
        <f>0</f>
        <v>0</v>
      </c>
      <c r="R146" s="169">
        <f>0</f>
        <v>0</v>
      </c>
      <c r="S146" s="169">
        <f>0</f>
        <v>0</v>
      </c>
      <c r="T146" s="169">
        <f>0</f>
        <v>0</v>
      </c>
      <c r="U146" s="169">
        <f>0</f>
        <v>0</v>
      </c>
      <c r="V146" s="169">
        <f>0</f>
        <v>0</v>
      </c>
      <c r="W146" s="169">
        <f>0</f>
        <v>0</v>
      </c>
      <c r="X146" s="169">
        <f>0</f>
        <v>0</v>
      </c>
      <c r="Y146" s="169">
        <f>0</f>
        <v>0</v>
      </c>
      <c r="Z146" s="219">
        <f>0</f>
        <v>0</v>
      </c>
      <c r="AA146" s="128">
        <f t="shared" si="6"/>
        <v>2</v>
      </c>
      <c r="AB146" s="218">
        <v>2</v>
      </c>
      <c r="AC146" s="137">
        <f t="shared" si="7"/>
        <v>0</v>
      </c>
      <c r="AD146" s="188">
        <v>44756</v>
      </c>
      <c r="AE146" s="205" t="s">
        <v>239</v>
      </c>
      <c r="AF146" s="189" t="s">
        <v>586</v>
      </c>
      <c r="AG146" s="206"/>
      <c r="AH146" s="205"/>
      <c r="AI146" s="101"/>
      <c r="AJ146" s="102" t="s">
        <v>587</v>
      </c>
      <c r="AK146" s="207" t="e">
        <f t="shared" si="8"/>
        <v>#VALUE!</v>
      </c>
      <c r="AL146" s="101" t="s">
        <v>582</v>
      </c>
      <c r="AM146" s="96"/>
      <c r="AN146" s="103"/>
      <c r="AO146" s="198"/>
    </row>
    <row r="147" spans="1:41" s="120" customFormat="1" ht="30.75" hidden="1" customHeight="1" x14ac:dyDescent="0.35">
      <c r="A147" s="252">
        <v>69</v>
      </c>
      <c r="B147" s="253"/>
      <c r="C147" s="254" t="s">
        <v>237</v>
      </c>
      <c r="D147" s="233"/>
      <c r="E147" s="236"/>
      <c r="F147" s="312" t="s">
        <v>202</v>
      </c>
      <c r="G147" s="313" t="s">
        <v>203</v>
      </c>
      <c r="H147" s="314" t="s">
        <v>203</v>
      </c>
      <c r="I147" s="315" t="s">
        <v>199</v>
      </c>
      <c r="J147" s="231"/>
      <c r="K147" s="260"/>
      <c r="L147" s="189"/>
      <c r="M147" s="189"/>
      <c r="N147" s="235" t="s">
        <v>71</v>
      </c>
      <c r="O147" s="343">
        <v>1</v>
      </c>
      <c r="P147" s="169">
        <f>0</f>
        <v>0</v>
      </c>
      <c r="Q147" s="169">
        <f>0</f>
        <v>0</v>
      </c>
      <c r="R147" s="169">
        <f>0</f>
        <v>0</v>
      </c>
      <c r="S147" s="169">
        <f>0</f>
        <v>0</v>
      </c>
      <c r="T147" s="169">
        <f>0</f>
        <v>0</v>
      </c>
      <c r="U147" s="169">
        <f>0</f>
        <v>0</v>
      </c>
      <c r="V147" s="169">
        <f>0</f>
        <v>0</v>
      </c>
      <c r="W147" s="169">
        <f>0</f>
        <v>0</v>
      </c>
      <c r="X147" s="169">
        <f>0</f>
        <v>0</v>
      </c>
      <c r="Y147" s="169">
        <f>0</f>
        <v>0</v>
      </c>
      <c r="Z147" s="219">
        <f>0</f>
        <v>0</v>
      </c>
      <c r="AA147" s="128">
        <f t="shared" si="6"/>
        <v>1</v>
      </c>
      <c r="AB147" s="218">
        <v>1</v>
      </c>
      <c r="AC147" s="137">
        <f t="shared" si="7"/>
        <v>0</v>
      </c>
      <c r="AD147" s="188">
        <v>44756</v>
      </c>
      <c r="AE147" s="205" t="s">
        <v>239</v>
      </c>
      <c r="AF147" s="189" t="s">
        <v>585</v>
      </c>
      <c r="AG147" s="206"/>
      <c r="AH147" s="205"/>
      <c r="AI147" s="101"/>
      <c r="AJ147" s="102">
        <v>1</v>
      </c>
      <c r="AK147" s="207">
        <f t="shared" si="8"/>
        <v>-1</v>
      </c>
      <c r="AL147" s="101" t="s">
        <v>582</v>
      </c>
      <c r="AM147" s="96"/>
      <c r="AN147" s="103"/>
      <c r="AO147" s="198"/>
    </row>
    <row r="148" spans="1:41" s="120" customFormat="1" ht="30.75" hidden="1" customHeight="1" x14ac:dyDescent="0.35">
      <c r="A148" s="244">
        <v>70</v>
      </c>
      <c r="B148" s="253"/>
      <c r="C148" s="254" t="s">
        <v>237</v>
      </c>
      <c r="D148" s="189"/>
      <c r="E148" s="231"/>
      <c r="F148" s="255" t="s">
        <v>204</v>
      </c>
      <c r="G148" s="256" t="s">
        <v>205</v>
      </c>
      <c r="H148" s="257" t="s">
        <v>205</v>
      </c>
      <c r="I148" s="258" t="s">
        <v>199</v>
      </c>
      <c r="J148" s="554"/>
      <c r="K148" s="260"/>
      <c r="L148" s="189"/>
      <c r="M148" s="189"/>
      <c r="N148" s="235" t="s">
        <v>71</v>
      </c>
      <c r="O148" s="343">
        <v>1</v>
      </c>
      <c r="P148" s="169">
        <f>0</f>
        <v>0</v>
      </c>
      <c r="Q148" s="169">
        <f>0</f>
        <v>0</v>
      </c>
      <c r="R148" s="169">
        <f>0</f>
        <v>0</v>
      </c>
      <c r="S148" s="169">
        <f>0</f>
        <v>0</v>
      </c>
      <c r="T148" s="169">
        <f>0</f>
        <v>0</v>
      </c>
      <c r="U148" s="169">
        <f>0</f>
        <v>0</v>
      </c>
      <c r="V148" s="169">
        <f>0</f>
        <v>0</v>
      </c>
      <c r="W148" s="169">
        <f>0</f>
        <v>0</v>
      </c>
      <c r="X148" s="169">
        <f>0</f>
        <v>0</v>
      </c>
      <c r="Y148" s="169">
        <f>0</f>
        <v>0</v>
      </c>
      <c r="Z148" s="219">
        <f>0</f>
        <v>0</v>
      </c>
      <c r="AA148" s="128">
        <f t="shared" si="6"/>
        <v>1</v>
      </c>
      <c r="AB148" s="218">
        <v>1</v>
      </c>
      <c r="AC148" s="137">
        <f t="shared" si="7"/>
        <v>0</v>
      </c>
      <c r="AD148" s="188">
        <v>44756</v>
      </c>
      <c r="AE148" s="205" t="s">
        <v>239</v>
      </c>
      <c r="AF148" s="189" t="s">
        <v>585</v>
      </c>
      <c r="AG148" s="206"/>
      <c r="AH148" s="205"/>
      <c r="AI148" s="101"/>
      <c r="AJ148" s="102">
        <v>1</v>
      </c>
      <c r="AK148" s="207">
        <f t="shared" si="8"/>
        <v>-1</v>
      </c>
      <c r="AL148" s="101" t="s">
        <v>582</v>
      </c>
      <c r="AM148" s="96"/>
      <c r="AN148" s="103"/>
      <c r="AO148" s="198"/>
    </row>
    <row r="149" spans="1:41" s="120" customFormat="1" ht="30.75" hidden="1" customHeight="1" x14ac:dyDescent="0.35">
      <c r="A149" s="244">
        <v>273</v>
      </c>
      <c r="B149" s="253"/>
      <c r="C149" s="254"/>
      <c r="D149" s="189"/>
      <c r="E149" s="231"/>
      <c r="F149" s="255" t="s">
        <v>268</v>
      </c>
      <c r="G149" s="256" t="s">
        <v>269</v>
      </c>
      <c r="H149" s="257" t="s">
        <v>269</v>
      </c>
      <c r="I149" s="258" t="s">
        <v>199</v>
      </c>
      <c r="J149" s="231" t="s">
        <v>270</v>
      </c>
      <c r="K149" s="229" t="s">
        <v>271</v>
      </c>
      <c r="L149" s="229"/>
      <c r="M149" s="229"/>
      <c r="N149" s="235" t="s">
        <v>71</v>
      </c>
      <c r="O149" s="343">
        <v>1</v>
      </c>
      <c r="P149" s="169">
        <f>0</f>
        <v>0</v>
      </c>
      <c r="Q149" s="169">
        <f>0</f>
        <v>0</v>
      </c>
      <c r="R149" s="169">
        <f>0</f>
        <v>0</v>
      </c>
      <c r="S149" s="169">
        <f>0</f>
        <v>0</v>
      </c>
      <c r="T149" s="169">
        <f>0</f>
        <v>0</v>
      </c>
      <c r="U149" s="169">
        <f>0</f>
        <v>0</v>
      </c>
      <c r="V149" s="169">
        <f>0</f>
        <v>0</v>
      </c>
      <c r="W149" s="169">
        <f>0</f>
        <v>0</v>
      </c>
      <c r="X149" s="169">
        <f>0</f>
        <v>0</v>
      </c>
      <c r="Y149" s="169">
        <f>0</f>
        <v>0</v>
      </c>
      <c r="Z149" s="219">
        <f>0</f>
        <v>0</v>
      </c>
      <c r="AA149" s="128">
        <f t="shared" si="6"/>
        <v>1</v>
      </c>
      <c r="AB149" s="218">
        <f>0</f>
        <v>0</v>
      </c>
      <c r="AC149" s="137">
        <f t="shared" si="7"/>
        <v>1</v>
      </c>
      <c r="AD149" s="188">
        <v>44756</v>
      </c>
      <c r="AE149" s="205" t="s">
        <v>239</v>
      </c>
      <c r="AF149" s="189" t="s">
        <v>272</v>
      </c>
      <c r="AG149" s="206"/>
      <c r="AH149" s="205"/>
      <c r="AI149" s="101"/>
      <c r="AJ149" s="102"/>
      <c r="AK149" s="207">
        <f t="shared" si="8"/>
        <v>1</v>
      </c>
      <c r="AL149" s="101"/>
      <c r="AM149" s="96"/>
      <c r="AN149" s="103"/>
      <c r="AO149" s="198"/>
    </row>
    <row r="150" spans="1:41" s="120" customFormat="1" ht="30.75" hidden="1" customHeight="1" x14ac:dyDescent="0.35">
      <c r="A150" s="244">
        <v>342</v>
      </c>
      <c r="B150" s="253">
        <v>44945</v>
      </c>
      <c r="C150" s="254" t="s">
        <v>863</v>
      </c>
      <c r="D150" s="233" t="s">
        <v>884</v>
      </c>
      <c r="E150" s="237">
        <v>0</v>
      </c>
      <c r="F150" s="241" t="s">
        <v>268</v>
      </c>
      <c r="G150" s="189" t="s">
        <v>885</v>
      </c>
      <c r="H150" s="243" t="s">
        <v>269</v>
      </c>
      <c r="I150" s="536" t="s">
        <v>199</v>
      </c>
      <c r="J150" s="97" t="s">
        <v>651</v>
      </c>
      <c r="K150" s="189" t="s">
        <v>252</v>
      </c>
      <c r="L150" s="189" t="s">
        <v>252</v>
      </c>
      <c r="M150" s="189" t="s">
        <v>270</v>
      </c>
      <c r="N150" s="235" t="s">
        <v>952</v>
      </c>
      <c r="O150" s="343">
        <v>0</v>
      </c>
      <c r="P150" s="169">
        <v>1</v>
      </c>
      <c r="Q150" s="169">
        <v>0</v>
      </c>
      <c r="R150" s="169">
        <v>0</v>
      </c>
      <c r="S150" s="169">
        <v>0</v>
      </c>
      <c r="T150" s="169">
        <v>0</v>
      </c>
      <c r="U150" s="169">
        <v>0</v>
      </c>
      <c r="V150" s="169">
        <f>0</f>
        <v>0</v>
      </c>
      <c r="W150" s="169">
        <v>0</v>
      </c>
      <c r="X150" s="169">
        <f>0</f>
        <v>0</v>
      </c>
      <c r="Y150" s="169">
        <f>0</f>
        <v>0</v>
      </c>
      <c r="Z150" s="219">
        <f>0</f>
        <v>0</v>
      </c>
      <c r="AA150" s="149">
        <f t="shared" si="6"/>
        <v>1</v>
      </c>
      <c r="AB150" s="176"/>
      <c r="AC150" s="163">
        <f t="shared" si="7"/>
        <v>1</v>
      </c>
      <c r="AD150" s="188">
        <v>44970</v>
      </c>
      <c r="AE150" s="205" t="s">
        <v>284</v>
      </c>
      <c r="AF150" s="189" t="s">
        <v>1414</v>
      </c>
      <c r="AG150" s="206"/>
      <c r="AH150" s="205"/>
      <c r="AI150" s="101" t="s">
        <v>1456</v>
      </c>
      <c r="AJ150" s="102">
        <v>1</v>
      </c>
      <c r="AK150" s="207">
        <f t="shared" si="8"/>
        <v>0</v>
      </c>
      <c r="AL150" s="101" t="s">
        <v>1542</v>
      </c>
      <c r="AM150" s="96"/>
      <c r="AN150" s="103"/>
      <c r="AO150" s="198"/>
    </row>
    <row r="151" spans="1:41" s="120" customFormat="1" ht="30.75" hidden="1" customHeight="1" x14ac:dyDescent="0.35">
      <c r="A151" s="252">
        <v>364</v>
      </c>
      <c r="B151" s="253">
        <v>44945</v>
      </c>
      <c r="C151" s="254" t="s">
        <v>863</v>
      </c>
      <c r="D151" s="233" t="s">
        <v>269</v>
      </c>
      <c r="E151" s="237">
        <v>0</v>
      </c>
      <c r="F151" s="241" t="s">
        <v>268</v>
      </c>
      <c r="G151" s="189" t="s">
        <v>252</v>
      </c>
      <c r="H151" s="243" t="s">
        <v>269</v>
      </c>
      <c r="I151" s="536" t="s">
        <v>199</v>
      </c>
      <c r="J151" s="97" t="s">
        <v>875</v>
      </c>
      <c r="K151" s="189"/>
      <c r="L151" s="189"/>
      <c r="M151" s="97" t="s">
        <v>270</v>
      </c>
      <c r="N151" s="235" t="s">
        <v>952</v>
      </c>
      <c r="O151" s="343">
        <v>0</v>
      </c>
      <c r="P151" s="169">
        <v>1</v>
      </c>
      <c r="Q151" s="169">
        <v>0</v>
      </c>
      <c r="R151" s="169">
        <v>0</v>
      </c>
      <c r="S151" s="169">
        <v>0</v>
      </c>
      <c r="T151" s="169">
        <v>0</v>
      </c>
      <c r="U151" s="169">
        <v>0</v>
      </c>
      <c r="V151" s="169">
        <f>0</f>
        <v>0</v>
      </c>
      <c r="W151" s="169">
        <v>0</v>
      </c>
      <c r="X151" s="169">
        <f>0</f>
        <v>0</v>
      </c>
      <c r="Y151" s="169">
        <f>0</f>
        <v>0</v>
      </c>
      <c r="Z151" s="219">
        <f>0</f>
        <v>0</v>
      </c>
      <c r="AA151" s="149">
        <f t="shared" si="6"/>
        <v>1</v>
      </c>
      <c r="AB151" s="176"/>
      <c r="AC151" s="163">
        <f t="shared" si="7"/>
        <v>1</v>
      </c>
      <c r="AD151" s="188">
        <v>44970</v>
      </c>
      <c r="AE151" s="205" t="s">
        <v>284</v>
      </c>
      <c r="AF151" s="189" t="s">
        <v>1414</v>
      </c>
      <c r="AG151" s="206"/>
      <c r="AH151" s="205"/>
      <c r="AI151" s="101" t="s">
        <v>1456</v>
      </c>
      <c r="AJ151" s="102">
        <v>1</v>
      </c>
      <c r="AK151" s="207">
        <f t="shared" si="8"/>
        <v>0</v>
      </c>
      <c r="AL151" s="101" t="s">
        <v>1542</v>
      </c>
      <c r="AM151" s="96"/>
      <c r="AN151" s="103"/>
      <c r="AO151" s="198"/>
    </row>
    <row r="152" spans="1:41" s="120" customFormat="1" ht="30.75" hidden="1" customHeight="1" x14ac:dyDescent="0.35">
      <c r="A152" s="244">
        <v>91</v>
      </c>
      <c r="B152" s="297">
        <v>44903</v>
      </c>
      <c r="C152" s="306" t="s">
        <v>374</v>
      </c>
      <c r="D152" s="305" t="s">
        <v>1363</v>
      </c>
      <c r="E152" s="400" t="s">
        <v>314</v>
      </c>
      <c r="F152" s="241" t="s">
        <v>315</v>
      </c>
      <c r="G152" s="206" t="s">
        <v>1363</v>
      </c>
      <c r="H152" s="250" t="s">
        <v>1363</v>
      </c>
      <c r="I152" s="251" t="s">
        <v>316</v>
      </c>
      <c r="J152" s="244" t="s">
        <v>251</v>
      </c>
      <c r="K152" s="297" t="s">
        <v>252</v>
      </c>
      <c r="L152" s="306" t="s">
        <v>252</v>
      </c>
      <c r="M152" s="189"/>
      <c r="N152" s="235" t="s">
        <v>71</v>
      </c>
      <c r="O152" s="343">
        <v>0</v>
      </c>
      <c r="P152" s="169">
        <f>0</f>
        <v>0</v>
      </c>
      <c r="Q152" s="169">
        <f>0</f>
        <v>0</v>
      </c>
      <c r="R152" s="169">
        <f>0</f>
        <v>0</v>
      </c>
      <c r="S152" s="169">
        <v>24</v>
      </c>
      <c r="T152" s="169">
        <f>0</f>
        <v>0</v>
      </c>
      <c r="U152" s="169">
        <f>0</f>
        <v>0</v>
      </c>
      <c r="V152" s="169">
        <f>0</f>
        <v>0</v>
      </c>
      <c r="W152" s="169">
        <f>0</f>
        <v>0</v>
      </c>
      <c r="X152" s="169">
        <f>0</f>
        <v>0</v>
      </c>
      <c r="Y152" s="169">
        <f>0</f>
        <v>0</v>
      </c>
      <c r="Z152" s="219">
        <f>0</f>
        <v>0</v>
      </c>
      <c r="AA152" s="128">
        <f t="shared" si="6"/>
        <v>24</v>
      </c>
      <c r="AB152" s="218">
        <f>0</f>
        <v>0</v>
      </c>
      <c r="AC152" s="137">
        <f t="shared" si="7"/>
        <v>24</v>
      </c>
      <c r="AD152" s="188"/>
      <c r="AE152" s="114" t="s">
        <v>284</v>
      </c>
      <c r="AF152" s="189" t="s">
        <v>294</v>
      </c>
      <c r="AG152" s="206"/>
      <c r="AH152" s="205"/>
      <c r="AI152" s="101"/>
      <c r="AJ152" s="107" t="s">
        <v>501</v>
      </c>
      <c r="AK152" s="203" t="e">
        <f t="shared" si="8"/>
        <v>#VALUE!</v>
      </c>
      <c r="AL152" s="106"/>
      <c r="AM152" s="58"/>
      <c r="AN152" s="108"/>
      <c r="AO152" s="416"/>
    </row>
    <row r="153" spans="1:41" s="120" customFormat="1" ht="30.75" hidden="1" customHeight="1" x14ac:dyDescent="0.35">
      <c r="A153" s="244">
        <v>115</v>
      </c>
      <c r="B153" s="297">
        <v>44903</v>
      </c>
      <c r="C153" s="306" t="s">
        <v>374</v>
      </c>
      <c r="D153" s="305" t="s">
        <v>362</v>
      </c>
      <c r="E153" s="400" t="s">
        <v>363</v>
      </c>
      <c r="F153" s="241" t="s">
        <v>315</v>
      </c>
      <c r="G153" s="206" t="s">
        <v>362</v>
      </c>
      <c r="H153" s="250" t="s">
        <v>362</v>
      </c>
      <c r="I153" s="251" t="s">
        <v>316</v>
      </c>
      <c r="J153" s="244" t="s">
        <v>251</v>
      </c>
      <c r="K153" s="297" t="s">
        <v>252</v>
      </c>
      <c r="L153" s="306" t="s">
        <v>252</v>
      </c>
      <c r="M153" s="307"/>
      <c r="N153" s="235" t="s">
        <v>71</v>
      </c>
      <c r="O153" s="343">
        <v>0</v>
      </c>
      <c r="P153" s="169">
        <f>0</f>
        <v>0</v>
      </c>
      <c r="Q153" s="169">
        <f>0</f>
        <v>0</v>
      </c>
      <c r="R153" s="169">
        <f>0</f>
        <v>0</v>
      </c>
      <c r="S153" s="169">
        <v>1</v>
      </c>
      <c r="T153" s="169">
        <f>0</f>
        <v>0</v>
      </c>
      <c r="U153" s="169">
        <f>0</f>
        <v>0</v>
      </c>
      <c r="V153" s="169">
        <f>0</f>
        <v>0</v>
      </c>
      <c r="W153" s="169">
        <f>0</f>
        <v>0</v>
      </c>
      <c r="X153" s="169">
        <f>0</f>
        <v>0</v>
      </c>
      <c r="Y153" s="169">
        <f>0</f>
        <v>0</v>
      </c>
      <c r="Z153" s="219">
        <f>0</f>
        <v>0</v>
      </c>
      <c r="AA153" s="128">
        <f t="shared" si="6"/>
        <v>1</v>
      </c>
      <c r="AB153" s="218">
        <f>0</f>
        <v>0</v>
      </c>
      <c r="AC153" s="137">
        <f t="shared" si="7"/>
        <v>1</v>
      </c>
      <c r="AD153" s="188"/>
      <c r="AE153" s="114" t="s">
        <v>284</v>
      </c>
      <c r="AF153" s="189" t="s">
        <v>294</v>
      </c>
      <c r="AG153" s="206"/>
      <c r="AH153" s="205"/>
      <c r="AI153" s="101"/>
      <c r="AJ153" s="107" t="s">
        <v>501</v>
      </c>
      <c r="AK153" s="203" t="e">
        <f t="shared" si="8"/>
        <v>#VALUE!</v>
      </c>
      <c r="AL153" s="106"/>
      <c r="AM153" s="58"/>
      <c r="AN153" s="108"/>
      <c r="AO153" s="416"/>
    </row>
    <row r="154" spans="1:41" s="120" customFormat="1" ht="30.75" hidden="1" customHeight="1" x14ac:dyDescent="0.35">
      <c r="A154" s="244">
        <v>116</v>
      </c>
      <c r="B154" s="297">
        <v>44903</v>
      </c>
      <c r="C154" s="306" t="s">
        <v>374</v>
      </c>
      <c r="D154" s="305" t="s">
        <v>364</v>
      </c>
      <c r="E154" s="400" t="s">
        <v>363</v>
      </c>
      <c r="F154" s="241" t="s">
        <v>315</v>
      </c>
      <c r="G154" s="206" t="s">
        <v>364</v>
      </c>
      <c r="H154" s="250" t="s">
        <v>364</v>
      </c>
      <c r="I154" s="251" t="s">
        <v>316</v>
      </c>
      <c r="J154" s="244" t="s">
        <v>251</v>
      </c>
      <c r="K154" s="297" t="s">
        <v>252</v>
      </c>
      <c r="L154" s="306" t="s">
        <v>252</v>
      </c>
      <c r="M154" s="307"/>
      <c r="N154" s="235" t="s">
        <v>71</v>
      </c>
      <c r="O154" s="343">
        <v>0</v>
      </c>
      <c r="P154" s="169">
        <f>0</f>
        <v>0</v>
      </c>
      <c r="Q154" s="169">
        <f>0</f>
        <v>0</v>
      </c>
      <c r="R154" s="169">
        <f>0</f>
        <v>0</v>
      </c>
      <c r="S154" s="169">
        <v>1</v>
      </c>
      <c r="T154" s="169">
        <f>0</f>
        <v>0</v>
      </c>
      <c r="U154" s="169">
        <f>0</f>
        <v>0</v>
      </c>
      <c r="V154" s="169">
        <f>0</f>
        <v>0</v>
      </c>
      <c r="W154" s="169">
        <f>0</f>
        <v>0</v>
      </c>
      <c r="X154" s="169">
        <f>0</f>
        <v>0</v>
      </c>
      <c r="Y154" s="169">
        <f>0</f>
        <v>0</v>
      </c>
      <c r="Z154" s="219">
        <f>0</f>
        <v>0</v>
      </c>
      <c r="AA154" s="128">
        <f t="shared" si="6"/>
        <v>1</v>
      </c>
      <c r="AB154" s="218">
        <f>0</f>
        <v>0</v>
      </c>
      <c r="AC154" s="137">
        <f t="shared" si="7"/>
        <v>1</v>
      </c>
      <c r="AD154" s="188"/>
      <c r="AE154" s="114" t="s">
        <v>284</v>
      </c>
      <c r="AF154" s="189" t="s">
        <v>294</v>
      </c>
      <c r="AG154" s="206"/>
      <c r="AH154" s="205"/>
      <c r="AI154" s="101"/>
      <c r="AJ154" s="107" t="s">
        <v>501</v>
      </c>
      <c r="AK154" s="203" t="e">
        <f t="shared" si="8"/>
        <v>#VALUE!</v>
      </c>
      <c r="AL154" s="106"/>
      <c r="AM154" s="58"/>
      <c r="AN154" s="108"/>
      <c r="AO154" s="416"/>
    </row>
    <row r="155" spans="1:41" s="309" customFormat="1" ht="30.75" hidden="1" customHeight="1" x14ac:dyDescent="0.35">
      <c r="A155" s="252">
        <v>117</v>
      </c>
      <c r="B155" s="297">
        <v>44903</v>
      </c>
      <c r="C155" s="306" t="s">
        <v>374</v>
      </c>
      <c r="D155" s="305" t="s">
        <v>1375</v>
      </c>
      <c r="E155" s="400" t="s">
        <v>314</v>
      </c>
      <c r="F155" s="241" t="s">
        <v>315</v>
      </c>
      <c r="G155" s="206" t="s">
        <v>1375</v>
      </c>
      <c r="H155" s="250" t="s">
        <v>1375</v>
      </c>
      <c r="I155" s="251" t="s">
        <v>316</v>
      </c>
      <c r="J155" s="244" t="s">
        <v>251</v>
      </c>
      <c r="K155" s="297" t="s">
        <v>252</v>
      </c>
      <c r="L155" s="306" t="s">
        <v>252</v>
      </c>
      <c r="M155" s="563"/>
      <c r="N155" s="235" t="s">
        <v>71</v>
      </c>
      <c r="O155" s="343">
        <v>0</v>
      </c>
      <c r="P155" s="169">
        <f>0</f>
        <v>0</v>
      </c>
      <c r="Q155" s="169">
        <f>0</f>
        <v>0</v>
      </c>
      <c r="R155" s="169">
        <f>0</f>
        <v>0</v>
      </c>
      <c r="S155" s="169">
        <v>2</v>
      </c>
      <c r="T155" s="169">
        <f>0</f>
        <v>0</v>
      </c>
      <c r="U155" s="169">
        <f>0</f>
        <v>0</v>
      </c>
      <c r="V155" s="169">
        <f>0</f>
        <v>0</v>
      </c>
      <c r="W155" s="169">
        <f>0</f>
        <v>0</v>
      </c>
      <c r="X155" s="169">
        <f>0</f>
        <v>0</v>
      </c>
      <c r="Y155" s="169">
        <f>0</f>
        <v>0</v>
      </c>
      <c r="Z155" s="219">
        <f>0</f>
        <v>0</v>
      </c>
      <c r="AA155" s="128">
        <f t="shared" si="6"/>
        <v>2</v>
      </c>
      <c r="AB155" s="218">
        <f>0</f>
        <v>0</v>
      </c>
      <c r="AC155" s="137">
        <f t="shared" si="7"/>
        <v>2</v>
      </c>
      <c r="AD155" s="188"/>
      <c r="AE155" s="114" t="s">
        <v>284</v>
      </c>
      <c r="AF155" s="189" t="s">
        <v>294</v>
      </c>
      <c r="AG155" s="206"/>
      <c r="AH155" s="205"/>
      <c r="AI155" s="101"/>
      <c r="AJ155" s="107" t="s">
        <v>501</v>
      </c>
      <c r="AK155" s="203" t="e">
        <f t="shared" si="8"/>
        <v>#VALUE!</v>
      </c>
      <c r="AL155" s="106"/>
      <c r="AM155" s="58"/>
      <c r="AN155" s="108"/>
      <c r="AO155" s="416"/>
    </row>
    <row r="156" spans="1:41" s="120" customFormat="1" ht="30.75" hidden="1" customHeight="1" x14ac:dyDescent="0.35">
      <c r="A156" s="244">
        <v>124</v>
      </c>
      <c r="B156" s="297">
        <v>44903</v>
      </c>
      <c r="C156" s="306" t="s">
        <v>374</v>
      </c>
      <c r="D156" s="305" t="s">
        <v>376</v>
      </c>
      <c r="E156" s="400" t="s">
        <v>314</v>
      </c>
      <c r="F156" s="241" t="s">
        <v>1376</v>
      </c>
      <c r="G156" s="206" t="s">
        <v>376</v>
      </c>
      <c r="H156" s="250" t="s">
        <v>376</v>
      </c>
      <c r="I156" s="251" t="s">
        <v>316</v>
      </c>
      <c r="J156" s="244" t="s">
        <v>251</v>
      </c>
      <c r="K156" s="297" t="s">
        <v>252</v>
      </c>
      <c r="L156" s="306" t="s">
        <v>252</v>
      </c>
      <c r="M156" s="307"/>
      <c r="N156" s="235" t="s">
        <v>71</v>
      </c>
      <c r="O156" s="343">
        <v>0</v>
      </c>
      <c r="P156" s="169">
        <f>0</f>
        <v>0</v>
      </c>
      <c r="Q156" s="169">
        <f>0</f>
        <v>0</v>
      </c>
      <c r="R156" s="169">
        <f>0</f>
        <v>0</v>
      </c>
      <c r="S156" s="169">
        <v>1</v>
      </c>
      <c r="T156" s="169">
        <f>0</f>
        <v>0</v>
      </c>
      <c r="U156" s="169">
        <f>0</f>
        <v>0</v>
      </c>
      <c r="V156" s="169">
        <f>0</f>
        <v>0</v>
      </c>
      <c r="W156" s="169">
        <f>0</f>
        <v>0</v>
      </c>
      <c r="X156" s="169">
        <f>0</f>
        <v>0</v>
      </c>
      <c r="Y156" s="169">
        <f>0</f>
        <v>0</v>
      </c>
      <c r="Z156" s="219">
        <f>0</f>
        <v>0</v>
      </c>
      <c r="AA156" s="128">
        <f t="shared" si="6"/>
        <v>1</v>
      </c>
      <c r="AB156" s="218">
        <f>0</f>
        <v>0</v>
      </c>
      <c r="AC156" s="137">
        <f t="shared" si="7"/>
        <v>1</v>
      </c>
      <c r="AD156" s="188"/>
      <c r="AE156" s="114" t="s">
        <v>284</v>
      </c>
      <c r="AF156" s="189" t="s">
        <v>503</v>
      </c>
      <c r="AG156" s="206"/>
      <c r="AH156" s="205"/>
      <c r="AI156" s="101"/>
      <c r="AJ156" s="107"/>
      <c r="AK156" s="203">
        <f t="shared" si="8"/>
        <v>1</v>
      </c>
      <c r="AL156" s="106"/>
      <c r="AM156" s="58"/>
      <c r="AN156" s="108"/>
      <c r="AO156" s="416"/>
    </row>
    <row r="157" spans="1:41" s="120" customFormat="1" ht="30.75" hidden="1" customHeight="1" x14ac:dyDescent="0.35">
      <c r="A157" s="244">
        <v>128</v>
      </c>
      <c r="B157" s="297">
        <v>44903</v>
      </c>
      <c r="C157" s="306" t="s">
        <v>374</v>
      </c>
      <c r="D157" s="305" t="s">
        <v>381</v>
      </c>
      <c r="E157" s="236" t="s">
        <v>382</v>
      </c>
      <c r="F157" s="241" t="s">
        <v>383</v>
      </c>
      <c r="G157" s="206" t="s">
        <v>381</v>
      </c>
      <c r="H157" s="250" t="s">
        <v>381</v>
      </c>
      <c r="I157" s="251" t="s">
        <v>316</v>
      </c>
      <c r="J157" s="244" t="s">
        <v>251</v>
      </c>
      <c r="K157" s="297"/>
      <c r="L157" s="306"/>
      <c r="M157" s="307"/>
      <c r="N157" s="235" t="s">
        <v>71</v>
      </c>
      <c r="O157" s="343">
        <v>0</v>
      </c>
      <c r="P157" s="169">
        <f>0</f>
        <v>0</v>
      </c>
      <c r="Q157" s="169">
        <f>0</f>
        <v>0</v>
      </c>
      <c r="R157" s="169">
        <f>0</f>
        <v>0</v>
      </c>
      <c r="S157" s="169">
        <v>1</v>
      </c>
      <c r="T157" s="169">
        <f>0</f>
        <v>0</v>
      </c>
      <c r="U157" s="169">
        <f>0</f>
        <v>0</v>
      </c>
      <c r="V157" s="169">
        <f>0</f>
        <v>0</v>
      </c>
      <c r="W157" s="169">
        <f>0</f>
        <v>0</v>
      </c>
      <c r="X157" s="169">
        <f>0</f>
        <v>0</v>
      </c>
      <c r="Y157" s="169">
        <f>0</f>
        <v>0</v>
      </c>
      <c r="Z157" s="219">
        <f>0</f>
        <v>0</v>
      </c>
      <c r="AA157" s="128">
        <f t="shared" si="6"/>
        <v>1</v>
      </c>
      <c r="AB157" s="218">
        <f>0</f>
        <v>0</v>
      </c>
      <c r="AC157" s="137">
        <f t="shared" si="7"/>
        <v>1</v>
      </c>
      <c r="AD157" s="188"/>
      <c r="AE157" s="114" t="s">
        <v>284</v>
      </c>
      <c r="AF157" s="189" t="s">
        <v>294</v>
      </c>
      <c r="AG157" s="206"/>
      <c r="AH157" s="205"/>
      <c r="AI157" s="101"/>
      <c r="AJ157" s="107" t="s">
        <v>501</v>
      </c>
      <c r="AK157" s="203" t="e">
        <f t="shared" si="8"/>
        <v>#VALUE!</v>
      </c>
      <c r="AL157" s="106"/>
      <c r="AM157" s="58"/>
      <c r="AN157" s="108"/>
      <c r="AO157" s="416"/>
    </row>
    <row r="158" spans="1:41" s="120" customFormat="1" ht="30.75" hidden="1" customHeight="1" x14ac:dyDescent="0.35">
      <c r="A158" s="244">
        <v>129</v>
      </c>
      <c r="B158" s="297">
        <v>44903</v>
      </c>
      <c r="C158" s="306" t="s">
        <v>374</v>
      </c>
      <c r="D158" s="305" t="s">
        <v>384</v>
      </c>
      <c r="E158" s="400" t="s">
        <v>340</v>
      </c>
      <c r="F158" s="241" t="s">
        <v>385</v>
      </c>
      <c r="G158" s="206" t="s">
        <v>384</v>
      </c>
      <c r="H158" s="250" t="s">
        <v>384</v>
      </c>
      <c r="I158" s="251" t="s">
        <v>316</v>
      </c>
      <c r="J158" s="244" t="s">
        <v>251</v>
      </c>
      <c r="K158" s="297"/>
      <c r="L158" s="306"/>
      <c r="M158" s="307"/>
      <c r="N158" s="235" t="s">
        <v>71</v>
      </c>
      <c r="O158" s="343">
        <v>0</v>
      </c>
      <c r="P158" s="169">
        <f>0</f>
        <v>0</v>
      </c>
      <c r="Q158" s="169">
        <f>0</f>
        <v>0</v>
      </c>
      <c r="R158" s="169">
        <f>0</f>
        <v>0</v>
      </c>
      <c r="S158" s="169">
        <v>2</v>
      </c>
      <c r="T158" s="169">
        <f>0</f>
        <v>0</v>
      </c>
      <c r="U158" s="169">
        <f>0</f>
        <v>0</v>
      </c>
      <c r="V158" s="169">
        <f>0</f>
        <v>0</v>
      </c>
      <c r="W158" s="169">
        <f>0</f>
        <v>0</v>
      </c>
      <c r="X158" s="169">
        <f>0</f>
        <v>0</v>
      </c>
      <c r="Y158" s="169">
        <f>0</f>
        <v>0</v>
      </c>
      <c r="Z158" s="219">
        <f>0</f>
        <v>0</v>
      </c>
      <c r="AA158" s="128">
        <f t="shared" si="6"/>
        <v>2</v>
      </c>
      <c r="AB158" s="218">
        <f>0</f>
        <v>0</v>
      </c>
      <c r="AC158" s="137">
        <f t="shared" si="7"/>
        <v>2</v>
      </c>
      <c r="AD158" s="188"/>
      <c r="AE158" s="114" t="s">
        <v>284</v>
      </c>
      <c r="AF158" s="189" t="s">
        <v>294</v>
      </c>
      <c r="AG158" s="206"/>
      <c r="AH158" s="205"/>
      <c r="AI158" s="101"/>
      <c r="AJ158" s="107" t="s">
        <v>501</v>
      </c>
      <c r="AK158" s="203" t="e">
        <f t="shared" si="8"/>
        <v>#VALUE!</v>
      </c>
      <c r="AL158" s="106"/>
      <c r="AM158" s="58"/>
      <c r="AN158" s="108"/>
      <c r="AO158" s="416"/>
    </row>
    <row r="159" spans="1:41" s="120" customFormat="1" ht="30.75" hidden="1" customHeight="1" x14ac:dyDescent="0.35">
      <c r="A159" s="252">
        <v>130</v>
      </c>
      <c r="B159" s="297">
        <v>44903</v>
      </c>
      <c r="C159" s="306" t="s">
        <v>374</v>
      </c>
      <c r="D159" s="305" t="s">
        <v>386</v>
      </c>
      <c r="E159" s="400" t="s">
        <v>314</v>
      </c>
      <c r="F159" s="241" t="s">
        <v>315</v>
      </c>
      <c r="G159" s="206" t="s">
        <v>386</v>
      </c>
      <c r="H159" s="250" t="s">
        <v>386</v>
      </c>
      <c r="I159" s="251" t="s">
        <v>316</v>
      </c>
      <c r="J159" s="244" t="s">
        <v>251</v>
      </c>
      <c r="K159" s="297"/>
      <c r="L159" s="306"/>
      <c r="M159" s="307"/>
      <c r="N159" s="235" t="s">
        <v>71</v>
      </c>
      <c r="O159" s="343">
        <v>0</v>
      </c>
      <c r="P159" s="169">
        <f>0</f>
        <v>0</v>
      </c>
      <c r="Q159" s="169">
        <f>0</f>
        <v>0</v>
      </c>
      <c r="R159" s="169">
        <f>0</f>
        <v>0</v>
      </c>
      <c r="S159" s="169">
        <v>2</v>
      </c>
      <c r="T159" s="169">
        <f>0</f>
        <v>0</v>
      </c>
      <c r="U159" s="169">
        <f>0</f>
        <v>0</v>
      </c>
      <c r="V159" s="169">
        <f>0</f>
        <v>0</v>
      </c>
      <c r="W159" s="169">
        <f>0</f>
        <v>0</v>
      </c>
      <c r="X159" s="169">
        <f>0</f>
        <v>0</v>
      </c>
      <c r="Y159" s="169">
        <f>0</f>
        <v>0</v>
      </c>
      <c r="Z159" s="219">
        <f>0</f>
        <v>0</v>
      </c>
      <c r="AA159" s="128">
        <f t="shared" si="6"/>
        <v>2</v>
      </c>
      <c r="AB159" s="218">
        <f>0</f>
        <v>0</v>
      </c>
      <c r="AC159" s="137">
        <f t="shared" si="7"/>
        <v>2</v>
      </c>
      <c r="AD159" s="188"/>
      <c r="AE159" s="114" t="s">
        <v>284</v>
      </c>
      <c r="AF159" s="189" t="s">
        <v>294</v>
      </c>
      <c r="AG159" s="206"/>
      <c r="AH159" s="205"/>
      <c r="AI159" s="101"/>
      <c r="AJ159" s="107" t="s">
        <v>501</v>
      </c>
      <c r="AK159" s="203" t="e">
        <f t="shared" si="8"/>
        <v>#VALUE!</v>
      </c>
      <c r="AL159" s="106"/>
      <c r="AM159" s="58"/>
      <c r="AN159" s="108"/>
      <c r="AO159" s="416"/>
    </row>
    <row r="160" spans="1:41" s="120" customFormat="1" ht="30.75" hidden="1" customHeight="1" x14ac:dyDescent="0.35">
      <c r="A160" s="244">
        <v>135</v>
      </c>
      <c r="B160" s="297">
        <v>44903</v>
      </c>
      <c r="C160" s="306" t="s">
        <v>374</v>
      </c>
      <c r="D160" s="305" t="s">
        <v>384</v>
      </c>
      <c r="E160" s="400" t="s">
        <v>340</v>
      </c>
      <c r="F160" s="241" t="s">
        <v>385</v>
      </c>
      <c r="G160" s="206" t="s">
        <v>384</v>
      </c>
      <c r="H160" s="250" t="s">
        <v>384</v>
      </c>
      <c r="I160" s="251" t="s">
        <v>316</v>
      </c>
      <c r="J160" s="244" t="s">
        <v>251</v>
      </c>
      <c r="K160" s="297"/>
      <c r="L160" s="306"/>
      <c r="M160" s="310"/>
      <c r="N160" s="235" t="s">
        <v>71</v>
      </c>
      <c r="O160" s="343">
        <v>0</v>
      </c>
      <c r="P160" s="169">
        <f>0</f>
        <v>0</v>
      </c>
      <c r="Q160" s="169">
        <f>0</f>
        <v>0</v>
      </c>
      <c r="R160" s="169">
        <f>0</f>
        <v>0</v>
      </c>
      <c r="S160" s="169">
        <v>2</v>
      </c>
      <c r="T160" s="169">
        <f>0</f>
        <v>0</v>
      </c>
      <c r="U160" s="169">
        <f>0</f>
        <v>0</v>
      </c>
      <c r="V160" s="169">
        <f>0</f>
        <v>0</v>
      </c>
      <c r="W160" s="169">
        <f>0</f>
        <v>0</v>
      </c>
      <c r="X160" s="169">
        <f>0</f>
        <v>0</v>
      </c>
      <c r="Y160" s="169">
        <f>0</f>
        <v>0</v>
      </c>
      <c r="Z160" s="219">
        <f>0</f>
        <v>0</v>
      </c>
      <c r="AA160" s="128">
        <f t="shared" si="6"/>
        <v>2</v>
      </c>
      <c r="AB160" s="218">
        <f>0</f>
        <v>0</v>
      </c>
      <c r="AC160" s="137">
        <f t="shared" si="7"/>
        <v>2</v>
      </c>
      <c r="AD160" s="188"/>
      <c r="AE160" s="114" t="s">
        <v>284</v>
      </c>
      <c r="AF160" s="189" t="s">
        <v>294</v>
      </c>
      <c r="AG160" s="206"/>
      <c r="AH160" s="205"/>
      <c r="AI160" s="101"/>
      <c r="AJ160" s="107" t="s">
        <v>501</v>
      </c>
      <c r="AK160" s="203" t="e">
        <f t="shared" si="8"/>
        <v>#VALUE!</v>
      </c>
      <c r="AL160" s="106"/>
      <c r="AM160" s="58"/>
      <c r="AN160" s="108"/>
      <c r="AO160" s="416"/>
    </row>
    <row r="161" spans="1:41" s="120" customFormat="1" ht="30.75" hidden="1" customHeight="1" x14ac:dyDescent="0.35">
      <c r="A161" s="244">
        <v>136</v>
      </c>
      <c r="B161" s="297">
        <v>44903</v>
      </c>
      <c r="C161" s="306" t="s">
        <v>374</v>
      </c>
      <c r="D161" s="305" t="s">
        <v>1378</v>
      </c>
      <c r="E161" s="400" t="s">
        <v>314</v>
      </c>
      <c r="F161" s="241" t="s">
        <v>315</v>
      </c>
      <c r="G161" s="206" t="s">
        <v>1378</v>
      </c>
      <c r="H161" s="250" t="s">
        <v>1378</v>
      </c>
      <c r="I161" s="251" t="s">
        <v>316</v>
      </c>
      <c r="J161" s="244" t="s">
        <v>251</v>
      </c>
      <c r="K161" s="297"/>
      <c r="L161" s="306"/>
      <c r="M161" s="307"/>
      <c r="N161" s="235" t="s">
        <v>71</v>
      </c>
      <c r="O161" s="343">
        <v>0</v>
      </c>
      <c r="P161" s="169">
        <f>0</f>
        <v>0</v>
      </c>
      <c r="Q161" s="169">
        <f>0</f>
        <v>0</v>
      </c>
      <c r="R161" s="169">
        <f>0</f>
        <v>0</v>
      </c>
      <c r="S161" s="169">
        <v>2</v>
      </c>
      <c r="T161" s="169">
        <f>0</f>
        <v>0</v>
      </c>
      <c r="U161" s="169">
        <f>0</f>
        <v>0</v>
      </c>
      <c r="V161" s="169">
        <f>0</f>
        <v>0</v>
      </c>
      <c r="W161" s="169">
        <f>0</f>
        <v>0</v>
      </c>
      <c r="X161" s="169">
        <f>0</f>
        <v>0</v>
      </c>
      <c r="Y161" s="169">
        <f>0</f>
        <v>0</v>
      </c>
      <c r="Z161" s="219">
        <f>0</f>
        <v>0</v>
      </c>
      <c r="AA161" s="128">
        <f t="shared" si="6"/>
        <v>2</v>
      </c>
      <c r="AB161" s="218">
        <f>0</f>
        <v>0</v>
      </c>
      <c r="AC161" s="137">
        <f t="shared" si="7"/>
        <v>2</v>
      </c>
      <c r="AD161" s="188"/>
      <c r="AE161" s="114" t="s">
        <v>284</v>
      </c>
      <c r="AF161" s="189" t="s">
        <v>294</v>
      </c>
      <c r="AG161" s="206"/>
      <c r="AH161" s="205"/>
      <c r="AI161" s="101"/>
      <c r="AJ161" s="107" t="s">
        <v>501</v>
      </c>
      <c r="AK161" s="203" t="e">
        <f t="shared" si="8"/>
        <v>#VALUE!</v>
      </c>
      <c r="AL161" s="106"/>
      <c r="AM161" s="58"/>
      <c r="AN161" s="108"/>
      <c r="AO161" s="416"/>
    </row>
    <row r="162" spans="1:41" s="308" customFormat="1" ht="30.75" hidden="1" customHeight="1" x14ac:dyDescent="0.35">
      <c r="A162" s="244">
        <v>151</v>
      </c>
      <c r="B162" s="297">
        <v>44909</v>
      </c>
      <c r="C162" s="306" t="s">
        <v>374</v>
      </c>
      <c r="D162" s="305" t="s">
        <v>1382</v>
      </c>
      <c r="E162" s="316" t="s">
        <v>340</v>
      </c>
      <c r="F162" s="312" t="s">
        <v>315</v>
      </c>
      <c r="G162" s="229" t="s">
        <v>1382</v>
      </c>
      <c r="H162" s="314" t="s">
        <v>1383</v>
      </c>
      <c r="I162" s="315" t="s">
        <v>316</v>
      </c>
      <c r="J162" s="244" t="s">
        <v>251</v>
      </c>
      <c r="K162" s="297"/>
      <c r="L162" s="306"/>
      <c r="M162" s="307"/>
      <c r="N162" s="235" t="s">
        <v>71</v>
      </c>
      <c r="O162" s="343">
        <v>0</v>
      </c>
      <c r="P162" s="169">
        <f>0</f>
        <v>0</v>
      </c>
      <c r="Q162" s="169">
        <f>0</f>
        <v>0</v>
      </c>
      <c r="R162" s="169">
        <f>0</f>
        <v>0</v>
      </c>
      <c r="S162" s="169">
        <v>6</v>
      </c>
      <c r="T162" s="169">
        <f>0</f>
        <v>0</v>
      </c>
      <c r="U162" s="169">
        <f>0</f>
        <v>0</v>
      </c>
      <c r="V162" s="169">
        <f>0</f>
        <v>0</v>
      </c>
      <c r="W162" s="169">
        <f>0</f>
        <v>0</v>
      </c>
      <c r="X162" s="169">
        <f>0</f>
        <v>0</v>
      </c>
      <c r="Y162" s="169">
        <f>0</f>
        <v>0</v>
      </c>
      <c r="Z162" s="219">
        <f>0</f>
        <v>0</v>
      </c>
      <c r="AA162" s="128">
        <f t="shared" si="6"/>
        <v>6</v>
      </c>
      <c r="AB162" s="218">
        <f>0</f>
        <v>0</v>
      </c>
      <c r="AC162" s="137">
        <f t="shared" si="7"/>
        <v>6</v>
      </c>
      <c r="AD162" s="129"/>
      <c r="AE162" s="195" t="s">
        <v>531</v>
      </c>
      <c r="AF162" s="97" t="s">
        <v>44</v>
      </c>
      <c r="AG162" s="206"/>
      <c r="AH162" s="205"/>
      <c r="AI162" s="101"/>
      <c r="AJ162" s="102"/>
      <c r="AK162" s="207">
        <f t="shared" si="8"/>
        <v>6</v>
      </c>
      <c r="AL162" s="101"/>
      <c r="AM162" s="96"/>
      <c r="AN162" s="103"/>
      <c r="AO162" s="198"/>
    </row>
    <row r="163" spans="1:41" s="120" customFormat="1" ht="30.75" hidden="1" customHeight="1" x14ac:dyDescent="0.35">
      <c r="A163" s="252">
        <v>152</v>
      </c>
      <c r="B163" s="297">
        <v>44909</v>
      </c>
      <c r="C163" s="306" t="s">
        <v>374</v>
      </c>
      <c r="D163" s="305" t="s">
        <v>516</v>
      </c>
      <c r="E163" s="316" t="s">
        <v>324</v>
      </c>
      <c r="F163" s="312" t="s">
        <v>1384</v>
      </c>
      <c r="G163" s="229" t="s">
        <v>516</v>
      </c>
      <c r="H163" s="314" t="s">
        <v>516</v>
      </c>
      <c r="I163" s="315" t="s">
        <v>316</v>
      </c>
      <c r="J163" s="244" t="s">
        <v>251</v>
      </c>
      <c r="K163" s="297"/>
      <c r="L163" s="306"/>
      <c r="M163" s="307"/>
      <c r="N163" s="235" t="s">
        <v>71</v>
      </c>
      <c r="O163" s="343">
        <v>0</v>
      </c>
      <c r="P163" s="169">
        <f>0</f>
        <v>0</v>
      </c>
      <c r="Q163" s="169">
        <f>0</f>
        <v>0</v>
      </c>
      <c r="R163" s="169">
        <f>0</f>
        <v>0</v>
      </c>
      <c r="S163" s="169">
        <v>6</v>
      </c>
      <c r="T163" s="169">
        <f>0</f>
        <v>0</v>
      </c>
      <c r="U163" s="169">
        <f>0</f>
        <v>0</v>
      </c>
      <c r="V163" s="169">
        <f>0</f>
        <v>0</v>
      </c>
      <c r="W163" s="169">
        <f>0</f>
        <v>0</v>
      </c>
      <c r="X163" s="169">
        <f>0</f>
        <v>0</v>
      </c>
      <c r="Y163" s="169">
        <f>0</f>
        <v>0</v>
      </c>
      <c r="Z163" s="219">
        <f>0</f>
        <v>0</v>
      </c>
      <c r="AA163" s="128">
        <f t="shared" si="6"/>
        <v>6</v>
      </c>
      <c r="AB163" s="218">
        <f>0</f>
        <v>0</v>
      </c>
      <c r="AC163" s="137">
        <f t="shared" si="7"/>
        <v>6</v>
      </c>
      <c r="AD163" s="188"/>
      <c r="AE163" s="205" t="s">
        <v>531</v>
      </c>
      <c r="AF163" s="148" t="s">
        <v>44</v>
      </c>
      <c r="AG163" s="206"/>
      <c r="AH163" s="205"/>
      <c r="AI163" s="101"/>
      <c r="AJ163" s="102"/>
      <c r="AK163" s="207">
        <f t="shared" si="8"/>
        <v>6</v>
      </c>
      <c r="AL163" s="101"/>
      <c r="AM163" s="96"/>
      <c r="AN163" s="103"/>
      <c r="AO163" s="198"/>
    </row>
    <row r="164" spans="1:41" s="308" customFormat="1" ht="30.75" hidden="1" customHeight="1" x14ac:dyDescent="0.35">
      <c r="A164" s="244">
        <v>388</v>
      </c>
      <c r="B164" s="253">
        <v>44946</v>
      </c>
      <c r="C164" s="254" t="s">
        <v>456</v>
      </c>
      <c r="D164" s="233"/>
      <c r="E164" s="236"/>
      <c r="F164" s="241" t="s">
        <v>980</v>
      </c>
      <c r="G164" s="189" t="s">
        <v>1073</v>
      </c>
      <c r="H164" s="243" t="s">
        <v>1162</v>
      </c>
      <c r="I164" s="536" t="s">
        <v>1183</v>
      </c>
      <c r="J164" s="97"/>
      <c r="K164" s="189"/>
      <c r="L164" s="189"/>
      <c r="M164" s="189"/>
      <c r="N164" s="235"/>
      <c r="O164" s="417">
        <v>1</v>
      </c>
      <c r="P164" s="90">
        <v>0</v>
      </c>
      <c r="Q164" s="90">
        <v>0</v>
      </c>
      <c r="R164" s="90">
        <v>0</v>
      </c>
      <c r="S164" s="90">
        <v>0</v>
      </c>
      <c r="T164" s="90">
        <v>0</v>
      </c>
      <c r="U164" s="90">
        <v>0</v>
      </c>
      <c r="V164" s="90">
        <v>0</v>
      </c>
      <c r="W164" s="90">
        <v>0</v>
      </c>
      <c r="X164" s="90">
        <v>0</v>
      </c>
      <c r="Y164" s="90">
        <f>0</f>
        <v>0</v>
      </c>
      <c r="Z164" s="418">
        <f>0</f>
        <v>0</v>
      </c>
      <c r="AA164" s="149">
        <f t="shared" si="6"/>
        <v>1</v>
      </c>
      <c r="AB164" s="176"/>
      <c r="AC164" s="163">
        <f t="shared" si="7"/>
        <v>1</v>
      </c>
      <c r="AD164" s="188"/>
      <c r="AE164" s="205" t="s">
        <v>284</v>
      </c>
      <c r="AF164" s="189" t="s">
        <v>1468</v>
      </c>
      <c r="AG164" s="116"/>
      <c r="AH164" s="111"/>
      <c r="AI164" s="101" t="s">
        <v>1448</v>
      </c>
      <c r="AJ164" s="102">
        <v>1</v>
      </c>
      <c r="AK164" s="207">
        <f t="shared" si="8"/>
        <v>0</v>
      </c>
      <c r="AL164" s="101" t="s">
        <v>1483</v>
      </c>
      <c r="AM164" s="96"/>
      <c r="AN164" s="103"/>
      <c r="AO164" s="198"/>
    </row>
    <row r="165" spans="1:41" s="120" customFormat="1" ht="30.75" hidden="1" customHeight="1" x14ac:dyDescent="0.35">
      <c r="A165" s="244">
        <v>389</v>
      </c>
      <c r="B165" s="253">
        <v>44946</v>
      </c>
      <c r="C165" s="254" t="s">
        <v>456</v>
      </c>
      <c r="D165" s="233"/>
      <c r="E165" s="236"/>
      <c r="F165" s="241" t="s">
        <v>981</v>
      </c>
      <c r="G165" s="189" t="s">
        <v>1074</v>
      </c>
      <c r="H165" s="243" t="s">
        <v>1163</v>
      </c>
      <c r="I165" s="536" t="s">
        <v>1183</v>
      </c>
      <c r="J165" s="97"/>
      <c r="K165" s="189"/>
      <c r="L165" s="189"/>
      <c r="M165" s="189"/>
      <c r="N165" s="235"/>
      <c r="O165" s="417">
        <v>25</v>
      </c>
      <c r="P165" s="90">
        <v>0</v>
      </c>
      <c r="Q165" s="90">
        <v>0</v>
      </c>
      <c r="R165" s="90">
        <v>0</v>
      </c>
      <c r="S165" s="90">
        <v>0</v>
      </c>
      <c r="T165" s="90">
        <v>0</v>
      </c>
      <c r="U165" s="90">
        <v>0</v>
      </c>
      <c r="V165" s="90">
        <v>0</v>
      </c>
      <c r="W165" s="90">
        <v>0</v>
      </c>
      <c r="X165" s="90">
        <v>0</v>
      </c>
      <c r="Y165" s="90">
        <f>0</f>
        <v>0</v>
      </c>
      <c r="Z165" s="418">
        <f>0</f>
        <v>0</v>
      </c>
      <c r="AA165" s="149">
        <f t="shared" si="6"/>
        <v>25</v>
      </c>
      <c r="AB165" s="176">
        <v>25</v>
      </c>
      <c r="AC165" s="163">
        <f t="shared" si="7"/>
        <v>0</v>
      </c>
      <c r="AD165" s="188"/>
      <c r="AE165" s="205" t="s">
        <v>531</v>
      </c>
      <c r="AF165" s="189" t="s">
        <v>44</v>
      </c>
      <c r="AG165" s="116"/>
      <c r="AH165" s="111"/>
      <c r="AI165" s="101" t="s">
        <v>1448</v>
      </c>
      <c r="AJ165" s="102"/>
      <c r="AK165" s="207">
        <f t="shared" si="8"/>
        <v>0</v>
      </c>
      <c r="AL165" s="101" t="s">
        <v>1449</v>
      </c>
      <c r="AM165" s="96"/>
      <c r="AN165" s="103"/>
      <c r="AO165" s="198"/>
    </row>
    <row r="166" spans="1:41" s="120" customFormat="1" ht="30.75" hidden="1" customHeight="1" x14ac:dyDescent="0.35">
      <c r="A166" s="244">
        <v>390</v>
      </c>
      <c r="B166" s="253">
        <v>44946</v>
      </c>
      <c r="C166" s="254" t="s">
        <v>456</v>
      </c>
      <c r="D166" s="233"/>
      <c r="E166" s="236"/>
      <c r="F166" s="241" t="s">
        <v>982</v>
      </c>
      <c r="G166" s="189" t="s">
        <v>1075</v>
      </c>
      <c r="H166" s="243" t="s">
        <v>1164</v>
      </c>
      <c r="I166" s="536" t="s">
        <v>1183</v>
      </c>
      <c r="J166" s="97"/>
      <c r="K166" s="189"/>
      <c r="L166" s="189"/>
      <c r="M166" s="189"/>
      <c r="N166" s="235"/>
      <c r="O166" s="417">
        <v>1</v>
      </c>
      <c r="P166" s="90">
        <v>0</v>
      </c>
      <c r="Q166" s="90">
        <v>0</v>
      </c>
      <c r="R166" s="90">
        <v>0</v>
      </c>
      <c r="S166" s="90">
        <v>0</v>
      </c>
      <c r="T166" s="90">
        <v>0</v>
      </c>
      <c r="U166" s="90">
        <v>0</v>
      </c>
      <c r="V166" s="90">
        <v>0</v>
      </c>
      <c r="W166" s="90">
        <v>0</v>
      </c>
      <c r="X166" s="90">
        <v>0</v>
      </c>
      <c r="Y166" s="90">
        <f>0</f>
        <v>0</v>
      </c>
      <c r="Z166" s="418">
        <f>0</f>
        <v>0</v>
      </c>
      <c r="AA166" s="149">
        <f t="shared" si="6"/>
        <v>1</v>
      </c>
      <c r="AB166" s="176"/>
      <c r="AC166" s="163">
        <f t="shared" si="7"/>
        <v>1</v>
      </c>
      <c r="AD166" s="188">
        <v>44977</v>
      </c>
      <c r="AE166" s="205" t="s">
        <v>284</v>
      </c>
      <c r="AF166" s="189" t="s">
        <v>1463</v>
      </c>
      <c r="AG166" s="206"/>
      <c r="AH166" s="205"/>
      <c r="AI166" s="101" t="s">
        <v>1448</v>
      </c>
      <c r="AJ166" s="102">
        <v>1</v>
      </c>
      <c r="AK166" s="207">
        <f t="shared" si="8"/>
        <v>0</v>
      </c>
      <c r="AL166" s="101" t="s">
        <v>1469</v>
      </c>
      <c r="AM166" s="96"/>
      <c r="AN166" s="103"/>
      <c r="AO166" s="198"/>
    </row>
    <row r="167" spans="1:41" s="120" customFormat="1" ht="30.75" hidden="1" customHeight="1" x14ac:dyDescent="0.35">
      <c r="A167" s="252">
        <v>391</v>
      </c>
      <c r="B167" s="253">
        <v>44946</v>
      </c>
      <c r="C167" s="254" t="s">
        <v>456</v>
      </c>
      <c r="D167" s="233"/>
      <c r="E167" s="236"/>
      <c r="F167" s="241" t="s">
        <v>983</v>
      </c>
      <c r="G167" s="189" t="s">
        <v>1076</v>
      </c>
      <c r="H167" s="243" t="s">
        <v>1165</v>
      </c>
      <c r="I167" s="536" t="s">
        <v>1183</v>
      </c>
      <c r="J167" s="97"/>
      <c r="K167" s="189"/>
      <c r="L167" s="189"/>
      <c r="M167" s="189"/>
      <c r="N167" s="235"/>
      <c r="O167" s="343">
        <v>2</v>
      </c>
      <c r="P167" s="169">
        <v>0</v>
      </c>
      <c r="Q167" s="169">
        <v>0</v>
      </c>
      <c r="R167" s="169">
        <v>0</v>
      </c>
      <c r="S167" s="169">
        <v>0</v>
      </c>
      <c r="T167" s="169">
        <v>0</v>
      </c>
      <c r="U167" s="169">
        <v>0</v>
      </c>
      <c r="V167" s="169">
        <v>0</v>
      </c>
      <c r="W167" s="169">
        <v>0</v>
      </c>
      <c r="X167" s="169">
        <v>0</v>
      </c>
      <c r="Y167" s="169">
        <f>0</f>
        <v>0</v>
      </c>
      <c r="Z167" s="219">
        <f>0</f>
        <v>0</v>
      </c>
      <c r="AA167" s="128">
        <f t="shared" si="6"/>
        <v>2</v>
      </c>
      <c r="AB167" s="218">
        <v>2</v>
      </c>
      <c r="AC167" s="137">
        <f t="shared" si="7"/>
        <v>0</v>
      </c>
      <c r="AD167" s="188"/>
      <c r="AE167" s="205" t="s">
        <v>531</v>
      </c>
      <c r="AF167" s="189" t="s">
        <v>44</v>
      </c>
      <c r="AG167" s="206"/>
      <c r="AH167" s="205"/>
      <c r="AI167" s="101"/>
      <c r="AJ167" s="102" t="s">
        <v>297</v>
      </c>
      <c r="AK167" s="207" t="e">
        <f t="shared" si="8"/>
        <v>#VALUE!</v>
      </c>
      <c r="AL167" s="101" t="s">
        <v>1239</v>
      </c>
      <c r="AM167" s="96"/>
      <c r="AN167" s="103"/>
      <c r="AO167" s="198"/>
    </row>
    <row r="168" spans="1:41" s="308" customFormat="1" ht="30.75" hidden="1" customHeight="1" x14ac:dyDescent="0.35">
      <c r="A168" s="244">
        <v>392</v>
      </c>
      <c r="B168" s="253">
        <v>44946</v>
      </c>
      <c r="C168" s="254" t="s">
        <v>456</v>
      </c>
      <c r="D168" s="233"/>
      <c r="E168" s="236"/>
      <c r="F168" s="241" t="s">
        <v>984</v>
      </c>
      <c r="G168" s="189" t="s">
        <v>1077</v>
      </c>
      <c r="H168" s="243" t="s">
        <v>1166</v>
      </c>
      <c r="I168" s="536" t="s">
        <v>1183</v>
      </c>
      <c r="J168" s="97"/>
      <c r="K168" s="189"/>
      <c r="L168" s="189"/>
      <c r="M168" s="189"/>
      <c r="N168" s="235"/>
      <c r="O168" s="417">
        <v>50</v>
      </c>
      <c r="P168" s="90">
        <v>0</v>
      </c>
      <c r="Q168" s="90">
        <v>0</v>
      </c>
      <c r="R168" s="90">
        <v>0</v>
      </c>
      <c r="S168" s="90">
        <v>0</v>
      </c>
      <c r="T168" s="90">
        <v>0</v>
      </c>
      <c r="U168" s="90">
        <v>0</v>
      </c>
      <c r="V168" s="90">
        <v>0</v>
      </c>
      <c r="W168" s="90">
        <v>0</v>
      </c>
      <c r="X168" s="90">
        <v>0</v>
      </c>
      <c r="Y168" s="90">
        <f>0</f>
        <v>0</v>
      </c>
      <c r="Z168" s="418">
        <f>0</f>
        <v>0</v>
      </c>
      <c r="AA168" s="149">
        <f t="shared" si="6"/>
        <v>50</v>
      </c>
      <c r="AB168" s="176">
        <v>100</v>
      </c>
      <c r="AC168" s="163">
        <f t="shared" si="7"/>
        <v>-50</v>
      </c>
      <c r="AD168" s="188"/>
      <c r="AE168" s="205" t="s">
        <v>531</v>
      </c>
      <c r="AF168" s="189" t="s">
        <v>44</v>
      </c>
      <c r="AG168" s="116"/>
      <c r="AH168" s="111"/>
      <c r="AI168" s="101" t="s">
        <v>1448</v>
      </c>
      <c r="AJ168" s="102"/>
      <c r="AK168" s="207">
        <f t="shared" si="8"/>
        <v>-50</v>
      </c>
      <c r="AL168" s="101" t="s">
        <v>1449</v>
      </c>
      <c r="AM168" s="96"/>
      <c r="AN168" s="103"/>
      <c r="AO168" s="198"/>
    </row>
    <row r="169" spans="1:41" s="120" customFormat="1" ht="30.75" hidden="1" customHeight="1" x14ac:dyDescent="0.35">
      <c r="A169" s="244">
        <v>393</v>
      </c>
      <c r="B169" s="253">
        <v>44946</v>
      </c>
      <c r="C169" s="254" t="s">
        <v>456</v>
      </c>
      <c r="D169" s="233"/>
      <c r="E169" s="236"/>
      <c r="F169" s="241" t="s">
        <v>985</v>
      </c>
      <c r="G169" s="189" t="s">
        <v>1078</v>
      </c>
      <c r="H169" s="243" t="s">
        <v>1167</v>
      </c>
      <c r="I169" s="536" t="s">
        <v>1183</v>
      </c>
      <c r="J169" s="97"/>
      <c r="K169" s="189"/>
      <c r="L169" s="189"/>
      <c r="M169" s="189"/>
      <c r="N169" s="235"/>
      <c r="O169" s="417">
        <v>2</v>
      </c>
      <c r="P169" s="90">
        <v>0</v>
      </c>
      <c r="Q169" s="90">
        <v>0</v>
      </c>
      <c r="R169" s="90">
        <v>0</v>
      </c>
      <c r="S169" s="90">
        <v>0</v>
      </c>
      <c r="T169" s="90">
        <v>0</v>
      </c>
      <c r="U169" s="90">
        <v>0</v>
      </c>
      <c r="V169" s="90">
        <v>0</v>
      </c>
      <c r="W169" s="90">
        <v>0</v>
      </c>
      <c r="X169" s="90">
        <v>0</v>
      </c>
      <c r="Y169" s="90">
        <f>0</f>
        <v>0</v>
      </c>
      <c r="Z169" s="418">
        <f>0</f>
        <v>0</v>
      </c>
      <c r="AA169" s="149">
        <f t="shared" si="6"/>
        <v>2</v>
      </c>
      <c r="AB169" s="176"/>
      <c r="AC169" s="163">
        <f t="shared" si="7"/>
        <v>2</v>
      </c>
      <c r="AD169" s="188">
        <v>44977</v>
      </c>
      <c r="AE169" s="205" t="s">
        <v>284</v>
      </c>
      <c r="AF169" s="189" t="s">
        <v>1463</v>
      </c>
      <c r="AG169" s="116"/>
      <c r="AH169" s="180">
        <v>45033</v>
      </c>
      <c r="AI169" s="101" t="s">
        <v>1448</v>
      </c>
      <c r="AJ169" s="102">
        <v>2</v>
      </c>
      <c r="AK169" s="207">
        <f t="shared" si="8"/>
        <v>0</v>
      </c>
      <c r="AL169" s="101" t="s">
        <v>1587</v>
      </c>
      <c r="AM169" s="96"/>
      <c r="AN169" s="103"/>
      <c r="AO169" s="198"/>
    </row>
    <row r="170" spans="1:41" s="120" customFormat="1" ht="30.75" hidden="1" customHeight="1" x14ac:dyDescent="0.35">
      <c r="A170" s="244">
        <v>509</v>
      </c>
      <c r="B170" s="253">
        <v>44957</v>
      </c>
      <c r="C170" s="254" t="s">
        <v>456</v>
      </c>
      <c r="D170" s="233"/>
      <c r="E170" s="236"/>
      <c r="F170" s="241" t="s">
        <v>1309</v>
      </c>
      <c r="G170" s="189" t="s">
        <v>1310</v>
      </c>
      <c r="H170" s="243" t="s">
        <v>1311</v>
      </c>
      <c r="I170" s="251" t="s">
        <v>1183</v>
      </c>
      <c r="J170" s="97"/>
      <c r="K170" s="189"/>
      <c r="L170" s="189"/>
      <c r="M170" s="189"/>
      <c r="N170" s="235"/>
      <c r="O170" s="343">
        <v>0</v>
      </c>
      <c r="P170" s="169">
        <v>0</v>
      </c>
      <c r="Q170" s="169">
        <v>0</v>
      </c>
      <c r="R170" s="169">
        <v>0</v>
      </c>
      <c r="S170" s="169">
        <v>0</v>
      </c>
      <c r="T170" s="169">
        <v>0</v>
      </c>
      <c r="U170" s="169">
        <v>0</v>
      </c>
      <c r="V170" s="169">
        <v>0</v>
      </c>
      <c r="W170" s="169">
        <v>0</v>
      </c>
      <c r="X170" s="169">
        <v>0</v>
      </c>
      <c r="Y170" s="169">
        <v>0</v>
      </c>
      <c r="Z170" s="219">
        <v>0</v>
      </c>
      <c r="AA170" s="128">
        <f t="shared" si="6"/>
        <v>0</v>
      </c>
      <c r="AB170" s="218">
        <v>2</v>
      </c>
      <c r="AC170" s="137">
        <f t="shared" si="7"/>
        <v>-2</v>
      </c>
      <c r="AD170" s="188"/>
      <c r="AE170" s="205"/>
      <c r="AF170" s="189" t="s">
        <v>294</v>
      </c>
      <c r="AG170" s="206"/>
      <c r="AH170" s="205"/>
      <c r="AI170" s="101"/>
      <c r="AJ170" s="102" t="s">
        <v>501</v>
      </c>
      <c r="AK170" s="207" t="e">
        <f t="shared" si="8"/>
        <v>#VALUE!</v>
      </c>
      <c r="AL170" s="101"/>
      <c r="AM170" s="96"/>
      <c r="AN170" s="103"/>
      <c r="AO170" s="198"/>
    </row>
    <row r="171" spans="1:41" s="120" customFormat="1" ht="30.75" hidden="1" customHeight="1" x14ac:dyDescent="0.35">
      <c r="A171" s="252">
        <v>510</v>
      </c>
      <c r="B171" s="253">
        <v>44957</v>
      </c>
      <c r="C171" s="254" t="s">
        <v>456</v>
      </c>
      <c r="D171" s="233"/>
      <c r="E171" s="236"/>
      <c r="F171" s="241" t="s">
        <v>1312</v>
      </c>
      <c r="G171" s="189" t="s">
        <v>1313</v>
      </c>
      <c r="H171" s="243" t="s">
        <v>1314</v>
      </c>
      <c r="I171" s="251" t="s">
        <v>1183</v>
      </c>
      <c r="J171" s="97"/>
      <c r="K171" s="189"/>
      <c r="L171" s="189"/>
      <c r="M171" s="189"/>
      <c r="N171" s="235"/>
      <c r="O171" s="343">
        <v>0</v>
      </c>
      <c r="P171" s="169">
        <v>0</v>
      </c>
      <c r="Q171" s="169">
        <v>0</v>
      </c>
      <c r="R171" s="169">
        <v>0</v>
      </c>
      <c r="S171" s="169">
        <v>0</v>
      </c>
      <c r="T171" s="169">
        <v>0</v>
      </c>
      <c r="U171" s="169">
        <v>0</v>
      </c>
      <c r="V171" s="169">
        <v>0</v>
      </c>
      <c r="W171" s="169">
        <v>0</v>
      </c>
      <c r="X171" s="169">
        <v>0</v>
      </c>
      <c r="Y171" s="169">
        <v>0</v>
      </c>
      <c r="Z171" s="219">
        <v>0</v>
      </c>
      <c r="AA171" s="128">
        <f t="shared" si="6"/>
        <v>0</v>
      </c>
      <c r="AB171" s="218">
        <v>2</v>
      </c>
      <c r="AC171" s="137">
        <f t="shared" si="7"/>
        <v>-2</v>
      </c>
      <c r="AD171" s="188"/>
      <c r="AE171" s="205"/>
      <c r="AF171" s="189" t="s">
        <v>294</v>
      </c>
      <c r="AG171" s="206"/>
      <c r="AH171" s="205"/>
      <c r="AI171" s="101"/>
      <c r="AJ171" s="102" t="s">
        <v>501</v>
      </c>
      <c r="AK171" s="207" t="e">
        <f t="shared" si="8"/>
        <v>#VALUE!</v>
      </c>
      <c r="AL171" s="101"/>
      <c r="AM171" s="96"/>
      <c r="AN171" s="103"/>
      <c r="AO171" s="198"/>
    </row>
    <row r="172" spans="1:41" s="120" customFormat="1" ht="30.75" hidden="1" customHeight="1" x14ac:dyDescent="0.35">
      <c r="A172" s="244">
        <v>511</v>
      </c>
      <c r="B172" s="253">
        <v>44957</v>
      </c>
      <c r="C172" s="254" t="s">
        <v>456</v>
      </c>
      <c r="D172" s="233"/>
      <c r="E172" s="400"/>
      <c r="F172" s="241" t="s">
        <v>984</v>
      </c>
      <c r="G172" s="189" t="s">
        <v>1077</v>
      </c>
      <c r="H172" s="243" t="s">
        <v>1166</v>
      </c>
      <c r="I172" s="251" t="s">
        <v>1183</v>
      </c>
      <c r="J172" s="97"/>
      <c r="K172" s="189"/>
      <c r="L172" s="189"/>
      <c r="M172" s="189"/>
      <c r="N172" s="235"/>
      <c r="O172" s="417">
        <v>0</v>
      </c>
      <c r="P172" s="90">
        <v>0</v>
      </c>
      <c r="Q172" s="90">
        <v>0</v>
      </c>
      <c r="R172" s="90">
        <v>0</v>
      </c>
      <c r="S172" s="90">
        <v>0</v>
      </c>
      <c r="T172" s="90">
        <v>0</v>
      </c>
      <c r="U172" s="90">
        <v>0</v>
      </c>
      <c r="V172" s="90">
        <v>0</v>
      </c>
      <c r="W172" s="90">
        <v>0</v>
      </c>
      <c r="X172" s="90">
        <v>0</v>
      </c>
      <c r="Y172" s="90">
        <v>0</v>
      </c>
      <c r="Z172" s="418">
        <v>0</v>
      </c>
      <c r="AA172" s="149">
        <f t="shared" si="6"/>
        <v>0</v>
      </c>
      <c r="AB172" s="176"/>
      <c r="AC172" s="163">
        <f t="shared" si="7"/>
        <v>0</v>
      </c>
      <c r="AD172" s="188"/>
      <c r="AE172" s="205"/>
      <c r="AF172" s="189"/>
      <c r="AG172" s="206"/>
      <c r="AH172" s="205"/>
      <c r="AI172" s="101"/>
      <c r="AJ172" s="102"/>
      <c r="AK172" s="207">
        <f t="shared" si="8"/>
        <v>0</v>
      </c>
      <c r="AL172" s="101"/>
      <c r="AM172" s="96"/>
      <c r="AN172" s="103"/>
      <c r="AO172" s="198"/>
    </row>
    <row r="173" spans="1:41" s="120" customFormat="1" ht="30.75" hidden="1" customHeight="1" x14ac:dyDescent="0.35">
      <c r="A173" s="244">
        <v>512</v>
      </c>
      <c r="B173" s="253">
        <v>44957</v>
      </c>
      <c r="C173" s="254" t="s">
        <v>456</v>
      </c>
      <c r="D173" s="233"/>
      <c r="E173" s="236"/>
      <c r="F173" s="241" t="s">
        <v>1315</v>
      </c>
      <c r="G173" s="189" t="s">
        <v>1316</v>
      </c>
      <c r="H173" s="243" t="s">
        <v>1317</v>
      </c>
      <c r="I173" s="251" t="s">
        <v>1183</v>
      </c>
      <c r="J173" s="97"/>
      <c r="K173" s="189"/>
      <c r="L173" s="189"/>
      <c r="M173" s="189"/>
      <c r="N173" s="235"/>
      <c r="O173" s="343">
        <v>0</v>
      </c>
      <c r="P173" s="169">
        <v>0</v>
      </c>
      <c r="Q173" s="169">
        <v>0</v>
      </c>
      <c r="R173" s="169">
        <v>0</v>
      </c>
      <c r="S173" s="169">
        <v>0</v>
      </c>
      <c r="T173" s="169">
        <v>0</v>
      </c>
      <c r="U173" s="169">
        <v>0</v>
      </c>
      <c r="V173" s="169">
        <v>0</v>
      </c>
      <c r="W173" s="169">
        <v>0</v>
      </c>
      <c r="X173" s="169">
        <v>0</v>
      </c>
      <c r="Y173" s="169">
        <v>0</v>
      </c>
      <c r="Z173" s="219">
        <v>0</v>
      </c>
      <c r="AA173" s="128">
        <f t="shared" si="6"/>
        <v>0</v>
      </c>
      <c r="AB173" s="218">
        <v>2</v>
      </c>
      <c r="AC173" s="137">
        <f t="shared" si="7"/>
        <v>-2</v>
      </c>
      <c r="AD173" s="188"/>
      <c r="AE173" s="205"/>
      <c r="AF173" s="189" t="s">
        <v>294</v>
      </c>
      <c r="AG173" s="206"/>
      <c r="AH173" s="205"/>
      <c r="AI173" s="101"/>
      <c r="AJ173" s="102" t="s">
        <v>501</v>
      </c>
      <c r="AK173" s="207" t="e">
        <f t="shared" si="8"/>
        <v>#VALUE!</v>
      </c>
      <c r="AL173" s="101"/>
      <c r="AM173" s="96"/>
      <c r="AN173" s="103"/>
      <c r="AO173" s="198"/>
    </row>
    <row r="174" spans="1:41" s="120" customFormat="1" ht="30.75" hidden="1" customHeight="1" x14ac:dyDescent="0.35">
      <c r="A174" s="244">
        <v>513</v>
      </c>
      <c r="B174" s="253">
        <v>44957</v>
      </c>
      <c r="C174" s="254" t="s">
        <v>456</v>
      </c>
      <c r="D174" s="233"/>
      <c r="E174" s="236"/>
      <c r="F174" s="241" t="s">
        <v>1318</v>
      </c>
      <c r="G174" s="189" t="s">
        <v>1319</v>
      </c>
      <c r="H174" s="243" t="s">
        <v>1320</v>
      </c>
      <c r="I174" s="251" t="s">
        <v>1183</v>
      </c>
      <c r="J174" s="97"/>
      <c r="K174" s="189"/>
      <c r="L174" s="189"/>
      <c r="M174" s="189"/>
      <c r="N174" s="235"/>
      <c r="O174" s="343">
        <v>0</v>
      </c>
      <c r="P174" s="169">
        <v>0</v>
      </c>
      <c r="Q174" s="169">
        <v>0</v>
      </c>
      <c r="R174" s="169">
        <v>0</v>
      </c>
      <c r="S174" s="169">
        <v>0</v>
      </c>
      <c r="T174" s="169">
        <v>0</v>
      </c>
      <c r="U174" s="169">
        <v>0</v>
      </c>
      <c r="V174" s="169">
        <v>0</v>
      </c>
      <c r="W174" s="169">
        <v>0</v>
      </c>
      <c r="X174" s="169">
        <v>0</v>
      </c>
      <c r="Y174" s="169">
        <v>0</v>
      </c>
      <c r="Z174" s="219">
        <v>0</v>
      </c>
      <c r="AA174" s="128">
        <f t="shared" si="6"/>
        <v>0</v>
      </c>
      <c r="AB174" s="218">
        <v>2</v>
      </c>
      <c r="AC174" s="137">
        <f t="shared" si="7"/>
        <v>-2</v>
      </c>
      <c r="AD174" s="188"/>
      <c r="AE174" s="205"/>
      <c r="AF174" s="148" t="s">
        <v>294</v>
      </c>
      <c r="AG174" s="206"/>
      <c r="AH174" s="205"/>
      <c r="AI174" s="101"/>
      <c r="AJ174" s="102" t="s">
        <v>501</v>
      </c>
      <c r="AK174" s="207" t="e">
        <f t="shared" si="8"/>
        <v>#VALUE!</v>
      </c>
      <c r="AL174" s="101"/>
      <c r="AM174" s="96"/>
      <c r="AN174" s="103"/>
      <c r="AO174" s="198"/>
    </row>
    <row r="175" spans="1:41" s="120" customFormat="1" ht="30.75" hidden="1" customHeight="1" x14ac:dyDescent="0.35">
      <c r="A175" s="252">
        <v>514</v>
      </c>
      <c r="B175" s="253">
        <v>44957</v>
      </c>
      <c r="C175" s="254" t="s">
        <v>456</v>
      </c>
      <c r="D175" s="233"/>
      <c r="E175" s="400"/>
      <c r="F175" s="241" t="s">
        <v>981</v>
      </c>
      <c r="G175" s="189" t="s">
        <v>1074</v>
      </c>
      <c r="H175" s="243" t="s">
        <v>1163</v>
      </c>
      <c r="I175" s="251" t="s">
        <v>1183</v>
      </c>
      <c r="J175" s="97"/>
      <c r="K175" s="189"/>
      <c r="L175" s="189"/>
      <c r="M175" s="189"/>
      <c r="N175" s="235"/>
      <c r="O175" s="417">
        <v>0</v>
      </c>
      <c r="P175" s="90">
        <v>0</v>
      </c>
      <c r="Q175" s="90">
        <v>0</v>
      </c>
      <c r="R175" s="90">
        <v>0</v>
      </c>
      <c r="S175" s="90">
        <v>0</v>
      </c>
      <c r="T175" s="90">
        <v>0</v>
      </c>
      <c r="U175" s="90">
        <v>0</v>
      </c>
      <c r="V175" s="90">
        <v>0</v>
      </c>
      <c r="W175" s="90">
        <v>0</v>
      </c>
      <c r="X175" s="90">
        <v>0</v>
      </c>
      <c r="Y175" s="90">
        <v>0</v>
      </c>
      <c r="Z175" s="418">
        <v>0</v>
      </c>
      <c r="AA175" s="149">
        <f t="shared" si="6"/>
        <v>0</v>
      </c>
      <c r="AB175" s="176"/>
      <c r="AC175" s="163">
        <f t="shared" si="7"/>
        <v>0</v>
      </c>
      <c r="AD175" s="188"/>
      <c r="AE175" s="205"/>
      <c r="AF175" s="148"/>
      <c r="AG175" s="206"/>
      <c r="AH175" s="205"/>
      <c r="AI175" s="101"/>
      <c r="AJ175" s="102"/>
      <c r="AK175" s="207">
        <f t="shared" si="8"/>
        <v>0</v>
      </c>
      <c r="AL175" s="101"/>
      <c r="AM175" s="96"/>
      <c r="AN175" s="103"/>
      <c r="AO175" s="198"/>
    </row>
    <row r="176" spans="1:41" s="308" customFormat="1" ht="30.75" hidden="1" customHeight="1" x14ac:dyDescent="0.35">
      <c r="A176" s="244">
        <v>92</v>
      </c>
      <c r="B176" s="297">
        <v>44903</v>
      </c>
      <c r="C176" s="306" t="s">
        <v>374</v>
      </c>
      <c r="D176" s="305" t="s">
        <v>317</v>
      </c>
      <c r="E176" s="236" t="s">
        <v>318</v>
      </c>
      <c r="F176" s="241" t="s">
        <v>319</v>
      </c>
      <c r="G176" s="206" t="s">
        <v>317</v>
      </c>
      <c r="H176" s="250" t="s">
        <v>317</v>
      </c>
      <c r="I176" s="251" t="s">
        <v>320</v>
      </c>
      <c r="J176" s="244" t="s">
        <v>251</v>
      </c>
      <c r="K176" s="297" t="s">
        <v>252</v>
      </c>
      <c r="L176" s="306" t="s">
        <v>252</v>
      </c>
      <c r="M176" s="189"/>
      <c r="N176" s="235" t="s">
        <v>71</v>
      </c>
      <c r="O176" s="343">
        <v>0</v>
      </c>
      <c r="P176" s="169">
        <f>0</f>
        <v>0</v>
      </c>
      <c r="Q176" s="169">
        <f>0</f>
        <v>0</v>
      </c>
      <c r="R176" s="169">
        <f>0</f>
        <v>0</v>
      </c>
      <c r="S176" s="169">
        <v>10</v>
      </c>
      <c r="T176" s="169">
        <f>0</f>
        <v>0</v>
      </c>
      <c r="U176" s="169">
        <f>0</f>
        <v>0</v>
      </c>
      <c r="V176" s="169">
        <f>0</f>
        <v>0</v>
      </c>
      <c r="W176" s="169">
        <f>0</f>
        <v>0</v>
      </c>
      <c r="X176" s="169">
        <f>0</f>
        <v>0</v>
      </c>
      <c r="Y176" s="169">
        <f>0</f>
        <v>0</v>
      </c>
      <c r="Z176" s="219">
        <f>0</f>
        <v>0</v>
      </c>
      <c r="AA176" s="128">
        <f t="shared" si="6"/>
        <v>10</v>
      </c>
      <c r="AB176" s="218">
        <f>0</f>
        <v>0</v>
      </c>
      <c r="AC176" s="137">
        <f t="shared" si="7"/>
        <v>10</v>
      </c>
      <c r="AD176" s="188">
        <v>44911</v>
      </c>
      <c r="AE176" s="205" t="s">
        <v>284</v>
      </c>
      <c r="AF176" s="222" t="s">
        <v>537</v>
      </c>
      <c r="AG176" s="206"/>
      <c r="AH176" s="205" t="s">
        <v>506</v>
      </c>
      <c r="AI176" s="101"/>
      <c r="AJ176" s="102">
        <v>10</v>
      </c>
      <c r="AK176" s="207">
        <f t="shared" si="8"/>
        <v>0</v>
      </c>
      <c r="AL176" s="101"/>
      <c r="AM176" s="96"/>
      <c r="AN176" s="103"/>
      <c r="AO176" s="198"/>
    </row>
    <row r="177" spans="1:41" s="120" customFormat="1" ht="30.75" hidden="1" customHeight="1" x14ac:dyDescent="0.35">
      <c r="A177" s="244">
        <v>93</v>
      </c>
      <c r="B177" s="297">
        <v>44903</v>
      </c>
      <c r="C177" s="306" t="s">
        <v>374</v>
      </c>
      <c r="D177" s="305" t="s">
        <v>1364</v>
      </c>
      <c r="E177" s="236" t="s">
        <v>321</v>
      </c>
      <c r="F177" s="241" t="s">
        <v>322</v>
      </c>
      <c r="G177" s="206" t="s">
        <v>1364</v>
      </c>
      <c r="H177" s="250" t="s">
        <v>1364</v>
      </c>
      <c r="I177" s="251" t="s">
        <v>320</v>
      </c>
      <c r="J177" s="244" t="s">
        <v>251</v>
      </c>
      <c r="K177" s="297" t="s">
        <v>252</v>
      </c>
      <c r="L177" s="306" t="s">
        <v>252</v>
      </c>
      <c r="M177" s="189"/>
      <c r="N177" s="235" t="s">
        <v>71</v>
      </c>
      <c r="O177" s="343">
        <v>0</v>
      </c>
      <c r="P177" s="169">
        <f>0</f>
        <v>0</v>
      </c>
      <c r="Q177" s="169">
        <f>0</f>
        <v>0</v>
      </c>
      <c r="R177" s="169">
        <f>0</f>
        <v>0</v>
      </c>
      <c r="S177" s="169">
        <v>4</v>
      </c>
      <c r="T177" s="169">
        <f>0</f>
        <v>0</v>
      </c>
      <c r="U177" s="169">
        <f>0</f>
        <v>0</v>
      </c>
      <c r="V177" s="169">
        <f>0</f>
        <v>0</v>
      </c>
      <c r="W177" s="169">
        <f>0</f>
        <v>0</v>
      </c>
      <c r="X177" s="169">
        <f>0</f>
        <v>0</v>
      </c>
      <c r="Y177" s="169">
        <f>0</f>
        <v>0</v>
      </c>
      <c r="Z177" s="219">
        <f>0</f>
        <v>0</v>
      </c>
      <c r="AA177" s="128">
        <f t="shared" si="6"/>
        <v>4</v>
      </c>
      <c r="AB177" s="218">
        <f>0</f>
        <v>0</v>
      </c>
      <c r="AC177" s="137">
        <f t="shared" si="7"/>
        <v>4</v>
      </c>
      <c r="AD177" s="188">
        <v>44911</v>
      </c>
      <c r="AE177" s="205" t="s">
        <v>284</v>
      </c>
      <c r="AF177" s="222" t="s">
        <v>537</v>
      </c>
      <c r="AG177" s="206"/>
      <c r="AH177" s="205" t="s">
        <v>506</v>
      </c>
      <c r="AI177" s="101"/>
      <c r="AJ177" s="102">
        <v>4</v>
      </c>
      <c r="AK177" s="207">
        <f t="shared" si="8"/>
        <v>0</v>
      </c>
      <c r="AL177" s="101"/>
      <c r="AM177" s="96"/>
      <c r="AN177" s="103"/>
      <c r="AO177" s="198"/>
    </row>
    <row r="178" spans="1:41" s="308" customFormat="1" ht="30.75" hidden="1" customHeight="1" x14ac:dyDescent="0.35">
      <c r="A178" s="244">
        <v>94</v>
      </c>
      <c r="B178" s="297">
        <v>44903</v>
      </c>
      <c r="C178" s="306" t="s">
        <v>374</v>
      </c>
      <c r="D178" s="305" t="s">
        <v>1365</v>
      </c>
      <c r="E178" s="236" t="s">
        <v>321</v>
      </c>
      <c r="F178" s="241" t="s">
        <v>322</v>
      </c>
      <c r="G178" s="206" t="s">
        <v>1365</v>
      </c>
      <c r="H178" s="250" t="s">
        <v>1365</v>
      </c>
      <c r="I178" s="251" t="s">
        <v>320</v>
      </c>
      <c r="J178" s="244" t="s">
        <v>251</v>
      </c>
      <c r="K178" s="297" t="s">
        <v>252</v>
      </c>
      <c r="L178" s="306" t="s">
        <v>252</v>
      </c>
      <c r="M178" s="189"/>
      <c r="N178" s="235" t="s">
        <v>71</v>
      </c>
      <c r="O178" s="343">
        <v>0</v>
      </c>
      <c r="P178" s="169">
        <f>0</f>
        <v>0</v>
      </c>
      <c r="Q178" s="169">
        <f>0</f>
        <v>0</v>
      </c>
      <c r="R178" s="169">
        <f>0</f>
        <v>0</v>
      </c>
      <c r="S178" s="169">
        <v>2</v>
      </c>
      <c r="T178" s="169">
        <f>0</f>
        <v>0</v>
      </c>
      <c r="U178" s="169">
        <f>0</f>
        <v>0</v>
      </c>
      <c r="V178" s="169">
        <f>0</f>
        <v>0</v>
      </c>
      <c r="W178" s="169">
        <f>0</f>
        <v>0</v>
      </c>
      <c r="X178" s="169">
        <f>0</f>
        <v>0</v>
      </c>
      <c r="Y178" s="169">
        <f>0</f>
        <v>0</v>
      </c>
      <c r="Z178" s="219">
        <f>0</f>
        <v>0</v>
      </c>
      <c r="AA178" s="128">
        <f t="shared" si="6"/>
        <v>2</v>
      </c>
      <c r="AB178" s="218">
        <f>0</f>
        <v>0</v>
      </c>
      <c r="AC178" s="137">
        <f t="shared" si="7"/>
        <v>2</v>
      </c>
      <c r="AD178" s="129">
        <v>44911</v>
      </c>
      <c r="AE178" s="195" t="s">
        <v>284</v>
      </c>
      <c r="AF178" s="220" t="s">
        <v>537</v>
      </c>
      <c r="AG178" s="206"/>
      <c r="AH178" s="205" t="s">
        <v>506</v>
      </c>
      <c r="AI178" s="101"/>
      <c r="AJ178" s="102">
        <v>2</v>
      </c>
      <c r="AK178" s="207">
        <f t="shared" si="8"/>
        <v>0</v>
      </c>
      <c r="AL178" s="101"/>
      <c r="AM178" s="96"/>
      <c r="AN178" s="103"/>
      <c r="AO178" s="198"/>
    </row>
    <row r="179" spans="1:41" s="120" customFormat="1" ht="30.75" hidden="1" customHeight="1" x14ac:dyDescent="0.35">
      <c r="A179" s="252">
        <v>125</v>
      </c>
      <c r="B179" s="297">
        <v>44903</v>
      </c>
      <c r="C179" s="306" t="s">
        <v>374</v>
      </c>
      <c r="D179" s="305" t="s">
        <v>377</v>
      </c>
      <c r="E179" s="236" t="s">
        <v>324</v>
      </c>
      <c r="F179" s="241" t="s">
        <v>322</v>
      </c>
      <c r="G179" s="206" t="s">
        <v>377</v>
      </c>
      <c r="H179" s="250" t="s">
        <v>377</v>
      </c>
      <c r="I179" s="251" t="s">
        <v>320</v>
      </c>
      <c r="J179" s="244" t="s">
        <v>251</v>
      </c>
      <c r="K179" s="297" t="s">
        <v>252</v>
      </c>
      <c r="L179" s="306" t="s">
        <v>252</v>
      </c>
      <c r="M179" s="307"/>
      <c r="N179" s="235" t="s">
        <v>71</v>
      </c>
      <c r="O179" s="343">
        <v>0</v>
      </c>
      <c r="P179" s="169">
        <f>0</f>
        <v>0</v>
      </c>
      <c r="Q179" s="169">
        <f>0</f>
        <v>0</v>
      </c>
      <c r="R179" s="169">
        <f>0</f>
        <v>0</v>
      </c>
      <c r="S179" s="169">
        <v>1</v>
      </c>
      <c r="T179" s="169">
        <f>0</f>
        <v>0</v>
      </c>
      <c r="U179" s="169">
        <f>0</f>
        <v>0</v>
      </c>
      <c r="V179" s="169">
        <f>0</f>
        <v>0</v>
      </c>
      <c r="W179" s="169">
        <f>0</f>
        <v>0</v>
      </c>
      <c r="X179" s="169">
        <f>0</f>
        <v>0</v>
      </c>
      <c r="Y179" s="169">
        <f>0</f>
        <v>0</v>
      </c>
      <c r="Z179" s="219">
        <f>0</f>
        <v>0</v>
      </c>
      <c r="AA179" s="128">
        <f t="shared" si="6"/>
        <v>1</v>
      </c>
      <c r="AB179" s="218">
        <v>2</v>
      </c>
      <c r="AC179" s="137">
        <f t="shared" si="7"/>
        <v>-1</v>
      </c>
      <c r="AD179" s="188">
        <v>44911</v>
      </c>
      <c r="AE179" s="205" t="s">
        <v>284</v>
      </c>
      <c r="AF179" s="221" t="s">
        <v>1348</v>
      </c>
      <c r="AG179" s="206"/>
      <c r="AH179" s="205"/>
      <c r="AI179" s="101"/>
      <c r="AJ179" s="102">
        <v>1</v>
      </c>
      <c r="AK179" s="207">
        <f t="shared" si="8"/>
        <v>-2</v>
      </c>
      <c r="AL179" s="101" t="s">
        <v>582</v>
      </c>
      <c r="AM179" s="96"/>
      <c r="AN179" s="103"/>
      <c r="AO179" s="198"/>
    </row>
    <row r="180" spans="1:41" s="120" customFormat="1" ht="30.75" hidden="1" customHeight="1" x14ac:dyDescent="0.35">
      <c r="A180" s="244">
        <v>126</v>
      </c>
      <c r="B180" s="297">
        <v>44903</v>
      </c>
      <c r="C180" s="306" t="s">
        <v>374</v>
      </c>
      <c r="D180" s="305" t="s">
        <v>378</v>
      </c>
      <c r="E180" s="236" t="s">
        <v>324</v>
      </c>
      <c r="F180" s="241" t="s">
        <v>379</v>
      </c>
      <c r="G180" s="206" t="s">
        <v>378</v>
      </c>
      <c r="H180" s="250" t="s">
        <v>378</v>
      </c>
      <c r="I180" s="251" t="s">
        <v>320</v>
      </c>
      <c r="J180" s="244" t="s">
        <v>251</v>
      </c>
      <c r="K180" s="297" t="s">
        <v>252</v>
      </c>
      <c r="L180" s="306" t="s">
        <v>252</v>
      </c>
      <c r="M180" s="307"/>
      <c r="N180" s="235" t="s">
        <v>71</v>
      </c>
      <c r="O180" s="343">
        <v>0</v>
      </c>
      <c r="P180" s="169">
        <f>0</f>
        <v>0</v>
      </c>
      <c r="Q180" s="169">
        <f>0</f>
        <v>0</v>
      </c>
      <c r="R180" s="169">
        <f>0</f>
        <v>0</v>
      </c>
      <c r="S180" s="169">
        <v>1</v>
      </c>
      <c r="T180" s="169">
        <f>0</f>
        <v>0</v>
      </c>
      <c r="U180" s="169">
        <f>0</f>
        <v>0</v>
      </c>
      <c r="V180" s="169">
        <f>0</f>
        <v>0</v>
      </c>
      <c r="W180" s="169">
        <f>0</f>
        <v>0</v>
      </c>
      <c r="X180" s="169">
        <f>0</f>
        <v>0</v>
      </c>
      <c r="Y180" s="169">
        <f>0</f>
        <v>0</v>
      </c>
      <c r="Z180" s="219">
        <f>0</f>
        <v>0</v>
      </c>
      <c r="AA180" s="128">
        <f t="shared" si="6"/>
        <v>1</v>
      </c>
      <c r="AB180" s="218">
        <v>2</v>
      </c>
      <c r="AC180" s="137">
        <f t="shared" si="7"/>
        <v>-1</v>
      </c>
      <c r="AD180" s="188">
        <v>44911</v>
      </c>
      <c r="AE180" s="205" t="s">
        <v>284</v>
      </c>
      <c r="AF180" s="221" t="s">
        <v>1348</v>
      </c>
      <c r="AG180" s="206"/>
      <c r="AH180" s="205"/>
      <c r="AI180" s="101"/>
      <c r="AJ180" s="102"/>
      <c r="AK180" s="207">
        <f t="shared" si="8"/>
        <v>-1</v>
      </c>
      <c r="AL180" s="101" t="s">
        <v>582</v>
      </c>
      <c r="AM180" s="96"/>
      <c r="AN180" s="103"/>
      <c r="AO180" s="198"/>
    </row>
    <row r="181" spans="1:41" s="120" customFormat="1" ht="30.75" hidden="1" customHeight="1" x14ac:dyDescent="0.35">
      <c r="A181" s="244">
        <v>137</v>
      </c>
      <c r="B181" s="297">
        <v>44903</v>
      </c>
      <c r="C181" s="306" t="s">
        <v>374</v>
      </c>
      <c r="D181" s="305" t="s">
        <v>378</v>
      </c>
      <c r="E181" s="236" t="s">
        <v>324</v>
      </c>
      <c r="F181" s="241" t="s">
        <v>379</v>
      </c>
      <c r="G181" s="206" t="s">
        <v>378</v>
      </c>
      <c r="H181" s="250" t="s">
        <v>378</v>
      </c>
      <c r="I181" s="251" t="s">
        <v>320</v>
      </c>
      <c r="J181" s="244" t="s">
        <v>251</v>
      </c>
      <c r="K181" s="297"/>
      <c r="L181" s="306"/>
      <c r="M181" s="307"/>
      <c r="N181" s="235" t="s">
        <v>71</v>
      </c>
      <c r="O181" s="343">
        <v>0</v>
      </c>
      <c r="P181" s="169">
        <f>0</f>
        <v>0</v>
      </c>
      <c r="Q181" s="169">
        <f>0</f>
        <v>0</v>
      </c>
      <c r="R181" s="169">
        <f>0</f>
        <v>0</v>
      </c>
      <c r="S181" s="169">
        <v>1</v>
      </c>
      <c r="T181" s="169">
        <f>0</f>
        <v>0</v>
      </c>
      <c r="U181" s="169">
        <f>0</f>
        <v>0</v>
      </c>
      <c r="V181" s="169">
        <f>0</f>
        <v>0</v>
      </c>
      <c r="W181" s="169">
        <f>0</f>
        <v>0</v>
      </c>
      <c r="X181" s="169">
        <f>0</f>
        <v>0</v>
      </c>
      <c r="Y181" s="169">
        <f>0</f>
        <v>0</v>
      </c>
      <c r="Z181" s="219">
        <f>0</f>
        <v>0</v>
      </c>
      <c r="AA181" s="128">
        <f t="shared" si="6"/>
        <v>1</v>
      </c>
      <c r="AB181" s="218">
        <v>2</v>
      </c>
      <c r="AC181" s="137">
        <f t="shared" si="7"/>
        <v>-1</v>
      </c>
      <c r="AD181" s="188">
        <v>44911</v>
      </c>
      <c r="AE181" s="205" t="s">
        <v>284</v>
      </c>
      <c r="AF181" s="221" t="s">
        <v>1348</v>
      </c>
      <c r="AG181" s="206"/>
      <c r="AH181" s="205"/>
      <c r="AI181" s="101"/>
      <c r="AJ181" s="102"/>
      <c r="AK181" s="207">
        <f t="shared" si="8"/>
        <v>-1</v>
      </c>
      <c r="AL181" s="101" t="s">
        <v>582</v>
      </c>
      <c r="AM181" s="96"/>
      <c r="AN181" s="103"/>
      <c r="AO181" s="198"/>
    </row>
    <row r="182" spans="1:41" s="120" customFormat="1" ht="30.75" hidden="1" customHeight="1" x14ac:dyDescent="0.35">
      <c r="A182" s="244">
        <v>138</v>
      </c>
      <c r="B182" s="297">
        <v>44903</v>
      </c>
      <c r="C182" s="306" t="s">
        <v>374</v>
      </c>
      <c r="D182" s="305" t="s">
        <v>1379</v>
      </c>
      <c r="E182" s="236" t="s">
        <v>324</v>
      </c>
      <c r="F182" s="241" t="s">
        <v>322</v>
      </c>
      <c r="G182" s="206" t="s">
        <v>1379</v>
      </c>
      <c r="H182" s="250" t="s">
        <v>1379</v>
      </c>
      <c r="I182" s="251" t="s">
        <v>320</v>
      </c>
      <c r="J182" s="244" t="s">
        <v>251</v>
      </c>
      <c r="K182" s="297"/>
      <c r="L182" s="306"/>
      <c r="M182" s="307"/>
      <c r="N182" s="235" t="s">
        <v>71</v>
      </c>
      <c r="O182" s="343">
        <v>0</v>
      </c>
      <c r="P182" s="169">
        <f>0</f>
        <v>0</v>
      </c>
      <c r="Q182" s="169">
        <f>0</f>
        <v>0</v>
      </c>
      <c r="R182" s="169">
        <f>0</f>
        <v>0</v>
      </c>
      <c r="S182" s="169">
        <v>1</v>
      </c>
      <c r="T182" s="169">
        <f>0</f>
        <v>0</v>
      </c>
      <c r="U182" s="169">
        <f>0</f>
        <v>0</v>
      </c>
      <c r="V182" s="169">
        <f>0</f>
        <v>0</v>
      </c>
      <c r="W182" s="169">
        <f>0</f>
        <v>0</v>
      </c>
      <c r="X182" s="169">
        <f>0</f>
        <v>0</v>
      </c>
      <c r="Y182" s="169">
        <f>0</f>
        <v>0</v>
      </c>
      <c r="Z182" s="219">
        <f>0</f>
        <v>0</v>
      </c>
      <c r="AA182" s="128">
        <f t="shared" si="6"/>
        <v>1</v>
      </c>
      <c r="AB182" s="218">
        <v>2</v>
      </c>
      <c r="AC182" s="137">
        <f t="shared" si="7"/>
        <v>-1</v>
      </c>
      <c r="AD182" s="188">
        <v>44911</v>
      </c>
      <c r="AE182" s="205" t="s">
        <v>284</v>
      </c>
      <c r="AF182" s="221" t="s">
        <v>1348</v>
      </c>
      <c r="AG182" s="206"/>
      <c r="AH182" s="205"/>
      <c r="AI182" s="101"/>
      <c r="AJ182" s="102">
        <v>1</v>
      </c>
      <c r="AK182" s="207">
        <f t="shared" si="8"/>
        <v>-2</v>
      </c>
      <c r="AL182" s="101" t="s">
        <v>582</v>
      </c>
      <c r="AM182" s="96"/>
      <c r="AN182" s="103"/>
      <c r="AO182" s="198"/>
    </row>
    <row r="183" spans="1:41" s="308" customFormat="1" ht="30.75" hidden="1" customHeight="1" x14ac:dyDescent="0.35">
      <c r="A183" s="252">
        <v>181</v>
      </c>
      <c r="B183" s="253">
        <v>44923</v>
      </c>
      <c r="C183" s="254" t="s">
        <v>254</v>
      </c>
      <c r="D183" s="305" t="s">
        <v>611</v>
      </c>
      <c r="E183" s="318" t="s">
        <v>321</v>
      </c>
      <c r="F183" s="319" t="s">
        <v>322</v>
      </c>
      <c r="G183" s="320"/>
      <c r="H183" s="321" t="s">
        <v>612</v>
      </c>
      <c r="I183" s="321" t="s">
        <v>320</v>
      </c>
      <c r="J183" s="97" t="s">
        <v>251</v>
      </c>
      <c r="K183" s="189" t="s">
        <v>252</v>
      </c>
      <c r="L183" s="189" t="s">
        <v>252</v>
      </c>
      <c r="M183" s="189" t="s">
        <v>252</v>
      </c>
      <c r="N183" s="235" t="s">
        <v>615</v>
      </c>
      <c r="O183" s="343">
        <f>0</f>
        <v>0</v>
      </c>
      <c r="P183" s="169">
        <f>0</f>
        <v>0</v>
      </c>
      <c r="Q183" s="169">
        <f>0</f>
        <v>0</v>
      </c>
      <c r="R183" s="169">
        <f>0</f>
        <v>0</v>
      </c>
      <c r="S183" s="169">
        <f>0</f>
        <v>0</v>
      </c>
      <c r="T183" s="169">
        <f>0</f>
        <v>0</v>
      </c>
      <c r="U183" s="169">
        <v>2</v>
      </c>
      <c r="V183" s="169">
        <f>0</f>
        <v>0</v>
      </c>
      <c r="W183" s="169">
        <f>0</f>
        <v>0</v>
      </c>
      <c r="X183" s="169">
        <f>0</f>
        <v>0</v>
      </c>
      <c r="Y183" s="169">
        <f>0</f>
        <v>0</v>
      </c>
      <c r="Z183" s="219">
        <f>0</f>
        <v>0</v>
      </c>
      <c r="AA183" s="128">
        <f t="shared" si="6"/>
        <v>2</v>
      </c>
      <c r="AB183" s="218"/>
      <c r="AC183" s="137">
        <f t="shared" si="7"/>
        <v>2</v>
      </c>
      <c r="AD183" s="188">
        <v>44930</v>
      </c>
      <c r="AE183" s="205" t="s">
        <v>284</v>
      </c>
      <c r="AF183" s="222" t="s">
        <v>537</v>
      </c>
      <c r="AG183" s="206"/>
      <c r="AH183" s="205"/>
      <c r="AI183" s="101"/>
      <c r="AJ183" s="102">
        <v>2</v>
      </c>
      <c r="AK183" s="207">
        <f t="shared" si="8"/>
        <v>0</v>
      </c>
      <c r="AL183" s="101" t="s">
        <v>1430</v>
      </c>
      <c r="AM183" s="96"/>
      <c r="AN183" s="103"/>
      <c r="AO183" s="198"/>
    </row>
    <row r="184" spans="1:41" s="308" customFormat="1" ht="30.75" hidden="1" customHeight="1" x14ac:dyDescent="0.35">
      <c r="A184" s="244">
        <v>182</v>
      </c>
      <c r="B184" s="253">
        <v>44923</v>
      </c>
      <c r="C184" s="254" t="s">
        <v>254</v>
      </c>
      <c r="D184" s="305" t="s">
        <v>613</v>
      </c>
      <c r="E184" s="318" t="s">
        <v>363</v>
      </c>
      <c r="F184" s="319" t="s">
        <v>379</v>
      </c>
      <c r="G184" s="320"/>
      <c r="H184" s="321" t="s">
        <v>613</v>
      </c>
      <c r="I184" s="321" t="s">
        <v>320</v>
      </c>
      <c r="J184" s="97" t="s">
        <v>251</v>
      </c>
      <c r="K184" s="189" t="s">
        <v>252</v>
      </c>
      <c r="L184" s="189" t="s">
        <v>252</v>
      </c>
      <c r="M184" s="189" t="s">
        <v>252</v>
      </c>
      <c r="N184" s="235" t="s">
        <v>615</v>
      </c>
      <c r="O184" s="343">
        <f>0</f>
        <v>0</v>
      </c>
      <c r="P184" s="169">
        <f>0</f>
        <v>0</v>
      </c>
      <c r="Q184" s="169">
        <f>0</f>
        <v>0</v>
      </c>
      <c r="R184" s="169">
        <f>0</f>
        <v>0</v>
      </c>
      <c r="S184" s="169">
        <f>0</f>
        <v>0</v>
      </c>
      <c r="T184" s="169">
        <f>0</f>
        <v>0</v>
      </c>
      <c r="U184" s="169">
        <v>2</v>
      </c>
      <c r="V184" s="169">
        <f>0</f>
        <v>0</v>
      </c>
      <c r="W184" s="169">
        <f>0</f>
        <v>0</v>
      </c>
      <c r="X184" s="169">
        <f>0</f>
        <v>0</v>
      </c>
      <c r="Y184" s="169">
        <f>0</f>
        <v>0</v>
      </c>
      <c r="Z184" s="219">
        <f>0</f>
        <v>0</v>
      </c>
      <c r="AA184" s="128">
        <f t="shared" si="6"/>
        <v>2</v>
      </c>
      <c r="AB184" s="218">
        <v>2</v>
      </c>
      <c r="AC184" s="137">
        <f t="shared" si="7"/>
        <v>0</v>
      </c>
      <c r="AD184" s="129"/>
      <c r="AE184" s="195"/>
      <c r="AF184" s="97" t="s">
        <v>590</v>
      </c>
      <c r="AG184" s="206"/>
      <c r="AH184" s="205"/>
      <c r="AI184" s="101"/>
      <c r="AJ184" s="102">
        <v>2</v>
      </c>
      <c r="AK184" s="207">
        <f t="shared" si="8"/>
        <v>-2</v>
      </c>
      <c r="AL184" s="101" t="s">
        <v>736</v>
      </c>
      <c r="AM184" s="96"/>
      <c r="AN184" s="103"/>
      <c r="AO184" s="198"/>
    </row>
    <row r="185" spans="1:41" s="308" customFormat="1" ht="30.75" hidden="1" customHeight="1" x14ac:dyDescent="0.35">
      <c r="A185" s="244">
        <v>205</v>
      </c>
      <c r="B185" s="253">
        <v>44924</v>
      </c>
      <c r="C185" s="254" t="s">
        <v>308</v>
      </c>
      <c r="D185" s="305" t="s">
        <v>677</v>
      </c>
      <c r="E185" s="236" t="s">
        <v>330</v>
      </c>
      <c r="F185" s="185" t="s">
        <v>379</v>
      </c>
      <c r="G185" s="206" t="s">
        <v>678</v>
      </c>
      <c r="H185" s="250" t="s">
        <v>679</v>
      </c>
      <c r="I185" s="251" t="s">
        <v>320</v>
      </c>
      <c r="J185" s="231" t="s">
        <v>251</v>
      </c>
      <c r="K185" s="229" t="s">
        <v>252</v>
      </c>
      <c r="L185" s="229" t="s">
        <v>252</v>
      </c>
      <c r="M185" s="229"/>
      <c r="N185" s="235" t="s">
        <v>694</v>
      </c>
      <c r="O185" s="343">
        <f>0</f>
        <v>0</v>
      </c>
      <c r="P185" s="169">
        <f>0</f>
        <v>0</v>
      </c>
      <c r="Q185" s="169">
        <f>0</f>
        <v>0</v>
      </c>
      <c r="R185" s="169">
        <f>0</f>
        <v>0</v>
      </c>
      <c r="S185" s="169">
        <f>0</f>
        <v>0</v>
      </c>
      <c r="T185" s="169">
        <v>8</v>
      </c>
      <c r="U185" s="169">
        <f>0</f>
        <v>0</v>
      </c>
      <c r="V185" s="169">
        <f>0</f>
        <v>0</v>
      </c>
      <c r="W185" s="169">
        <f>0</f>
        <v>0</v>
      </c>
      <c r="X185" s="169">
        <f>0</f>
        <v>0</v>
      </c>
      <c r="Y185" s="169">
        <f>0</f>
        <v>0</v>
      </c>
      <c r="Z185" s="219">
        <f>0</f>
        <v>0</v>
      </c>
      <c r="AA185" s="128">
        <f t="shared" si="6"/>
        <v>8</v>
      </c>
      <c r="AB185" s="218"/>
      <c r="AC185" s="137">
        <f t="shared" si="7"/>
        <v>8</v>
      </c>
      <c r="AD185" s="129">
        <v>44930</v>
      </c>
      <c r="AE185" s="195" t="s">
        <v>284</v>
      </c>
      <c r="AF185" s="220" t="s">
        <v>537</v>
      </c>
      <c r="AG185" s="206"/>
      <c r="AH185" s="205"/>
      <c r="AI185" s="101"/>
      <c r="AJ185" s="102">
        <v>8</v>
      </c>
      <c r="AK185" s="207">
        <f t="shared" si="8"/>
        <v>0</v>
      </c>
      <c r="AL185" s="101" t="s">
        <v>1430</v>
      </c>
      <c r="AM185" s="96"/>
      <c r="AN185" s="103"/>
      <c r="AO185" s="198"/>
    </row>
    <row r="186" spans="1:41" s="120" customFormat="1" ht="30.75" hidden="1" customHeight="1" x14ac:dyDescent="0.35">
      <c r="A186" s="244">
        <v>206</v>
      </c>
      <c r="B186" s="253">
        <v>44924</v>
      </c>
      <c r="C186" s="254" t="s">
        <v>308</v>
      </c>
      <c r="D186" s="305" t="s">
        <v>689</v>
      </c>
      <c r="E186" s="236" t="s">
        <v>382</v>
      </c>
      <c r="F186" s="185" t="s">
        <v>322</v>
      </c>
      <c r="G186" s="196" t="s">
        <v>680</v>
      </c>
      <c r="H186" s="247" t="s">
        <v>681</v>
      </c>
      <c r="I186" s="248" t="s">
        <v>320</v>
      </c>
      <c r="J186" s="231" t="s">
        <v>251</v>
      </c>
      <c r="K186" s="229" t="s">
        <v>252</v>
      </c>
      <c r="L186" s="229" t="s">
        <v>252</v>
      </c>
      <c r="M186" s="229" t="s">
        <v>689</v>
      </c>
      <c r="N186" s="235" t="s">
        <v>694</v>
      </c>
      <c r="O186" s="343">
        <f>0</f>
        <v>0</v>
      </c>
      <c r="P186" s="169">
        <f>0</f>
        <v>0</v>
      </c>
      <c r="Q186" s="169">
        <f>0</f>
        <v>0</v>
      </c>
      <c r="R186" s="169">
        <f>0</f>
        <v>0</v>
      </c>
      <c r="S186" s="169">
        <f>0</f>
        <v>0</v>
      </c>
      <c r="T186" s="169">
        <v>4</v>
      </c>
      <c r="U186" s="169">
        <f>0</f>
        <v>0</v>
      </c>
      <c r="V186" s="169">
        <f>0</f>
        <v>0</v>
      </c>
      <c r="W186" s="169">
        <f>0</f>
        <v>0</v>
      </c>
      <c r="X186" s="169">
        <f>0</f>
        <v>0</v>
      </c>
      <c r="Y186" s="169">
        <f>0</f>
        <v>0</v>
      </c>
      <c r="Z186" s="219">
        <f>0</f>
        <v>0</v>
      </c>
      <c r="AA186" s="128">
        <f t="shared" si="6"/>
        <v>4</v>
      </c>
      <c r="AB186" s="218"/>
      <c r="AC186" s="137">
        <f t="shared" si="7"/>
        <v>4</v>
      </c>
      <c r="AD186" s="188">
        <v>44930</v>
      </c>
      <c r="AE186" s="205" t="s">
        <v>284</v>
      </c>
      <c r="AF186" s="222" t="s">
        <v>537</v>
      </c>
      <c r="AG186" s="206"/>
      <c r="AH186" s="205"/>
      <c r="AI186" s="101"/>
      <c r="AJ186" s="102">
        <v>4</v>
      </c>
      <c r="AK186" s="207">
        <f t="shared" si="8"/>
        <v>0</v>
      </c>
      <c r="AL186" s="101" t="s">
        <v>1430</v>
      </c>
      <c r="AM186" s="96"/>
      <c r="AN186" s="103"/>
      <c r="AO186" s="198"/>
    </row>
    <row r="187" spans="1:41" s="120" customFormat="1" ht="30.75" hidden="1" customHeight="1" x14ac:dyDescent="0.35">
      <c r="A187" s="252">
        <v>207</v>
      </c>
      <c r="B187" s="253">
        <v>44924</v>
      </c>
      <c r="C187" s="254" t="s">
        <v>308</v>
      </c>
      <c r="D187" s="305" t="s">
        <v>690</v>
      </c>
      <c r="E187" s="318" t="s">
        <v>382</v>
      </c>
      <c r="F187" s="319" t="s">
        <v>322</v>
      </c>
      <c r="G187" s="320" t="s">
        <v>680</v>
      </c>
      <c r="H187" s="321" t="s">
        <v>681</v>
      </c>
      <c r="I187" s="321" t="s">
        <v>320</v>
      </c>
      <c r="J187" s="231" t="s">
        <v>251</v>
      </c>
      <c r="K187" s="229" t="s">
        <v>252</v>
      </c>
      <c r="L187" s="229" t="s">
        <v>252</v>
      </c>
      <c r="M187" s="229" t="s">
        <v>690</v>
      </c>
      <c r="N187" s="235" t="s">
        <v>694</v>
      </c>
      <c r="O187" s="343">
        <f>0</f>
        <v>0</v>
      </c>
      <c r="P187" s="169">
        <f>0</f>
        <v>0</v>
      </c>
      <c r="Q187" s="169">
        <f>0</f>
        <v>0</v>
      </c>
      <c r="R187" s="169">
        <f>0</f>
        <v>0</v>
      </c>
      <c r="S187" s="169">
        <f>0</f>
        <v>0</v>
      </c>
      <c r="T187" s="169">
        <v>2</v>
      </c>
      <c r="U187" s="169">
        <f>0</f>
        <v>0</v>
      </c>
      <c r="V187" s="169">
        <f>0</f>
        <v>0</v>
      </c>
      <c r="W187" s="169">
        <f>0</f>
        <v>0</v>
      </c>
      <c r="X187" s="169">
        <f>0</f>
        <v>0</v>
      </c>
      <c r="Y187" s="169">
        <f>0</f>
        <v>0</v>
      </c>
      <c r="Z187" s="219">
        <f>0</f>
        <v>0</v>
      </c>
      <c r="AA187" s="128">
        <f t="shared" si="6"/>
        <v>2</v>
      </c>
      <c r="AB187" s="218"/>
      <c r="AC187" s="137">
        <f t="shared" si="7"/>
        <v>2</v>
      </c>
      <c r="AD187" s="188">
        <v>44930</v>
      </c>
      <c r="AE187" s="205" t="s">
        <v>284</v>
      </c>
      <c r="AF187" s="222" t="s">
        <v>537</v>
      </c>
      <c r="AG187" s="206"/>
      <c r="AH187" s="205"/>
      <c r="AI187" s="101"/>
      <c r="AJ187" s="102">
        <v>2</v>
      </c>
      <c r="AK187" s="207">
        <f t="shared" si="8"/>
        <v>0</v>
      </c>
      <c r="AL187" s="101" t="s">
        <v>1430</v>
      </c>
      <c r="AM187" s="96"/>
      <c r="AN187" s="103"/>
      <c r="AO187" s="198"/>
    </row>
    <row r="188" spans="1:41" s="308" customFormat="1" ht="30.75" hidden="1" customHeight="1" x14ac:dyDescent="0.35">
      <c r="A188" s="244">
        <v>276</v>
      </c>
      <c r="B188" s="253">
        <v>44943</v>
      </c>
      <c r="C188" s="254" t="s">
        <v>254</v>
      </c>
      <c r="D188" s="233" t="s">
        <v>782</v>
      </c>
      <c r="E188" s="318"/>
      <c r="F188" s="319" t="s">
        <v>783</v>
      </c>
      <c r="G188" s="318" t="s">
        <v>782</v>
      </c>
      <c r="H188" s="318" t="s">
        <v>782</v>
      </c>
      <c r="I188" s="321" t="s">
        <v>320</v>
      </c>
      <c r="J188" s="231"/>
      <c r="K188" s="229"/>
      <c r="L188" s="229"/>
      <c r="M188" s="229" t="s">
        <v>252</v>
      </c>
      <c r="N188" s="235" t="s">
        <v>252</v>
      </c>
      <c r="O188" s="343">
        <v>0</v>
      </c>
      <c r="P188" s="169">
        <f>0</f>
        <v>0</v>
      </c>
      <c r="Q188" s="169">
        <f>0</f>
        <v>0</v>
      </c>
      <c r="R188" s="169">
        <f>0</f>
        <v>0</v>
      </c>
      <c r="S188" s="169">
        <f>0</f>
        <v>0</v>
      </c>
      <c r="T188" s="169">
        <f>0</f>
        <v>0</v>
      </c>
      <c r="U188" s="169">
        <v>1</v>
      </c>
      <c r="V188" s="169">
        <f>0</f>
        <v>0</v>
      </c>
      <c r="W188" s="169">
        <f>0</f>
        <v>0</v>
      </c>
      <c r="X188" s="169">
        <f>0</f>
        <v>0</v>
      </c>
      <c r="Y188" s="169">
        <f>0</f>
        <v>0</v>
      </c>
      <c r="Z188" s="219">
        <f>0</f>
        <v>0</v>
      </c>
      <c r="AA188" s="128">
        <f t="shared" si="6"/>
        <v>1</v>
      </c>
      <c r="AB188" s="218">
        <v>1</v>
      </c>
      <c r="AC188" s="137">
        <f t="shared" si="7"/>
        <v>0</v>
      </c>
      <c r="AD188" s="188"/>
      <c r="AE188" s="205" t="s">
        <v>284</v>
      </c>
      <c r="AF188" s="189" t="s">
        <v>590</v>
      </c>
      <c r="AG188" s="206"/>
      <c r="AH188" s="205"/>
      <c r="AI188" s="101"/>
      <c r="AJ188" s="102" t="s">
        <v>286</v>
      </c>
      <c r="AK188" s="207" t="e">
        <f t="shared" si="8"/>
        <v>#VALUE!</v>
      </c>
      <c r="AL188" s="101" t="s">
        <v>1296</v>
      </c>
      <c r="AM188" s="96"/>
      <c r="AN188" s="103"/>
      <c r="AO188" s="198"/>
    </row>
    <row r="189" spans="1:41" s="308" customFormat="1" ht="30.75" hidden="1" customHeight="1" x14ac:dyDescent="0.35">
      <c r="A189" s="244">
        <v>277</v>
      </c>
      <c r="B189" s="253">
        <v>44943</v>
      </c>
      <c r="C189" s="254" t="s">
        <v>254</v>
      </c>
      <c r="D189" s="233" t="s">
        <v>784</v>
      </c>
      <c r="E189" s="318"/>
      <c r="F189" s="319" t="s">
        <v>785</v>
      </c>
      <c r="G189" s="318" t="s">
        <v>784</v>
      </c>
      <c r="H189" s="318" t="s">
        <v>784</v>
      </c>
      <c r="I189" s="321" t="s">
        <v>320</v>
      </c>
      <c r="J189" s="231"/>
      <c r="K189" s="229"/>
      <c r="L189" s="229"/>
      <c r="M189" s="229" t="s">
        <v>252</v>
      </c>
      <c r="N189" s="235" t="s">
        <v>252</v>
      </c>
      <c r="O189" s="343">
        <v>0</v>
      </c>
      <c r="P189" s="169">
        <f>0</f>
        <v>0</v>
      </c>
      <c r="Q189" s="169">
        <f>0</f>
        <v>0</v>
      </c>
      <c r="R189" s="169">
        <f>0</f>
        <v>0</v>
      </c>
      <c r="S189" s="169">
        <f>0</f>
        <v>0</v>
      </c>
      <c r="T189" s="169">
        <f>0</f>
        <v>0</v>
      </c>
      <c r="U189" s="169">
        <v>3</v>
      </c>
      <c r="V189" s="169">
        <f>0</f>
        <v>0</v>
      </c>
      <c r="W189" s="169">
        <f>0</f>
        <v>0</v>
      </c>
      <c r="X189" s="169">
        <f>0</f>
        <v>0</v>
      </c>
      <c r="Y189" s="169">
        <f>0</f>
        <v>0</v>
      </c>
      <c r="Z189" s="219">
        <f>0</f>
        <v>0</v>
      </c>
      <c r="AA189" s="128">
        <f t="shared" si="6"/>
        <v>3</v>
      </c>
      <c r="AB189" s="218"/>
      <c r="AC189" s="137">
        <f t="shared" si="7"/>
        <v>3</v>
      </c>
      <c r="AD189" s="188">
        <v>44949</v>
      </c>
      <c r="AE189" s="205" t="s">
        <v>531</v>
      </c>
      <c r="AF189" s="189" t="s">
        <v>1238</v>
      </c>
      <c r="AG189" s="206"/>
      <c r="AH189" s="205" t="s">
        <v>1336</v>
      </c>
      <c r="AI189" s="101"/>
      <c r="AJ189" s="102">
        <v>3</v>
      </c>
      <c r="AK189" s="207">
        <f t="shared" si="8"/>
        <v>0</v>
      </c>
      <c r="AL189" s="101" t="s">
        <v>1482</v>
      </c>
      <c r="AM189" s="96"/>
      <c r="AN189" s="103"/>
      <c r="AO189" s="198"/>
    </row>
    <row r="190" spans="1:41" s="309" customFormat="1" ht="30.75" hidden="1" customHeight="1" x14ac:dyDescent="0.35">
      <c r="A190" s="244">
        <v>290</v>
      </c>
      <c r="B190" s="253">
        <v>44944</v>
      </c>
      <c r="C190" s="254" t="s">
        <v>817</v>
      </c>
      <c r="D190" s="233" t="s">
        <v>798</v>
      </c>
      <c r="E190" s="318"/>
      <c r="F190" s="319" t="s">
        <v>322</v>
      </c>
      <c r="G190" s="206"/>
      <c r="H190" s="329" t="s">
        <v>799</v>
      </c>
      <c r="I190" s="251" t="s">
        <v>320</v>
      </c>
      <c r="J190" s="97"/>
      <c r="K190" s="189"/>
      <c r="L190" s="189"/>
      <c r="M190" s="235"/>
      <c r="N190" s="235" t="s">
        <v>814</v>
      </c>
      <c r="O190" s="343">
        <f>0</f>
        <v>0</v>
      </c>
      <c r="P190" s="169">
        <f>0</f>
        <v>0</v>
      </c>
      <c r="Q190" s="169">
        <f>0</f>
        <v>0</v>
      </c>
      <c r="R190" s="169">
        <v>4</v>
      </c>
      <c r="S190" s="169">
        <f>0</f>
        <v>0</v>
      </c>
      <c r="T190" s="169">
        <f>0</f>
        <v>0</v>
      </c>
      <c r="U190" s="169">
        <f>0</f>
        <v>0</v>
      </c>
      <c r="V190" s="169">
        <f>0</f>
        <v>0</v>
      </c>
      <c r="W190" s="169">
        <f>0</f>
        <v>0</v>
      </c>
      <c r="X190" s="169">
        <f>0</f>
        <v>0</v>
      </c>
      <c r="Y190" s="169">
        <f>0</f>
        <v>0</v>
      </c>
      <c r="Z190" s="219">
        <f>0</f>
        <v>0</v>
      </c>
      <c r="AA190" s="149">
        <f t="shared" si="6"/>
        <v>4</v>
      </c>
      <c r="AB190" s="176"/>
      <c r="AC190" s="163">
        <f t="shared" si="7"/>
        <v>4</v>
      </c>
      <c r="AD190" s="188">
        <v>44949</v>
      </c>
      <c r="AE190" s="205" t="s">
        <v>531</v>
      </c>
      <c r="AF190" s="189" t="s">
        <v>1238</v>
      </c>
      <c r="AG190" s="206"/>
      <c r="AH190" s="205" t="s">
        <v>1336</v>
      </c>
      <c r="AI190" s="101"/>
      <c r="AJ190" s="102">
        <v>4</v>
      </c>
      <c r="AK190" s="207">
        <f t="shared" si="8"/>
        <v>0</v>
      </c>
      <c r="AL190" s="101" t="s">
        <v>1248</v>
      </c>
      <c r="AM190" s="96"/>
      <c r="AN190" s="103"/>
      <c r="AO190" s="198"/>
    </row>
    <row r="191" spans="1:41" s="309" customFormat="1" ht="30.75" hidden="1" customHeight="1" x14ac:dyDescent="0.35">
      <c r="A191" s="252">
        <v>293</v>
      </c>
      <c r="B191" s="253">
        <v>44944</v>
      </c>
      <c r="C191" s="254" t="s">
        <v>817</v>
      </c>
      <c r="D191" s="233" t="s">
        <v>803</v>
      </c>
      <c r="E191" s="318"/>
      <c r="F191" s="319"/>
      <c r="G191" s="320"/>
      <c r="H191" s="321" t="s">
        <v>816</v>
      </c>
      <c r="I191" s="251" t="s">
        <v>320</v>
      </c>
      <c r="J191" s="97"/>
      <c r="K191" s="189"/>
      <c r="L191" s="189"/>
      <c r="M191" s="189"/>
      <c r="N191" s="235" t="s">
        <v>814</v>
      </c>
      <c r="O191" s="343">
        <f>0</f>
        <v>0</v>
      </c>
      <c r="P191" s="169">
        <f>0</f>
        <v>0</v>
      </c>
      <c r="Q191" s="169">
        <f>0</f>
        <v>0</v>
      </c>
      <c r="R191" s="169">
        <v>8</v>
      </c>
      <c r="S191" s="169">
        <f>0</f>
        <v>0</v>
      </c>
      <c r="T191" s="169">
        <f>0</f>
        <v>0</v>
      </c>
      <c r="U191" s="169">
        <f>0</f>
        <v>0</v>
      </c>
      <c r="V191" s="169">
        <f>0</f>
        <v>0</v>
      </c>
      <c r="W191" s="169">
        <f>0</f>
        <v>0</v>
      </c>
      <c r="X191" s="169">
        <f>0</f>
        <v>0</v>
      </c>
      <c r="Y191" s="169">
        <f>0</f>
        <v>0</v>
      </c>
      <c r="Z191" s="219">
        <f>0</f>
        <v>0</v>
      </c>
      <c r="AA191" s="149">
        <f t="shared" si="6"/>
        <v>8</v>
      </c>
      <c r="AB191" s="176"/>
      <c r="AC191" s="163">
        <f t="shared" si="7"/>
        <v>8</v>
      </c>
      <c r="AD191" s="188">
        <v>44949</v>
      </c>
      <c r="AE191" s="205" t="s">
        <v>531</v>
      </c>
      <c r="AF191" s="97" t="s">
        <v>1238</v>
      </c>
      <c r="AG191" s="206"/>
      <c r="AH191" s="205" t="s">
        <v>1336</v>
      </c>
      <c r="AI191" s="101"/>
      <c r="AJ191" s="102">
        <v>8</v>
      </c>
      <c r="AK191" s="207">
        <f t="shared" si="8"/>
        <v>0</v>
      </c>
      <c r="AL191" s="101" t="s">
        <v>1457</v>
      </c>
      <c r="AM191" s="96"/>
      <c r="AN191" s="103"/>
      <c r="AO191" s="198"/>
    </row>
    <row r="192" spans="1:41" s="308" customFormat="1" ht="30.75" hidden="1" customHeight="1" x14ac:dyDescent="0.35">
      <c r="A192" s="244">
        <v>303</v>
      </c>
      <c r="B192" s="253">
        <v>44944</v>
      </c>
      <c r="C192" s="254" t="s">
        <v>817</v>
      </c>
      <c r="D192" s="233" t="s">
        <v>810</v>
      </c>
      <c r="E192" s="318"/>
      <c r="F192" s="319" t="s">
        <v>322</v>
      </c>
      <c r="G192" s="320"/>
      <c r="H192" s="321" t="s">
        <v>612</v>
      </c>
      <c r="I192" s="321" t="s">
        <v>320</v>
      </c>
      <c r="J192" s="97"/>
      <c r="K192" s="189"/>
      <c r="L192" s="189"/>
      <c r="M192" s="189"/>
      <c r="N192" s="235" t="s">
        <v>814</v>
      </c>
      <c r="O192" s="343">
        <f>0</f>
        <v>0</v>
      </c>
      <c r="P192" s="169">
        <f>0</f>
        <v>0</v>
      </c>
      <c r="Q192" s="169">
        <f>0</f>
        <v>0</v>
      </c>
      <c r="R192" s="169">
        <v>2</v>
      </c>
      <c r="S192" s="169">
        <f>0</f>
        <v>0</v>
      </c>
      <c r="T192" s="169">
        <f>0</f>
        <v>0</v>
      </c>
      <c r="U192" s="169">
        <f>0</f>
        <v>0</v>
      </c>
      <c r="V192" s="169">
        <f>0</f>
        <v>0</v>
      </c>
      <c r="W192" s="169">
        <f>0</f>
        <v>0</v>
      </c>
      <c r="X192" s="169">
        <f>0</f>
        <v>0</v>
      </c>
      <c r="Y192" s="169">
        <f>0</f>
        <v>0</v>
      </c>
      <c r="Z192" s="219">
        <f>0</f>
        <v>0</v>
      </c>
      <c r="AA192" s="149">
        <f t="shared" si="6"/>
        <v>2</v>
      </c>
      <c r="AB192" s="176"/>
      <c r="AC192" s="163">
        <f t="shared" si="7"/>
        <v>2</v>
      </c>
      <c r="AD192" s="188">
        <v>44949</v>
      </c>
      <c r="AE192" s="205" t="s">
        <v>531</v>
      </c>
      <c r="AF192" s="189" t="s">
        <v>1238</v>
      </c>
      <c r="AG192" s="206"/>
      <c r="AH192" s="205" t="s">
        <v>1336</v>
      </c>
      <c r="AI192" s="101"/>
      <c r="AJ192" s="102">
        <v>2</v>
      </c>
      <c r="AK192" s="207">
        <f t="shared" si="8"/>
        <v>0</v>
      </c>
      <c r="AL192" s="101" t="s">
        <v>1248</v>
      </c>
      <c r="AM192" s="96"/>
      <c r="AN192" s="103"/>
      <c r="AO192" s="198"/>
    </row>
    <row r="193" spans="1:41" s="308" customFormat="1" ht="30.75" hidden="1" customHeight="1" x14ac:dyDescent="0.35">
      <c r="A193" s="244">
        <v>304</v>
      </c>
      <c r="B193" s="253">
        <v>44944</v>
      </c>
      <c r="C193" s="254" t="s">
        <v>817</v>
      </c>
      <c r="D193" s="233" t="s">
        <v>613</v>
      </c>
      <c r="E193" s="318"/>
      <c r="F193" s="319" t="s">
        <v>379</v>
      </c>
      <c r="G193" s="320"/>
      <c r="H193" s="321" t="s">
        <v>613</v>
      </c>
      <c r="I193" s="321" t="s">
        <v>320</v>
      </c>
      <c r="J193" s="97"/>
      <c r="K193" s="189"/>
      <c r="L193" s="189"/>
      <c r="M193" s="189"/>
      <c r="N193" s="235" t="s">
        <v>814</v>
      </c>
      <c r="O193" s="343">
        <f>0</f>
        <v>0</v>
      </c>
      <c r="P193" s="169">
        <f>0</f>
        <v>0</v>
      </c>
      <c r="Q193" s="169">
        <f>0</f>
        <v>0</v>
      </c>
      <c r="R193" s="169">
        <v>2</v>
      </c>
      <c r="S193" s="169">
        <f>0</f>
        <v>0</v>
      </c>
      <c r="T193" s="169">
        <f>0</f>
        <v>0</v>
      </c>
      <c r="U193" s="169">
        <f>0</f>
        <v>0</v>
      </c>
      <c r="V193" s="169">
        <f>0</f>
        <v>0</v>
      </c>
      <c r="W193" s="169">
        <f>0</f>
        <v>0</v>
      </c>
      <c r="X193" s="169">
        <f>0</f>
        <v>0</v>
      </c>
      <c r="Y193" s="169">
        <f>0</f>
        <v>0</v>
      </c>
      <c r="Z193" s="219">
        <f>0</f>
        <v>0</v>
      </c>
      <c r="AA193" s="149">
        <f t="shared" si="6"/>
        <v>2</v>
      </c>
      <c r="AB193" s="176"/>
      <c r="AC193" s="163">
        <f t="shared" si="7"/>
        <v>2</v>
      </c>
      <c r="AD193" s="188">
        <v>44949</v>
      </c>
      <c r="AE193" s="205" t="s">
        <v>531</v>
      </c>
      <c r="AF193" s="189" t="s">
        <v>1238</v>
      </c>
      <c r="AG193" s="206"/>
      <c r="AH193" s="205" t="s">
        <v>1336</v>
      </c>
      <c r="AI193" s="101"/>
      <c r="AJ193" s="102">
        <v>2</v>
      </c>
      <c r="AK193" s="207">
        <f t="shared" si="8"/>
        <v>0</v>
      </c>
      <c r="AL193" s="101" t="s">
        <v>1457</v>
      </c>
      <c r="AM193" s="96"/>
      <c r="AN193" s="103"/>
      <c r="AO193" s="198"/>
    </row>
    <row r="194" spans="1:41" s="308" customFormat="1" ht="30.75" hidden="1" customHeight="1" x14ac:dyDescent="0.35">
      <c r="A194" s="244">
        <v>316</v>
      </c>
      <c r="B194" s="253">
        <v>44944</v>
      </c>
      <c r="C194" s="254" t="s">
        <v>308</v>
      </c>
      <c r="D194" s="233" t="s">
        <v>831</v>
      </c>
      <c r="E194" s="318"/>
      <c r="F194" s="321" t="s">
        <v>834</v>
      </c>
      <c r="G194" s="321" t="s">
        <v>834</v>
      </c>
      <c r="H194" s="321" t="s">
        <v>834</v>
      </c>
      <c r="I194" s="321" t="s">
        <v>320</v>
      </c>
      <c r="J194" s="97"/>
      <c r="K194" s="189"/>
      <c r="L194" s="189"/>
      <c r="M194" s="329" t="s">
        <v>834</v>
      </c>
      <c r="N194" s="235" t="s">
        <v>833</v>
      </c>
      <c r="O194" s="417">
        <f>0</f>
        <v>0</v>
      </c>
      <c r="P194" s="90">
        <f>0</f>
        <v>0</v>
      </c>
      <c r="Q194" s="90">
        <f>0</f>
        <v>0</v>
      </c>
      <c r="R194" s="90">
        <f>0</f>
        <v>0</v>
      </c>
      <c r="S194" s="90">
        <f>0</f>
        <v>0</v>
      </c>
      <c r="T194" s="90">
        <v>1</v>
      </c>
      <c r="U194" s="90">
        <f>0</f>
        <v>0</v>
      </c>
      <c r="V194" s="90">
        <f>0</f>
        <v>0</v>
      </c>
      <c r="W194" s="90">
        <f>0</f>
        <v>0</v>
      </c>
      <c r="X194" s="90">
        <f>0</f>
        <v>0</v>
      </c>
      <c r="Y194" s="90">
        <f>0</f>
        <v>0</v>
      </c>
      <c r="Z194" s="418">
        <f>0</f>
        <v>0</v>
      </c>
      <c r="AA194" s="149">
        <f t="shared" si="6"/>
        <v>1</v>
      </c>
      <c r="AB194" s="176"/>
      <c r="AC194" s="163">
        <f t="shared" si="7"/>
        <v>1</v>
      </c>
      <c r="AD194" s="188"/>
      <c r="AE194" s="205"/>
      <c r="AF194" s="189"/>
      <c r="AG194" s="116"/>
      <c r="AH194" s="111"/>
      <c r="AI194" s="101" t="s">
        <v>1448</v>
      </c>
      <c r="AJ194" s="102">
        <v>1</v>
      </c>
      <c r="AK194" s="207">
        <f t="shared" si="8"/>
        <v>0</v>
      </c>
      <c r="AL194" s="101" t="s">
        <v>1499</v>
      </c>
      <c r="AM194" s="96"/>
      <c r="AN194" s="103"/>
      <c r="AO194" s="198"/>
    </row>
    <row r="195" spans="1:41" s="120" customFormat="1" ht="30.75" hidden="1" customHeight="1" x14ac:dyDescent="0.35">
      <c r="A195" s="252">
        <v>328</v>
      </c>
      <c r="B195" s="253">
        <v>44945</v>
      </c>
      <c r="C195" s="254" t="s">
        <v>863</v>
      </c>
      <c r="D195" s="233" t="s">
        <v>859</v>
      </c>
      <c r="E195" s="318"/>
      <c r="F195" s="509" t="s">
        <v>860</v>
      </c>
      <c r="G195" s="516" t="s">
        <v>861</v>
      </c>
      <c r="H195" s="516"/>
      <c r="I195" s="516" t="s">
        <v>320</v>
      </c>
      <c r="J195" s="555" t="s">
        <v>875</v>
      </c>
      <c r="K195" s="234"/>
      <c r="L195" s="234"/>
      <c r="M195" s="234" t="s">
        <v>862</v>
      </c>
      <c r="N195" s="235" t="s">
        <v>950</v>
      </c>
      <c r="O195" s="343">
        <f>0</f>
        <v>0</v>
      </c>
      <c r="P195" s="169">
        <v>2</v>
      </c>
      <c r="Q195" s="169">
        <v>0</v>
      </c>
      <c r="R195" s="169">
        <v>0</v>
      </c>
      <c r="S195" s="169">
        <v>0</v>
      </c>
      <c r="T195" s="169">
        <v>0</v>
      </c>
      <c r="U195" s="169">
        <v>0</v>
      </c>
      <c r="V195" s="169">
        <f>0</f>
        <v>0</v>
      </c>
      <c r="W195" s="169">
        <v>0</v>
      </c>
      <c r="X195" s="169">
        <f>0</f>
        <v>0</v>
      </c>
      <c r="Y195" s="169">
        <f>0</f>
        <v>0</v>
      </c>
      <c r="Z195" s="219">
        <f>0</f>
        <v>0</v>
      </c>
      <c r="AA195" s="128">
        <f t="shared" si="6"/>
        <v>2</v>
      </c>
      <c r="AB195" s="218"/>
      <c r="AC195" s="137">
        <f t="shared" si="7"/>
        <v>2</v>
      </c>
      <c r="AD195" s="188">
        <v>44964</v>
      </c>
      <c r="AE195" s="205" t="s">
        <v>531</v>
      </c>
      <c r="AF195" s="189" t="s">
        <v>1337</v>
      </c>
      <c r="AG195" s="206"/>
      <c r="AH195" s="205" t="s">
        <v>1336</v>
      </c>
      <c r="AI195" s="101"/>
      <c r="AJ195" s="102">
        <v>2</v>
      </c>
      <c r="AK195" s="207">
        <f t="shared" si="8"/>
        <v>0</v>
      </c>
      <c r="AL195" s="104" t="s">
        <v>1494</v>
      </c>
      <c r="AM195" s="96"/>
      <c r="AN195" s="103"/>
      <c r="AO195" s="198"/>
    </row>
    <row r="196" spans="1:41" s="120" customFormat="1" ht="30.75" hidden="1" customHeight="1" x14ac:dyDescent="0.35">
      <c r="A196" s="244">
        <v>339</v>
      </c>
      <c r="B196" s="253">
        <v>44945</v>
      </c>
      <c r="C196" s="254" t="s">
        <v>863</v>
      </c>
      <c r="D196" s="233" t="s">
        <v>878</v>
      </c>
      <c r="E196" s="318" t="s">
        <v>330</v>
      </c>
      <c r="F196" s="319" t="s">
        <v>379</v>
      </c>
      <c r="G196" s="320" t="s">
        <v>878</v>
      </c>
      <c r="H196" s="148" t="s">
        <v>878</v>
      </c>
      <c r="I196" s="148" t="s">
        <v>320</v>
      </c>
      <c r="J196" s="97" t="s">
        <v>251</v>
      </c>
      <c r="K196" s="189" t="s">
        <v>252</v>
      </c>
      <c r="L196" s="189" t="s">
        <v>252</v>
      </c>
      <c r="M196" s="189"/>
      <c r="N196" s="235" t="s">
        <v>950</v>
      </c>
      <c r="O196" s="343">
        <v>0</v>
      </c>
      <c r="P196" s="169">
        <v>8</v>
      </c>
      <c r="Q196" s="169">
        <v>0</v>
      </c>
      <c r="R196" s="169">
        <v>0</v>
      </c>
      <c r="S196" s="169">
        <v>0</v>
      </c>
      <c r="T196" s="169">
        <v>0</v>
      </c>
      <c r="U196" s="169">
        <v>0</v>
      </c>
      <c r="V196" s="169">
        <f>0</f>
        <v>0</v>
      </c>
      <c r="W196" s="169">
        <v>0</v>
      </c>
      <c r="X196" s="169">
        <f>0</f>
        <v>0</v>
      </c>
      <c r="Y196" s="169">
        <f>0</f>
        <v>0</v>
      </c>
      <c r="Z196" s="219">
        <f>0</f>
        <v>0</v>
      </c>
      <c r="AA196" s="128">
        <f t="shared" si="6"/>
        <v>8</v>
      </c>
      <c r="AB196" s="218"/>
      <c r="AC196" s="137">
        <f t="shared" si="7"/>
        <v>8</v>
      </c>
      <c r="AD196" s="188">
        <v>44964</v>
      </c>
      <c r="AE196" s="205" t="s">
        <v>531</v>
      </c>
      <c r="AF196" s="189" t="s">
        <v>1337</v>
      </c>
      <c r="AG196" s="206"/>
      <c r="AH196" s="205" t="s">
        <v>1336</v>
      </c>
      <c r="AI196" s="101"/>
      <c r="AJ196" s="102">
        <v>8</v>
      </c>
      <c r="AK196" s="207">
        <f t="shared" si="8"/>
        <v>0</v>
      </c>
      <c r="AL196" s="101" t="s">
        <v>1494</v>
      </c>
      <c r="AM196" s="96"/>
      <c r="AN196" s="103"/>
      <c r="AO196" s="198"/>
    </row>
    <row r="197" spans="1:41" s="308" customFormat="1" ht="30.75" hidden="1" customHeight="1" x14ac:dyDescent="0.35">
      <c r="A197" s="244">
        <v>340</v>
      </c>
      <c r="B197" s="253">
        <v>44945</v>
      </c>
      <c r="C197" s="254" t="s">
        <v>863</v>
      </c>
      <c r="D197" s="233" t="s">
        <v>879</v>
      </c>
      <c r="E197" s="318" t="s">
        <v>324</v>
      </c>
      <c r="F197" s="319" t="s">
        <v>880</v>
      </c>
      <c r="G197" s="320" t="s">
        <v>879</v>
      </c>
      <c r="H197" s="148" t="s">
        <v>881</v>
      </c>
      <c r="I197" s="148" t="s">
        <v>320</v>
      </c>
      <c r="J197" s="97" t="s">
        <v>251</v>
      </c>
      <c r="K197" s="189" t="s">
        <v>252</v>
      </c>
      <c r="L197" s="189" t="s">
        <v>252</v>
      </c>
      <c r="M197" s="189" t="s">
        <v>882</v>
      </c>
      <c r="N197" s="235" t="s">
        <v>950</v>
      </c>
      <c r="O197" s="343">
        <v>0</v>
      </c>
      <c r="P197" s="169">
        <v>2</v>
      </c>
      <c r="Q197" s="169">
        <v>0</v>
      </c>
      <c r="R197" s="169">
        <v>0</v>
      </c>
      <c r="S197" s="169">
        <v>0</v>
      </c>
      <c r="T197" s="169">
        <v>0</v>
      </c>
      <c r="U197" s="169">
        <v>0</v>
      </c>
      <c r="V197" s="169">
        <f>0</f>
        <v>0</v>
      </c>
      <c r="W197" s="169">
        <v>0</v>
      </c>
      <c r="X197" s="169">
        <f>0</f>
        <v>0</v>
      </c>
      <c r="Y197" s="169">
        <f>0</f>
        <v>0</v>
      </c>
      <c r="Z197" s="219">
        <f>0</f>
        <v>0</v>
      </c>
      <c r="AA197" s="128">
        <f t="shared" si="6"/>
        <v>2</v>
      </c>
      <c r="AB197" s="218">
        <v>2</v>
      </c>
      <c r="AC197" s="137">
        <f t="shared" si="7"/>
        <v>0</v>
      </c>
      <c r="AD197" s="188"/>
      <c r="AE197" s="205" t="s">
        <v>531</v>
      </c>
      <c r="AF197" s="189" t="s">
        <v>44</v>
      </c>
      <c r="AG197" s="206"/>
      <c r="AH197" s="205"/>
      <c r="AI197" s="101"/>
      <c r="AJ197" s="102"/>
      <c r="AK197" s="207">
        <f t="shared" si="8"/>
        <v>0</v>
      </c>
      <c r="AL197" s="101" t="s">
        <v>1248</v>
      </c>
      <c r="AM197" s="96"/>
      <c r="AN197" s="103"/>
      <c r="AO197" s="198"/>
    </row>
    <row r="198" spans="1:41" s="308" customFormat="1" ht="30.75" hidden="1" customHeight="1" x14ac:dyDescent="0.35">
      <c r="A198" s="244">
        <v>341</v>
      </c>
      <c r="B198" s="253">
        <v>44945</v>
      </c>
      <c r="C198" s="254" t="s">
        <v>863</v>
      </c>
      <c r="D198" s="233" t="s">
        <v>883</v>
      </c>
      <c r="E198" s="318" t="s">
        <v>340</v>
      </c>
      <c r="F198" s="319" t="s">
        <v>379</v>
      </c>
      <c r="G198" s="320" t="s">
        <v>883</v>
      </c>
      <c r="H198" s="148" t="s">
        <v>883</v>
      </c>
      <c r="I198" s="148" t="s">
        <v>320</v>
      </c>
      <c r="J198" s="97" t="s">
        <v>251</v>
      </c>
      <c r="K198" s="189" t="s">
        <v>252</v>
      </c>
      <c r="L198" s="189" t="s">
        <v>252</v>
      </c>
      <c r="M198" s="189"/>
      <c r="N198" s="235" t="s">
        <v>952</v>
      </c>
      <c r="O198" s="343">
        <v>0</v>
      </c>
      <c r="P198" s="169">
        <v>4</v>
      </c>
      <c r="Q198" s="169">
        <v>0</v>
      </c>
      <c r="R198" s="169">
        <v>0</v>
      </c>
      <c r="S198" s="169">
        <v>0</v>
      </c>
      <c r="T198" s="169">
        <v>0</v>
      </c>
      <c r="U198" s="169">
        <v>0</v>
      </c>
      <c r="V198" s="169">
        <f>0</f>
        <v>0</v>
      </c>
      <c r="W198" s="169">
        <v>0</v>
      </c>
      <c r="X198" s="169">
        <f>0</f>
        <v>0</v>
      </c>
      <c r="Y198" s="169">
        <f>0</f>
        <v>0</v>
      </c>
      <c r="Z198" s="219">
        <f>0</f>
        <v>0</v>
      </c>
      <c r="AA198" s="128">
        <f t="shared" si="6"/>
        <v>4</v>
      </c>
      <c r="AB198" s="218"/>
      <c r="AC198" s="137">
        <f t="shared" si="7"/>
        <v>4</v>
      </c>
      <c r="AD198" s="188">
        <v>44964</v>
      </c>
      <c r="AE198" s="205" t="s">
        <v>531</v>
      </c>
      <c r="AF198" s="189" t="s">
        <v>1337</v>
      </c>
      <c r="AG198" s="206"/>
      <c r="AH198" s="205" t="s">
        <v>1336</v>
      </c>
      <c r="AI198" s="101"/>
      <c r="AJ198" s="102">
        <v>4</v>
      </c>
      <c r="AK198" s="207">
        <f t="shared" si="8"/>
        <v>0</v>
      </c>
      <c r="AL198" s="101" t="s">
        <v>1494</v>
      </c>
      <c r="AM198" s="96"/>
      <c r="AN198" s="103"/>
      <c r="AO198" s="198"/>
    </row>
    <row r="199" spans="1:41" s="308" customFormat="1" ht="30.75" hidden="1" customHeight="1" x14ac:dyDescent="0.35">
      <c r="A199" s="252">
        <v>351</v>
      </c>
      <c r="B199" s="253">
        <v>44945</v>
      </c>
      <c r="C199" s="254" t="s">
        <v>863</v>
      </c>
      <c r="D199" s="233" t="s">
        <v>899</v>
      </c>
      <c r="E199" s="233">
        <v>0</v>
      </c>
      <c r="F199" s="241" t="s">
        <v>900</v>
      </c>
      <c r="G199" s="206" t="s">
        <v>901</v>
      </c>
      <c r="H199" s="189" t="s">
        <v>799</v>
      </c>
      <c r="I199" s="148" t="s">
        <v>320</v>
      </c>
      <c r="J199" s="97" t="s">
        <v>251</v>
      </c>
      <c r="K199" s="189" t="s">
        <v>252</v>
      </c>
      <c r="L199" s="189" t="s">
        <v>252</v>
      </c>
      <c r="M199" s="189" t="s">
        <v>1356</v>
      </c>
      <c r="N199" s="243" t="s">
        <v>950</v>
      </c>
      <c r="O199" s="343">
        <v>0</v>
      </c>
      <c r="P199" s="169">
        <v>4</v>
      </c>
      <c r="Q199" s="169">
        <v>0</v>
      </c>
      <c r="R199" s="169">
        <v>0</v>
      </c>
      <c r="S199" s="169">
        <v>0</v>
      </c>
      <c r="T199" s="169">
        <v>0</v>
      </c>
      <c r="U199" s="169">
        <v>0</v>
      </c>
      <c r="V199" s="169">
        <f>0</f>
        <v>0</v>
      </c>
      <c r="W199" s="169">
        <v>0</v>
      </c>
      <c r="X199" s="169">
        <f>0</f>
        <v>0</v>
      </c>
      <c r="Y199" s="169">
        <f>0</f>
        <v>0</v>
      </c>
      <c r="Z199" s="219">
        <f>0</f>
        <v>0</v>
      </c>
      <c r="AA199" s="128">
        <f t="shared" ref="AA199:AA262" si="9">SUM(O199:Z199)</f>
        <v>4</v>
      </c>
      <c r="AB199" s="218"/>
      <c r="AC199" s="187">
        <f t="shared" ref="AC199:AC262" si="10">AA199-AB199</f>
        <v>4</v>
      </c>
      <c r="AD199" s="204">
        <v>44964</v>
      </c>
      <c r="AE199" s="205" t="s">
        <v>531</v>
      </c>
      <c r="AF199" s="189" t="s">
        <v>1337</v>
      </c>
      <c r="AG199" s="206"/>
      <c r="AH199" s="205" t="s">
        <v>1336</v>
      </c>
      <c r="AI199" s="101"/>
      <c r="AJ199" s="102">
        <v>4</v>
      </c>
      <c r="AK199" s="207">
        <f t="shared" ref="AK199:AK262" si="11">AC199-AJ199</f>
        <v>0</v>
      </c>
      <c r="AL199" s="101" t="s">
        <v>1494</v>
      </c>
      <c r="AM199" s="96"/>
      <c r="AN199" s="103"/>
      <c r="AO199" s="208"/>
    </row>
    <row r="200" spans="1:41" s="309" customFormat="1" ht="30.75" hidden="1" customHeight="1" x14ac:dyDescent="0.35">
      <c r="A200" s="244">
        <v>352</v>
      </c>
      <c r="B200" s="253">
        <v>44945</v>
      </c>
      <c r="C200" s="254" t="s">
        <v>863</v>
      </c>
      <c r="D200" s="233" t="s">
        <v>902</v>
      </c>
      <c r="E200" s="236">
        <v>0</v>
      </c>
      <c r="F200" s="185" t="s">
        <v>946</v>
      </c>
      <c r="G200" s="97" t="s">
        <v>903</v>
      </c>
      <c r="H200" s="97"/>
      <c r="I200" s="148" t="s">
        <v>320</v>
      </c>
      <c r="J200" s="97" t="s">
        <v>251</v>
      </c>
      <c r="K200" s="97" t="s">
        <v>252</v>
      </c>
      <c r="L200" s="97" t="s">
        <v>252</v>
      </c>
      <c r="M200" s="97" t="s">
        <v>904</v>
      </c>
      <c r="N200" s="235" t="s">
        <v>950</v>
      </c>
      <c r="O200" s="343">
        <v>0</v>
      </c>
      <c r="P200" s="169">
        <v>2</v>
      </c>
      <c r="Q200" s="169">
        <v>0</v>
      </c>
      <c r="R200" s="169">
        <v>0</v>
      </c>
      <c r="S200" s="169">
        <v>0</v>
      </c>
      <c r="T200" s="169">
        <v>0</v>
      </c>
      <c r="U200" s="169">
        <v>0</v>
      </c>
      <c r="V200" s="169">
        <f>0</f>
        <v>0</v>
      </c>
      <c r="W200" s="169">
        <v>0</v>
      </c>
      <c r="X200" s="169">
        <f>0</f>
        <v>0</v>
      </c>
      <c r="Y200" s="169">
        <f>0</f>
        <v>0</v>
      </c>
      <c r="Z200" s="219">
        <f>0</f>
        <v>0</v>
      </c>
      <c r="AA200" s="160">
        <f t="shared" si="9"/>
        <v>2</v>
      </c>
      <c r="AB200" s="218"/>
      <c r="AC200" s="172">
        <f t="shared" si="10"/>
        <v>2</v>
      </c>
      <c r="AD200" s="188">
        <v>44964</v>
      </c>
      <c r="AE200" s="205" t="s">
        <v>531</v>
      </c>
      <c r="AF200" s="97" t="s">
        <v>1337</v>
      </c>
      <c r="AG200" s="196"/>
      <c r="AH200" s="195" t="s">
        <v>1336</v>
      </c>
      <c r="AI200" s="101"/>
      <c r="AJ200" s="99">
        <v>2</v>
      </c>
      <c r="AK200" s="197">
        <f t="shared" si="11"/>
        <v>0</v>
      </c>
      <c r="AL200" s="98" t="s">
        <v>1494</v>
      </c>
      <c r="AM200" s="90"/>
      <c r="AN200" s="100"/>
      <c r="AO200" s="198"/>
    </row>
    <row r="201" spans="1:41" s="309" customFormat="1" ht="30.75" hidden="1" customHeight="1" x14ac:dyDescent="0.35">
      <c r="A201" s="244">
        <v>353</v>
      </c>
      <c r="B201" s="253">
        <v>44945</v>
      </c>
      <c r="C201" s="254" t="s">
        <v>863</v>
      </c>
      <c r="D201" s="233" t="s">
        <v>905</v>
      </c>
      <c r="E201" s="233" t="s">
        <v>324</v>
      </c>
      <c r="F201" s="241" t="s">
        <v>946</v>
      </c>
      <c r="G201" s="189" t="s">
        <v>906</v>
      </c>
      <c r="H201" s="189"/>
      <c r="I201" s="148" t="s">
        <v>320</v>
      </c>
      <c r="J201" s="148" t="s">
        <v>251</v>
      </c>
      <c r="K201" s="148" t="s">
        <v>252</v>
      </c>
      <c r="L201" s="148" t="s">
        <v>252</v>
      </c>
      <c r="M201" s="148" t="s">
        <v>907</v>
      </c>
      <c r="N201" s="235" t="s">
        <v>950</v>
      </c>
      <c r="O201" s="343">
        <v>0</v>
      </c>
      <c r="P201" s="169">
        <v>2</v>
      </c>
      <c r="Q201" s="169">
        <v>0</v>
      </c>
      <c r="R201" s="169">
        <v>0</v>
      </c>
      <c r="S201" s="169">
        <v>0</v>
      </c>
      <c r="T201" s="169">
        <v>0</v>
      </c>
      <c r="U201" s="169">
        <v>0</v>
      </c>
      <c r="V201" s="169">
        <f>0</f>
        <v>0</v>
      </c>
      <c r="W201" s="169">
        <v>0</v>
      </c>
      <c r="X201" s="169">
        <f>0</f>
        <v>0</v>
      </c>
      <c r="Y201" s="169">
        <f>0</f>
        <v>0</v>
      </c>
      <c r="Z201" s="219">
        <f>0</f>
        <v>0</v>
      </c>
      <c r="AA201" s="161">
        <f t="shared" si="9"/>
        <v>2</v>
      </c>
      <c r="AB201" s="218"/>
      <c r="AC201" s="187">
        <f t="shared" si="10"/>
        <v>2</v>
      </c>
      <c r="AD201" s="204">
        <v>44964</v>
      </c>
      <c r="AE201" s="205" t="s">
        <v>531</v>
      </c>
      <c r="AF201" s="189" t="s">
        <v>1337</v>
      </c>
      <c r="AG201" s="206"/>
      <c r="AH201" s="205" t="s">
        <v>1336</v>
      </c>
      <c r="AI201" s="101"/>
      <c r="AJ201" s="102">
        <v>2</v>
      </c>
      <c r="AK201" s="207">
        <f t="shared" si="11"/>
        <v>0</v>
      </c>
      <c r="AL201" s="101" t="s">
        <v>1494</v>
      </c>
      <c r="AM201" s="96"/>
      <c r="AN201" s="103"/>
      <c r="AO201" s="208"/>
    </row>
    <row r="202" spans="1:41" s="309" customFormat="1" ht="30.75" hidden="1" customHeight="1" x14ac:dyDescent="0.35">
      <c r="A202" s="244">
        <v>359</v>
      </c>
      <c r="B202" s="253">
        <v>44945</v>
      </c>
      <c r="C202" s="254" t="s">
        <v>863</v>
      </c>
      <c r="D202" s="233" t="s">
        <v>920</v>
      </c>
      <c r="E202" s="236">
        <v>0</v>
      </c>
      <c r="F202" s="185" t="s">
        <v>900</v>
      </c>
      <c r="G202" s="97" t="s">
        <v>612</v>
      </c>
      <c r="H202" s="97" t="s">
        <v>612</v>
      </c>
      <c r="I202" s="148" t="s">
        <v>320</v>
      </c>
      <c r="J202" s="148" t="s">
        <v>875</v>
      </c>
      <c r="K202" s="148" t="s">
        <v>252</v>
      </c>
      <c r="L202" s="148" t="s">
        <v>252</v>
      </c>
      <c r="M202" s="148" t="s">
        <v>921</v>
      </c>
      <c r="N202" s="235" t="s">
        <v>952</v>
      </c>
      <c r="O202" s="343">
        <v>0</v>
      </c>
      <c r="P202" s="169">
        <v>2</v>
      </c>
      <c r="Q202" s="169">
        <v>0</v>
      </c>
      <c r="R202" s="169">
        <v>0</v>
      </c>
      <c r="S202" s="169">
        <v>0</v>
      </c>
      <c r="T202" s="169">
        <v>0</v>
      </c>
      <c r="U202" s="169">
        <v>0</v>
      </c>
      <c r="V202" s="169">
        <f>0</f>
        <v>0</v>
      </c>
      <c r="W202" s="169">
        <v>0</v>
      </c>
      <c r="X202" s="169">
        <f>0</f>
        <v>0</v>
      </c>
      <c r="Y202" s="169">
        <f>0</f>
        <v>0</v>
      </c>
      <c r="Z202" s="219">
        <f>0</f>
        <v>0</v>
      </c>
      <c r="AA202" s="160">
        <f t="shared" si="9"/>
        <v>2</v>
      </c>
      <c r="AB202" s="141"/>
      <c r="AC202" s="172">
        <f t="shared" si="10"/>
        <v>2</v>
      </c>
      <c r="AD202" s="194">
        <v>44964</v>
      </c>
      <c r="AE202" s="195" t="s">
        <v>531</v>
      </c>
      <c r="AF202" s="97" t="s">
        <v>1337</v>
      </c>
      <c r="AG202" s="196"/>
      <c r="AH202" s="195" t="s">
        <v>1336</v>
      </c>
      <c r="AI202" s="101"/>
      <c r="AJ202" s="99">
        <v>2</v>
      </c>
      <c r="AK202" s="197">
        <f t="shared" si="11"/>
        <v>0</v>
      </c>
      <c r="AL202" s="98" t="s">
        <v>1494</v>
      </c>
      <c r="AM202" s="90"/>
      <c r="AN202" s="100"/>
      <c r="AO202" s="198"/>
    </row>
    <row r="203" spans="1:41" s="308" customFormat="1" ht="30.75" hidden="1" customHeight="1" x14ac:dyDescent="0.35">
      <c r="A203" s="252">
        <v>475</v>
      </c>
      <c r="B203" s="253">
        <v>44949</v>
      </c>
      <c r="C203" s="254" t="s">
        <v>254</v>
      </c>
      <c r="D203" s="233" t="s">
        <v>1205</v>
      </c>
      <c r="E203" s="236" t="s">
        <v>324</v>
      </c>
      <c r="F203" s="185" t="s">
        <v>322</v>
      </c>
      <c r="G203" s="196" t="s">
        <v>1205</v>
      </c>
      <c r="H203" s="328" t="s">
        <v>1205</v>
      </c>
      <c r="I203" s="321" t="s">
        <v>320</v>
      </c>
      <c r="J203" s="148" t="s">
        <v>251</v>
      </c>
      <c r="K203" s="148" t="s">
        <v>252</v>
      </c>
      <c r="L203" s="148" t="s">
        <v>252</v>
      </c>
      <c r="M203" s="148" t="s">
        <v>252</v>
      </c>
      <c r="N203" s="235" t="s">
        <v>1222</v>
      </c>
      <c r="O203" s="343">
        <v>0</v>
      </c>
      <c r="P203" s="169">
        <v>0</v>
      </c>
      <c r="Q203" s="169">
        <v>0</v>
      </c>
      <c r="R203" s="169">
        <v>0</v>
      </c>
      <c r="S203" s="169">
        <v>0</v>
      </c>
      <c r="T203" s="169">
        <v>0</v>
      </c>
      <c r="U203" s="169">
        <v>2</v>
      </c>
      <c r="V203" s="169">
        <f>0</f>
        <v>0</v>
      </c>
      <c r="W203" s="169">
        <v>0</v>
      </c>
      <c r="X203" s="169">
        <f>0</f>
        <v>0</v>
      </c>
      <c r="Y203" s="169">
        <f>0</f>
        <v>0</v>
      </c>
      <c r="Z203" s="219">
        <f>0</f>
        <v>0</v>
      </c>
      <c r="AA203" s="160">
        <f t="shared" si="9"/>
        <v>2</v>
      </c>
      <c r="AB203" s="141"/>
      <c r="AC203" s="172">
        <f t="shared" si="10"/>
        <v>2</v>
      </c>
      <c r="AD203" s="194">
        <v>44964</v>
      </c>
      <c r="AE203" s="195" t="s">
        <v>531</v>
      </c>
      <c r="AF203" s="97" t="s">
        <v>1337</v>
      </c>
      <c r="AG203" s="196"/>
      <c r="AH203" s="195" t="s">
        <v>1336</v>
      </c>
      <c r="AI203" s="98"/>
      <c r="AJ203" s="99">
        <v>2</v>
      </c>
      <c r="AK203" s="197">
        <f t="shared" si="11"/>
        <v>0</v>
      </c>
      <c r="AL203" s="98" t="s">
        <v>1494</v>
      </c>
      <c r="AM203" s="90"/>
      <c r="AN203" s="100"/>
      <c r="AO203" s="198"/>
    </row>
    <row r="204" spans="1:41" s="308" customFormat="1" ht="30.75" hidden="1" customHeight="1" x14ac:dyDescent="0.35">
      <c r="A204" s="244">
        <v>476</v>
      </c>
      <c r="B204" s="253">
        <v>44949</v>
      </c>
      <c r="C204" s="254" t="s">
        <v>254</v>
      </c>
      <c r="D204" s="233" t="s">
        <v>1206</v>
      </c>
      <c r="E204" s="233" t="s">
        <v>340</v>
      </c>
      <c r="F204" s="241" t="s">
        <v>379</v>
      </c>
      <c r="G204" s="206" t="s">
        <v>1206</v>
      </c>
      <c r="H204" s="329" t="s">
        <v>1206</v>
      </c>
      <c r="I204" s="321" t="s">
        <v>320</v>
      </c>
      <c r="J204" s="148" t="s">
        <v>251</v>
      </c>
      <c r="K204" s="148" t="s">
        <v>252</v>
      </c>
      <c r="L204" s="148" t="s">
        <v>252</v>
      </c>
      <c r="M204" s="148" t="s">
        <v>252</v>
      </c>
      <c r="N204" s="235" t="s">
        <v>1222</v>
      </c>
      <c r="O204" s="343">
        <v>0</v>
      </c>
      <c r="P204" s="169">
        <v>0</v>
      </c>
      <c r="Q204" s="169">
        <v>0</v>
      </c>
      <c r="R204" s="169">
        <v>0</v>
      </c>
      <c r="S204" s="169">
        <v>0</v>
      </c>
      <c r="T204" s="169">
        <v>0</v>
      </c>
      <c r="U204" s="169">
        <v>2</v>
      </c>
      <c r="V204" s="169">
        <f>0</f>
        <v>0</v>
      </c>
      <c r="W204" s="169">
        <v>0</v>
      </c>
      <c r="X204" s="169">
        <f>0</f>
        <v>0</v>
      </c>
      <c r="Y204" s="169">
        <f>0</f>
        <v>0</v>
      </c>
      <c r="Z204" s="219">
        <f>0</f>
        <v>0</v>
      </c>
      <c r="AA204" s="161">
        <f t="shared" si="9"/>
        <v>2</v>
      </c>
      <c r="AB204" s="186"/>
      <c r="AC204" s="187">
        <f t="shared" si="10"/>
        <v>2</v>
      </c>
      <c r="AD204" s="204">
        <v>44964</v>
      </c>
      <c r="AE204" s="205" t="s">
        <v>531</v>
      </c>
      <c r="AF204" s="189" t="s">
        <v>1337</v>
      </c>
      <c r="AG204" s="206"/>
      <c r="AH204" s="205" t="s">
        <v>1336</v>
      </c>
      <c r="AI204" s="101"/>
      <c r="AJ204" s="102">
        <v>2</v>
      </c>
      <c r="AK204" s="207">
        <f t="shared" si="11"/>
        <v>0</v>
      </c>
      <c r="AL204" s="101" t="s">
        <v>1494</v>
      </c>
      <c r="AM204" s="96"/>
      <c r="AN204" s="103"/>
      <c r="AO204" s="208"/>
    </row>
    <row r="205" spans="1:41" s="308" customFormat="1" ht="30.75" hidden="1" customHeight="1" x14ac:dyDescent="0.35">
      <c r="A205" s="244">
        <v>477</v>
      </c>
      <c r="B205" s="253">
        <v>44949</v>
      </c>
      <c r="C205" s="254" t="s">
        <v>254</v>
      </c>
      <c r="D205" s="233" t="s">
        <v>1207</v>
      </c>
      <c r="E205" s="236" t="s">
        <v>324</v>
      </c>
      <c r="F205" s="185" t="s">
        <v>1208</v>
      </c>
      <c r="G205" s="196" t="s">
        <v>1207</v>
      </c>
      <c r="H205" s="328" t="s">
        <v>1209</v>
      </c>
      <c r="I205" s="321" t="s">
        <v>320</v>
      </c>
      <c r="J205" s="148" t="s">
        <v>251</v>
      </c>
      <c r="K205" s="148" t="s">
        <v>252</v>
      </c>
      <c r="L205" s="148" t="s">
        <v>252</v>
      </c>
      <c r="M205" s="148" t="s">
        <v>252</v>
      </c>
      <c r="N205" s="235" t="s">
        <v>1222</v>
      </c>
      <c r="O205" s="343">
        <v>0</v>
      </c>
      <c r="P205" s="169">
        <v>0</v>
      </c>
      <c r="Q205" s="169">
        <v>0</v>
      </c>
      <c r="R205" s="169">
        <v>0</v>
      </c>
      <c r="S205" s="169">
        <v>0</v>
      </c>
      <c r="T205" s="169">
        <v>0</v>
      </c>
      <c r="U205" s="169">
        <v>1</v>
      </c>
      <c r="V205" s="169">
        <f>0</f>
        <v>0</v>
      </c>
      <c r="W205" s="169">
        <v>0</v>
      </c>
      <c r="X205" s="169">
        <f>0</f>
        <v>0</v>
      </c>
      <c r="Y205" s="169">
        <f>0</f>
        <v>0</v>
      </c>
      <c r="Z205" s="219">
        <f>0</f>
        <v>0</v>
      </c>
      <c r="AA205" s="160">
        <f t="shared" si="9"/>
        <v>1</v>
      </c>
      <c r="AB205" s="141">
        <v>1</v>
      </c>
      <c r="AC205" s="172">
        <f t="shared" si="10"/>
        <v>0</v>
      </c>
      <c r="AD205" s="194">
        <v>44964</v>
      </c>
      <c r="AE205" s="195" t="s">
        <v>284</v>
      </c>
      <c r="AF205" s="97" t="s">
        <v>590</v>
      </c>
      <c r="AG205" s="196"/>
      <c r="AH205" s="195"/>
      <c r="AI205" s="98"/>
      <c r="AJ205" s="99" t="s">
        <v>286</v>
      </c>
      <c r="AK205" s="197" t="e">
        <f t="shared" si="11"/>
        <v>#VALUE!</v>
      </c>
      <c r="AL205" s="98" t="s">
        <v>1296</v>
      </c>
      <c r="AM205" s="90"/>
      <c r="AN205" s="100"/>
      <c r="AO205" s="198"/>
    </row>
    <row r="206" spans="1:41" s="308" customFormat="1" ht="30.75" hidden="1" customHeight="1" x14ac:dyDescent="0.35">
      <c r="A206" s="244">
        <v>478</v>
      </c>
      <c r="B206" s="253">
        <v>44949</v>
      </c>
      <c r="C206" s="254" t="s">
        <v>254</v>
      </c>
      <c r="D206" s="233" t="s">
        <v>1210</v>
      </c>
      <c r="E206" s="236" t="s">
        <v>382</v>
      </c>
      <c r="F206" s="185" t="s">
        <v>322</v>
      </c>
      <c r="G206" s="196" t="s">
        <v>1210</v>
      </c>
      <c r="H206" s="328" t="s">
        <v>681</v>
      </c>
      <c r="I206" s="321" t="s">
        <v>320</v>
      </c>
      <c r="J206" s="148" t="s">
        <v>251</v>
      </c>
      <c r="K206" s="148" t="s">
        <v>252</v>
      </c>
      <c r="L206" s="148" t="s">
        <v>252</v>
      </c>
      <c r="M206" s="148" t="s">
        <v>252</v>
      </c>
      <c r="N206" s="235" t="s">
        <v>1222</v>
      </c>
      <c r="O206" s="343">
        <v>0</v>
      </c>
      <c r="P206" s="169">
        <v>0</v>
      </c>
      <c r="Q206" s="169">
        <v>0</v>
      </c>
      <c r="R206" s="169">
        <v>0</v>
      </c>
      <c r="S206" s="169">
        <v>0</v>
      </c>
      <c r="T206" s="169">
        <v>0</v>
      </c>
      <c r="U206" s="169">
        <v>2</v>
      </c>
      <c r="V206" s="169">
        <f>0</f>
        <v>0</v>
      </c>
      <c r="W206" s="169">
        <v>0</v>
      </c>
      <c r="X206" s="169">
        <f>0</f>
        <v>0</v>
      </c>
      <c r="Y206" s="169">
        <f>0</f>
        <v>0</v>
      </c>
      <c r="Z206" s="219">
        <f>0</f>
        <v>0</v>
      </c>
      <c r="AA206" s="160">
        <f t="shared" si="9"/>
        <v>2</v>
      </c>
      <c r="AB206" s="141"/>
      <c r="AC206" s="172">
        <f t="shared" si="10"/>
        <v>2</v>
      </c>
      <c r="AD206" s="129">
        <v>44964</v>
      </c>
      <c r="AE206" s="195" t="s">
        <v>531</v>
      </c>
      <c r="AF206" s="97" t="s">
        <v>1337</v>
      </c>
      <c r="AG206" s="196"/>
      <c r="AH206" s="195" t="s">
        <v>1336</v>
      </c>
      <c r="AI206" s="98"/>
      <c r="AJ206" s="99">
        <v>2</v>
      </c>
      <c r="AK206" s="197">
        <f t="shared" si="11"/>
        <v>0</v>
      </c>
      <c r="AL206" s="98" t="s">
        <v>1494</v>
      </c>
      <c r="AM206" s="90"/>
      <c r="AN206" s="100"/>
      <c r="AO206" s="198"/>
    </row>
    <row r="207" spans="1:41" s="308" customFormat="1" ht="30.75" hidden="1" customHeight="1" x14ac:dyDescent="0.35">
      <c r="A207" s="252">
        <v>479</v>
      </c>
      <c r="B207" s="253">
        <v>44949</v>
      </c>
      <c r="C207" s="254" t="s">
        <v>254</v>
      </c>
      <c r="D207" s="233" t="s">
        <v>784</v>
      </c>
      <c r="E207" s="233">
        <v>0</v>
      </c>
      <c r="F207" s="241" t="s">
        <v>1211</v>
      </c>
      <c r="G207" s="206" t="s">
        <v>784</v>
      </c>
      <c r="H207" s="329" t="s">
        <v>784</v>
      </c>
      <c r="I207" s="321" t="s">
        <v>320</v>
      </c>
      <c r="J207" s="148" t="s">
        <v>251</v>
      </c>
      <c r="K207" s="148" t="s">
        <v>252</v>
      </c>
      <c r="L207" s="148" t="s">
        <v>252</v>
      </c>
      <c r="M207" s="148" t="s">
        <v>252</v>
      </c>
      <c r="N207" s="235" t="s">
        <v>1222</v>
      </c>
      <c r="O207" s="343">
        <v>0</v>
      </c>
      <c r="P207" s="169">
        <v>0</v>
      </c>
      <c r="Q207" s="169">
        <v>0</v>
      </c>
      <c r="R207" s="169">
        <v>0</v>
      </c>
      <c r="S207" s="169">
        <v>0</v>
      </c>
      <c r="T207" s="169">
        <v>0</v>
      </c>
      <c r="U207" s="169">
        <v>3</v>
      </c>
      <c r="V207" s="169">
        <f>0</f>
        <v>0</v>
      </c>
      <c r="W207" s="169">
        <v>0</v>
      </c>
      <c r="X207" s="169">
        <f>0</f>
        <v>0</v>
      </c>
      <c r="Y207" s="169">
        <f>0</f>
        <v>0</v>
      </c>
      <c r="Z207" s="219">
        <f>0</f>
        <v>0</v>
      </c>
      <c r="AA207" s="161">
        <f t="shared" si="9"/>
        <v>3</v>
      </c>
      <c r="AB207" s="186"/>
      <c r="AC207" s="187">
        <f t="shared" si="10"/>
        <v>3</v>
      </c>
      <c r="AD207" s="129">
        <v>44964</v>
      </c>
      <c r="AE207" s="195" t="s">
        <v>531</v>
      </c>
      <c r="AF207" s="97" t="s">
        <v>1337</v>
      </c>
      <c r="AG207" s="206"/>
      <c r="AH207" s="205" t="s">
        <v>1336</v>
      </c>
      <c r="AI207" s="101"/>
      <c r="AJ207" s="102">
        <v>3</v>
      </c>
      <c r="AK207" s="207">
        <f t="shared" si="11"/>
        <v>0</v>
      </c>
      <c r="AL207" s="101" t="s">
        <v>1482</v>
      </c>
      <c r="AM207" s="96"/>
      <c r="AN207" s="103"/>
      <c r="AO207" s="208"/>
    </row>
    <row r="208" spans="1:41" s="308" customFormat="1" ht="30.75" hidden="1" customHeight="1" x14ac:dyDescent="0.35">
      <c r="A208" s="244">
        <v>480</v>
      </c>
      <c r="B208" s="253">
        <v>44949</v>
      </c>
      <c r="C208" s="254" t="s">
        <v>254</v>
      </c>
      <c r="D208" s="233" t="s">
        <v>1212</v>
      </c>
      <c r="E208" s="233">
        <v>0</v>
      </c>
      <c r="F208" s="241" t="s">
        <v>1213</v>
      </c>
      <c r="G208" s="206" t="s">
        <v>1212</v>
      </c>
      <c r="H208" s="329" t="s">
        <v>1212</v>
      </c>
      <c r="I208" s="321" t="s">
        <v>320</v>
      </c>
      <c r="J208" s="148" t="s">
        <v>251</v>
      </c>
      <c r="K208" s="148" t="s">
        <v>252</v>
      </c>
      <c r="L208" s="148" t="s">
        <v>252</v>
      </c>
      <c r="M208" s="148" t="s">
        <v>252</v>
      </c>
      <c r="N208" s="235" t="s">
        <v>1222</v>
      </c>
      <c r="O208" s="343">
        <v>0</v>
      </c>
      <c r="P208" s="169">
        <v>0</v>
      </c>
      <c r="Q208" s="169">
        <v>0</v>
      </c>
      <c r="R208" s="169">
        <v>0</v>
      </c>
      <c r="S208" s="169">
        <v>0</v>
      </c>
      <c r="T208" s="169">
        <v>0</v>
      </c>
      <c r="U208" s="169">
        <v>2</v>
      </c>
      <c r="V208" s="169">
        <f>0</f>
        <v>0</v>
      </c>
      <c r="W208" s="169">
        <v>0</v>
      </c>
      <c r="X208" s="169">
        <f>0</f>
        <v>0</v>
      </c>
      <c r="Y208" s="169">
        <f>0</f>
        <v>0</v>
      </c>
      <c r="Z208" s="219">
        <f>0</f>
        <v>0</v>
      </c>
      <c r="AA208" s="161">
        <f t="shared" si="9"/>
        <v>2</v>
      </c>
      <c r="AB208" s="186"/>
      <c r="AC208" s="187">
        <f t="shared" si="10"/>
        <v>2</v>
      </c>
      <c r="AD208" s="129">
        <v>44964</v>
      </c>
      <c r="AE208" s="195" t="s">
        <v>531</v>
      </c>
      <c r="AF208" s="97" t="s">
        <v>1337</v>
      </c>
      <c r="AG208" s="206"/>
      <c r="AH208" s="205" t="s">
        <v>1336</v>
      </c>
      <c r="AI208" s="101"/>
      <c r="AJ208" s="102">
        <v>2</v>
      </c>
      <c r="AK208" s="207">
        <f t="shared" si="11"/>
        <v>0</v>
      </c>
      <c r="AL208" s="101" t="s">
        <v>1481</v>
      </c>
      <c r="AM208" s="96"/>
      <c r="AN208" s="103"/>
      <c r="AO208" s="208"/>
    </row>
    <row r="209" spans="1:41" s="120" customFormat="1" ht="30.75" hidden="1" customHeight="1" x14ac:dyDescent="0.35">
      <c r="A209" s="244">
        <v>481</v>
      </c>
      <c r="B209" s="253">
        <v>44949</v>
      </c>
      <c r="C209" s="327" t="s">
        <v>254</v>
      </c>
      <c r="D209" s="233" t="s">
        <v>1214</v>
      </c>
      <c r="E209" s="236">
        <v>0</v>
      </c>
      <c r="F209" s="185" t="s">
        <v>1215</v>
      </c>
      <c r="G209" s="196" t="s">
        <v>1214</v>
      </c>
      <c r="H209" s="328" t="s">
        <v>1214</v>
      </c>
      <c r="I209" s="321" t="s">
        <v>320</v>
      </c>
      <c r="J209" s="148" t="s">
        <v>251</v>
      </c>
      <c r="K209" s="148" t="s">
        <v>252</v>
      </c>
      <c r="L209" s="148" t="s">
        <v>252</v>
      </c>
      <c r="M209" s="148" t="s">
        <v>252</v>
      </c>
      <c r="N209" s="235" t="s">
        <v>1222</v>
      </c>
      <c r="O209" s="343">
        <v>0</v>
      </c>
      <c r="P209" s="169">
        <v>0</v>
      </c>
      <c r="Q209" s="169">
        <v>0</v>
      </c>
      <c r="R209" s="169">
        <v>0</v>
      </c>
      <c r="S209" s="169">
        <v>0</v>
      </c>
      <c r="T209" s="169">
        <v>0</v>
      </c>
      <c r="U209" s="169">
        <v>1</v>
      </c>
      <c r="V209" s="169">
        <f>0</f>
        <v>0</v>
      </c>
      <c r="W209" s="169">
        <v>0</v>
      </c>
      <c r="X209" s="169">
        <f>0</f>
        <v>0</v>
      </c>
      <c r="Y209" s="169">
        <f>0</f>
        <v>0</v>
      </c>
      <c r="Z209" s="219">
        <f>0</f>
        <v>0</v>
      </c>
      <c r="AA209" s="160">
        <f t="shared" si="9"/>
        <v>1</v>
      </c>
      <c r="AB209" s="141"/>
      <c r="AC209" s="172">
        <f t="shared" si="10"/>
        <v>1</v>
      </c>
      <c r="AD209" s="188">
        <v>44964</v>
      </c>
      <c r="AE209" s="205" t="s">
        <v>531</v>
      </c>
      <c r="AF209" s="189" t="s">
        <v>1337</v>
      </c>
      <c r="AG209" s="196"/>
      <c r="AH209" s="195" t="s">
        <v>1336</v>
      </c>
      <c r="AI209" s="98"/>
      <c r="AJ209" s="99">
        <v>1</v>
      </c>
      <c r="AK209" s="197">
        <f t="shared" si="11"/>
        <v>0</v>
      </c>
      <c r="AL209" s="98" t="s">
        <v>1480</v>
      </c>
      <c r="AM209" s="90"/>
      <c r="AN209" s="100"/>
      <c r="AO209" s="198"/>
    </row>
    <row r="210" spans="1:41" s="308" customFormat="1" ht="30.75" hidden="1" customHeight="1" x14ac:dyDescent="0.35">
      <c r="A210" s="244">
        <v>496</v>
      </c>
      <c r="B210" s="253">
        <v>44949</v>
      </c>
      <c r="C210" s="327" t="s">
        <v>254</v>
      </c>
      <c r="D210" s="233" t="s">
        <v>677</v>
      </c>
      <c r="E210" s="236" t="s">
        <v>330</v>
      </c>
      <c r="F210" s="185" t="s">
        <v>379</v>
      </c>
      <c r="G210" s="236" t="s">
        <v>677</v>
      </c>
      <c r="H210" s="328" t="s">
        <v>679</v>
      </c>
      <c r="I210" s="321" t="s">
        <v>320</v>
      </c>
      <c r="J210" s="148" t="s">
        <v>251</v>
      </c>
      <c r="K210" s="148" t="s">
        <v>252</v>
      </c>
      <c r="L210" s="148" t="s">
        <v>252</v>
      </c>
      <c r="M210" s="148" t="s">
        <v>252</v>
      </c>
      <c r="N210" s="235" t="s">
        <v>1222</v>
      </c>
      <c r="O210" s="343">
        <v>0</v>
      </c>
      <c r="P210" s="169">
        <v>0</v>
      </c>
      <c r="Q210" s="169">
        <v>0</v>
      </c>
      <c r="R210" s="169">
        <v>0</v>
      </c>
      <c r="S210" s="169">
        <v>0</v>
      </c>
      <c r="T210" s="169">
        <v>0</v>
      </c>
      <c r="U210" s="169">
        <v>4</v>
      </c>
      <c r="V210" s="169">
        <f>0</f>
        <v>0</v>
      </c>
      <c r="W210" s="169">
        <v>0</v>
      </c>
      <c r="X210" s="169">
        <f>0</f>
        <v>0</v>
      </c>
      <c r="Y210" s="169">
        <f>0</f>
        <v>0</v>
      </c>
      <c r="Z210" s="219">
        <f>0</f>
        <v>0</v>
      </c>
      <c r="AA210" s="160">
        <f t="shared" si="9"/>
        <v>4</v>
      </c>
      <c r="AB210" s="141"/>
      <c r="AC210" s="172">
        <f t="shared" si="10"/>
        <v>4</v>
      </c>
      <c r="AD210" s="194">
        <v>44964</v>
      </c>
      <c r="AE210" s="195" t="s">
        <v>531</v>
      </c>
      <c r="AF210" s="97" t="s">
        <v>1337</v>
      </c>
      <c r="AG210" s="196"/>
      <c r="AH210" s="195" t="s">
        <v>1336</v>
      </c>
      <c r="AI210" s="98"/>
      <c r="AJ210" s="99">
        <v>4</v>
      </c>
      <c r="AK210" s="197">
        <f t="shared" si="11"/>
        <v>0</v>
      </c>
      <c r="AL210" s="98" t="s">
        <v>1494</v>
      </c>
      <c r="AM210" s="90"/>
      <c r="AN210" s="100"/>
      <c r="AO210" s="198"/>
    </row>
    <row r="211" spans="1:41" s="120" customFormat="1" ht="30.75" hidden="1" customHeight="1" x14ac:dyDescent="0.35">
      <c r="A211" s="252">
        <v>394</v>
      </c>
      <c r="B211" s="253">
        <v>44946</v>
      </c>
      <c r="C211" s="327" t="s">
        <v>456</v>
      </c>
      <c r="D211" s="233"/>
      <c r="E211" s="236"/>
      <c r="F211" s="185" t="s">
        <v>986</v>
      </c>
      <c r="G211" s="97" t="s">
        <v>1079</v>
      </c>
      <c r="H211" s="97" t="s">
        <v>1168</v>
      </c>
      <c r="I211" s="148" t="s">
        <v>1184</v>
      </c>
      <c r="J211" s="148"/>
      <c r="K211" s="148"/>
      <c r="L211" s="148"/>
      <c r="M211" s="148"/>
      <c r="N211" s="235"/>
      <c r="O211" s="343">
        <v>15</v>
      </c>
      <c r="P211" s="169">
        <v>0</v>
      </c>
      <c r="Q211" s="169">
        <v>0</v>
      </c>
      <c r="R211" s="169">
        <v>0</v>
      </c>
      <c r="S211" s="169">
        <v>0</v>
      </c>
      <c r="T211" s="169">
        <v>0</v>
      </c>
      <c r="U211" s="169">
        <v>0</v>
      </c>
      <c r="V211" s="169">
        <v>0</v>
      </c>
      <c r="W211" s="169">
        <v>0</v>
      </c>
      <c r="X211" s="169">
        <v>0</v>
      </c>
      <c r="Y211" s="169">
        <f>0</f>
        <v>0</v>
      </c>
      <c r="Z211" s="219">
        <f>0</f>
        <v>0</v>
      </c>
      <c r="AA211" s="192">
        <f t="shared" si="9"/>
        <v>15</v>
      </c>
      <c r="AB211" s="193"/>
      <c r="AC211" s="190">
        <f t="shared" si="10"/>
        <v>15</v>
      </c>
      <c r="AD211" s="194">
        <v>44966</v>
      </c>
      <c r="AE211" s="195" t="s">
        <v>284</v>
      </c>
      <c r="AF211" s="97" t="s">
        <v>1347</v>
      </c>
      <c r="AG211" s="196"/>
      <c r="AH211" s="195"/>
      <c r="AI211" s="98"/>
      <c r="AJ211" s="99">
        <v>30</v>
      </c>
      <c r="AK211" s="207">
        <f t="shared" si="11"/>
        <v>-15</v>
      </c>
      <c r="AL211" s="101" t="s">
        <v>1584</v>
      </c>
      <c r="AM211" s="90"/>
      <c r="AN211" s="100"/>
      <c r="AO211" s="198"/>
    </row>
    <row r="212" spans="1:41" s="308" customFormat="1" ht="30.75" hidden="1" customHeight="1" x14ac:dyDescent="0.35">
      <c r="A212" s="244">
        <v>395</v>
      </c>
      <c r="B212" s="253">
        <v>44946</v>
      </c>
      <c r="C212" s="327" t="s">
        <v>456</v>
      </c>
      <c r="D212" s="233"/>
      <c r="E212" s="236"/>
      <c r="F212" s="185" t="s">
        <v>987</v>
      </c>
      <c r="G212" s="97" t="s">
        <v>1080</v>
      </c>
      <c r="H212" s="97" t="s">
        <v>1080</v>
      </c>
      <c r="I212" s="148" t="s">
        <v>1185</v>
      </c>
      <c r="J212" s="148"/>
      <c r="K212" s="148"/>
      <c r="L212" s="148"/>
      <c r="M212" s="148"/>
      <c r="N212" s="235"/>
      <c r="O212" s="343">
        <v>7</v>
      </c>
      <c r="P212" s="169">
        <v>0</v>
      </c>
      <c r="Q212" s="169">
        <v>0</v>
      </c>
      <c r="R212" s="169">
        <v>0</v>
      </c>
      <c r="S212" s="169">
        <v>0</v>
      </c>
      <c r="T212" s="169">
        <v>0</v>
      </c>
      <c r="U212" s="169">
        <v>0</v>
      </c>
      <c r="V212" s="169">
        <v>0</v>
      </c>
      <c r="W212" s="169">
        <v>0</v>
      </c>
      <c r="X212" s="169">
        <v>0</v>
      </c>
      <c r="Y212" s="169">
        <f>0</f>
        <v>0</v>
      </c>
      <c r="Z212" s="219">
        <f>0</f>
        <v>0</v>
      </c>
      <c r="AA212" s="192">
        <f t="shared" si="9"/>
        <v>7</v>
      </c>
      <c r="AB212" s="193">
        <v>7</v>
      </c>
      <c r="AC212" s="190">
        <f t="shared" si="10"/>
        <v>0</v>
      </c>
      <c r="AD212" s="194"/>
      <c r="AE212" s="195"/>
      <c r="AF212" s="97" t="s">
        <v>294</v>
      </c>
      <c r="AG212" s="196"/>
      <c r="AH212" s="195"/>
      <c r="AI212" s="98"/>
      <c r="AJ212" s="99" t="s">
        <v>1486</v>
      </c>
      <c r="AK212" s="207" t="e">
        <f t="shared" si="11"/>
        <v>#VALUE!</v>
      </c>
      <c r="AL212" s="101" t="s">
        <v>1505</v>
      </c>
      <c r="AM212" s="90"/>
      <c r="AN212" s="100"/>
      <c r="AO212" s="198"/>
    </row>
    <row r="213" spans="1:41" s="308" customFormat="1" ht="30.75" hidden="1" customHeight="1" x14ac:dyDescent="0.35">
      <c r="A213" s="244">
        <v>99</v>
      </c>
      <c r="B213" s="297">
        <v>44903</v>
      </c>
      <c r="C213" s="302" t="s">
        <v>374</v>
      </c>
      <c r="D213" s="305" t="s">
        <v>1368</v>
      </c>
      <c r="E213" s="236">
        <v>0</v>
      </c>
      <c r="F213" s="185" t="s">
        <v>334</v>
      </c>
      <c r="G213" s="97" t="s">
        <v>1368</v>
      </c>
      <c r="H213" s="328" t="s">
        <v>1368</v>
      </c>
      <c r="I213" s="321" t="s">
        <v>335</v>
      </c>
      <c r="J213" s="552" t="s">
        <v>251</v>
      </c>
      <c r="K213" s="301" t="s">
        <v>252</v>
      </c>
      <c r="L213" s="560" t="s">
        <v>252</v>
      </c>
      <c r="M213" s="561"/>
      <c r="N213" s="235" t="s">
        <v>71</v>
      </c>
      <c r="O213" s="343">
        <v>0</v>
      </c>
      <c r="P213" s="169">
        <f>0</f>
        <v>0</v>
      </c>
      <c r="Q213" s="169">
        <f>0</f>
        <v>0</v>
      </c>
      <c r="R213" s="169">
        <f>0</f>
        <v>0</v>
      </c>
      <c r="S213" s="169">
        <v>2</v>
      </c>
      <c r="T213" s="169">
        <f>0</f>
        <v>0</v>
      </c>
      <c r="U213" s="169">
        <f>0</f>
        <v>0</v>
      </c>
      <c r="V213" s="169">
        <f>0</f>
        <v>0</v>
      </c>
      <c r="W213" s="169">
        <f>0</f>
        <v>0</v>
      </c>
      <c r="X213" s="169">
        <f>0</f>
        <v>0</v>
      </c>
      <c r="Y213" s="169">
        <f>0</f>
        <v>0</v>
      </c>
      <c r="Z213" s="219">
        <f>0</f>
        <v>0</v>
      </c>
      <c r="AA213" s="160">
        <f t="shared" si="9"/>
        <v>2</v>
      </c>
      <c r="AB213" s="141">
        <f>0</f>
        <v>0</v>
      </c>
      <c r="AC213" s="172">
        <f t="shared" si="10"/>
        <v>2</v>
      </c>
      <c r="AD213" s="194">
        <v>44935</v>
      </c>
      <c r="AE213" s="195" t="s">
        <v>284</v>
      </c>
      <c r="AF213" s="97" t="s">
        <v>743</v>
      </c>
      <c r="AG213" s="196"/>
      <c r="AH213" s="195"/>
      <c r="AI213" s="98"/>
      <c r="AJ213" s="99">
        <v>2</v>
      </c>
      <c r="AK213" s="207">
        <f t="shared" si="11"/>
        <v>0</v>
      </c>
      <c r="AL213" s="101" t="s">
        <v>1329</v>
      </c>
      <c r="AM213" s="90"/>
      <c r="AN213" s="100"/>
      <c r="AO213" s="198"/>
    </row>
    <row r="214" spans="1:41" s="308" customFormat="1" ht="30.75" hidden="1" customHeight="1" x14ac:dyDescent="0.35">
      <c r="A214" s="244">
        <v>204</v>
      </c>
      <c r="B214" s="253">
        <v>44924</v>
      </c>
      <c r="C214" s="254" t="s">
        <v>308</v>
      </c>
      <c r="D214" s="305" t="s">
        <v>688</v>
      </c>
      <c r="E214" s="233" t="s">
        <v>324</v>
      </c>
      <c r="F214" s="241" t="s">
        <v>675</v>
      </c>
      <c r="G214" s="206" t="s">
        <v>676</v>
      </c>
      <c r="H214" s="329" t="s">
        <v>688</v>
      </c>
      <c r="I214" s="321" t="s">
        <v>335</v>
      </c>
      <c r="J214" s="232" t="s">
        <v>251</v>
      </c>
      <c r="K214" s="232" t="s">
        <v>252</v>
      </c>
      <c r="L214" s="232" t="s">
        <v>252</v>
      </c>
      <c r="M214" s="232" t="s">
        <v>693</v>
      </c>
      <c r="N214" s="235" t="s">
        <v>694</v>
      </c>
      <c r="O214" s="343">
        <f>0</f>
        <v>0</v>
      </c>
      <c r="P214" s="169">
        <f>0</f>
        <v>0</v>
      </c>
      <c r="Q214" s="169">
        <f>0</f>
        <v>0</v>
      </c>
      <c r="R214" s="169">
        <f>0</f>
        <v>0</v>
      </c>
      <c r="S214" s="169">
        <f>0</f>
        <v>0</v>
      </c>
      <c r="T214" s="169">
        <v>2</v>
      </c>
      <c r="U214" s="169">
        <f>0</f>
        <v>0</v>
      </c>
      <c r="V214" s="169">
        <f>0</f>
        <v>0</v>
      </c>
      <c r="W214" s="169">
        <f>0</f>
        <v>0</v>
      </c>
      <c r="X214" s="169">
        <f>0</f>
        <v>0</v>
      </c>
      <c r="Y214" s="169">
        <f>0</f>
        <v>0</v>
      </c>
      <c r="Z214" s="219">
        <f>0</f>
        <v>0</v>
      </c>
      <c r="AA214" s="161">
        <f t="shared" si="9"/>
        <v>2</v>
      </c>
      <c r="AB214" s="186"/>
      <c r="AC214" s="187">
        <f t="shared" si="10"/>
        <v>2</v>
      </c>
      <c r="AD214" s="204">
        <v>44935</v>
      </c>
      <c r="AE214" s="195" t="s">
        <v>284</v>
      </c>
      <c r="AF214" s="189" t="s">
        <v>743</v>
      </c>
      <c r="AG214" s="206"/>
      <c r="AH214" s="205"/>
      <c r="AI214" s="101"/>
      <c r="AJ214" s="102">
        <v>2</v>
      </c>
      <c r="AK214" s="207">
        <f t="shared" si="11"/>
        <v>0</v>
      </c>
      <c r="AL214" s="101" t="s">
        <v>1330</v>
      </c>
      <c r="AM214" s="96"/>
      <c r="AN214" s="103"/>
      <c r="AO214" s="208"/>
    </row>
    <row r="215" spans="1:41" s="120" customFormat="1" ht="30.75" hidden="1" customHeight="1" x14ac:dyDescent="0.35">
      <c r="A215" s="252">
        <v>296</v>
      </c>
      <c r="B215" s="253">
        <v>44944</v>
      </c>
      <c r="C215" s="327" t="s">
        <v>817</v>
      </c>
      <c r="D215" s="329" t="s">
        <v>1293</v>
      </c>
      <c r="E215" s="236"/>
      <c r="F215" s="185" t="s">
        <v>675</v>
      </c>
      <c r="G215" s="196"/>
      <c r="H215" s="328" t="s">
        <v>1293</v>
      </c>
      <c r="I215" s="321" t="s">
        <v>335</v>
      </c>
      <c r="J215" s="148"/>
      <c r="K215" s="148"/>
      <c r="L215" s="148"/>
      <c r="M215" s="148"/>
      <c r="N215" s="235" t="s">
        <v>814</v>
      </c>
      <c r="O215" s="343">
        <f>0</f>
        <v>0</v>
      </c>
      <c r="P215" s="169">
        <f>0</f>
        <v>0</v>
      </c>
      <c r="Q215" s="169">
        <f>0</f>
        <v>0</v>
      </c>
      <c r="R215" s="169">
        <v>2</v>
      </c>
      <c r="S215" s="169">
        <f>0</f>
        <v>0</v>
      </c>
      <c r="T215" s="169">
        <f>0</f>
        <v>0</v>
      </c>
      <c r="U215" s="169">
        <f>0</f>
        <v>0</v>
      </c>
      <c r="V215" s="169">
        <f>0</f>
        <v>0</v>
      </c>
      <c r="W215" s="169">
        <f>0</f>
        <v>0</v>
      </c>
      <c r="X215" s="169">
        <f>0</f>
        <v>0</v>
      </c>
      <c r="Y215" s="169">
        <f>0</f>
        <v>0</v>
      </c>
      <c r="Z215" s="219">
        <f>0</f>
        <v>0</v>
      </c>
      <c r="AA215" s="192">
        <f t="shared" si="9"/>
        <v>2</v>
      </c>
      <c r="AB215" s="193"/>
      <c r="AC215" s="190">
        <f t="shared" si="10"/>
        <v>2</v>
      </c>
      <c r="AD215" s="188">
        <v>44956</v>
      </c>
      <c r="AE215" s="195" t="s">
        <v>284</v>
      </c>
      <c r="AF215" s="189" t="s">
        <v>1303</v>
      </c>
      <c r="AG215" s="196"/>
      <c r="AH215" s="195" t="s">
        <v>1247</v>
      </c>
      <c r="AI215" s="98"/>
      <c r="AJ215" s="99">
        <v>2</v>
      </c>
      <c r="AK215" s="197">
        <f t="shared" si="11"/>
        <v>0</v>
      </c>
      <c r="AL215" s="98" t="s">
        <v>1464</v>
      </c>
      <c r="AM215" s="90"/>
      <c r="AN215" s="100"/>
      <c r="AO215" s="198"/>
    </row>
    <row r="216" spans="1:41" s="120" customFormat="1" ht="30.75" hidden="1" customHeight="1" x14ac:dyDescent="0.35">
      <c r="A216" s="244">
        <v>314</v>
      </c>
      <c r="B216" s="253">
        <v>44944</v>
      </c>
      <c r="C216" s="327" t="s">
        <v>308</v>
      </c>
      <c r="D216" s="233" t="s">
        <v>830</v>
      </c>
      <c r="E216" s="236" t="s">
        <v>324</v>
      </c>
      <c r="F216" s="185" t="s">
        <v>675</v>
      </c>
      <c r="G216" s="196" t="s">
        <v>828</v>
      </c>
      <c r="H216" s="328" t="s">
        <v>829</v>
      </c>
      <c r="I216" s="321" t="s">
        <v>335</v>
      </c>
      <c r="J216" s="148" t="s">
        <v>251</v>
      </c>
      <c r="K216" s="148" t="s">
        <v>252</v>
      </c>
      <c r="L216" s="148" t="s">
        <v>252</v>
      </c>
      <c r="M216" s="148"/>
      <c r="N216" s="235" t="s">
        <v>833</v>
      </c>
      <c r="O216" s="343">
        <f>0</f>
        <v>0</v>
      </c>
      <c r="P216" s="169">
        <f>0</f>
        <v>0</v>
      </c>
      <c r="Q216" s="169">
        <f>0</f>
        <v>0</v>
      </c>
      <c r="R216" s="169">
        <f>0</f>
        <v>0</v>
      </c>
      <c r="S216" s="169">
        <f>0</f>
        <v>0</v>
      </c>
      <c r="T216" s="169">
        <v>1</v>
      </c>
      <c r="U216" s="169">
        <f>0</f>
        <v>0</v>
      </c>
      <c r="V216" s="169">
        <f>0</f>
        <v>0</v>
      </c>
      <c r="W216" s="169">
        <f>0</f>
        <v>0</v>
      </c>
      <c r="X216" s="169">
        <f>0</f>
        <v>0</v>
      </c>
      <c r="Y216" s="169">
        <f>0</f>
        <v>0</v>
      </c>
      <c r="Z216" s="219">
        <f>0</f>
        <v>0</v>
      </c>
      <c r="AA216" s="192">
        <f t="shared" si="9"/>
        <v>1</v>
      </c>
      <c r="AB216" s="193"/>
      <c r="AC216" s="190">
        <f t="shared" si="10"/>
        <v>1</v>
      </c>
      <c r="AD216" s="188">
        <v>44951</v>
      </c>
      <c r="AE216" s="205" t="s">
        <v>531</v>
      </c>
      <c r="AF216" s="189" t="s">
        <v>1255</v>
      </c>
      <c r="AG216" s="196"/>
      <c r="AH216" s="195" t="s">
        <v>1247</v>
      </c>
      <c r="AI216" s="98"/>
      <c r="AJ216" s="99">
        <v>1</v>
      </c>
      <c r="AK216" s="197">
        <f t="shared" si="11"/>
        <v>0</v>
      </c>
      <c r="AL216" s="98" t="s">
        <v>1464</v>
      </c>
      <c r="AM216" s="90"/>
      <c r="AN216" s="100"/>
      <c r="AO216" s="198"/>
    </row>
    <row r="217" spans="1:41" s="308" customFormat="1" ht="30.75" hidden="1" customHeight="1" x14ac:dyDescent="0.35">
      <c r="A217" s="244">
        <v>358</v>
      </c>
      <c r="B217" s="253">
        <v>44945</v>
      </c>
      <c r="C217" s="327" t="s">
        <v>863</v>
      </c>
      <c r="D217" s="233" t="s">
        <v>916</v>
      </c>
      <c r="E217" s="236"/>
      <c r="F217" s="185" t="s">
        <v>917</v>
      </c>
      <c r="G217" s="97" t="s">
        <v>918</v>
      </c>
      <c r="H217" s="97" t="s">
        <v>918</v>
      </c>
      <c r="I217" s="148" t="s">
        <v>335</v>
      </c>
      <c r="J217" s="148"/>
      <c r="K217" s="148"/>
      <c r="L217" s="148"/>
      <c r="M217" s="148" t="s">
        <v>919</v>
      </c>
      <c r="N217" s="235" t="s">
        <v>952</v>
      </c>
      <c r="O217" s="343">
        <v>0</v>
      </c>
      <c r="P217" s="169">
        <v>1</v>
      </c>
      <c r="Q217" s="169">
        <v>0</v>
      </c>
      <c r="R217" s="169">
        <v>0</v>
      </c>
      <c r="S217" s="169">
        <v>0</v>
      </c>
      <c r="T217" s="169">
        <v>0</v>
      </c>
      <c r="U217" s="169">
        <v>0</v>
      </c>
      <c r="V217" s="169">
        <f>0</f>
        <v>0</v>
      </c>
      <c r="W217" s="169">
        <v>0</v>
      </c>
      <c r="X217" s="169">
        <f>0</f>
        <v>0</v>
      </c>
      <c r="Y217" s="169">
        <f>0</f>
        <v>0</v>
      </c>
      <c r="Z217" s="219">
        <f>0</f>
        <v>0</v>
      </c>
      <c r="AA217" s="160">
        <f t="shared" si="9"/>
        <v>1</v>
      </c>
      <c r="AB217" s="141"/>
      <c r="AC217" s="172">
        <f t="shared" si="10"/>
        <v>1</v>
      </c>
      <c r="AD217" s="129">
        <v>44951</v>
      </c>
      <c r="AE217" s="195" t="s">
        <v>531</v>
      </c>
      <c r="AF217" s="97" t="s">
        <v>1255</v>
      </c>
      <c r="AG217" s="196"/>
      <c r="AH217" s="195" t="s">
        <v>1247</v>
      </c>
      <c r="AI217" s="98"/>
      <c r="AJ217" s="99">
        <v>1</v>
      </c>
      <c r="AK217" s="197">
        <f t="shared" si="11"/>
        <v>0</v>
      </c>
      <c r="AL217" s="98" t="s">
        <v>1464</v>
      </c>
      <c r="AM217" s="90"/>
      <c r="AN217" s="100"/>
      <c r="AO217" s="198"/>
    </row>
    <row r="218" spans="1:41" s="308" customFormat="1" ht="30.75" hidden="1" customHeight="1" x14ac:dyDescent="0.35">
      <c r="A218" s="244">
        <v>361</v>
      </c>
      <c r="B218" s="253">
        <v>44945</v>
      </c>
      <c r="C218" s="327" t="s">
        <v>863</v>
      </c>
      <c r="D218" s="233" t="s">
        <v>925</v>
      </c>
      <c r="E218" s="236">
        <v>0</v>
      </c>
      <c r="F218" s="185" t="s">
        <v>917</v>
      </c>
      <c r="G218" s="97" t="s">
        <v>926</v>
      </c>
      <c r="H218" s="97" t="s">
        <v>926</v>
      </c>
      <c r="I218" s="148" t="s">
        <v>335</v>
      </c>
      <c r="J218" s="148" t="s">
        <v>251</v>
      </c>
      <c r="K218" s="148" t="s">
        <v>252</v>
      </c>
      <c r="L218" s="148" t="s">
        <v>252</v>
      </c>
      <c r="M218" s="148" t="s">
        <v>927</v>
      </c>
      <c r="N218" s="235" t="s">
        <v>950</v>
      </c>
      <c r="O218" s="343">
        <v>0</v>
      </c>
      <c r="P218" s="169">
        <v>2</v>
      </c>
      <c r="Q218" s="169">
        <v>0</v>
      </c>
      <c r="R218" s="169">
        <v>0</v>
      </c>
      <c r="S218" s="169">
        <v>0</v>
      </c>
      <c r="T218" s="169">
        <v>0</v>
      </c>
      <c r="U218" s="169">
        <v>0</v>
      </c>
      <c r="V218" s="169">
        <f>0</f>
        <v>0</v>
      </c>
      <c r="W218" s="169">
        <v>0</v>
      </c>
      <c r="X218" s="169">
        <f>0</f>
        <v>0</v>
      </c>
      <c r="Y218" s="169">
        <f>0</f>
        <v>0</v>
      </c>
      <c r="Z218" s="219">
        <f>0</f>
        <v>0</v>
      </c>
      <c r="AA218" s="160">
        <f t="shared" si="9"/>
        <v>2</v>
      </c>
      <c r="AB218" s="141"/>
      <c r="AC218" s="172">
        <f t="shared" si="10"/>
        <v>2</v>
      </c>
      <c r="AD218" s="129">
        <v>44951</v>
      </c>
      <c r="AE218" s="195" t="s">
        <v>531</v>
      </c>
      <c r="AF218" s="97" t="s">
        <v>1255</v>
      </c>
      <c r="AG218" s="196"/>
      <c r="AH218" s="195" t="s">
        <v>1247</v>
      </c>
      <c r="AI218" s="98"/>
      <c r="AJ218" s="99">
        <v>2</v>
      </c>
      <c r="AK218" s="197">
        <f t="shared" si="11"/>
        <v>0</v>
      </c>
      <c r="AL218" s="98" t="s">
        <v>1464</v>
      </c>
      <c r="AM218" s="90"/>
      <c r="AN218" s="100"/>
      <c r="AO218" s="198"/>
    </row>
    <row r="219" spans="1:41" s="308" customFormat="1" ht="30.75" hidden="1" customHeight="1" x14ac:dyDescent="0.35">
      <c r="A219" s="252">
        <v>473</v>
      </c>
      <c r="B219" s="253">
        <v>44949</v>
      </c>
      <c r="C219" s="327" t="s">
        <v>254</v>
      </c>
      <c r="D219" s="233" t="s">
        <v>1200</v>
      </c>
      <c r="E219" s="236" t="s">
        <v>324</v>
      </c>
      <c r="F219" s="185" t="s">
        <v>1201</v>
      </c>
      <c r="G219" s="196" t="s">
        <v>1200</v>
      </c>
      <c r="H219" s="328" t="s">
        <v>1202</v>
      </c>
      <c r="I219" s="321" t="s">
        <v>335</v>
      </c>
      <c r="J219" s="148" t="s">
        <v>251</v>
      </c>
      <c r="K219" s="148" t="s">
        <v>252</v>
      </c>
      <c r="L219" s="148" t="s">
        <v>252</v>
      </c>
      <c r="M219" s="148" t="s">
        <v>252</v>
      </c>
      <c r="N219" s="235" t="s">
        <v>1222</v>
      </c>
      <c r="O219" s="343">
        <v>0</v>
      </c>
      <c r="P219" s="169">
        <v>0</v>
      </c>
      <c r="Q219" s="169">
        <v>0</v>
      </c>
      <c r="R219" s="169">
        <v>0</v>
      </c>
      <c r="S219" s="169">
        <v>0</v>
      </c>
      <c r="T219" s="169">
        <v>0</v>
      </c>
      <c r="U219" s="169">
        <v>1</v>
      </c>
      <c r="V219" s="169">
        <f>0</f>
        <v>0</v>
      </c>
      <c r="W219" s="169">
        <v>0</v>
      </c>
      <c r="X219" s="169">
        <f>0</f>
        <v>0</v>
      </c>
      <c r="Y219" s="169">
        <f>0</f>
        <v>0</v>
      </c>
      <c r="Z219" s="219">
        <f>0</f>
        <v>0</v>
      </c>
      <c r="AA219" s="160">
        <f t="shared" si="9"/>
        <v>1</v>
      </c>
      <c r="AB219" s="141"/>
      <c r="AC219" s="172">
        <f t="shared" si="10"/>
        <v>1</v>
      </c>
      <c r="AD219" s="129">
        <v>44951</v>
      </c>
      <c r="AE219" s="195" t="s">
        <v>531</v>
      </c>
      <c r="AF219" s="97" t="s">
        <v>1255</v>
      </c>
      <c r="AG219" s="196"/>
      <c r="AH219" s="195" t="s">
        <v>1247</v>
      </c>
      <c r="AI219" s="98"/>
      <c r="AJ219" s="99">
        <v>1</v>
      </c>
      <c r="AK219" s="197">
        <f t="shared" si="11"/>
        <v>0</v>
      </c>
      <c r="AL219" s="98" t="s">
        <v>1464</v>
      </c>
      <c r="AM219" s="90"/>
      <c r="AN219" s="100"/>
      <c r="AO219" s="198"/>
    </row>
    <row r="220" spans="1:41" s="308" customFormat="1" ht="30.75" hidden="1" customHeight="1" x14ac:dyDescent="0.35">
      <c r="A220" s="244">
        <v>474</v>
      </c>
      <c r="B220" s="253">
        <v>44949</v>
      </c>
      <c r="C220" s="327" t="s">
        <v>254</v>
      </c>
      <c r="D220" s="233" t="s">
        <v>1203</v>
      </c>
      <c r="E220" s="236" t="s">
        <v>324</v>
      </c>
      <c r="F220" s="185" t="s">
        <v>675</v>
      </c>
      <c r="G220" s="196" t="s">
        <v>1203</v>
      </c>
      <c r="H220" s="328" t="s">
        <v>1204</v>
      </c>
      <c r="I220" s="321" t="s">
        <v>335</v>
      </c>
      <c r="J220" s="148" t="s">
        <v>251</v>
      </c>
      <c r="K220" s="148" t="s">
        <v>252</v>
      </c>
      <c r="L220" s="148" t="s">
        <v>252</v>
      </c>
      <c r="M220" s="148" t="s">
        <v>252</v>
      </c>
      <c r="N220" s="235" t="s">
        <v>1222</v>
      </c>
      <c r="O220" s="343">
        <v>0</v>
      </c>
      <c r="P220" s="169">
        <v>0</v>
      </c>
      <c r="Q220" s="169">
        <v>0</v>
      </c>
      <c r="R220" s="169">
        <v>0</v>
      </c>
      <c r="S220" s="169">
        <v>0</v>
      </c>
      <c r="T220" s="169">
        <v>0</v>
      </c>
      <c r="U220" s="169">
        <v>1</v>
      </c>
      <c r="V220" s="169">
        <f>0</f>
        <v>0</v>
      </c>
      <c r="W220" s="169">
        <v>0</v>
      </c>
      <c r="X220" s="169">
        <f>0</f>
        <v>0</v>
      </c>
      <c r="Y220" s="169">
        <f>0</f>
        <v>0</v>
      </c>
      <c r="Z220" s="219">
        <f>0</f>
        <v>0</v>
      </c>
      <c r="AA220" s="160">
        <f t="shared" si="9"/>
        <v>1</v>
      </c>
      <c r="AB220" s="141"/>
      <c r="AC220" s="172">
        <f t="shared" si="10"/>
        <v>1</v>
      </c>
      <c r="AD220" s="129">
        <v>44951</v>
      </c>
      <c r="AE220" s="195" t="s">
        <v>531</v>
      </c>
      <c r="AF220" s="97" t="s">
        <v>1255</v>
      </c>
      <c r="AG220" s="196"/>
      <c r="AH220" s="195" t="s">
        <v>1247</v>
      </c>
      <c r="AI220" s="98"/>
      <c r="AJ220" s="99" t="s">
        <v>1465</v>
      </c>
      <c r="AK220" s="197" t="e">
        <f t="shared" si="11"/>
        <v>#VALUE!</v>
      </c>
      <c r="AL220" s="98" t="s">
        <v>1594</v>
      </c>
      <c r="AM220" s="90"/>
      <c r="AN220" s="100"/>
      <c r="AO220" s="198"/>
    </row>
    <row r="221" spans="1:41" s="120" customFormat="1" ht="30.75" hidden="1" customHeight="1" x14ac:dyDescent="0.35">
      <c r="A221" s="244">
        <v>396</v>
      </c>
      <c r="B221" s="253">
        <v>44946</v>
      </c>
      <c r="C221" s="327" t="s">
        <v>456</v>
      </c>
      <c r="D221" s="233"/>
      <c r="E221" s="233"/>
      <c r="F221" s="241" t="s">
        <v>988</v>
      </c>
      <c r="G221" s="189" t="s">
        <v>1081</v>
      </c>
      <c r="H221" s="189" t="s">
        <v>1081</v>
      </c>
      <c r="I221" s="148" t="s">
        <v>1186</v>
      </c>
      <c r="J221" s="148"/>
      <c r="K221" s="148"/>
      <c r="L221" s="148"/>
      <c r="M221" s="148"/>
      <c r="N221" s="235"/>
      <c r="O221" s="343">
        <v>4</v>
      </c>
      <c r="P221" s="169">
        <v>0</v>
      </c>
      <c r="Q221" s="169">
        <v>0</v>
      </c>
      <c r="R221" s="169">
        <v>0</v>
      </c>
      <c r="S221" s="169">
        <v>0</v>
      </c>
      <c r="T221" s="169">
        <v>0</v>
      </c>
      <c r="U221" s="169">
        <v>0</v>
      </c>
      <c r="V221" s="169">
        <v>0</v>
      </c>
      <c r="W221" s="169">
        <v>0</v>
      </c>
      <c r="X221" s="169">
        <v>0</v>
      </c>
      <c r="Y221" s="169">
        <f>0</f>
        <v>0</v>
      </c>
      <c r="Z221" s="219">
        <f>0</f>
        <v>0</v>
      </c>
      <c r="AA221" s="161">
        <f t="shared" si="9"/>
        <v>4</v>
      </c>
      <c r="AB221" s="186">
        <v>4</v>
      </c>
      <c r="AC221" s="187">
        <f t="shared" si="10"/>
        <v>0</v>
      </c>
      <c r="AD221" s="204"/>
      <c r="AE221" s="205" t="s">
        <v>284</v>
      </c>
      <c r="AF221" s="189" t="s">
        <v>44</v>
      </c>
      <c r="AG221" s="206"/>
      <c r="AH221" s="205"/>
      <c r="AI221" s="101"/>
      <c r="AJ221" s="102" t="s">
        <v>295</v>
      </c>
      <c r="AK221" s="207" t="e">
        <f t="shared" si="11"/>
        <v>#VALUE!</v>
      </c>
      <c r="AL221" s="101" t="s">
        <v>1241</v>
      </c>
      <c r="AM221" s="96"/>
      <c r="AN221" s="103"/>
      <c r="AO221" s="208"/>
    </row>
    <row r="222" spans="1:41" s="330" customFormat="1" ht="30.75" hidden="1" customHeight="1" x14ac:dyDescent="0.35">
      <c r="A222" s="244">
        <v>519</v>
      </c>
      <c r="B222" s="253">
        <v>44964</v>
      </c>
      <c r="C222" s="327" t="s">
        <v>254</v>
      </c>
      <c r="D222" s="233" t="s">
        <v>1341</v>
      </c>
      <c r="E222" s="318" t="s">
        <v>324</v>
      </c>
      <c r="F222" s="319" t="s">
        <v>1342</v>
      </c>
      <c r="G222" s="318" t="s">
        <v>1341</v>
      </c>
      <c r="H222" s="318" t="s">
        <v>1341</v>
      </c>
      <c r="I222" s="321" t="s">
        <v>1343</v>
      </c>
      <c r="J222" s="148" t="s">
        <v>251</v>
      </c>
      <c r="K222" s="148" t="s">
        <v>252</v>
      </c>
      <c r="L222" s="148" t="s">
        <v>252</v>
      </c>
      <c r="M222" s="148" t="s">
        <v>1340</v>
      </c>
      <c r="N222" s="148" t="s">
        <v>252</v>
      </c>
      <c r="O222" s="343">
        <v>0</v>
      </c>
      <c r="P222" s="169">
        <v>0</v>
      </c>
      <c r="Q222" s="169">
        <v>0</v>
      </c>
      <c r="R222" s="169">
        <v>0</v>
      </c>
      <c r="S222" s="169">
        <v>0</v>
      </c>
      <c r="T222" s="169">
        <v>0</v>
      </c>
      <c r="U222" s="169">
        <v>1</v>
      </c>
      <c r="V222" s="169">
        <v>0</v>
      </c>
      <c r="W222" s="169">
        <v>0</v>
      </c>
      <c r="X222" s="169">
        <v>0</v>
      </c>
      <c r="Y222" s="169">
        <v>0</v>
      </c>
      <c r="Z222" s="219">
        <v>0</v>
      </c>
      <c r="AA222" s="160">
        <f t="shared" si="9"/>
        <v>1</v>
      </c>
      <c r="AB222" s="193"/>
      <c r="AC222" s="190">
        <f t="shared" si="10"/>
        <v>1</v>
      </c>
      <c r="AD222" s="194"/>
      <c r="AE222" s="195" t="s">
        <v>284</v>
      </c>
      <c r="AF222" s="97" t="s">
        <v>294</v>
      </c>
      <c r="AG222" s="196"/>
      <c r="AH222" s="195"/>
      <c r="AI222" s="98"/>
      <c r="AJ222" s="99" t="s">
        <v>501</v>
      </c>
      <c r="AK222" s="197" t="e">
        <f t="shared" si="11"/>
        <v>#VALUE!</v>
      </c>
      <c r="AL222" s="98"/>
      <c r="AM222" s="90"/>
      <c r="AN222" s="100"/>
      <c r="AO222" s="198"/>
    </row>
    <row r="223" spans="1:41" s="120" customFormat="1" ht="30.75" hidden="1" customHeight="1" x14ac:dyDescent="0.35">
      <c r="A223" s="252">
        <v>188</v>
      </c>
      <c r="B223" s="253" t="s">
        <v>616</v>
      </c>
      <c r="C223" s="327" t="s">
        <v>617</v>
      </c>
      <c r="D223" s="305" t="s">
        <v>646</v>
      </c>
      <c r="E223" s="331"/>
      <c r="F223" s="232" t="s">
        <v>1394</v>
      </c>
      <c r="G223" s="331" t="s">
        <v>1395</v>
      </c>
      <c r="H223" s="331"/>
      <c r="I223" s="232" t="s">
        <v>645</v>
      </c>
      <c r="J223" s="232" t="s">
        <v>251</v>
      </c>
      <c r="K223" s="232"/>
      <c r="L223" s="232"/>
      <c r="M223" s="148"/>
      <c r="N223" s="331" t="s">
        <v>643</v>
      </c>
      <c r="O223" s="343">
        <f>0</f>
        <v>0</v>
      </c>
      <c r="P223" s="169">
        <f>0</f>
        <v>0</v>
      </c>
      <c r="Q223" s="169">
        <f>0</f>
        <v>0</v>
      </c>
      <c r="R223" s="169">
        <f>0</f>
        <v>0</v>
      </c>
      <c r="S223" s="169">
        <f>0</f>
        <v>0</v>
      </c>
      <c r="T223" s="169">
        <f>0</f>
        <v>0</v>
      </c>
      <c r="U223" s="169">
        <f>0</f>
        <v>0</v>
      </c>
      <c r="V223" s="169">
        <f>0</f>
        <v>0</v>
      </c>
      <c r="W223" s="169">
        <v>1</v>
      </c>
      <c r="X223" s="169">
        <f>0</f>
        <v>0</v>
      </c>
      <c r="Y223" s="169">
        <f>0</f>
        <v>0</v>
      </c>
      <c r="Z223" s="219">
        <f>0</f>
        <v>0</v>
      </c>
      <c r="AA223" s="192">
        <f t="shared" si="9"/>
        <v>1</v>
      </c>
      <c r="AB223" s="193"/>
      <c r="AC223" s="190">
        <f t="shared" si="10"/>
        <v>1</v>
      </c>
      <c r="AD223" s="194">
        <v>44939</v>
      </c>
      <c r="AE223" s="195" t="s">
        <v>284</v>
      </c>
      <c r="AF223" s="97" t="s">
        <v>749</v>
      </c>
      <c r="AG223" s="196"/>
      <c r="AH223" s="195" t="s">
        <v>750</v>
      </c>
      <c r="AI223" s="98"/>
      <c r="AJ223" s="99">
        <v>1</v>
      </c>
      <c r="AK223" s="197">
        <f t="shared" si="11"/>
        <v>0</v>
      </c>
      <c r="AL223" s="98" t="s">
        <v>1506</v>
      </c>
      <c r="AM223" s="90"/>
      <c r="AN223" s="100"/>
      <c r="AO223" s="198"/>
    </row>
    <row r="224" spans="1:41" s="120" customFormat="1" ht="30.75" hidden="1" customHeight="1" x14ac:dyDescent="0.35">
      <c r="A224" s="244">
        <v>397</v>
      </c>
      <c r="B224" s="253">
        <v>44946</v>
      </c>
      <c r="C224" s="327" t="s">
        <v>456</v>
      </c>
      <c r="D224" s="233"/>
      <c r="E224" s="318"/>
      <c r="F224" s="319" t="s">
        <v>989</v>
      </c>
      <c r="G224" s="148" t="s">
        <v>1082</v>
      </c>
      <c r="H224" s="148" t="s">
        <v>1082</v>
      </c>
      <c r="I224" s="148" t="s">
        <v>1187</v>
      </c>
      <c r="J224" s="148"/>
      <c r="K224" s="148"/>
      <c r="L224" s="148"/>
      <c r="M224" s="148"/>
      <c r="N224" s="148"/>
      <c r="O224" s="343">
        <v>1</v>
      </c>
      <c r="P224" s="169">
        <v>0</v>
      </c>
      <c r="Q224" s="169">
        <v>0</v>
      </c>
      <c r="R224" s="169">
        <v>0</v>
      </c>
      <c r="S224" s="169">
        <v>0</v>
      </c>
      <c r="T224" s="169">
        <v>0</v>
      </c>
      <c r="U224" s="169">
        <v>0</v>
      </c>
      <c r="V224" s="169">
        <v>0</v>
      </c>
      <c r="W224" s="169">
        <v>0</v>
      </c>
      <c r="X224" s="169">
        <v>0</v>
      </c>
      <c r="Y224" s="169">
        <f>0</f>
        <v>0</v>
      </c>
      <c r="Z224" s="219">
        <f>0</f>
        <v>0</v>
      </c>
      <c r="AA224" s="160">
        <f t="shared" si="9"/>
        <v>1</v>
      </c>
      <c r="AB224" s="141"/>
      <c r="AC224" s="172">
        <f t="shared" si="10"/>
        <v>1</v>
      </c>
      <c r="AD224" s="194"/>
      <c r="AE224" s="195" t="s">
        <v>284</v>
      </c>
      <c r="AF224" s="148" t="s">
        <v>1240</v>
      </c>
      <c r="AG224" s="196"/>
      <c r="AH224" s="195"/>
      <c r="AI224" s="98"/>
      <c r="AJ224" s="99">
        <v>1</v>
      </c>
      <c r="AK224" s="197">
        <f t="shared" si="11"/>
        <v>0</v>
      </c>
      <c r="AL224" s="98" t="s">
        <v>1256</v>
      </c>
      <c r="AM224" s="90"/>
      <c r="AN224" s="100"/>
      <c r="AO224" s="198"/>
    </row>
    <row r="225" spans="1:41" s="120" customFormat="1" ht="30.75" hidden="1" customHeight="1" x14ac:dyDescent="0.35">
      <c r="A225" s="244">
        <v>398</v>
      </c>
      <c r="B225" s="253">
        <v>44946</v>
      </c>
      <c r="C225" s="327" t="s">
        <v>456</v>
      </c>
      <c r="D225" s="233"/>
      <c r="E225" s="318"/>
      <c r="F225" s="319" t="s">
        <v>990</v>
      </c>
      <c r="G225" s="148" t="s">
        <v>1083</v>
      </c>
      <c r="H225" s="148" t="s">
        <v>1083</v>
      </c>
      <c r="I225" s="148" t="s">
        <v>1187</v>
      </c>
      <c r="J225" s="148"/>
      <c r="K225" s="148"/>
      <c r="L225" s="148"/>
      <c r="M225" s="148"/>
      <c r="N225" s="148"/>
      <c r="O225" s="343">
        <v>1</v>
      </c>
      <c r="P225" s="169">
        <v>0</v>
      </c>
      <c r="Q225" s="169">
        <v>0</v>
      </c>
      <c r="R225" s="169">
        <v>0</v>
      </c>
      <c r="S225" s="169">
        <v>0</v>
      </c>
      <c r="T225" s="169">
        <v>0</v>
      </c>
      <c r="U225" s="169">
        <v>0</v>
      </c>
      <c r="V225" s="169">
        <v>0</v>
      </c>
      <c r="W225" s="169">
        <v>0</v>
      </c>
      <c r="X225" s="169">
        <v>0</v>
      </c>
      <c r="Y225" s="169">
        <f>0</f>
        <v>0</v>
      </c>
      <c r="Z225" s="219">
        <f>0</f>
        <v>0</v>
      </c>
      <c r="AA225" s="160">
        <f t="shared" si="9"/>
        <v>1</v>
      </c>
      <c r="AB225" s="141">
        <v>1</v>
      </c>
      <c r="AC225" s="172">
        <f t="shared" si="10"/>
        <v>0</v>
      </c>
      <c r="AD225" s="194"/>
      <c r="AE225" s="195" t="s">
        <v>531</v>
      </c>
      <c r="AF225" s="97" t="s">
        <v>44</v>
      </c>
      <c r="AG225" s="196"/>
      <c r="AH225" s="195"/>
      <c r="AI225" s="98"/>
      <c r="AJ225" s="99" t="s">
        <v>501</v>
      </c>
      <c r="AK225" s="197" t="e">
        <f t="shared" si="11"/>
        <v>#VALUE!</v>
      </c>
      <c r="AL225" s="98" t="s">
        <v>1239</v>
      </c>
      <c r="AM225" s="90"/>
      <c r="AN225" s="100"/>
      <c r="AO225" s="198"/>
    </row>
    <row r="226" spans="1:41" s="308" customFormat="1" ht="30.75" hidden="1" customHeight="1" x14ac:dyDescent="0.35">
      <c r="A226" s="244">
        <v>399</v>
      </c>
      <c r="B226" s="253">
        <v>44946</v>
      </c>
      <c r="C226" s="327" t="s">
        <v>456</v>
      </c>
      <c r="D226" s="233"/>
      <c r="E226" s="236"/>
      <c r="F226" s="185" t="s">
        <v>991</v>
      </c>
      <c r="G226" s="97" t="s">
        <v>1084</v>
      </c>
      <c r="H226" s="97" t="s">
        <v>1084</v>
      </c>
      <c r="I226" s="148" t="s">
        <v>1187</v>
      </c>
      <c r="J226" s="148"/>
      <c r="K226" s="148"/>
      <c r="L226" s="148"/>
      <c r="M226" s="148"/>
      <c r="N226" s="148"/>
      <c r="O226" s="343">
        <v>1</v>
      </c>
      <c r="P226" s="169">
        <v>0</v>
      </c>
      <c r="Q226" s="169">
        <v>0</v>
      </c>
      <c r="R226" s="169">
        <v>0</v>
      </c>
      <c r="S226" s="169">
        <v>0</v>
      </c>
      <c r="T226" s="169">
        <v>0</v>
      </c>
      <c r="U226" s="169">
        <v>0</v>
      </c>
      <c r="V226" s="169">
        <v>0</v>
      </c>
      <c r="W226" s="169">
        <v>0</v>
      </c>
      <c r="X226" s="169">
        <v>0</v>
      </c>
      <c r="Y226" s="169">
        <f>0</f>
        <v>0</v>
      </c>
      <c r="Z226" s="219">
        <f>0</f>
        <v>0</v>
      </c>
      <c r="AA226" s="160">
        <f t="shared" si="9"/>
        <v>1</v>
      </c>
      <c r="AB226" s="141"/>
      <c r="AC226" s="172">
        <f t="shared" si="10"/>
        <v>1</v>
      </c>
      <c r="AD226" s="194"/>
      <c r="AE226" s="195" t="s">
        <v>284</v>
      </c>
      <c r="AF226" s="97" t="s">
        <v>1240</v>
      </c>
      <c r="AG226" s="196"/>
      <c r="AH226" s="195"/>
      <c r="AI226" s="98"/>
      <c r="AJ226" s="99">
        <v>1</v>
      </c>
      <c r="AK226" s="197">
        <f t="shared" si="11"/>
        <v>0</v>
      </c>
      <c r="AL226" s="98" t="s">
        <v>1256</v>
      </c>
      <c r="AM226" s="90"/>
      <c r="AN226" s="100"/>
      <c r="AO226" s="198"/>
    </row>
    <row r="227" spans="1:41" s="308" customFormat="1" ht="30.75" hidden="1" customHeight="1" x14ac:dyDescent="0.35">
      <c r="A227" s="252">
        <v>254</v>
      </c>
      <c r="B227" s="253"/>
      <c r="C227" s="327" t="s">
        <v>239</v>
      </c>
      <c r="D227" s="233"/>
      <c r="E227" s="236"/>
      <c r="F227" s="185" t="s">
        <v>479</v>
      </c>
      <c r="G227" s="196" t="s">
        <v>480</v>
      </c>
      <c r="H227" s="328" t="s">
        <v>480</v>
      </c>
      <c r="I227" s="321" t="s">
        <v>481</v>
      </c>
      <c r="J227" s="232"/>
      <c r="K227" s="232"/>
      <c r="L227" s="232"/>
      <c r="M227" s="232"/>
      <c r="N227" s="148"/>
      <c r="O227" s="343">
        <v>2</v>
      </c>
      <c r="P227" s="169">
        <f>0</f>
        <v>0</v>
      </c>
      <c r="Q227" s="169">
        <f>0</f>
        <v>0</v>
      </c>
      <c r="R227" s="169">
        <f>0</f>
        <v>0</v>
      </c>
      <c r="S227" s="169">
        <f>0</f>
        <v>0</v>
      </c>
      <c r="T227" s="169">
        <f>0</f>
        <v>0</v>
      </c>
      <c r="U227" s="169">
        <f>0</f>
        <v>0</v>
      </c>
      <c r="V227" s="169">
        <f>0</f>
        <v>0</v>
      </c>
      <c r="W227" s="169">
        <f>0</f>
        <v>0</v>
      </c>
      <c r="X227" s="169">
        <f>0</f>
        <v>0</v>
      </c>
      <c r="Y227" s="169">
        <f>0</f>
        <v>0</v>
      </c>
      <c r="Z227" s="219">
        <f>0</f>
        <v>0</v>
      </c>
      <c r="AA227" s="192">
        <f t="shared" si="9"/>
        <v>2</v>
      </c>
      <c r="AB227" s="193">
        <v>2</v>
      </c>
      <c r="AC227" s="190">
        <f t="shared" si="10"/>
        <v>0</v>
      </c>
      <c r="AD227" s="194"/>
      <c r="AE227" s="195" t="s">
        <v>239</v>
      </c>
      <c r="AF227" s="182" t="s">
        <v>487</v>
      </c>
      <c r="AG227" s="196"/>
      <c r="AH227" s="195"/>
      <c r="AI227" s="98"/>
      <c r="AJ227" s="99">
        <v>2</v>
      </c>
      <c r="AK227" s="197">
        <f t="shared" si="11"/>
        <v>-2</v>
      </c>
      <c r="AL227" s="98" t="s">
        <v>582</v>
      </c>
      <c r="AM227" s="90"/>
      <c r="AN227" s="100"/>
      <c r="AO227" s="198"/>
    </row>
    <row r="228" spans="1:41" s="308" customFormat="1" ht="30.75" hidden="1" customHeight="1" x14ac:dyDescent="0.35">
      <c r="A228" s="244">
        <v>255</v>
      </c>
      <c r="B228" s="253"/>
      <c r="C228" s="327" t="s">
        <v>239</v>
      </c>
      <c r="D228" s="233"/>
      <c r="E228" s="296"/>
      <c r="F228" s="185" t="s">
        <v>482</v>
      </c>
      <c r="G228" s="196" t="s">
        <v>499</v>
      </c>
      <c r="H228" s="196" t="s">
        <v>499</v>
      </c>
      <c r="I228" s="321" t="s">
        <v>481</v>
      </c>
      <c r="J228" s="232"/>
      <c r="K228" s="232"/>
      <c r="L228" s="232"/>
      <c r="M228" s="232"/>
      <c r="N228" s="148"/>
      <c r="O228" s="343">
        <v>2</v>
      </c>
      <c r="P228" s="169">
        <f>0</f>
        <v>0</v>
      </c>
      <c r="Q228" s="169">
        <f>0</f>
        <v>0</v>
      </c>
      <c r="R228" s="169">
        <f>0</f>
        <v>0</v>
      </c>
      <c r="S228" s="169">
        <f>0</f>
        <v>0</v>
      </c>
      <c r="T228" s="169">
        <f>0</f>
        <v>0</v>
      </c>
      <c r="U228" s="169">
        <f>0</f>
        <v>0</v>
      </c>
      <c r="V228" s="169">
        <f>0</f>
        <v>0</v>
      </c>
      <c r="W228" s="169">
        <f>0</f>
        <v>0</v>
      </c>
      <c r="X228" s="169">
        <f>0</f>
        <v>0</v>
      </c>
      <c r="Y228" s="169">
        <f>0</f>
        <v>0</v>
      </c>
      <c r="Z228" s="219">
        <f>0</f>
        <v>0</v>
      </c>
      <c r="AA228" s="192">
        <f t="shared" si="9"/>
        <v>2</v>
      </c>
      <c r="AB228" s="193">
        <v>3</v>
      </c>
      <c r="AC228" s="190">
        <f t="shared" si="10"/>
        <v>-1</v>
      </c>
      <c r="AD228" s="194">
        <v>44976</v>
      </c>
      <c r="AE228" s="195" t="s">
        <v>239</v>
      </c>
      <c r="AF228" s="182" t="s">
        <v>44</v>
      </c>
      <c r="AG228" s="196"/>
      <c r="AH228" s="195"/>
      <c r="AI228" s="98"/>
      <c r="AJ228" s="99" t="s">
        <v>286</v>
      </c>
      <c r="AK228" s="197" t="e">
        <f t="shared" si="11"/>
        <v>#VALUE!</v>
      </c>
      <c r="AL228" s="98" t="s">
        <v>1428</v>
      </c>
      <c r="AM228" s="90"/>
      <c r="AN228" s="100"/>
      <c r="AO228" s="198"/>
    </row>
    <row r="229" spans="1:41" s="308" customFormat="1" ht="30.75" hidden="1" customHeight="1" x14ac:dyDescent="0.35">
      <c r="A229" s="244">
        <v>259</v>
      </c>
      <c r="B229" s="253"/>
      <c r="C229" s="327" t="s">
        <v>239</v>
      </c>
      <c r="D229" s="233"/>
      <c r="E229" s="236"/>
      <c r="F229" s="185" t="s">
        <v>206</v>
      </c>
      <c r="G229" s="196" t="s">
        <v>207</v>
      </c>
      <c r="H229" s="328" t="s">
        <v>207</v>
      </c>
      <c r="I229" s="321" t="s">
        <v>481</v>
      </c>
      <c r="J229" s="232"/>
      <c r="K229" s="232"/>
      <c r="L229" s="232"/>
      <c r="M229" s="232"/>
      <c r="N229" s="148"/>
      <c r="O229" s="343">
        <v>2</v>
      </c>
      <c r="P229" s="169">
        <f>0</f>
        <v>0</v>
      </c>
      <c r="Q229" s="169">
        <f>0</f>
        <v>0</v>
      </c>
      <c r="R229" s="169">
        <f>0</f>
        <v>0</v>
      </c>
      <c r="S229" s="169">
        <f>0</f>
        <v>0</v>
      </c>
      <c r="T229" s="169">
        <f>0</f>
        <v>0</v>
      </c>
      <c r="U229" s="169">
        <f>0</f>
        <v>0</v>
      </c>
      <c r="V229" s="169">
        <f>0</f>
        <v>0</v>
      </c>
      <c r="W229" s="169">
        <f>0</f>
        <v>0</v>
      </c>
      <c r="X229" s="169">
        <f>0</f>
        <v>0</v>
      </c>
      <c r="Y229" s="169">
        <f>0</f>
        <v>0</v>
      </c>
      <c r="Z229" s="219">
        <f>0</f>
        <v>0</v>
      </c>
      <c r="AA229" s="192">
        <f t="shared" si="9"/>
        <v>2</v>
      </c>
      <c r="AB229" s="193">
        <v>2</v>
      </c>
      <c r="AC229" s="190">
        <f t="shared" si="10"/>
        <v>0</v>
      </c>
      <c r="AD229" s="194"/>
      <c r="AE229" s="195" t="s">
        <v>239</v>
      </c>
      <c r="AF229" s="182" t="s">
        <v>487</v>
      </c>
      <c r="AG229" s="196"/>
      <c r="AH229" s="205"/>
      <c r="AI229" s="98"/>
      <c r="AJ229" s="99" t="s">
        <v>297</v>
      </c>
      <c r="AK229" s="197" t="e">
        <f t="shared" si="11"/>
        <v>#VALUE!</v>
      </c>
      <c r="AL229" s="98" t="s">
        <v>1308</v>
      </c>
      <c r="AM229" s="90"/>
      <c r="AN229" s="100"/>
      <c r="AO229" s="198"/>
    </row>
    <row r="230" spans="1:41" s="120" customFormat="1" ht="30.75" hidden="1" customHeight="1" x14ac:dyDescent="0.35">
      <c r="A230" s="244">
        <v>260</v>
      </c>
      <c r="B230" s="253"/>
      <c r="C230" s="327" t="s">
        <v>239</v>
      </c>
      <c r="D230" s="233"/>
      <c r="E230" s="236"/>
      <c r="F230" s="185" t="s">
        <v>208</v>
      </c>
      <c r="G230" s="196" t="s">
        <v>209</v>
      </c>
      <c r="H230" s="328" t="s">
        <v>209</v>
      </c>
      <c r="I230" s="321" t="s">
        <v>481</v>
      </c>
      <c r="J230" s="232"/>
      <c r="K230" s="232"/>
      <c r="L230" s="232"/>
      <c r="M230" s="232"/>
      <c r="N230" s="148"/>
      <c r="O230" s="343">
        <v>1</v>
      </c>
      <c r="P230" s="169">
        <f>0</f>
        <v>0</v>
      </c>
      <c r="Q230" s="169">
        <f>0</f>
        <v>0</v>
      </c>
      <c r="R230" s="169">
        <f>0</f>
        <v>0</v>
      </c>
      <c r="S230" s="169">
        <f>0</f>
        <v>0</v>
      </c>
      <c r="T230" s="169">
        <f>0</f>
        <v>0</v>
      </c>
      <c r="U230" s="169">
        <f>0</f>
        <v>0</v>
      </c>
      <c r="V230" s="169">
        <f>0</f>
        <v>0</v>
      </c>
      <c r="W230" s="169">
        <f>0</f>
        <v>0</v>
      </c>
      <c r="X230" s="169">
        <f>0</f>
        <v>0</v>
      </c>
      <c r="Y230" s="169">
        <f>0</f>
        <v>0</v>
      </c>
      <c r="Z230" s="219">
        <f>0</f>
        <v>0</v>
      </c>
      <c r="AA230" s="192">
        <f t="shared" si="9"/>
        <v>1</v>
      </c>
      <c r="AB230" s="193">
        <v>1</v>
      </c>
      <c r="AC230" s="190">
        <f t="shared" si="10"/>
        <v>0</v>
      </c>
      <c r="AD230" s="194">
        <v>44906</v>
      </c>
      <c r="AE230" s="195" t="s">
        <v>239</v>
      </c>
      <c r="AF230" s="182" t="s">
        <v>497</v>
      </c>
      <c r="AG230" s="196"/>
      <c r="AH230" s="205"/>
      <c r="AI230" s="98"/>
      <c r="AJ230" s="99" t="s">
        <v>286</v>
      </c>
      <c r="AK230" s="197" t="e">
        <f t="shared" si="11"/>
        <v>#VALUE!</v>
      </c>
      <c r="AL230" s="98" t="s">
        <v>504</v>
      </c>
      <c r="AM230" s="90"/>
      <c r="AN230" s="100"/>
      <c r="AO230" s="198"/>
    </row>
    <row r="231" spans="1:41" s="308" customFormat="1" ht="30.75" hidden="1" customHeight="1" x14ac:dyDescent="0.35">
      <c r="A231" s="252">
        <v>261</v>
      </c>
      <c r="B231" s="253"/>
      <c r="C231" s="327" t="s">
        <v>239</v>
      </c>
      <c r="D231" s="233"/>
      <c r="E231" s="318"/>
      <c r="F231" s="319" t="s">
        <v>210</v>
      </c>
      <c r="G231" s="320" t="s">
        <v>211</v>
      </c>
      <c r="H231" s="321" t="s">
        <v>211</v>
      </c>
      <c r="I231" s="321" t="s">
        <v>481</v>
      </c>
      <c r="J231" s="232"/>
      <c r="K231" s="232"/>
      <c r="L231" s="232"/>
      <c r="M231" s="232"/>
      <c r="N231" s="148"/>
      <c r="O231" s="417">
        <v>1</v>
      </c>
      <c r="P231" s="90">
        <f>0</f>
        <v>0</v>
      </c>
      <c r="Q231" s="90">
        <f>0</f>
        <v>0</v>
      </c>
      <c r="R231" s="90">
        <f>0</f>
        <v>0</v>
      </c>
      <c r="S231" s="90">
        <f>0</f>
        <v>0</v>
      </c>
      <c r="T231" s="90">
        <f>0</f>
        <v>0</v>
      </c>
      <c r="U231" s="90">
        <f>0</f>
        <v>0</v>
      </c>
      <c r="V231" s="90">
        <f>0</f>
        <v>0</v>
      </c>
      <c r="W231" s="90">
        <f>0</f>
        <v>0</v>
      </c>
      <c r="X231" s="90">
        <f>0</f>
        <v>0</v>
      </c>
      <c r="Y231" s="90">
        <f>0</f>
        <v>0</v>
      </c>
      <c r="Z231" s="418">
        <f>0</f>
        <v>0</v>
      </c>
      <c r="AA231" s="192">
        <f t="shared" si="9"/>
        <v>1</v>
      </c>
      <c r="AB231" s="193">
        <v>0</v>
      </c>
      <c r="AC231" s="190">
        <f t="shared" si="10"/>
        <v>1</v>
      </c>
      <c r="AD231" s="194" t="s">
        <v>1600</v>
      </c>
      <c r="AE231" s="195" t="s">
        <v>239</v>
      </c>
      <c r="AF231" s="182" t="s">
        <v>1598</v>
      </c>
      <c r="AG231" s="182" t="s">
        <v>1402</v>
      </c>
      <c r="AH231" s="195"/>
      <c r="AI231" s="98" t="s">
        <v>1448</v>
      </c>
      <c r="AJ231" s="99">
        <v>1</v>
      </c>
      <c r="AK231" s="197">
        <f t="shared" si="11"/>
        <v>0</v>
      </c>
      <c r="AL231" s="98" t="s">
        <v>1618</v>
      </c>
      <c r="AM231" s="90"/>
      <c r="AN231" s="100"/>
      <c r="AO231" s="198"/>
    </row>
    <row r="232" spans="1:41" s="308" customFormat="1" ht="30.75" hidden="1" customHeight="1" x14ac:dyDescent="0.35">
      <c r="A232" s="244">
        <v>262</v>
      </c>
      <c r="B232" s="253"/>
      <c r="C232" s="327" t="s">
        <v>239</v>
      </c>
      <c r="D232" s="233"/>
      <c r="E232" s="318"/>
      <c r="F232" s="319" t="s">
        <v>212</v>
      </c>
      <c r="G232" s="320" t="s">
        <v>213</v>
      </c>
      <c r="H232" s="321" t="s">
        <v>213</v>
      </c>
      <c r="I232" s="321" t="s">
        <v>481</v>
      </c>
      <c r="J232" s="232"/>
      <c r="K232" s="232"/>
      <c r="L232" s="232"/>
      <c r="M232" s="232"/>
      <c r="N232" s="148"/>
      <c r="O232" s="417">
        <v>1</v>
      </c>
      <c r="P232" s="90">
        <f>0</f>
        <v>0</v>
      </c>
      <c r="Q232" s="90">
        <f>0</f>
        <v>0</v>
      </c>
      <c r="R232" s="90">
        <f>0</f>
        <v>0</v>
      </c>
      <c r="S232" s="90">
        <f>0</f>
        <v>0</v>
      </c>
      <c r="T232" s="90">
        <f>0</f>
        <v>0</v>
      </c>
      <c r="U232" s="90">
        <f>0</f>
        <v>0</v>
      </c>
      <c r="V232" s="90">
        <f>0</f>
        <v>0</v>
      </c>
      <c r="W232" s="90">
        <f>0</f>
        <v>0</v>
      </c>
      <c r="X232" s="90">
        <f>0</f>
        <v>0</v>
      </c>
      <c r="Y232" s="90">
        <f>0</f>
        <v>0</v>
      </c>
      <c r="Z232" s="418">
        <f>0</f>
        <v>0</v>
      </c>
      <c r="AA232" s="192">
        <f t="shared" si="9"/>
        <v>1</v>
      </c>
      <c r="AB232" s="193">
        <v>1</v>
      </c>
      <c r="AC232" s="190">
        <f t="shared" si="10"/>
        <v>0</v>
      </c>
      <c r="AD232" s="194"/>
      <c r="AE232" s="195" t="s">
        <v>239</v>
      </c>
      <c r="AF232" s="182" t="s">
        <v>294</v>
      </c>
      <c r="AG232" s="196"/>
      <c r="AH232" s="195"/>
      <c r="AI232" s="98"/>
      <c r="AJ232" s="99" t="s">
        <v>286</v>
      </c>
      <c r="AK232" s="197" t="e">
        <f t="shared" si="11"/>
        <v>#VALUE!</v>
      </c>
      <c r="AL232" s="98" t="s">
        <v>1431</v>
      </c>
      <c r="AM232" s="90"/>
      <c r="AN232" s="100"/>
      <c r="AO232" s="198"/>
    </row>
    <row r="233" spans="1:41" s="308" customFormat="1" ht="30.75" hidden="1" customHeight="1" x14ac:dyDescent="0.35">
      <c r="A233" s="244">
        <v>263</v>
      </c>
      <c r="B233" s="253"/>
      <c r="C233" s="327" t="s">
        <v>239</v>
      </c>
      <c r="D233" s="233"/>
      <c r="E233" s="318"/>
      <c r="F233" s="319" t="s">
        <v>214</v>
      </c>
      <c r="G233" s="320" t="s">
        <v>215</v>
      </c>
      <c r="H233" s="321" t="s">
        <v>215</v>
      </c>
      <c r="I233" s="321" t="s">
        <v>481</v>
      </c>
      <c r="J233" s="232"/>
      <c r="K233" s="232"/>
      <c r="L233" s="232"/>
      <c r="M233" s="232"/>
      <c r="N233" s="148"/>
      <c r="O233" s="417">
        <v>2</v>
      </c>
      <c r="P233" s="90">
        <f>0</f>
        <v>0</v>
      </c>
      <c r="Q233" s="90">
        <f>0</f>
        <v>0</v>
      </c>
      <c r="R233" s="90">
        <f>0</f>
        <v>0</v>
      </c>
      <c r="S233" s="90">
        <f>0</f>
        <v>0</v>
      </c>
      <c r="T233" s="90">
        <f>0</f>
        <v>0</v>
      </c>
      <c r="U233" s="90">
        <f>0</f>
        <v>0</v>
      </c>
      <c r="V233" s="90">
        <f>0</f>
        <v>0</v>
      </c>
      <c r="W233" s="90">
        <f>0</f>
        <v>0</v>
      </c>
      <c r="X233" s="90">
        <f>0</f>
        <v>0</v>
      </c>
      <c r="Y233" s="90">
        <f>0</f>
        <v>0</v>
      </c>
      <c r="Z233" s="418">
        <f>0</f>
        <v>0</v>
      </c>
      <c r="AA233" s="192">
        <f t="shared" si="9"/>
        <v>2</v>
      </c>
      <c r="AB233" s="193">
        <v>1</v>
      </c>
      <c r="AC233" s="190">
        <f t="shared" si="10"/>
        <v>1</v>
      </c>
      <c r="AD233" s="194" t="s">
        <v>1600</v>
      </c>
      <c r="AE233" s="195" t="s">
        <v>239</v>
      </c>
      <c r="AF233" s="182" t="s">
        <v>1599</v>
      </c>
      <c r="AG233" s="182" t="s">
        <v>1425</v>
      </c>
      <c r="AH233" s="195"/>
      <c r="AI233" s="98" t="s">
        <v>1448</v>
      </c>
      <c r="AJ233" s="99" t="s">
        <v>1465</v>
      </c>
      <c r="AK233" s="197" t="e">
        <f t="shared" si="11"/>
        <v>#VALUE!</v>
      </c>
      <c r="AL233" s="98" t="s">
        <v>1619</v>
      </c>
      <c r="AM233" s="90"/>
      <c r="AN233" s="100"/>
      <c r="AO233" s="198"/>
    </row>
    <row r="234" spans="1:41" s="308" customFormat="1" ht="30.75" hidden="1" customHeight="1" x14ac:dyDescent="0.35">
      <c r="A234" s="244">
        <v>264</v>
      </c>
      <c r="B234" s="253"/>
      <c r="C234" s="327" t="s">
        <v>239</v>
      </c>
      <c r="D234" s="233"/>
      <c r="E234" s="318"/>
      <c r="F234" s="319" t="s">
        <v>216</v>
      </c>
      <c r="G234" s="320" t="s">
        <v>217</v>
      </c>
      <c r="H234" s="321" t="s">
        <v>217</v>
      </c>
      <c r="I234" s="321" t="s">
        <v>481</v>
      </c>
      <c r="J234" s="232"/>
      <c r="K234" s="232"/>
      <c r="L234" s="232"/>
      <c r="M234" s="232"/>
      <c r="N234" s="235"/>
      <c r="O234" s="417">
        <v>1</v>
      </c>
      <c r="P234" s="90">
        <f>0</f>
        <v>0</v>
      </c>
      <c r="Q234" s="90">
        <f>0</f>
        <v>0</v>
      </c>
      <c r="R234" s="90">
        <f>0</f>
        <v>0</v>
      </c>
      <c r="S234" s="90">
        <f>0</f>
        <v>0</v>
      </c>
      <c r="T234" s="90">
        <f>0</f>
        <v>0</v>
      </c>
      <c r="U234" s="90">
        <f>0</f>
        <v>0</v>
      </c>
      <c r="V234" s="90">
        <f>0</f>
        <v>0</v>
      </c>
      <c r="W234" s="90">
        <f>0</f>
        <v>0</v>
      </c>
      <c r="X234" s="90">
        <f>0</f>
        <v>0</v>
      </c>
      <c r="Y234" s="90">
        <f>0</f>
        <v>0</v>
      </c>
      <c r="Z234" s="418">
        <f>0</f>
        <v>0</v>
      </c>
      <c r="AA234" s="192">
        <f t="shared" si="9"/>
        <v>1</v>
      </c>
      <c r="AB234" s="193">
        <v>0</v>
      </c>
      <c r="AC234" s="190">
        <f t="shared" si="10"/>
        <v>1</v>
      </c>
      <c r="AD234" s="194" t="s">
        <v>1600</v>
      </c>
      <c r="AE234" s="195" t="s">
        <v>239</v>
      </c>
      <c r="AF234" s="182" t="s">
        <v>1415</v>
      </c>
      <c r="AG234" s="196"/>
      <c r="AH234" s="195"/>
      <c r="AI234" s="98" t="s">
        <v>1448</v>
      </c>
      <c r="AJ234" s="99">
        <v>1</v>
      </c>
      <c r="AK234" s="197">
        <f t="shared" si="11"/>
        <v>0</v>
      </c>
      <c r="AL234" s="98" t="s">
        <v>1618</v>
      </c>
      <c r="AM234" s="90"/>
      <c r="AN234" s="100"/>
      <c r="AO234" s="198"/>
    </row>
    <row r="235" spans="1:41" s="120" customFormat="1" ht="30.75" hidden="1" customHeight="1" x14ac:dyDescent="0.35">
      <c r="A235" s="252">
        <v>265</v>
      </c>
      <c r="B235" s="253"/>
      <c r="C235" s="327" t="s">
        <v>239</v>
      </c>
      <c r="D235" s="233"/>
      <c r="E235" s="318"/>
      <c r="F235" s="319" t="s">
        <v>235</v>
      </c>
      <c r="G235" s="320" t="s">
        <v>236</v>
      </c>
      <c r="H235" s="321" t="s">
        <v>236</v>
      </c>
      <c r="I235" s="321" t="s">
        <v>481</v>
      </c>
      <c r="J235" s="232"/>
      <c r="K235" s="232"/>
      <c r="L235" s="232"/>
      <c r="M235" s="232"/>
      <c r="N235" s="235"/>
      <c r="O235" s="343">
        <v>4</v>
      </c>
      <c r="P235" s="169">
        <f>0</f>
        <v>0</v>
      </c>
      <c r="Q235" s="169">
        <f>0</f>
        <v>0</v>
      </c>
      <c r="R235" s="169">
        <f>0</f>
        <v>0</v>
      </c>
      <c r="S235" s="169">
        <f>0</f>
        <v>0</v>
      </c>
      <c r="T235" s="169">
        <f>0</f>
        <v>0</v>
      </c>
      <c r="U235" s="169">
        <f>0</f>
        <v>0</v>
      </c>
      <c r="V235" s="169">
        <f>0</f>
        <v>0</v>
      </c>
      <c r="W235" s="169">
        <f>0</f>
        <v>0</v>
      </c>
      <c r="X235" s="169">
        <f>0</f>
        <v>0</v>
      </c>
      <c r="Y235" s="169">
        <f>0</f>
        <v>0</v>
      </c>
      <c r="Z235" s="219">
        <f>0</f>
        <v>0</v>
      </c>
      <c r="AA235" s="192">
        <f t="shared" si="9"/>
        <v>4</v>
      </c>
      <c r="AB235" s="193">
        <v>4</v>
      </c>
      <c r="AC235" s="190">
        <f t="shared" si="10"/>
        <v>0</v>
      </c>
      <c r="AD235" s="194">
        <v>44906</v>
      </c>
      <c r="AE235" s="195" t="s">
        <v>239</v>
      </c>
      <c r="AF235" s="182" t="s">
        <v>498</v>
      </c>
      <c r="AG235" s="196"/>
      <c r="AH235" s="195"/>
      <c r="AI235" s="98"/>
      <c r="AJ235" s="99" t="s">
        <v>1301</v>
      </c>
      <c r="AK235" s="197" t="e">
        <f t="shared" si="11"/>
        <v>#VALUE!</v>
      </c>
      <c r="AL235" s="98" t="s">
        <v>1302</v>
      </c>
      <c r="AM235" s="90"/>
      <c r="AN235" s="100"/>
      <c r="AO235" s="198"/>
    </row>
    <row r="236" spans="1:41" s="120" customFormat="1" ht="30.75" hidden="1" customHeight="1" x14ac:dyDescent="0.35">
      <c r="A236" s="244">
        <v>266</v>
      </c>
      <c r="B236" s="253"/>
      <c r="C236" s="327" t="s">
        <v>239</v>
      </c>
      <c r="D236" s="233"/>
      <c r="E236" s="464"/>
      <c r="F236" s="319" t="s">
        <v>483</v>
      </c>
      <c r="G236" s="320" t="s">
        <v>484</v>
      </c>
      <c r="H236" s="321" t="s">
        <v>484</v>
      </c>
      <c r="I236" s="321" t="s">
        <v>481</v>
      </c>
      <c r="J236" s="232"/>
      <c r="K236" s="232"/>
      <c r="L236" s="232"/>
      <c r="M236" s="232"/>
      <c r="N236" s="235"/>
      <c r="O236" s="343">
        <v>4</v>
      </c>
      <c r="P236" s="169">
        <f>0</f>
        <v>0</v>
      </c>
      <c r="Q236" s="169">
        <f>0</f>
        <v>0</v>
      </c>
      <c r="R236" s="169">
        <f>0</f>
        <v>0</v>
      </c>
      <c r="S236" s="169">
        <f>0</f>
        <v>0</v>
      </c>
      <c r="T236" s="169">
        <f>0</f>
        <v>0</v>
      </c>
      <c r="U236" s="169">
        <f>0</f>
        <v>0</v>
      </c>
      <c r="V236" s="169">
        <f>0</f>
        <v>0</v>
      </c>
      <c r="W236" s="169">
        <f>0</f>
        <v>0</v>
      </c>
      <c r="X236" s="169">
        <f>0</f>
        <v>0</v>
      </c>
      <c r="Y236" s="169">
        <f>0</f>
        <v>0</v>
      </c>
      <c r="Z236" s="219">
        <f>0</f>
        <v>0</v>
      </c>
      <c r="AA236" s="192">
        <f t="shared" si="9"/>
        <v>4</v>
      </c>
      <c r="AB236" s="193">
        <v>4</v>
      </c>
      <c r="AC236" s="190">
        <f t="shared" si="10"/>
        <v>0</v>
      </c>
      <c r="AD236" s="194">
        <v>44976</v>
      </c>
      <c r="AE236" s="195" t="s">
        <v>239</v>
      </c>
      <c r="AF236" s="182" t="s">
        <v>1436</v>
      </c>
      <c r="AG236" s="196"/>
      <c r="AH236" s="195"/>
      <c r="AI236" s="98"/>
      <c r="AJ236" s="99">
        <v>4</v>
      </c>
      <c r="AK236" s="197">
        <f t="shared" si="11"/>
        <v>-4</v>
      </c>
      <c r="AL236" s="98" t="s">
        <v>1500</v>
      </c>
      <c r="AM236" s="90"/>
      <c r="AN236" s="100"/>
      <c r="AO236" s="198"/>
    </row>
    <row r="237" spans="1:41" s="308" customFormat="1" ht="30.75" hidden="1" customHeight="1" x14ac:dyDescent="0.35">
      <c r="A237" s="244">
        <v>267</v>
      </c>
      <c r="B237" s="253"/>
      <c r="C237" s="327" t="s">
        <v>239</v>
      </c>
      <c r="D237" s="233"/>
      <c r="E237" s="236"/>
      <c r="F237" s="185" t="s">
        <v>485</v>
      </c>
      <c r="G237" s="196" t="s">
        <v>486</v>
      </c>
      <c r="H237" s="328" t="s">
        <v>486</v>
      </c>
      <c r="I237" s="321" t="s">
        <v>481</v>
      </c>
      <c r="J237" s="232"/>
      <c r="K237" s="232"/>
      <c r="L237" s="232"/>
      <c r="M237" s="232"/>
      <c r="N237" s="235"/>
      <c r="O237" s="343">
        <v>4</v>
      </c>
      <c r="P237" s="169">
        <f>0</f>
        <v>0</v>
      </c>
      <c r="Q237" s="169">
        <f>0</f>
        <v>0</v>
      </c>
      <c r="R237" s="169">
        <f>0</f>
        <v>0</v>
      </c>
      <c r="S237" s="169">
        <f>0</f>
        <v>0</v>
      </c>
      <c r="T237" s="169">
        <f>0</f>
        <v>0</v>
      </c>
      <c r="U237" s="169">
        <f>0</f>
        <v>0</v>
      </c>
      <c r="V237" s="169">
        <f>0</f>
        <v>0</v>
      </c>
      <c r="W237" s="169">
        <f>0</f>
        <v>0</v>
      </c>
      <c r="X237" s="169">
        <f>0</f>
        <v>0</v>
      </c>
      <c r="Y237" s="169">
        <f>0</f>
        <v>0</v>
      </c>
      <c r="Z237" s="219">
        <f>0</f>
        <v>0</v>
      </c>
      <c r="AA237" s="192">
        <f t="shared" si="9"/>
        <v>4</v>
      </c>
      <c r="AB237" s="193">
        <v>0</v>
      </c>
      <c r="AC237" s="190">
        <f t="shared" si="10"/>
        <v>4</v>
      </c>
      <c r="AD237" s="188">
        <v>44906</v>
      </c>
      <c r="AE237" s="205" t="s">
        <v>239</v>
      </c>
      <c r="AF237" s="390" t="s">
        <v>294</v>
      </c>
      <c r="AG237" s="196"/>
      <c r="AH237" s="195"/>
      <c r="AI237" s="98"/>
      <c r="AJ237" s="99"/>
      <c r="AK237" s="197">
        <f t="shared" si="11"/>
        <v>4</v>
      </c>
      <c r="AL237" s="98"/>
      <c r="AM237" s="90"/>
      <c r="AN237" s="100"/>
      <c r="AO237" s="198"/>
    </row>
    <row r="238" spans="1:41" s="308" customFormat="1" ht="30.75" hidden="1" customHeight="1" x14ac:dyDescent="0.35">
      <c r="A238" s="244">
        <v>269</v>
      </c>
      <c r="B238" s="253"/>
      <c r="C238" s="327" t="s">
        <v>239</v>
      </c>
      <c r="D238" s="233"/>
      <c r="E238" s="236"/>
      <c r="F238" s="185" t="s">
        <v>208</v>
      </c>
      <c r="G238" s="196" t="s">
        <v>242</v>
      </c>
      <c r="H238" s="328" t="s">
        <v>242</v>
      </c>
      <c r="I238" s="321" t="s">
        <v>481</v>
      </c>
      <c r="J238" s="232"/>
      <c r="K238" s="232"/>
      <c r="L238" s="232"/>
      <c r="M238" s="232"/>
      <c r="N238" s="235"/>
      <c r="O238" s="343">
        <v>1</v>
      </c>
      <c r="P238" s="169">
        <f>0</f>
        <v>0</v>
      </c>
      <c r="Q238" s="169">
        <f>0</f>
        <v>0</v>
      </c>
      <c r="R238" s="169">
        <f>0</f>
        <v>0</v>
      </c>
      <c r="S238" s="169">
        <f>0</f>
        <v>0</v>
      </c>
      <c r="T238" s="169">
        <f>0</f>
        <v>0</v>
      </c>
      <c r="U238" s="169">
        <f>0</f>
        <v>0</v>
      </c>
      <c r="V238" s="169">
        <f>0</f>
        <v>0</v>
      </c>
      <c r="W238" s="169">
        <f>0</f>
        <v>0</v>
      </c>
      <c r="X238" s="169">
        <f>0</f>
        <v>0</v>
      </c>
      <c r="Y238" s="169">
        <f>0</f>
        <v>0</v>
      </c>
      <c r="Z238" s="219">
        <f>0</f>
        <v>0</v>
      </c>
      <c r="AA238" s="192">
        <f t="shared" si="9"/>
        <v>1</v>
      </c>
      <c r="AB238" s="193">
        <v>1</v>
      </c>
      <c r="AC238" s="190">
        <f t="shared" si="10"/>
        <v>0</v>
      </c>
      <c r="AD238" s="188">
        <v>44906</v>
      </c>
      <c r="AE238" s="205" t="s">
        <v>239</v>
      </c>
      <c r="AF238" s="390" t="s">
        <v>497</v>
      </c>
      <c r="AG238" s="196"/>
      <c r="AH238" s="195"/>
      <c r="AI238" s="98"/>
      <c r="AJ238" s="99" t="s">
        <v>286</v>
      </c>
      <c r="AK238" s="197" t="e">
        <f t="shared" si="11"/>
        <v>#VALUE!</v>
      </c>
      <c r="AL238" s="98" t="s">
        <v>504</v>
      </c>
      <c r="AM238" s="90"/>
      <c r="AN238" s="100"/>
      <c r="AO238" s="198"/>
    </row>
    <row r="239" spans="1:41" s="308" customFormat="1" ht="30.75" hidden="1" customHeight="1" x14ac:dyDescent="0.35">
      <c r="A239" s="252">
        <v>270</v>
      </c>
      <c r="B239" s="253"/>
      <c r="C239" s="327" t="s">
        <v>239</v>
      </c>
      <c r="D239" s="233"/>
      <c r="E239" s="236"/>
      <c r="F239" s="185" t="s">
        <v>243</v>
      </c>
      <c r="G239" s="196" t="s">
        <v>244</v>
      </c>
      <c r="H239" s="328" t="s">
        <v>244</v>
      </c>
      <c r="I239" s="321" t="s">
        <v>481</v>
      </c>
      <c r="J239" s="232"/>
      <c r="K239" s="232"/>
      <c r="L239" s="232"/>
      <c r="M239" s="232"/>
      <c r="N239" s="235"/>
      <c r="O239" s="343">
        <v>1</v>
      </c>
      <c r="P239" s="169">
        <f>0</f>
        <v>0</v>
      </c>
      <c r="Q239" s="169">
        <f>0</f>
        <v>0</v>
      </c>
      <c r="R239" s="169">
        <f>0</f>
        <v>0</v>
      </c>
      <c r="S239" s="169">
        <f>0</f>
        <v>0</v>
      </c>
      <c r="T239" s="169">
        <f>0</f>
        <v>0</v>
      </c>
      <c r="U239" s="169">
        <f>0</f>
        <v>0</v>
      </c>
      <c r="V239" s="169">
        <f>0</f>
        <v>0</v>
      </c>
      <c r="W239" s="169">
        <f>0</f>
        <v>0</v>
      </c>
      <c r="X239" s="169">
        <f>0</f>
        <v>0</v>
      </c>
      <c r="Y239" s="169">
        <f>0</f>
        <v>0</v>
      </c>
      <c r="Z239" s="219">
        <f>0</f>
        <v>0</v>
      </c>
      <c r="AA239" s="192">
        <f t="shared" si="9"/>
        <v>1</v>
      </c>
      <c r="AB239" s="193">
        <v>1</v>
      </c>
      <c r="AC239" s="190">
        <f t="shared" si="10"/>
        <v>0</v>
      </c>
      <c r="AD239" s="188"/>
      <c r="AE239" s="205" t="s">
        <v>239</v>
      </c>
      <c r="AF239" s="390" t="s">
        <v>487</v>
      </c>
      <c r="AG239" s="196"/>
      <c r="AH239" s="195"/>
      <c r="AI239" s="98"/>
      <c r="AJ239" s="99" t="s">
        <v>286</v>
      </c>
      <c r="AK239" s="197" t="e">
        <f t="shared" si="11"/>
        <v>#VALUE!</v>
      </c>
      <c r="AL239" s="98" t="s">
        <v>1308</v>
      </c>
      <c r="AM239" s="90"/>
      <c r="AN239" s="100"/>
      <c r="AO239" s="198"/>
    </row>
    <row r="240" spans="1:41" s="308" customFormat="1" ht="30.75" hidden="1" customHeight="1" x14ac:dyDescent="0.35">
      <c r="A240" s="244">
        <v>271</v>
      </c>
      <c r="B240" s="253"/>
      <c r="C240" s="327" t="s">
        <v>239</v>
      </c>
      <c r="D240" s="233"/>
      <c r="E240" s="296"/>
      <c r="F240" s="185" t="s">
        <v>245</v>
      </c>
      <c r="G240" s="196" t="s">
        <v>246</v>
      </c>
      <c r="H240" s="328" t="s">
        <v>246</v>
      </c>
      <c r="I240" s="321" t="s">
        <v>481</v>
      </c>
      <c r="J240" s="232"/>
      <c r="K240" s="232"/>
      <c r="L240" s="232"/>
      <c r="M240" s="232"/>
      <c r="N240" s="235"/>
      <c r="O240" s="343">
        <v>1</v>
      </c>
      <c r="P240" s="169">
        <f>0</f>
        <v>0</v>
      </c>
      <c r="Q240" s="169">
        <f>0</f>
        <v>0</v>
      </c>
      <c r="R240" s="169">
        <f>0</f>
        <v>0</v>
      </c>
      <c r="S240" s="169">
        <f>0</f>
        <v>0</v>
      </c>
      <c r="T240" s="169">
        <f>0</f>
        <v>0</v>
      </c>
      <c r="U240" s="169">
        <f>0</f>
        <v>0</v>
      </c>
      <c r="V240" s="169">
        <f>0</f>
        <v>0</v>
      </c>
      <c r="W240" s="169">
        <f>0</f>
        <v>0</v>
      </c>
      <c r="X240" s="169">
        <f>0</f>
        <v>0</v>
      </c>
      <c r="Y240" s="169">
        <f>0</f>
        <v>0</v>
      </c>
      <c r="Z240" s="219">
        <f>0</f>
        <v>0</v>
      </c>
      <c r="AA240" s="192">
        <f t="shared" si="9"/>
        <v>1</v>
      </c>
      <c r="AB240" s="193">
        <v>1</v>
      </c>
      <c r="AC240" s="190">
        <f t="shared" si="10"/>
        <v>0</v>
      </c>
      <c r="AD240" s="194">
        <v>44976</v>
      </c>
      <c r="AE240" s="205" t="s">
        <v>239</v>
      </c>
      <c r="AF240" s="390" t="s">
        <v>1437</v>
      </c>
      <c r="AG240" s="182" t="s">
        <v>1426</v>
      </c>
      <c r="AH240" s="195"/>
      <c r="AI240" s="98"/>
      <c r="AJ240" s="99">
        <v>1</v>
      </c>
      <c r="AK240" s="197">
        <f t="shared" si="11"/>
        <v>-1</v>
      </c>
      <c r="AL240" s="98" t="s">
        <v>1470</v>
      </c>
      <c r="AM240" s="90"/>
      <c r="AN240" s="100"/>
      <c r="AO240" s="198"/>
    </row>
    <row r="241" spans="1:41" s="308" customFormat="1" ht="30.75" hidden="1" customHeight="1" x14ac:dyDescent="0.35">
      <c r="A241" s="244">
        <v>272</v>
      </c>
      <c r="B241" s="253"/>
      <c r="C241" s="327" t="s">
        <v>239</v>
      </c>
      <c r="D241" s="233"/>
      <c r="E241" s="296"/>
      <c r="F241" s="185" t="s">
        <v>247</v>
      </c>
      <c r="G241" s="196" t="s">
        <v>248</v>
      </c>
      <c r="H241" s="328" t="s">
        <v>248</v>
      </c>
      <c r="I241" s="321" t="s">
        <v>481</v>
      </c>
      <c r="J241" s="232"/>
      <c r="K241" s="232"/>
      <c r="L241" s="232"/>
      <c r="M241" s="232"/>
      <c r="N241" s="235"/>
      <c r="O241" s="343">
        <v>3</v>
      </c>
      <c r="P241" s="169">
        <f>0</f>
        <v>0</v>
      </c>
      <c r="Q241" s="169">
        <f>0</f>
        <v>0</v>
      </c>
      <c r="R241" s="169">
        <f>0</f>
        <v>0</v>
      </c>
      <c r="S241" s="169">
        <f>0</f>
        <v>0</v>
      </c>
      <c r="T241" s="169">
        <f>0</f>
        <v>0</v>
      </c>
      <c r="U241" s="169">
        <f>0</f>
        <v>0</v>
      </c>
      <c r="V241" s="169">
        <f>0</f>
        <v>0</v>
      </c>
      <c r="W241" s="169">
        <f>0</f>
        <v>0</v>
      </c>
      <c r="X241" s="169">
        <f>0</f>
        <v>0</v>
      </c>
      <c r="Y241" s="169">
        <f>0</f>
        <v>0</v>
      </c>
      <c r="Z241" s="219">
        <f>0</f>
        <v>0</v>
      </c>
      <c r="AA241" s="192">
        <f t="shared" si="9"/>
        <v>3</v>
      </c>
      <c r="AB241" s="193">
        <v>3</v>
      </c>
      <c r="AC241" s="190">
        <f t="shared" si="10"/>
        <v>0</v>
      </c>
      <c r="AD241" s="194">
        <v>44976</v>
      </c>
      <c r="AE241" s="205" t="s">
        <v>239</v>
      </c>
      <c r="AF241" s="390" t="s">
        <v>1435</v>
      </c>
      <c r="AG241" s="196"/>
      <c r="AH241" s="195"/>
      <c r="AI241" s="98"/>
      <c r="AJ241" s="99">
        <v>2</v>
      </c>
      <c r="AK241" s="197">
        <f t="shared" si="11"/>
        <v>-2</v>
      </c>
      <c r="AL241" s="98" t="s">
        <v>1458</v>
      </c>
      <c r="AM241" s="90"/>
      <c r="AN241" s="100"/>
      <c r="AO241" s="198"/>
    </row>
    <row r="242" spans="1:41" s="308" customFormat="1" ht="30.75" hidden="1" customHeight="1" x14ac:dyDescent="0.35">
      <c r="A242" s="244">
        <v>400</v>
      </c>
      <c r="B242" s="253">
        <v>44946</v>
      </c>
      <c r="C242" s="327" t="s">
        <v>456</v>
      </c>
      <c r="D242" s="233"/>
      <c r="E242" s="236"/>
      <c r="F242" s="185" t="s">
        <v>992</v>
      </c>
      <c r="G242" s="97" t="s">
        <v>1085</v>
      </c>
      <c r="H242" s="97" t="s">
        <v>1085</v>
      </c>
      <c r="I242" s="148" t="s">
        <v>1188</v>
      </c>
      <c r="J242" s="148"/>
      <c r="K242" s="148"/>
      <c r="L242" s="148"/>
      <c r="M242" s="148"/>
      <c r="N242" s="235"/>
      <c r="O242" s="343">
        <v>2</v>
      </c>
      <c r="P242" s="169">
        <v>0</v>
      </c>
      <c r="Q242" s="169">
        <v>0</v>
      </c>
      <c r="R242" s="169">
        <v>0</v>
      </c>
      <c r="S242" s="169">
        <v>0</v>
      </c>
      <c r="T242" s="169">
        <v>0</v>
      </c>
      <c r="U242" s="169">
        <v>0</v>
      </c>
      <c r="V242" s="169">
        <v>0</v>
      </c>
      <c r="W242" s="169">
        <v>0</v>
      </c>
      <c r="X242" s="169">
        <v>0</v>
      </c>
      <c r="Y242" s="169">
        <f>0</f>
        <v>0</v>
      </c>
      <c r="Z242" s="219">
        <f>0</f>
        <v>0</v>
      </c>
      <c r="AA242" s="192">
        <f t="shared" si="9"/>
        <v>2</v>
      </c>
      <c r="AB242" s="193">
        <v>2</v>
      </c>
      <c r="AC242" s="190">
        <f t="shared" si="10"/>
        <v>0</v>
      </c>
      <c r="AD242" s="194"/>
      <c r="AE242" s="205" t="s">
        <v>239</v>
      </c>
      <c r="AF242" s="189"/>
      <c r="AG242" s="196"/>
      <c r="AH242" s="195"/>
      <c r="AI242" s="98"/>
      <c r="AJ242" s="99">
        <v>2</v>
      </c>
      <c r="AK242" s="197">
        <f t="shared" si="11"/>
        <v>-2</v>
      </c>
      <c r="AL242" s="98" t="s">
        <v>1300</v>
      </c>
      <c r="AM242" s="90"/>
      <c r="AN242" s="100"/>
      <c r="AO242" s="198"/>
    </row>
    <row r="243" spans="1:41" s="308" customFormat="1" ht="30.75" hidden="1" customHeight="1" x14ac:dyDescent="0.35">
      <c r="A243" s="252">
        <v>401</v>
      </c>
      <c r="B243" s="253">
        <v>44946</v>
      </c>
      <c r="C243" s="327" t="s">
        <v>456</v>
      </c>
      <c r="D243" s="233"/>
      <c r="E243" s="400"/>
      <c r="F243" s="185" t="s">
        <v>993</v>
      </c>
      <c r="G243" s="97" t="s">
        <v>1086</v>
      </c>
      <c r="H243" s="97" t="s">
        <v>1086</v>
      </c>
      <c r="I243" s="148" t="s">
        <v>1188</v>
      </c>
      <c r="J243" s="148"/>
      <c r="K243" s="148"/>
      <c r="L243" s="148"/>
      <c r="M243" s="148"/>
      <c r="N243" s="235"/>
      <c r="O243" s="343">
        <v>2</v>
      </c>
      <c r="P243" s="169">
        <v>0</v>
      </c>
      <c r="Q243" s="169">
        <v>0</v>
      </c>
      <c r="R243" s="169">
        <v>0</v>
      </c>
      <c r="S243" s="169">
        <v>0</v>
      </c>
      <c r="T243" s="169">
        <v>0</v>
      </c>
      <c r="U243" s="169">
        <v>0</v>
      </c>
      <c r="V243" s="169">
        <v>0</v>
      </c>
      <c r="W243" s="169">
        <v>0</v>
      </c>
      <c r="X243" s="169">
        <v>0</v>
      </c>
      <c r="Y243" s="169">
        <f>0</f>
        <v>0</v>
      </c>
      <c r="Z243" s="219">
        <f>0</f>
        <v>0</v>
      </c>
      <c r="AA243" s="192">
        <f t="shared" si="9"/>
        <v>2</v>
      </c>
      <c r="AB243" s="193">
        <v>2</v>
      </c>
      <c r="AC243" s="190">
        <f t="shared" si="10"/>
        <v>0</v>
      </c>
      <c r="AD243" s="194">
        <v>44976</v>
      </c>
      <c r="AE243" s="195" t="s">
        <v>239</v>
      </c>
      <c r="AF243" s="389" t="s">
        <v>1438</v>
      </c>
      <c r="AG243" s="97" t="s">
        <v>1427</v>
      </c>
      <c r="AH243" s="195"/>
      <c r="AI243" s="98"/>
      <c r="AJ243" s="99">
        <v>2</v>
      </c>
      <c r="AK243" s="197">
        <f t="shared" si="11"/>
        <v>-2</v>
      </c>
      <c r="AL243" s="98" t="s">
        <v>1454</v>
      </c>
      <c r="AM243" s="90"/>
      <c r="AN243" s="100"/>
      <c r="AO243" s="198"/>
    </row>
    <row r="244" spans="1:41" s="308" customFormat="1" ht="30.75" hidden="1" customHeight="1" x14ac:dyDescent="0.35">
      <c r="A244" s="244">
        <v>90</v>
      </c>
      <c r="B244" s="297">
        <v>44900</v>
      </c>
      <c r="C244" s="302" t="s">
        <v>308</v>
      </c>
      <c r="D244" s="305"/>
      <c r="E244" s="236"/>
      <c r="F244" s="185" t="s">
        <v>310</v>
      </c>
      <c r="G244" s="196" t="s">
        <v>309</v>
      </c>
      <c r="H244" s="328" t="s">
        <v>309</v>
      </c>
      <c r="I244" s="321" t="s">
        <v>311</v>
      </c>
      <c r="J244" s="552"/>
      <c r="K244" s="301"/>
      <c r="L244" s="560"/>
      <c r="M244" s="148" t="s">
        <v>313</v>
      </c>
      <c r="N244" s="235" t="s">
        <v>71</v>
      </c>
      <c r="O244" s="343">
        <v>0</v>
      </c>
      <c r="P244" s="169">
        <f>0</f>
        <v>0</v>
      </c>
      <c r="Q244" s="169">
        <f>0</f>
        <v>0</v>
      </c>
      <c r="R244" s="169">
        <f>0</f>
        <v>0</v>
      </c>
      <c r="S244" s="169">
        <f>0</f>
        <v>0</v>
      </c>
      <c r="T244" s="169">
        <f>0</f>
        <v>0</v>
      </c>
      <c r="U244" s="169">
        <f>0</f>
        <v>0</v>
      </c>
      <c r="V244" s="169">
        <f>0</f>
        <v>0</v>
      </c>
      <c r="W244" s="169">
        <f>0</f>
        <v>0</v>
      </c>
      <c r="X244" s="169">
        <f>0</f>
        <v>0</v>
      </c>
      <c r="Y244" s="169">
        <f>0</f>
        <v>0</v>
      </c>
      <c r="Z244" s="219">
        <v>10</v>
      </c>
      <c r="AA244" s="160">
        <f t="shared" si="9"/>
        <v>10</v>
      </c>
      <c r="AB244" s="141">
        <f>0</f>
        <v>0</v>
      </c>
      <c r="AC244" s="172">
        <f t="shared" si="10"/>
        <v>10</v>
      </c>
      <c r="AD244" s="194">
        <v>44907</v>
      </c>
      <c r="AE244" s="195" t="s">
        <v>284</v>
      </c>
      <c r="AF244" s="272" t="s">
        <v>505</v>
      </c>
      <c r="AG244" s="196"/>
      <c r="AH244" s="205" t="s">
        <v>506</v>
      </c>
      <c r="AI244" s="98"/>
      <c r="AJ244" s="99">
        <v>10</v>
      </c>
      <c r="AK244" s="197">
        <f t="shared" si="11"/>
        <v>0</v>
      </c>
      <c r="AL244" s="98" t="s">
        <v>1464</v>
      </c>
      <c r="AM244" s="90"/>
      <c r="AN244" s="100"/>
      <c r="AO244" s="198"/>
    </row>
    <row r="245" spans="1:41" s="308" customFormat="1" ht="30.75" hidden="1" customHeight="1" x14ac:dyDescent="0.35">
      <c r="A245" s="244">
        <v>95</v>
      </c>
      <c r="B245" s="297">
        <v>44903</v>
      </c>
      <c r="C245" s="302" t="s">
        <v>374</v>
      </c>
      <c r="D245" s="305" t="s">
        <v>323</v>
      </c>
      <c r="E245" s="236" t="s">
        <v>324</v>
      </c>
      <c r="F245" s="185" t="s">
        <v>325</v>
      </c>
      <c r="G245" s="196" t="s">
        <v>323</v>
      </c>
      <c r="H245" s="328" t="s">
        <v>323</v>
      </c>
      <c r="I245" s="321" t="s">
        <v>311</v>
      </c>
      <c r="J245" s="552" t="s">
        <v>251</v>
      </c>
      <c r="K245" s="301" t="s">
        <v>252</v>
      </c>
      <c r="L245" s="560" t="s">
        <v>252</v>
      </c>
      <c r="M245" s="148"/>
      <c r="N245" s="235" t="s">
        <v>71</v>
      </c>
      <c r="O245" s="343">
        <v>0</v>
      </c>
      <c r="P245" s="169">
        <f>0</f>
        <v>0</v>
      </c>
      <c r="Q245" s="169">
        <f>0</f>
        <v>0</v>
      </c>
      <c r="R245" s="169">
        <f>0</f>
        <v>0</v>
      </c>
      <c r="S245" s="169">
        <v>4</v>
      </c>
      <c r="T245" s="169">
        <f>0</f>
        <v>0</v>
      </c>
      <c r="U245" s="169">
        <f>0</f>
        <v>0</v>
      </c>
      <c r="V245" s="169">
        <f>0</f>
        <v>0</v>
      </c>
      <c r="W245" s="169">
        <f>0</f>
        <v>0</v>
      </c>
      <c r="X245" s="169">
        <f>0</f>
        <v>0</v>
      </c>
      <c r="Y245" s="169">
        <f>0</f>
        <v>0</v>
      </c>
      <c r="Z245" s="219">
        <f>0</f>
        <v>0</v>
      </c>
      <c r="AA245" s="160">
        <f t="shared" si="9"/>
        <v>4</v>
      </c>
      <c r="AB245" s="141">
        <f>0</f>
        <v>0</v>
      </c>
      <c r="AC245" s="172">
        <f t="shared" si="10"/>
        <v>4</v>
      </c>
      <c r="AD245" s="194">
        <v>44907</v>
      </c>
      <c r="AE245" s="195" t="s">
        <v>284</v>
      </c>
      <c r="AF245" s="272" t="s">
        <v>505</v>
      </c>
      <c r="AG245" s="196"/>
      <c r="AH245" s="205" t="s">
        <v>506</v>
      </c>
      <c r="AI245" s="98"/>
      <c r="AJ245" s="99">
        <v>4</v>
      </c>
      <c r="AK245" s="197">
        <f t="shared" si="11"/>
        <v>0</v>
      </c>
      <c r="AL245" s="98" t="s">
        <v>1464</v>
      </c>
      <c r="AM245" s="90"/>
      <c r="AN245" s="100"/>
      <c r="AO245" s="198"/>
    </row>
    <row r="246" spans="1:41" s="308" customFormat="1" ht="30.75" hidden="1" customHeight="1" x14ac:dyDescent="0.35">
      <c r="A246" s="244">
        <v>163</v>
      </c>
      <c r="B246" s="253">
        <v>44914</v>
      </c>
      <c r="C246" s="302" t="s">
        <v>254</v>
      </c>
      <c r="D246" s="233" t="s">
        <v>556</v>
      </c>
      <c r="E246" s="236" t="s">
        <v>330</v>
      </c>
      <c r="F246" s="185" t="s">
        <v>557</v>
      </c>
      <c r="G246" s="196" t="s">
        <v>252</v>
      </c>
      <c r="H246" s="328" t="s">
        <v>556</v>
      </c>
      <c r="I246" s="321" t="s">
        <v>311</v>
      </c>
      <c r="J246" s="148" t="s">
        <v>251</v>
      </c>
      <c r="K246" s="148" t="s">
        <v>252</v>
      </c>
      <c r="L246" s="148" t="s">
        <v>252</v>
      </c>
      <c r="M246" s="148" t="s">
        <v>252</v>
      </c>
      <c r="N246" s="235" t="s">
        <v>555</v>
      </c>
      <c r="O246" s="343">
        <v>5</v>
      </c>
      <c r="P246" s="169">
        <f>0</f>
        <v>0</v>
      </c>
      <c r="Q246" s="169">
        <f>0</f>
        <v>0</v>
      </c>
      <c r="R246" s="169">
        <f>0</f>
        <v>0</v>
      </c>
      <c r="S246" s="169">
        <f>0</f>
        <v>0</v>
      </c>
      <c r="T246" s="169">
        <f>0</f>
        <v>0</v>
      </c>
      <c r="U246" s="169">
        <f>0</f>
        <v>0</v>
      </c>
      <c r="V246" s="169">
        <f>0</f>
        <v>0</v>
      </c>
      <c r="W246" s="169">
        <f>0</f>
        <v>0</v>
      </c>
      <c r="X246" s="169">
        <f>0</f>
        <v>0</v>
      </c>
      <c r="Y246" s="169">
        <f>0</f>
        <v>0</v>
      </c>
      <c r="Z246" s="219">
        <f>0</f>
        <v>0</v>
      </c>
      <c r="AA246" s="160">
        <f t="shared" si="9"/>
        <v>5</v>
      </c>
      <c r="AB246" s="141">
        <v>5</v>
      </c>
      <c r="AC246" s="172">
        <f t="shared" si="10"/>
        <v>0</v>
      </c>
      <c r="AD246" s="194"/>
      <c r="AE246" s="195"/>
      <c r="AF246" s="97" t="s">
        <v>294</v>
      </c>
      <c r="AG246" s="196"/>
      <c r="AH246" s="195"/>
      <c r="AI246" s="98"/>
      <c r="AJ246" s="99" t="s">
        <v>547</v>
      </c>
      <c r="AK246" s="197" t="e">
        <f t="shared" si="11"/>
        <v>#VALUE!</v>
      </c>
      <c r="AL246" s="98" t="s">
        <v>737</v>
      </c>
      <c r="AM246" s="90"/>
      <c r="AN246" s="100"/>
      <c r="AO246" s="198"/>
    </row>
    <row r="247" spans="1:41" s="308" customFormat="1" ht="30.75" hidden="1" customHeight="1" x14ac:dyDescent="0.35">
      <c r="A247" s="252">
        <v>173</v>
      </c>
      <c r="B247" s="253">
        <v>44916</v>
      </c>
      <c r="C247" s="327" t="s">
        <v>308</v>
      </c>
      <c r="D247" s="305" t="s">
        <v>721</v>
      </c>
      <c r="E247" s="236" t="s">
        <v>324</v>
      </c>
      <c r="F247" s="185" t="s">
        <v>597</v>
      </c>
      <c r="G247" s="196"/>
      <c r="H247" s="328" t="s">
        <v>721</v>
      </c>
      <c r="I247" s="321" t="s">
        <v>311</v>
      </c>
      <c r="J247" s="148" t="s">
        <v>251</v>
      </c>
      <c r="K247" s="148" t="s">
        <v>252</v>
      </c>
      <c r="L247" s="148" t="s">
        <v>252</v>
      </c>
      <c r="M247" s="148" t="s">
        <v>722</v>
      </c>
      <c r="N247" s="235" t="s">
        <v>604</v>
      </c>
      <c r="O247" s="343">
        <f>0</f>
        <v>0</v>
      </c>
      <c r="P247" s="169">
        <f>0</f>
        <v>0</v>
      </c>
      <c r="Q247" s="169">
        <f>0</f>
        <v>0</v>
      </c>
      <c r="R247" s="169">
        <f>0</f>
        <v>0</v>
      </c>
      <c r="S247" s="169">
        <f>0</f>
        <v>0</v>
      </c>
      <c r="T247" s="169">
        <v>4</v>
      </c>
      <c r="U247" s="169">
        <f>0</f>
        <v>0</v>
      </c>
      <c r="V247" s="169">
        <f>0</f>
        <v>0</v>
      </c>
      <c r="W247" s="169">
        <f>0</f>
        <v>0</v>
      </c>
      <c r="X247" s="169">
        <f>0</f>
        <v>0</v>
      </c>
      <c r="Y247" s="169">
        <f>0</f>
        <v>0</v>
      </c>
      <c r="Z247" s="219">
        <f>0</f>
        <v>0</v>
      </c>
      <c r="AA247" s="160">
        <f t="shared" si="9"/>
        <v>4</v>
      </c>
      <c r="AB247" s="141"/>
      <c r="AC247" s="172">
        <f t="shared" si="10"/>
        <v>4</v>
      </c>
      <c r="AD247" s="194">
        <v>44950</v>
      </c>
      <c r="AE247" s="205" t="s">
        <v>531</v>
      </c>
      <c r="AF247" s="97" t="s">
        <v>1245</v>
      </c>
      <c r="AG247" s="196"/>
      <c r="AH247" s="195" t="s">
        <v>1247</v>
      </c>
      <c r="AI247" s="98"/>
      <c r="AJ247" s="99">
        <v>4</v>
      </c>
      <c r="AK247" s="197">
        <f t="shared" si="11"/>
        <v>0</v>
      </c>
      <c r="AL247" s="98" t="s">
        <v>1464</v>
      </c>
      <c r="AM247" s="90"/>
      <c r="AN247" s="100"/>
      <c r="AO247" s="198"/>
    </row>
    <row r="248" spans="1:41" s="308" customFormat="1" ht="30.75" hidden="1" customHeight="1" x14ac:dyDescent="0.35">
      <c r="A248" s="244">
        <v>174</v>
      </c>
      <c r="B248" s="245">
        <v>44916</v>
      </c>
      <c r="C248" s="327" t="s">
        <v>308</v>
      </c>
      <c r="D248" s="305" t="s">
        <v>598</v>
      </c>
      <c r="E248" s="236" t="s">
        <v>330</v>
      </c>
      <c r="F248" s="185" t="s">
        <v>599</v>
      </c>
      <c r="G248" s="196"/>
      <c r="H248" s="328" t="s">
        <v>598</v>
      </c>
      <c r="I248" s="321" t="s">
        <v>311</v>
      </c>
      <c r="J248" s="148" t="s">
        <v>251</v>
      </c>
      <c r="K248" s="148" t="s">
        <v>252</v>
      </c>
      <c r="L248" s="148" t="s">
        <v>252</v>
      </c>
      <c r="M248" s="148" t="s">
        <v>252</v>
      </c>
      <c r="N248" s="235" t="s">
        <v>604</v>
      </c>
      <c r="O248" s="343">
        <f>0</f>
        <v>0</v>
      </c>
      <c r="P248" s="169">
        <f>0</f>
        <v>0</v>
      </c>
      <c r="Q248" s="169">
        <f>0</f>
        <v>0</v>
      </c>
      <c r="R248" s="169">
        <f>0</f>
        <v>0</v>
      </c>
      <c r="S248" s="169">
        <f>0</f>
        <v>0</v>
      </c>
      <c r="T248" s="169">
        <v>4</v>
      </c>
      <c r="U248" s="169">
        <f>0</f>
        <v>0</v>
      </c>
      <c r="V248" s="169">
        <f>0</f>
        <v>0</v>
      </c>
      <c r="W248" s="169">
        <f>0</f>
        <v>0</v>
      </c>
      <c r="X248" s="169">
        <f>0</f>
        <v>0</v>
      </c>
      <c r="Y248" s="169">
        <f>0</f>
        <v>0</v>
      </c>
      <c r="Z248" s="219">
        <f>0</f>
        <v>0</v>
      </c>
      <c r="AA248" s="160">
        <f t="shared" si="9"/>
        <v>4</v>
      </c>
      <c r="AB248" s="141"/>
      <c r="AC248" s="172">
        <f t="shared" si="10"/>
        <v>4</v>
      </c>
      <c r="AD248" s="188">
        <v>44950</v>
      </c>
      <c r="AE248" s="205" t="s">
        <v>531</v>
      </c>
      <c r="AF248" s="189" t="s">
        <v>1245</v>
      </c>
      <c r="AG248" s="196"/>
      <c r="AH248" s="195" t="s">
        <v>1247</v>
      </c>
      <c r="AI248" s="98"/>
      <c r="AJ248" s="99">
        <v>4</v>
      </c>
      <c r="AK248" s="197">
        <f t="shared" si="11"/>
        <v>0</v>
      </c>
      <c r="AL248" s="98" t="s">
        <v>1464</v>
      </c>
      <c r="AM248" s="90"/>
      <c r="AN248" s="100"/>
      <c r="AO248" s="198"/>
    </row>
    <row r="249" spans="1:41" s="308" customFormat="1" ht="30.75" hidden="1" customHeight="1" x14ac:dyDescent="0.35">
      <c r="A249" s="244">
        <v>223</v>
      </c>
      <c r="B249" s="245">
        <v>44929</v>
      </c>
      <c r="C249" s="327" t="s">
        <v>617</v>
      </c>
      <c r="D249" s="233" t="s">
        <v>724</v>
      </c>
      <c r="E249" s="236" t="s">
        <v>324</v>
      </c>
      <c r="F249" s="185" t="s">
        <v>725</v>
      </c>
      <c r="G249" s="196" t="s">
        <v>726</v>
      </c>
      <c r="H249" s="328"/>
      <c r="I249" s="321" t="s">
        <v>311</v>
      </c>
      <c r="J249" s="232" t="s">
        <v>251</v>
      </c>
      <c r="K249" s="232" t="s">
        <v>252</v>
      </c>
      <c r="L249" s="232" t="s">
        <v>252</v>
      </c>
      <c r="M249" s="232"/>
      <c r="N249" s="235" t="s">
        <v>723</v>
      </c>
      <c r="O249" s="343">
        <v>0</v>
      </c>
      <c r="P249" s="169">
        <f>0</f>
        <v>0</v>
      </c>
      <c r="Q249" s="169">
        <v>0</v>
      </c>
      <c r="R249" s="169">
        <f>0</f>
        <v>0</v>
      </c>
      <c r="S249" s="169">
        <v>0</v>
      </c>
      <c r="T249" s="169">
        <v>0</v>
      </c>
      <c r="U249" s="169">
        <v>0</v>
      </c>
      <c r="V249" s="169">
        <f>0</f>
        <v>0</v>
      </c>
      <c r="W249" s="169">
        <v>1</v>
      </c>
      <c r="X249" s="169">
        <f>0</f>
        <v>0</v>
      </c>
      <c r="Y249" s="169">
        <f>0</f>
        <v>0</v>
      </c>
      <c r="Z249" s="219">
        <f>0</f>
        <v>0</v>
      </c>
      <c r="AA249" s="160">
        <f t="shared" si="9"/>
        <v>1</v>
      </c>
      <c r="AB249" s="141"/>
      <c r="AC249" s="172">
        <f t="shared" si="10"/>
        <v>1</v>
      </c>
      <c r="AD249" s="188">
        <v>44950</v>
      </c>
      <c r="AE249" s="114" t="s">
        <v>531</v>
      </c>
      <c r="AF249" s="273" t="s">
        <v>1244</v>
      </c>
      <c r="AG249" s="196"/>
      <c r="AH249" s="195" t="s">
        <v>1247</v>
      </c>
      <c r="AI249" s="98"/>
      <c r="AJ249" s="99">
        <v>1</v>
      </c>
      <c r="AK249" s="197">
        <f t="shared" si="11"/>
        <v>0</v>
      </c>
      <c r="AL249" s="98" t="s">
        <v>1464</v>
      </c>
      <c r="AM249" s="90"/>
      <c r="AN249" s="100"/>
      <c r="AO249" s="198"/>
    </row>
    <row r="250" spans="1:41" s="120" customFormat="1" ht="30.75" hidden="1" customHeight="1" x14ac:dyDescent="0.35">
      <c r="A250" s="252">
        <v>224</v>
      </c>
      <c r="B250" s="245">
        <v>44929</v>
      </c>
      <c r="C250" s="327" t="s">
        <v>617</v>
      </c>
      <c r="D250" s="233" t="s">
        <v>727</v>
      </c>
      <c r="E250" s="233" t="s">
        <v>330</v>
      </c>
      <c r="F250" s="241" t="s">
        <v>728</v>
      </c>
      <c r="G250" s="206" t="s">
        <v>729</v>
      </c>
      <c r="H250" s="329" t="s">
        <v>727</v>
      </c>
      <c r="I250" s="321" t="s">
        <v>311</v>
      </c>
      <c r="J250" s="232" t="s">
        <v>251</v>
      </c>
      <c r="K250" s="232" t="s">
        <v>252</v>
      </c>
      <c r="L250" s="232" t="s">
        <v>252</v>
      </c>
      <c r="M250" s="232"/>
      <c r="N250" s="235" t="s">
        <v>723</v>
      </c>
      <c r="O250" s="343">
        <v>0</v>
      </c>
      <c r="P250" s="169">
        <f>0</f>
        <v>0</v>
      </c>
      <c r="Q250" s="169">
        <v>0</v>
      </c>
      <c r="R250" s="169">
        <f>0</f>
        <v>0</v>
      </c>
      <c r="S250" s="169">
        <v>0</v>
      </c>
      <c r="T250" s="169">
        <v>0</v>
      </c>
      <c r="U250" s="169">
        <v>0</v>
      </c>
      <c r="V250" s="169">
        <f>0</f>
        <v>0</v>
      </c>
      <c r="W250" s="169">
        <v>1</v>
      </c>
      <c r="X250" s="169">
        <f>0</f>
        <v>0</v>
      </c>
      <c r="Y250" s="169">
        <f>0</f>
        <v>0</v>
      </c>
      <c r="Z250" s="219">
        <f>0</f>
        <v>0</v>
      </c>
      <c r="AA250" s="161">
        <f t="shared" si="9"/>
        <v>1</v>
      </c>
      <c r="AB250" s="186"/>
      <c r="AC250" s="187">
        <f t="shared" si="10"/>
        <v>1</v>
      </c>
      <c r="AD250" s="188">
        <v>44950</v>
      </c>
      <c r="AE250" s="114" t="s">
        <v>531</v>
      </c>
      <c r="AF250" s="272" t="s">
        <v>1244</v>
      </c>
      <c r="AG250" s="206"/>
      <c r="AH250" s="205" t="s">
        <v>1247</v>
      </c>
      <c r="AI250" s="101"/>
      <c r="AJ250" s="102">
        <v>1</v>
      </c>
      <c r="AK250" s="207">
        <f t="shared" si="11"/>
        <v>0</v>
      </c>
      <c r="AL250" s="98" t="s">
        <v>1464</v>
      </c>
      <c r="AM250" s="96"/>
      <c r="AN250" s="103"/>
      <c r="AO250" s="208"/>
    </row>
    <row r="251" spans="1:41" s="120" customFormat="1" ht="30.75" hidden="1" customHeight="1" x14ac:dyDescent="0.35">
      <c r="A251" s="244">
        <v>238</v>
      </c>
      <c r="B251" s="245">
        <v>44939</v>
      </c>
      <c r="C251" s="254" t="s">
        <v>308</v>
      </c>
      <c r="D251" s="233" t="s">
        <v>761</v>
      </c>
      <c r="E251" s="233" t="s">
        <v>314</v>
      </c>
      <c r="F251" s="241" t="s">
        <v>769</v>
      </c>
      <c r="G251" s="206"/>
      <c r="H251" s="329" t="s">
        <v>761</v>
      </c>
      <c r="I251" s="321" t="s">
        <v>311</v>
      </c>
      <c r="J251" s="232" t="s">
        <v>251</v>
      </c>
      <c r="K251" s="232" t="s">
        <v>252</v>
      </c>
      <c r="L251" s="232" t="s">
        <v>252</v>
      </c>
      <c r="M251" s="232"/>
      <c r="N251" s="243" t="s">
        <v>777</v>
      </c>
      <c r="O251" s="343">
        <v>0</v>
      </c>
      <c r="P251" s="169">
        <f>0</f>
        <v>0</v>
      </c>
      <c r="Q251" s="169">
        <v>0</v>
      </c>
      <c r="R251" s="169">
        <f>0</f>
        <v>0</v>
      </c>
      <c r="S251" s="169">
        <v>0</v>
      </c>
      <c r="T251" s="169">
        <v>0</v>
      </c>
      <c r="U251" s="169">
        <v>0</v>
      </c>
      <c r="V251" s="169">
        <f>0</f>
        <v>0</v>
      </c>
      <c r="W251" s="169">
        <v>1</v>
      </c>
      <c r="X251" s="169">
        <f>0</f>
        <v>0</v>
      </c>
      <c r="Y251" s="169">
        <f>0</f>
        <v>0</v>
      </c>
      <c r="Z251" s="219">
        <f>0</f>
        <v>0</v>
      </c>
      <c r="AA251" s="161">
        <f t="shared" si="9"/>
        <v>1</v>
      </c>
      <c r="AB251" s="186">
        <v>1</v>
      </c>
      <c r="AC251" s="187">
        <f t="shared" si="10"/>
        <v>0</v>
      </c>
      <c r="AD251" s="204"/>
      <c r="AE251" s="205" t="s">
        <v>531</v>
      </c>
      <c r="AF251" s="148" t="s">
        <v>44</v>
      </c>
      <c r="AG251" s="206"/>
      <c r="AH251" s="205"/>
      <c r="AI251" s="101"/>
      <c r="AJ251" s="102" t="s">
        <v>501</v>
      </c>
      <c r="AK251" s="207" t="e">
        <f t="shared" si="11"/>
        <v>#VALUE!</v>
      </c>
      <c r="AL251" s="101" t="s">
        <v>858</v>
      </c>
      <c r="AM251" s="96"/>
      <c r="AN251" s="103"/>
      <c r="AO251" s="208"/>
    </row>
    <row r="252" spans="1:41" s="120" customFormat="1" ht="30.75" hidden="1" customHeight="1" x14ac:dyDescent="0.35">
      <c r="A252" s="244">
        <v>239</v>
      </c>
      <c r="B252" s="253">
        <v>44939</v>
      </c>
      <c r="C252" s="327" t="s">
        <v>308</v>
      </c>
      <c r="D252" s="236" t="s">
        <v>762</v>
      </c>
      <c r="E252" s="236">
        <v>0</v>
      </c>
      <c r="F252" s="185" t="s">
        <v>763</v>
      </c>
      <c r="G252" s="196"/>
      <c r="H252" s="328" t="s">
        <v>762</v>
      </c>
      <c r="I252" s="321" t="s">
        <v>311</v>
      </c>
      <c r="J252" s="232" t="s">
        <v>251</v>
      </c>
      <c r="K252" s="232" t="s">
        <v>252</v>
      </c>
      <c r="L252" s="232" t="s">
        <v>252</v>
      </c>
      <c r="M252" s="232"/>
      <c r="N252" s="235" t="s">
        <v>777</v>
      </c>
      <c r="O252" s="343">
        <v>0</v>
      </c>
      <c r="P252" s="169">
        <f>0</f>
        <v>0</v>
      </c>
      <c r="Q252" s="169">
        <v>0</v>
      </c>
      <c r="R252" s="169">
        <f>0</f>
        <v>0</v>
      </c>
      <c r="S252" s="169">
        <v>0</v>
      </c>
      <c r="T252" s="169">
        <v>0</v>
      </c>
      <c r="U252" s="169">
        <v>0</v>
      </c>
      <c r="V252" s="169">
        <f>0</f>
        <v>0</v>
      </c>
      <c r="W252" s="169">
        <v>1</v>
      </c>
      <c r="X252" s="169">
        <f>0</f>
        <v>0</v>
      </c>
      <c r="Y252" s="169">
        <f>0</f>
        <v>0</v>
      </c>
      <c r="Z252" s="219">
        <f>0</f>
        <v>0</v>
      </c>
      <c r="AA252" s="160">
        <f t="shared" si="9"/>
        <v>1</v>
      </c>
      <c r="AB252" s="141"/>
      <c r="AC252" s="172">
        <f t="shared" si="10"/>
        <v>1</v>
      </c>
      <c r="AD252" s="194">
        <v>44950</v>
      </c>
      <c r="AE252" s="195" t="s">
        <v>531</v>
      </c>
      <c r="AF252" s="97" t="s">
        <v>1246</v>
      </c>
      <c r="AG252" s="196"/>
      <c r="AH252" s="195" t="s">
        <v>1247</v>
      </c>
      <c r="AI252" s="98"/>
      <c r="AJ252" s="99">
        <v>1</v>
      </c>
      <c r="AK252" s="197">
        <f t="shared" si="11"/>
        <v>0</v>
      </c>
      <c r="AL252" s="98" t="s">
        <v>1551</v>
      </c>
      <c r="AM252" s="90"/>
      <c r="AN252" s="100"/>
      <c r="AO252" s="198"/>
    </row>
    <row r="253" spans="1:41" s="120" customFormat="1" ht="30.75" hidden="1" customHeight="1" x14ac:dyDescent="0.35">
      <c r="A253" s="244">
        <v>315</v>
      </c>
      <c r="B253" s="253">
        <v>44944</v>
      </c>
      <c r="C253" s="327" t="s">
        <v>308</v>
      </c>
      <c r="D253" s="236" t="s">
        <v>827</v>
      </c>
      <c r="E253" s="236">
        <v>0</v>
      </c>
      <c r="F253" s="185" t="s">
        <v>357</v>
      </c>
      <c r="G253" s="196" t="s">
        <v>827</v>
      </c>
      <c r="H253" s="328" t="s">
        <v>827</v>
      </c>
      <c r="I253" s="321" t="s">
        <v>311</v>
      </c>
      <c r="J253" s="148" t="s">
        <v>251</v>
      </c>
      <c r="K253" s="148" t="s">
        <v>252</v>
      </c>
      <c r="L253" s="148" t="s">
        <v>252</v>
      </c>
      <c r="M253" s="148"/>
      <c r="N253" s="235" t="s">
        <v>833</v>
      </c>
      <c r="O253" s="343">
        <f>0</f>
        <v>0</v>
      </c>
      <c r="P253" s="169">
        <f>0</f>
        <v>0</v>
      </c>
      <c r="Q253" s="169">
        <f>0</f>
        <v>0</v>
      </c>
      <c r="R253" s="169">
        <f>0</f>
        <v>0</v>
      </c>
      <c r="S253" s="169">
        <f>0</f>
        <v>0</v>
      </c>
      <c r="T253" s="169">
        <v>8</v>
      </c>
      <c r="U253" s="169">
        <f>0</f>
        <v>0</v>
      </c>
      <c r="V253" s="169">
        <f>0</f>
        <v>0</v>
      </c>
      <c r="W253" s="169">
        <f>0</f>
        <v>0</v>
      </c>
      <c r="X253" s="169">
        <f>0</f>
        <v>0</v>
      </c>
      <c r="Y253" s="169">
        <f>0</f>
        <v>0</v>
      </c>
      <c r="Z253" s="219">
        <f>0</f>
        <v>0</v>
      </c>
      <c r="AA253" s="192">
        <f t="shared" si="9"/>
        <v>8</v>
      </c>
      <c r="AB253" s="193"/>
      <c r="AC253" s="190">
        <f t="shared" si="10"/>
        <v>8</v>
      </c>
      <c r="AD253" s="194">
        <v>44950</v>
      </c>
      <c r="AE253" s="195" t="s">
        <v>531</v>
      </c>
      <c r="AF253" s="97" t="s">
        <v>1246</v>
      </c>
      <c r="AG253" s="196"/>
      <c r="AH253" s="195" t="s">
        <v>1247</v>
      </c>
      <c r="AI253" s="98"/>
      <c r="AJ253" s="99">
        <v>8</v>
      </c>
      <c r="AK253" s="197">
        <f t="shared" si="11"/>
        <v>0</v>
      </c>
      <c r="AL253" s="98" t="s">
        <v>1464</v>
      </c>
      <c r="AM253" s="90"/>
      <c r="AN253" s="100"/>
      <c r="AO253" s="198"/>
    </row>
    <row r="254" spans="1:41" s="120" customFormat="1" ht="30.75" hidden="1" customHeight="1" x14ac:dyDescent="0.35">
      <c r="A254" s="252">
        <v>321</v>
      </c>
      <c r="B254" s="253">
        <v>44945</v>
      </c>
      <c r="C254" s="327" t="s">
        <v>308</v>
      </c>
      <c r="D254" s="236" t="s">
        <v>842</v>
      </c>
      <c r="E254" s="236">
        <v>0</v>
      </c>
      <c r="F254" s="185" t="s">
        <v>843</v>
      </c>
      <c r="G254" s="196" t="s">
        <v>842</v>
      </c>
      <c r="H254" s="328" t="s">
        <v>842</v>
      </c>
      <c r="I254" s="321" t="s">
        <v>311</v>
      </c>
      <c r="J254" s="148" t="s">
        <v>251</v>
      </c>
      <c r="K254" s="148"/>
      <c r="L254" s="148"/>
      <c r="M254" s="148"/>
      <c r="N254" s="235" t="s">
        <v>604</v>
      </c>
      <c r="O254" s="343">
        <f>0</f>
        <v>0</v>
      </c>
      <c r="P254" s="169">
        <f>0</f>
        <v>0</v>
      </c>
      <c r="Q254" s="169">
        <f>0</f>
        <v>0</v>
      </c>
      <c r="R254" s="169">
        <f>0</f>
        <v>0</v>
      </c>
      <c r="S254" s="169">
        <f>0</f>
        <v>0</v>
      </c>
      <c r="T254" s="169">
        <v>1</v>
      </c>
      <c r="U254" s="169">
        <f>0</f>
        <v>0</v>
      </c>
      <c r="V254" s="169">
        <f>0</f>
        <v>0</v>
      </c>
      <c r="W254" s="169">
        <f>0</f>
        <v>0</v>
      </c>
      <c r="X254" s="169">
        <f>0</f>
        <v>0</v>
      </c>
      <c r="Y254" s="169">
        <f>0</f>
        <v>0</v>
      </c>
      <c r="Z254" s="219">
        <f>0</f>
        <v>0</v>
      </c>
      <c r="AA254" s="160">
        <f t="shared" si="9"/>
        <v>1</v>
      </c>
      <c r="AB254" s="141"/>
      <c r="AC254" s="172">
        <f t="shared" si="10"/>
        <v>1</v>
      </c>
      <c r="AD254" s="194">
        <v>44950</v>
      </c>
      <c r="AE254" s="195" t="s">
        <v>531</v>
      </c>
      <c r="AF254" s="97" t="s">
        <v>1246</v>
      </c>
      <c r="AG254" s="196"/>
      <c r="AH254" s="195" t="s">
        <v>1247</v>
      </c>
      <c r="AI254" s="98"/>
      <c r="AJ254" s="99">
        <v>1</v>
      </c>
      <c r="AK254" s="197">
        <f t="shared" si="11"/>
        <v>0</v>
      </c>
      <c r="AL254" s="98" t="s">
        <v>1464</v>
      </c>
      <c r="AM254" s="90"/>
      <c r="AN254" s="100"/>
      <c r="AO254" s="198"/>
    </row>
    <row r="255" spans="1:41" s="120" customFormat="1" ht="30.75" hidden="1" customHeight="1" x14ac:dyDescent="0.35">
      <c r="A255" s="244">
        <v>337</v>
      </c>
      <c r="B255" s="253">
        <v>44945</v>
      </c>
      <c r="C255" s="327" t="s">
        <v>863</v>
      </c>
      <c r="D255" s="236" t="s">
        <v>876</v>
      </c>
      <c r="E255" s="236" t="s">
        <v>324</v>
      </c>
      <c r="F255" s="185" t="s">
        <v>877</v>
      </c>
      <c r="G255" s="196" t="s">
        <v>876</v>
      </c>
      <c r="H255" s="97" t="s">
        <v>876</v>
      </c>
      <c r="I255" s="148" t="s">
        <v>311</v>
      </c>
      <c r="J255" s="148" t="s">
        <v>251</v>
      </c>
      <c r="K255" s="148" t="s">
        <v>252</v>
      </c>
      <c r="L255" s="148" t="s">
        <v>252</v>
      </c>
      <c r="M255" s="148"/>
      <c r="N255" s="235" t="s">
        <v>950</v>
      </c>
      <c r="O255" s="343">
        <v>0</v>
      </c>
      <c r="P255" s="169">
        <v>4</v>
      </c>
      <c r="Q255" s="169">
        <v>0</v>
      </c>
      <c r="R255" s="169">
        <v>0</v>
      </c>
      <c r="S255" s="169">
        <v>0</v>
      </c>
      <c r="T255" s="169">
        <v>0</v>
      </c>
      <c r="U255" s="169">
        <v>0</v>
      </c>
      <c r="V255" s="169">
        <f>0</f>
        <v>0</v>
      </c>
      <c r="W255" s="169">
        <v>0</v>
      </c>
      <c r="X255" s="169">
        <f>0</f>
        <v>0</v>
      </c>
      <c r="Y255" s="169">
        <f>0</f>
        <v>0</v>
      </c>
      <c r="Z255" s="219">
        <f>0</f>
        <v>0</v>
      </c>
      <c r="AA255" s="160">
        <f t="shared" si="9"/>
        <v>4</v>
      </c>
      <c r="AB255" s="141"/>
      <c r="AC255" s="172">
        <f t="shared" si="10"/>
        <v>4</v>
      </c>
      <c r="AD255" s="194">
        <v>44950</v>
      </c>
      <c r="AE255" s="195" t="s">
        <v>531</v>
      </c>
      <c r="AF255" s="97" t="s">
        <v>1246</v>
      </c>
      <c r="AG255" s="196"/>
      <c r="AH255" s="195" t="s">
        <v>1247</v>
      </c>
      <c r="AI255" s="98"/>
      <c r="AJ255" s="99">
        <v>4</v>
      </c>
      <c r="AK255" s="197">
        <f t="shared" si="11"/>
        <v>0</v>
      </c>
      <c r="AL255" s="98" t="s">
        <v>1608</v>
      </c>
      <c r="AM255" s="90"/>
      <c r="AN255" s="100"/>
      <c r="AO255" s="198"/>
    </row>
    <row r="256" spans="1:41" s="308" customFormat="1" ht="30.75" hidden="1" customHeight="1" x14ac:dyDescent="0.35">
      <c r="A256" s="244">
        <v>338</v>
      </c>
      <c r="B256" s="253">
        <v>44945</v>
      </c>
      <c r="C256" s="327" t="s">
        <v>863</v>
      </c>
      <c r="D256" s="236" t="s">
        <v>309</v>
      </c>
      <c r="E256" s="236">
        <v>0</v>
      </c>
      <c r="F256" s="185" t="s">
        <v>310</v>
      </c>
      <c r="G256" s="196" t="s">
        <v>309</v>
      </c>
      <c r="H256" s="97" t="s">
        <v>309</v>
      </c>
      <c r="I256" s="148" t="s">
        <v>311</v>
      </c>
      <c r="J256" s="148" t="s">
        <v>251</v>
      </c>
      <c r="K256" s="148" t="s">
        <v>252</v>
      </c>
      <c r="L256" s="148" t="s">
        <v>252</v>
      </c>
      <c r="M256" s="148"/>
      <c r="N256" s="235" t="s">
        <v>956</v>
      </c>
      <c r="O256" s="343">
        <v>0</v>
      </c>
      <c r="P256" s="169">
        <v>18</v>
      </c>
      <c r="Q256" s="169">
        <v>0</v>
      </c>
      <c r="R256" s="169">
        <v>0</v>
      </c>
      <c r="S256" s="169">
        <v>0</v>
      </c>
      <c r="T256" s="169">
        <v>0</v>
      </c>
      <c r="U256" s="169">
        <v>0</v>
      </c>
      <c r="V256" s="169">
        <f>0</f>
        <v>0</v>
      </c>
      <c r="W256" s="169">
        <v>0</v>
      </c>
      <c r="X256" s="169">
        <f>0</f>
        <v>0</v>
      </c>
      <c r="Y256" s="169">
        <f>0</f>
        <v>0</v>
      </c>
      <c r="Z256" s="219">
        <f>0</f>
        <v>0</v>
      </c>
      <c r="AA256" s="160">
        <f t="shared" si="9"/>
        <v>18</v>
      </c>
      <c r="AB256" s="141">
        <v>13</v>
      </c>
      <c r="AC256" s="172">
        <f t="shared" si="10"/>
        <v>5</v>
      </c>
      <c r="AD256" s="194"/>
      <c r="AE256" s="195" t="s">
        <v>531</v>
      </c>
      <c r="AF256" s="97" t="s">
        <v>44</v>
      </c>
      <c r="AG256" s="196"/>
      <c r="AH256" s="195"/>
      <c r="AI256" s="98"/>
      <c r="AJ256" s="99" t="s">
        <v>1582</v>
      </c>
      <c r="AK256" s="197" t="e">
        <f t="shared" si="11"/>
        <v>#VALUE!</v>
      </c>
      <c r="AL256" s="98" t="s">
        <v>1583</v>
      </c>
      <c r="AM256" s="90"/>
      <c r="AN256" s="100"/>
      <c r="AO256" s="198"/>
    </row>
    <row r="257" spans="1:41" s="308" customFormat="1" ht="30.75" hidden="1" customHeight="1" x14ac:dyDescent="0.35">
      <c r="A257" s="244">
        <v>363</v>
      </c>
      <c r="B257" s="253">
        <v>44945</v>
      </c>
      <c r="C257" s="327" t="s">
        <v>863</v>
      </c>
      <c r="D257" s="233" t="s">
        <v>931</v>
      </c>
      <c r="E257" s="233">
        <v>0</v>
      </c>
      <c r="F257" s="241" t="s">
        <v>932</v>
      </c>
      <c r="G257" s="189" t="s">
        <v>252</v>
      </c>
      <c r="H257" s="189" t="s">
        <v>931</v>
      </c>
      <c r="I257" s="148" t="s">
        <v>311</v>
      </c>
      <c r="J257" s="148" t="s">
        <v>875</v>
      </c>
      <c r="K257" s="148" t="s">
        <v>252</v>
      </c>
      <c r="L257" s="148" t="s">
        <v>252</v>
      </c>
      <c r="M257" s="148"/>
      <c r="N257" s="235" t="s">
        <v>951</v>
      </c>
      <c r="O257" s="343">
        <v>0</v>
      </c>
      <c r="P257" s="169">
        <v>6</v>
      </c>
      <c r="Q257" s="169">
        <v>0</v>
      </c>
      <c r="R257" s="169">
        <v>0</v>
      </c>
      <c r="S257" s="169">
        <v>0</v>
      </c>
      <c r="T257" s="169">
        <v>0</v>
      </c>
      <c r="U257" s="169">
        <v>0</v>
      </c>
      <c r="V257" s="169">
        <f>0</f>
        <v>0</v>
      </c>
      <c r="W257" s="169">
        <v>0</v>
      </c>
      <c r="X257" s="169">
        <f>0</f>
        <v>0</v>
      </c>
      <c r="Y257" s="169">
        <f>0</f>
        <v>0</v>
      </c>
      <c r="Z257" s="219">
        <f>0</f>
        <v>0</v>
      </c>
      <c r="AA257" s="161">
        <f t="shared" si="9"/>
        <v>6</v>
      </c>
      <c r="AB257" s="186"/>
      <c r="AC257" s="187">
        <f t="shared" si="10"/>
        <v>6</v>
      </c>
      <c r="AD257" s="204">
        <v>44950</v>
      </c>
      <c r="AE257" s="205" t="s">
        <v>531</v>
      </c>
      <c r="AF257" s="189" t="s">
        <v>1246</v>
      </c>
      <c r="AG257" s="206"/>
      <c r="AH257" s="205" t="s">
        <v>1247</v>
      </c>
      <c r="AI257" s="101"/>
      <c r="AJ257" s="102">
        <v>6</v>
      </c>
      <c r="AK257" s="207">
        <f t="shared" si="11"/>
        <v>0</v>
      </c>
      <c r="AL257" s="101" t="s">
        <v>1608</v>
      </c>
      <c r="AM257" s="96"/>
      <c r="AN257" s="103"/>
      <c r="AO257" s="208"/>
    </row>
    <row r="258" spans="1:41" s="308" customFormat="1" ht="30.75" hidden="1" customHeight="1" x14ac:dyDescent="0.35">
      <c r="A258" s="252">
        <v>471</v>
      </c>
      <c r="B258" s="253">
        <v>44949</v>
      </c>
      <c r="C258" s="327" t="s">
        <v>254</v>
      </c>
      <c r="D258" s="318" t="s">
        <v>1198</v>
      </c>
      <c r="E258" s="318" t="s">
        <v>1199</v>
      </c>
      <c r="F258" s="319" t="s">
        <v>630</v>
      </c>
      <c r="G258" s="320" t="s">
        <v>1198</v>
      </c>
      <c r="H258" s="321" t="s">
        <v>1198</v>
      </c>
      <c r="I258" s="321" t="s">
        <v>311</v>
      </c>
      <c r="J258" s="148" t="s">
        <v>251</v>
      </c>
      <c r="K258" s="148" t="s">
        <v>252</v>
      </c>
      <c r="L258" s="148" t="s">
        <v>252</v>
      </c>
      <c r="M258" s="148" t="s">
        <v>252</v>
      </c>
      <c r="N258" s="235" t="s">
        <v>1222</v>
      </c>
      <c r="O258" s="343">
        <v>0</v>
      </c>
      <c r="P258" s="169">
        <v>0</v>
      </c>
      <c r="Q258" s="169">
        <v>0</v>
      </c>
      <c r="R258" s="169">
        <v>0</v>
      </c>
      <c r="S258" s="169">
        <v>0</v>
      </c>
      <c r="T258" s="169">
        <v>0</v>
      </c>
      <c r="U258" s="169">
        <v>1</v>
      </c>
      <c r="V258" s="169">
        <f>0</f>
        <v>0</v>
      </c>
      <c r="W258" s="169">
        <v>0</v>
      </c>
      <c r="X258" s="169">
        <f>0</f>
        <v>0</v>
      </c>
      <c r="Y258" s="169">
        <f>0</f>
        <v>0</v>
      </c>
      <c r="Z258" s="219">
        <f>0</f>
        <v>0</v>
      </c>
      <c r="AA258" s="160">
        <f t="shared" si="9"/>
        <v>1</v>
      </c>
      <c r="AB258" s="141"/>
      <c r="AC258" s="172">
        <f t="shared" si="10"/>
        <v>1</v>
      </c>
      <c r="AD258" s="194">
        <v>44950</v>
      </c>
      <c r="AE258" s="195" t="s">
        <v>531</v>
      </c>
      <c r="AF258" s="97" t="s">
        <v>1246</v>
      </c>
      <c r="AG258" s="196"/>
      <c r="AH258" s="195" t="s">
        <v>1247</v>
      </c>
      <c r="AI258" s="98"/>
      <c r="AJ258" s="99">
        <v>1</v>
      </c>
      <c r="AK258" s="197">
        <f t="shared" si="11"/>
        <v>0</v>
      </c>
      <c r="AL258" s="98" t="s">
        <v>1464</v>
      </c>
      <c r="AM258" s="90"/>
      <c r="AN258" s="100"/>
      <c r="AO258" s="198"/>
    </row>
    <row r="259" spans="1:41" s="308" customFormat="1" ht="30.75" hidden="1" customHeight="1" x14ac:dyDescent="0.35">
      <c r="A259" s="244">
        <v>485</v>
      </c>
      <c r="B259" s="253">
        <v>44949</v>
      </c>
      <c r="C259" s="327" t="s">
        <v>254</v>
      </c>
      <c r="D259" s="236" t="s">
        <v>1223</v>
      </c>
      <c r="E259" s="236" t="s">
        <v>1199</v>
      </c>
      <c r="F259" s="185" t="s">
        <v>630</v>
      </c>
      <c r="G259" s="236" t="s">
        <v>1223</v>
      </c>
      <c r="H259" s="328" t="s">
        <v>1223</v>
      </c>
      <c r="I259" s="321" t="s">
        <v>311</v>
      </c>
      <c r="J259" s="148" t="s">
        <v>251</v>
      </c>
      <c r="K259" s="148" t="s">
        <v>252</v>
      </c>
      <c r="L259" s="148" t="s">
        <v>252</v>
      </c>
      <c r="M259" s="148" t="s">
        <v>252</v>
      </c>
      <c r="N259" s="235" t="s">
        <v>1222</v>
      </c>
      <c r="O259" s="343">
        <v>0</v>
      </c>
      <c r="P259" s="169">
        <v>0</v>
      </c>
      <c r="Q259" s="169">
        <v>0</v>
      </c>
      <c r="R259" s="169">
        <v>0</v>
      </c>
      <c r="S259" s="169">
        <v>0</v>
      </c>
      <c r="T259" s="169">
        <v>0</v>
      </c>
      <c r="U259" s="169">
        <v>2</v>
      </c>
      <c r="V259" s="169">
        <f>0</f>
        <v>0</v>
      </c>
      <c r="W259" s="169">
        <v>0</v>
      </c>
      <c r="X259" s="169">
        <f>0</f>
        <v>0</v>
      </c>
      <c r="Y259" s="169">
        <f>0</f>
        <v>0</v>
      </c>
      <c r="Z259" s="219">
        <f>0</f>
        <v>0</v>
      </c>
      <c r="AA259" s="160">
        <f t="shared" si="9"/>
        <v>2</v>
      </c>
      <c r="AB259" s="141"/>
      <c r="AC259" s="172">
        <f t="shared" si="10"/>
        <v>2</v>
      </c>
      <c r="AD259" s="194">
        <v>44950</v>
      </c>
      <c r="AE259" s="195" t="s">
        <v>531</v>
      </c>
      <c r="AF259" s="148" t="s">
        <v>1246</v>
      </c>
      <c r="AG259" s="196"/>
      <c r="AH259" s="195" t="s">
        <v>1247</v>
      </c>
      <c r="AI259" s="98"/>
      <c r="AJ259" s="99">
        <v>2</v>
      </c>
      <c r="AK259" s="197">
        <f t="shared" si="11"/>
        <v>0</v>
      </c>
      <c r="AL259" s="98" t="s">
        <v>1464</v>
      </c>
      <c r="AM259" s="90"/>
      <c r="AN259" s="100"/>
      <c r="AO259" s="198"/>
    </row>
    <row r="260" spans="1:41" s="308" customFormat="1" ht="30.75" hidden="1" customHeight="1" x14ac:dyDescent="0.35">
      <c r="A260" s="244">
        <v>518</v>
      </c>
      <c r="B260" s="253">
        <v>44964</v>
      </c>
      <c r="C260" s="327" t="s">
        <v>254</v>
      </c>
      <c r="D260" s="236" t="s">
        <v>1338</v>
      </c>
      <c r="E260" s="236" t="s">
        <v>330</v>
      </c>
      <c r="F260" s="185" t="s">
        <v>1339</v>
      </c>
      <c r="G260" s="236" t="s">
        <v>1338</v>
      </c>
      <c r="H260" s="328" t="s">
        <v>1338</v>
      </c>
      <c r="I260" s="321" t="s">
        <v>311</v>
      </c>
      <c r="J260" s="148" t="s">
        <v>251</v>
      </c>
      <c r="K260" s="148" t="s">
        <v>252</v>
      </c>
      <c r="L260" s="148" t="s">
        <v>252</v>
      </c>
      <c r="M260" s="148" t="s">
        <v>1340</v>
      </c>
      <c r="N260" s="235" t="s">
        <v>252</v>
      </c>
      <c r="O260" s="343">
        <v>0</v>
      </c>
      <c r="P260" s="169">
        <v>0</v>
      </c>
      <c r="Q260" s="169">
        <v>0</v>
      </c>
      <c r="R260" s="169">
        <v>0</v>
      </c>
      <c r="S260" s="169">
        <v>0</v>
      </c>
      <c r="T260" s="169">
        <v>0</v>
      </c>
      <c r="U260" s="169">
        <v>1</v>
      </c>
      <c r="V260" s="169">
        <v>0</v>
      </c>
      <c r="W260" s="169">
        <v>0</v>
      </c>
      <c r="X260" s="169">
        <v>0</v>
      </c>
      <c r="Y260" s="169">
        <v>0</v>
      </c>
      <c r="Z260" s="219">
        <v>0</v>
      </c>
      <c r="AA260" s="160">
        <f t="shared" si="9"/>
        <v>1</v>
      </c>
      <c r="AB260" s="141"/>
      <c r="AC260" s="172">
        <f t="shared" si="10"/>
        <v>1</v>
      </c>
      <c r="AD260" s="194">
        <v>44965</v>
      </c>
      <c r="AE260" s="195" t="s">
        <v>531</v>
      </c>
      <c r="AF260" s="282" t="s">
        <v>1344</v>
      </c>
      <c r="AG260" s="196"/>
      <c r="AH260" s="195" t="s">
        <v>1284</v>
      </c>
      <c r="AI260" s="98"/>
      <c r="AJ260" s="99">
        <v>1</v>
      </c>
      <c r="AK260" s="197">
        <f t="shared" si="11"/>
        <v>0</v>
      </c>
      <c r="AL260" s="98" t="s">
        <v>1434</v>
      </c>
      <c r="AM260" s="90"/>
      <c r="AN260" s="100"/>
      <c r="AO260" s="198"/>
    </row>
    <row r="261" spans="1:41" s="308" customFormat="1" ht="30.75" hidden="1" customHeight="1" x14ac:dyDescent="0.35">
      <c r="A261" s="244">
        <v>539</v>
      </c>
      <c r="B261" s="498">
        <v>44988</v>
      </c>
      <c r="C261" s="327" t="s">
        <v>308</v>
      </c>
      <c r="D261" s="236"/>
      <c r="E261" s="236"/>
      <c r="F261" s="185" t="s">
        <v>310</v>
      </c>
      <c r="G261" s="196" t="s">
        <v>309</v>
      </c>
      <c r="H261" s="328" t="s">
        <v>309</v>
      </c>
      <c r="I261" s="321" t="s">
        <v>311</v>
      </c>
      <c r="J261" s="148"/>
      <c r="K261" s="148"/>
      <c r="L261" s="148"/>
      <c r="M261" s="148"/>
      <c r="N261" s="235"/>
      <c r="O261" s="417">
        <v>0</v>
      </c>
      <c r="P261" s="90">
        <v>0</v>
      </c>
      <c r="Q261" s="90">
        <v>0</v>
      </c>
      <c r="R261" s="90">
        <v>0</v>
      </c>
      <c r="S261" s="90">
        <v>0</v>
      </c>
      <c r="T261" s="90">
        <v>0</v>
      </c>
      <c r="U261" s="90">
        <v>0</v>
      </c>
      <c r="V261" s="90">
        <v>0</v>
      </c>
      <c r="W261" s="90">
        <v>0</v>
      </c>
      <c r="X261" s="90">
        <v>0</v>
      </c>
      <c r="Y261" s="90">
        <v>0</v>
      </c>
      <c r="Z261" s="418">
        <v>80</v>
      </c>
      <c r="AA261" s="192">
        <f t="shared" si="9"/>
        <v>80</v>
      </c>
      <c r="AB261" s="465"/>
      <c r="AC261" s="466">
        <f t="shared" si="10"/>
        <v>80</v>
      </c>
      <c r="AD261" s="194">
        <v>44988</v>
      </c>
      <c r="AE261" s="195" t="s">
        <v>284</v>
      </c>
      <c r="AF261" s="304" t="s">
        <v>1495</v>
      </c>
      <c r="AG261" s="196"/>
      <c r="AH261" s="195"/>
      <c r="AI261" s="467"/>
      <c r="AJ261" s="99" t="s">
        <v>1620</v>
      </c>
      <c r="AK261" s="197" t="e">
        <f t="shared" si="11"/>
        <v>#VALUE!</v>
      </c>
      <c r="AL261" s="98" t="s">
        <v>1621</v>
      </c>
      <c r="AM261" s="469"/>
      <c r="AN261" s="470"/>
      <c r="AO261" s="198"/>
    </row>
    <row r="262" spans="1:41" s="308" customFormat="1" ht="30.75" hidden="1" customHeight="1" x14ac:dyDescent="0.35">
      <c r="A262" s="244">
        <v>365</v>
      </c>
      <c r="B262" s="253">
        <v>44945</v>
      </c>
      <c r="C262" s="327" t="s">
        <v>863</v>
      </c>
      <c r="D262" s="236" t="s">
        <v>252</v>
      </c>
      <c r="E262" s="236">
        <v>0</v>
      </c>
      <c r="F262" s="185" t="s">
        <v>933</v>
      </c>
      <c r="G262" s="97" t="s">
        <v>934</v>
      </c>
      <c r="H262" s="97" t="s">
        <v>935</v>
      </c>
      <c r="I262" s="148" t="s">
        <v>936</v>
      </c>
      <c r="J262" s="148" t="s">
        <v>875</v>
      </c>
      <c r="K262" s="148"/>
      <c r="L262" s="148"/>
      <c r="M262" s="148"/>
      <c r="N262" s="235" t="s">
        <v>950</v>
      </c>
      <c r="O262" s="343">
        <v>0</v>
      </c>
      <c r="P262" s="169">
        <v>2</v>
      </c>
      <c r="Q262" s="169">
        <v>0</v>
      </c>
      <c r="R262" s="169">
        <v>0</v>
      </c>
      <c r="S262" s="169">
        <v>0</v>
      </c>
      <c r="T262" s="169">
        <v>0</v>
      </c>
      <c r="U262" s="169">
        <v>0</v>
      </c>
      <c r="V262" s="169">
        <f>0</f>
        <v>0</v>
      </c>
      <c r="W262" s="169">
        <v>0</v>
      </c>
      <c r="X262" s="169">
        <f>0</f>
        <v>0</v>
      </c>
      <c r="Y262" s="169">
        <f>0</f>
        <v>0</v>
      </c>
      <c r="Z262" s="219">
        <f>0</f>
        <v>0</v>
      </c>
      <c r="AA262" s="192">
        <f t="shared" si="9"/>
        <v>2</v>
      </c>
      <c r="AB262" s="193"/>
      <c r="AC262" s="190">
        <f t="shared" si="10"/>
        <v>2</v>
      </c>
      <c r="AD262" s="194">
        <v>44970</v>
      </c>
      <c r="AE262" s="195" t="s">
        <v>284</v>
      </c>
      <c r="AF262" s="97" t="s">
        <v>1412</v>
      </c>
      <c r="AG262" s="196"/>
      <c r="AH262" s="195"/>
      <c r="AI262" s="98"/>
      <c r="AJ262" s="99">
        <v>2</v>
      </c>
      <c r="AK262" s="197">
        <f t="shared" si="11"/>
        <v>0</v>
      </c>
      <c r="AL262" s="98" t="s">
        <v>1432</v>
      </c>
      <c r="AM262" s="90"/>
      <c r="AN262" s="100"/>
      <c r="AO262" s="198"/>
    </row>
    <row r="263" spans="1:41" s="309" customFormat="1" ht="30.75" hidden="1" customHeight="1" x14ac:dyDescent="0.35">
      <c r="A263" s="252">
        <v>366</v>
      </c>
      <c r="B263" s="253">
        <v>44945</v>
      </c>
      <c r="C263" s="327" t="s">
        <v>863</v>
      </c>
      <c r="D263" s="233" t="s">
        <v>252</v>
      </c>
      <c r="E263" s="233">
        <v>0</v>
      </c>
      <c r="F263" s="241" t="s">
        <v>937</v>
      </c>
      <c r="G263" s="189" t="s">
        <v>938</v>
      </c>
      <c r="H263" s="189" t="s">
        <v>939</v>
      </c>
      <c r="I263" s="148" t="s">
        <v>936</v>
      </c>
      <c r="J263" s="148" t="s">
        <v>875</v>
      </c>
      <c r="K263" s="148"/>
      <c r="L263" s="148"/>
      <c r="M263" s="148"/>
      <c r="N263" s="235" t="s">
        <v>950</v>
      </c>
      <c r="O263" s="343">
        <v>0</v>
      </c>
      <c r="P263" s="169">
        <v>2</v>
      </c>
      <c r="Q263" s="169">
        <v>0</v>
      </c>
      <c r="R263" s="169">
        <v>0</v>
      </c>
      <c r="S263" s="169">
        <v>0</v>
      </c>
      <c r="T263" s="169">
        <v>0</v>
      </c>
      <c r="U263" s="169">
        <v>0</v>
      </c>
      <c r="V263" s="169">
        <f>0</f>
        <v>0</v>
      </c>
      <c r="W263" s="169">
        <v>0</v>
      </c>
      <c r="X263" s="169">
        <f>0</f>
        <v>0</v>
      </c>
      <c r="Y263" s="169">
        <f>0</f>
        <v>0</v>
      </c>
      <c r="Z263" s="219">
        <f>0</f>
        <v>0</v>
      </c>
      <c r="AA263" s="150">
        <f t="shared" ref="AA263:AA317" si="12">SUM(O263:Z263)</f>
        <v>2</v>
      </c>
      <c r="AB263" s="178"/>
      <c r="AC263" s="179">
        <f t="shared" ref="AC263:AC326" si="13">AA263-AB263</f>
        <v>2</v>
      </c>
      <c r="AD263" s="194">
        <v>44970</v>
      </c>
      <c r="AE263" s="195" t="s">
        <v>284</v>
      </c>
      <c r="AF263" s="189" t="s">
        <v>1412</v>
      </c>
      <c r="AG263" s="206"/>
      <c r="AH263" s="205"/>
      <c r="AI263" s="101"/>
      <c r="AJ263" s="102">
        <v>2</v>
      </c>
      <c r="AK263" s="207">
        <f t="shared" ref="AK263:AK326" si="14">AC263-AJ263</f>
        <v>0</v>
      </c>
      <c r="AL263" s="101" t="s">
        <v>1432</v>
      </c>
      <c r="AM263" s="96"/>
      <c r="AN263" s="103"/>
      <c r="AO263" s="208"/>
    </row>
    <row r="264" spans="1:41" s="308" customFormat="1" ht="30.75" hidden="1" customHeight="1" x14ac:dyDescent="0.35">
      <c r="A264" s="244">
        <v>367</v>
      </c>
      <c r="B264" s="253">
        <v>44945</v>
      </c>
      <c r="C264" s="254" t="s">
        <v>863</v>
      </c>
      <c r="D264" s="233" t="s">
        <v>252</v>
      </c>
      <c r="E264" s="233">
        <v>0</v>
      </c>
      <c r="F264" s="241" t="s">
        <v>937</v>
      </c>
      <c r="G264" s="189" t="s">
        <v>940</v>
      </c>
      <c r="H264" s="189" t="s">
        <v>941</v>
      </c>
      <c r="I264" s="148" t="s">
        <v>936</v>
      </c>
      <c r="J264" s="148" t="s">
        <v>875</v>
      </c>
      <c r="K264" s="148"/>
      <c r="L264" s="148"/>
      <c r="M264" s="148"/>
      <c r="N264" s="243" t="s">
        <v>950</v>
      </c>
      <c r="O264" s="343">
        <v>0</v>
      </c>
      <c r="P264" s="169">
        <v>2</v>
      </c>
      <c r="Q264" s="169">
        <v>0</v>
      </c>
      <c r="R264" s="169">
        <v>0</v>
      </c>
      <c r="S264" s="169">
        <v>0</v>
      </c>
      <c r="T264" s="169">
        <v>0</v>
      </c>
      <c r="U264" s="169">
        <v>0</v>
      </c>
      <c r="V264" s="169">
        <f>0</f>
        <v>0</v>
      </c>
      <c r="W264" s="169">
        <v>0</v>
      </c>
      <c r="X264" s="169">
        <f>0</f>
        <v>0</v>
      </c>
      <c r="Y264" s="169">
        <f>0</f>
        <v>0</v>
      </c>
      <c r="Z264" s="219">
        <f>0</f>
        <v>0</v>
      </c>
      <c r="AA264" s="150">
        <f t="shared" si="12"/>
        <v>2</v>
      </c>
      <c r="AB264" s="178"/>
      <c r="AC264" s="179">
        <f t="shared" si="13"/>
        <v>2</v>
      </c>
      <c r="AD264" s="204">
        <v>44970</v>
      </c>
      <c r="AE264" s="195" t="s">
        <v>284</v>
      </c>
      <c r="AF264" s="189" t="s">
        <v>1412</v>
      </c>
      <c r="AG264" s="206"/>
      <c r="AH264" s="205"/>
      <c r="AI264" s="101"/>
      <c r="AJ264" s="102">
        <v>2</v>
      </c>
      <c r="AK264" s="207">
        <f t="shared" si="14"/>
        <v>0</v>
      </c>
      <c r="AL264" s="101" t="s">
        <v>1432</v>
      </c>
      <c r="AM264" s="96"/>
      <c r="AN264" s="103"/>
      <c r="AO264" s="208"/>
    </row>
    <row r="265" spans="1:41" s="309" customFormat="1" ht="30.75" hidden="1" customHeight="1" x14ac:dyDescent="0.35">
      <c r="A265" s="244">
        <v>71</v>
      </c>
      <c r="B265" s="253"/>
      <c r="C265" s="327" t="s">
        <v>237</v>
      </c>
      <c r="D265" s="236"/>
      <c r="E265" s="236"/>
      <c r="F265" s="185" t="s">
        <v>218</v>
      </c>
      <c r="G265" s="196" t="s">
        <v>219</v>
      </c>
      <c r="H265" s="328" t="s">
        <v>219</v>
      </c>
      <c r="I265" s="321" t="s">
        <v>220</v>
      </c>
      <c r="J265" s="148"/>
      <c r="K265" s="148"/>
      <c r="L265" s="148"/>
      <c r="M265" s="148"/>
      <c r="N265" s="235" t="s">
        <v>71</v>
      </c>
      <c r="O265" s="343">
        <v>1</v>
      </c>
      <c r="P265" s="169">
        <f>0</f>
        <v>0</v>
      </c>
      <c r="Q265" s="169">
        <f>0</f>
        <v>0</v>
      </c>
      <c r="R265" s="169">
        <f>0</f>
        <v>0</v>
      </c>
      <c r="S265" s="169">
        <f>0</f>
        <v>0</v>
      </c>
      <c r="T265" s="169">
        <f>0</f>
        <v>0</v>
      </c>
      <c r="U265" s="169">
        <f>0</f>
        <v>0</v>
      </c>
      <c r="V265" s="169">
        <f>0</f>
        <v>0</v>
      </c>
      <c r="W265" s="169">
        <f>0</f>
        <v>0</v>
      </c>
      <c r="X265" s="169">
        <f>0</f>
        <v>0</v>
      </c>
      <c r="Y265" s="169">
        <f>0</f>
        <v>0</v>
      </c>
      <c r="Z265" s="219">
        <f>0</f>
        <v>0</v>
      </c>
      <c r="AA265" s="160">
        <f t="shared" si="12"/>
        <v>1</v>
      </c>
      <c r="AB265" s="141">
        <f>0</f>
        <v>0</v>
      </c>
      <c r="AC265" s="172">
        <f t="shared" si="13"/>
        <v>1</v>
      </c>
      <c r="AD265" s="194">
        <v>44906</v>
      </c>
      <c r="AE265" s="195" t="s">
        <v>239</v>
      </c>
      <c r="AF265" s="97" t="s">
        <v>478</v>
      </c>
      <c r="AG265" s="196"/>
      <c r="AH265" s="195"/>
      <c r="AI265" s="101"/>
      <c r="AJ265" s="99" t="s">
        <v>501</v>
      </c>
      <c r="AK265" s="197" t="e">
        <f t="shared" si="14"/>
        <v>#VALUE!</v>
      </c>
      <c r="AL265" s="98"/>
      <c r="AM265" s="90"/>
      <c r="AN265" s="100"/>
      <c r="AO265" s="198"/>
    </row>
    <row r="266" spans="1:41" s="309" customFormat="1" ht="30.75" hidden="1" customHeight="1" x14ac:dyDescent="0.35">
      <c r="A266" s="244">
        <v>402</v>
      </c>
      <c r="B266" s="253">
        <v>44946</v>
      </c>
      <c r="C266" s="327" t="s">
        <v>456</v>
      </c>
      <c r="D266" s="236"/>
      <c r="E266" s="236"/>
      <c r="F266" s="185" t="s">
        <v>994</v>
      </c>
      <c r="G266" s="97" t="s">
        <v>1087</v>
      </c>
      <c r="H266" s="97" t="s">
        <v>1169</v>
      </c>
      <c r="I266" s="148" t="s">
        <v>1189</v>
      </c>
      <c r="J266" s="148"/>
      <c r="K266" s="148"/>
      <c r="L266" s="148"/>
      <c r="M266" s="148"/>
      <c r="N266" s="243"/>
      <c r="O266" s="343">
        <v>8</v>
      </c>
      <c r="P266" s="169">
        <v>0</v>
      </c>
      <c r="Q266" s="169">
        <v>0</v>
      </c>
      <c r="R266" s="169">
        <v>0</v>
      </c>
      <c r="S266" s="169">
        <v>0</v>
      </c>
      <c r="T266" s="169">
        <v>0</v>
      </c>
      <c r="U266" s="169">
        <v>0</v>
      </c>
      <c r="V266" s="169">
        <v>0</v>
      </c>
      <c r="W266" s="169">
        <v>0</v>
      </c>
      <c r="X266" s="169">
        <v>0</v>
      </c>
      <c r="Y266" s="169">
        <f>0</f>
        <v>0</v>
      </c>
      <c r="Z266" s="219">
        <f>0</f>
        <v>0</v>
      </c>
      <c r="AA266" s="160">
        <f t="shared" si="12"/>
        <v>8</v>
      </c>
      <c r="AB266" s="141">
        <v>8</v>
      </c>
      <c r="AC266" s="172">
        <f t="shared" si="13"/>
        <v>0</v>
      </c>
      <c r="AD266" s="194"/>
      <c r="AE266" s="195" t="s">
        <v>531</v>
      </c>
      <c r="AF266" s="97" t="s">
        <v>44</v>
      </c>
      <c r="AG266" s="196"/>
      <c r="AH266" s="195"/>
      <c r="AI266" s="101"/>
      <c r="AJ266" s="99" t="s">
        <v>501</v>
      </c>
      <c r="AK266" s="197" t="e">
        <f t="shared" si="14"/>
        <v>#VALUE!</v>
      </c>
      <c r="AL266" s="98" t="s">
        <v>1239</v>
      </c>
      <c r="AM266" s="90"/>
      <c r="AN266" s="100"/>
      <c r="AO266" s="198"/>
    </row>
    <row r="267" spans="1:41" s="308" customFormat="1" ht="55.5" hidden="1" customHeight="1" x14ac:dyDescent="0.35">
      <c r="A267" s="252">
        <v>164</v>
      </c>
      <c r="B267" s="253">
        <v>44914</v>
      </c>
      <c r="C267" s="302" t="s">
        <v>254</v>
      </c>
      <c r="D267" s="299" t="s">
        <v>558</v>
      </c>
      <c r="E267" s="236" t="s">
        <v>318</v>
      </c>
      <c r="F267" s="185" t="s">
        <v>559</v>
      </c>
      <c r="G267" s="196" t="s">
        <v>252</v>
      </c>
      <c r="H267" s="328" t="s">
        <v>558</v>
      </c>
      <c r="I267" s="321" t="s">
        <v>560</v>
      </c>
      <c r="J267" s="148" t="s">
        <v>251</v>
      </c>
      <c r="K267" s="148" t="s">
        <v>252</v>
      </c>
      <c r="L267" s="148" t="s">
        <v>252</v>
      </c>
      <c r="M267" s="148" t="s">
        <v>252</v>
      </c>
      <c r="N267" s="235" t="s">
        <v>555</v>
      </c>
      <c r="O267" s="343">
        <v>1</v>
      </c>
      <c r="P267" s="169">
        <f>0</f>
        <v>0</v>
      </c>
      <c r="Q267" s="169">
        <f>0</f>
        <v>0</v>
      </c>
      <c r="R267" s="169">
        <f>0</f>
        <v>0</v>
      </c>
      <c r="S267" s="169">
        <f>0</f>
        <v>0</v>
      </c>
      <c r="T267" s="169">
        <f>0</f>
        <v>0</v>
      </c>
      <c r="U267" s="169">
        <f>0</f>
        <v>0</v>
      </c>
      <c r="V267" s="169">
        <f>0</f>
        <v>0</v>
      </c>
      <c r="W267" s="169">
        <f>0</f>
        <v>0</v>
      </c>
      <c r="X267" s="169">
        <f>0</f>
        <v>0</v>
      </c>
      <c r="Y267" s="169">
        <f>0</f>
        <v>0</v>
      </c>
      <c r="Z267" s="219">
        <f>0</f>
        <v>0</v>
      </c>
      <c r="AA267" s="160">
        <f t="shared" si="12"/>
        <v>1</v>
      </c>
      <c r="AB267" s="141">
        <v>0</v>
      </c>
      <c r="AC267" s="172">
        <f t="shared" si="13"/>
        <v>1</v>
      </c>
      <c r="AD267" s="194"/>
      <c r="AE267" s="195"/>
      <c r="AF267" s="97" t="s">
        <v>294</v>
      </c>
      <c r="AG267" s="196"/>
      <c r="AH267" s="195"/>
      <c r="AI267" s="98"/>
      <c r="AJ267" s="99" t="s">
        <v>501</v>
      </c>
      <c r="AK267" s="197" t="e">
        <f t="shared" si="14"/>
        <v>#VALUE!</v>
      </c>
      <c r="AL267" s="98"/>
      <c r="AM267" s="90"/>
      <c r="AN267" s="100"/>
      <c r="AO267" s="198"/>
    </row>
    <row r="268" spans="1:41" s="308" customFormat="1" ht="30.75" hidden="1" customHeight="1" x14ac:dyDescent="0.35">
      <c r="A268" s="244">
        <v>5</v>
      </c>
      <c r="B268" s="253"/>
      <c r="C268" s="327" t="s">
        <v>426</v>
      </c>
      <c r="D268" s="97"/>
      <c r="E268" s="231"/>
      <c r="F268" s="334" t="s">
        <v>77</v>
      </c>
      <c r="G268" s="335" t="s">
        <v>78</v>
      </c>
      <c r="H268" s="336">
        <v>279579</v>
      </c>
      <c r="I268" s="333" t="s">
        <v>79</v>
      </c>
      <c r="J268" s="553"/>
      <c r="K268" s="266"/>
      <c r="L268" s="148"/>
      <c r="M268" s="148"/>
      <c r="N268" s="243" t="s">
        <v>71</v>
      </c>
      <c r="O268" s="343">
        <v>1</v>
      </c>
      <c r="P268" s="169">
        <f>0</f>
        <v>0</v>
      </c>
      <c r="Q268" s="169">
        <f>0</f>
        <v>0</v>
      </c>
      <c r="R268" s="169">
        <f>0</f>
        <v>0</v>
      </c>
      <c r="S268" s="169">
        <f>0</f>
        <v>0</v>
      </c>
      <c r="T268" s="169">
        <f>0</f>
        <v>0</v>
      </c>
      <c r="U268" s="169">
        <f>0</f>
        <v>0</v>
      </c>
      <c r="V268" s="169">
        <f>0</f>
        <v>0</v>
      </c>
      <c r="W268" s="169">
        <f>0</f>
        <v>0</v>
      </c>
      <c r="X268" s="169">
        <f>0</f>
        <v>0</v>
      </c>
      <c r="Y268" s="169">
        <f>0</f>
        <v>0</v>
      </c>
      <c r="Z268" s="219">
        <f>0</f>
        <v>0</v>
      </c>
      <c r="AA268" s="160">
        <f t="shared" si="12"/>
        <v>1</v>
      </c>
      <c r="AB268" s="162">
        <v>0</v>
      </c>
      <c r="AC268" s="172">
        <f t="shared" si="13"/>
        <v>1</v>
      </c>
      <c r="AD268" s="194">
        <v>44854</v>
      </c>
      <c r="AE268" s="195" t="s">
        <v>239</v>
      </c>
      <c r="AF268" s="97" t="s">
        <v>427</v>
      </c>
      <c r="AG268" s="580" t="s">
        <v>431</v>
      </c>
      <c r="AH268" s="195"/>
      <c r="AI268" s="98"/>
      <c r="AJ268" s="99">
        <v>1</v>
      </c>
      <c r="AK268" s="197">
        <f t="shared" si="14"/>
        <v>0</v>
      </c>
      <c r="AL268" s="98" t="s">
        <v>1248</v>
      </c>
      <c r="AM268" s="90"/>
      <c r="AN268" s="100"/>
      <c r="AO268" s="198"/>
    </row>
    <row r="269" spans="1:41" s="308" customFormat="1" ht="30.75" hidden="1" customHeight="1" x14ac:dyDescent="0.35">
      <c r="A269" s="244">
        <v>6</v>
      </c>
      <c r="B269" s="253"/>
      <c r="C269" s="327" t="s">
        <v>426</v>
      </c>
      <c r="D269" s="236"/>
      <c r="E269" s="236"/>
      <c r="F269" s="337" t="s">
        <v>81</v>
      </c>
      <c r="G269" s="338" t="s">
        <v>82</v>
      </c>
      <c r="H269" s="230">
        <v>313101</v>
      </c>
      <c r="I269" s="331" t="s">
        <v>79</v>
      </c>
      <c r="J269" s="232"/>
      <c r="K269" s="266"/>
      <c r="L269" s="148"/>
      <c r="M269" s="148"/>
      <c r="N269" s="235" t="s">
        <v>71</v>
      </c>
      <c r="O269" s="343">
        <v>2</v>
      </c>
      <c r="P269" s="169">
        <f>0</f>
        <v>0</v>
      </c>
      <c r="Q269" s="169">
        <f>0</f>
        <v>0</v>
      </c>
      <c r="R269" s="169">
        <f>0</f>
        <v>0</v>
      </c>
      <c r="S269" s="169">
        <f>0</f>
        <v>0</v>
      </c>
      <c r="T269" s="169">
        <f>0</f>
        <v>0</v>
      </c>
      <c r="U269" s="169">
        <f>0</f>
        <v>0</v>
      </c>
      <c r="V269" s="169">
        <f>0</f>
        <v>0</v>
      </c>
      <c r="W269" s="169">
        <f>0</f>
        <v>0</v>
      </c>
      <c r="X269" s="169">
        <f>0</f>
        <v>0</v>
      </c>
      <c r="Y269" s="169">
        <f>0</f>
        <v>0</v>
      </c>
      <c r="Z269" s="219">
        <f>0</f>
        <v>0</v>
      </c>
      <c r="AA269" s="160">
        <f t="shared" si="12"/>
        <v>2</v>
      </c>
      <c r="AB269" s="162">
        <v>2</v>
      </c>
      <c r="AC269" s="172">
        <f t="shared" si="13"/>
        <v>0</v>
      </c>
      <c r="AD269" s="194">
        <v>44854</v>
      </c>
      <c r="AE269" s="195" t="s">
        <v>239</v>
      </c>
      <c r="AF269" s="97" t="s">
        <v>594</v>
      </c>
      <c r="AG269" s="582" t="s">
        <v>430</v>
      </c>
      <c r="AH269" s="195"/>
      <c r="AI269" s="98"/>
      <c r="AJ269" s="99" t="s">
        <v>1514</v>
      </c>
      <c r="AK269" s="197" t="e">
        <f t="shared" si="14"/>
        <v>#VALUE!</v>
      </c>
      <c r="AL269" s="98" t="s">
        <v>1515</v>
      </c>
      <c r="AM269" s="90"/>
      <c r="AN269" s="100"/>
      <c r="AO269" s="198"/>
    </row>
    <row r="270" spans="1:41" s="308" customFormat="1" ht="30.75" hidden="1" customHeight="1" x14ac:dyDescent="0.35">
      <c r="A270" s="252">
        <v>7</v>
      </c>
      <c r="B270" s="253"/>
      <c r="C270" s="327" t="s">
        <v>426</v>
      </c>
      <c r="D270" s="97"/>
      <c r="E270" s="231"/>
      <c r="F270" s="337" t="s">
        <v>410</v>
      </c>
      <c r="G270" s="338" t="s">
        <v>398</v>
      </c>
      <c r="H270" s="230">
        <v>279583</v>
      </c>
      <c r="I270" s="331" t="s">
        <v>79</v>
      </c>
      <c r="J270" s="232"/>
      <c r="K270" s="272" t="s">
        <v>409</v>
      </c>
      <c r="L270" s="232"/>
      <c r="M270" s="272"/>
      <c r="N270" s="235" t="s">
        <v>71</v>
      </c>
      <c r="O270" s="343">
        <v>1</v>
      </c>
      <c r="P270" s="169">
        <f>0</f>
        <v>0</v>
      </c>
      <c r="Q270" s="169">
        <f>0</f>
        <v>0</v>
      </c>
      <c r="R270" s="169">
        <f>0</f>
        <v>0</v>
      </c>
      <c r="S270" s="169">
        <f>0</f>
        <v>0</v>
      </c>
      <c r="T270" s="169">
        <f>0</f>
        <v>0</v>
      </c>
      <c r="U270" s="169">
        <f>0</f>
        <v>0</v>
      </c>
      <c r="V270" s="169">
        <f>0</f>
        <v>0</v>
      </c>
      <c r="W270" s="169">
        <f>0</f>
        <v>0</v>
      </c>
      <c r="X270" s="169">
        <f>0</f>
        <v>0</v>
      </c>
      <c r="Y270" s="169">
        <f>0</f>
        <v>0</v>
      </c>
      <c r="Z270" s="219">
        <f>0</f>
        <v>0</v>
      </c>
      <c r="AA270" s="160">
        <f t="shared" si="12"/>
        <v>1</v>
      </c>
      <c r="AB270" s="162">
        <v>0</v>
      </c>
      <c r="AC270" s="172">
        <f t="shared" si="13"/>
        <v>1</v>
      </c>
      <c r="AD270" s="194">
        <v>44854</v>
      </c>
      <c r="AE270" s="195" t="s">
        <v>239</v>
      </c>
      <c r="AF270" s="97" t="s">
        <v>427</v>
      </c>
      <c r="AG270" s="580" t="s">
        <v>431</v>
      </c>
      <c r="AH270" s="195"/>
      <c r="AI270" s="98"/>
      <c r="AJ270" s="99">
        <v>1</v>
      </c>
      <c r="AK270" s="197">
        <f t="shared" si="14"/>
        <v>0</v>
      </c>
      <c r="AL270" s="98" t="s">
        <v>1457</v>
      </c>
      <c r="AM270" s="90"/>
      <c r="AN270" s="100"/>
      <c r="AO270" s="198"/>
    </row>
    <row r="271" spans="1:41" s="308" customFormat="1" ht="30.75" hidden="1" customHeight="1" x14ac:dyDescent="0.35">
      <c r="A271" s="339">
        <v>8</v>
      </c>
      <c r="B271" s="322"/>
      <c r="C271" s="443" t="s">
        <v>426</v>
      </c>
      <c r="D271" s="238"/>
      <c r="E271" s="236"/>
      <c r="F271" s="513" t="s">
        <v>83</v>
      </c>
      <c r="G271" s="520" t="s">
        <v>84</v>
      </c>
      <c r="H271" s="530">
        <v>295079</v>
      </c>
      <c r="I271" s="551" t="s">
        <v>79</v>
      </c>
      <c r="J271" s="602"/>
      <c r="K271" s="603"/>
      <c r="L271" s="445"/>
      <c r="M271" s="445"/>
      <c r="N271" s="564" t="s">
        <v>71</v>
      </c>
      <c r="O271" s="343">
        <v>1</v>
      </c>
      <c r="P271" s="169">
        <f>0</f>
        <v>0</v>
      </c>
      <c r="Q271" s="169">
        <f>0</f>
        <v>0</v>
      </c>
      <c r="R271" s="169">
        <f>0</f>
        <v>0</v>
      </c>
      <c r="S271" s="169">
        <f>0</f>
        <v>0</v>
      </c>
      <c r="T271" s="169">
        <f>0</f>
        <v>0</v>
      </c>
      <c r="U271" s="169">
        <f>0</f>
        <v>0</v>
      </c>
      <c r="V271" s="169">
        <f>0</f>
        <v>0</v>
      </c>
      <c r="W271" s="169">
        <f>0</f>
        <v>0</v>
      </c>
      <c r="X271" s="169">
        <f>0</f>
        <v>0</v>
      </c>
      <c r="Y271" s="169">
        <f>0</f>
        <v>0</v>
      </c>
      <c r="Z271" s="219">
        <f>0</f>
        <v>0</v>
      </c>
      <c r="AA271" s="223">
        <f t="shared" si="12"/>
        <v>1</v>
      </c>
      <c r="AB271" s="571">
        <v>0</v>
      </c>
      <c r="AC271" s="216">
        <f t="shared" si="13"/>
        <v>1</v>
      </c>
      <c r="AD271" s="181">
        <v>44854</v>
      </c>
      <c r="AE271" s="152" t="s">
        <v>239</v>
      </c>
      <c r="AF271" s="147" t="s">
        <v>427</v>
      </c>
      <c r="AG271" s="580" t="s">
        <v>431</v>
      </c>
      <c r="AH271" s="195"/>
      <c r="AI271" s="200" t="s">
        <v>1524</v>
      </c>
      <c r="AJ271" s="224">
        <v>1</v>
      </c>
      <c r="AK271" s="154">
        <f t="shared" si="14"/>
        <v>0</v>
      </c>
      <c r="AL271" s="168" t="s">
        <v>1550</v>
      </c>
      <c r="AM271" s="225"/>
      <c r="AN271" s="226"/>
      <c r="AO271" s="155"/>
    </row>
    <row r="272" spans="1:41" s="308" customFormat="1" ht="30.75" hidden="1" customHeight="1" x14ac:dyDescent="0.35">
      <c r="A272" s="244">
        <v>9</v>
      </c>
      <c r="B272" s="253"/>
      <c r="C272" s="327" t="s">
        <v>426</v>
      </c>
      <c r="D272" s="97"/>
      <c r="E272" s="231"/>
      <c r="F272" s="334" t="s">
        <v>85</v>
      </c>
      <c r="G272" s="335" t="s">
        <v>86</v>
      </c>
      <c r="H272" s="336">
        <v>308713</v>
      </c>
      <c r="I272" s="333" t="s">
        <v>79</v>
      </c>
      <c r="J272" s="553"/>
      <c r="K272" s="280"/>
      <c r="L272" s="148"/>
      <c r="M272" s="148"/>
      <c r="N272" s="235" t="s">
        <v>71</v>
      </c>
      <c r="O272" s="343">
        <v>1</v>
      </c>
      <c r="P272" s="169">
        <f>0</f>
        <v>0</v>
      </c>
      <c r="Q272" s="169">
        <f>0</f>
        <v>0</v>
      </c>
      <c r="R272" s="169">
        <f>0</f>
        <v>0</v>
      </c>
      <c r="S272" s="169">
        <f>0</f>
        <v>0</v>
      </c>
      <c r="T272" s="169">
        <f>0</f>
        <v>0</v>
      </c>
      <c r="U272" s="169">
        <f>0</f>
        <v>0</v>
      </c>
      <c r="V272" s="169">
        <f>0</f>
        <v>0</v>
      </c>
      <c r="W272" s="169">
        <f>0</f>
        <v>0</v>
      </c>
      <c r="X272" s="169">
        <f>0</f>
        <v>0</v>
      </c>
      <c r="Y272" s="169">
        <f>0</f>
        <v>0</v>
      </c>
      <c r="Z272" s="219">
        <f>0</f>
        <v>0</v>
      </c>
      <c r="AA272" s="160">
        <f t="shared" si="12"/>
        <v>1</v>
      </c>
      <c r="AB272" s="162">
        <v>0</v>
      </c>
      <c r="AC272" s="172">
        <f t="shared" si="13"/>
        <v>1</v>
      </c>
      <c r="AD272" s="194">
        <v>44854</v>
      </c>
      <c r="AE272" s="195" t="s">
        <v>239</v>
      </c>
      <c r="AF272" s="97" t="s">
        <v>429</v>
      </c>
      <c r="AG272" s="584">
        <v>44896</v>
      </c>
      <c r="AH272" s="195"/>
      <c r="AI272" s="98"/>
      <c r="AJ272" s="99" t="s">
        <v>1465</v>
      </c>
      <c r="AK272" s="197" t="e">
        <f t="shared" si="14"/>
        <v>#VALUE!</v>
      </c>
      <c r="AL272" s="98" t="s">
        <v>1466</v>
      </c>
      <c r="AM272" s="90"/>
      <c r="AN272" s="100"/>
      <c r="AO272" s="198"/>
    </row>
    <row r="273" spans="1:41" s="308" customFormat="1" ht="30.75" hidden="1" customHeight="1" x14ac:dyDescent="0.35">
      <c r="A273" s="244">
        <v>10</v>
      </c>
      <c r="B273" s="253"/>
      <c r="C273" s="327" t="s">
        <v>426</v>
      </c>
      <c r="D273" s="236"/>
      <c r="E273" s="236"/>
      <c r="F273" s="337" t="s">
        <v>411</v>
      </c>
      <c r="G273" s="338" t="s">
        <v>399</v>
      </c>
      <c r="H273" s="230">
        <v>291277</v>
      </c>
      <c r="I273" s="333" t="s">
        <v>79</v>
      </c>
      <c r="J273" s="232"/>
      <c r="K273" s="282" t="s">
        <v>409</v>
      </c>
      <c r="L273" s="148"/>
      <c r="M273" s="148"/>
      <c r="N273" s="243" t="s">
        <v>71</v>
      </c>
      <c r="O273" s="343">
        <v>1</v>
      </c>
      <c r="P273" s="169">
        <f>0</f>
        <v>0</v>
      </c>
      <c r="Q273" s="169">
        <f>0</f>
        <v>0</v>
      </c>
      <c r="R273" s="169">
        <f>0</f>
        <v>0</v>
      </c>
      <c r="S273" s="169">
        <f>0</f>
        <v>0</v>
      </c>
      <c r="T273" s="169">
        <f>0</f>
        <v>0</v>
      </c>
      <c r="U273" s="169">
        <f>0</f>
        <v>0</v>
      </c>
      <c r="V273" s="169">
        <f>0</f>
        <v>0</v>
      </c>
      <c r="W273" s="169">
        <f>0</f>
        <v>0</v>
      </c>
      <c r="X273" s="169">
        <f>0</f>
        <v>0</v>
      </c>
      <c r="Y273" s="169">
        <f>0</f>
        <v>0</v>
      </c>
      <c r="Z273" s="219">
        <f>0</f>
        <v>0</v>
      </c>
      <c r="AA273" s="160">
        <f t="shared" si="12"/>
        <v>1</v>
      </c>
      <c r="AB273" s="162">
        <v>0</v>
      </c>
      <c r="AC273" s="172">
        <f t="shared" si="13"/>
        <v>1</v>
      </c>
      <c r="AD273" s="194">
        <v>44854</v>
      </c>
      <c r="AE273" s="195" t="s">
        <v>239</v>
      </c>
      <c r="AF273" s="97" t="s">
        <v>427</v>
      </c>
      <c r="AG273" s="580" t="s">
        <v>431</v>
      </c>
      <c r="AH273" s="195"/>
      <c r="AI273" s="98"/>
      <c r="AJ273" s="99">
        <v>1</v>
      </c>
      <c r="AK273" s="197">
        <f t="shared" si="14"/>
        <v>0</v>
      </c>
      <c r="AL273" s="98" t="s">
        <v>1248</v>
      </c>
      <c r="AM273" s="90"/>
      <c r="AN273" s="100"/>
      <c r="AO273" s="198"/>
    </row>
    <row r="274" spans="1:41" s="120" customFormat="1" ht="30.75" hidden="1" customHeight="1" x14ac:dyDescent="0.35">
      <c r="A274" s="252">
        <v>11</v>
      </c>
      <c r="B274" s="253"/>
      <c r="C274" s="327" t="s">
        <v>426</v>
      </c>
      <c r="D274" s="97"/>
      <c r="E274" s="231"/>
      <c r="F274" s="334" t="s">
        <v>412</v>
      </c>
      <c r="G274" s="335" t="s">
        <v>400</v>
      </c>
      <c r="H274" s="336">
        <v>312890</v>
      </c>
      <c r="I274" s="333" t="s">
        <v>79</v>
      </c>
      <c r="J274" s="553"/>
      <c r="K274" s="272" t="s">
        <v>409</v>
      </c>
      <c r="L274" s="148"/>
      <c r="M274" s="148"/>
      <c r="N274" s="235" t="s">
        <v>71</v>
      </c>
      <c r="O274" s="343">
        <v>2</v>
      </c>
      <c r="P274" s="169">
        <f>0</f>
        <v>0</v>
      </c>
      <c r="Q274" s="169">
        <f>0</f>
        <v>0</v>
      </c>
      <c r="R274" s="169">
        <f>0</f>
        <v>0</v>
      </c>
      <c r="S274" s="169">
        <f>0</f>
        <v>0</v>
      </c>
      <c r="T274" s="169">
        <f>0</f>
        <v>0</v>
      </c>
      <c r="U274" s="169">
        <f>0</f>
        <v>0</v>
      </c>
      <c r="V274" s="169">
        <f>0</f>
        <v>0</v>
      </c>
      <c r="W274" s="169">
        <f>0</f>
        <v>0</v>
      </c>
      <c r="X274" s="169">
        <f>0</f>
        <v>0</v>
      </c>
      <c r="Y274" s="169">
        <f>0</f>
        <v>0</v>
      </c>
      <c r="Z274" s="219">
        <f>0</f>
        <v>0</v>
      </c>
      <c r="AA274" s="160">
        <f t="shared" si="12"/>
        <v>2</v>
      </c>
      <c r="AB274" s="162">
        <v>0</v>
      </c>
      <c r="AC274" s="172">
        <f t="shared" si="13"/>
        <v>2</v>
      </c>
      <c r="AD274" s="194">
        <v>44854</v>
      </c>
      <c r="AE274" s="195" t="s">
        <v>239</v>
      </c>
      <c r="AF274" s="97" t="s">
        <v>427</v>
      </c>
      <c r="AG274" s="580" t="s">
        <v>431</v>
      </c>
      <c r="AH274" s="195"/>
      <c r="AI274" s="98"/>
      <c r="AJ274" s="99">
        <v>2</v>
      </c>
      <c r="AK274" s="197">
        <f t="shared" si="14"/>
        <v>0</v>
      </c>
      <c r="AL274" s="98" t="s">
        <v>1248</v>
      </c>
      <c r="AM274" s="90"/>
      <c r="AN274" s="100"/>
      <c r="AO274" s="198"/>
    </row>
    <row r="275" spans="1:41" s="120" customFormat="1" ht="30.75" hidden="1" customHeight="1" x14ac:dyDescent="0.35">
      <c r="A275" s="244">
        <v>12</v>
      </c>
      <c r="B275" s="253"/>
      <c r="C275" s="327" t="s">
        <v>426</v>
      </c>
      <c r="D275" s="236"/>
      <c r="E275" s="236"/>
      <c r="F275" s="337" t="s">
        <v>413</v>
      </c>
      <c r="G275" s="338" t="s">
        <v>401</v>
      </c>
      <c r="H275" s="230">
        <v>312892</v>
      </c>
      <c r="I275" s="333" t="s">
        <v>79</v>
      </c>
      <c r="J275" s="232"/>
      <c r="K275" s="272" t="s">
        <v>409</v>
      </c>
      <c r="L275" s="148"/>
      <c r="M275" s="148"/>
      <c r="N275" s="243" t="s">
        <v>71</v>
      </c>
      <c r="O275" s="343">
        <v>3</v>
      </c>
      <c r="P275" s="169">
        <f>0</f>
        <v>0</v>
      </c>
      <c r="Q275" s="169">
        <f>0</f>
        <v>0</v>
      </c>
      <c r="R275" s="169">
        <f>0</f>
        <v>0</v>
      </c>
      <c r="S275" s="169">
        <f>0</f>
        <v>0</v>
      </c>
      <c r="T275" s="169">
        <f>0</f>
        <v>0</v>
      </c>
      <c r="U275" s="169">
        <f>0</f>
        <v>0</v>
      </c>
      <c r="V275" s="169">
        <f>0</f>
        <v>0</v>
      </c>
      <c r="W275" s="169">
        <f>0</f>
        <v>0</v>
      </c>
      <c r="X275" s="169">
        <f>0</f>
        <v>0</v>
      </c>
      <c r="Y275" s="169">
        <f>0</f>
        <v>0</v>
      </c>
      <c r="Z275" s="219">
        <f>0</f>
        <v>0</v>
      </c>
      <c r="AA275" s="160">
        <f t="shared" si="12"/>
        <v>3</v>
      </c>
      <c r="AB275" s="162">
        <v>0</v>
      </c>
      <c r="AC275" s="172">
        <f t="shared" si="13"/>
        <v>3</v>
      </c>
      <c r="AD275" s="194">
        <v>44854</v>
      </c>
      <c r="AE275" s="195" t="s">
        <v>239</v>
      </c>
      <c r="AF275" s="97" t="s">
        <v>427</v>
      </c>
      <c r="AG275" s="580" t="s">
        <v>431</v>
      </c>
      <c r="AH275" s="195"/>
      <c r="AI275" s="98"/>
      <c r="AJ275" s="99">
        <v>3</v>
      </c>
      <c r="AK275" s="197">
        <f t="shared" si="14"/>
        <v>0</v>
      </c>
      <c r="AL275" s="98" t="s">
        <v>1248</v>
      </c>
      <c r="AM275" s="90"/>
      <c r="AN275" s="100"/>
      <c r="AO275" s="198"/>
    </row>
    <row r="276" spans="1:41" s="308" customFormat="1" ht="30.75" hidden="1" customHeight="1" x14ac:dyDescent="0.35">
      <c r="A276" s="244">
        <v>13</v>
      </c>
      <c r="B276" s="245"/>
      <c r="C276" s="327" t="s">
        <v>426</v>
      </c>
      <c r="D276" s="97"/>
      <c r="E276" s="231"/>
      <c r="F276" s="334" t="s">
        <v>87</v>
      </c>
      <c r="G276" s="335" t="s">
        <v>402</v>
      </c>
      <c r="H276" s="336">
        <v>504748</v>
      </c>
      <c r="I276" s="333" t="s">
        <v>79</v>
      </c>
      <c r="J276" s="553"/>
      <c r="K276" s="272" t="s">
        <v>409</v>
      </c>
      <c r="L276" s="148"/>
      <c r="M276" s="148"/>
      <c r="N276" s="235" t="s">
        <v>71</v>
      </c>
      <c r="O276" s="343">
        <v>2</v>
      </c>
      <c r="P276" s="169">
        <f>0</f>
        <v>0</v>
      </c>
      <c r="Q276" s="169">
        <f>0</f>
        <v>0</v>
      </c>
      <c r="R276" s="169">
        <f>0</f>
        <v>0</v>
      </c>
      <c r="S276" s="169">
        <f>0</f>
        <v>0</v>
      </c>
      <c r="T276" s="169">
        <f>0</f>
        <v>0</v>
      </c>
      <c r="U276" s="169">
        <f>0</f>
        <v>0</v>
      </c>
      <c r="V276" s="169">
        <f>0</f>
        <v>0</v>
      </c>
      <c r="W276" s="169">
        <f>0</f>
        <v>0</v>
      </c>
      <c r="X276" s="169">
        <f>0</f>
        <v>0</v>
      </c>
      <c r="Y276" s="169">
        <f>0</f>
        <v>0</v>
      </c>
      <c r="Z276" s="219">
        <f>0</f>
        <v>0</v>
      </c>
      <c r="AA276" s="160">
        <f t="shared" si="12"/>
        <v>2</v>
      </c>
      <c r="AB276" s="162">
        <v>0</v>
      </c>
      <c r="AC276" s="172">
        <f t="shared" si="13"/>
        <v>2</v>
      </c>
      <c r="AD276" s="194">
        <v>44854</v>
      </c>
      <c r="AE276" s="195" t="s">
        <v>239</v>
      </c>
      <c r="AF276" s="97" t="s">
        <v>427</v>
      </c>
      <c r="AG276" s="580" t="s">
        <v>431</v>
      </c>
      <c r="AH276" s="195"/>
      <c r="AI276" s="98"/>
      <c r="AJ276" s="99">
        <v>2</v>
      </c>
      <c r="AK276" s="197">
        <f t="shared" si="14"/>
        <v>0</v>
      </c>
      <c r="AL276" s="98" t="s">
        <v>1449</v>
      </c>
      <c r="AM276" s="90"/>
      <c r="AN276" s="100"/>
      <c r="AO276" s="198"/>
    </row>
    <row r="277" spans="1:41" s="308" customFormat="1" ht="30.75" hidden="1" customHeight="1" x14ac:dyDescent="0.35">
      <c r="A277" s="244">
        <v>14</v>
      </c>
      <c r="B277" s="253"/>
      <c r="C277" s="254" t="s">
        <v>426</v>
      </c>
      <c r="D277" s="233"/>
      <c r="E277" s="233"/>
      <c r="F277" s="312" t="s">
        <v>88</v>
      </c>
      <c r="G277" s="313" t="s">
        <v>403</v>
      </c>
      <c r="H277" s="326">
        <v>504746</v>
      </c>
      <c r="I277" s="331" t="s">
        <v>79</v>
      </c>
      <c r="J277" s="232"/>
      <c r="K277" s="272" t="s">
        <v>424</v>
      </c>
      <c r="L277" s="148"/>
      <c r="M277" s="148"/>
      <c r="N277" s="243" t="s">
        <v>71</v>
      </c>
      <c r="O277" s="343">
        <v>4</v>
      </c>
      <c r="P277" s="169">
        <f>0</f>
        <v>0</v>
      </c>
      <c r="Q277" s="169">
        <f>0</f>
        <v>0</v>
      </c>
      <c r="R277" s="169">
        <f>0</f>
        <v>0</v>
      </c>
      <c r="S277" s="169">
        <f>0</f>
        <v>0</v>
      </c>
      <c r="T277" s="169">
        <f>0</f>
        <v>0</v>
      </c>
      <c r="U277" s="169">
        <f>0</f>
        <v>0</v>
      </c>
      <c r="V277" s="169">
        <f>0</f>
        <v>0</v>
      </c>
      <c r="W277" s="169">
        <f>0</f>
        <v>0</v>
      </c>
      <c r="X277" s="169">
        <f>0</f>
        <v>0</v>
      </c>
      <c r="Y277" s="169">
        <f>0</f>
        <v>0</v>
      </c>
      <c r="Z277" s="219">
        <f>0</f>
        <v>0</v>
      </c>
      <c r="AA277" s="161">
        <f t="shared" si="12"/>
        <v>4</v>
      </c>
      <c r="AB277" s="177">
        <v>0</v>
      </c>
      <c r="AC277" s="187">
        <f t="shared" si="13"/>
        <v>4</v>
      </c>
      <c r="AD277" s="204">
        <v>44854</v>
      </c>
      <c r="AE277" s="205" t="s">
        <v>239</v>
      </c>
      <c r="AF277" s="189" t="s">
        <v>427</v>
      </c>
      <c r="AG277" s="166" t="s">
        <v>431</v>
      </c>
      <c r="AH277" s="205"/>
      <c r="AI277" s="101"/>
      <c r="AJ277" s="102">
        <v>4</v>
      </c>
      <c r="AK277" s="207">
        <f t="shared" si="14"/>
        <v>0</v>
      </c>
      <c r="AL277" s="101" t="s">
        <v>1324</v>
      </c>
      <c r="AM277" s="96"/>
      <c r="AN277" s="103"/>
      <c r="AO277" s="208"/>
    </row>
    <row r="278" spans="1:41" s="308" customFormat="1" ht="30.75" hidden="1" customHeight="1" x14ac:dyDescent="0.35">
      <c r="A278" s="252">
        <v>15</v>
      </c>
      <c r="B278" s="253"/>
      <c r="C278" s="254" t="s">
        <v>426</v>
      </c>
      <c r="D278" s="189"/>
      <c r="E278" s="229"/>
      <c r="F278" s="312" t="s">
        <v>960</v>
      </c>
      <c r="G278" s="313" t="s">
        <v>404</v>
      </c>
      <c r="H278" s="326">
        <v>504747</v>
      </c>
      <c r="I278" s="331" t="s">
        <v>79</v>
      </c>
      <c r="J278" s="232"/>
      <c r="K278" s="272" t="s">
        <v>424</v>
      </c>
      <c r="L278" s="148"/>
      <c r="M278" s="148"/>
      <c r="N278" s="243" t="s">
        <v>71</v>
      </c>
      <c r="O278" s="343">
        <v>3</v>
      </c>
      <c r="P278" s="169">
        <f>0</f>
        <v>0</v>
      </c>
      <c r="Q278" s="169">
        <f>0</f>
        <v>0</v>
      </c>
      <c r="R278" s="169">
        <f>0</f>
        <v>0</v>
      </c>
      <c r="S278" s="169">
        <f>0</f>
        <v>0</v>
      </c>
      <c r="T278" s="169">
        <f>0</f>
        <v>0</v>
      </c>
      <c r="U278" s="169">
        <f>0</f>
        <v>0</v>
      </c>
      <c r="V278" s="169">
        <f>0</f>
        <v>0</v>
      </c>
      <c r="W278" s="169">
        <f>0</f>
        <v>0</v>
      </c>
      <c r="X278" s="169">
        <f>0</f>
        <v>0</v>
      </c>
      <c r="Y278" s="169">
        <f>0</f>
        <v>0</v>
      </c>
      <c r="Z278" s="219">
        <f>0</f>
        <v>0</v>
      </c>
      <c r="AA278" s="161">
        <f t="shared" si="12"/>
        <v>3</v>
      </c>
      <c r="AB278" s="177">
        <v>0</v>
      </c>
      <c r="AC278" s="187">
        <f t="shared" si="13"/>
        <v>3</v>
      </c>
      <c r="AD278" s="204">
        <v>44854</v>
      </c>
      <c r="AE278" s="205" t="s">
        <v>239</v>
      </c>
      <c r="AF278" s="189" t="s">
        <v>427</v>
      </c>
      <c r="AG278" s="166" t="s">
        <v>431</v>
      </c>
      <c r="AH278" s="205"/>
      <c r="AI278" s="101"/>
      <c r="AJ278" s="102">
        <v>3</v>
      </c>
      <c r="AK278" s="207">
        <f t="shared" si="14"/>
        <v>0</v>
      </c>
      <c r="AL278" s="101" t="s">
        <v>1248</v>
      </c>
      <c r="AM278" s="96"/>
      <c r="AN278" s="103"/>
      <c r="AO278" s="208"/>
    </row>
    <row r="279" spans="1:41" s="308" customFormat="1" ht="30.75" hidden="1" customHeight="1" x14ac:dyDescent="0.35">
      <c r="A279" s="339">
        <v>16</v>
      </c>
      <c r="B279" s="322"/>
      <c r="C279" s="443" t="s">
        <v>426</v>
      </c>
      <c r="D279" s="238"/>
      <c r="E279" s="236"/>
      <c r="F279" s="508" t="s">
        <v>89</v>
      </c>
      <c r="G279" s="514" t="s">
        <v>90</v>
      </c>
      <c r="H279" s="521">
        <v>295439</v>
      </c>
      <c r="I279" s="537" t="s">
        <v>79</v>
      </c>
      <c r="J279" s="604"/>
      <c r="K279" s="603"/>
      <c r="L279" s="445"/>
      <c r="M279" s="445"/>
      <c r="N279" s="240" t="s">
        <v>71</v>
      </c>
      <c r="O279" s="343">
        <v>2</v>
      </c>
      <c r="P279" s="169">
        <f>0</f>
        <v>0</v>
      </c>
      <c r="Q279" s="169">
        <f>0</f>
        <v>0</v>
      </c>
      <c r="R279" s="169">
        <f>0</f>
        <v>0</v>
      </c>
      <c r="S279" s="169">
        <f>0</f>
        <v>0</v>
      </c>
      <c r="T279" s="169">
        <f>0</f>
        <v>0</v>
      </c>
      <c r="U279" s="169">
        <f>0</f>
        <v>0</v>
      </c>
      <c r="V279" s="169">
        <f>0</f>
        <v>0</v>
      </c>
      <c r="W279" s="169">
        <f>0</f>
        <v>0</v>
      </c>
      <c r="X279" s="169">
        <f>0</f>
        <v>0</v>
      </c>
      <c r="Y279" s="169">
        <f>0</f>
        <v>0</v>
      </c>
      <c r="Z279" s="219">
        <f>0</f>
        <v>0</v>
      </c>
      <c r="AA279" s="223">
        <f t="shared" si="12"/>
        <v>2</v>
      </c>
      <c r="AB279" s="571">
        <v>0</v>
      </c>
      <c r="AC279" s="216">
        <f t="shared" si="13"/>
        <v>2</v>
      </c>
      <c r="AD279" s="181">
        <v>44854</v>
      </c>
      <c r="AE279" s="152" t="s">
        <v>239</v>
      </c>
      <c r="AF279" s="147" t="s">
        <v>427</v>
      </c>
      <c r="AG279" s="580" t="s">
        <v>1485</v>
      </c>
      <c r="AH279" s="195"/>
      <c r="AI279" s="200" t="s">
        <v>1525</v>
      </c>
      <c r="AJ279" s="224">
        <v>2</v>
      </c>
      <c r="AK279" s="154">
        <f t="shared" si="14"/>
        <v>0</v>
      </c>
      <c r="AL279" s="589" t="s">
        <v>1549</v>
      </c>
      <c r="AM279" s="225"/>
      <c r="AN279" s="226"/>
      <c r="AO279" s="155"/>
    </row>
    <row r="280" spans="1:41" s="308" customFormat="1" ht="30.75" hidden="1" customHeight="1" x14ac:dyDescent="0.35">
      <c r="A280" s="252">
        <v>17</v>
      </c>
      <c r="B280" s="253"/>
      <c r="C280" s="327" t="s">
        <v>426</v>
      </c>
      <c r="D280" s="97"/>
      <c r="E280" s="231"/>
      <c r="F280" s="337" t="s">
        <v>91</v>
      </c>
      <c r="G280" s="338" t="s">
        <v>92</v>
      </c>
      <c r="H280" s="230" t="s">
        <v>93</v>
      </c>
      <c r="I280" s="331" t="s">
        <v>79</v>
      </c>
      <c r="J280" s="232"/>
      <c r="K280" s="266"/>
      <c r="L280" s="148"/>
      <c r="M280" s="148"/>
      <c r="N280" s="235" t="s">
        <v>71</v>
      </c>
      <c r="O280" s="343">
        <v>4</v>
      </c>
      <c r="P280" s="169">
        <f>0</f>
        <v>0</v>
      </c>
      <c r="Q280" s="169">
        <f>0</f>
        <v>0</v>
      </c>
      <c r="R280" s="169">
        <f>0</f>
        <v>0</v>
      </c>
      <c r="S280" s="169">
        <f>0</f>
        <v>0</v>
      </c>
      <c r="T280" s="169">
        <f>0</f>
        <v>0</v>
      </c>
      <c r="U280" s="169">
        <f>0</f>
        <v>0</v>
      </c>
      <c r="V280" s="169">
        <f>0</f>
        <v>0</v>
      </c>
      <c r="W280" s="169">
        <f>0</f>
        <v>0</v>
      </c>
      <c r="X280" s="169">
        <f>0</f>
        <v>0</v>
      </c>
      <c r="Y280" s="169">
        <f>0</f>
        <v>0</v>
      </c>
      <c r="Z280" s="219">
        <f>0</f>
        <v>0</v>
      </c>
      <c r="AA280" s="160">
        <f t="shared" si="12"/>
        <v>4</v>
      </c>
      <c r="AB280" s="162">
        <v>4</v>
      </c>
      <c r="AC280" s="172">
        <f t="shared" si="13"/>
        <v>0</v>
      </c>
      <c r="AD280" s="194">
        <v>44854</v>
      </c>
      <c r="AE280" s="195" t="s">
        <v>239</v>
      </c>
      <c r="AF280" s="97" t="s">
        <v>428</v>
      </c>
      <c r="AG280" s="196"/>
      <c r="AH280" s="195"/>
      <c r="AI280" s="98"/>
      <c r="AJ280" s="99" t="s">
        <v>295</v>
      </c>
      <c r="AK280" s="197" t="e">
        <f t="shared" si="14"/>
        <v>#VALUE!</v>
      </c>
      <c r="AL280" s="98" t="s">
        <v>296</v>
      </c>
      <c r="AM280" s="90"/>
      <c r="AN280" s="100"/>
      <c r="AO280" s="198"/>
    </row>
    <row r="281" spans="1:41" s="308" customFormat="1" ht="30.75" hidden="1" customHeight="1" x14ac:dyDescent="0.35">
      <c r="A281" s="339">
        <v>18</v>
      </c>
      <c r="B281" s="322"/>
      <c r="C281" s="443" t="s">
        <v>426</v>
      </c>
      <c r="D281" s="238"/>
      <c r="E281" s="236"/>
      <c r="F281" s="508" t="s">
        <v>94</v>
      </c>
      <c r="G281" s="514" t="s">
        <v>95</v>
      </c>
      <c r="H281" s="521">
        <v>295436</v>
      </c>
      <c r="I281" s="537" t="s">
        <v>79</v>
      </c>
      <c r="J281" s="604"/>
      <c r="K281" s="605" t="s">
        <v>425</v>
      </c>
      <c r="L281" s="445"/>
      <c r="M281" s="445"/>
      <c r="N281" s="240" t="s">
        <v>71</v>
      </c>
      <c r="O281" s="343">
        <v>5</v>
      </c>
      <c r="P281" s="169">
        <f>0</f>
        <v>0</v>
      </c>
      <c r="Q281" s="169">
        <f>0</f>
        <v>0</v>
      </c>
      <c r="R281" s="169">
        <f>0</f>
        <v>0</v>
      </c>
      <c r="S281" s="169">
        <f>0</f>
        <v>0</v>
      </c>
      <c r="T281" s="169">
        <f>0</f>
        <v>0</v>
      </c>
      <c r="U281" s="169">
        <f>0</f>
        <v>0</v>
      </c>
      <c r="V281" s="169">
        <f>0</f>
        <v>0</v>
      </c>
      <c r="W281" s="169">
        <f>0</f>
        <v>0</v>
      </c>
      <c r="X281" s="169">
        <f>0</f>
        <v>0</v>
      </c>
      <c r="Y281" s="169">
        <f>0</f>
        <v>0</v>
      </c>
      <c r="Z281" s="219">
        <f>0</f>
        <v>0</v>
      </c>
      <c r="AA281" s="223">
        <f t="shared" si="12"/>
        <v>5</v>
      </c>
      <c r="AB281" s="571">
        <v>0</v>
      </c>
      <c r="AC281" s="216">
        <f t="shared" si="13"/>
        <v>5</v>
      </c>
      <c r="AD281" s="181">
        <v>44854</v>
      </c>
      <c r="AE281" s="152" t="s">
        <v>239</v>
      </c>
      <c r="AF281" s="147" t="s">
        <v>427</v>
      </c>
      <c r="AG281" s="580" t="s">
        <v>1485</v>
      </c>
      <c r="AH281" s="195"/>
      <c r="AI281" s="200" t="s">
        <v>1525</v>
      </c>
      <c r="AJ281" s="224"/>
      <c r="AK281" s="154">
        <f t="shared" si="14"/>
        <v>5</v>
      </c>
      <c r="AL281" s="200"/>
      <c r="AM281" s="225"/>
      <c r="AN281" s="226"/>
      <c r="AO281" s="155"/>
    </row>
    <row r="282" spans="1:41" s="308" customFormat="1" ht="30.75" hidden="1" customHeight="1" x14ac:dyDescent="0.35">
      <c r="A282" s="252">
        <v>19</v>
      </c>
      <c r="B282" s="253"/>
      <c r="C282" s="327" t="s">
        <v>426</v>
      </c>
      <c r="D282" s="97"/>
      <c r="E282" s="231"/>
      <c r="F282" s="337" t="s">
        <v>96</v>
      </c>
      <c r="G282" s="338" t="s">
        <v>97</v>
      </c>
      <c r="H282" s="230">
        <v>216227</v>
      </c>
      <c r="I282" s="331" t="s">
        <v>79</v>
      </c>
      <c r="J282" s="232"/>
      <c r="K282" s="272" t="s">
        <v>425</v>
      </c>
      <c r="L282" s="148"/>
      <c r="M282" s="148"/>
      <c r="N282" s="235" t="s">
        <v>71</v>
      </c>
      <c r="O282" s="343">
        <v>9</v>
      </c>
      <c r="P282" s="169">
        <f>0</f>
        <v>0</v>
      </c>
      <c r="Q282" s="169">
        <f>0</f>
        <v>0</v>
      </c>
      <c r="R282" s="169">
        <f>0</f>
        <v>0</v>
      </c>
      <c r="S282" s="169">
        <f>0</f>
        <v>0</v>
      </c>
      <c r="T282" s="169">
        <f>0</f>
        <v>0</v>
      </c>
      <c r="U282" s="169">
        <f>0</f>
        <v>0</v>
      </c>
      <c r="V282" s="169">
        <f>0</f>
        <v>0</v>
      </c>
      <c r="W282" s="169">
        <f>0</f>
        <v>0</v>
      </c>
      <c r="X282" s="169">
        <f>0</f>
        <v>0</v>
      </c>
      <c r="Y282" s="169">
        <f>0</f>
        <v>0</v>
      </c>
      <c r="Z282" s="219">
        <f>0</f>
        <v>0</v>
      </c>
      <c r="AA282" s="160">
        <f t="shared" si="12"/>
        <v>9</v>
      </c>
      <c r="AB282" s="162">
        <v>0</v>
      </c>
      <c r="AC282" s="172">
        <f t="shared" si="13"/>
        <v>9</v>
      </c>
      <c r="AD282" s="194">
        <v>44854</v>
      </c>
      <c r="AE282" s="195" t="s">
        <v>239</v>
      </c>
      <c r="AF282" s="97" t="s">
        <v>427</v>
      </c>
      <c r="AG282" s="580" t="s">
        <v>431</v>
      </c>
      <c r="AH282" s="195"/>
      <c r="AI282" s="98"/>
      <c r="AJ282" s="99">
        <v>9</v>
      </c>
      <c r="AK282" s="197">
        <f t="shared" si="14"/>
        <v>0</v>
      </c>
      <c r="AL282" s="98" t="s">
        <v>1254</v>
      </c>
      <c r="AM282" s="90"/>
      <c r="AN282" s="100"/>
      <c r="AO282" s="198"/>
    </row>
    <row r="283" spans="1:41" s="308" customFormat="1" ht="30.75" hidden="1" customHeight="1" x14ac:dyDescent="0.35">
      <c r="A283" s="244">
        <v>20</v>
      </c>
      <c r="B283" s="253"/>
      <c r="C283" s="327" t="s">
        <v>426</v>
      </c>
      <c r="D283" s="236"/>
      <c r="E283" s="236"/>
      <c r="F283" s="334" t="s">
        <v>96</v>
      </c>
      <c r="G283" s="335" t="s">
        <v>98</v>
      </c>
      <c r="H283" s="336">
        <v>189332</v>
      </c>
      <c r="I283" s="333" t="s">
        <v>79</v>
      </c>
      <c r="J283" s="553"/>
      <c r="K283" s="272" t="s">
        <v>425</v>
      </c>
      <c r="L283" s="148"/>
      <c r="M283" s="148"/>
      <c r="N283" s="235" t="s">
        <v>71</v>
      </c>
      <c r="O283" s="343">
        <v>7</v>
      </c>
      <c r="P283" s="169">
        <f>0</f>
        <v>0</v>
      </c>
      <c r="Q283" s="169">
        <f>0</f>
        <v>0</v>
      </c>
      <c r="R283" s="169">
        <f>0</f>
        <v>0</v>
      </c>
      <c r="S283" s="169">
        <f>0</f>
        <v>0</v>
      </c>
      <c r="T283" s="169">
        <f>0</f>
        <v>0</v>
      </c>
      <c r="U283" s="169">
        <f>0</f>
        <v>0</v>
      </c>
      <c r="V283" s="169">
        <f>0</f>
        <v>0</v>
      </c>
      <c r="W283" s="169">
        <f>0</f>
        <v>0</v>
      </c>
      <c r="X283" s="169">
        <f>0</f>
        <v>0</v>
      </c>
      <c r="Y283" s="169">
        <f>0</f>
        <v>0</v>
      </c>
      <c r="Z283" s="219">
        <f>0</f>
        <v>0</v>
      </c>
      <c r="AA283" s="160">
        <f t="shared" si="12"/>
        <v>7</v>
      </c>
      <c r="AB283" s="162">
        <v>2</v>
      </c>
      <c r="AC283" s="172">
        <f t="shared" si="13"/>
        <v>5</v>
      </c>
      <c r="AD283" s="194">
        <v>44854</v>
      </c>
      <c r="AE283" s="195" t="s">
        <v>239</v>
      </c>
      <c r="AF283" s="97" t="s">
        <v>427</v>
      </c>
      <c r="AG283" s="580" t="s">
        <v>431</v>
      </c>
      <c r="AH283" s="195"/>
      <c r="AI283" s="98"/>
      <c r="AJ283" s="99" t="s">
        <v>1252</v>
      </c>
      <c r="AK283" s="197" t="e">
        <f t="shared" si="14"/>
        <v>#VALUE!</v>
      </c>
      <c r="AL283" s="98" t="s">
        <v>1253</v>
      </c>
      <c r="AM283" s="90"/>
      <c r="AN283" s="100"/>
      <c r="AO283" s="198"/>
    </row>
    <row r="284" spans="1:41" s="309" customFormat="1" ht="30.75" hidden="1" customHeight="1" x14ac:dyDescent="0.35">
      <c r="A284" s="252">
        <v>21</v>
      </c>
      <c r="B284" s="253"/>
      <c r="C284" s="327" t="s">
        <v>426</v>
      </c>
      <c r="D284" s="97"/>
      <c r="E284" s="231"/>
      <c r="F284" s="337" t="s">
        <v>99</v>
      </c>
      <c r="G284" s="338" t="s">
        <v>100</v>
      </c>
      <c r="H284" s="230">
        <v>248691</v>
      </c>
      <c r="I284" s="331" t="s">
        <v>79</v>
      </c>
      <c r="J284" s="232"/>
      <c r="K284" s="272" t="s">
        <v>425</v>
      </c>
      <c r="L284" s="148"/>
      <c r="M284" s="148"/>
      <c r="N284" s="235" t="s">
        <v>71</v>
      </c>
      <c r="O284" s="343">
        <v>7</v>
      </c>
      <c r="P284" s="169">
        <f>0</f>
        <v>0</v>
      </c>
      <c r="Q284" s="169">
        <f>0</f>
        <v>0</v>
      </c>
      <c r="R284" s="169">
        <f>0</f>
        <v>0</v>
      </c>
      <c r="S284" s="169">
        <f>0</f>
        <v>0</v>
      </c>
      <c r="T284" s="169">
        <f>0</f>
        <v>0</v>
      </c>
      <c r="U284" s="169">
        <f>0</f>
        <v>0</v>
      </c>
      <c r="V284" s="169">
        <f>0</f>
        <v>0</v>
      </c>
      <c r="W284" s="169">
        <f>0</f>
        <v>0</v>
      </c>
      <c r="X284" s="169">
        <f>0</f>
        <v>0</v>
      </c>
      <c r="Y284" s="169">
        <f>0</f>
        <v>0</v>
      </c>
      <c r="Z284" s="219">
        <f>0</f>
        <v>0</v>
      </c>
      <c r="AA284" s="160">
        <f t="shared" si="12"/>
        <v>7</v>
      </c>
      <c r="AB284" s="162">
        <v>5</v>
      </c>
      <c r="AC284" s="172">
        <f t="shared" si="13"/>
        <v>2</v>
      </c>
      <c r="AD284" s="188">
        <v>44854</v>
      </c>
      <c r="AE284" s="205" t="s">
        <v>239</v>
      </c>
      <c r="AF284" s="97" t="s">
        <v>427</v>
      </c>
      <c r="AG284" s="580" t="s">
        <v>431</v>
      </c>
      <c r="AH284" s="195"/>
      <c r="AI284" s="101"/>
      <c r="AJ284" s="99">
        <v>2</v>
      </c>
      <c r="AK284" s="197">
        <f t="shared" si="14"/>
        <v>0</v>
      </c>
      <c r="AL284" s="98" t="s">
        <v>1248</v>
      </c>
      <c r="AM284" s="90"/>
      <c r="AN284" s="100"/>
      <c r="AO284" s="198"/>
    </row>
    <row r="285" spans="1:41" s="309" customFormat="1" ht="30.75" hidden="1" customHeight="1" x14ac:dyDescent="0.35">
      <c r="A285" s="244">
        <v>22</v>
      </c>
      <c r="B285" s="253"/>
      <c r="C285" s="254" t="s">
        <v>426</v>
      </c>
      <c r="D285" s="233"/>
      <c r="E285" s="236"/>
      <c r="F285" s="334" t="s">
        <v>101</v>
      </c>
      <c r="G285" s="335" t="s">
        <v>102</v>
      </c>
      <c r="H285" s="336">
        <v>285508</v>
      </c>
      <c r="I285" s="333" t="s">
        <v>79</v>
      </c>
      <c r="J285" s="553"/>
      <c r="K285" s="266"/>
      <c r="L285" s="148"/>
      <c r="M285" s="148"/>
      <c r="N285" s="235" t="s">
        <v>71</v>
      </c>
      <c r="O285" s="343">
        <v>1</v>
      </c>
      <c r="P285" s="169">
        <f>0</f>
        <v>0</v>
      </c>
      <c r="Q285" s="169">
        <f>0</f>
        <v>0</v>
      </c>
      <c r="R285" s="169">
        <f>0</f>
        <v>0</v>
      </c>
      <c r="S285" s="169">
        <f>0</f>
        <v>0</v>
      </c>
      <c r="T285" s="169">
        <f>0</f>
        <v>0</v>
      </c>
      <c r="U285" s="169">
        <f>0</f>
        <v>0</v>
      </c>
      <c r="V285" s="169">
        <f>0</f>
        <v>0</v>
      </c>
      <c r="W285" s="169">
        <f>0</f>
        <v>0</v>
      </c>
      <c r="X285" s="169">
        <f>0</f>
        <v>0</v>
      </c>
      <c r="Y285" s="169">
        <f>0</f>
        <v>0</v>
      </c>
      <c r="Z285" s="219">
        <f>0</f>
        <v>0</v>
      </c>
      <c r="AA285" s="160">
        <f t="shared" si="12"/>
        <v>1</v>
      </c>
      <c r="AB285" s="162">
        <v>0</v>
      </c>
      <c r="AC285" s="172">
        <f t="shared" si="13"/>
        <v>1</v>
      </c>
      <c r="AD285" s="194">
        <v>44854</v>
      </c>
      <c r="AE285" s="195" t="s">
        <v>239</v>
      </c>
      <c r="AF285" s="97" t="s">
        <v>427</v>
      </c>
      <c r="AG285" s="580" t="s">
        <v>431</v>
      </c>
      <c r="AH285" s="195"/>
      <c r="AI285" s="101"/>
      <c r="AJ285" s="99">
        <v>1</v>
      </c>
      <c r="AK285" s="197">
        <f t="shared" si="14"/>
        <v>0</v>
      </c>
      <c r="AL285" s="98" t="s">
        <v>1464</v>
      </c>
      <c r="AM285" s="90"/>
      <c r="AN285" s="100"/>
      <c r="AO285" s="198"/>
    </row>
    <row r="286" spans="1:41" s="309" customFormat="1" ht="30.75" hidden="1" customHeight="1" x14ac:dyDescent="0.35">
      <c r="A286" s="252">
        <v>23</v>
      </c>
      <c r="B286" s="253"/>
      <c r="C286" s="254" t="s">
        <v>426</v>
      </c>
      <c r="D286" s="189"/>
      <c r="E286" s="231"/>
      <c r="F286" s="255" t="s">
        <v>414</v>
      </c>
      <c r="G286" s="256" t="s">
        <v>405</v>
      </c>
      <c r="H286" s="336">
        <v>608170</v>
      </c>
      <c r="I286" s="333" t="s">
        <v>79</v>
      </c>
      <c r="J286" s="553"/>
      <c r="K286" s="272" t="s">
        <v>409</v>
      </c>
      <c r="L286" s="148"/>
      <c r="M286" s="148"/>
      <c r="N286" s="235" t="s">
        <v>71</v>
      </c>
      <c r="O286" s="343">
        <v>1</v>
      </c>
      <c r="P286" s="169">
        <f>0</f>
        <v>0</v>
      </c>
      <c r="Q286" s="169">
        <f>0</f>
        <v>0</v>
      </c>
      <c r="R286" s="169">
        <f>0</f>
        <v>0</v>
      </c>
      <c r="S286" s="169">
        <f>0</f>
        <v>0</v>
      </c>
      <c r="T286" s="169">
        <f>0</f>
        <v>0</v>
      </c>
      <c r="U286" s="169">
        <f>0</f>
        <v>0</v>
      </c>
      <c r="V286" s="169">
        <f>0</f>
        <v>0</v>
      </c>
      <c r="W286" s="169">
        <f>0</f>
        <v>0</v>
      </c>
      <c r="X286" s="169">
        <f>0</f>
        <v>0</v>
      </c>
      <c r="Y286" s="169">
        <f>0</f>
        <v>0</v>
      </c>
      <c r="Z286" s="219">
        <f>0</f>
        <v>0</v>
      </c>
      <c r="AA286" s="160">
        <f t="shared" si="12"/>
        <v>1</v>
      </c>
      <c r="AB286" s="162">
        <v>0</v>
      </c>
      <c r="AC286" s="172">
        <f t="shared" si="13"/>
        <v>1</v>
      </c>
      <c r="AD286" s="194">
        <v>44854</v>
      </c>
      <c r="AE286" s="195" t="s">
        <v>239</v>
      </c>
      <c r="AF286" s="97" t="s">
        <v>427</v>
      </c>
      <c r="AG286" s="581" t="s">
        <v>430</v>
      </c>
      <c r="AH286" s="195"/>
      <c r="AI286" s="101"/>
      <c r="AJ286" s="99">
        <v>1</v>
      </c>
      <c r="AK286" s="197">
        <f t="shared" si="14"/>
        <v>0</v>
      </c>
      <c r="AL286" s="98" t="s">
        <v>1506</v>
      </c>
      <c r="AM286" s="90"/>
      <c r="AN286" s="100"/>
      <c r="AO286" s="198"/>
    </row>
    <row r="287" spans="1:41" s="309" customFormat="1" ht="30.75" hidden="1" customHeight="1" x14ac:dyDescent="0.35">
      <c r="A287" s="244">
        <v>24</v>
      </c>
      <c r="B287" s="253"/>
      <c r="C287" s="327" t="s">
        <v>426</v>
      </c>
      <c r="D287" s="236" t="s">
        <v>105</v>
      </c>
      <c r="E287" s="236"/>
      <c r="F287" s="337" t="s">
        <v>106</v>
      </c>
      <c r="G287" s="338" t="s">
        <v>107</v>
      </c>
      <c r="H287" s="230">
        <v>248660</v>
      </c>
      <c r="I287" s="331" t="s">
        <v>79</v>
      </c>
      <c r="J287" s="232"/>
      <c r="K287" s="266"/>
      <c r="L287" s="148"/>
      <c r="M287" s="148"/>
      <c r="N287" s="235" t="s">
        <v>71</v>
      </c>
      <c r="O287" s="343">
        <v>2</v>
      </c>
      <c r="P287" s="169">
        <f>0</f>
        <v>0</v>
      </c>
      <c r="Q287" s="169">
        <f>0</f>
        <v>0</v>
      </c>
      <c r="R287" s="169">
        <f>0</f>
        <v>0</v>
      </c>
      <c r="S287" s="169">
        <f>0</f>
        <v>0</v>
      </c>
      <c r="T287" s="169">
        <f>0</f>
        <v>0</v>
      </c>
      <c r="U287" s="169">
        <f>0</f>
        <v>0</v>
      </c>
      <c r="V287" s="169">
        <f>0</f>
        <v>0</v>
      </c>
      <c r="W287" s="169">
        <f>0</f>
        <v>0</v>
      </c>
      <c r="X287" s="169">
        <f>0</f>
        <v>0</v>
      </c>
      <c r="Y287" s="169">
        <f>0</f>
        <v>0</v>
      </c>
      <c r="Z287" s="219">
        <f>0</f>
        <v>0</v>
      </c>
      <c r="AA287" s="160">
        <f t="shared" si="12"/>
        <v>2</v>
      </c>
      <c r="AB287" s="162">
        <v>0</v>
      </c>
      <c r="AC287" s="172">
        <f t="shared" si="13"/>
        <v>2</v>
      </c>
      <c r="AD287" s="194">
        <v>44854</v>
      </c>
      <c r="AE287" s="195" t="s">
        <v>239</v>
      </c>
      <c r="AF287" s="97" t="s">
        <v>427</v>
      </c>
      <c r="AG287" s="581" t="s">
        <v>430</v>
      </c>
      <c r="AH287" s="195"/>
      <c r="AI287" s="101"/>
      <c r="AJ287" s="99">
        <v>2</v>
      </c>
      <c r="AK287" s="197">
        <f t="shared" si="14"/>
        <v>0</v>
      </c>
      <c r="AL287" s="98" t="s">
        <v>1484</v>
      </c>
      <c r="AM287" s="90"/>
      <c r="AN287" s="100"/>
      <c r="AO287" s="198"/>
    </row>
    <row r="288" spans="1:41" s="308" customFormat="1" ht="30.75" hidden="1" customHeight="1" x14ac:dyDescent="0.35">
      <c r="A288" s="244">
        <v>25</v>
      </c>
      <c r="B288" s="253"/>
      <c r="C288" s="327" t="s">
        <v>426</v>
      </c>
      <c r="D288" s="97" t="s">
        <v>105</v>
      </c>
      <c r="E288" s="231"/>
      <c r="F288" s="334" t="s">
        <v>106</v>
      </c>
      <c r="G288" s="335" t="s">
        <v>108</v>
      </c>
      <c r="H288" s="336">
        <v>248658</v>
      </c>
      <c r="I288" s="333" t="s">
        <v>79</v>
      </c>
      <c r="J288" s="553"/>
      <c r="K288" s="272"/>
      <c r="L288" s="148"/>
      <c r="M288" s="148"/>
      <c r="N288" s="235" t="s">
        <v>71</v>
      </c>
      <c r="O288" s="343">
        <v>5</v>
      </c>
      <c r="P288" s="169">
        <f>0</f>
        <v>0</v>
      </c>
      <c r="Q288" s="169">
        <f>0</f>
        <v>0</v>
      </c>
      <c r="R288" s="169">
        <f>0</f>
        <v>0</v>
      </c>
      <c r="S288" s="169">
        <f>0</f>
        <v>0</v>
      </c>
      <c r="T288" s="169">
        <f>0</f>
        <v>0</v>
      </c>
      <c r="U288" s="169">
        <f>0</f>
        <v>0</v>
      </c>
      <c r="V288" s="169">
        <f>0</f>
        <v>0</v>
      </c>
      <c r="W288" s="169">
        <f>0</f>
        <v>0</v>
      </c>
      <c r="X288" s="169">
        <f>0</f>
        <v>0</v>
      </c>
      <c r="Y288" s="169">
        <f>0</f>
        <v>0</v>
      </c>
      <c r="Z288" s="219">
        <f>0</f>
        <v>0</v>
      </c>
      <c r="AA288" s="160">
        <f t="shared" si="12"/>
        <v>5</v>
      </c>
      <c r="AB288" s="162">
        <v>2</v>
      </c>
      <c r="AC288" s="172">
        <f t="shared" si="13"/>
        <v>3</v>
      </c>
      <c r="AD288" s="194">
        <v>44854</v>
      </c>
      <c r="AE288" s="195" t="s">
        <v>239</v>
      </c>
      <c r="AF288" s="148" t="s">
        <v>427</v>
      </c>
      <c r="AG288" s="581" t="s">
        <v>430</v>
      </c>
      <c r="AH288" s="195"/>
      <c r="AI288" s="98"/>
      <c r="AJ288" s="99" t="s">
        <v>1545</v>
      </c>
      <c r="AK288" s="197" t="e">
        <f t="shared" si="14"/>
        <v>#VALUE!</v>
      </c>
      <c r="AL288" s="98" t="s">
        <v>1546</v>
      </c>
      <c r="AM288" s="90"/>
      <c r="AN288" s="100"/>
      <c r="AO288" s="198"/>
    </row>
    <row r="289" spans="1:41" s="308" customFormat="1" ht="30.75" hidden="1" customHeight="1" x14ac:dyDescent="0.35">
      <c r="A289" s="252">
        <v>26</v>
      </c>
      <c r="B289" s="253"/>
      <c r="C289" s="327" t="s">
        <v>426</v>
      </c>
      <c r="D289" s="236"/>
      <c r="E289" s="236"/>
      <c r="F289" s="337" t="s">
        <v>103</v>
      </c>
      <c r="G289" s="338" t="s">
        <v>104</v>
      </c>
      <c r="H289" s="230">
        <v>227986</v>
      </c>
      <c r="I289" s="331" t="s">
        <v>79</v>
      </c>
      <c r="J289" s="231" t="s">
        <v>415</v>
      </c>
      <c r="K289" s="304"/>
      <c r="L289" s="97"/>
      <c r="M289" s="97"/>
      <c r="N289" s="235" t="s">
        <v>71</v>
      </c>
      <c r="O289" s="343">
        <v>7</v>
      </c>
      <c r="P289" s="169">
        <f>0</f>
        <v>0</v>
      </c>
      <c r="Q289" s="169">
        <f>0</f>
        <v>0</v>
      </c>
      <c r="R289" s="169">
        <f>0</f>
        <v>0</v>
      </c>
      <c r="S289" s="169">
        <f>0</f>
        <v>0</v>
      </c>
      <c r="T289" s="169">
        <f>0</f>
        <v>0</v>
      </c>
      <c r="U289" s="169">
        <f>0</f>
        <v>0</v>
      </c>
      <c r="V289" s="169">
        <f>0</f>
        <v>0</v>
      </c>
      <c r="W289" s="169">
        <f>0</f>
        <v>0</v>
      </c>
      <c r="X289" s="169">
        <f>0</f>
        <v>0</v>
      </c>
      <c r="Y289" s="169">
        <f>0</f>
        <v>0</v>
      </c>
      <c r="Z289" s="219">
        <f>0</f>
        <v>0</v>
      </c>
      <c r="AA289" s="160">
        <f t="shared" si="12"/>
        <v>7</v>
      </c>
      <c r="AB289" s="162">
        <v>7</v>
      </c>
      <c r="AC289" s="172">
        <f t="shared" si="13"/>
        <v>0</v>
      </c>
      <c r="AD289" s="194">
        <v>44854</v>
      </c>
      <c r="AE289" s="195" t="s">
        <v>239</v>
      </c>
      <c r="AF289" s="148" t="s">
        <v>428</v>
      </c>
      <c r="AG289" s="196"/>
      <c r="AH289" s="195"/>
      <c r="AI289" s="98"/>
      <c r="AJ289" s="99" t="s">
        <v>1486</v>
      </c>
      <c r="AK289" s="197" t="e">
        <f t="shared" si="14"/>
        <v>#VALUE!</v>
      </c>
      <c r="AL289" s="98" t="s">
        <v>293</v>
      </c>
      <c r="AM289" s="90"/>
      <c r="AN289" s="100"/>
      <c r="AO289" s="198"/>
    </row>
    <row r="290" spans="1:41" s="308" customFormat="1" ht="30.75" hidden="1" customHeight="1" x14ac:dyDescent="0.35">
      <c r="A290" s="244">
        <v>27</v>
      </c>
      <c r="B290" s="253"/>
      <c r="C290" s="327" t="s">
        <v>426</v>
      </c>
      <c r="D290" s="97"/>
      <c r="E290" s="231"/>
      <c r="F290" s="334" t="s">
        <v>111</v>
      </c>
      <c r="G290" s="335" t="s">
        <v>113</v>
      </c>
      <c r="H290" s="336">
        <v>210803</v>
      </c>
      <c r="I290" s="333" t="s">
        <v>79</v>
      </c>
      <c r="J290" s="554" t="s">
        <v>416</v>
      </c>
      <c r="K290" s="558"/>
      <c r="L290" s="97"/>
      <c r="M290" s="97"/>
      <c r="N290" s="235" t="s">
        <v>71</v>
      </c>
      <c r="O290" s="343">
        <v>1</v>
      </c>
      <c r="P290" s="169">
        <f>0</f>
        <v>0</v>
      </c>
      <c r="Q290" s="169">
        <f>0</f>
        <v>0</v>
      </c>
      <c r="R290" s="169">
        <f>0</f>
        <v>0</v>
      </c>
      <c r="S290" s="169">
        <f>0</f>
        <v>0</v>
      </c>
      <c r="T290" s="169">
        <f>0</f>
        <v>0</v>
      </c>
      <c r="U290" s="169">
        <f>0</f>
        <v>0</v>
      </c>
      <c r="V290" s="169">
        <f>0</f>
        <v>0</v>
      </c>
      <c r="W290" s="169">
        <f>0</f>
        <v>0</v>
      </c>
      <c r="X290" s="169">
        <f>0</f>
        <v>0</v>
      </c>
      <c r="Y290" s="169">
        <f>0</f>
        <v>0</v>
      </c>
      <c r="Z290" s="219">
        <f>0</f>
        <v>0</v>
      </c>
      <c r="AA290" s="160">
        <f t="shared" si="12"/>
        <v>1</v>
      </c>
      <c r="AB290" s="162">
        <v>1</v>
      </c>
      <c r="AC290" s="172">
        <f t="shared" si="13"/>
        <v>0</v>
      </c>
      <c r="AD290" s="204">
        <v>44854</v>
      </c>
      <c r="AE290" s="205" t="s">
        <v>239</v>
      </c>
      <c r="AF290" s="189" t="s">
        <v>428</v>
      </c>
      <c r="AG290" s="196"/>
      <c r="AH290" s="205"/>
      <c r="AI290" s="98"/>
      <c r="AJ290" s="99" t="s">
        <v>286</v>
      </c>
      <c r="AK290" s="197" t="e">
        <f t="shared" si="14"/>
        <v>#VALUE!</v>
      </c>
      <c r="AL290" s="98" t="s">
        <v>296</v>
      </c>
      <c r="AM290" s="90"/>
      <c r="AN290" s="100"/>
      <c r="AO290" s="198"/>
    </row>
    <row r="291" spans="1:41" s="308" customFormat="1" ht="30.75" hidden="1" customHeight="1" x14ac:dyDescent="0.35">
      <c r="A291" s="252">
        <v>28</v>
      </c>
      <c r="B291" s="253"/>
      <c r="C291" s="327" t="s">
        <v>426</v>
      </c>
      <c r="D291" s="236"/>
      <c r="E291" s="236"/>
      <c r="F291" s="337" t="s">
        <v>122</v>
      </c>
      <c r="G291" s="338" t="s">
        <v>128</v>
      </c>
      <c r="H291" s="230" t="s">
        <v>129</v>
      </c>
      <c r="I291" s="331" t="s">
        <v>79</v>
      </c>
      <c r="J291" s="231" t="s">
        <v>416</v>
      </c>
      <c r="K291" s="558"/>
      <c r="L291" s="97"/>
      <c r="M291" s="97"/>
      <c r="N291" s="235" t="s">
        <v>71</v>
      </c>
      <c r="O291" s="343">
        <v>1</v>
      </c>
      <c r="P291" s="169">
        <f>0</f>
        <v>0</v>
      </c>
      <c r="Q291" s="169">
        <f>0</f>
        <v>0</v>
      </c>
      <c r="R291" s="169">
        <f>0</f>
        <v>0</v>
      </c>
      <c r="S291" s="169">
        <f>0</f>
        <v>0</v>
      </c>
      <c r="T291" s="169">
        <f>0</f>
        <v>0</v>
      </c>
      <c r="U291" s="169">
        <f>0</f>
        <v>0</v>
      </c>
      <c r="V291" s="169">
        <f>0</f>
        <v>0</v>
      </c>
      <c r="W291" s="169">
        <f>0</f>
        <v>0</v>
      </c>
      <c r="X291" s="169">
        <f>0</f>
        <v>0</v>
      </c>
      <c r="Y291" s="169">
        <f>0</f>
        <v>0</v>
      </c>
      <c r="Z291" s="219">
        <f>0</f>
        <v>0</v>
      </c>
      <c r="AA291" s="160">
        <f t="shared" si="12"/>
        <v>1</v>
      </c>
      <c r="AB291" s="162">
        <v>0</v>
      </c>
      <c r="AC291" s="172">
        <f t="shared" si="13"/>
        <v>1</v>
      </c>
      <c r="AD291" s="194">
        <v>44854</v>
      </c>
      <c r="AE291" s="195" t="s">
        <v>239</v>
      </c>
      <c r="AF291" s="148" t="s">
        <v>427</v>
      </c>
      <c r="AG291" s="581" t="s">
        <v>430</v>
      </c>
      <c r="AH291" s="195"/>
      <c r="AI291" s="98"/>
      <c r="AJ291" s="99" t="s">
        <v>286</v>
      </c>
      <c r="AK291" s="197" t="e">
        <f t="shared" si="14"/>
        <v>#VALUE!</v>
      </c>
      <c r="AL291" s="98" t="s">
        <v>296</v>
      </c>
      <c r="AM291" s="90"/>
      <c r="AN291" s="100"/>
      <c r="AO291" s="198"/>
    </row>
    <row r="292" spans="1:41" s="308" customFormat="1" ht="30.75" hidden="1" customHeight="1" x14ac:dyDescent="0.35">
      <c r="A292" s="244">
        <v>29</v>
      </c>
      <c r="B292" s="253"/>
      <c r="C292" s="327" t="s">
        <v>426</v>
      </c>
      <c r="D292" s="97"/>
      <c r="E292" s="231"/>
      <c r="F292" s="334" t="s">
        <v>125</v>
      </c>
      <c r="G292" s="335" t="s">
        <v>130</v>
      </c>
      <c r="H292" s="336" t="s">
        <v>131</v>
      </c>
      <c r="I292" s="333" t="s">
        <v>79</v>
      </c>
      <c r="J292" s="554" t="s">
        <v>416</v>
      </c>
      <c r="K292" s="558"/>
      <c r="L292" s="97"/>
      <c r="M292" s="97"/>
      <c r="N292" s="235" t="s">
        <v>71</v>
      </c>
      <c r="O292" s="343">
        <v>1</v>
      </c>
      <c r="P292" s="169">
        <f>0</f>
        <v>0</v>
      </c>
      <c r="Q292" s="169">
        <f>0</f>
        <v>0</v>
      </c>
      <c r="R292" s="169">
        <f>0</f>
        <v>0</v>
      </c>
      <c r="S292" s="169">
        <f>0</f>
        <v>0</v>
      </c>
      <c r="T292" s="169">
        <f>0</f>
        <v>0</v>
      </c>
      <c r="U292" s="169">
        <f>0</f>
        <v>0</v>
      </c>
      <c r="V292" s="169">
        <f>0</f>
        <v>0</v>
      </c>
      <c r="W292" s="169">
        <f>0</f>
        <v>0</v>
      </c>
      <c r="X292" s="169">
        <f>0</f>
        <v>0</v>
      </c>
      <c r="Y292" s="169">
        <f>0</f>
        <v>0</v>
      </c>
      <c r="Z292" s="219">
        <f>0</f>
        <v>0</v>
      </c>
      <c r="AA292" s="160">
        <f t="shared" si="12"/>
        <v>1</v>
      </c>
      <c r="AB292" s="162">
        <v>0</v>
      </c>
      <c r="AC292" s="172">
        <f t="shared" si="13"/>
        <v>1</v>
      </c>
      <c r="AD292" s="194">
        <v>44854</v>
      </c>
      <c r="AE292" s="195" t="s">
        <v>239</v>
      </c>
      <c r="AF292" s="97" t="s">
        <v>427</v>
      </c>
      <c r="AG292" s="581" t="s">
        <v>430</v>
      </c>
      <c r="AH292" s="195"/>
      <c r="AI292" s="98"/>
      <c r="AJ292" s="99"/>
      <c r="AK292" s="197">
        <f t="shared" si="14"/>
        <v>1</v>
      </c>
      <c r="AL292" s="98"/>
      <c r="AM292" s="90"/>
      <c r="AN292" s="100"/>
      <c r="AO292" s="198"/>
    </row>
    <row r="293" spans="1:41" s="308" customFormat="1" ht="30.75" hidden="1" customHeight="1" x14ac:dyDescent="0.35">
      <c r="A293" s="252">
        <v>30</v>
      </c>
      <c r="B293" s="253"/>
      <c r="C293" s="327" t="s">
        <v>426</v>
      </c>
      <c r="D293" s="236"/>
      <c r="E293" s="236"/>
      <c r="F293" s="337" t="s">
        <v>109</v>
      </c>
      <c r="G293" s="338" t="s">
        <v>110</v>
      </c>
      <c r="H293" s="230">
        <v>210801</v>
      </c>
      <c r="I293" s="331" t="s">
        <v>79</v>
      </c>
      <c r="J293" s="231" t="s">
        <v>417</v>
      </c>
      <c r="K293" s="558"/>
      <c r="L293" s="97"/>
      <c r="M293" s="97"/>
      <c r="N293" s="235" t="s">
        <v>71</v>
      </c>
      <c r="O293" s="343">
        <v>1</v>
      </c>
      <c r="P293" s="169">
        <f>0</f>
        <v>0</v>
      </c>
      <c r="Q293" s="169">
        <f>0</f>
        <v>0</v>
      </c>
      <c r="R293" s="169">
        <f>0</f>
        <v>0</v>
      </c>
      <c r="S293" s="169">
        <f>0</f>
        <v>0</v>
      </c>
      <c r="T293" s="169">
        <f>0</f>
        <v>0</v>
      </c>
      <c r="U293" s="169">
        <f>0</f>
        <v>0</v>
      </c>
      <c r="V293" s="169">
        <f>0</f>
        <v>0</v>
      </c>
      <c r="W293" s="169">
        <f>0</f>
        <v>0</v>
      </c>
      <c r="X293" s="169">
        <f>0</f>
        <v>0</v>
      </c>
      <c r="Y293" s="169">
        <f>0</f>
        <v>0</v>
      </c>
      <c r="Z293" s="219">
        <f>0</f>
        <v>0</v>
      </c>
      <c r="AA293" s="160">
        <f t="shared" si="12"/>
        <v>1</v>
      </c>
      <c r="AB293" s="162">
        <v>0</v>
      </c>
      <c r="AC293" s="172">
        <f t="shared" si="13"/>
        <v>1</v>
      </c>
      <c r="AD293" s="204">
        <v>44854</v>
      </c>
      <c r="AE293" s="205" t="s">
        <v>239</v>
      </c>
      <c r="AF293" s="189" t="s">
        <v>427</v>
      </c>
      <c r="AG293" s="581" t="s">
        <v>430</v>
      </c>
      <c r="AH293" s="205"/>
      <c r="AI293" s="98"/>
      <c r="AJ293" s="99" t="s">
        <v>286</v>
      </c>
      <c r="AK293" s="197" t="e">
        <f t="shared" si="14"/>
        <v>#VALUE!</v>
      </c>
      <c r="AL293" s="98" t="s">
        <v>296</v>
      </c>
      <c r="AM293" s="90"/>
      <c r="AN293" s="100"/>
      <c r="AO293" s="198"/>
    </row>
    <row r="294" spans="1:41" s="308" customFormat="1" ht="30.75" hidden="1" customHeight="1" x14ac:dyDescent="0.35">
      <c r="A294" s="244">
        <v>31</v>
      </c>
      <c r="B294" s="253"/>
      <c r="C294" s="327" t="s">
        <v>426</v>
      </c>
      <c r="D294" s="97"/>
      <c r="E294" s="231"/>
      <c r="F294" s="334" t="s">
        <v>116</v>
      </c>
      <c r="G294" s="335" t="s">
        <v>117</v>
      </c>
      <c r="H294" s="336" t="s">
        <v>118</v>
      </c>
      <c r="I294" s="333" t="s">
        <v>79</v>
      </c>
      <c r="J294" s="554" t="s">
        <v>417</v>
      </c>
      <c r="K294" s="558"/>
      <c r="L294" s="97"/>
      <c r="M294" s="97"/>
      <c r="N294" s="235" t="s">
        <v>71</v>
      </c>
      <c r="O294" s="343">
        <v>1</v>
      </c>
      <c r="P294" s="169">
        <f>0</f>
        <v>0</v>
      </c>
      <c r="Q294" s="169">
        <f>0</f>
        <v>0</v>
      </c>
      <c r="R294" s="169">
        <f>0</f>
        <v>0</v>
      </c>
      <c r="S294" s="169">
        <f>0</f>
        <v>0</v>
      </c>
      <c r="T294" s="169">
        <f>0</f>
        <v>0</v>
      </c>
      <c r="U294" s="169">
        <f>0</f>
        <v>0</v>
      </c>
      <c r="V294" s="169">
        <f>0</f>
        <v>0</v>
      </c>
      <c r="W294" s="169">
        <f>0</f>
        <v>0</v>
      </c>
      <c r="X294" s="169">
        <f>0</f>
        <v>0</v>
      </c>
      <c r="Y294" s="169">
        <f>0</f>
        <v>0</v>
      </c>
      <c r="Z294" s="219">
        <f>0</f>
        <v>0</v>
      </c>
      <c r="AA294" s="160">
        <f t="shared" si="12"/>
        <v>1</v>
      </c>
      <c r="AB294" s="162">
        <v>0</v>
      </c>
      <c r="AC294" s="172">
        <f t="shared" si="13"/>
        <v>1</v>
      </c>
      <c r="AD294" s="194">
        <v>44854</v>
      </c>
      <c r="AE294" s="195" t="s">
        <v>239</v>
      </c>
      <c r="AF294" s="97" t="s">
        <v>427</v>
      </c>
      <c r="AG294" s="581" t="s">
        <v>430</v>
      </c>
      <c r="AH294" s="195"/>
      <c r="AI294" s="98"/>
      <c r="AJ294" s="99"/>
      <c r="AK294" s="197">
        <f t="shared" si="14"/>
        <v>1</v>
      </c>
      <c r="AL294" s="98"/>
      <c r="AM294" s="90"/>
      <c r="AN294" s="100"/>
      <c r="AO294" s="198"/>
    </row>
    <row r="295" spans="1:41" s="308" customFormat="1" ht="30.75" hidden="1" customHeight="1" x14ac:dyDescent="0.35">
      <c r="A295" s="252">
        <v>32</v>
      </c>
      <c r="B295" s="253"/>
      <c r="C295" s="327" t="s">
        <v>426</v>
      </c>
      <c r="D295" s="236"/>
      <c r="E295" s="236"/>
      <c r="F295" s="337" t="s">
        <v>119</v>
      </c>
      <c r="G295" s="338" t="s">
        <v>120</v>
      </c>
      <c r="H295" s="230" t="s">
        <v>121</v>
      </c>
      <c r="I295" s="331" t="s">
        <v>79</v>
      </c>
      <c r="J295" s="231" t="s">
        <v>417</v>
      </c>
      <c r="K295" s="558"/>
      <c r="L295" s="97"/>
      <c r="M295" s="97"/>
      <c r="N295" s="235" t="s">
        <v>71</v>
      </c>
      <c r="O295" s="343">
        <v>1</v>
      </c>
      <c r="P295" s="169">
        <f>0</f>
        <v>0</v>
      </c>
      <c r="Q295" s="169">
        <f>0</f>
        <v>0</v>
      </c>
      <c r="R295" s="169">
        <f>0</f>
        <v>0</v>
      </c>
      <c r="S295" s="169">
        <f>0</f>
        <v>0</v>
      </c>
      <c r="T295" s="169">
        <f>0</f>
        <v>0</v>
      </c>
      <c r="U295" s="169">
        <f>0</f>
        <v>0</v>
      </c>
      <c r="V295" s="169">
        <f>0</f>
        <v>0</v>
      </c>
      <c r="W295" s="169">
        <f>0</f>
        <v>0</v>
      </c>
      <c r="X295" s="169">
        <f>0</f>
        <v>0</v>
      </c>
      <c r="Y295" s="169">
        <f>0</f>
        <v>0</v>
      </c>
      <c r="Z295" s="219">
        <f>0</f>
        <v>0</v>
      </c>
      <c r="AA295" s="160">
        <f t="shared" si="12"/>
        <v>1</v>
      </c>
      <c r="AB295" s="162">
        <v>0</v>
      </c>
      <c r="AC295" s="172">
        <f t="shared" si="13"/>
        <v>1</v>
      </c>
      <c r="AD295" s="194">
        <v>44854</v>
      </c>
      <c r="AE295" s="195" t="s">
        <v>239</v>
      </c>
      <c r="AF295" s="97" t="s">
        <v>427</v>
      </c>
      <c r="AG295" s="581" t="s">
        <v>430</v>
      </c>
      <c r="AH295" s="195"/>
      <c r="AI295" s="98"/>
      <c r="AJ295" s="99"/>
      <c r="AK295" s="197">
        <f t="shared" si="14"/>
        <v>1</v>
      </c>
      <c r="AL295" s="98"/>
      <c r="AM295" s="90"/>
      <c r="AN295" s="100"/>
      <c r="AO295" s="198"/>
    </row>
    <row r="296" spans="1:41" s="308" customFormat="1" ht="30.75" hidden="1" customHeight="1" x14ac:dyDescent="0.35">
      <c r="A296" s="244">
        <v>33</v>
      </c>
      <c r="B296" s="253"/>
      <c r="C296" s="327" t="s">
        <v>426</v>
      </c>
      <c r="D296" s="97"/>
      <c r="E296" s="231"/>
      <c r="F296" s="334" t="s">
        <v>122</v>
      </c>
      <c r="G296" s="335" t="s">
        <v>123</v>
      </c>
      <c r="H296" s="336" t="s">
        <v>124</v>
      </c>
      <c r="I296" s="333" t="s">
        <v>79</v>
      </c>
      <c r="J296" s="554" t="s">
        <v>418</v>
      </c>
      <c r="K296" s="558"/>
      <c r="L296" s="97"/>
      <c r="M296" s="97"/>
      <c r="N296" s="235" t="s">
        <v>71</v>
      </c>
      <c r="O296" s="343">
        <v>1</v>
      </c>
      <c r="P296" s="169">
        <f>0</f>
        <v>0</v>
      </c>
      <c r="Q296" s="169">
        <f>0</f>
        <v>0</v>
      </c>
      <c r="R296" s="169">
        <f>0</f>
        <v>0</v>
      </c>
      <c r="S296" s="169">
        <f>0</f>
        <v>0</v>
      </c>
      <c r="T296" s="169">
        <f>0</f>
        <v>0</v>
      </c>
      <c r="U296" s="169">
        <f>0</f>
        <v>0</v>
      </c>
      <c r="V296" s="169">
        <f>0</f>
        <v>0</v>
      </c>
      <c r="W296" s="169">
        <f>0</f>
        <v>0</v>
      </c>
      <c r="X296" s="169">
        <f>0</f>
        <v>0</v>
      </c>
      <c r="Y296" s="169">
        <f>0</f>
        <v>0</v>
      </c>
      <c r="Z296" s="219">
        <f>0</f>
        <v>0</v>
      </c>
      <c r="AA296" s="160">
        <f t="shared" si="12"/>
        <v>1</v>
      </c>
      <c r="AB296" s="162">
        <v>0</v>
      </c>
      <c r="AC296" s="172">
        <f t="shared" si="13"/>
        <v>1</v>
      </c>
      <c r="AD296" s="194">
        <v>44854</v>
      </c>
      <c r="AE296" s="195" t="s">
        <v>239</v>
      </c>
      <c r="AF296" s="97" t="s">
        <v>427</v>
      </c>
      <c r="AG296" s="581" t="s">
        <v>430</v>
      </c>
      <c r="AH296" s="195"/>
      <c r="AI296" s="98"/>
      <c r="AJ296" s="99"/>
      <c r="AK296" s="197">
        <f t="shared" si="14"/>
        <v>1</v>
      </c>
      <c r="AL296" s="98"/>
      <c r="AM296" s="90"/>
      <c r="AN296" s="100"/>
      <c r="AO296" s="198"/>
    </row>
    <row r="297" spans="1:41" s="308" customFormat="1" ht="30.75" hidden="1" customHeight="1" x14ac:dyDescent="0.35">
      <c r="A297" s="252">
        <v>34</v>
      </c>
      <c r="B297" s="253"/>
      <c r="C297" s="327" t="s">
        <v>426</v>
      </c>
      <c r="D297" s="236"/>
      <c r="E297" s="236"/>
      <c r="F297" s="337" t="s">
        <v>125</v>
      </c>
      <c r="G297" s="338" t="s">
        <v>126</v>
      </c>
      <c r="H297" s="230" t="s">
        <v>127</v>
      </c>
      <c r="I297" s="331" t="s">
        <v>79</v>
      </c>
      <c r="J297" s="231" t="s">
        <v>418</v>
      </c>
      <c r="K297" s="558"/>
      <c r="L297" s="97"/>
      <c r="M297" s="97"/>
      <c r="N297" s="235" t="s">
        <v>71</v>
      </c>
      <c r="O297" s="343">
        <v>1</v>
      </c>
      <c r="P297" s="169">
        <f>0</f>
        <v>0</v>
      </c>
      <c r="Q297" s="169">
        <f>0</f>
        <v>0</v>
      </c>
      <c r="R297" s="169">
        <f>0</f>
        <v>0</v>
      </c>
      <c r="S297" s="169">
        <f>0</f>
        <v>0</v>
      </c>
      <c r="T297" s="169">
        <f>0</f>
        <v>0</v>
      </c>
      <c r="U297" s="169">
        <f>0</f>
        <v>0</v>
      </c>
      <c r="V297" s="169">
        <f>0</f>
        <v>0</v>
      </c>
      <c r="W297" s="169">
        <f>0</f>
        <v>0</v>
      </c>
      <c r="X297" s="169">
        <f>0</f>
        <v>0</v>
      </c>
      <c r="Y297" s="169">
        <f>0</f>
        <v>0</v>
      </c>
      <c r="Z297" s="219">
        <f>0</f>
        <v>0</v>
      </c>
      <c r="AA297" s="160">
        <f t="shared" si="12"/>
        <v>1</v>
      </c>
      <c r="AB297" s="162">
        <v>1</v>
      </c>
      <c r="AC297" s="172">
        <f t="shared" si="13"/>
        <v>0</v>
      </c>
      <c r="AD297" s="194">
        <v>44854</v>
      </c>
      <c r="AE297" s="195" t="s">
        <v>239</v>
      </c>
      <c r="AF297" s="148" t="s">
        <v>428</v>
      </c>
      <c r="AG297" s="196"/>
      <c r="AH297" s="195"/>
      <c r="AI297" s="98"/>
      <c r="AJ297" s="99" t="s">
        <v>286</v>
      </c>
      <c r="AK297" s="197" t="e">
        <f t="shared" si="14"/>
        <v>#VALUE!</v>
      </c>
      <c r="AL297" s="98" t="s">
        <v>296</v>
      </c>
      <c r="AM297" s="90"/>
      <c r="AN297" s="100"/>
      <c r="AO297" s="198"/>
    </row>
    <row r="298" spans="1:41" s="308" customFormat="1" ht="30.75" hidden="1" customHeight="1" x14ac:dyDescent="0.35">
      <c r="A298" s="244">
        <v>35</v>
      </c>
      <c r="B298" s="253"/>
      <c r="C298" s="327" t="s">
        <v>426</v>
      </c>
      <c r="D298" s="97"/>
      <c r="E298" s="231"/>
      <c r="F298" s="334" t="s">
        <v>111</v>
      </c>
      <c r="G298" s="335" t="s">
        <v>112</v>
      </c>
      <c r="H298" s="336">
        <v>210800</v>
      </c>
      <c r="I298" s="333" t="s">
        <v>79</v>
      </c>
      <c r="J298" s="554" t="s">
        <v>418</v>
      </c>
      <c r="K298" s="558"/>
      <c r="L298" s="97"/>
      <c r="M298" s="97"/>
      <c r="N298" s="235" t="s">
        <v>71</v>
      </c>
      <c r="O298" s="343">
        <v>1</v>
      </c>
      <c r="P298" s="169">
        <f>0</f>
        <v>0</v>
      </c>
      <c r="Q298" s="169">
        <f>0</f>
        <v>0</v>
      </c>
      <c r="R298" s="169">
        <f>0</f>
        <v>0</v>
      </c>
      <c r="S298" s="169">
        <f>0</f>
        <v>0</v>
      </c>
      <c r="T298" s="169">
        <f>0</f>
        <v>0</v>
      </c>
      <c r="U298" s="169">
        <f>0</f>
        <v>0</v>
      </c>
      <c r="V298" s="169">
        <f>0</f>
        <v>0</v>
      </c>
      <c r="W298" s="169">
        <f>0</f>
        <v>0</v>
      </c>
      <c r="X298" s="169">
        <f>0</f>
        <v>0</v>
      </c>
      <c r="Y298" s="169">
        <f>0</f>
        <v>0</v>
      </c>
      <c r="Z298" s="219">
        <f>0</f>
        <v>0</v>
      </c>
      <c r="AA298" s="160">
        <f t="shared" si="12"/>
        <v>1</v>
      </c>
      <c r="AB298" s="162">
        <v>1</v>
      </c>
      <c r="AC298" s="172">
        <f t="shared" si="13"/>
        <v>0</v>
      </c>
      <c r="AD298" s="194">
        <v>44854</v>
      </c>
      <c r="AE298" s="195" t="s">
        <v>239</v>
      </c>
      <c r="AF298" s="97" t="s">
        <v>428</v>
      </c>
      <c r="AG298" s="196"/>
      <c r="AH298" s="195"/>
      <c r="AI298" s="98"/>
      <c r="AJ298" s="99"/>
      <c r="AK298" s="197">
        <f t="shared" si="14"/>
        <v>0</v>
      </c>
      <c r="AL298" s="98"/>
      <c r="AM298" s="90"/>
      <c r="AN298" s="100"/>
      <c r="AO298" s="198"/>
    </row>
    <row r="299" spans="1:41" s="308" customFormat="1" ht="30.75" hidden="1" customHeight="1" x14ac:dyDescent="0.35">
      <c r="A299" s="252">
        <v>36</v>
      </c>
      <c r="B299" s="253"/>
      <c r="C299" s="327" t="s">
        <v>426</v>
      </c>
      <c r="D299" s="236"/>
      <c r="E299" s="236"/>
      <c r="F299" s="337" t="s">
        <v>122</v>
      </c>
      <c r="G299" s="338" t="s">
        <v>132</v>
      </c>
      <c r="H299" s="230" t="s">
        <v>133</v>
      </c>
      <c r="I299" s="331" t="s">
        <v>79</v>
      </c>
      <c r="J299" s="231" t="s">
        <v>419</v>
      </c>
      <c r="K299" s="558"/>
      <c r="L299" s="97"/>
      <c r="M299" s="97"/>
      <c r="N299" s="235" t="s">
        <v>71</v>
      </c>
      <c r="O299" s="343">
        <v>1</v>
      </c>
      <c r="P299" s="169">
        <f>0</f>
        <v>0</v>
      </c>
      <c r="Q299" s="169">
        <f>0</f>
        <v>0</v>
      </c>
      <c r="R299" s="169">
        <f>0</f>
        <v>0</v>
      </c>
      <c r="S299" s="169">
        <f>0</f>
        <v>0</v>
      </c>
      <c r="T299" s="169">
        <f>0</f>
        <v>0</v>
      </c>
      <c r="U299" s="169">
        <f>0</f>
        <v>0</v>
      </c>
      <c r="V299" s="169">
        <f>0</f>
        <v>0</v>
      </c>
      <c r="W299" s="169">
        <f>0</f>
        <v>0</v>
      </c>
      <c r="X299" s="169">
        <f>0</f>
        <v>0</v>
      </c>
      <c r="Y299" s="169">
        <f>0</f>
        <v>0</v>
      </c>
      <c r="Z299" s="219">
        <f>0</f>
        <v>0</v>
      </c>
      <c r="AA299" s="160">
        <f t="shared" si="12"/>
        <v>1</v>
      </c>
      <c r="AB299" s="162">
        <v>0</v>
      </c>
      <c r="AC299" s="172">
        <f t="shared" si="13"/>
        <v>1</v>
      </c>
      <c r="AD299" s="194">
        <v>44854</v>
      </c>
      <c r="AE299" s="195" t="s">
        <v>239</v>
      </c>
      <c r="AF299" s="97" t="s">
        <v>427</v>
      </c>
      <c r="AG299" s="581" t="s">
        <v>430</v>
      </c>
      <c r="AH299" s="195"/>
      <c r="AI299" s="98"/>
      <c r="AJ299" s="99"/>
      <c r="AK299" s="197">
        <f t="shared" si="14"/>
        <v>1</v>
      </c>
      <c r="AL299" s="98"/>
      <c r="AM299" s="90"/>
      <c r="AN299" s="100"/>
      <c r="AO299" s="198"/>
    </row>
    <row r="300" spans="1:41" s="308" customFormat="1" ht="30.75" hidden="1" customHeight="1" x14ac:dyDescent="0.35">
      <c r="A300" s="244">
        <v>37</v>
      </c>
      <c r="B300" s="253"/>
      <c r="C300" s="327" t="s">
        <v>426</v>
      </c>
      <c r="D300" s="97"/>
      <c r="E300" s="231"/>
      <c r="F300" s="334" t="s">
        <v>125</v>
      </c>
      <c r="G300" s="335" t="s">
        <v>134</v>
      </c>
      <c r="H300" s="336">
        <v>161605</v>
      </c>
      <c r="I300" s="333" t="s">
        <v>79</v>
      </c>
      <c r="J300" s="554" t="s">
        <v>419</v>
      </c>
      <c r="K300" s="558"/>
      <c r="L300" s="97"/>
      <c r="M300" s="97"/>
      <c r="N300" s="235" t="s">
        <v>71</v>
      </c>
      <c r="O300" s="343">
        <v>1</v>
      </c>
      <c r="P300" s="169">
        <f>0</f>
        <v>0</v>
      </c>
      <c r="Q300" s="169">
        <f>0</f>
        <v>0</v>
      </c>
      <c r="R300" s="169">
        <f>0</f>
        <v>0</v>
      </c>
      <c r="S300" s="169">
        <f>0</f>
        <v>0</v>
      </c>
      <c r="T300" s="169">
        <f>0</f>
        <v>0</v>
      </c>
      <c r="U300" s="169">
        <f>0</f>
        <v>0</v>
      </c>
      <c r="V300" s="169">
        <f>0</f>
        <v>0</v>
      </c>
      <c r="W300" s="169">
        <f>0</f>
        <v>0</v>
      </c>
      <c r="X300" s="169">
        <f>0</f>
        <v>0</v>
      </c>
      <c r="Y300" s="169">
        <f>0</f>
        <v>0</v>
      </c>
      <c r="Z300" s="219">
        <f>0</f>
        <v>0</v>
      </c>
      <c r="AA300" s="160">
        <f t="shared" si="12"/>
        <v>1</v>
      </c>
      <c r="AB300" s="162">
        <v>0</v>
      </c>
      <c r="AC300" s="172">
        <f t="shared" si="13"/>
        <v>1</v>
      </c>
      <c r="AD300" s="194">
        <v>44854</v>
      </c>
      <c r="AE300" s="195" t="s">
        <v>239</v>
      </c>
      <c r="AF300" s="97" t="s">
        <v>427</v>
      </c>
      <c r="AG300" s="581" t="s">
        <v>430</v>
      </c>
      <c r="AH300" s="195"/>
      <c r="AI300" s="98"/>
      <c r="AJ300" s="99"/>
      <c r="AK300" s="197">
        <f t="shared" si="14"/>
        <v>1</v>
      </c>
      <c r="AL300" s="98"/>
      <c r="AM300" s="90"/>
      <c r="AN300" s="100"/>
      <c r="AO300" s="198"/>
    </row>
    <row r="301" spans="1:41" s="308" customFormat="1" ht="30.75" hidden="1" customHeight="1" x14ac:dyDescent="0.35">
      <c r="A301" s="252">
        <v>38</v>
      </c>
      <c r="B301" s="253"/>
      <c r="C301" s="327" t="s">
        <v>426</v>
      </c>
      <c r="D301" s="236"/>
      <c r="E301" s="236"/>
      <c r="F301" s="337" t="s">
        <v>111</v>
      </c>
      <c r="G301" s="338" t="s">
        <v>114</v>
      </c>
      <c r="H301" s="230">
        <v>220010</v>
      </c>
      <c r="I301" s="331" t="s">
        <v>79</v>
      </c>
      <c r="J301" s="231" t="s">
        <v>419</v>
      </c>
      <c r="K301" s="558"/>
      <c r="L301" s="97"/>
      <c r="M301" s="97"/>
      <c r="N301" s="235" t="s">
        <v>71</v>
      </c>
      <c r="O301" s="343">
        <v>1</v>
      </c>
      <c r="P301" s="169">
        <f>0</f>
        <v>0</v>
      </c>
      <c r="Q301" s="169">
        <f>0</f>
        <v>0</v>
      </c>
      <c r="R301" s="169">
        <f>0</f>
        <v>0</v>
      </c>
      <c r="S301" s="169">
        <f>0</f>
        <v>0</v>
      </c>
      <c r="T301" s="169">
        <f>0</f>
        <v>0</v>
      </c>
      <c r="U301" s="169">
        <f>0</f>
        <v>0</v>
      </c>
      <c r="V301" s="169">
        <f>0</f>
        <v>0</v>
      </c>
      <c r="W301" s="169">
        <f>0</f>
        <v>0</v>
      </c>
      <c r="X301" s="169">
        <f>0</f>
        <v>0</v>
      </c>
      <c r="Y301" s="169">
        <f>0</f>
        <v>0</v>
      </c>
      <c r="Z301" s="219">
        <f>0</f>
        <v>0</v>
      </c>
      <c r="AA301" s="160">
        <f t="shared" si="12"/>
        <v>1</v>
      </c>
      <c r="AB301" s="162">
        <v>0</v>
      </c>
      <c r="AC301" s="172">
        <f t="shared" si="13"/>
        <v>1</v>
      </c>
      <c r="AD301" s="194">
        <v>44854</v>
      </c>
      <c r="AE301" s="195" t="s">
        <v>239</v>
      </c>
      <c r="AF301" s="97" t="s">
        <v>427</v>
      </c>
      <c r="AG301" s="581" t="s">
        <v>430</v>
      </c>
      <c r="AH301" s="195"/>
      <c r="AI301" s="98"/>
      <c r="AJ301" s="99"/>
      <c r="AK301" s="197">
        <f t="shared" si="14"/>
        <v>1</v>
      </c>
      <c r="AL301" s="98"/>
      <c r="AM301" s="90"/>
      <c r="AN301" s="100"/>
      <c r="AO301" s="198"/>
    </row>
    <row r="302" spans="1:41" s="308" customFormat="1" ht="30.75" hidden="1" customHeight="1" x14ac:dyDescent="0.35">
      <c r="A302" s="244">
        <v>39</v>
      </c>
      <c r="B302" s="253"/>
      <c r="C302" s="327" t="s">
        <v>426</v>
      </c>
      <c r="D302" s="97"/>
      <c r="E302" s="231"/>
      <c r="F302" s="334" t="s">
        <v>116</v>
      </c>
      <c r="G302" s="335" t="s">
        <v>135</v>
      </c>
      <c r="H302" s="336" t="s">
        <v>136</v>
      </c>
      <c r="I302" s="333" t="s">
        <v>79</v>
      </c>
      <c r="J302" s="554" t="s">
        <v>420</v>
      </c>
      <c r="K302" s="558"/>
      <c r="L302" s="97"/>
      <c r="M302" s="97"/>
      <c r="N302" s="235" t="s">
        <v>71</v>
      </c>
      <c r="O302" s="343">
        <v>3</v>
      </c>
      <c r="P302" s="169">
        <f>0</f>
        <v>0</v>
      </c>
      <c r="Q302" s="169">
        <f>0</f>
        <v>0</v>
      </c>
      <c r="R302" s="169">
        <f>0</f>
        <v>0</v>
      </c>
      <c r="S302" s="169">
        <f>0</f>
        <v>0</v>
      </c>
      <c r="T302" s="169">
        <f>0</f>
        <v>0</v>
      </c>
      <c r="U302" s="169">
        <f>0</f>
        <v>0</v>
      </c>
      <c r="V302" s="169">
        <f>0</f>
        <v>0</v>
      </c>
      <c r="W302" s="169">
        <f>0</f>
        <v>0</v>
      </c>
      <c r="X302" s="169">
        <f>0</f>
        <v>0</v>
      </c>
      <c r="Y302" s="169">
        <f>0</f>
        <v>0</v>
      </c>
      <c r="Z302" s="219">
        <f>0</f>
        <v>0</v>
      </c>
      <c r="AA302" s="160">
        <f t="shared" si="12"/>
        <v>3</v>
      </c>
      <c r="AB302" s="162">
        <v>0</v>
      </c>
      <c r="AC302" s="172">
        <f t="shared" si="13"/>
        <v>3</v>
      </c>
      <c r="AD302" s="194">
        <v>44854</v>
      </c>
      <c r="AE302" s="195" t="s">
        <v>239</v>
      </c>
      <c r="AF302" s="97" t="s">
        <v>427</v>
      </c>
      <c r="AG302" s="581" t="s">
        <v>430</v>
      </c>
      <c r="AH302" s="195"/>
      <c r="AI302" s="98"/>
      <c r="AJ302" s="99"/>
      <c r="AK302" s="197">
        <f t="shared" si="14"/>
        <v>3</v>
      </c>
      <c r="AL302" s="98"/>
      <c r="AM302" s="90"/>
      <c r="AN302" s="100"/>
      <c r="AO302" s="198"/>
    </row>
    <row r="303" spans="1:41" s="308" customFormat="1" ht="30.75" hidden="1" customHeight="1" x14ac:dyDescent="0.35">
      <c r="A303" s="252">
        <v>40</v>
      </c>
      <c r="B303" s="253"/>
      <c r="C303" s="327" t="s">
        <v>426</v>
      </c>
      <c r="D303" s="236"/>
      <c r="E303" s="236"/>
      <c r="F303" s="337" t="s">
        <v>119</v>
      </c>
      <c r="G303" s="338" t="s">
        <v>137</v>
      </c>
      <c r="H303" s="230" t="s">
        <v>138</v>
      </c>
      <c r="I303" s="331" t="s">
        <v>79</v>
      </c>
      <c r="J303" s="231" t="s">
        <v>420</v>
      </c>
      <c r="K303" s="558"/>
      <c r="L303" s="97"/>
      <c r="M303" s="97"/>
      <c r="N303" s="235" t="s">
        <v>71</v>
      </c>
      <c r="O303" s="343">
        <v>3</v>
      </c>
      <c r="P303" s="169">
        <f>0</f>
        <v>0</v>
      </c>
      <c r="Q303" s="169">
        <f>0</f>
        <v>0</v>
      </c>
      <c r="R303" s="169">
        <f>0</f>
        <v>0</v>
      </c>
      <c r="S303" s="169">
        <f>0</f>
        <v>0</v>
      </c>
      <c r="T303" s="169">
        <f>0</f>
        <v>0</v>
      </c>
      <c r="U303" s="169">
        <f>0</f>
        <v>0</v>
      </c>
      <c r="V303" s="169">
        <f>0</f>
        <v>0</v>
      </c>
      <c r="W303" s="169">
        <f>0</f>
        <v>0</v>
      </c>
      <c r="X303" s="169">
        <f>0</f>
        <v>0</v>
      </c>
      <c r="Y303" s="169">
        <f>0</f>
        <v>0</v>
      </c>
      <c r="Z303" s="219">
        <f>0</f>
        <v>0</v>
      </c>
      <c r="AA303" s="160">
        <f t="shared" si="12"/>
        <v>3</v>
      </c>
      <c r="AB303" s="162">
        <v>0</v>
      </c>
      <c r="AC303" s="172">
        <f t="shared" si="13"/>
        <v>3</v>
      </c>
      <c r="AD303" s="204">
        <v>44854</v>
      </c>
      <c r="AE303" s="205" t="s">
        <v>239</v>
      </c>
      <c r="AF303" s="189" t="s">
        <v>427</v>
      </c>
      <c r="AG303" s="581" t="s">
        <v>430</v>
      </c>
      <c r="AH303" s="205"/>
      <c r="AI303" s="98"/>
      <c r="AJ303" s="99"/>
      <c r="AK303" s="197">
        <f t="shared" si="14"/>
        <v>3</v>
      </c>
      <c r="AL303" s="98"/>
      <c r="AM303" s="90"/>
      <c r="AN303" s="100"/>
      <c r="AO303" s="198"/>
    </row>
    <row r="304" spans="1:41" s="308" customFormat="1" ht="30.75" hidden="1" customHeight="1" x14ac:dyDescent="0.35">
      <c r="A304" s="244">
        <v>41</v>
      </c>
      <c r="B304" s="253"/>
      <c r="C304" s="327" t="s">
        <v>426</v>
      </c>
      <c r="D304" s="97"/>
      <c r="E304" s="231"/>
      <c r="F304" s="334" t="s">
        <v>109</v>
      </c>
      <c r="G304" s="335" t="s">
        <v>115</v>
      </c>
      <c r="H304" s="336">
        <v>220012</v>
      </c>
      <c r="I304" s="333" t="s">
        <v>79</v>
      </c>
      <c r="J304" s="554" t="s">
        <v>420</v>
      </c>
      <c r="K304" s="558"/>
      <c r="L304" s="97"/>
      <c r="M304" s="97"/>
      <c r="N304" s="235" t="s">
        <v>71</v>
      </c>
      <c r="O304" s="343">
        <v>3</v>
      </c>
      <c r="P304" s="169">
        <f>0</f>
        <v>0</v>
      </c>
      <c r="Q304" s="169">
        <f>0</f>
        <v>0</v>
      </c>
      <c r="R304" s="169">
        <f>0</f>
        <v>0</v>
      </c>
      <c r="S304" s="169">
        <f>0</f>
        <v>0</v>
      </c>
      <c r="T304" s="169">
        <f>0</f>
        <v>0</v>
      </c>
      <c r="U304" s="169">
        <f>0</f>
        <v>0</v>
      </c>
      <c r="V304" s="169">
        <f>0</f>
        <v>0</v>
      </c>
      <c r="W304" s="169">
        <f>0</f>
        <v>0</v>
      </c>
      <c r="X304" s="169">
        <f>0</f>
        <v>0</v>
      </c>
      <c r="Y304" s="169">
        <f>0</f>
        <v>0</v>
      </c>
      <c r="Z304" s="219">
        <f>0</f>
        <v>0</v>
      </c>
      <c r="AA304" s="160">
        <f t="shared" si="12"/>
        <v>3</v>
      </c>
      <c r="AB304" s="162">
        <v>1</v>
      </c>
      <c r="AC304" s="172">
        <f t="shared" si="13"/>
        <v>2</v>
      </c>
      <c r="AD304" s="204">
        <v>44854</v>
      </c>
      <c r="AE304" s="205" t="s">
        <v>239</v>
      </c>
      <c r="AF304" s="189" t="s">
        <v>427</v>
      </c>
      <c r="AG304" s="581" t="s">
        <v>430</v>
      </c>
      <c r="AH304" s="205"/>
      <c r="AI304" s="98"/>
      <c r="AJ304" s="99" t="s">
        <v>297</v>
      </c>
      <c r="AK304" s="197" t="e">
        <f t="shared" si="14"/>
        <v>#VALUE!</v>
      </c>
      <c r="AL304" s="98" t="s">
        <v>296</v>
      </c>
      <c r="AM304" s="90"/>
      <c r="AN304" s="100"/>
      <c r="AO304" s="198"/>
    </row>
    <row r="305" spans="1:41" s="308" customFormat="1" ht="30.75" hidden="1" customHeight="1" x14ac:dyDescent="0.35">
      <c r="A305" s="252">
        <v>42</v>
      </c>
      <c r="B305" s="253"/>
      <c r="C305" s="327" t="s">
        <v>426</v>
      </c>
      <c r="D305" s="236"/>
      <c r="E305" s="236"/>
      <c r="F305" s="337" t="s">
        <v>139</v>
      </c>
      <c r="G305" s="338">
        <v>268039</v>
      </c>
      <c r="H305" s="230">
        <v>268039</v>
      </c>
      <c r="I305" s="331" t="s">
        <v>79</v>
      </c>
      <c r="J305" s="231"/>
      <c r="K305" s="325"/>
      <c r="L305" s="97"/>
      <c r="M305" s="97"/>
      <c r="N305" s="235" t="s">
        <v>71</v>
      </c>
      <c r="O305" s="343">
        <v>2</v>
      </c>
      <c r="P305" s="169">
        <f>0</f>
        <v>0</v>
      </c>
      <c r="Q305" s="169">
        <f>0</f>
        <v>0</v>
      </c>
      <c r="R305" s="169">
        <f>0</f>
        <v>0</v>
      </c>
      <c r="S305" s="169">
        <f>0</f>
        <v>0</v>
      </c>
      <c r="T305" s="169">
        <f>0</f>
        <v>0</v>
      </c>
      <c r="U305" s="169">
        <f>0</f>
        <v>0</v>
      </c>
      <c r="V305" s="169">
        <f>0</f>
        <v>0</v>
      </c>
      <c r="W305" s="169">
        <f>0</f>
        <v>0</v>
      </c>
      <c r="X305" s="169">
        <f>0</f>
        <v>0</v>
      </c>
      <c r="Y305" s="169">
        <f>0</f>
        <v>0</v>
      </c>
      <c r="Z305" s="219">
        <f>0</f>
        <v>0</v>
      </c>
      <c r="AA305" s="160">
        <f t="shared" si="12"/>
        <v>2</v>
      </c>
      <c r="AB305" s="162">
        <v>2</v>
      </c>
      <c r="AC305" s="172">
        <f t="shared" si="13"/>
        <v>0</v>
      </c>
      <c r="AD305" s="194">
        <v>44854</v>
      </c>
      <c r="AE305" s="195" t="s">
        <v>239</v>
      </c>
      <c r="AF305" s="97" t="s">
        <v>428</v>
      </c>
      <c r="AG305" s="196"/>
      <c r="AH305" s="195"/>
      <c r="AI305" s="98"/>
      <c r="AJ305" s="99"/>
      <c r="AK305" s="197">
        <f t="shared" si="14"/>
        <v>0</v>
      </c>
      <c r="AL305" s="98"/>
      <c r="AM305" s="90"/>
      <c r="AN305" s="100"/>
      <c r="AO305" s="198"/>
    </row>
    <row r="306" spans="1:41" s="309" customFormat="1" ht="30.75" hidden="1" customHeight="1" x14ac:dyDescent="0.35">
      <c r="A306" s="244">
        <v>43</v>
      </c>
      <c r="B306" s="253"/>
      <c r="C306" s="327" t="s">
        <v>426</v>
      </c>
      <c r="D306" s="97"/>
      <c r="E306" s="231"/>
      <c r="F306" s="334" t="s">
        <v>140</v>
      </c>
      <c r="G306" s="335" t="s">
        <v>406</v>
      </c>
      <c r="H306" s="336">
        <v>164814</v>
      </c>
      <c r="I306" s="333" t="s">
        <v>79</v>
      </c>
      <c r="J306" s="554"/>
      <c r="K306" s="325"/>
      <c r="L306" s="97"/>
      <c r="M306" s="97"/>
      <c r="N306" s="235" t="s">
        <v>71</v>
      </c>
      <c r="O306" s="343">
        <v>1</v>
      </c>
      <c r="P306" s="169">
        <f>0</f>
        <v>0</v>
      </c>
      <c r="Q306" s="169">
        <f>0</f>
        <v>0</v>
      </c>
      <c r="R306" s="169">
        <f>0</f>
        <v>0</v>
      </c>
      <c r="S306" s="169">
        <f>0</f>
        <v>0</v>
      </c>
      <c r="T306" s="169">
        <f>0</f>
        <v>0</v>
      </c>
      <c r="U306" s="169">
        <f>0</f>
        <v>0</v>
      </c>
      <c r="V306" s="169">
        <f>0</f>
        <v>0</v>
      </c>
      <c r="W306" s="169">
        <f>0</f>
        <v>0</v>
      </c>
      <c r="X306" s="169">
        <f>0</f>
        <v>0</v>
      </c>
      <c r="Y306" s="169">
        <f>0</f>
        <v>0</v>
      </c>
      <c r="Z306" s="219">
        <f>0</f>
        <v>0</v>
      </c>
      <c r="AA306" s="160">
        <f t="shared" si="12"/>
        <v>1</v>
      </c>
      <c r="AB306" s="162">
        <v>1</v>
      </c>
      <c r="AC306" s="172">
        <f t="shared" si="13"/>
        <v>0</v>
      </c>
      <c r="AD306" s="188">
        <v>44854</v>
      </c>
      <c r="AE306" s="205" t="s">
        <v>239</v>
      </c>
      <c r="AF306" s="97" t="s">
        <v>594</v>
      </c>
      <c r="AG306" s="581" t="s">
        <v>430</v>
      </c>
      <c r="AH306" s="195"/>
      <c r="AI306" s="101"/>
      <c r="AJ306" s="99" t="s">
        <v>1465</v>
      </c>
      <c r="AK306" s="197" t="e">
        <f t="shared" si="14"/>
        <v>#VALUE!</v>
      </c>
      <c r="AL306" s="98" t="s">
        <v>1547</v>
      </c>
      <c r="AM306" s="90"/>
      <c r="AN306" s="100"/>
      <c r="AO306" s="198"/>
    </row>
    <row r="307" spans="1:41" s="308" customFormat="1" ht="30.75" hidden="1" customHeight="1" x14ac:dyDescent="0.35">
      <c r="A307" s="252">
        <v>44</v>
      </c>
      <c r="B307" s="253"/>
      <c r="C307" s="327" t="s">
        <v>426</v>
      </c>
      <c r="D307" s="236"/>
      <c r="E307" s="236"/>
      <c r="F307" s="337" t="s">
        <v>141</v>
      </c>
      <c r="G307" s="338" t="s">
        <v>142</v>
      </c>
      <c r="H307" s="230">
        <v>250467</v>
      </c>
      <c r="I307" s="331" t="s">
        <v>79</v>
      </c>
      <c r="J307" s="231"/>
      <c r="K307" s="325"/>
      <c r="L307" s="97"/>
      <c r="M307" s="97"/>
      <c r="N307" s="235" t="s">
        <v>71</v>
      </c>
      <c r="O307" s="343">
        <v>1</v>
      </c>
      <c r="P307" s="169">
        <f>0</f>
        <v>0</v>
      </c>
      <c r="Q307" s="169">
        <f>0</f>
        <v>0</v>
      </c>
      <c r="R307" s="169">
        <f>0</f>
        <v>0</v>
      </c>
      <c r="S307" s="169">
        <f>0</f>
        <v>0</v>
      </c>
      <c r="T307" s="169">
        <f>0</f>
        <v>0</v>
      </c>
      <c r="U307" s="169">
        <f>0</f>
        <v>0</v>
      </c>
      <c r="V307" s="169">
        <f>0</f>
        <v>0</v>
      </c>
      <c r="W307" s="169">
        <f>0</f>
        <v>0</v>
      </c>
      <c r="X307" s="169">
        <f>0</f>
        <v>0</v>
      </c>
      <c r="Y307" s="169">
        <f>0</f>
        <v>0</v>
      </c>
      <c r="Z307" s="219">
        <f>0</f>
        <v>0</v>
      </c>
      <c r="AA307" s="160">
        <f t="shared" si="12"/>
        <v>1</v>
      </c>
      <c r="AB307" s="162">
        <v>0</v>
      </c>
      <c r="AC307" s="172">
        <f t="shared" si="13"/>
        <v>1</v>
      </c>
      <c r="AD307" s="194">
        <v>44854</v>
      </c>
      <c r="AE307" s="195" t="s">
        <v>239</v>
      </c>
      <c r="AF307" s="97" t="s">
        <v>427</v>
      </c>
      <c r="AG307" s="580" t="s">
        <v>431</v>
      </c>
      <c r="AH307" s="195"/>
      <c r="AI307" s="98"/>
      <c r="AJ307" s="99">
        <v>1</v>
      </c>
      <c r="AK307" s="197">
        <f t="shared" si="14"/>
        <v>0</v>
      </c>
      <c r="AL307" s="98" t="s">
        <v>1506</v>
      </c>
      <c r="AM307" s="90"/>
      <c r="AN307" s="100"/>
      <c r="AO307" s="198"/>
    </row>
    <row r="308" spans="1:41" s="308" customFormat="1" ht="30.75" hidden="1" customHeight="1" x14ac:dyDescent="0.35">
      <c r="A308" s="244">
        <v>61</v>
      </c>
      <c r="B308" s="253"/>
      <c r="C308" s="327" t="s">
        <v>426</v>
      </c>
      <c r="D308" s="97"/>
      <c r="E308" s="231"/>
      <c r="F308" s="334" t="s">
        <v>143</v>
      </c>
      <c r="G308" s="335" t="s">
        <v>144</v>
      </c>
      <c r="H308" s="336">
        <v>254396</v>
      </c>
      <c r="I308" s="333" t="s">
        <v>79</v>
      </c>
      <c r="J308" s="554"/>
      <c r="K308" s="325"/>
      <c r="L308" s="97"/>
      <c r="M308" s="97"/>
      <c r="N308" s="235" t="s">
        <v>71</v>
      </c>
      <c r="O308" s="343">
        <v>1</v>
      </c>
      <c r="P308" s="169">
        <f>0</f>
        <v>0</v>
      </c>
      <c r="Q308" s="169">
        <f>0</f>
        <v>0</v>
      </c>
      <c r="R308" s="169">
        <f>0</f>
        <v>0</v>
      </c>
      <c r="S308" s="169">
        <f>0</f>
        <v>0</v>
      </c>
      <c r="T308" s="169">
        <f>0</f>
        <v>0</v>
      </c>
      <c r="U308" s="169">
        <f>0</f>
        <v>0</v>
      </c>
      <c r="V308" s="169">
        <f>0</f>
        <v>0</v>
      </c>
      <c r="W308" s="169">
        <f>0</f>
        <v>0</v>
      </c>
      <c r="X308" s="169">
        <f>0</f>
        <v>0</v>
      </c>
      <c r="Y308" s="169">
        <f>0</f>
        <v>0</v>
      </c>
      <c r="Z308" s="219">
        <f>0</f>
        <v>0</v>
      </c>
      <c r="AA308" s="160">
        <f t="shared" si="12"/>
        <v>1</v>
      </c>
      <c r="AB308" s="162">
        <v>1</v>
      </c>
      <c r="AC308" s="172">
        <f t="shared" si="13"/>
        <v>0</v>
      </c>
      <c r="AD308" s="194">
        <v>44854</v>
      </c>
      <c r="AE308" s="195" t="s">
        <v>239</v>
      </c>
      <c r="AF308" s="97" t="s">
        <v>427</v>
      </c>
      <c r="AG308" s="580" t="s">
        <v>431</v>
      </c>
      <c r="AH308" s="195"/>
      <c r="AI308" s="98"/>
      <c r="AJ308" s="99" t="s">
        <v>303</v>
      </c>
      <c r="AK308" s="197" t="e">
        <f t="shared" si="14"/>
        <v>#VALUE!</v>
      </c>
      <c r="AL308" s="98" t="s">
        <v>1516</v>
      </c>
      <c r="AM308" s="90"/>
      <c r="AN308" s="100"/>
      <c r="AO308" s="198"/>
    </row>
    <row r="309" spans="1:41" s="308" customFormat="1" ht="30.75" hidden="1" customHeight="1" x14ac:dyDescent="0.35">
      <c r="A309" s="252">
        <v>62</v>
      </c>
      <c r="B309" s="253"/>
      <c r="C309" s="327" t="s">
        <v>426</v>
      </c>
      <c r="D309" s="236"/>
      <c r="E309" s="236"/>
      <c r="F309" s="337" t="s">
        <v>421</v>
      </c>
      <c r="G309" s="338" t="s">
        <v>185</v>
      </c>
      <c r="H309" s="230">
        <v>47391</v>
      </c>
      <c r="I309" s="331" t="s">
        <v>79</v>
      </c>
      <c r="J309" s="231"/>
      <c r="K309" s="325"/>
      <c r="L309" s="97"/>
      <c r="M309" s="97"/>
      <c r="N309" s="235" t="s">
        <v>71</v>
      </c>
      <c r="O309" s="343">
        <v>1</v>
      </c>
      <c r="P309" s="169">
        <f>0</f>
        <v>0</v>
      </c>
      <c r="Q309" s="169">
        <f>0</f>
        <v>0</v>
      </c>
      <c r="R309" s="169">
        <f>0</f>
        <v>0</v>
      </c>
      <c r="S309" s="169">
        <f>0</f>
        <v>0</v>
      </c>
      <c r="T309" s="169">
        <f>0</f>
        <v>0</v>
      </c>
      <c r="U309" s="169">
        <f>0</f>
        <v>0</v>
      </c>
      <c r="V309" s="169">
        <f>0</f>
        <v>0</v>
      </c>
      <c r="W309" s="169">
        <f>0</f>
        <v>0</v>
      </c>
      <c r="X309" s="169">
        <f>0</f>
        <v>0</v>
      </c>
      <c r="Y309" s="169">
        <f>0</f>
        <v>0</v>
      </c>
      <c r="Z309" s="219">
        <f>0</f>
        <v>0</v>
      </c>
      <c r="AA309" s="160">
        <f t="shared" si="12"/>
        <v>1</v>
      </c>
      <c r="AB309" s="162">
        <v>0</v>
      </c>
      <c r="AC309" s="172">
        <f t="shared" si="13"/>
        <v>1</v>
      </c>
      <c r="AD309" s="194">
        <v>44854</v>
      </c>
      <c r="AE309" s="195" t="s">
        <v>239</v>
      </c>
      <c r="AF309" s="97" t="s">
        <v>427</v>
      </c>
      <c r="AG309" s="580" t="s">
        <v>431</v>
      </c>
      <c r="AH309" s="195"/>
      <c r="AI309" s="98"/>
      <c r="AJ309" s="99">
        <v>2</v>
      </c>
      <c r="AK309" s="197">
        <f t="shared" si="14"/>
        <v>-1</v>
      </c>
      <c r="AL309" s="98" t="s">
        <v>1506</v>
      </c>
      <c r="AM309" s="90"/>
      <c r="AN309" s="100"/>
      <c r="AO309" s="198"/>
    </row>
    <row r="310" spans="1:41" s="308" customFormat="1" ht="30.75" hidden="1" customHeight="1" x14ac:dyDescent="0.35">
      <c r="A310" s="244">
        <v>72</v>
      </c>
      <c r="B310" s="253"/>
      <c r="C310" s="254" t="s">
        <v>426</v>
      </c>
      <c r="D310" s="189"/>
      <c r="E310" s="229"/>
      <c r="F310" s="255" t="s">
        <v>182</v>
      </c>
      <c r="G310" s="256" t="s">
        <v>183</v>
      </c>
      <c r="H310" s="332" t="s">
        <v>183</v>
      </c>
      <c r="I310" s="333" t="s">
        <v>79</v>
      </c>
      <c r="J310" s="259"/>
      <c r="K310" s="260"/>
      <c r="L310" s="189"/>
      <c r="M310" s="189"/>
      <c r="N310" s="243" t="s">
        <v>71</v>
      </c>
      <c r="O310" s="343">
        <v>1</v>
      </c>
      <c r="P310" s="169">
        <f>0</f>
        <v>0</v>
      </c>
      <c r="Q310" s="169">
        <f>0</f>
        <v>0</v>
      </c>
      <c r="R310" s="169">
        <f>0</f>
        <v>0</v>
      </c>
      <c r="S310" s="169">
        <f>0</f>
        <v>0</v>
      </c>
      <c r="T310" s="169">
        <f>0</f>
        <v>0</v>
      </c>
      <c r="U310" s="169">
        <f>0</f>
        <v>0</v>
      </c>
      <c r="V310" s="169">
        <f>0</f>
        <v>0</v>
      </c>
      <c r="W310" s="169">
        <f>0</f>
        <v>0</v>
      </c>
      <c r="X310" s="169">
        <f>0</f>
        <v>0</v>
      </c>
      <c r="Y310" s="169">
        <f>0</f>
        <v>0</v>
      </c>
      <c r="Z310" s="219">
        <f>0</f>
        <v>0</v>
      </c>
      <c r="AA310" s="161">
        <f t="shared" si="12"/>
        <v>1</v>
      </c>
      <c r="AB310" s="177">
        <v>1</v>
      </c>
      <c r="AC310" s="187">
        <f t="shared" si="13"/>
        <v>0</v>
      </c>
      <c r="AD310" s="204">
        <v>44854</v>
      </c>
      <c r="AE310" s="205" t="s">
        <v>239</v>
      </c>
      <c r="AF310" s="189" t="s">
        <v>428</v>
      </c>
      <c r="AG310" s="206"/>
      <c r="AH310" s="205"/>
      <c r="AI310" s="101"/>
      <c r="AJ310" s="102"/>
      <c r="AK310" s="207">
        <f t="shared" si="14"/>
        <v>0</v>
      </c>
      <c r="AL310" s="101"/>
      <c r="AM310" s="96"/>
      <c r="AN310" s="103"/>
      <c r="AO310" s="208"/>
    </row>
    <row r="311" spans="1:41" s="308" customFormat="1" ht="30.75" hidden="1" customHeight="1" x14ac:dyDescent="0.35">
      <c r="A311" s="252">
        <v>73</v>
      </c>
      <c r="B311" s="253"/>
      <c r="C311" s="254" t="s">
        <v>426</v>
      </c>
      <c r="D311" s="233"/>
      <c r="E311" s="233"/>
      <c r="F311" s="312" t="s">
        <v>141</v>
      </c>
      <c r="G311" s="313" t="s">
        <v>185</v>
      </c>
      <c r="H311" s="326" t="s">
        <v>185</v>
      </c>
      <c r="I311" s="331" t="s">
        <v>79</v>
      </c>
      <c r="J311" s="229"/>
      <c r="K311" s="260"/>
      <c r="L311" s="189"/>
      <c r="M311" s="189"/>
      <c r="N311" s="243" t="s">
        <v>71</v>
      </c>
      <c r="O311" s="343">
        <v>1</v>
      </c>
      <c r="P311" s="169">
        <f>0</f>
        <v>0</v>
      </c>
      <c r="Q311" s="169">
        <f>0</f>
        <v>0</v>
      </c>
      <c r="R311" s="169">
        <f>0</f>
        <v>0</v>
      </c>
      <c r="S311" s="169">
        <f>0</f>
        <v>0</v>
      </c>
      <c r="T311" s="169">
        <f>0</f>
        <v>0</v>
      </c>
      <c r="U311" s="169">
        <f>0</f>
        <v>0</v>
      </c>
      <c r="V311" s="169">
        <f>0</f>
        <v>0</v>
      </c>
      <c r="W311" s="169">
        <f>0</f>
        <v>0</v>
      </c>
      <c r="X311" s="169">
        <f>0</f>
        <v>0</v>
      </c>
      <c r="Y311" s="169">
        <f>0</f>
        <v>0</v>
      </c>
      <c r="Z311" s="219">
        <f>0</f>
        <v>0</v>
      </c>
      <c r="AA311" s="161">
        <f t="shared" si="12"/>
        <v>1</v>
      </c>
      <c r="AB311" s="177">
        <v>0</v>
      </c>
      <c r="AC311" s="187">
        <f t="shared" si="13"/>
        <v>1</v>
      </c>
      <c r="AD311" s="204">
        <v>44854</v>
      </c>
      <c r="AE311" s="205" t="s">
        <v>239</v>
      </c>
      <c r="AF311" s="189" t="s">
        <v>427</v>
      </c>
      <c r="AG311" s="166" t="s">
        <v>431</v>
      </c>
      <c r="AH311" s="205"/>
      <c r="AI311" s="101"/>
      <c r="AJ311" s="102"/>
      <c r="AK311" s="207">
        <f t="shared" si="14"/>
        <v>1</v>
      </c>
      <c r="AL311" s="101"/>
      <c r="AM311" s="96"/>
      <c r="AN311" s="103"/>
      <c r="AO311" s="208"/>
    </row>
    <row r="312" spans="1:41" s="308" customFormat="1" ht="30.75" hidden="1" customHeight="1" x14ac:dyDescent="0.35">
      <c r="A312" s="244">
        <v>74</v>
      </c>
      <c r="B312" s="253"/>
      <c r="C312" s="254" t="s">
        <v>426</v>
      </c>
      <c r="D312" s="189"/>
      <c r="E312" s="229"/>
      <c r="F312" s="255" t="s">
        <v>422</v>
      </c>
      <c r="G312" s="256" t="s">
        <v>407</v>
      </c>
      <c r="H312" s="332">
        <v>313054</v>
      </c>
      <c r="I312" s="333" t="s">
        <v>79</v>
      </c>
      <c r="J312" s="259"/>
      <c r="K312" s="260"/>
      <c r="L312" s="189"/>
      <c r="M312" s="189"/>
      <c r="N312" s="243" t="s">
        <v>71</v>
      </c>
      <c r="O312" s="343">
        <v>1</v>
      </c>
      <c r="P312" s="169">
        <f>0</f>
        <v>0</v>
      </c>
      <c r="Q312" s="169">
        <f>0</f>
        <v>0</v>
      </c>
      <c r="R312" s="169">
        <f>0</f>
        <v>0</v>
      </c>
      <c r="S312" s="169">
        <f>0</f>
        <v>0</v>
      </c>
      <c r="T312" s="169">
        <f>0</f>
        <v>0</v>
      </c>
      <c r="U312" s="169">
        <f>0</f>
        <v>0</v>
      </c>
      <c r="V312" s="169">
        <f>0</f>
        <v>0</v>
      </c>
      <c r="W312" s="169">
        <f>0</f>
        <v>0</v>
      </c>
      <c r="X312" s="169">
        <f>0</f>
        <v>0</v>
      </c>
      <c r="Y312" s="169">
        <f>0</f>
        <v>0</v>
      </c>
      <c r="Z312" s="219">
        <f>0</f>
        <v>0</v>
      </c>
      <c r="AA312" s="161">
        <f t="shared" si="12"/>
        <v>1</v>
      </c>
      <c r="AB312" s="177">
        <v>0</v>
      </c>
      <c r="AC312" s="187">
        <f t="shared" si="13"/>
        <v>1</v>
      </c>
      <c r="AD312" s="204">
        <v>44854</v>
      </c>
      <c r="AE312" s="205" t="s">
        <v>239</v>
      </c>
      <c r="AF312" s="97" t="s">
        <v>427</v>
      </c>
      <c r="AG312" s="165" t="s">
        <v>430</v>
      </c>
      <c r="AH312" s="205"/>
      <c r="AI312" s="101"/>
      <c r="AJ312" s="102">
        <v>1</v>
      </c>
      <c r="AK312" s="207">
        <f t="shared" si="14"/>
        <v>0</v>
      </c>
      <c r="AL312" s="98" t="s">
        <v>1544</v>
      </c>
      <c r="AM312" s="96"/>
      <c r="AN312" s="103"/>
      <c r="AO312" s="208"/>
    </row>
    <row r="313" spans="1:41" s="308" customFormat="1" ht="30.75" hidden="1" customHeight="1" x14ac:dyDescent="0.35">
      <c r="A313" s="252">
        <v>251</v>
      </c>
      <c r="B313" s="253"/>
      <c r="C313" s="254" t="s">
        <v>284</v>
      </c>
      <c r="D313" s="233"/>
      <c r="E313" s="233"/>
      <c r="F313" s="241" t="s">
        <v>298</v>
      </c>
      <c r="G313" s="206" t="s">
        <v>299</v>
      </c>
      <c r="H313" s="329">
        <v>282635</v>
      </c>
      <c r="I313" s="321" t="s">
        <v>184</v>
      </c>
      <c r="J313" s="229"/>
      <c r="K313" s="229"/>
      <c r="L313" s="229"/>
      <c r="M313" s="229"/>
      <c r="N313" s="243"/>
      <c r="O313" s="343">
        <f>0</f>
        <v>0</v>
      </c>
      <c r="P313" s="169">
        <f>0</f>
        <v>0</v>
      </c>
      <c r="Q313" s="169">
        <f>0</f>
        <v>0</v>
      </c>
      <c r="R313" s="169">
        <f>0</f>
        <v>0</v>
      </c>
      <c r="S313" s="169">
        <f>0</f>
        <v>0</v>
      </c>
      <c r="T313" s="169">
        <f>0</f>
        <v>0</v>
      </c>
      <c r="U313" s="169">
        <f>0</f>
        <v>0</v>
      </c>
      <c r="V313" s="169">
        <f>0</f>
        <v>0</v>
      </c>
      <c r="W313" s="169">
        <f>0</f>
        <v>0</v>
      </c>
      <c r="X313" s="169">
        <f>0</f>
        <v>0</v>
      </c>
      <c r="Y313" s="169">
        <f>0</f>
        <v>0</v>
      </c>
      <c r="Z313" s="219">
        <f>0</f>
        <v>0</v>
      </c>
      <c r="AA313" s="161">
        <f t="shared" si="12"/>
        <v>0</v>
      </c>
      <c r="AB313" s="186">
        <v>8</v>
      </c>
      <c r="AC313" s="187">
        <f t="shared" si="13"/>
        <v>-8</v>
      </c>
      <c r="AD313" s="194"/>
      <c r="AE313" s="195"/>
      <c r="AF313" s="148" t="s">
        <v>495</v>
      </c>
      <c r="AG313" s="206"/>
      <c r="AH313" s="205"/>
      <c r="AI313" s="101"/>
      <c r="AJ313" s="102" t="s">
        <v>300</v>
      </c>
      <c r="AK313" s="207" t="e">
        <f t="shared" si="14"/>
        <v>#VALUE!</v>
      </c>
      <c r="AL313" s="101" t="s">
        <v>301</v>
      </c>
      <c r="AM313" s="96"/>
      <c r="AN313" s="103"/>
      <c r="AO313" s="208"/>
    </row>
    <row r="314" spans="1:41" s="308" customFormat="1" ht="30.75" hidden="1" customHeight="1" x14ac:dyDescent="0.35">
      <c r="A314" s="244">
        <v>252</v>
      </c>
      <c r="B314" s="253"/>
      <c r="C314" s="254" t="s">
        <v>426</v>
      </c>
      <c r="D314" s="233"/>
      <c r="E314" s="233"/>
      <c r="F314" s="312" t="s">
        <v>423</v>
      </c>
      <c r="G314" s="313" t="s">
        <v>408</v>
      </c>
      <c r="H314" s="326">
        <v>313095</v>
      </c>
      <c r="I314" s="331" t="s">
        <v>79</v>
      </c>
      <c r="J314" s="229"/>
      <c r="K314" s="229"/>
      <c r="L314" s="229"/>
      <c r="M314" s="229"/>
      <c r="N314" s="243"/>
      <c r="O314" s="343">
        <v>1</v>
      </c>
      <c r="P314" s="169">
        <f>0</f>
        <v>0</v>
      </c>
      <c r="Q314" s="169">
        <f>0</f>
        <v>0</v>
      </c>
      <c r="R314" s="169">
        <f>0</f>
        <v>0</v>
      </c>
      <c r="S314" s="169">
        <f>0</f>
        <v>0</v>
      </c>
      <c r="T314" s="169">
        <f>0</f>
        <v>0</v>
      </c>
      <c r="U314" s="169">
        <f>0</f>
        <v>0</v>
      </c>
      <c r="V314" s="169">
        <f>0</f>
        <v>0</v>
      </c>
      <c r="W314" s="169">
        <f>0</f>
        <v>0</v>
      </c>
      <c r="X314" s="169">
        <f>0</f>
        <v>0</v>
      </c>
      <c r="Y314" s="169">
        <f>0</f>
        <v>0</v>
      </c>
      <c r="Z314" s="219">
        <f>0</f>
        <v>0</v>
      </c>
      <c r="AA314" s="161">
        <f t="shared" si="12"/>
        <v>1</v>
      </c>
      <c r="AB314" s="177">
        <v>0</v>
      </c>
      <c r="AC314" s="187">
        <f t="shared" si="13"/>
        <v>1</v>
      </c>
      <c r="AD314" s="204">
        <v>44854</v>
      </c>
      <c r="AE314" s="205" t="s">
        <v>239</v>
      </c>
      <c r="AF314" s="189" t="s">
        <v>427</v>
      </c>
      <c r="AG314" s="217" t="s">
        <v>430</v>
      </c>
      <c r="AH314" s="205"/>
      <c r="AI314" s="101"/>
      <c r="AJ314" s="102">
        <v>1</v>
      </c>
      <c r="AK314" s="207">
        <f t="shared" si="14"/>
        <v>0</v>
      </c>
      <c r="AL314" s="101" t="s">
        <v>1542</v>
      </c>
      <c r="AM314" s="96"/>
      <c r="AN314" s="103"/>
      <c r="AO314" s="208"/>
    </row>
    <row r="315" spans="1:41" s="308" customFormat="1" ht="30.75" hidden="1" customHeight="1" x14ac:dyDescent="0.35">
      <c r="A315" s="252">
        <v>253</v>
      </c>
      <c r="B315" s="253"/>
      <c r="C315" s="254" t="s">
        <v>426</v>
      </c>
      <c r="D315" s="189"/>
      <c r="E315" s="229"/>
      <c r="F315" s="255" t="s">
        <v>91</v>
      </c>
      <c r="G315" s="256" t="s">
        <v>92</v>
      </c>
      <c r="H315" s="332" t="s">
        <v>93</v>
      </c>
      <c r="I315" s="333" t="s">
        <v>79</v>
      </c>
      <c r="J315" s="229"/>
      <c r="K315" s="229"/>
      <c r="L315" s="229"/>
      <c r="M315" s="229"/>
      <c r="N315" s="243"/>
      <c r="O315" s="343">
        <v>7</v>
      </c>
      <c r="P315" s="169">
        <f>0</f>
        <v>0</v>
      </c>
      <c r="Q315" s="169">
        <f>0</f>
        <v>0</v>
      </c>
      <c r="R315" s="169">
        <f>0</f>
        <v>0</v>
      </c>
      <c r="S315" s="169">
        <f>0</f>
        <v>0</v>
      </c>
      <c r="T315" s="169">
        <f>0</f>
        <v>0</v>
      </c>
      <c r="U315" s="169">
        <f>0</f>
        <v>0</v>
      </c>
      <c r="V315" s="169">
        <f>0</f>
        <v>0</v>
      </c>
      <c r="W315" s="169">
        <f>0</f>
        <v>0</v>
      </c>
      <c r="X315" s="169">
        <f>0</f>
        <v>0</v>
      </c>
      <c r="Y315" s="169">
        <f>0</f>
        <v>0</v>
      </c>
      <c r="Z315" s="219">
        <f>0</f>
        <v>0</v>
      </c>
      <c r="AA315" s="161">
        <f t="shared" si="12"/>
        <v>7</v>
      </c>
      <c r="AB315" s="177">
        <v>8</v>
      </c>
      <c r="AC315" s="187">
        <f t="shared" si="13"/>
        <v>-1</v>
      </c>
      <c r="AD315" s="204">
        <v>44854</v>
      </c>
      <c r="AE315" s="205" t="s">
        <v>239</v>
      </c>
      <c r="AF315" s="189" t="s">
        <v>428</v>
      </c>
      <c r="AG315" s="206"/>
      <c r="AH315" s="205"/>
      <c r="AI315" s="101"/>
      <c r="AJ315" s="102"/>
      <c r="AK315" s="207">
        <f t="shared" si="14"/>
        <v>-1</v>
      </c>
      <c r="AL315" s="101"/>
      <c r="AM315" s="96"/>
      <c r="AN315" s="103"/>
      <c r="AO315" s="208"/>
    </row>
    <row r="316" spans="1:41" s="308" customFormat="1" ht="30.75" hidden="1" customHeight="1" x14ac:dyDescent="0.35">
      <c r="A316" s="244">
        <v>403</v>
      </c>
      <c r="B316" s="253">
        <v>44946</v>
      </c>
      <c r="C316" s="254" t="s">
        <v>456</v>
      </c>
      <c r="D316" s="236"/>
      <c r="E316" s="236"/>
      <c r="F316" s="185" t="s">
        <v>995</v>
      </c>
      <c r="G316" s="97" t="s">
        <v>1088</v>
      </c>
      <c r="H316" s="97" t="s">
        <v>1088</v>
      </c>
      <c r="I316" s="148" t="s">
        <v>1190</v>
      </c>
      <c r="J316" s="97"/>
      <c r="K316" s="97"/>
      <c r="L316" s="97"/>
      <c r="M316" s="97"/>
      <c r="N316" s="243"/>
      <c r="O316" s="343">
        <v>1</v>
      </c>
      <c r="P316" s="169">
        <v>0</v>
      </c>
      <c r="Q316" s="169">
        <v>0</v>
      </c>
      <c r="R316" s="169">
        <v>0</v>
      </c>
      <c r="S316" s="169">
        <v>0</v>
      </c>
      <c r="T316" s="169">
        <v>0</v>
      </c>
      <c r="U316" s="169">
        <v>0</v>
      </c>
      <c r="V316" s="169">
        <v>0</v>
      </c>
      <c r="W316" s="169">
        <v>0</v>
      </c>
      <c r="X316" s="169">
        <v>0</v>
      </c>
      <c r="Y316" s="169">
        <f>0</f>
        <v>0</v>
      </c>
      <c r="Z316" s="219">
        <f>0</f>
        <v>0</v>
      </c>
      <c r="AA316" s="160">
        <f t="shared" si="12"/>
        <v>1</v>
      </c>
      <c r="AB316" s="141">
        <v>1</v>
      </c>
      <c r="AC316" s="172">
        <f t="shared" si="13"/>
        <v>0</v>
      </c>
      <c r="AD316" s="194"/>
      <c r="AE316" s="195" t="s">
        <v>531</v>
      </c>
      <c r="AF316" s="97" t="s">
        <v>1197</v>
      </c>
      <c r="AG316" s="196"/>
      <c r="AH316" s="195"/>
      <c r="AI316" s="98"/>
      <c r="AJ316" s="99" t="s">
        <v>501</v>
      </c>
      <c r="AK316" s="197" t="e">
        <f t="shared" si="14"/>
        <v>#VALUE!</v>
      </c>
      <c r="AL316" s="98" t="s">
        <v>959</v>
      </c>
      <c r="AM316" s="90"/>
      <c r="AN316" s="100"/>
      <c r="AO316" s="198"/>
    </row>
    <row r="317" spans="1:41" s="308" customFormat="1" ht="30.75" hidden="1" customHeight="1" x14ac:dyDescent="0.35">
      <c r="A317" s="252">
        <v>404</v>
      </c>
      <c r="B317" s="253">
        <v>44946</v>
      </c>
      <c r="C317" s="254" t="s">
        <v>456</v>
      </c>
      <c r="D317" s="233"/>
      <c r="E317" s="233"/>
      <c r="F317" s="241" t="s">
        <v>996</v>
      </c>
      <c r="G317" s="189" t="s">
        <v>1089</v>
      </c>
      <c r="H317" s="189" t="s">
        <v>1089</v>
      </c>
      <c r="I317" s="148" t="s">
        <v>1190</v>
      </c>
      <c r="J317" s="189"/>
      <c r="K317" s="189"/>
      <c r="L317" s="189"/>
      <c r="M317" s="189"/>
      <c r="N317" s="243"/>
      <c r="O317" s="343">
        <v>1</v>
      </c>
      <c r="P317" s="169">
        <v>0</v>
      </c>
      <c r="Q317" s="169">
        <v>0</v>
      </c>
      <c r="R317" s="169">
        <v>0</v>
      </c>
      <c r="S317" s="169">
        <v>0</v>
      </c>
      <c r="T317" s="169">
        <v>0</v>
      </c>
      <c r="U317" s="169">
        <v>0</v>
      </c>
      <c r="V317" s="169">
        <v>0</v>
      </c>
      <c r="W317" s="169">
        <v>0</v>
      </c>
      <c r="X317" s="169">
        <v>0</v>
      </c>
      <c r="Y317" s="169">
        <f>0</f>
        <v>0</v>
      </c>
      <c r="Z317" s="219">
        <f>0</f>
        <v>0</v>
      </c>
      <c r="AA317" s="161">
        <f t="shared" si="12"/>
        <v>1</v>
      </c>
      <c r="AB317" s="186">
        <v>1</v>
      </c>
      <c r="AC317" s="187">
        <f t="shared" si="13"/>
        <v>0</v>
      </c>
      <c r="AD317" s="204"/>
      <c r="AE317" s="195" t="s">
        <v>531</v>
      </c>
      <c r="AF317" s="189" t="s">
        <v>1197</v>
      </c>
      <c r="AG317" s="206"/>
      <c r="AH317" s="205"/>
      <c r="AI317" s="101"/>
      <c r="AJ317" s="99" t="s">
        <v>501</v>
      </c>
      <c r="AK317" s="207" t="e">
        <f t="shared" si="14"/>
        <v>#VALUE!</v>
      </c>
      <c r="AL317" s="101" t="s">
        <v>959</v>
      </c>
      <c r="AM317" s="96"/>
      <c r="AN317" s="103"/>
      <c r="AO317" s="208"/>
    </row>
    <row r="318" spans="1:41" s="308" customFormat="1" ht="30.75" hidden="1" customHeight="1" x14ac:dyDescent="0.35">
      <c r="A318" s="244">
        <v>540</v>
      </c>
      <c r="B318" s="498">
        <v>45000</v>
      </c>
      <c r="C318" s="254" t="s">
        <v>456</v>
      </c>
      <c r="D318" s="233"/>
      <c r="E318" s="233"/>
      <c r="F318" s="241" t="s">
        <v>1526</v>
      </c>
      <c r="G318" s="206" t="s">
        <v>1527</v>
      </c>
      <c r="H318" s="329">
        <v>280232</v>
      </c>
      <c r="I318" s="321" t="s">
        <v>1190</v>
      </c>
      <c r="J318" s="189"/>
      <c r="K318" s="189"/>
      <c r="L318" s="189"/>
      <c r="M318" s="189"/>
      <c r="N318" s="243"/>
      <c r="O318" s="417">
        <v>0</v>
      </c>
      <c r="P318" s="90">
        <v>0</v>
      </c>
      <c r="Q318" s="90">
        <v>0</v>
      </c>
      <c r="R318" s="90">
        <v>0</v>
      </c>
      <c r="S318" s="90">
        <v>0</v>
      </c>
      <c r="T318" s="90">
        <v>0</v>
      </c>
      <c r="U318" s="90">
        <v>0</v>
      </c>
      <c r="V318" s="90">
        <v>0</v>
      </c>
      <c r="W318" s="90">
        <v>0</v>
      </c>
      <c r="X318" s="90">
        <v>0</v>
      </c>
      <c r="Y318" s="90">
        <v>0</v>
      </c>
      <c r="Z318" s="418">
        <v>0</v>
      </c>
      <c r="AA318" s="150">
        <v>1</v>
      </c>
      <c r="AB318" s="570"/>
      <c r="AC318" s="576">
        <f t="shared" si="13"/>
        <v>1</v>
      </c>
      <c r="AD318" s="204">
        <v>45001</v>
      </c>
      <c r="AE318" s="205" t="s">
        <v>284</v>
      </c>
      <c r="AF318" s="189" t="s">
        <v>1541</v>
      </c>
      <c r="AG318" s="206"/>
      <c r="AH318" s="205"/>
      <c r="AI318" s="101" t="s">
        <v>1528</v>
      </c>
      <c r="AJ318" s="468">
        <v>1</v>
      </c>
      <c r="AK318" s="207">
        <f t="shared" si="14"/>
        <v>0</v>
      </c>
      <c r="AL318" s="101" t="s">
        <v>1548</v>
      </c>
      <c r="AM318" s="590"/>
      <c r="AN318" s="591"/>
      <c r="AO318" s="208"/>
    </row>
    <row r="319" spans="1:41" s="308" customFormat="1" ht="30.75" hidden="1" customHeight="1" x14ac:dyDescent="0.35">
      <c r="A319" s="252">
        <v>541</v>
      </c>
      <c r="B319" s="498">
        <v>45000</v>
      </c>
      <c r="C319" s="254" t="s">
        <v>456</v>
      </c>
      <c r="D319" s="233"/>
      <c r="E319" s="233"/>
      <c r="F319" s="241" t="s">
        <v>1529</v>
      </c>
      <c r="G319" s="206" t="s">
        <v>1530</v>
      </c>
      <c r="H319" s="329">
        <v>279569</v>
      </c>
      <c r="I319" s="321" t="s">
        <v>1190</v>
      </c>
      <c r="J319" s="189"/>
      <c r="K319" s="189"/>
      <c r="L319" s="189"/>
      <c r="M319" s="189"/>
      <c r="N319" s="243"/>
      <c r="O319" s="417">
        <v>0</v>
      </c>
      <c r="P319" s="90">
        <v>0</v>
      </c>
      <c r="Q319" s="90">
        <v>0</v>
      </c>
      <c r="R319" s="90">
        <v>0</v>
      </c>
      <c r="S319" s="90">
        <v>0</v>
      </c>
      <c r="T319" s="90">
        <v>0</v>
      </c>
      <c r="U319" s="90">
        <v>0</v>
      </c>
      <c r="V319" s="90">
        <v>0</v>
      </c>
      <c r="W319" s="90">
        <v>0</v>
      </c>
      <c r="X319" s="90">
        <v>0</v>
      </c>
      <c r="Y319" s="90">
        <v>0</v>
      </c>
      <c r="Z319" s="418">
        <v>0</v>
      </c>
      <c r="AA319" s="150">
        <v>1</v>
      </c>
      <c r="AB319" s="570"/>
      <c r="AC319" s="576">
        <f t="shared" si="13"/>
        <v>1</v>
      </c>
      <c r="AD319" s="194">
        <v>45001</v>
      </c>
      <c r="AE319" s="195" t="s">
        <v>284</v>
      </c>
      <c r="AF319" s="148" t="s">
        <v>1541</v>
      </c>
      <c r="AG319" s="206"/>
      <c r="AH319" s="205"/>
      <c r="AI319" s="101" t="s">
        <v>1528</v>
      </c>
      <c r="AJ319" s="585">
        <v>1</v>
      </c>
      <c r="AK319" s="207">
        <f t="shared" si="14"/>
        <v>0</v>
      </c>
      <c r="AL319" s="101" t="s">
        <v>1551</v>
      </c>
      <c r="AM319" s="590"/>
      <c r="AN319" s="591"/>
      <c r="AO319" s="208"/>
    </row>
    <row r="320" spans="1:41" s="308" customFormat="1" ht="30.75" hidden="1" customHeight="1" x14ac:dyDescent="0.35">
      <c r="A320" s="244">
        <v>542</v>
      </c>
      <c r="B320" s="498">
        <v>45000</v>
      </c>
      <c r="C320" s="254" t="s">
        <v>456</v>
      </c>
      <c r="D320" s="233"/>
      <c r="E320" s="233"/>
      <c r="F320" s="241" t="s">
        <v>1531</v>
      </c>
      <c r="G320" s="206" t="s">
        <v>1533</v>
      </c>
      <c r="H320" s="329">
        <v>269280</v>
      </c>
      <c r="I320" s="321" t="s">
        <v>1190</v>
      </c>
      <c r="J320" s="189"/>
      <c r="K320" s="189"/>
      <c r="L320" s="189"/>
      <c r="M320" s="189"/>
      <c r="N320" s="243"/>
      <c r="O320" s="417">
        <v>0</v>
      </c>
      <c r="P320" s="90">
        <v>0</v>
      </c>
      <c r="Q320" s="90">
        <v>0</v>
      </c>
      <c r="R320" s="90">
        <v>0</v>
      </c>
      <c r="S320" s="90">
        <v>0</v>
      </c>
      <c r="T320" s="90">
        <v>0</v>
      </c>
      <c r="U320" s="90">
        <v>0</v>
      </c>
      <c r="V320" s="90">
        <v>0</v>
      </c>
      <c r="W320" s="90">
        <v>0</v>
      </c>
      <c r="X320" s="90">
        <v>0</v>
      </c>
      <c r="Y320" s="90">
        <v>0</v>
      </c>
      <c r="Z320" s="418">
        <v>0</v>
      </c>
      <c r="AA320" s="150">
        <v>5</v>
      </c>
      <c r="AB320" s="570">
        <v>4</v>
      </c>
      <c r="AC320" s="576">
        <f t="shared" si="13"/>
        <v>1</v>
      </c>
      <c r="AD320" s="204">
        <v>45001</v>
      </c>
      <c r="AE320" s="205" t="s">
        <v>284</v>
      </c>
      <c r="AF320" s="189" t="s">
        <v>1541</v>
      </c>
      <c r="AG320" s="206"/>
      <c r="AH320" s="205"/>
      <c r="AI320" s="101" t="s">
        <v>1528</v>
      </c>
      <c r="AJ320" s="102" t="s">
        <v>1552</v>
      </c>
      <c r="AK320" s="207" t="e">
        <f t="shared" si="14"/>
        <v>#VALUE!</v>
      </c>
      <c r="AL320" s="101" t="s">
        <v>1553</v>
      </c>
      <c r="AM320" s="590"/>
      <c r="AN320" s="591"/>
      <c r="AO320" s="208"/>
    </row>
    <row r="321" spans="1:41" s="308" customFormat="1" ht="30.75" hidden="1" customHeight="1" x14ac:dyDescent="0.35">
      <c r="A321" s="252">
        <v>543</v>
      </c>
      <c r="B321" s="498">
        <v>45000</v>
      </c>
      <c r="C321" s="254" t="s">
        <v>456</v>
      </c>
      <c r="D321" s="236"/>
      <c r="E321" s="400"/>
      <c r="F321" s="185" t="s">
        <v>1532</v>
      </c>
      <c r="G321" s="196" t="s">
        <v>1534</v>
      </c>
      <c r="H321" s="328">
        <v>269283</v>
      </c>
      <c r="I321" s="321" t="s">
        <v>1190</v>
      </c>
      <c r="J321" s="97"/>
      <c r="K321" s="97"/>
      <c r="L321" s="97"/>
      <c r="M321" s="97"/>
      <c r="N321" s="243"/>
      <c r="O321" s="417">
        <v>0</v>
      </c>
      <c r="P321" s="90">
        <v>0</v>
      </c>
      <c r="Q321" s="90">
        <v>0</v>
      </c>
      <c r="R321" s="90">
        <v>0</v>
      </c>
      <c r="S321" s="90">
        <v>0</v>
      </c>
      <c r="T321" s="90">
        <v>0</v>
      </c>
      <c r="U321" s="90">
        <v>0</v>
      </c>
      <c r="V321" s="90">
        <v>0</v>
      </c>
      <c r="W321" s="90">
        <v>0</v>
      </c>
      <c r="X321" s="90">
        <v>0</v>
      </c>
      <c r="Y321" s="90">
        <v>0</v>
      </c>
      <c r="Z321" s="418">
        <v>0</v>
      </c>
      <c r="AA321" s="192">
        <v>2</v>
      </c>
      <c r="AB321" s="465"/>
      <c r="AC321" s="466">
        <f t="shared" si="13"/>
        <v>2</v>
      </c>
      <c r="AD321" s="194">
        <v>45001</v>
      </c>
      <c r="AE321" s="195" t="s">
        <v>284</v>
      </c>
      <c r="AF321" s="148" t="s">
        <v>1541</v>
      </c>
      <c r="AG321" s="402"/>
      <c r="AH321" s="411"/>
      <c r="AI321" s="98" t="s">
        <v>1528</v>
      </c>
      <c r="AJ321" s="468">
        <v>2</v>
      </c>
      <c r="AK321" s="197">
        <f t="shared" si="14"/>
        <v>0</v>
      </c>
      <c r="AL321" s="98" t="s">
        <v>1572</v>
      </c>
      <c r="AM321" s="469"/>
      <c r="AN321" s="470"/>
      <c r="AO321" s="198"/>
    </row>
    <row r="322" spans="1:41" s="308" customFormat="1" ht="30.75" hidden="1" customHeight="1" x14ac:dyDescent="0.35">
      <c r="A322" s="244">
        <v>544</v>
      </c>
      <c r="B322" s="498">
        <v>45000</v>
      </c>
      <c r="C322" s="254" t="s">
        <v>456</v>
      </c>
      <c r="D322" s="236"/>
      <c r="E322" s="236"/>
      <c r="F322" s="185" t="s">
        <v>1537</v>
      </c>
      <c r="G322" s="196" t="s">
        <v>1535</v>
      </c>
      <c r="H322" s="328">
        <v>263086</v>
      </c>
      <c r="I322" s="321" t="s">
        <v>1190</v>
      </c>
      <c r="J322" s="97"/>
      <c r="K322" s="97"/>
      <c r="L322" s="97"/>
      <c r="M322" s="97"/>
      <c r="N322" s="243"/>
      <c r="O322" s="417">
        <v>0</v>
      </c>
      <c r="P322" s="90">
        <v>0</v>
      </c>
      <c r="Q322" s="90">
        <v>0</v>
      </c>
      <c r="R322" s="90">
        <v>0</v>
      </c>
      <c r="S322" s="90">
        <v>0</v>
      </c>
      <c r="T322" s="90">
        <v>0</v>
      </c>
      <c r="U322" s="90">
        <v>0</v>
      </c>
      <c r="V322" s="90">
        <v>0</v>
      </c>
      <c r="W322" s="90">
        <v>0</v>
      </c>
      <c r="X322" s="90">
        <v>0</v>
      </c>
      <c r="Y322" s="90">
        <v>0</v>
      </c>
      <c r="Z322" s="418">
        <v>0</v>
      </c>
      <c r="AA322" s="192">
        <v>6</v>
      </c>
      <c r="AB322" s="465"/>
      <c r="AC322" s="466">
        <f t="shared" si="13"/>
        <v>6</v>
      </c>
      <c r="AD322" s="194">
        <v>45001</v>
      </c>
      <c r="AE322" s="195" t="s">
        <v>284</v>
      </c>
      <c r="AF322" s="148" t="s">
        <v>1541</v>
      </c>
      <c r="AG322" s="196"/>
      <c r="AH322" s="195"/>
      <c r="AI322" s="98" t="s">
        <v>1528</v>
      </c>
      <c r="AJ322" s="468">
        <v>6</v>
      </c>
      <c r="AK322" s="197">
        <f t="shared" si="14"/>
        <v>0</v>
      </c>
      <c r="AL322" s="98" t="s">
        <v>1548</v>
      </c>
      <c r="AM322" s="469"/>
      <c r="AN322" s="470"/>
      <c r="AO322" s="198"/>
    </row>
    <row r="323" spans="1:41" s="308" customFormat="1" ht="30.75" hidden="1" customHeight="1" x14ac:dyDescent="0.35">
      <c r="A323" s="252">
        <v>545</v>
      </c>
      <c r="B323" s="498">
        <v>45000</v>
      </c>
      <c r="C323" s="254" t="s">
        <v>456</v>
      </c>
      <c r="D323" s="236"/>
      <c r="E323" s="236"/>
      <c r="F323" s="185" t="s">
        <v>1537</v>
      </c>
      <c r="G323" s="196" t="s">
        <v>1536</v>
      </c>
      <c r="H323" s="328">
        <v>263090</v>
      </c>
      <c r="I323" s="321" t="s">
        <v>1190</v>
      </c>
      <c r="J323" s="97"/>
      <c r="K323" s="97"/>
      <c r="L323" s="97"/>
      <c r="M323" s="97"/>
      <c r="N323" s="243"/>
      <c r="O323" s="417">
        <v>0</v>
      </c>
      <c r="P323" s="90">
        <v>0</v>
      </c>
      <c r="Q323" s="90">
        <v>0</v>
      </c>
      <c r="R323" s="90">
        <v>0</v>
      </c>
      <c r="S323" s="90">
        <v>0</v>
      </c>
      <c r="T323" s="90">
        <v>0</v>
      </c>
      <c r="U323" s="90">
        <v>0</v>
      </c>
      <c r="V323" s="90">
        <v>0</v>
      </c>
      <c r="W323" s="90">
        <v>0</v>
      </c>
      <c r="X323" s="90">
        <v>0</v>
      </c>
      <c r="Y323" s="90">
        <v>0</v>
      </c>
      <c r="Z323" s="418">
        <v>0</v>
      </c>
      <c r="AA323" s="192">
        <v>1</v>
      </c>
      <c r="AB323" s="465"/>
      <c r="AC323" s="466">
        <f t="shared" si="13"/>
        <v>1</v>
      </c>
      <c r="AD323" s="194">
        <v>45001</v>
      </c>
      <c r="AE323" s="195" t="s">
        <v>284</v>
      </c>
      <c r="AF323" s="148" t="s">
        <v>1541</v>
      </c>
      <c r="AG323" s="196"/>
      <c r="AH323" s="195"/>
      <c r="AI323" s="98" t="s">
        <v>1528</v>
      </c>
      <c r="AJ323" s="468">
        <v>1</v>
      </c>
      <c r="AK323" s="197">
        <f t="shared" si="14"/>
        <v>0</v>
      </c>
      <c r="AL323" s="98" t="s">
        <v>1548</v>
      </c>
      <c r="AM323" s="469"/>
      <c r="AN323" s="470"/>
      <c r="AO323" s="198"/>
    </row>
    <row r="324" spans="1:41" s="308" customFormat="1" ht="30.75" hidden="1" customHeight="1" x14ac:dyDescent="0.35">
      <c r="A324" s="244">
        <v>193</v>
      </c>
      <c r="B324" s="253" t="s">
        <v>616</v>
      </c>
      <c r="C324" s="254" t="s">
        <v>617</v>
      </c>
      <c r="D324" s="305" t="s">
        <v>642</v>
      </c>
      <c r="E324" s="233">
        <v>0</v>
      </c>
      <c r="F324" s="241" t="s">
        <v>1397</v>
      </c>
      <c r="G324" s="206" t="s">
        <v>1398</v>
      </c>
      <c r="H324" s="329" t="s">
        <v>1399</v>
      </c>
      <c r="I324" s="321" t="s">
        <v>1400</v>
      </c>
      <c r="J324" s="189"/>
      <c r="K324" s="189" t="s">
        <v>252</v>
      </c>
      <c r="L324" s="189" t="s">
        <v>252</v>
      </c>
      <c r="M324" s="189"/>
      <c r="N324" s="314" t="s">
        <v>643</v>
      </c>
      <c r="O324" s="343">
        <f>0</f>
        <v>0</v>
      </c>
      <c r="P324" s="169">
        <f>0</f>
        <v>0</v>
      </c>
      <c r="Q324" s="169">
        <f>0</f>
        <v>0</v>
      </c>
      <c r="R324" s="169">
        <f>0</f>
        <v>0</v>
      </c>
      <c r="S324" s="169">
        <f>0</f>
        <v>0</v>
      </c>
      <c r="T324" s="169">
        <f>0</f>
        <v>0</v>
      </c>
      <c r="U324" s="169">
        <f>0</f>
        <v>0</v>
      </c>
      <c r="V324" s="169">
        <f>0</f>
        <v>0</v>
      </c>
      <c r="W324" s="169">
        <v>1</v>
      </c>
      <c r="X324" s="169">
        <f>0</f>
        <v>0</v>
      </c>
      <c r="Y324" s="169">
        <f>0</f>
        <v>0</v>
      </c>
      <c r="Z324" s="219">
        <f>0</f>
        <v>0</v>
      </c>
      <c r="AA324" s="150">
        <f t="shared" ref="AA324:AA387" si="15">SUM(O324:Z324)</f>
        <v>1</v>
      </c>
      <c r="AB324" s="178"/>
      <c r="AC324" s="179">
        <f t="shared" si="13"/>
        <v>1</v>
      </c>
      <c r="AD324" s="204">
        <v>44939</v>
      </c>
      <c r="AE324" s="205" t="s">
        <v>284</v>
      </c>
      <c r="AF324" s="148" t="s">
        <v>749</v>
      </c>
      <c r="AG324" s="206"/>
      <c r="AH324" s="205" t="s">
        <v>750</v>
      </c>
      <c r="AI324" s="101"/>
      <c r="AJ324" s="102">
        <v>1</v>
      </c>
      <c r="AK324" s="207">
        <f t="shared" si="14"/>
        <v>0</v>
      </c>
      <c r="AL324" s="101" t="s">
        <v>1506</v>
      </c>
      <c r="AM324" s="96"/>
      <c r="AN324" s="103"/>
      <c r="AO324" s="208"/>
    </row>
    <row r="325" spans="1:41" s="308" customFormat="1" ht="30.75" hidden="1" customHeight="1" x14ac:dyDescent="0.35">
      <c r="A325" s="252">
        <v>75</v>
      </c>
      <c r="B325" s="253"/>
      <c r="C325" s="254" t="s">
        <v>237</v>
      </c>
      <c r="D325" s="233"/>
      <c r="E325" s="295"/>
      <c r="F325" s="241" t="s">
        <v>221</v>
      </c>
      <c r="G325" s="206" t="s">
        <v>222</v>
      </c>
      <c r="H325" s="329" t="s">
        <v>222</v>
      </c>
      <c r="I325" s="251" t="s">
        <v>223</v>
      </c>
      <c r="J325" s="189"/>
      <c r="K325" s="189"/>
      <c r="L325" s="189"/>
      <c r="M325" s="243"/>
      <c r="N325" s="235" t="s">
        <v>71</v>
      </c>
      <c r="O325" s="417">
        <v>1</v>
      </c>
      <c r="P325" s="90">
        <f>0</f>
        <v>0</v>
      </c>
      <c r="Q325" s="90">
        <f>0</f>
        <v>0</v>
      </c>
      <c r="R325" s="90">
        <f>0</f>
        <v>0</v>
      </c>
      <c r="S325" s="90">
        <f>0</f>
        <v>0</v>
      </c>
      <c r="T325" s="90">
        <f>0</f>
        <v>0</v>
      </c>
      <c r="U325" s="90">
        <f>0</f>
        <v>0</v>
      </c>
      <c r="V325" s="90">
        <f>0</f>
        <v>0</v>
      </c>
      <c r="W325" s="90">
        <f>0</f>
        <v>0</v>
      </c>
      <c r="X325" s="90">
        <f>0</f>
        <v>0</v>
      </c>
      <c r="Y325" s="90">
        <f>0</f>
        <v>0</v>
      </c>
      <c r="Z325" s="418">
        <f>0</f>
        <v>0</v>
      </c>
      <c r="AA325" s="150">
        <f t="shared" si="15"/>
        <v>1</v>
      </c>
      <c r="AB325" s="178">
        <f>0</f>
        <v>0</v>
      </c>
      <c r="AC325" s="179">
        <f t="shared" si="13"/>
        <v>1</v>
      </c>
      <c r="AD325" s="188"/>
      <c r="AE325" s="205"/>
      <c r="AF325" s="189"/>
      <c r="AG325" s="206" t="s">
        <v>477</v>
      </c>
      <c r="AH325" s="205"/>
      <c r="AI325" s="101" t="s">
        <v>1448</v>
      </c>
      <c r="AJ325" s="102">
        <v>1</v>
      </c>
      <c r="AK325" s="207">
        <f t="shared" si="14"/>
        <v>0</v>
      </c>
      <c r="AL325" s="101" t="s">
        <v>1603</v>
      </c>
      <c r="AM325" s="96"/>
      <c r="AN325" s="103"/>
      <c r="AO325" s="208"/>
    </row>
    <row r="326" spans="1:41" s="308" customFormat="1" ht="30.75" hidden="1" customHeight="1" x14ac:dyDescent="0.35">
      <c r="A326" s="244">
        <v>46</v>
      </c>
      <c r="B326" s="253"/>
      <c r="C326" s="254" t="s">
        <v>237</v>
      </c>
      <c r="D326" s="189"/>
      <c r="E326" s="229"/>
      <c r="F326" s="255" t="s">
        <v>149</v>
      </c>
      <c r="G326" s="256">
        <v>59401</v>
      </c>
      <c r="H326" s="332">
        <v>59401</v>
      </c>
      <c r="I326" s="540" t="s">
        <v>163</v>
      </c>
      <c r="J326" s="259" t="s">
        <v>150</v>
      </c>
      <c r="K326" s="260"/>
      <c r="L326" s="189"/>
      <c r="M326" s="243"/>
      <c r="N326" s="235" t="s">
        <v>71</v>
      </c>
      <c r="O326" s="343">
        <v>15</v>
      </c>
      <c r="P326" s="169">
        <f>0</f>
        <v>0</v>
      </c>
      <c r="Q326" s="169">
        <f>0</f>
        <v>0</v>
      </c>
      <c r="R326" s="169">
        <f>0</f>
        <v>0</v>
      </c>
      <c r="S326" s="169">
        <f>0</f>
        <v>0</v>
      </c>
      <c r="T326" s="169">
        <f>0</f>
        <v>0</v>
      </c>
      <c r="U326" s="169">
        <f>0</f>
        <v>0</v>
      </c>
      <c r="V326" s="169">
        <f>0</f>
        <v>0</v>
      </c>
      <c r="W326" s="169">
        <f>0</f>
        <v>0</v>
      </c>
      <c r="X326" s="169">
        <f>0</f>
        <v>0</v>
      </c>
      <c r="Y326" s="169">
        <f>0</f>
        <v>0</v>
      </c>
      <c r="Z326" s="219">
        <f>0</f>
        <v>0</v>
      </c>
      <c r="AA326" s="161">
        <f t="shared" si="15"/>
        <v>15</v>
      </c>
      <c r="AB326" s="186">
        <v>17</v>
      </c>
      <c r="AC326" s="187">
        <f t="shared" si="13"/>
        <v>-2</v>
      </c>
      <c r="AD326" s="204">
        <v>44694</v>
      </c>
      <c r="AE326" s="205" t="s">
        <v>239</v>
      </c>
      <c r="AF326" s="189" t="s">
        <v>278</v>
      </c>
      <c r="AG326" s="115" t="s">
        <v>266</v>
      </c>
      <c r="AH326" s="101"/>
      <c r="AI326" s="101"/>
      <c r="AJ326" s="102">
        <v>12</v>
      </c>
      <c r="AK326" s="207">
        <f t="shared" si="14"/>
        <v>-14</v>
      </c>
      <c r="AL326" s="101" t="s">
        <v>1259</v>
      </c>
      <c r="AM326" s="96"/>
      <c r="AN326" s="103"/>
      <c r="AO326" s="208"/>
    </row>
    <row r="327" spans="1:41" s="308" customFormat="1" ht="30.75" hidden="1" customHeight="1" x14ac:dyDescent="0.35">
      <c r="A327" s="252">
        <v>53</v>
      </c>
      <c r="B327" s="253"/>
      <c r="C327" s="254" t="s">
        <v>237</v>
      </c>
      <c r="D327" s="236"/>
      <c r="E327" s="236"/>
      <c r="F327" s="337" t="s">
        <v>162</v>
      </c>
      <c r="G327" s="338"/>
      <c r="H327" s="230" t="s">
        <v>1362</v>
      </c>
      <c r="I327" s="532" t="s">
        <v>163</v>
      </c>
      <c r="J327" s="231"/>
      <c r="K327" s="325"/>
      <c r="L327" s="97"/>
      <c r="M327" s="97"/>
      <c r="N327" s="235" t="s">
        <v>71</v>
      </c>
      <c r="O327" s="343">
        <v>2</v>
      </c>
      <c r="P327" s="169">
        <f>0</f>
        <v>0</v>
      </c>
      <c r="Q327" s="169">
        <f>0</f>
        <v>0</v>
      </c>
      <c r="R327" s="169">
        <f>0</f>
        <v>0</v>
      </c>
      <c r="S327" s="169">
        <f>0</f>
        <v>0</v>
      </c>
      <c r="T327" s="169">
        <f>0</f>
        <v>0</v>
      </c>
      <c r="U327" s="169">
        <f>0</f>
        <v>0</v>
      </c>
      <c r="V327" s="169">
        <f>0</f>
        <v>0</v>
      </c>
      <c r="W327" s="169">
        <f>0</f>
        <v>0</v>
      </c>
      <c r="X327" s="169">
        <f>0</f>
        <v>0</v>
      </c>
      <c r="Y327" s="169">
        <f>0</f>
        <v>0</v>
      </c>
      <c r="Z327" s="219">
        <f>0</f>
        <v>0</v>
      </c>
      <c r="AA327" s="160">
        <f t="shared" si="15"/>
        <v>2</v>
      </c>
      <c r="AB327" s="141">
        <f>0</f>
        <v>0</v>
      </c>
      <c r="AC327" s="172">
        <f t="shared" ref="AC327:AC390" si="16">AA327-AB327</f>
        <v>2</v>
      </c>
      <c r="AD327" s="194">
        <v>44694</v>
      </c>
      <c r="AE327" s="195" t="s">
        <v>239</v>
      </c>
      <c r="AF327" s="97" t="s">
        <v>265</v>
      </c>
      <c r="AG327" s="167" t="s">
        <v>266</v>
      </c>
      <c r="AH327" s="195"/>
      <c r="AI327" s="98"/>
      <c r="AJ327" s="99">
        <v>2</v>
      </c>
      <c r="AK327" s="197">
        <f t="shared" ref="AK327:AK337" si="17">AC327-AJ327</f>
        <v>0</v>
      </c>
      <c r="AL327" s="98" t="s">
        <v>290</v>
      </c>
      <c r="AM327" s="90"/>
      <c r="AN327" s="100"/>
      <c r="AO327" s="198"/>
    </row>
    <row r="328" spans="1:41" s="308" customFormat="1" ht="30.75" hidden="1" customHeight="1" x14ac:dyDescent="0.35">
      <c r="A328" s="244">
        <v>54</v>
      </c>
      <c r="B328" s="253"/>
      <c r="C328" s="254" t="s">
        <v>237</v>
      </c>
      <c r="D328" s="97"/>
      <c r="E328" s="231"/>
      <c r="F328" s="334" t="s">
        <v>164</v>
      </c>
      <c r="G328" s="335"/>
      <c r="H328" s="336" t="s">
        <v>165</v>
      </c>
      <c r="I328" s="533" t="s">
        <v>163</v>
      </c>
      <c r="J328" s="554"/>
      <c r="K328" s="325"/>
      <c r="L328" s="97"/>
      <c r="M328" s="97"/>
      <c r="N328" s="235" t="s">
        <v>71</v>
      </c>
      <c r="O328" s="343">
        <v>1</v>
      </c>
      <c r="P328" s="169">
        <f>0</f>
        <v>0</v>
      </c>
      <c r="Q328" s="169">
        <f>0</f>
        <v>0</v>
      </c>
      <c r="R328" s="169">
        <f>0</f>
        <v>0</v>
      </c>
      <c r="S328" s="169">
        <f>0</f>
        <v>0</v>
      </c>
      <c r="T328" s="169">
        <f>0</f>
        <v>0</v>
      </c>
      <c r="U328" s="169">
        <f>0</f>
        <v>0</v>
      </c>
      <c r="V328" s="169">
        <f>0</f>
        <v>0</v>
      </c>
      <c r="W328" s="169">
        <f>0</f>
        <v>0</v>
      </c>
      <c r="X328" s="169">
        <f>0</f>
        <v>0</v>
      </c>
      <c r="Y328" s="169">
        <f>0</f>
        <v>0</v>
      </c>
      <c r="Z328" s="219">
        <f>0</f>
        <v>0</v>
      </c>
      <c r="AA328" s="160">
        <f t="shared" si="15"/>
        <v>1</v>
      </c>
      <c r="AB328" s="141">
        <v>1</v>
      </c>
      <c r="AC328" s="172">
        <f t="shared" si="16"/>
        <v>0</v>
      </c>
      <c r="AD328" s="194">
        <v>44694</v>
      </c>
      <c r="AE328" s="195" t="s">
        <v>239</v>
      </c>
      <c r="AF328" s="148" t="s">
        <v>267</v>
      </c>
      <c r="AG328" s="167" t="s">
        <v>266</v>
      </c>
      <c r="AH328" s="195"/>
      <c r="AI328" s="98"/>
      <c r="AJ328" s="99">
        <v>1</v>
      </c>
      <c r="AK328" s="197">
        <f t="shared" si="17"/>
        <v>-1</v>
      </c>
      <c r="AL328" s="98" t="s">
        <v>582</v>
      </c>
      <c r="AM328" s="90"/>
      <c r="AN328" s="100"/>
      <c r="AO328" s="198"/>
    </row>
    <row r="329" spans="1:41" s="308" customFormat="1" ht="30.75" hidden="1" customHeight="1" x14ac:dyDescent="0.35">
      <c r="A329" s="252">
        <v>405</v>
      </c>
      <c r="B329" s="253">
        <v>44946</v>
      </c>
      <c r="C329" s="254" t="s">
        <v>456</v>
      </c>
      <c r="D329" s="236"/>
      <c r="E329" s="236"/>
      <c r="F329" s="185" t="s">
        <v>997</v>
      </c>
      <c r="G329" s="97" t="s">
        <v>1090</v>
      </c>
      <c r="H329" s="97">
        <v>58152</v>
      </c>
      <c r="I329" s="212" t="s">
        <v>163</v>
      </c>
      <c r="J329" s="97"/>
      <c r="K329" s="97"/>
      <c r="L329" s="97"/>
      <c r="M329" s="97"/>
      <c r="N329" s="235"/>
      <c r="O329" s="343">
        <v>1</v>
      </c>
      <c r="P329" s="169">
        <v>0</v>
      </c>
      <c r="Q329" s="169">
        <v>0</v>
      </c>
      <c r="R329" s="169">
        <v>0</v>
      </c>
      <c r="S329" s="169">
        <v>0</v>
      </c>
      <c r="T329" s="169">
        <v>0</v>
      </c>
      <c r="U329" s="169">
        <v>0</v>
      </c>
      <c r="V329" s="169">
        <v>0</v>
      </c>
      <c r="W329" s="169">
        <v>0</v>
      </c>
      <c r="X329" s="169">
        <v>0</v>
      </c>
      <c r="Y329" s="169">
        <f>0</f>
        <v>0</v>
      </c>
      <c r="Z329" s="219">
        <f>0</f>
        <v>0</v>
      </c>
      <c r="AA329" s="160">
        <f t="shared" si="15"/>
        <v>1</v>
      </c>
      <c r="AB329" s="141">
        <v>1</v>
      </c>
      <c r="AC329" s="172">
        <f t="shared" si="16"/>
        <v>0</v>
      </c>
      <c r="AD329" s="194"/>
      <c r="AE329" s="195" t="s">
        <v>531</v>
      </c>
      <c r="AF329" s="148" t="s">
        <v>44</v>
      </c>
      <c r="AG329" s="196"/>
      <c r="AH329" s="195"/>
      <c r="AI329" s="98"/>
      <c r="AJ329" s="99" t="s">
        <v>501</v>
      </c>
      <c r="AK329" s="197" t="e">
        <f t="shared" si="17"/>
        <v>#VALUE!</v>
      </c>
      <c r="AL329" s="98" t="s">
        <v>1239</v>
      </c>
      <c r="AM329" s="90"/>
      <c r="AN329" s="100"/>
      <c r="AO329" s="198"/>
    </row>
    <row r="330" spans="1:41" s="308" customFormat="1" ht="30.75" hidden="1" customHeight="1" x14ac:dyDescent="0.35">
      <c r="A330" s="244">
        <v>406</v>
      </c>
      <c r="B330" s="253">
        <v>44946</v>
      </c>
      <c r="C330" s="254" t="s">
        <v>456</v>
      </c>
      <c r="D330" s="236"/>
      <c r="E330" s="236"/>
      <c r="F330" s="185" t="s">
        <v>998</v>
      </c>
      <c r="G330" s="97" t="s">
        <v>1091</v>
      </c>
      <c r="H330" s="97" t="s">
        <v>1091</v>
      </c>
      <c r="I330" s="242" t="s">
        <v>163</v>
      </c>
      <c r="J330" s="97"/>
      <c r="K330" s="97"/>
      <c r="L330" s="97"/>
      <c r="M330" s="97"/>
      <c r="N330" s="235"/>
      <c r="O330" s="343">
        <v>1</v>
      </c>
      <c r="P330" s="169">
        <v>0</v>
      </c>
      <c r="Q330" s="169">
        <v>0</v>
      </c>
      <c r="R330" s="169">
        <v>0</v>
      </c>
      <c r="S330" s="169">
        <v>0</v>
      </c>
      <c r="T330" s="169">
        <v>0</v>
      </c>
      <c r="U330" s="169">
        <v>0</v>
      </c>
      <c r="V330" s="169">
        <v>0</v>
      </c>
      <c r="W330" s="169">
        <v>0</v>
      </c>
      <c r="X330" s="169">
        <v>0</v>
      </c>
      <c r="Y330" s="169">
        <f>0</f>
        <v>0</v>
      </c>
      <c r="Z330" s="219">
        <f>0</f>
        <v>0</v>
      </c>
      <c r="AA330" s="160">
        <f t="shared" si="15"/>
        <v>1</v>
      </c>
      <c r="AB330" s="141">
        <v>1</v>
      </c>
      <c r="AC330" s="172">
        <f t="shared" si="16"/>
        <v>0</v>
      </c>
      <c r="AD330" s="194"/>
      <c r="AE330" s="195" t="s">
        <v>531</v>
      </c>
      <c r="AF330" s="148" t="s">
        <v>44</v>
      </c>
      <c r="AG330" s="196"/>
      <c r="AH330" s="195"/>
      <c r="AI330" s="98"/>
      <c r="AJ330" s="99" t="s">
        <v>501</v>
      </c>
      <c r="AK330" s="197" t="e">
        <f t="shared" si="17"/>
        <v>#VALUE!</v>
      </c>
      <c r="AL330" s="98" t="s">
        <v>1256</v>
      </c>
      <c r="AM330" s="90"/>
      <c r="AN330" s="100"/>
      <c r="AO330" s="198"/>
    </row>
    <row r="331" spans="1:41" s="308" customFormat="1" ht="30.75" hidden="1" customHeight="1" x14ac:dyDescent="0.35">
      <c r="A331" s="252">
        <v>407</v>
      </c>
      <c r="B331" s="253">
        <v>44946</v>
      </c>
      <c r="C331" s="254" t="s">
        <v>456</v>
      </c>
      <c r="D331" s="236"/>
      <c r="E331" s="236"/>
      <c r="F331" s="185" t="s">
        <v>999</v>
      </c>
      <c r="G331" s="97" t="s">
        <v>1092</v>
      </c>
      <c r="H331" s="97" t="s">
        <v>1092</v>
      </c>
      <c r="I331" s="212" t="s">
        <v>163</v>
      </c>
      <c r="J331" s="97"/>
      <c r="K331" s="97"/>
      <c r="L331" s="97"/>
      <c r="M331" s="97"/>
      <c r="N331" s="235"/>
      <c r="O331" s="343">
        <v>4</v>
      </c>
      <c r="P331" s="169">
        <v>0</v>
      </c>
      <c r="Q331" s="169">
        <v>0</v>
      </c>
      <c r="R331" s="169">
        <v>0</v>
      </c>
      <c r="S331" s="169">
        <v>0</v>
      </c>
      <c r="T331" s="169">
        <v>0</v>
      </c>
      <c r="U331" s="169">
        <v>0</v>
      </c>
      <c r="V331" s="169">
        <v>0</v>
      </c>
      <c r="W331" s="169">
        <v>0</v>
      </c>
      <c r="X331" s="169">
        <v>0</v>
      </c>
      <c r="Y331" s="169">
        <f>0</f>
        <v>0</v>
      </c>
      <c r="Z331" s="219">
        <f>0</f>
        <v>0</v>
      </c>
      <c r="AA331" s="160">
        <f t="shared" si="15"/>
        <v>4</v>
      </c>
      <c r="AB331" s="141">
        <v>4</v>
      </c>
      <c r="AC331" s="172">
        <f t="shared" si="16"/>
        <v>0</v>
      </c>
      <c r="AD331" s="194"/>
      <c r="AE331" s="195" t="s">
        <v>531</v>
      </c>
      <c r="AF331" s="148" t="s">
        <v>44</v>
      </c>
      <c r="AG331" s="196"/>
      <c r="AH331" s="195"/>
      <c r="AI331" s="98"/>
      <c r="AJ331" s="99" t="s">
        <v>501</v>
      </c>
      <c r="AK331" s="197" t="e">
        <f t="shared" si="17"/>
        <v>#VALUE!</v>
      </c>
      <c r="AL331" s="98" t="s">
        <v>1256</v>
      </c>
      <c r="AM331" s="90"/>
      <c r="AN331" s="100"/>
      <c r="AO331" s="198"/>
    </row>
    <row r="332" spans="1:41" s="308" customFormat="1" ht="30.75" hidden="1" customHeight="1" x14ac:dyDescent="0.35">
      <c r="A332" s="244">
        <v>408</v>
      </c>
      <c r="B332" s="253">
        <v>44946</v>
      </c>
      <c r="C332" s="254" t="s">
        <v>456</v>
      </c>
      <c r="D332" s="236"/>
      <c r="E332" s="236"/>
      <c r="F332" s="185" t="s">
        <v>1000</v>
      </c>
      <c r="G332" s="97" t="s">
        <v>1093</v>
      </c>
      <c r="H332" s="97" t="s">
        <v>1093</v>
      </c>
      <c r="I332" s="212" t="s">
        <v>163</v>
      </c>
      <c r="J332" s="97"/>
      <c r="K332" s="97"/>
      <c r="L332" s="97"/>
      <c r="M332" s="97"/>
      <c r="N332" s="235"/>
      <c r="O332" s="343">
        <v>88</v>
      </c>
      <c r="P332" s="169">
        <v>0</v>
      </c>
      <c r="Q332" s="169">
        <v>0</v>
      </c>
      <c r="R332" s="169">
        <v>0</v>
      </c>
      <c r="S332" s="169">
        <v>0</v>
      </c>
      <c r="T332" s="169">
        <v>0</v>
      </c>
      <c r="U332" s="169">
        <v>0</v>
      </c>
      <c r="V332" s="169">
        <v>0</v>
      </c>
      <c r="W332" s="169">
        <v>0</v>
      </c>
      <c r="X332" s="169">
        <v>0</v>
      </c>
      <c r="Y332" s="169">
        <f>0</f>
        <v>0</v>
      </c>
      <c r="Z332" s="219">
        <f>0</f>
        <v>0</v>
      </c>
      <c r="AA332" s="160">
        <f t="shared" si="15"/>
        <v>88</v>
      </c>
      <c r="AB332" s="141"/>
      <c r="AC332" s="172">
        <f t="shared" si="16"/>
        <v>88</v>
      </c>
      <c r="AD332" s="194">
        <v>44949</v>
      </c>
      <c r="AE332" s="195" t="s">
        <v>284</v>
      </c>
      <c r="AF332" s="148" t="s">
        <v>1257</v>
      </c>
      <c r="AG332" s="196"/>
      <c r="AH332" s="195"/>
      <c r="AI332" s="98"/>
      <c r="AJ332" s="99" t="s">
        <v>1511</v>
      </c>
      <c r="AK332" s="197" t="e">
        <f t="shared" si="17"/>
        <v>#VALUE!</v>
      </c>
      <c r="AL332" s="98" t="s">
        <v>1256</v>
      </c>
      <c r="AM332" s="90"/>
      <c r="AN332" s="100"/>
      <c r="AO332" s="198"/>
    </row>
    <row r="333" spans="1:41" s="308" customFormat="1" ht="30.75" hidden="1" customHeight="1" x14ac:dyDescent="0.35">
      <c r="A333" s="252">
        <v>409</v>
      </c>
      <c r="B333" s="253">
        <v>44946</v>
      </c>
      <c r="C333" s="254" t="s">
        <v>456</v>
      </c>
      <c r="D333" s="236"/>
      <c r="E333" s="237"/>
      <c r="F333" s="185" t="s">
        <v>1001</v>
      </c>
      <c r="G333" s="97" t="s">
        <v>1094</v>
      </c>
      <c r="H333" s="97" t="s">
        <v>1170</v>
      </c>
      <c r="I333" s="212" t="s">
        <v>1191</v>
      </c>
      <c r="J333" s="97"/>
      <c r="K333" s="97"/>
      <c r="L333" s="97"/>
      <c r="M333" s="235"/>
      <c r="N333" s="235"/>
      <c r="O333" s="417">
        <v>1</v>
      </c>
      <c r="P333" s="90">
        <v>0</v>
      </c>
      <c r="Q333" s="90">
        <v>0</v>
      </c>
      <c r="R333" s="90">
        <v>0</v>
      </c>
      <c r="S333" s="90">
        <v>0</v>
      </c>
      <c r="T333" s="90">
        <v>0</v>
      </c>
      <c r="U333" s="90">
        <v>0</v>
      </c>
      <c r="V333" s="90">
        <v>0</v>
      </c>
      <c r="W333" s="90">
        <v>0</v>
      </c>
      <c r="X333" s="90">
        <v>0</v>
      </c>
      <c r="Y333" s="90">
        <f>0</f>
        <v>0</v>
      </c>
      <c r="Z333" s="418">
        <f>0</f>
        <v>0</v>
      </c>
      <c r="AA333" s="192">
        <f t="shared" si="15"/>
        <v>1</v>
      </c>
      <c r="AB333" s="193"/>
      <c r="AC333" s="190">
        <f t="shared" si="16"/>
        <v>1</v>
      </c>
      <c r="AD333" s="194">
        <v>45013</v>
      </c>
      <c r="AE333" s="195" t="s">
        <v>239</v>
      </c>
      <c r="AF333" s="97" t="s">
        <v>1568</v>
      </c>
      <c r="AG333" s="151"/>
      <c r="AH333" s="113"/>
      <c r="AI333" s="98" t="s">
        <v>1448</v>
      </c>
      <c r="AJ333" s="99">
        <v>1</v>
      </c>
      <c r="AK333" s="197">
        <f t="shared" si="17"/>
        <v>0</v>
      </c>
      <c r="AL333" s="98" t="s">
        <v>1630</v>
      </c>
      <c r="AM333" s="90"/>
      <c r="AN333" s="100"/>
      <c r="AO333" s="198"/>
    </row>
    <row r="334" spans="1:41" s="330" customFormat="1" ht="30.75" hidden="1" customHeight="1" x14ac:dyDescent="0.35">
      <c r="A334" s="244">
        <v>60</v>
      </c>
      <c r="B334" s="253"/>
      <c r="C334" s="254" t="s">
        <v>237</v>
      </c>
      <c r="D334" s="236"/>
      <c r="E334" s="236"/>
      <c r="F334" s="337" t="s">
        <v>180</v>
      </c>
      <c r="G334" s="338"/>
      <c r="H334" s="230" t="s">
        <v>181</v>
      </c>
      <c r="I334" s="532" t="s">
        <v>168</v>
      </c>
      <c r="J334" s="231"/>
      <c r="K334" s="325"/>
      <c r="L334" s="97"/>
      <c r="M334" s="235" t="s">
        <v>454</v>
      </c>
      <c r="N334" s="235" t="s">
        <v>80</v>
      </c>
      <c r="O334" s="343">
        <v>1</v>
      </c>
      <c r="P334" s="169">
        <f>0</f>
        <v>0</v>
      </c>
      <c r="Q334" s="169">
        <f>0</f>
        <v>0</v>
      </c>
      <c r="R334" s="169">
        <f>0</f>
        <v>0</v>
      </c>
      <c r="S334" s="169">
        <f>0</f>
        <v>0</v>
      </c>
      <c r="T334" s="169">
        <f>0</f>
        <v>0</v>
      </c>
      <c r="U334" s="169">
        <f>0</f>
        <v>0</v>
      </c>
      <c r="V334" s="169">
        <f>0</f>
        <v>0</v>
      </c>
      <c r="W334" s="169">
        <f>0</f>
        <v>0</v>
      </c>
      <c r="X334" s="169">
        <f>0</f>
        <v>0</v>
      </c>
      <c r="Y334" s="169">
        <f>0</f>
        <v>0</v>
      </c>
      <c r="Z334" s="219">
        <f>0</f>
        <v>0</v>
      </c>
      <c r="AA334" s="160">
        <f t="shared" si="15"/>
        <v>1</v>
      </c>
      <c r="AB334" s="141">
        <f>0</f>
        <v>0</v>
      </c>
      <c r="AC334" s="172">
        <f t="shared" si="16"/>
        <v>1</v>
      </c>
      <c r="AD334" s="194">
        <v>44694</v>
      </c>
      <c r="AE334" s="195" t="s">
        <v>239</v>
      </c>
      <c r="AF334" s="97" t="s">
        <v>282</v>
      </c>
      <c r="AG334" s="579" t="s">
        <v>434</v>
      </c>
      <c r="AH334" s="194">
        <v>44767</v>
      </c>
      <c r="AI334" s="98"/>
      <c r="AJ334" s="99">
        <v>3</v>
      </c>
      <c r="AK334" s="197">
        <f t="shared" si="17"/>
        <v>-2</v>
      </c>
      <c r="AL334" s="98" t="s">
        <v>451</v>
      </c>
      <c r="AM334" s="109"/>
      <c r="AN334" s="110"/>
      <c r="AO334" s="105"/>
    </row>
    <row r="335" spans="1:41" s="308" customFormat="1" ht="30.75" hidden="1" customHeight="1" x14ac:dyDescent="0.35">
      <c r="A335" s="252">
        <v>76</v>
      </c>
      <c r="B335" s="253"/>
      <c r="C335" s="254" t="s">
        <v>237</v>
      </c>
      <c r="D335" s="236"/>
      <c r="E335" s="236"/>
      <c r="F335" s="185" t="s">
        <v>224</v>
      </c>
      <c r="G335" s="196" t="s">
        <v>225</v>
      </c>
      <c r="H335" s="328" t="s">
        <v>226</v>
      </c>
      <c r="I335" s="544" t="s">
        <v>168</v>
      </c>
      <c r="J335" s="97"/>
      <c r="K335" s="97"/>
      <c r="L335" s="97"/>
      <c r="M335" s="97"/>
      <c r="N335" s="235" t="s">
        <v>80</v>
      </c>
      <c r="O335" s="343">
        <v>1</v>
      </c>
      <c r="P335" s="169">
        <f>0</f>
        <v>0</v>
      </c>
      <c r="Q335" s="169">
        <f>0</f>
        <v>0</v>
      </c>
      <c r="R335" s="169">
        <f>0</f>
        <v>0</v>
      </c>
      <c r="S335" s="169">
        <f>0</f>
        <v>0</v>
      </c>
      <c r="T335" s="169">
        <f>0</f>
        <v>0</v>
      </c>
      <c r="U335" s="169">
        <f>0</f>
        <v>0</v>
      </c>
      <c r="V335" s="169">
        <f>0</f>
        <v>0</v>
      </c>
      <c r="W335" s="169">
        <f>0</f>
        <v>0</v>
      </c>
      <c r="X335" s="169">
        <f>0</f>
        <v>0</v>
      </c>
      <c r="Y335" s="169">
        <f>0</f>
        <v>0</v>
      </c>
      <c r="Z335" s="219">
        <f>0</f>
        <v>0</v>
      </c>
      <c r="AA335" s="160">
        <f t="shared" si="15"/>
        <v>1</v>
      </c>
      <c r="AB335" s="141">
        <f>0</f>
        <v>0</v>
      </c>
      <c r="AC335" s="190">
        <f t="shared" si="16"/>
        <v>1</v>
      </c>
      <c r="AD335" s="194" t="s">
        <v>1561</v>
      </c>
      <c r="AE335" s="195" t="s">
        <v>239</v>
      </c>
      <c r="AF335" s="389" t="s">
        <v>1562</v>
      </c>
      <c r="AG335" s="151" t="s">
        <v>477</v>
      </c>
      <c r="AH335" s="111"/>
      <c r="AI335" s="98" t="s">
        <v>1448</v>
      </c>
      <c r="AJ335" s="99">
        <v>1</v>
      </c>
      <c r="AK335" s="197">
        <f t="shared" si="17"/>
        <v>0</v>
      </c>
      <c r="AL335" s="98" t="s">
        <v>1612</v>
      </c>
      <c r="AM335" s="90"/>
      <c r="AN335" s="100"/>
      <c r="AO335" s="198"/>
    </row>
    <row r="336" spans="1:41" s="308" customFormat="1" ht="30.75" hidden="1" customHeight="1" x14ac:dyDescent="0.35">
      <c r="A336" s="244">
        <v>120</v>
      </c>
      <c r="B336" s="253">
        <v>44694</v>
      </c>
      <c r="C336" s="254" t="s">
        <v>452</v>
      </c>
      <c r="D336" s="236"/>
      <c r="E336" s="236"/>
      <c r="F336" s="337" t="s">
        <v>166</v>
      </c>
      <c r="G336" s="338"/>
      <c r="H336" s="230" t="s">
        <v>167</v>
      </c>
      <c r="I336" s="532" t="s">
        <v>168</v>
      </c>
      <c r="J336" s="231"/>
      <c r="K336" s="325"/>
      <c r="L336" s="97"/>
      <c r="M336" s="97" t="s">
        <v>453</v>
      </c>
      <c r="N336" s="235" t="s">
        <v>80</v>
      </c>
      <c r="O336" s="343">
        <v>1</v>
      </c>
      <c r="P336" s="169">
        <f>0</f>
        <v>0</v>
      </c>
      <c r="Q336" s="169">
        <f>0</f>
        <v>0</v>
      </c>
      <c r="R336" s="169">
        <f>0</f>
        <v>0</v>
      </c>
      <c r="S336" s="169">
        <f>0</f>
        <v>0</v>
      </c>
      <c r="T336" s="169">
        <f>0</f>
        <v>0</v>
      </c>
      <c r="U336" s="169">
        <f>0</f>
        <v>0</v>
      </c>
      <c r="V336" s="169">
        <f>0</f>
        <v>0</v>
      </c>
      <c r="W336" s="169">
        <f>0</f>
        <v>0</v>
      </c>
      <c r="X336" s="169">
        <f>0</f>
        <v>0</v>
      </c>
      <c r="Y336" s="169">
        <f>0</f>
        <v>0</v>
      </c>
      <c r="Z336" s="219">
        <f>0</f>
        <v>0</v>
      </c>
      <c r="AA336" s="160">
        <f t="shared" si="15"/>
        <v>1</v>
      </c>
      <c r="AB336" s="141">
        <f>0</f>
        <v>0</v>
      </c>
      <c r="AC336" s="172">
        <f t="shared" si="16"/>
        <v>1</v>
      </c>
      <c r="AD336" s="194">
        <v>44694</v>
      </c>
      <c r="AE336" s="195" t="s">
        <v>239</v>
      </c>
      <c r="AF336" s="97" t="s">
        <v>282</v>
      </c>
      <c r="AG336" s="167" t="s">
        <v>434</v>
      </c>
      <c r="AH336" s="204"/>
      <c r="AI336" s="98"/>
      <c r="AJ336" s="99">
        <v>3</v>
      </c>
      <c r="AK336" s="197">
        <f t="shared" si="17"/>
        <v>-2</v>
      </c>
      <c r="AL336" s="191" t="s">
        <v>451</v>
      </c>
      <c r="AM336" s="109"/>
      <c r="AN336" s="110"/>
      <c r="AO336" s="105"/>
    </row>
    <row r="337" spans="1:41" s="308" customFormat="1" ht="30.75" hidden="1" customHeight="1" x14ac:dyDescent="0.35">
      <c r="A337" s="252">
        <v>167</v>
      </c>
      <c r="B337" s="253">
        <v>44914</v>
      </c>
      <c r="C337" s="306" t="s">
        <v>254</v>
      </c>
      <c r="D337" s="299" t="s">
        <v>571</v>
      </c>
      <c r="E337" s="236" t="s">
        <v>330</v>
      </c>
      <c r="F337" s="185" t="s">
        <v>572</v>
      </c>
      <c r="G337" s="196"/>
      <c r="H337" s="328" t="s">
        <v>573</v>
      </c>
      <c r="I337" s="544" t="s">
        <v>168</v>
      </c>
      <c r="J337" s="97" t="s">
        <v>251</v>
      </c>
      <c r="K337" s="97" t="s">
        <v>252</v>
      </c>
      <c r="L337" s="97" t="s">
        <v>252</v>
      </c>
      <c r="M337" s="97" t="s">
        <v>252</v>
      </c>
      <c r="N337" s="235" t="s">
        <v>580</v>
      </c>
      <c r="O337" s="343">
        <v>0</v>
      </c>
      <c r="P337" s="169">
        <f>0</f>
        <v>0</v>
      </c>
      <c r="Q337" s="169">
        <v>2</v>
      </c>
      <c r="R337" s="169">
        <f>0</f>
        <v>0</v>
      </c>
      <c r="S337" s="169">
        <f>0</f>
        <v>0</v>
      </c>
      <c r="T337" s="169">
        <f>0</f>
        <v>0</v>
      </c>
      <c r="U337" s="169">
        <f>0</f>
        <v>0</v>
      </c>
      <c r="V337" s="169">
        <f>0</f>
        <v>0</v>
      </c>
      <c r="W337" s="169">
        <f>0</f>
        <v>0</v>
      </c>
      <c r="X337" s="169">
        <f>0</f>
        <v>0</v>
      </c>
      <c r="Y337" s="169">
        <f>0</f>
        <v>0</v>
      </c>
      <c r="Z337" s="219">
        <f>0</f>
        <v>0</v>
      </c>
      <c r="AA337" s="160">
        <f t="shared" si="15"/>
        <v>2</v>
      </c>
      <c r="AB337" s="141"/>
      <c r="AC337" s="172">
        <f t="shared" si="16"/>
        <v>2</v>
      </c>
      <c r="AD337" s="194"/>
      <c r="AE337" s="205"/>
      <c r="AF337" s="189" t="s">
        <v>294</v>
      </c>
      <c r="AG337" s="196"/>
      <c r="AH337" s="205"/>
      <c r="AI337" s="98"/>
      <c r="AJ337" s="99" t="s">
        <v>501</v>
      </c>
      <c r="AK337" s="197" t="e">
        <f t="shared" si="17"/>
        <v>#VALUE!</v>
      </c>
      <c r="AL337" s="98"/>
      <c r="AM337" s="90"/>
      <c r="AN337" s="100"/>
      <c r="AO337" s="198"/>
    </row>
    <row r="338" spans="1:41" s="308" customFormat="1" ht="30.75" hidden="1" customHeight="1" x14ac:dyDescent="0.35">
      <c r="A338" s="244">
        <v>247</v>
      </c>
      <c r="B338" s="253" t="s">
        <v>455</v>
      </c>
      <c r="C338" s="254" t="s">
        <v>456</v>
      </c>
      <c r="D338" s="97"/>
      <c r="E338" s="231"/>
      <c r="F338" s="334" t="s">
        <v>464</v>
      </c>
      <c r="G338" s="335" t="s">
        <v>465</v>
      </c>
      <c r="H338" s="336" t="s">
        <v>465</v>
      </c>
      <c r="I338" s="533" t="s">
        <v>168</v>
      </c>
      <c r="J338" s="231"/>
      <c r="K338" s="231"/>
      <c r="L338" s="231"/>
      <c r="M338" s="600"/>
      <c r="N338" s="235" t="s">
        <v>80</v>
      </c>
      <c r="O338" s="343">
        <v>26</v>
      </c>
      <c r="P338" s="169">
        <f>0</f>
        <v>0</v>
      </c>
      <c r="Q338" s="169">
        <f>0</f>
        <v>0</v>
      </c>
      <c r="R338" s="169">
        <f>0</f>
        <v>0</v>
      </c>
      <c r="S338" s="169">
        <f>0</f>
        <v>0</v>
      </c>
      <c r="T338" s="169">
        <f>0</f>
        <v>0</v>
      </c>
      <c r="U338" s="169">
        <f>0</f>
        <v>0</v>
      </c>
      <c r="V338" s="169">
        <f>0</f>
        <v>0</v>
      </c>
      <c r="W338" s="169">
        <f>0</f>
        <v>0</v>
      </c>
      <c r="X338" s="169">
        <f>0</f>
        <v>0</v>
      </c>
      <c r="Y338" s="169">
        <f>0</f>
        <v>0</v>
      </c>
      <c r="Z338" s="219">
        <f>0</f>
        <v>0</v>
      </c>
      <c r="AA338" s="160">
        <f t="shared" si="15"/>
        <v>26</v>
      </c>
      <c r="AB338" s="141"/>
      <c r="AC338" s="172">
        <f t="shared" si="16"/>
        <v>26</v>
      </c>
      <c r="AD338" s="194">
        <v>44756</v>
      </c>
      <c r="AE338" s="205" t="s">
        <v>239</v>
      </c>
      <c r="AF338" s="189" t="s">
        <v>467</v>
      </c>
      <c r="AG338" s="167" t="s">
        <v>434</v>
      </c>
      <c r="AH338" s="195"/>
      <c r="AI338" s="98"/>
      <c r="AJ338" s="99">
        <v>52</v>
      </c>
      <c r="AK338" s="197">
        <v>0</v>
      </c>
      <c r="AL338" s="98" t="s">
        <v>468</v>
      </c>
      <c r="AM338" s="109"/>
      <c r="AN338" s="110"/>
      <c r="AO338" s="105"/>
    </row>
    <row r="339" spans="1:41" s="308" customFormat="1" ht="30.75" hidden="1" customHeight="1" x14ac:dyDescent="0.35">
      <c r="A339" s="252">
        <v>248</v>
      </c>
      <c r="B339" s="253" t="s">
        <v>455</v>
      </c>
      <c r="C339" s="254" t="s">
        <v>456</v>
      </c>
      <c r="D339" s="236"/>
      <c r="E339" s="236"/>
      <c r="F339" s="337" t="s">
        <v>464</v>
      </c>
      <c r="G339" s="338" t="s">
        <v>466</v>
      </c>
      <c r="H339" s="230" t="s">
        <v>466</v>
      </c>
      <c r="I339" s="532" t="s">
        <v>168</v>
      </c>
      <c r="J339" s="231"/>
      <c r="K339" s="231"/>
      <c r="L339" s="231"/>
      <c r="M339" s="231"/>
      <c r="N339" s="235" t="s">
        <v>80</v>
      </c>
      <c r="O339" s="343">
        <v>1</v>
      </c>
      <c r="P339" s="169">
        <f>0</f>
        <v>0</v>
      </c>
      <c r="Q339" s="169">
        <f>0</f>
        <v>0</v>
      </c>
      <c r="R339" s="169">
        <f>0</f>
        <v>0</v>
      </c>
      <c r="S339" s="169">
        <f>0</f>
        <v>0</v>
      </c>
      <c r="T339" s="169">
        <f>0</f>
        <v>0</v>
      </c>
      <c r="U339" s="169">
        <f>0</f>
        <v>0</v>
      </c>
      <c r="V339" s="169">
        <f>0</f>
        <v>0</v>
      </c>
      <c r="W339" s="169">
        <f>0</f>
        <v>0</v>
      </c>
      <c r="X339" s="169">
        <f>0</f>
        <v>0</v>
      </c>
      <c r="Y339" s="169">
        <f>0</f>
        <v>0</v>
      </c>
      <c r="Z339" s="219">
        <f>0</f>
        <v>0</v>
      </c>
      <c r="AA339" s="160">
        <f t="shared" si="15"/>
        <v>1</v>
      </c>
      <c r="AB339" s="141"/>
      <c r="AC339" s="172">
        <f t="shared" si="16"/>
        <v>1</v>
      </c>
      <c r="AD339" s="194">
        <v>44756</v>
      </c>
      <c r="AE339" s="205" t="s">
        <v>239</v>
      </c>
      <c r="AF339" s="189" t="s">
        <v>469</v>
      </c>
      <c r="AG339" s="167" t="s">
        <v>434</v>
      </c>
      <c r="AH339" s="195"/>
      <c r="AI339" s="98"/>
      <c r="AJ339" s="99">
        <v>2</v>
      </c>
      <c r="AK339" s="197">
        <v>0</v>
      </c>
      <c r="AL339" s="98" t="s">
        <v>470</v>
      </c>
      <c r="AM339" s="109"/>
      <c r="AN339" s="110"/>
      <c r="AO339" s="105"/>
    </row>
    <row r="340" spans="1:41" s="308" customFormat="1" ht="30.75" hidden="1" customHeight="1" x14ac:dyDescent="0.35">
      <c r="A340" s="244">
        <v>249</v>
      </c>
      <c r="B340" s="253"/>
      <c r="C340" s="254" t="s">
        <v>239</v>
      </c>
      <c r="D340" s="236"/>
      <c r="E340" s="236"/>
      <c r="F340" s="337" t="s">
        <v>279</v>
      </c>
      <c r="G340" s="338"/>
      <c r="H340" s="230" t="s">
        <v>280</v>
      </c>
      <c r="I340" s="532" t="s">
        <v>168</v>
      </c>
      <c r="J340" s="231"/>
      <c r="K340" s="231"/>
      <c r="L340" s="231"/>
      <c r="M340" s="600" t="s">
        <v>448</v>
      </c>
      <c r="N340" s="235" t="s">
        <v>80</v>
      </c>
      <c r="O340" s="343">
        <v>7</v>
      </c>
      <c r="P340" s="169">
        <f>0</f>
        <v>0</v>
      </c>
      <c r="Q340" s="169">
        <f>0</f>
        <v>0</v>
      </c>
      <c r="R340" s="169">
        <f>0</f>
        <v>0</v>
      </c>
      <c r="S340" s="169">
        <f>0</f>
        <v>0</v>
      </c>
      <c r="T340" s="169">
        <f>0</f>
        <v>0</v>
      </c>
      <c r="U340" s="169">
        <f>0</f>
        <v>0</v>
      </c>
      <c r="V340" s="169">
        <f>0</f>
        <v>0</v>
      </c>
      <c r="W340" s="169">
        <f>0</f>
        <v>0</v>
      </c>
      <c r="X340" s="169">
        <f>0</f>
        <v>0</v>
      </c>
      <c r="Y340" s="169">
        <f>0</f>
        <v>0</v>
      </c>
      <c r="Z340" s="219">
        <f>0</f>
        <v>0</v>
      </c>
      <c r="AA340" s="160">
        <f t="shared" si="15"/>
        <v>7</v>
      </c>
      <c r="AB340" s="141">
        <f>0</f>
        <v>0</v>
      </c>
      <c r="AC340" s="172">
        <f t="shared" si="16"/>
        <v>7</v>
      </c>
      <c r="AD340" s="194">
        <v>44694</v>
      </c>
      <c r="AE340" s="195" t="s">
        <v>239</v>
      </c>
      <c r="AF340" s="97" t="s">
        <v>281</v>
      </c>
      <c r="AG340" s="167" t="s">
        <v>434</v>
      </c>
      <c r="AH340" s="195"/>
      <c r="AI340" s="98"/>
      <c r="AJ340" s="99">
        <v>30</v>
      </c>
      <c r="AK340" s="197">
        <f t="shared" ref="AK340:AK403" si="18">AC340-AJ340</f>
        <v>-23</v>
      </c>
      <c r="AL340" s="98" t="s">
        <v>444</v>
      </c>
      <c r="AM340" s="109"/>
      <c r="AN340" s="110"/>
      <c r="AO340" s="198"/>
    </row>
    <row r="341" spans="1:41" s="308" customFormat="1" ht="30.75" hidden="1" customHeight="1" x14ac:dyDescent="0.35">
      <c r="A341" s="252">
        <v>250</v>
      </c>
      <c r="B341" s="253"/>
      <c r="C341" s="254" t="s">
        <v>239</v>
      </c>
      <c r="D341" s="97"/>
      <c r="E341" s="231"/>
      <c r="F341" s="334" t="s">
        <v>279</v>
      </c>
      <c r="G341" s="335"/>
      <c r="H341" s="336" t="s">
        <v>283</v>
      </c>
      <c r="I341" s="533" t="s">
        <v>168</v>
      </c>
      <c r="J341" s="231" t="s">
        <v>449</v>
      </c>
      <c r="K341" s="231"/>
      <c r="L341" s="231"/>
      <c r="M341" s="231" t="s">
        <v>450</v>
      </c>
      <c r="N341" s="235" t="s">
        <v>80</v>
      </c>
      <c r="O341" s="343">
        <v>2</v>
      </c>
      <c r="P341" s="169">
        <f>0</f>
        <v>0</v>
      </c>
      <c r="Q341" s="169">
        <f>0</f>
        <v>0</v>
      </c>
      <c r="R341" s="169">
        <f>0</f>
        <v>0</v>
      </c>
      <c r="S341" s="169">
        <f>0</f>
        <v>0</v>
      </c>
      <c r="T341" s="169">
        <f>0</f>
        <v>0</v>
      </c>
      <c r="U341" s="169">
        <f>0</f>
        <v>0</v>
      </c>
      <c r="V341" s="169">
        <f>0</f>
        <v>0</v>
      </c>
      <c r="W341" s="169">
        <f>0</f>
        <v>0</v>
      </c>
      <c r="X341" s="169">
        <f>0</f>
        <v>0</v>
      </c>
      <c r="Y341" s="169">
        <f>0</f>
        <v>0</v>
      </c>
      <c r="Z341" s="219">
        <f>0</f>
        <v>0</v>
      </c>
      <c r="AA341" s="160">
        <f t="shared" si="15"/>
        <v>2</v>
      </c>
      <c r="AB341" s="141">
        <f>0</f>
        <v>0</v>
      </c>
      <c r="AC341" s="172">
        <f t="shared" si="16"/>
        <v>2</v>
      </c>
      <c r="AD341" s="194" t="s">
        <v>445</v>
      </c>
      <c r="AE341" s="195" t="s">
        <v>239</v>
      </c>
      <c r="AF341" s="97" t="s">
        <v>446</v>
      </c>
      <c r="AG341" s="167" t="s">
        <v>434</v>
      </c>
      <c r="AH341" s="195">
        <v>44874</v>
      </c>
      <c r="AI341" s="98"/>
      <c r="AJ341" s="99">
        <v>10</v>
      </c>
      <c r="AK341" s="197">
        <f t="shared" si="18"/>
        <v>-8</v>
      </c>
      <c r="AL341" s="98" t="s">
        <v>447</v>
      </c>
      <c r="AM341" s="109"/>
      <c r="AN341" s="110"/>
      <c r="AO341" s="198"/>
    </row>
    <row r="342" spans="1:41" s="308" customFormat="1" ht="30.75" hidden="1" customHeight="1" x14ac:dyDescent="0.35">
      <c r="A342" s="244">
        <v>410</v>
      </c>
      <c r="B342" s="253">
        <v>44946</v>
      </c>
      <c r="C342" s="254" t="s">
        <v>456</v>
      </c>
      <c r="D342" s="236"/>
      <c r="E342" s="236"/>
      <c r="F342" s="185" t="s">
        <v>1002</v>
      </c>
      <c r="G342" s="97" t="s">
        <v>1095</v>
      </c>
      <c r="H342" s="97" t="s">
        <v>1095</v>
      </c>
      <c r="I342" s="544" t="s">
        <v>168</v>
      </c>
      <c r="J342" s="97"/>
      <c r="K342" s="97"/>
      <c r="L342" s="97"/>
      <c r="M342" s="97"/>
      <c r="N342" s="235" t="s">
        <v>80</v>
      </c>
      <c r="O342" s="419">
        <v>15</v>
      </c>
      <c r="P342" s="170">
        <v>0</v>
      </c>
      <c r="Q342" s="170">
        <v>0</v>
      </c>
      <c r="R342" s="170">
        <v>0</v>
      </c>
      <c r="S342" s="170">
        <v>0</v>
      </c>
      <c r="T342" s="170">
        <v>0</v>
      </c>
      <c r="U342" s="170">
        <v>0</v>
      </c>
      <c r="V342" s="170">
        <v>0</v>
      </c>
      <c r="W342" s="170">
        <v>0</v>
      </c>
      <c r="X342" s="170">
        <v>0</v>
      </c>
      <c r="Y342" s="170">
        <f>0</f>
        <v>0</v>
      </c>
      <c r="Z342" s="420">
        <f>0</f>
        <v>0</v>
      </c>
      <c r="AA342" s="391">
        <f t="shared" si="15"/>
        <v>15</v>
      </c>
      <c r="AB342" s="392"/>
      <c r="AC342" s="190">
        <f t="shared" si="16"/>
        <v>15</v>
      </c>
      <c r="AD342" s="194" t="s">
        <v>1560</v>
      </c>
      <c r="AE342" s="195" t="s">
        <v>239</v>
      </c>
      <c r="AF342" s="97" t="s">
        <v>1559</v>
      </c>
      <c r="AG342" s="151"/>
      <c r="AH342" s="113"/>
      <c r="AI342" s="98" t="s">
        <v>1448</v>
      </c>
      <c r="AJ342" s="99">
        <v>15</v>
      </c>
      <c r="AK342" s="197">
        <f t="shared" si="18"/>
        <v>0</v>
      </c>
      <c r="AL342" s="98" t="s">
        <v>1612</v>
      </c>
      <c r="AM342" s="90"/>
      <c r="AN342" s="100"/>
      <c r="AO342" s="198"/>
    </row>
    <row r="343" spans="1:41" s="308" customFormat="1" ht="30.75" hidden="1" customHeight="1" x14ac:dyDescent="0.35">
      <c r="A343" s="252">
        <v>411</v>
      </c>
      <c r="B343" s="253">
        <v>44946</v>
      </c>
      <c r="C343" s="254" t="s">
        <v>456</v>
      </c>
      <c r="D343" s="236"/>
      <c r="E343" s="236"/>
      <c r="F343" s="185" t="s">
        <v>1003</v>
      </c>
      <c r="G343" s="97" t="s">
        <v>1096</v>
      </c>
      <c r="H343" s="97" t="s">
        <v>1096</v>
      </c>
      <c r="I343" s="544" t="s">
        <v>168</v>
      </c>
      <c r="J343" s="97"/>
      <c r="K343" s="97"/>
      <c r="L343" s="97"/>
      <c r="M343" s="97"/>
      <c r="N343" s="235" t="s">
        <v>80</v>
      </c>
      <c r="O343" s="419">
        <v>15</v>
      </c>
      <c r="P343" s="170">
        <v>0</v>
      </c>
      <c r="Q343" s="170">
        <v>0</v>
      </c>
      <c r="R343" s="170">
        <v>0</v>
      </c>
      <c r="S343" s="170">
        <v>0</v>
      </c>
      <c r="T343" s="170">
        <v>0</v>
      </c>
      <c r="U343" s="170">
        <v>0</v>
      </c>
      <c r="V343" s="170">
        <v>0</v>
      </c>
      <c r="W343" s="170">
        <v>0</v>
      </c>
      <c r="X343" s="170">
        <v>0</v>
      </c>
      <c r="Y343" s="170">
        <f>0</f>
        <v>0</v>
      </c>
      <c r="Z343" s="420">
        <f>0</f>
        <v>0</v>
      </c>
      <c r="AA343" s="391">
        <f t="shared" si="15"/>
        <v>15</v>
      </c>
      <c r="AB343" s="392"/>
      <c r="AC343" s="190">
        <f t="shared" si="16"/>
        <v>15</v>
      </c>
      <c r="AD343" s="194" t="s">
        <v>1560</v>
      </c>
      <c r="AE343" s="195" t="s">
        <v>239</v>
      </c>
      <c r="AF343" s="148" t="s">
        <v>1559</v>
      </c>
      <c r="AG343" s="151"/>
      <c r="AH343" s="113"/>
      <c r="AI343" s="98" t="s">
        <v>1448</v>
      </c>
      <c r="AJ343" s="99">
        <v>15</v>
      </c>
      <c r="AK343" s="197">
        <f t="shared" si="18"/>
        <v>0</v>
      </c>
      <c r="AL343" s="98" t="s">
        <v>1613</v>
      </c>
      <c r="AM343" s="90"/>
      <c r="AN343" s="100"/>
      <c r="AO343" s="198"/>
    </row>
    <row r="344" spans="1:41" s="308" customFormat="1" ht="30.75" hidden="1" customHeight="1" x14ac:dyDescent="0.35">
      <c r="A344" s="244">
        <v>412</v>
      </c>
      <c r="B344" s="253">
        <v>44946</v>
      </c>
      <c r="C344" s="254" t="s">
        <v>456</v>
      </c>
      <c r="D344" s="236"/>
      <c r="E344" s="236"/>
      <c r="F344" s="185" t="s">
        <v>1004</v>
      </c>
      <c r="G344" s="97" t="s">
        <v>1097</v>
      </c>
      <c r="H344" s="97" t="s">
        <v>1097</v>
      </c>
      <c r="I344" s="544" t="s">
        <v>168</v>
      </c>
      <c r="J344" s="97"/>
      <c r="K344" s="97"/>
      <c r="L344" s="97"/>
      <c r="M344" s="97"/>
      <c r="N344" s="235" t="s">
        <v>80</v>
      </c>
      <c r="O344" s="419">
        <v>49</v>
      </c>
      <c r="P344" s="170">
        <v>0</v>
      </c>
      <c r="Q344" s="170">
        <v>0</v>
      </c>
      <c r="R344" s="170">
        <v>0</v>
      </c>
      <c r="S344" s="170">
        <v>0</v>
      </c>
      <c r="T344" s="170">
        <v>0</v>
      </c>
      <c r="U344" s="170">
        <v>0</v>
      </c>
      <c r="V344" s="170">
        <v>0</v>
      </c>
      <c r="W344" s="170">
        <v>0</v>
      </c>
      <c r="X344" s="170">
        <v>0</v>
      </c>
      <c r="Y344" s="170">
        <f>0</f>
        <v>0</v>
      </c>
      <c r="Z344" s="420">
        <f>0</f>
        <v>0</v>
      </c>
      <c r="AA344" s="391">
        <f t="shared" si="15"/>
        <v>49</v>
      </c>
      <c r="AB344" s="392"/>
      <c r="AC344" s="190">
        <f t="shared" si="16"/>
        <v>49</v>
      </c>
      <c r="AD344" s="194" t="s">
        <v>1560</v>
      </c>
      <c r="AE344" s="195" t="s">
        <v>239</v>
      </c>
      <c r="AF344" s="97" t="s">
        <v>1559</v>
      </c>
      <c r="AG344" s="151"/>
      <c r="AH344" s="113"/>
      <c r="AI344" s="98" t="s">
        <v>1448</v>
      </c>
      <c r="AJ344" s="99"/>
      <c r="AK344" s="197">
        <f t="shared" si="18"/>
        <v>49</v>
      </c>
      <c r="AL344" s="98"/>
      <c r="AM344" s="90"/>
      <c r="AN344" s="100"/>
      <c r="AO344" s="198"/>
    </row>
    <row r="345" spans="1:41" s="308" customFormat="1" ht="30.75" hidden="1" customHeight="1" x14ac:dyDescent="0.35">
      <c r="A345" s="252">
        <v>414</v>
      </c>
      <c r="B345" s="253">
        <v>44946</v>
      </c>
      <c r="C345" s="254" t="s">
        <v>456</v>
      </c>
      <c r="D345" s="233"/>
      <c r="E345" s="504"/>
      <c r="F345" s="241" t="s">
        <v>1006</v>
      </c>
      <c r="G345" s="189" t="s">
        <v>1099</v>
      </c>
      <c r="H345" s="189" t="s">
        <v>1099</v>
      </c>
      <c r="I345" s="535" t="s">
        <v>168</v>
      </c>
      <c r="J345" s="189"/>
      <c r="K345" s="189"/>
      <c r="L345" s="189"/>
      <c r="M345" s="189"/>
      <c r="N345" s="243" t="s">
        <v>80</v>
      </c>
      <c r="O345" s="417">
        <v>1</v>
      </c>
      <c r="P345" s="90">
        <v>0</v>
      </c>
      <c r="Q345" s="90">
        <v>0</v>
      </c>
      <c r="R345" s="90">
        <v>0</v>
      </c>
      <c r="S345" s="90">
        <v>0</v>
      </c>
      <c r="T345" s="90">
        <v>0</v>
      </c>
      <c r="U345" s="90">
        <v>0</v>
      </c>
      <c r="V345" s="90">
        <v>0</v>
      </c>
      <c r="W345" s="90">
        <v>0</v>
      </c>
      <c r="X345" s="90">
        <v>0</v>
      </c>
      <c r="Y345" s="90">
        <f>0</f>
        <v>0</v>
      </c>
      <c r="Z345" s="418">
        <f>0</f>
        <v>0</v>
      </c>
      <c r="AA345" s="150">
        <f t="shared" si="15"/>
        <v>1</v>
      </c>
      <c r="AB345" s="178">
        <v>1</v>
      </c>
      <c r="AC345" s="179">
        <f t="shared" si="16"/>
        <v>0</v>
      </c>
      <c r="AD345" s="204">
        <v>44976</v>
      </c>
      <c r="AE345" s="205" t="s">
        <v>239</v>
      </c>
      <c r="AF345" s="189" t="s">
        <v>1452</v>
      </c>
      <c r="AG345" s="206"/>
      <c r="AH345" s="205"/>
      <c r="AI345" s="101" t="s">
        <v>1448</v>
      </c>
      <c r="AJ345" s="102" t="s">
        <v>286</v>
      </c>
      <c r="AK345" s="207" t="e">
        <f t="shared" si="18"/>
        <v>#VALUE!</v>
      </c>
      <c r="AL345" s="101" t="s">
        <v>1453</v>
      </c>
      <c r="AM345" s="96"/>
      <c r="AN345" s="103"/>
      <c r="AO345" s="208"/>
    </row>
    <row r="346" spans="1:41" s="308" customFormat="1" ht="30.75" hidden="1" customHeight="1" x14ac:dyDescent="0.35">
      <c r="A346" s="244">
        <v>415</v>
      </c>
      <c r="B346" s="253">
        <v>44946</v>
      </c>
      <c r="C346" s="254" t="s">
        <v>456</v>
      </c>
      <c r="D346" s="236"/>
      <c r="E346" s="236"/>
      <c r="F346" s="185" t="s">
        <v>1007</v>
      </c>
      <c r="G346" s="97" t="s">
        <v>1100</v>
      </c>
      <c r="H346" s="97" t="s">
        <v>1100</v>
      </c>
      <c r="I346" s="544" t="s">
        <v>168</v>
      </c>
      <c r="J346" s="97"/>
      <c r="K346" s="97"/>
      <c r="L346" s="97"/>
      <c r="M346" s="97"/>
      <c r="N346" s="235" t="s">
        <v>80</v>
      </c>
      <c r="O346" s="417">
        <v>9</v>
      </c>
      <c r="P346" s="90">
        <v>0</v>
      </c>
      <c r="Q346" s="90">
        <v>0</v>
      </c>
      <c r="R346" s="90">
        <v>0</v>
      </c>
      <c r="S346" s="90">
        <v>0</v>
      </c>
      <c r="T346" s="90">
        <v>0</v>
      </c>
      <c r="U346" s="90">
        <v>0</v>
      </c>
      <c r="V346" s="90">
        <v>0</v>
      </c>
      <c r="W346" s="90">
        <v>0</v>
      </c>
      <c r="X346" s="90">
        <v>0</v>
      </c>
      <c r="Y346" s="90">
        <f>0</f>
        <v>0</v>
      </c>
      <c r="Z346" s="418">
        <f>0</f>
        <v>0</v>
      </c>
      <c r="AA346" s="192">
        <f t="shared" si="15"/>
        <v>9</v>
      </c>
      <c r="AB346" s="193">
        <v>6</v>
      </c>
      <c r="AC346" s="190">
        <f t="shared" si="16"/>
        <v>3</v>
      </c>
      <c r="AD346" s="194" t="s">
        <v>1560</v>
      </c>
      <c r="AE346" s="195" t="s">
        <v>239</v>
      </c>
      <c r="AF346" s="97" t="s">
        <v>1559</v>
      </c>
      <c r="AG346" s="196"/>
      <c r="AH346" s="195"/>
      <c r="AI346" s="98" t="s">
        <v>1448</v>
      </c>
      <c r="AJ346" s="99" t="s">
        <v>1614</v>
      </c>
      <c r="AK346" s="197" t="e">
        <f t="shared" si="18"/>
        <v>#VALUE!</v>
      </c>
      <c r="AL346" s="98" t="s">
        <v>1615</v>
      </c>
      <c r="AM346" s="90"/>
      <c r="AN346" s="100"/>
      <c r="AO346" s="198"/>
    </row>
    <row r="347" spans="1:41" s="308" customFormat="1" ht="30.75" hidden="1" customHeight="1" x14ac:dyDescent="0.35">
      <c r="A347" s="252">
        <v>417</v>
      </c>
      <c r="B347" s="253">
        <v>44946</v>
      </c>
      <c r="C347" s="254" t="s">
        <v>456</v>
      </c>
      <c r="D347" s="236"/>
      <c r="E347" s="453"/>
      <c r="F347" s="185" t="s">
        <v>1009</v>
      </c>
      <c r="G347" s="97" t="s">
        <v>1102</v>
      </c>
      <c r="H347" s="97" t="s">
        <v>1102</v>
      </c>
      <c r="I347" s="544" t="s">
        <v>168</v>
      </c>
      <c r="J347" s="97"/>
      <c r="K347" s="97"/>
      <c r="L347" s="97"/>
      <c r="M347" s="97"/>
      <c r="N347" s="235" t="s">
        <v>80</v>
      </c>
      <c r="O347" s="417">
        <v>1</v>
      </c>
      <c r="P347" s="90">
        <v>0</v>
      </c>
      <c r="Q347" s="90">
        <v>0</v>
      </c>
      <c r="R347" s="90">
        <v>0</v>
      </c>
      <c r="S347" s="90">
        <v>0</v>
      </c>
      <c r="T347" s="90">
        <v>0</v>
      </c>
      <c r="U347" s="90">
        <v>0</v>
      </c>
      <c r="V347" s="90">
        <v>0</v>
      </c>
      <c r="W347" s="90">
        <v>0</v>
      </c>
      <c r="X347" s="90">
        <v>0</v>
      </c>
      <c r="Y347" s="90">
        <f>0</f>
        <v>0</v>
      </c>
      <c r="Z347" s="418">
        <f>0</f>
        <v>0</v>
      </c>
      <c r="AA347" s="192">
        <f t="shared" si="15"/>
        <v>1</v>
      </c>
      <c r="AB347" s="193">
        <v>1</v>
      </c>
      <c r="AC347" s="190">
        <f t="shared" si="16"/>
        <v>0</v>
      </c>
      <c r="AD347" s="194">
        <v>44976</v>
      </c>
      <c r="AE347" s="195" t="s">
        <v>239</v>
      </c>
      <c r="AF347" s="97" t="s">
        <v>1450</v>
      </c>
      <c r="AG347" s="196"/>
      <c r="AH347" s="195"/>
      <c r="AI347" s="98" t="s">
        <v>1448</v>
      </c>
      <c r="AJ347" s="99" t="s">
        <v>286</v>
      </c>
      <c r="AK347" s="197" t="e">
        <f t="shared" si="18"/>
        <v>#VALUE!</v>
      </c>
      <c r="AL347" s="98" t="s">
        <v>1449</v>
      </c>
      <c r="AM347" s="90"/>
      <c r="AN347" s="100"/>
      <c r="AO347" s="198"/>
    </row>
    <row r="348" spans="1:41" s="308" customFormat="1" ht="30.75" hidden="1" customHeight="1" x14ac:dyDescent="0.35">
      <c r="A348" s="252">
        <v>413</v>
      </c>
      <c r="B348" s="253">
        <v>44946</v>
      </c>
      <c r="C348" s="254" t="s">
        <v>456</v>
      </c>
      <c r="D348" s="236"/>
      <c r="E348" s="236"/>
      <c r="F348" s="185" t="s">
        <v>1005</v>
      </c>
      <c r="G348" s="97" t="s">
        <v>1098</v>
      </c>
      <c r="H348" s="97" t="s">
        <v>1098</v>
      </c>
      <c r="I348" s="212" t="s">
        <v>1192</v>
      </c>
      <c r="J348" s="97"/>
      <c r="K348" s="97"/>
      <c r="L348" s="97"/>
      <c r="M348" s="235"/>
      <c r="N348" s="235"/>
      <c r="O348" s="417">
        <v>9</v>
      </c>
      <c r="P348" s="90">
        <v>0</v>
      </c>
      <c r="Q348" s="90">
        <v>0</v>
      </c>
      <c r="R348" s="90">
        <v>0</v>
      </c>
      <c r="S348" s="90">
        <v>0</v>
      </c>
      <c r="T348" s="90">
        <v>0</v>
      </c>
      <c r="U348" s="90">
        <v>0</v>
      </c>
      <c r="V348" s="90">
        <v>0</v>
      </c>
      <c r="W348" s="90">
        <v>0</v>
      </c>
      <c r="X348" s="90">
        <v>0</v>
      </c>
      <c r="Y348" s="90">
        <f>0</f>
        <v>0</v>
      </c>
      <c r="Z348" s="418">
        <f>0</f>
        <v>0</v>
      </c>
      <c r="AA348" s="192">
        <f t="shared" si="15"/>
        <v>9</v>
      </c>
      <c r="AB348" s="193">
        <v>9</v>
      </c>
      <c r="AC348" s="190">
        <f t="shared" si="16"/>
        <v>0</v>
      </c>
      <c r="AD348" s="194"/>
      <c r="AE348" s="205" t="s">
        <v>531</v>
      </c>
      <c r="AF348" s="189" t="s">
        <v>44</v>
      </c>
      <c r="AG348" s="196"/>
      <c r="AH348" s="195"/>
      <c r="AI348" s="98"/>
      <c r="AJ348" s="99" t="s">
        <v>501</v>
      </c>
      <c r="AK348" s="197" t="e">
        <f t="shared" si="18"/>
        <v>#VALUE!</v>
      </c>
      <c r="AL348" s="98" t="s">
        <v>1239</v>
      </c>
      <c r="AM348" s="90"/>
      <c r="AN348" s="100"/>
      <c r="AO348" s="198"/>
    </row>
    <row r="349" spans="1:41" s="308" customFormat="1" ht="30.75" hidden="1" customHeight="1" x14ac:dyDescent="0.35">
      <c r="A349" s="244">
        <v>416</v>
      </c>
      <c r="B349" s="253">
        <v>44946</v>
      </c>
      <c r="C349" s="254" t="s">
        <v>456</v>
      </c>
      <c r="D349" s="236"/>
      <c r="E349" s="236"/>
      <c r="F349" s="185" t="s">
        <v>1008</v>
      </c>
      <c r="G349" s="97" t="s">
        <v>1101</v>
      </c>
      <c r="H349" s="97" t="s">
        <v>1101</v>
      </c>
      <c r="I349" s="212" t="s">
        <v>1192</v>
      </c>
      <c r="J349" s="97"/>
      <c r="K349" s="97"/>
      <c r="L349" s="97"/>
      <c r="M349" s="235"/>
      <c r="N349" s="235"/>
      <c r="O349" s="417">
        <v>1</v>
      </c>
      <c r="P349" s="90">
        <v>0</v>
      </c>
      <c r="Q349" s="90">
        <v>0</v>
      </c>
      <c r="R349" s="90">
        <v>0</v>
      </c>
      <c r="S349" s="90">
        <v>0</v>
      </c>
      <c r="T349" s="90">
        <v>0</v>
      </c>
      <c r="U349" s="90">
        <v>0</v>
      </c>
      <c r="V349" s="90">
        <v>0</v>
      </c>
      <c r="W349" s="90">
        <v>0</v>
      </c>
      <c r="X349" s="90">
        <v>0</v>
      </c>
      <c r="Y349" s="90">
        <f>0</f>
        <v>0</v>
      </c>
      <c r="Z349" s="418">
        <f>0</f>
        <v>0</v>
      </c>
      <c r="AA349" s="192">
        <f t="shared" si="15"/>
        <v>1</v>
      </c>
      <c r="AB349" s="193">
        <v>1</v>
      </c>
      <c r="AC349" s="190">
        <f t="shared" si="16"/>
        <v>0</v>
      </c>
      <c r="AD349" s="194"/>
      <c r="AE349" s="205" t="s">
        <v>531</v>
      </c>
      <c r="AF349" s="189" t="s">
        <v>44</v>
      </c>
      <c r="AG349" s="196"/>
      <c r="AH349" s="195"/>
      <c r="AI349" s="98"/>
      <c r="AJ349" s="99" t="s">
        <v>501</v>
      </c>
      <c r="AK349" s="197" t="e">
        <f t="shared" si="18"/>
        <v>#VALUE!</v>
      </c>
      <c r="AL349" s="98" t="s">
        <v>1239</v>
      </c>
      <c r="AM349" s="90"/>
      <c r="AN349" s="100"/>
      <c r="AO349" s="198"/>
    </row>
    <row r="350" spans="1:41" s="308" customFormat="1" ht="30.75" hidden="1" customHeight="1" x14ac:dyDescent="0.35">
      <c r="A350" s="252">
        <v>418</v>
      </c>
      <c r="B350" s="253">
        <v>44946</v>
      </c>
      <c r="C350" s="254" t="s">
        <v>456</v>
      </c>
      <c r="D350" s="236"/>
      <c r="E350" s="236"/>
      <c r="F350" s="185" t="s">
        <v>1010</v>
      </c>
      <c r="G350" s="97" t="s">
        <v>1103</v>
      </c>
      <c r="H350" s="97" t="s">
        <v>1103</v>
      </c>
      <c r="I350" s="212" t="s">
        <v>1192</v>
      </c>
      <c r="J350" s="97"/>
      <c r="K350" s="97"/>
      <c r="L350" s="97"/>
      <c r="M350" s="235"/>
      <c r="N350" s="235"/>
      <c r="O350" s="417">
        <v>1</v>
      </c>
      <c r="P350" s="90">
        <v>0</v>
      </c>
      <c r="Q350" s="90">
        <v>0</v>
      </c>
      <c r="R350" s="90">
        <v>0</v>
      </c>
      <c r="S350" s="90">
        <v>0</v>
      </c>
      <c r="T350" s="90">
        <v>0</v>
      </c>
      <c r="U350" s="90">
        <v>0</v>
      </c>
      <c r="V350" s="90">
        <v>0</v>
      </c>
      <c r="W350" s="90">
        <v>0</v>
      </c>
      <c r="X350" s="90">
        <v>0</v>
      </c>
      <c r="Y350" s="90">
        <f>0</f>
        <v>0</v>
      </c>
      <c r="Z350" s="418">
        <f>0</f>
        <v>0</v>
      </c>
      <c r="AA350" s="192">
        <f t="shared" si="15"/>
        <v>1</v>
      </c>
      <c r="AB350" s="193">
        <v>1</v>
      </c>
      <c r="AC350" s="190">
        <f t="shared" si="16"/>
        <v>0</v>
      </c>
      <c r="AD350" s="194"/>
      <c r="AE350" s="205" t="s">
        <v>531</v>
      </c>
      <c r="AF350" s="189" t="s">
        <v>44</v>
      </c>
      <c r="AG350" s="196"/>
      <c r="AH350" s="195"/>
      <c r="AI350" s="98"/>
      <c r="AJ350" s="99" t="s">
        <v>501</v>
      </c>
      <c r="AK350" s="197" t="e">
        <f t="shared" si="18"/>
        <v>#VALUE!</v>
      </c>
      <c r="AL350" s="98" t="s">
        <v>1239</v>
      </c>
      <c r="AM350" s="90"/>
      <c r="AN350" s="100"/>
      <c r="AO350" s="198"/>
    </row>
    <row r="351" spans="1:41" s="308" customFormat="1" ht="30.75" hidden="1" customHeight="1" x14ac:dyDescent="0.35">
      <c r="A351" s="252">
        <v>419</v>
      </c>
      <c r="B351" s="253">
        <v>44946</v>
      </c>
      <c r="C351" s="254" t="s">
        <v>456</v>
      </c>
      <c r="D351" s="236"/>
      <c r="E351" s="236"/>
      <c r="F351" s="185" t="s">
        <v>1011</v>
      </c>
      <c r="G351" s="97" t="s">
        <v>573</v>
      </c>
      <c r="H351" s="97" t="s">
        <v>573</v>
      </c>
      <c r="I351" s="212" t="s">
        <v>1192</v>
      </c>
      <c r="J351" s="97"/>
      <c r="K351" s="97"/>
      <c r="L351" s="97"/>
      <c r="M351" s="235"/>
      <c r="N351" s="235" t="s">
        <v>80</v>
      </c>
      <c r="O351" s="417">
        <v>1</v>
      </c>
      <c r="P351" s="90">
        <v>0</v>
      </c>
      <c r="Q351" s="90">
        <v>0</v>
      </c>
      <c r="R351" s="90">
        <v>0</v>
      </c>
      <c r="S351" s="90">
        <v>0</v>
      </c>
      <c r="T351" s="90">
        <v>0</v>
      </c>
      <c r="U351" s="90">
        <v>0</v>
      </c>
      <c r="V351" s="90">
        <v>0</v>
      </c>
      <c r="W351" s="90">
        <v>0</v>
      </c>
      <c r="X351" s="90">
        <v>0</v>
      </c>
      <c r="Y351" s="90">
        <f>0</f>
        <v>0</v>
      </c>
      <c r="Z351" s="418">
        <f>0</f>
        <v>0</v>
      </c>
      <c r="AA351" s="192">
        <f t="shared" si="15"/>
        <v>1</v>
      </c>
      <c r="AB351" s="193"/>
      <c r="AC351" s="190">
        <f t="shared" si="16"/>
        <v>1</v>
      </c>
      <c r="AD351" s="194"/>
      <c r="AE351" s="195"/>
      <c r="AF351" s="97" t="s">
        <v>294</v>
      </c>
      <c r="AG351" s="196"/>
      <c r="AH351" s="195"/>
      <c r="AI351" s="98"/>
      <c r="AJ351" s="99" t="s">
        <v>501</v>
      </c>
      <c r="AK351" s="197" t="e">
        <f t="shared" si="18"/>
        <v>#VALUE!</v>
      </c>
      <c r="AL351" s="98"/>
      <c r="AM351" s="90"/>
      <c r="AN351" s="100"/>
      <c r="AO351" s="198"/>
    </row>
    <row r="352" spans="1:41" s="308" customFormat="1" ht="30.75" hidden="1" customHeight="1" x14ac:dyDescent="0.35">
      <c r="A352" s="244">
        <v>420</v>
      </c>
      <c r="B352" s="253">
        <v>44946</v>
      </c>
      <c r="C352" s="254" t="s">
        <v>456</v>
      </c>
      <c r="D352" s="236"/>
      <c r="E352" s="236"/>
      <c r="F352" s="185" t="s">
        <v>1012</v>
      </c>
      <c r="G352" s="97" t="s">
        <v>1104</v>
      </c>
      <c r="H352" s="97" t="s">
        <v>1104</v>
      </c>
      <c r="I352" s="212" t="s">
        <v>1192</v>
      </c>
      <c r="J352" s="97"/>
      <c r="K352" s="97"/>
      <c r="L352" s="97"/>
      <c r="M352" s="235"/>
      <c r="N352" s="235"/>
      <c r="O352" s="417">
        <v>2</v>
      </c>
      <c r="P352" s="90">
        <v>0</v>
      </c>
      <c r="Q352" s="90">
        <v>0</v>
      </c>
      <c r="R352" s="90">
        <v>0</v>
      </c>
      <c r="S352" s="90">
        <v>0</v>
      </c>
      <c r="T352" s="90">
        <v>0</v>
      </c>
      <c r="U352" s="90">
        <v>0</v>
      </c>
      <c r="V352" s="90">
        <v>0</v>
      </c>
      <c r="W352" s="90">
        <v>0</v>
      </c>
      <c r="X352" s="90">
        <v>0</v>
      </c>
      <c r="Y352" s="90">
        <f>0</f>
        <v>0</v>
      </c>
      <c r="Z352" s="418">
        <f>0</f>
        <v>0</v>
      </c>
      <c r="AA352" s="192">
        <f t="shared" si="15"/>
        <v>2</v>
      </c>
      <c r="AB352" s="193">
        <v>2</v>
      </c>
      <c r="AC352" s="190">
        <f t="shared" si="16"/>
        <v>0</v>
      </c>
      <c r="AD352" s="204"/>
      <c r="AE352" s="205" t="s">
        <v>531</v>
      </c>
      <c r="AF352" s="97" t="s">
        <v>44</v>
      </c>
      <c r="AG352" s="196"/>
      <c r="AH352" s="205"/>
      <c r="AI352" s="98"/>
      <c r="AJ352" s="99" t="s">
        <v>501</v>
      </c>
      <c r="AK352" s="197" t="e">
        <f t="shared" si="18"/>
        <v>#VALUE!</v>
      </c>
      <c r="AL352" s="98" t="s">
        <v>1239</v>
      </c>
      <c r="AM352" s="90"/>
      <c r="AN352" s="100"/>
      <c r="AO352" s="198"/>
    </row>
    <row r="353" spans="1:41" s="308" customFormat="1" ht="30.75" hidden="1" customHeight="1" x14ac:dyDescent="0.35">
      <c r="A353" s="252">
        <v>421</v>
      </c>
      <c r="B353" s="253">
        <v>44946</v>
      </c>
      <c r="C353" s="254" t="s">
        <v>456</v>
      </c>
      <c r="D353" s="236"/>
      <c r="E353" s="236"/>
      <c r="F353" s="185" t="s">
        <v>1013</v>
      </c>
      <c r="G353" s="97" t="s">
        <v>1105</v>
      </c>
      <c r="H353" s="97" t="s">
        <v>1105</v>
      </c>
      <c r="I353" s="212" t="s">
        <v>1192</v>
      </c>
      <c r="J353" s="97"/>
      <c r="K353" s="97"/>
      <c r="L353" s="97"/>
      <c r="M353" s="235"/>
      <c r="N353" s="235"/>
      <c r="O353" s="417">
        <v>2</v>
      </c>
      <c r="P353" s="90">
        <v>0</v>
      </c>
      <c r="Q353" s="90">
        <v>0</v>
      </c>
      <c r="R353" s="90">
        <v>0</v>
      </c>
      <c r="S353" s="90">
        <v>0</v>
      </c>
      <c r="T353" s="90">
        <v>0</v>
      </c>
      <c r="U353" s="90">
        <v>0</v>
      </c>
      <c r="V353" s="90">
        <v>0</v>
      </c>
      <c r="W353" s="90">
        <v>0</v>
      </c>
      <c r="X353" s="90">
        <v>0</v>
      </c>
      <c r="Y353" s="90">
        <f>0</f>
        <v>0</v>
      </c>
      <c r="Z353" s="418">
        <f>0</f>
        <v>0</v>
      </c>
      <c r="AA353" s="192">
        <f t="shared" si="15"/>
        <v>2</v>
      </c>
      <c r="AB353" s="193">
        <v>2</v>
      </c>
      <c r="AC353" s="190">
        <f t="shared" si="16"/>
        <v>0</v>
      </c>
      <c r="AD353" s="194"/>
      <c r="AE353" s="205" t="s">
        <v>531</v>
      </c>
      <c r="AF353" s="189" t="s">
        <v>44</v>
      </c>
      <c r="AG353" s="196"/>
      <c r="AH353" s="195"/>
      <c r="AI353" s="98"/>
      <c r="AJ353" s="99" t="s">
        <v>501</v>
      </c>
      <c r="AK353" s="197" t="e">
        <f t="shared" si="18"/>
        <v>#VALUE!</v>
      </c>
      <c r="AL353" s="98" t="s">
        <v>1239</v>
      </c>
      <c r="AM353" s="90"/>
      <c r="AN353" s="100"/>
      <c r="AO353" s="198"/>
    </row>
    <row r="354" spans="1:41" s="366" customFormat="1" ht="30.75" hidden="1" customHeight="1" x14ac:dyDescent="0.35">
      <c r="A354" s="244">
        <v>422</v>
      </c>
      <c r="B354" s="253">
        <v>44946</v>
      </c>
      <c r="C354" s="254" t="s">
        <v>456</v>
      </c>
      <c r="D354" s="236"/>
      <c r="E354" s="236"/>
      <c r="F354" s="185" t="s">
        <v>1014</v>
      </c>
      <c r="G354" s="97" t="s">
        <v>1106</v>
      </c>
      <c r="H354" s="97" t="s">
        <v>1106</v>
      </c>
      <c r="I354" s="212" t="s">
        <v>1193</v>
      </c>
      <c r="J354" s="97"/>
      <c r="K354" s="97"/>
      <c r="L354" s="97"/>
      <c r="M354" s="235"/>
      <c r="N354" s="235"/>
      <c r="O354" s="343">
        <v>1</v>
      </c>
      <c r="P354" s="169">
        <v>0</v>
      </c>
      <c r="Q354" s="169">
        <v>0</v>
      </c>
      <c r="R354" s="169">
        <v>0</v>
      </c>
      <c r="S354" s="169">
        <v>0</v>
      </c>
      <c r="T354" s="169">
        <v>0</v>
      </c>
      <c r="U354" s="169">
        <v>0</v>
      </c>
      <c r="V354" s="169">
        <v>0</v>
      </c>
      <c r="W354" s="169">
        <v>0</v>
      </c>
      <c r="X354" s="169">
        <v>0</v>
      </c>
      <c r="Y354" s="169">
        <f>0</f>
        <v>0</v>
      </c>
      <c r="Z354" s="219">
        <f>0</f>
        <v>0</v>
      </c>
      <c r="AA354" s="160">
        <f t="shared" si="15"/>
        <v>1</v>
      </c>
      <c r="AB354" s="141">
        <v>1</v>
      </c>
      <c r="AC354" s="172">
        <f t="shared" si="16"/>
        <v>0</v>
      </c>
      <c r="AD354" s="194"/>
      <c r="AE354" s="195" t="s">
        <v>531</v>
      </c>
      <c r="AF354" s="97" t="s">
        <v>44</v>
      </c>
      <c r="AG354" s="196"/>
      <c r="AH354" s="195"/>
      <c r="AI354" s="98"/>
      <c r="AJ354" s="99" t="s">
        <v>501</v>
      </c>
      <c r="AK354" s="197" t="e">
        <f t="shared" si="18"/>
        <v>#VALUE!</v>
      </c>
      <c r="AL354" s="98" t="s">
        <v>1239</v>
      </c>
      <c r="AM354" s="90"/>
      <c r="AN354" s="100"/>
      <c r="AO354" s="198"/>
    </row>
    <row r="355" spans="1:41" s="308" customFormat="1" ht="30.75" hidden="1" customHeight="1" x14ac:dyDescent="0.35">
      <c r="A355" s="252">
        <v>187</v>
      </c>
      <c r="B355" s="253" t="s">
        <v>616</v>
      </c>
      <c r="C355" s="254" t="s">
        <v>617</v>
      </c>
      <c r="D355" s="299" t="s">
        <v>625</v>
      </c>
      <c r="E355" s="230" t="s">
        <v>324</v>
      </c>
      <c r="F355" s="231" t="s">
        <v>626</v>
      </c>
      <c r="G355" s="230" t="s">
        <v>627</v>
      </c>
      <c r="H355" s="230" t="s">
        <v>628</v>
      </c>
      <c r="I355" s="542" t="s">
        <v>629</v>
      </c>
      <c r="J355" s="231" t="s">
        <v>251</v>
      </c>
      <c r="K355" s="231" t="s">
        <v>252</v>
      </c>
      <c r="L355" s="231" t="s">
        <v>252</v>
      </c>
      <c r="M355" s="235"/>
      <c r="N355" s="324" t="s">
        <v>643</v>
      </c>
      <c r="O355" s="343">
        <f>0</f>
        <v>0</v>
      </c>
      <c r="P355" s="169">
        <f>0</f>
        <v>0</v>
      </c>
      <c r="Q355" s="169">
        <f>0</f>
        <v>0</v>
      </c>
      <c r="R355" s="169">
        <f>0</f>
        <v>0</v>
      </c>
      <c r="S355" s="169">
        <f>0</f>
        <v>0</v>
      </c>
      <c r="T355" s="169">
        <f>0</f>
        <v>0</v>
      </c>
      <c r="U355" s="169">
        <f>0</f>
        <v>0</v>
      </c>
      <c r="V355" s="169">
        <f>0</f>
        <v>0</v>
      </c>
      <c r="W355" s="169">
        <v>4</v>
      </c>
      <c r="X355" s="169">
        <f>0</f>
        <v>0</v>
      </c>
      <c r="Y355" s="169">
        <f>0</f>
        <v>0</v>
      </c>
      <c r="Z355" s="219">
        <f>0</f>
        <v>0</v>
      </c>
      <c r="AA355" s="192">
        <f t="shared" si="15"/>
        <v>4</v>
      </c>
      <c r="AB355" s="193"/>
      <c r="AC355" s="190">
        <f t="shared" si="16"/>
        <v>4</v>
      </c>
      <c r="AD355" s="204">
        <v>44937</v>
      </c>
      <c r="AE355" s="205" t="s">
        <v>284</v>
      </c>
      <c r="AF355" s="220" t="s">
        <v>747</v>
      </c>
      <c r="AG355" s="196"/>
      <c r="AH355" s="205"/>
      <c r="AI355" s="98"/>
      <c r="AJ355" s="99">
        <v>4</v>
      </c>
      <c r="AK355" s="197">
        <f t="shared" si="18"/>
        <v>0</v>
      </c>
      <c r="AL355" s="98" t="s">
        <v>780</v>
      </c>
      <c r="AM355" s="90"/>
      <c r="AN355" s="100"/>
      <c r="AO355" s="198"/>
    </row>
    <row r="356" spans="1:41" s="308" customFormat="1" ht="30.75" hidden="1" customHeight="1" x14ac:dyDescent="0.35">
      <c r="A356" s="244">
        <v>335</v>
      </c>
      <c r="B356" s="253">
        <v>44945</v>
      </c>
      <c r="C356" s="254" t="s">
        <v>863</v>
      </c>
      <c r="D356" s="236" t="s">
        <v>871</v>
      </c>
      <c r="E356" s="400">
        <v>0</v>
      </c>
      <c r="F356" s="185" t="s">
        <v>872</v>
      </c>
      <c r="G356" s="196" t="s">
        <v>871</v>
      </c>
      <c r="H356" s="97" t="s">
        <v>871</v>
      </c>
      <c r="I356" s="214" t="s">
        <v>629</v>
      </c>
      <c r="J356" s="97" t="s">
        <v>251</v>
      </c>
      <c r="K356" s="97" t="s">
        <v>252</v>
      </c>
      <c r="L356" s="97" t="s">
        <v>252</v>
      </c>
      <c r="M356" s="97" t="s">
        <v>873</v>
      </c>
      <c r="N356" s="235" t="s">
        <v>950</v>
      </c>
      <c r="O356" s="417">
        <v>0</v>
      </c>
      <c r="P356" s="90">
        <v>2</v>
      </c>
      <c r="Q356" s="90">
        <v>0</v>
      </c>
      <c r="R356" s="90">
        <v>0</v>
      </c>
      <c r="S356" s="90">
        <v>0</v>
      </c>
      <c r="T356" s="90">
        <v>0</v>
      </c>
      <c r="U356" s="90">
        <v>0</v>
      </c>
      <c r="V356" s="90">
        <f>0</f>
        <v>0</v>
      </c>
      <c r="W356" s="90">
        <v>0</v>
      </c>
      <c r="X356" s="90">
        <f>0</f>
        <v>0</v>
      </c>
      <c r="Y356" s="90">
        <f>0</f>
        <v>0</v>
      </c>
      <c r="Z356" s="418">
        <f>0</f>
        <v>0</v>
      </c>
      <c r="AA356" s="192">
        <f t="shared" si="15"/>
        <v>2</v>
      </c>
      <c r="AB356" s="193"/>
      <c r="AC356" s="190">
        <f t="shared" si="16"/>
        <v>2</v>
      </c>
      <c r="AD356" s="194" t="s">
        <v>1443</v>
      </c>
      <c r="AE356" s="195" t="s">
        <v>284</v>
      </c>
      <c r="AF356" s="97" t="s">
        <v>1445</v>
      </c>
      <c r="AG356" s="196"/>
      <c r="AH356" s="195"/>
      <c r="AI356" s="98"/>
      <c r="AJ356" s="99">
        <v>2</v>
      </c>
      <c r="AK356" s="197">
        <f t="shared" si="18"/>
        <v>0</v>
      </c>
      <c r="AL356" s="98" t="s">
        <v>1498</v>
      </c>
      <c r="AM356" s="90"/>
      <c r="AN356" s="100"/>
      <c r="AO356" s="198"/>
    </row>
    <row r="357" spans="1:41" s="308" customFormat="1" ht="30.75" hidden="1" customHeight="1" x14ac:dyDescent="0.35">
      <c r="A357" s="252">
        <v>494</v>
      </c>
      <c r="B357" s="253">
        <v>44949</v>
      </c>
      <c r="C357" s="254" t="s">
        <v>254</v>
      </c>
      <c r="D357" s="236" t="s">
        <v>1234</v>
      </c>
      <c r="E357" s="400" t="s">
        <v>324</v>
      </c>
      <c r="F357" s="185" t="s">
        <v>872</v>
      </c>
      <c r="G357" s="236" t="s">
        <v>1234</v>
      </c>
      <c r="H357" s="328" t="s">
        <v>1234</v>
      </c>
      <c r="I357" s="548" t="s">
        <v>629</v>
      </c>
      <c r="J357" s="97" t="s">
        <v>251</v>
      </c>
      <c r="K357" s="97" t="s">
        <v>252</v>
      </c>
      <c r="L357" s="97" t="s">
        <v>252</v>
      </c>
      <c r="M357" s="97" t="s">
        <v>252</v>
      </c>
      <c r="N357" s="235" t="s">
        <v>1222</v>
      </c>
      <c r="O357" s="417">
        <v>0</v>
      </c>
      <c r="P357" s="90">
        <v>0</v>
      </c>
      <c r="Q357" s="90">
        <v>0</v>
      </c>
      <c r="R357" s="90">
        <v>0</v>
      </c>
      <c r="S357" s="90">
        <v>0</v>
      </c>
      <c r="T357" s="90">
        <v>0</v>
      </c>
      <c r="U357" s="90">
        <v>1</v>
      </c>
      <c r="V357" s="90">
        <f>0</f>
        <v>0</v>
      </c>
      <c r="W357" s="90">
        <v>0</v>
      </c>
      <c r="X357" s="90">
        <f>0</f>
        <v>0</v>
      </c>
      <c r="Y357" s="90">
        <f>0</f>
        <v>0</v>
      </c>
      <c r="Z357" s="418">
        <f>0</f>
        <v>0</v>
      </c>
      <c r="AA357" s="192">
        <f t="shared" si="15"/>
        <v>1</v>
      </c>
      <c r="AB357" s="193"/>
      <c r="AC357" s="190">
        <f t="shared" si="16"/>
        <v>1</v>
      </c>
      <c r="AD357" s="194" t="s">
        <v>1444</v>
      </c>
      <c r="AE357" s="195" t="s">
        <v>284</v>
      </c>
      <c r="AF357" s="148" t="s">
        <v>1512</v>
      </c>
      <c r="AG357" s="196"/>
      <c r="AH357" s="205"/>
      <c r="AI357" s="98"/>
      <c r="AJ357" s="99">
        <v>1</v>
      </c>
      <c r="AK357" s="197">
        <f t="shared" si="18"/>
        <v>0</v>
      </c>
      <c r="AL357" s="98" t="s">
        <v>1498</v>
      </c>
      <c r="AM357" s="90"/>
      <c r="AN357" s="100"/>
      <c r="AO357" s="198"/>
    </row>
    <row r="358" spans="1:41" s="308" customFormat="1" ht="30.75" hidden="1" customHeight="1" x14ac:dyDescent="0.35">
      <c r="A358" s="244">
        <v>245</v>
      </c>
      <c r="B358" s="253" t="s">
        <v>455</v>
      </c>
      <c r="C358" s="254" t="s">
        <v>456</v>
      </c>
      <c r="D358" s="236"/>
      <c r="E358" s="236"/>
      <c r="F358" s="337" t="s">
        <v>457</v>
      </c>
      <c r="G358" s="338" t="s">
        <v>458</v>
      </c>
      <c r="H358" s="230" t="s">
        <v>459</v>
      </c>
      <c r="I358" s="532" t="s">
        <v>460</v>
      </c>
      <c r="J358" s="231"/>
      <c r="K358" s="231"/>
      <c r="L358" s="231"/>
      <c r="M358" s="600"/>
      <c r="N358" s="235" t="s">
        <v>71</v>
      </c>
      <c r="O358" s="343">
        <v>1</v>
      </c>
      <c r="P358" s="169">
        <f>0</f>
        <v>0</v>
      </c>
      <c r="Q358" s="169">
        <f>0</f>
        <v>0</v>
      </c>
      <c r="R358" s="169">
        <f>0</f>
        <v>0</v>
      </c>
      <c r="S358" s="169">
        <f>0</f>
        <v>0</v>
      </c>
      <c r="T358" s="169">
        <f>0</f>
        <v>0</v>
      </c>
      <c r="U358" s="169">
        <f>0</f>
        <v>0</v>
      </c>
      <c r="V358" s="169">
        <f>0</f>
        <v>0</v>
      </c>
      <c r="W358" s="169">
        <f>0</f>
        <v>0</v>
      </c>
      <c r="X358" s="169">
        <f>0</f>
        <v>0</v>
      </c>
      <c r="Y358" s="169">
        <f>0</f>
        <v>0</v>
      </c>
      <c r="Z358" s="219">
        <f>0</f>
        <v>0</v>
      </c>
      <c r="AA358" s="160">
        <f t="shared" si="15"/>
        <v>1</v>
      </c>
      <c r="AB358" s="141"/>
      <c r="AC358" s="172">
        <f t="shared" si="16"/>
        <v>1</v>
      </c>
      <c r="AD358" s="194"/>
      <c r="AE358" s="195" t="s">
        <v>239</v>
      </c>
      <c r="AF358" s="97" t="s">
        <v>463</v>
      </c>
      <c r="AG358" s="167" t="s">
        <v>434</v>
      </c>
      <c r="AH358" s="195"/>
      <c r="AI358" s="98"/>
      <c r="AJ358" s="99">
        <v>1</v>
      </c>
      <c r="AK358" s="197">
        <f t="shared" si="18"/>
        <v>0</v>
      </c>
      <c r="AL358" s="98" t="s">
        <v>1469</v>
      </c>
      <c r="AM358" s="109"/>
      <c r="AN358" s="110"/>
      <c r="AO358" s="198"/>
    </row>
    <row r="359" spans="1:41" s="308" customFormat="1" ht="53" hidden="1" thickTop="1" x14ac:dyDescent="0.35">
      <c r="A359" s="252">
        <v>246</v>
      </c>
      <c r="B359" s="253" t="s">
        <v>455</v>
      </c>
      <c r="C359" s="254" t="s">
        <v>456</v>
      </c>
      <c r="D359" s="97"/>
      <c r="E359" s="231"/>
      <c r="F359" s="334" t="s">
        <v>461</v>
      </c>
      <c r="G359" s="335" t="s">
        <v>462</v>
      </c>
      <c r="H359" s="336"/>
      <c r="I359" s="533" t="s">
        <v>460</v>
      </c>
      <c r="J359" s="231"/>
      <c r="K359" s="231"/>
      <c r="L359" s="231"/>
      <c r="M359" s="231"/>
      <c r="N359" s="235" t="s">
        <v>71</v>
      </c>
      <c r="O359" s="343">
        <v>1</v>
      </c>
      <c r="P359" s="169">
        <f>0</f>
        <v>0</v>
      </c>
      <c r="Q359" s="169">
        <f>0</f>
        <v>0</v>
      </c>
      <c r="R359" s="169">
        <f>0</f>
        <v>0</v>
      </c>
      <c r="S359" s="169">
        <f>0</f>
        <v>0</v>
      </c>
      <c r="T359" s="169">
        <f>0</f>
        <v>0</v>
      </c>
      <c r="U359" s="169">
        <f>0</f>
        <v>0</v>
      </c>
      <c r="V359" s="169">
        <f>0</f>
        <v>0</v>
      </c>
      <c r="W359" s="169">
        <f>0</f>
        <v>0</v>
      </c>
      <c r="X359" s="169">
        <f>0</f>
        <v>0</v>
      </c>
      <c r="Y359" s="169">
        <f>0</f>
        <v>0</v>
      </c>
      <c r="Z359" s="219">
        <f>0</f>
        <v>0</v>
      </c>
      <c r="AA359" s="160">
        <f t="shared" si="15"/>
        <v>1</v>
      </c>
      <c r="AB359" s="141"/>
      <c r="AC359" s="172">
        <f t="shared" si="16"/>
        <v>1</v>
      </c>
      <c r="AD359" s="194"/>
      <c r="AE359" s="195" t="s">
        <v>239</v>
      </c>
      <c r="AF359" s="97" t="s">
        <v>463</v>
      </c>
      <c r="AG359" s="167" t="s">
        <v>434</v>
      </c>
      <c r="AH359" s="195"/>
      <c r="AI359" s="98"/>
      <c r="AJ359" s="99">
        <v>1</v>
      </c>
      <c r="AK359" s="197">
        <f t="shared" si="18"/>
        <v>0</v>
      </c>
      <c r="AL359" s="98" t="s">
        <v>1469</v>
      </c>
      <c r="AM359" s="109"/>
      <c r="AN359" s="110"/>
      <c r="AO359" s="198"/>
    </row>
    <row r="360" spans="1:41" s="308" customFormat="1" ht="35.5" hidden="1" thickTop="1" x14ac:dyDescent="0.35">
      <c r="A360" s="244">
        <v>286</v>
      </c>
      <c r="B360" s="253">
        <v>44944</v>
      </c>
      <c r="C360" s="254" t="s">
        <v>817</v>
      </c>
      <c r="D360" s="236" t="s">
        <v>795</v>
      </c>
      <c r="E360" s="400"/>
      <c r="F360" s="185" t="s">
        <v>796</v>
      </c>
      <c r="G360" s="601" t="s">
        <v>1294</v>
      </c>
      <c r="H360" s="601" t="s">
        <v>1294</v>
      </c>
      <c r="I360" s="544" t="s">
        <v>1586</v>
      </c>
      <c r="J360" s="231"/>
      <c r="K360" s="231"/>
      <c r="L360" s="231"/>
      <c r="M360" s="231" t="s">
        <v>252</v>
      </c>
      <c r="N360" s="235" t="s">
        <v>814</v>
      </c>
      <c r="O360" s="417">
        <f>0</f>
        <v>0</v>
      </c>
      <c r="P360" s="90">
        <f>0</f>
        <v>0</v>
      </c>
      <c r="Q360" s="90">
        <f>0</f>
        <v>0</v>
      </c>
      <c r="R360" s="90">
        <v>18</v>
      </c>
      <c r="S360" s="90">
        <f>0</f>
        <v>0</v>
      </c>
      <c r="T360" s="90">
        <f>0</f>
        <v>0</v>
      </c>
      <c r="U360" s="90">
        <f>0</f>
        <v>0</v>
      </c>
      <c r="V360" s="90">
        <f>0</f>
        <v>0</v>
      </c>
      <c r="W360" s="90">
        <f>0</f>
        <v>0</v>
      </c>
      <c r="X360" s="90">
        <f>0</f>
        <v>0</v>
      </c>
      <c r="Y360" s="90">
        <f>0</f>
        <v>0</v>
      </c>
      <c r="Z360" s="418">
        <f>0</f>
        <v>0</v>
      </c>
      <c r="AA360" s="192">
        <f t="shared" si="15"/>
        <v>18</v>
      </c>
      <c r="AB360" s="193"/>
      <c r="AC360" s="190">
        <f t="shared" si="16"/>
        <v>18</v>
      </c>
      <c r="AD360" s="194">
        <v>45020</v>
      </c>
      <c r="AE360" s="195"/>
      <c r="AF360" s="97" t="s">
        <v>1585</v>
      </c>
      <c r="AG360" s="196"/>
      <c r="AH360" s="195"/>
      <c r="AI360" s="98" t="s">
        <v>1448</v>
      </c>
      <c r="AJ360" s="99">
        <v>18</v>
      </c>
      <c r="AK360" s="197">
        <f t="shared" si="18"/>
        <v>0</v>
      </c>
      <c r="AL360" s="98" t="s">
        <v>1604</v>
      </c>
      <c r="AM360" s="90"/>
      <c r="AN360" s="100"/>
      <c r="AO360" s="198"/>
    </row>
    <row r="361" spans="1:41" s="308" customFormat="1" ht="54.5" hidden="1" thickTop="1" x14ac:dyDescent="0.35">
      <c r="A361" s="252">
        <v>98</v>
      </c>
      <c r="B361" s="297">
        <v>44903</v>
      </c>
      <c r="C361" s="306" t="s">
        <v>374</v>
      </c>
      <c r="D361" s="299" t="s">
        <v>359</v>
      </c>
      <c r="E361" s="400" t="s">
        <v>330</v>
      </c>
      <c r="F361" s="185" t="s">
        <v>355</v>
      </c>
      <c r="G361" s="196" t="s">
        <v>359</v>
      </c>
      <c r="H361" s="328" t="s">
        <v>359</v>
      </c>
      <c r="I361" s="535" t="s">
        <v>332</v>
      </c>
      <c r="J361" s="244" t="s">
        <v>332</v>
      </c>
      <c r="K361" s="303" t="s">
        <v>1367</v>
      </c>
      <c r="L361" s="302"/>
      <c r="M361" s="310" t="s">
        <v>294</v>
      </c>
      <c r="N361" s="235" t="s">
        <v>71</v>
      </c>
      <c r="O361" s="343">
        <v>0</v>
      </c>
      <c r="P361" s="169">
        <f>0</f>
        <v>0</v>
      </c>
      <c r="Q361" s="169">
        <f>0</f>
        <v>0</v>
      </c>
      <c r="R361" s="169">
        <f>0</f>
        <v>0</v>
      </c>
      <c r="S361" s="169">
        <v>2</v>
      </c>
      <c r="T361" s="169">
        <f>0</f>
        <v>0</v>
      </c>
      <c r="U361" s="169">
        <f>0</f>
        <v>0</v>
      </c>
      <c r="V361" s="169">
        <f>0</f>
        <v>0</v>
      </c>
      <c r="W361" s="169">
        <f>0</f>
        <v>0</v>
      </c>
      <c r="X361" s="169">
        <f>0</f>
        <v>0</v>
      </c>
      <c r="Y361" s="169">
        <f>0</f>
        <v>0</v>
      </c>
      <c r="Z361" s="219">
        <f>0</f>
        <v>0</v>
      </c>
      <c r="AA361" s="160">
        <f t="shared" si="15"/>
        <v>2</v>
      </c>
      <c r="AB361" s="141">
        <f>0</f>
        <v>0</v>
      </c>
      <c r="AC361" s="172">
        <f t="shared" si="16"/>
        <v>2</v>
      </c>
      <c r="AD361" s="194"/>
      <c r="AE361" s="142" t="s">
        <v>284</v>
      </c>
      <c r="AF361" s="97"/>
      <c r="AG361" s="196"/>
      <c r="AH361" s="195"/>
      <c r="AI361" s="98"/>
      <c r="AJ361" s="143"/>
      <c r="AK361" s="414">
        <f t="shared" si="18"/>
        <v>2</v>
      </c>
      <c r="AL361" s="157"/>
      <c r="AM361" s="169"/>
      <c r="AN361" s="171"/>
      <c r="AO361" s="416"/>
    </row>
    <row r="362" spans="1:41" s="308" customFormat="1" ht="30.75" hidden="1" customHeight="1" x14ac:dyDescent="0.35">
      <c r="A362" s="244">
        <v>114</v>
      </c>
      <c r="B362" s="297">
        <v>44903</v>
      </c>
      <c r="C362" s="306" t="s">
        <v>374</v>
      </c>
      <c r="D362" s="305" t="s">
        <v>360</v>
      </c>
      <c r="E362" s="287" t="s">
        <v>330</v>
      </c>
      <c r="F362" s="241" t="s">
        <v>361</v>
      </c>
      <c r="G362" s="206" t="s">
        <v>360</v>
      </c>
      <c r="H362" s="329" t="s">
        <v>360</v>
      </c>
      <c r="I362" s="535" t="s">
        <v>332</v>
      </c>
      <c r="J362" s="252" t="s">
        <v>332</v>
      </c>
      <c r="K362" s="297" t="s">
        <v>252</v>
      </c>
      <c r="L362" s="306" t="s">
        <v>333</v>
      </c>
      <c r="M362" s="307"/>
      <c r="N362" s="243" t="s">
        <v>71</v>
      </c>
      <c r="O362" s="343">
        <v>0</v>
      </c>
      <c r="P362" s="169">
        <f>0</f>
        <v>0</v>
      </c>
      <c r="Q362" s="169">
        <f>0</f>
        <v>0</v>
      </c>
      <c r="R362" s="169">
        <f>0</f>
        <v>0</v>
      </c>
      <c r="S362" s="169">
        <v>2</v>
      </c>
      <c r="T362" s="169">
        <f>0</f>
        <v>0</v>
      </c>
      <c r="U362" s="169">
        <f>0</f>
        <v>0</v>
      </c>
      <c r="V362" s="169">
        <f>0</f>
        <v>0</v>
      </c>
      <c r="W362" s="169">
        <f>0</f>
        <v>0</v>
      </c>
      <c r="X362" s="169">
        <f>0</f>
        <v>0</v>
      </c>
      <c r="Y362" s="169">
        <f>0</f>
        <v>0</v>
      </c>
      <c r="Z362" s="219">
        <f>0</f>
        <v>0</v>
      </c>
      <c r="AA362" s="161">
        <f t="shared" si="15"/>
        <v>2</v>
      </c>
      <c r="AB362" s="186">
        <f>0</f>
        <v>0</v>
      </c>
      <c r="AC362" s="187">
        <f t="shared" si="16"/>
        <v>2</v>
      </c>
      <c r="AD362" s="204"/>
      <c r="AE362" s="114" t="s">
        <v>284</v>
      </c>
      <c r="AF362" s="189"/>
      <c r="AG362" s="206"/>
      <c r="AH362" s="205"/>
      <c r="AI362" s="101"/>
      <c r="AJ362" s="107">
        <v>2</v>
      </c>
      <c r="AK362" s="203">
        <f t="shared" si="18"/>
        <v>0</v>
      </c>
      <c r="AL362" s="106"/>
      <c r="AM362" s="58"/>
      <c r="AN362" s="108"/>
      <c r="AO362" s="592"/>
    </row>
    <row r="363" spans="1:41" s="308" customFormat="1" ht="30.75" hidden="1" customHeight="1" x14ac:dyDescent="0.35">
      <c r="A363" s="252">
        <v>279</v>
      </c>
      <c r="B363" s="253">
        <v>44944</v>
      </c>
      <c r="C363" s="254" t="s">
        <v>817</v>
      </c>
      <c r="D363" s="233" t="s">
        <v>788</v>
      </c>
      <c r="E363" s="233"/>
      <c r="F363" s="185" t="s">
        <v>789</v>
      </c>
      <c r="G363" s="196"/>
      <c r="H363" s="328" t="s">
        <v>788</v>
      </c>
      <c r="I363" s="535" t="s">
        <v>371</v>
      </c>
      <c r="J363" s="229"/>
      <c r="K363" s="229"/>
      <c r="L363" s="229"/>
      <c r="M363" s="229"/>
      <c r="N363" s="243" t="s">
        <v>814</v>
      </c>
      <c r="O363" s="417">
        <f>0</f>
        <v>0</v>
      </c>
      <c r="P363" s="90">
        <f>0</f>
        <v>0</v>
      </c>
      <c r="Q363" s="90">
        <f>0</f>
        <v>0</v>
      </c>
      <c r="R363" s="90">
        <v>2</v>
      </c>
      <c r="S363" s="90">
        <f>0</f>
        <v>0</v>
      </c>
      <c r="T363" s="90">
        <f>0</f>
        <v>0</v>
      </c>
      <c r="U363" s="90">
        <f>0</f>
        <v>0</v>
      </c>
      <c r="V363" s="90">
        <f>0</f>
        <v>0</v>
      </c>
      <c r="W363" s="90">
        <f>0</f>
        <v>0</v>
      </c>
      <c r="X363" s="90">
        <f>0</f>
        <v>0</v>
      </c>
      <c r="Y363" s="90">
        <f>0</f>
        <v>0</v>
      </c>
      <c r="Z363" s="418">
        <f>0</f>
        <v>0</v>
      </c>
      <c r="AA363" s="150">
        <f t="shared" si="15"/>
        <v>2</v>
      </c>
      <c r="AB363" s="178"/>
      <c r="AC363" s="179">
        <f t="shared" si="16"/>
        <v>2</v>
      </c>
      <c r="AD363" s="204"/>
      <c r="AE363" s="205" t="s">
        <v>284</v>
      </c>
      <c r="AF363" s="189" t="s">
        <v>294</v>
      </c>
      <c r="AG363" s="206"/>
      <c r="AH363" s="205"/>
      <c r="AI363" s="101"/>
      <c r="AJ363" s="102"/>
      <c r="AK363" s="207">
        <f t="shared" si="18"/>
        <v>2</v>
      </c>
      <c r="AL363" s="101"/>
      <c r="AM363" s="96"/>
      <c r="AN363" s="103"/>
      <c r="AO363" s="208"/>
    </row>
    <row r="364" spans="1:41" s="308" customFormat="1" ht="30.75" hidden="1" customHeight="1" x14ac:dyDescent="0.35">
      <c r="A364" s="244">
        <v>280</v>
      </c>
      <c r="B364" s="253">
        <v>44944</v>
      </c>
      <c r="C364" s="254" t="s">
        <v>817</v>
      </c>
      <c r="D364" s="236" t="s">
        <v>790</v>
      </c>
      <c r="E364" s="236"/>
      <c r="F364" s="185" t="s">
        <v>791</v>
      </c>
      <c r="G364" s="196"/>
      <c r="H364" s="328" t="s">
        <v>790</v>
      </c>
      <c r="I364" s="535" t="s">
        <v>371</v>
      </c>
      <c r="J364" s="231"/>
      <c r="K364" s="231"/>
      <c r="L364" s="231"/>
      <c r="M364" s="231"/>
      <c r="N364" s="235" t="s">
        <v>814</v>
      </c>
      <c r="O364" s="417">
        <f>0</f>
        <v>0</v>
      </c>
      <c r="P364" s="90">
        <f>0</f>
        <v>0</v>
      </c>
      <c r="Q364" s="90">
        <f>0</f>
        <v>0</v>
      </c>
      <c r="R364" s="90">
        <v>9</v>
      </c>
      <c r="S364" s="90">
        <f>0</f>
        <v>0</v>
      </c>
      <c r="T364" s="90">
        <f>0</f>
        <v>0</v>
      </c>
      <c r="U364" s="90">
        <f>0</f>
        <v>0</v>
      </c>
      <c r="V364" s="90">
        <f>0</f>
        <v>0</v>
      </c>
      <c r="W364" s="90">
        <f>0</f>
        <v>0</v>
      </c>
      <c r="X364" s="90">
        <f>0</f>
        <v>0</v>
      </c>
      <c r="Y364" s="90">
        <f>0</f>
        <v>0</v>
      </c>
      <c r="Z364" s="418">
        <f>0</f>
        <v>0</v>
      </c>
      <c r="AA364" s="192">
        <f t="shared" si="15"/>
        <v>9</v>
      </c>
      <c r="AB364" s="193"/>
      <c r="AC364" s="190">
        <f t="shared" si="16"/>
        <v>9</v>
      </c>
      <c r="AD364" s="194"/>
      <c r="AE364" s="195" t="s">
        <v>531</v>
      </c>
      <c r="AF364" s="97" t="s">
        <v>44</v>
      </c>
      <c r="AG364" s="196"/>
      <c r="AH364" s="195"/>
      <c r="AI364" s="98"/>
      <c r="AJ364" s="99"/>
      <c r="AK364" s="197">
        <f t="shared" si="18"/>
        <v>9</v>
      </c>
      <c r="AL364" s="98"/>
      <c r="AM364" s="90"/>
      <c r="AN364" s="100"/>
      <c r="AO364" s="198"/>
    </row>
    <row r="365" spans="1:41" s="308" customFormat="1" ht="30.75" hidden="1" customHeight="1" x14ac:dyDescent="0.35">
      <c r="A365" s="252">
        <v>281</v>
      </c>
      <c r="B365" s="253">
        <v>44944</v>
      </c>
      <c r="C365" s="254" t="s">
        <v>817</v>
      </c>
      <c r="D365" s="236" t="s">
        <v>792</v>
      </c>
      <c r="E365" s="236"/>
      <c r="F365" s="185" t="s">
        <v>508</v>
      </c>
      <c r="G365" s="196"/>
      <c r="H365" s="328" t="s">
        <v>792</v>
      </c>
      <c r="I365" s="535" t="s">
        <v>371</v>
      </c>
      <c r="J365" s="231"/>
      <c r="K365" s="231"/>
      <c r="L365" s="231"/>
      <c r="M365" s="231"/>
      <c r="N365" s="235" t="s">
        <v>814</v>
      </c>
      <c r="O365" s="417">
        <f>0</f>
        <v>0</v>
      </c>
      <c r="P365" s="90">
        <f>0</f>
        <v>0</v>
      </c>
      <c r="Q365" s="90">
        <f>0</f>
        <v>0</v>
      </c>
      <c r="R365" s="90">
        <v>8</v>
      </c>
      <c r="S365" s="90">
        <f>0</f>
        <v>0</v>
      </c>
      <c r="T365" s="90">
        <f>0</f>
        <v>0</v>
      </c>
      <c r="U365" s="90">
        <f>0</f>
        <v>0</v>
      </c>
      <c r="V365" s="90">
        <f>0</f>
        <v>0</v>
      </c>
      <c r="W365" s="90">
        <f>0</f>
        <v>0</v>
      </c>
      <c r="X365" s="90">
        <f>0</f>
        <v>0</v>
      </c>
      <c r="Y365" s="90">
        <f>0</f>
        <v>0</v>
      </c>
      <c r="Z365" s="418">
        <f>0</f>
        <v>0</v>
      </c>
      <c r="AA365" s="192">
        <f t="shared" si="15"/>
        <v>8</v>
      </c>
      <c r="AB365" s="193"/>
      <c r="AC365" s="190">
        <f t="shared" si="16"/>
        <v>8</v>
      </c>
      <c r="AD365" s="194"/>
      <c r="AE365" s="195" t="s">
        <v>531</v>
      </c>
      <c r="AF365" s="97" t="s">
        <v>44</v>
      </c>
      <c r="AG365" s="196"/>
      <c r="AH365" s="195"/>
      <c r="AI365" s="98"/>
      <c r="AJ365" s="99"/>
      <c r="AK365" s="197">
        <f t="shared" si="18"/>
        <v>8</v>
      </c>
      <c r="AL365" s="98"/>
      <c r="AM365" s="90"/>
      <c r="AN365" s="100"/>
      <c r="AO365" s="198"/>
    </row>
    <row r="366" spans="1:41" s="308" customFormat="1" ht="30.75" hidden="1" customHeight="1" x14ac:dyDescent="0.35">
      <c r="A366" s="244">
        <v>282</v>
      </c>
      <c r="B366" s="253">
        <v>44944</v>
      </c>
      <c r="C366" s="254" t="s">
        <v>817</v>
      </c>
      <c r="D366" s="236" t="s">
        <v>793</v>
      </c>
      <c r="E366" s="236"/>
      <c r="F366" s="185" t="s">
        <v>794</v>
      </c>
      <c r="G366" s="196"/>
      <c r="H366" s="328" t="s">
        <v>793</v>
      </c>
      <c r="I366" s="535" t="s">
        <v>371</v>
      </c>
      <c r="J366" s="231"/>
      <c r="K366" s="231"/>
      <c r="L366" s="231"/>
      <c r="M366" s="231"/>
      <c r="N366" s="235" t="s">
        <v>814</v>
      </c>
      <c r="O366" s="417">
        <f>0</f>
        <v>0</v>
      </c>
      <c r="P366" s="90">
        <f>0</f>
        <v>0</v>
      </c>
      <c r="Q366" s="90">
        <f>0</f>
        <v>0</v>
      </c>
      <c r="R366" s="90">
        <v>2</v>
      </c>
      <c r="S366" s="90">
        <f>0</f>
        <v>0</v>
      </c>
      <c r="T366" s="90">
        <f>0</f>
        <v>0</v>
      </c>
      <c r="U366" s="90">
        <f>0</f>
        <v>0</v>
      </c>
      <c r="V366" s="90">
        <f>0</f>
        <v>0</v>
      </c>
      <c r="W366" s="90">
        <f>0</f>
        <v>0</v>
      </c>
      <c r="X366" s="90">
        <f>0</f>
        <v>0</v>
      </c>
      <c r="Y366" s="90">
        <f>0</f>
        <v>0</v>
      </c>
      <c r="Z366" s="418">
        <f>0</f>
        <v>0</v>
      </c>
      <c r="AA366" s="192">
        <f t="shared" si="15"/>
        <v>2</v>
      </c>
      <c r="AB366" s="193"/>
      <c r="AC366" s="190">
        <f t="shared" si="16"/>
        <v>2</v>
      </c>
      <c r="AD366" s="194"/>
      <c r="AE366" s="195" t="s">
        <v>531</v>
      </c>
      <c r="AF366" s="97" t="s">
        <v>44</v>
      </c>
      <c r="AG366" s="196"/>
      <c r="AH366" s="195"/>
      <c r="AI366" s="98"/>
      <c r="AJ366" s="99"/>
      <c r="AK366" s="197">
        <f t="shared" si="18"/>
        <v>2</v>
      </c>
      <c r="AL366" s="98"/>
      <c r="AM366" s="90"/>
      <c r="AN366" s="100"/>
      <c r="AO366" s="198"/>
    </row>
    <row r="367" spans="1:41" s="308" customFormat="1" ht="30.75" hidden="1" customHeight="1" x14ac:dyDescent="0.35">
      <c r="A367" s="252">
        <v>310</v>
      </c>
      <c r="B367" s="253">
        <v>44944</v>
      </c>
      <c r="C367" s="254" t="s">
        <v>817</v>
      </c>
      <c r="D367" s="236" t="s">
        <v>812</v>
      </c>
      <c r="E367" s="236"/>
      <c r="F367" s="185" t="s">
        <v>813</v>
      </c>
      <c r="G367" s="196"/>
      <c r="H367" s="328" t="s">
        <v>812</v>
      </c>
      <c r="I367" s="535" t="s">
        <v>371</v>
      </c>
      <c r="J367" s="97"/>
      <c r="K367" s="97"/>
      <c r="L367" s="97"/>
      <c r="M367" s="97"/>
      <c r="N367" s="235" t="s">
        <v>814</v>
      </c>
      <c r="O367" s="417">
        <f>0</f>
        <v>0</v>
      </c>
      <c r="P367" s="90">
        <f>0</f>
        <v>0</v>
      </c>
      <c r="Q367" s="90">
        <f>0</f>
        <v>0</v>
      </c>
      <c r="R367" s="90">
        <v>3</v>
      </c>
      <c r="S367" s="90">
        <f>0</f>
        <v>0</v>
      </c>
      <c r="T367" s="90">
        <f>0</f>
        <v>0</v>
      </c>
      <c r="U367" s="90">
        <f>0</f>
        <v>0</v>
      </c>
      <c r="V367" s="90">
        <f>0</f>
        <v>0</v>
      </c>
      <c r="W367" s="90">
        <f>0</f>
        <v>0</v>
      </c>
      <c r="X367" s="90">
        <f>0</f>
        <v>0</v>
      </c>
      <c r="Y367" s="90">
        <f>0</f>
        <v>0</v>
      </c>
      <c r="Z367" s="418">
        <f>0</f>
        <v>0</v>
      </c>
      <c r="AA367" s="192">
        <f t="shared" si="15"/>
        <v>3</v>
      </c>
      <c r="AB367" s="193"/>
      <c r="AC367" s="190">
        <f t="shared" si="16"/>
        <v>3</v>
      </c>
      <c r="AD367" s="194"/>
      <c r="AE367" s="195" t="s">
        <v>531</v>
      </c>
      <c r="AF367" s="97" t="s">
        <v>44</v>
      </c>
      <c r="AG367" s="196"/>
      <c r="AH367" s="195"/>
      <c r="AI367" s="98"/>
      <c r="AJ367" s="99"/>
      <c r="AK367" s="197">
        <f t="shared" si="18"/>
        <v>3</v>
      </c>
      <c r="AL367" s="98"/>
      <c r="AM367" s="90"/>
      <c r="AN367" s="100"/>
      <c r="AO367" s="198"/>
    </row>
    <row r="368" spans="1:41" s="308" customFormat="1" ht="30.75" hidden="1" customHeight="1" x14ac:dyDescent="0.35">
      <c r="A368" s="339">
        <v>531</v>
      </c>
      <c r="B368" s="497">
        <v>44984</v>
      </c>
      <c r="C368" s="323" t="s">
        <v>1475</v>
      </c>
      <c r="D368" s="238" t="s">
        <v>793</v>
      </c>
      <c r="E368" s="238"/>
      <c r="F368" s="238" t="s">
        <v>794</v>
      </c>
      <c r="G368" s="238" t="s">
        <v>793</v>
      </c>
      <c r="H368" s="238" t="s">
        <v>793</v>
      </c>
      <c r="I368" s="549" t="s">
        <v>371</v>
      </c>
      <c r="J368" s="147"/>
      <c r="K368" s="147"/>
      <c r="L368" s="147"/>
      <c r="M368" s="147"/>
      <c r="N368" s="240" t="s">
        <v>1479</v>
      </c>
      <c r="O368" s="343">
        <v>0</v>
      </c>
      <c r="P368" s="169">
        <v>0</v>
      </c>
      <c r="Q368" s="169">
        <v>0</v>
      </c>
      <c r="R368" s="169">
        <v>0</v>
      </c>
      <c r="S368" s="169">
        <v>0</v>
      </c>
      <c r="T368" s="169">
        <v>0</v>
      </c>
      <c r="U368" s="169">
        <v>0</v>
      </c>
      <c r="V368" s="169">
        <v>0</v>
      </c>
      <c r="W368" s="169">
        <v>0</v>
      </c>
      <c r="X368" s="565">
        <v>1</v>
      </c>
      <c r="Y368" s="169">
        <v>0</v>
      </c>
      <c r="Z368" s="219">
        <v>0</v>
      </c>
      <c r="AA368" s="160">
        <f t="shared" si="15"/>
        <v>1</v>
      </c>
      <c r="AB368" s="408"/>
      <c r="AC368" s="409">
        <f t="shared" si="16"/>
        <v>1</v>
      </c>
      <c r="AD368" s="410"/>
      <c r="AE368" s="411" t="s">
        <v>531</v>
      </c>
      <c r="AF368" s="405" t="s">
        <v>44</v>
      </c>
      <c r="AG368" s="402"/>
      <c r="AH368" s="411"/>
      <c r="AI368" s="412"/>
      <c r="AJ368" s="413"/>
      <c r="AK368" s="414">
        <f t="shared" si="18"/>
        <v>1</v>
      </c>
      <c r="AL368" s="412"/>
      <c r="AM368" s="407"/>
      <c r="AN368" s="415"/>
      <c r="AO368" s="416"/>
    </row>
    <row r="369" spans="1:41" s="308" customFormat="1" ht="30.75" hidden="1" customHeight="1" x14ac:dyDescent="0.35">
      <c r="A369" s="252">
        <v>123</v>
      </c>
      <c r="B369" s="297">
        <v>44903</v>
      </c>
      <c r="C369" s="306" t="s">
        <v>374</v>
      </c>
      <c r="D369" s="299">
        <v>3842530231</v>
      </c>
      <c r="E369" s="236">
        <v>0</v>
      </c>
      <c r="F369" s="185" t="s">
        <v>372</v>
      </c>
      <c r="G369" s="196">
        <v>3842530231</v>
      </c>
      <c r="H369" s="328">
        <v>3842530231</v>
      </c>
      <c r="I369" s="535" t="s">
        <v>496</v>
      </c>
      <c r="J369" s="244" t="s">
        <v>251</v>
      </c>
      <c r="K369" s="303" t="s">
        <v>252</v>
      </c>
      <c r="L369" s="302" t="s">
        <v>252</v>
      </c>
      <c r="M369" s="310"/>
      <c r="N369" s="235" t="s">
        <v>71</v>
      </c>
      <c r="O369" s="417">
        <v>0</v>
      </c>
      <c r="P369" s="90">
        <f>0</f>
        <v>0</v>
      </c>
      <c r="Q369" s="90">
        <f>0</f>
        <v>0</v>
      </c>
      <c r="R369" s="90">
        <f>0</f>
        <v>0</v>
      </c>
      <c r="S369" s="90">
        <v>2</v>
      </c>
      <c r="T369" s="90">
        <f>0</f>
        <v>0</v>
      </c>
      <c r="U369" s="90">
        <f>0</f>
        <v>0</v>
      </c>
      <c r="V369" s="90">
        <f>0</f>
        <v>0</v>
      </c>
      <c r="W369" s="90">
        <f>0</f>
        <v>0</v>
      </c>
      <c r="X369" s="90">
        <f>0</f>
        <v>0</v>
      </c>
      <c r="Y369" s="90">
        <f>0</f>
        <v>0</v>
      </c>
      <c r="Z369" s="418">
        <f>0</f>
        <v>0</v>
      </c>
      <c r="AA369" s="192">
        <f t="shared" si="15"/>
        <v>2</v>
      </c>
      <c r="AB369" s="193">
        <f>0</f>
        <v>0</v>
      </c>
      <c r="AC369" s="190">
        <f t="shared" si="16"/>
        <v>2</v>
      </c>
      <c r="AD369" s="194"/>
      <c r="AE369" s="195" t="s">
        <v>284</v>
      </c>
      <c r="AF369" s="97" t="s">
        <v>294</v>
      </c>
      <c r="AG369" s="196"/>
      <c r="AH369" s="195"/>
      <c r="AI369" s="98"/>
      <c r="AJ369" s="99" t="s">
        <v>501</v>
      </c>
      <c r="AK369" s="197" t="e">
        <f t="shared" si="18"/>
        <v>#VALUE!</v>
      </c>
      <c r="AL369" s="98"/>
      <c r="AM369" s="90"/>
      <c r="AN369" s="100"/>
      <c r="AO369" s="198"/>
    </row>
    <row r="370" spans="1:41" s="308" customFormat="1" ht="30.75" hidden="1" customHeight="1" x14ac:dyDescent="0.35">
      <c r="A370" s="244">
        <v>1</v>
      </c>
      <c r="B370" s="253"/>
      <c r="C370" s="254" t="s">
        <v>237</v>
      </c>
      <c r="D370" s="97"/>
      <c r="E370" s="231"/>
      <c r="F370" s="185" t="s">
        <v>68</v>
      </c>
      <c r="G370" s="196" t="s">
        <v>69</v>
      </c>
      <c r="H370" s="328"/>
      <c r="I370" s="535" t="s">
        <v>70</v>
      </c>
      <c r="J370" s="97"/>
      <c r="K370" s="97"/>
      <c r="L370" s="97"/>
      <c r="M370" s="97"/>
      <c r="N370" s="235" t="s">
        <v>71</v>
      </c>
      <c r="O370" s="343">
        <v>1</v>
      </c>
      <c r="P370" s="169">
        <f>0</f>
        <v>0</v>
      </c>
      <c r="Q370" s="169">
        <f>0</f>
        <v>0</v>
      </c>
      <c r="R370" s="169">
        <f>0</f>
        <v>0</v>
      </c>
      <c r="S370" s="169">
        <f>0</f>
        <v>0</v>
      </c>
      <c r="T370" s="169">
        <f>0</f>
        <v>0</v>
      </c>
      <c r="U370" s="169">
        <f>0</f>
        <v>0</v>
      </c>
      <c r="V370" s="169">
        <f>0</f>
        <v>0</v>
      </c>
      <c r="W370" s="169">
        <f>0</f>
        <v>0</v>
      </c>
      <c r="X370" s="169">
        <f>0</f>
        <v>0</v>
      </c>
      <c r="Y370" s="169">
        <f>0</f>
        <v>0</v>
      </c>
      <c r="Z370" s="219">
        <f>0</f>
        <v>0</v>
      </c>
      <c r="AA370" s="160">
        <f t="shared" si="15"/>
        <v>1</v>
      </c>
      <c r="AB370" s="141">
        <f>0</f>
        <v>0</v>
      </c>
      <c r="AC370" s="172">
        <f t="shared" si="16"/>
        <v>1</v>
      </c>
      <c r="AD370" s="194">
        <v>44756</v>
      </c>
      <c r="AE370" s="195" t="s">
        <v>239</v>
      </c>
      <c r="AF370" s="97" t="s">
        <v>264</v>
      </c>
      <c r="AG370" s="196"/>
      <c r="AH370" s="195"/>
      <c r="AI370" s="98"/>
      <c r="AJ370" s="99">
        <v>1</v>
      </c>
      <c r="AK370" s="197">
        <f t="shared" si="18"/>
        <v>0</v>
      </c>
      <c r="AL370" s="98" t="s">
        <v>288</v>
      </c>
      <c r="AM370" s="90"/>
      <c r="AN370" s="100"/>
      <c r="AO370" s="198"/>
    </row>
    <row r="371" spans="1:41" s="308" customFormat="1" ht="54" hidden="1" customHeight="1" x14ac:dyDescent="0.35">
      <c r="A371" s="252">
        <v>2</v>
      </c>
      <c r="B371" s="253"/>
      <c r="C371" s="254" t="s">
        <v>237</v>
      </c>
      <c r="D371" s="236"/>
      <c r="E371" s="236"/>
      <c r="F371" s="185" t="s">
        <v>72</v>
      </c>
      <c r="G371" s="196" t="s">
        <v>73</v>
      </c>
      <c r="H371" s="328"/>
      <c r="I371" s="535" t="s">
        <v>70</v>
      </c>
      <c r="J371" s="97"/>
      <c r="K371" s="97"/>
      <c r="L371" s="97"/>
      <c r="M371" s="97"/>
      <c r="N371" s="235" t="s">
        <v>71</v>
      </c>
      <c r="O371" s="343">
        <v>1</v>
      </c>
      <c r="P371" s="169">
        <f>0</f>
        <v>0</v>
      </c>
      <c r="Q371" s="169">
        <f>0</f>
        <v>0</v>
      </c>
      <c r="R371" s="169">
        <f>0</f>
        <v>0</v>
      </c>
      <c r="S371" s="169">
        <f>0</f>
        <v>0</v>
      </c>
      <c r="T371" s="169">
        <f>0</f>
        <v>0</v>
      </c>
      <c r="U371" s="169">
        <f>0</f>
        <v>0</v>
      </c>
      <c r="V371" s="169">
        <f>0</f>
        <v>0</v>
      </c>
      <c r="W371" s="169">
        <f>0</f>
        <v>0</v>
      </c>
      <c r="X371" s="169">
        <f>0</f>
        <v>0</v>
      </c>
      <c r="Y371" s="169">
        <f>0</f>
        <v>0</v>
      </c>
      <c r="Z371" s="219">
        <f>0</f>
        <v>0</v>
      </c>
      <c r="AA371" s="160">
        <f t="shared" si="15"/>
        <v>1</v>
      </c>
      <c r="AB371" s="141">
        <f>0</f>
        <v>0</v>
      </c>
      <c r="AC371" s="172">
        <f t="shared" si="16"/>
        <v>1</v>
      </c>
      <c r="AD371" s="194">
        <v>44756</v>
      </c>
      <c r="AE371" s="195" t="s">
        <v>239</v>
      </c>
      <c r="AF371" s="148" t="s">
        <v>264</v>
      </c>
      <c r="AG371" s="196"/>
      <c r="AH371" s="195"/>
      <c r="AI371" s="98"/>
      <c r="AJ371" s="99">
        <v>1</v>
      </c>
      <c r="AK371" s="197">
        <f t="shared" si="18"/>
        <v>0</v>
      </c>
      <c r="AL371" s="98" t="s">
        <v>291</v>
      </c>
      <c r="AM371" s="90"/>
      <c r="AN371" s="100"/>
      <c r="AO371" s="198"/>
    </row>
    <row r="372" spans="1:41" s="308" customFormat="1" ht="40.5" hidden="1" customHeight="1" x14ac:dyDescent="0.35">
      <c r="A372" s="244">
        <v>3</v>
      </c>
      <c r="B372" s="253"/>
      <c r="C372" s="254" t="s">
        <v>237</v>
      </c>
      <c r="D372" s="97"/>
      <c r="E372" s="231"/>
      <c r="F372" s="185" t="s">
        <v>74</v>
      </c>
      <c r="G372" s="196" t="s">
        <v>75</v>
      </c>
      <c r="H372" s="328"/>
      <c r="I372" s="535" t="s">
        <v>70</v>
      </c>
      <c r="J372" s="97"/>
      <c r="K372" s="97"/>
      <c r="L372" s="97"/>
      <c r="M372" s="97"/>
      <c r="N372" s="235" t="s">
        <v>71</v>
      </c>
      <c r="O372" s="343">
        <v>1</v>
      </c>
      <c r="P372" s="169">
        <f>0</f>
        <v>0</v>
      </c>
      <c r="Q372" s="169">
        <f>0</f>
        <v>0</v>
      </c>
      <c r="R372" s="169">
        <f>0</f>
        <v>0</v>
      </c>
      <c r="S372" s="169">
        <f>0</f>
        <v>0</v>
      </c>
      <c r="T372" s="169">
        <f>0</f>
        <v>0</v>
      </c>
      <c r="U372" s="169">
        <f>0</f>
        <v>0</v>
      </c>
      <c r="V372" s="169">
        <f>0</f>
        <v>0</v>
      </c>
      <c r="W372" s="169">
        <f>0</f>
        <v>0</v>
      </c>
      <c r="X372" s="169">
        <f>0</f>
        <v>0</v>
      </c>
      <c r="Y372" s="169">
        <f>0</f>
        <v>0</v>
      </c>
      <c r="Z372" s="219">
        <f>0</f>
        <v>0</v>
      </c>
      <c r="AA372" s="160">
        <f t="shared" si="15"/>
        <v>1</v>
      </c>
      <c r="AB372" s="141">
        <f>0</f>
        <v>0</v>
      </c>
      <c r="AC372" s="172">
        <f t="shared" si="16"/>
        <v>1</v>
      </c>
      <c r="AD372" s="194">
        <v>44756</v>
      </c>
      <c r="AE372" s="195" t="s">
        <v>239</v>
      </c>
      <c r="AF372" s="148" t="s">
        <v>264</v>
      </c>
      <c r="AG372" s="196"/>
      <c r="AH372" s="195"/>
      <c r="AI372" s="98"/>
      <c r="AJ372" s="99">
        <v>1</v>
      </c>
      <c r="AK372" s="197">
        <f t="shared" si="18"/>
        <v>0</v>
      </c>
      <c r="AL372" s="98" t="s">
        <v>287</v>
      </c>
      <c r="AM372" s="90"/>
      <c r="AN372" s="100"/>
      <c r="AO372" s="198"/>
    </row>
    <row r="373" spans="1:41" s="308" customFormat="1" ht="30.75" hidden="1" customHeight="1" x14ac:dyDescent="0.35">
      <c r="A373" s="252">
        <v>4</v>
      </c>
      <c r="B373" s="253"/>
      <c r="C373" s="254" t="s">
        <v>237</v>
      </c>
      <c r="D373" s="236"/>
      <c r="E373" s="236"/>
      <c r="F373" s="185" t="s">
        <v>72</v>
      </c>
      <c r="G373" s="196" t="s">
        <v>76</v>
      </c>
      <c r="H373" s="328"/>
      <c r="I373" s="535" t="s">
        <v>70</v>
      </c>
      <c r="J373" s="97"/>
      <c r="K373" s="97"/>
      <c r="L373" s="97"/>
      <c r="M373" s="97"/>
      <c r="N373" s="235" t="s">
        <v>71</v>
      </c>
      <c r="O373" s="343">
        <v>1</v>
      </c>
      <c r="P373" s="169">
        <f>0</f>
        <v>0</v>
      </c>
      <c r="Q373" s="169">
        <f>0</f>
        <v>0</v>
      </c>
      <c r="R373" s="169">
        <f>0</f>
        <v>0</v>
      </c>
      <c r="S373" s="169">
        <f>0</f>
        <v>0</v>
      </c>
      <c r="T373" s="169">
        <f>0</f>
        <v>0</v>
      </c>
      <c r="U373" s="169">
        <f>0</f>
        <v>0</v>
      </c>
      <c r="V373" s="169">
        <f>0</f>
        <v>0</v>
      </c>
      <c r="W373" s="169">
        <f>0</f>
        <v>0</v>
      </c>
      <c r="X373" s="169">
        <f>0</f>
        <v>0</v>
      </c>
      <c r="Y373" s="169">
        <f>0</f>
        <v>0</v>
      </c>
      <c r="Z373" s="219">
        <f>0</f>
        <v>0</v>
      </c>
      <c r="AA373" s="160">
        <f t="shared" si="15"/>
        <v>1</v>
      </c>
      <c r="AB373" s="141">
        <f>0</f>
        <v>0</v>
      </c>
      <c r="AC373" s="172">
        <f t="shared" si="16"/>
        <v>1</v>
      </c>
      <c r="AD373" s="194">
        <v>44756</v>
      </c>
      <c r="AE373" s="195" t="s">
        <v>239</v>
      </c>
      <c r="AF373" s="148" t="s">
        <v>264</v>
      </c>
      <c r="AG373" s="196"/>
      <c r="AH373" s="195"/>
      <c r="AI373" s="98"/>
      <c r="AJ373" s="99">
        <v>1</v>
      </c>
      <c r="AK373" s="197">
        <f t="shared" si="18"/>
        <v>0</v>
      </c>
      <c r="AL373" s="98" t="s">
        <v>287</v>
      </c>
      <c r="AM373" s="90"/>
      <c r="AN373" s="100"/>
      <c r="AO373" s="198"/>
    </row>
    <row r="374" spans="1:41" s="308" customFormat="1" ht="30.75" hidden="1" customHeight="1" x14ac:dyDescent="0.35">
      <c r="A374" s="244">
        <v>521</v>
      </c>
      <c r="B374" s="500">
        <v>44971</v>
      </c>
      <c r="C374" s="501" t="s">
        <v>254</v>
      </c>
      <c r="D374" s="236" t="s">
        <v>1416</v>
      </c>
      <c r="E374" s="236">
        <v>0</v>
      </c>
      <c r="F374" s="185" t="s">
        <v>1417</v>
      </c>
      <c r="G374" s="236" t="s">
        <v>1416</v>
      </c>
      <c r="H374" s="236" t="s">
        <v>1416</v>
      </c>
      <c r="I374" s="535" t="s">
        <v>1418</v>
      </c>
      <c r="J374" s="97" t="s">
        <v>251</v>
      </c>
      <c r="K374" s="97" t="s">
        <v>252</v>
      </c>
      <c r="L374" s="97" t="s">
        <v>252</v>
      </c>
      <c r="M374" s="97" t="s">
        <v>1424</v>
      </c>
      <c r="N374" s="235" t="s">
        <v>252</v>
      </c>
      <c r="O374" s="417">
        <v>0</v>
      </c>
      <c r="P374" s="90">
        <v>0</v>
      </c>
      <c r="Q374" s="90">
        <v>0</v>
      </c>
      <c r="R374" s="90">
        <v>1</v>
      </c>
      <c r="S374" s="90">
        <v>0</v>
      </c>
      <c r="T374" s="90">
        <v>0</v>
      </c>
      <c r="U374" s="90">
        <v>0</v>
      </c>
      <c r="V374" s="90">
        <v>0</v>
      </c>
      <c r="W374" s="90">
        <v>0</v>
      </c>
      <c r="X374" s="90">
        <v>0</v>
      </c>
      <c r="Y374" s="90">
        <v>0</v>
      </c>
      <c r="Z374" s="418">
        <v>0</v>
      </c>
      <c r="AA374" s="192">
        <f t="shared" si="15"/>
        <v>1</v>
      </c>
      <c r="AB374" s="421"/>
      <c r="AC374" s="422">
        <f t="shared" si="16"/>
        <v>1</v>
      </c>
      <c r="AD374" s="194"/>
      <c r="AE374" s="195" t="s">
        <v>239</v>
      </c>
      <c r="AF374" s="97" t="s">
        <v>1447</v>
      </c>
      <c r="AG374" s="196"/>
      <c r="AH374" s="195"/>
      <c r="AI374" s="423"/>
      <c r="AJ374" s="424">
        <v>1</v>
      </c>
      <c r="AK374" s="197">
        <f t="shared" si="18"/>
        <v>0</v>
      </c>
      <c r="AL374" s="98" t="s">
        <v>1474</v>
      </c>
      <c r="AM374" s="425"/>
      <c r="AN374" s="426"/>
      <c r="AO374" s="198"/>
    </row>
    <row r="375" spans="1:41" s="308" customFormat="1" ht="30.75" hidden="1" customHeight="1" x14ac:dyDescent="0.35">
      <c r="A375" s="252">
        <v>490</v>
      </c>
      <c r="B375" s="253">
        <v>44949</v>
      </c>
      <c r="C375" s="254" t="s">
        <v>254</v>
      </c>
      <c r="D375" s="236" t="s">
        <v>1228</v>
      </c>
      <c r="E375" s="236" t="s">
        <v>324</v>
      </c>
      <c r="F375" s="185" t="s">
        <v>347</v>
      </c>
      <c r="G375" s="236" t="s">
        <v>1228</v>
      </c>
      <c r="H375" s="328" t="s">
        <v>1229</v>
      </c>
      <c r="I375" s="535" t="s">
        <v>1230</v>
      </c>
      <c r="J375" s="97" t="s">
        <v>251</v>
      </c>
      <c r="K375" s="97" t="s">
        <v>252</v>
      </c>
      <c r="L375" s="97" t="s">
        <v>252</v>
      </c>
      <c r="M375" s="97" t="s">
        <v>252</v>
      </c>
      <c r="N375" s="235" t="s">
        <v>1222</v>
      </c>
      <c r="O375" s="343">
        <v>0</v>
      </c>
      <c r="P375" s="169">
        <v>0</v>
      </c>
      <c r="Q375" s="169">
        <v>0</v>
      </c>
      <c r="R375" s="169">
        <v>0</v>
      </c>
      <c r="S375" s="169">
        <v>0</v>
      </c>
      <c r="T375" s="169">
        <v>0</v>
      </c>
      <c r="U375" s="169">
        <v>2</v>
      </c>
      <c r="V375" s="169">
        <f>0</f>
        <v>0</v>
      </c>
      <c r="W375" s="169">
        <v>0</v>
      </c>
      <c r="X375" s="169">
        <f>0</f>
        <v>0</v>
      </c>
      <c r="Y375" s="169">
        <f>0</f>
        <v>0</v>
      </c>
      <c r="Z375" s="219">
        <f>0</f>
        <v>0</v>
      </c>
      <c r="AA375" s="192">
        <f t="shared" si="15"/>
        <v>2</v>
      </c>
      <c r="AB375" s="193"/>
      <c r="AC375" s="190">
        <f t="shared" si="16"/>
        <v>2</v>
      </c>
      <c r="AD375" s="194">
        <v>44970</v>
      </c>
      <c r="AE375" s="195" t="s">
        <v>284</v>
      </c>
      <c r="AF375" s="304" t="s">
        <v>1412</v>
      </c>
      <c r="AG375" s="196"/>
      <c r="AH375" s="195"/>
      <c r="AI375" s="98"/>
      <c r="AJ375" s="99">
        <v>2</v>
      </c>
      <c r="AK375" s="197">
        <f t="shared" si="18"/>
        <v>0</v>
      </c>
      <c r="AL375" s="98" t="s">
        <v>1432</v>
      </c>
      <c r="AM375" s="90"/>
      <c r="AN375" s="100"/>
      <c r="AO375" s="198"/>
    </row>
    <row r="376" spans="1:41" s="308" customFormat="1" ht="30.75" hidden="1" customHeight="1" x14ac:dyDescent="0.35">
      <c r="A376" s="244">
        <v>491</v>
      </c>
      <c r="B376" s="253">
        <v>44949</v>
      </c>
      <c r="C376" s="254" t="s">
        <v>254</v>
      </c>
      <c r="D376" s="236" t="s">
        <v>1231</v>
      </c>
      <c r="E376" s="236" t="s">
        <v>324</v>
      </c>
      <c r="F376" s="185" t="s">
        <v>347</v>
      </c>
      <c r="G376" s="236" t="s">
        <v>1231</v>
      </c>
      <c r="H376" s="328" t="s">
        <v>1232</v>
      </c>
      <c r="I376" s="535" t="s">
        <v>1230</v>
      </c>
      <c r="J376" s="97" t="s">
        <v>251</v>
      </c>
      <c r="K376" s="97" t="s">
        <v>252</v>
      </c>
      <c r="L376" s="97" t="s">
        <v>252</v>
      </c>
      <c r="M376" s="97" t="s">
        <v>252</v>
      </c>
      <c r="N376" s="235" t="s">
        <v>1222</v>
      </c>
      <c r="O376" s="343">
        <v>0</v>
      </c>
      <c r="P376" s="169">
        <v>0</v>
      </c>
      <c r="Q376" s="169">
        <v>0</v>
      </c>
      <c r="R376" s="169">
        <v>0</v>
      </c>
      <c r="S376" s="169">
        <v>0</v>
      </c>
      <c r="T376" s="169">
        <v>0</v>
      </c>
      <c r="U376" s="169">
        <v>2</v>
      </c>
      <c r="V376" s="169">
        <f>0</f>
        <v>0</v>
      </c>
      <c r="W376" s="169">
        <v>0</v>
      </c>
      <c r="X376" s="169">
        <f>0</f>
        <v>0</v>
      </c>
      <c r="Y376" s="169">
        <f>0</f>
        <v>0</v>
      </c>
      <c r="Z376" s="219">
        <f>0</f>
        <v>0</v>
      </c>
      <c r="AA376" s="192">
        <f t="shared" si="15"/>
        <v>2</v>
      </c>
      <c r="AB376" s="193"/>
      <c r="AC376" s="190">
        <f t="shared" si="16"/>
        <v>2</v>
      </c>
      <c r="AD376" s="194">
        <v>44970</v>
      </c>
      <c r="AE376" s="195" t="s">
        <v>284</v>
      </c>
      <c r="AF376" s="304" t="s">
        <v>1412</v>
      </c>
      <c r="AG376" s="196"/>
      <c r="AH376" s="195"/>
      <c r="AI376" s="98"/>
      <c r="AJ376" s="99">
        <v>2</v>
      </c>
      <c r="AK376" s="197">
        <f t="shared" si="18"/>
        <v>0</v>
      </c>
      <c r="AL376" s="98" t="s">
        <v>1432</v>
      </c>
      <c r="AM376" s="90"/>
      <c r="AN376" s="100"/>
      <c r="AO376" s="198"/>
    </row>
    <row r="377" spans="1:41" s="308" customFormat="1" ht="30.75" hidden="1" customHeight="1" x14ac:dyDescent="0.35">
      <c r="A377" s="252">
        <v>492</v>
      </c>
      <c r="B377" s="253">
        <v>44949</v>
      </c>
      <c r="C377" s="254" t="s">
        <v>254</v>
      </c>
      <c r="D377" s="236" t="s">
        <v>1233</v>
      </c>
      <c r="E377" s="236" t="s">
        <v>324</v>
      </c>
      <c r="F377" s="185" t="s">
        <v>347</v>
      </c>
      <c r="G377" s="236" t="s">
        <v>1233</v>
      </c>
      <c r="H377" s="328" t="s">
        <v>1232</v>
      </c>
      <c r="I377" s="535" t="s">
        <v>1230</v>
      </c>
      <c r="J377" s="97" t="s">
        <v>251</v>
      </c>
      <c r="K377" s="97" t="s">
        <v>252</v>
      </c>
      <c r="L377" s="97" t="s">
        <v>252</v>
      </c>
      <c r="M377" s="97" t="s">
        <v>252</v>
      </c>
      <c r="N377" s="235" t="s">
        <v>1222</v>
      </c>
      <c r="O377" s="343">
        <v>0</v>
      </c>
      <c r="P377" s="169">
        <v>0</v>
      </c>
      <c r="Q377" s="169">
        <v>0</v>
      </c>
      <c r="R377" s="169">
        <v>0</v>
      </c>
      <c r="S377" s="169">
        <v>0</v>
      </c>
      <c r="T377" s="169">
        <v>0</v>
      </c>
      <c r="U377" s="169">
        <v>2</v>
      </c>
      <c r="V377" s="169">
        <f>0</f>
        <v>0</v>
      </c>
      <c r="W377" s="169">
        <v>0</v>
      </c>
      <c r="X377" s="169">
        <f>0</f>
        <v>0</v>
      </c>
      <c r="Y377" s="169">
        <f>0</f>
        <v>0</v>
      </c>
      <c r="Z377" s="219">
        <f>0</f>
        <v>0</v>
      </c>
      <c r="AA377" s="192">
        <f t="shared" si="15"/>
        <v>2</v>
      </c>
      <c r="AB377" s="193"/>
      <c r="AC377" s="190">
        <f t="shared" si="16"/>
        <v>2</v>
      </c>
      <c r="AD377" s="194">
        <v>44970</v>
      </c>
      <c r="AE377" s="195" t="s">
        <v>284</v>
      </c>
      <c r="AF377" s="304" t="s">
        <v>1412</v>
      </c>
      <c r="AG377" s="196"/>
      <c r="AH377" s="195"/>
      <c r="AI377" s="98"/>
      <c r="AJ377" s="99">
        <v>2</v>
      </c>
      <c r="AK377" s="197">
        <f t="shared" si="18"/>
        <v>0</v>
      </c>
      <c r="AL377" s="98" t="s">
        <v>1432</v>
      </c>
      <c r="AM377" s="90"/>
      <c r="AN377" s="100"/>
      <c r="AO377" s="198"/>
    </row>
    <row r="378" spans="1:41" s="308" customFormat="1" ht="30.75" hidden="1" customHeight="1" x14ac:dyDescent="0.35">
      <c r="A378" s="244">
        <v>166</v>
      </c>
      <c r="B378" s="253">
        <v>44914</v>
      </c>
      <c r="C378" s="306" t="s">
        <v>254</v>
      </c>
      <c r="D378" s="299" t="s">
        <v>568</v>
      </c>
      <c r="E378" s="236" t="s">
        <v>324</v>
      </c>
      <c r="F378" s="185" t="s">
        <v>569</v>
      </c>
      <c r="G378" s="196"/>
      <c r="H378" s="328" t="s">
        <v>252</v>
      </c>
      <c r="I378" s="535" t="s">
        <v>570</v>
      </c>
      <c r="J378" s="97" t="s">
        <v>251</v>
      </c>
      <c r="K378" s="97" t="s">
        <v>252</v>
      </c>
      <c r="L378" s="97" t="s">
        <v>252</v>
      </c>
      <c r="M378" s="97" t="s">
        <v>252</v>
      </c>
      <c r="N378" s="235" t="s">
        <v>580</v>
      </c>
      <c r="O378" s="343">
        <v>0</v>
      </c>
      <c r="P378" s="169">
        <f>0</f>
        <v>0</v>
      </c>
      <c r="Q378" s="169">
        <v>1</v>
      </c>
      <c r="R378" s="169">
        <f>0</f>
        <v>0</v>
      </c>
      <c r="S378" s="169">
        <f>0</f>
        <v>0</v>
      </c>
      <c r="T378" s="169">
        <f>0</f>
        <v>0</v>
      </c>
      <c r="U378" s="169">
        <f>0</f>
        <v>0</v>
      </c>
      <c r="V378" s="169">
        <f>0</f>
        <v>0</v>
      </c>
      <c r="W378" s="169">
        <f>0</f>
        <v>0</v>
      </c>
      <c r="X378" s="169">
        <f>0</f>
        <v>0</v>
      </c>
      <c r="Y378" s="169">
        <f>0</f>
        <v>0</v>
      </c>
      <c r="Z378" s="219">
        <f>0</f>
        <v>0</v>
      </c>
      <c r="AA378" s="160">
        <f t="shared" si="15"/>
        <v>1</v>
      </c>
      <c r="AB378" s="141"/>
      <c r="AC378" s="172">
        <f t="shared" si="16"/>
        <v>1</v>
      </c>
      <c r="AD378" s="194"/>
      <c r="AE378" s="195" t="s">
        <v>531</v>
      </c>
      <c r="AF378" s="97" t="s">
        <v>294</v>
      </c>
      <c r="AG378" s="196"/>
      <c r="AH378" s="195"/>
      <c r="AI378" s="98"/>
      <c r="AJ378" s="99"/>
      <c r="AK378" s="197">
        <f t="shared" si="18"/>
        <v>1</v>
      </c>
      <c r="AL378" s="98"/>
      <c r="AM378" s="90"/>
      <c r="AN378" s="100"/>
      <c r="AO378" s="198"/>
    </row>
    <row r="379" spans="1:41" s="308" customFormat="1" ht="30.75" hidden="1" customHeight="1" x14ac:dyDescent="0.35">
      <c r="A379" s="252">
        <v>203</v>
      </c>
      <c r="B379" s="253">
        <v>44924</v>
      </c>
      <c r="C379" s="254" t="s">
        <v>308</v>
      </c>
      <c r="D379" s="299" t="s">
        <v>672</v>
      </c>
      <c r="E379" s="236" t="s">
        <v>340</v>
      </c>
      <c r="F379" s="185" t="s">
        <v>673</v>
      </c>
      <c r="G379" s="196" t="s">
        <v>674</v>
      </c>
      <c r="H379" s="328" t="s">
        <v>672</v>
      </c>
      <c r="I379" s="535" t="s">
        <v>570</v>
      </c>
      <c r="J379" s="231" t="s">
        <v>251</v>
      </c>
      <c r="K379" s="231" t="s">
        <v>252</v>
      </c>
      <c r="L379" s="231" t="s">
        <v>252</v>
      </c>
      <c r="M379" s="231"/>
      <c r="N379" s="235" t="s">
        <v>694</v>
      </c>
      <c r="O379" s="343">
        <f>0</f>
        <v>0</v>
      </c>
      <c r="P379" s="169">
        <f>0</f>
        <v>0</v>
      </c>
      <c r="Q379" s="169">
        <f>0</f>
        <v>0</v>
      </c>
      <c r="R379" s="169">
        <f>0</f>
        <v>0</v>
      </c>
      <c r="S379" s="169">
        <f>0</f>
        <v>0</v>
      </c>
      <c r="T379" s="169">
        <v>4</v>
      </c>
      <c r="U379" s="169">
        <f>0</f>
        <v>0</v>
      </c>
      <c r="V379" s="169">
        <f>0</f>
        <v>0</v>
      </c>
      <c r="W379" s="169">
        <f>0</f>
        <v>0</v>
      </c>
      <c r="X379" s="169">
        <f>0</f>
        <v>0</v>
      </c>
      <c r="Y379" s="169">
        <f>0</f>
        <v>0</v>
      </c>
      <c r="Z379" s="219">
        <f>0</f>
        <v>0</v>
      </c>
      <c r="AA379" s="160">
        <f t="shared" si="15"/>
        <v>4</v>
      </c>
      <c r="AB379" s="141"/>
      <c r="AC379" s="172">
        <f t="shared" si="16"/>
        <v>4</v>
      </c>
      <c r="AD379" s="194"/>
      <c r="AE379" s="195" t="s">
        <v>284</v>
      </c>
      <c r="AF379" s="97" t="s">
        <v>294</v>
      </c>
      <c r="AG379" s="196"/>
      <c r="AH379" s="195"/>
      <c r="AI379" s="98"/>
      <c r="AJ379" s="99"/>
      <c r="AK379" s="197">
        <f t="shared" si="18"/>
        <v>4</v>
      </c>
      <c r="AL379" s="98"/>
      <c r="AM379" s="90"/>
      <c r="AN379" s="100"/>
      <c r="AO379" s="198"/>
    </row>
    <row r="380" spans="1:41" s="308" customFormat="1" ht="30.75" hidden="1" customHeight="1" x14ac:dyDescent="0.35">
      <c r="A380" s="244">
        <v>237</v>
      </c>
      <c r="B380" s="253">
        <v>44939</v>
      </c>
      <c r="C380" s="254" t="s">
        <v>308</v>
      </c>
      <c r="D380" s="236" t="s">
        <v>759</v>
      </c>
      <c r="E380" s="236" t="s">
        <v>330</v>
      </c>
      <c r="F380" s="185" t="s">
        <v>760</v>
      </c>
      <c r="G380" s="196"/>
      <c r="H380" s="236" t="s">
        <v>759</v>
      </c>
      <c r="I380" s="535" t="s">
        <v>570</v>
      </c>
      <c r="J380" s="231" t="s">
        <v>251</v>
      </c>
      <c r="K380" s="231" t="s">
        <v>252</v>
      </c>
      <c r="L380" s="231" t="s">
        <v>252</v>
      </c>
      <c r="M380" s="231"/>
      <c r="N380" s="235" t="s">
        <v>777</v>
      </c>
      <c r="O380" s="343">
        <v>0</v>
      </c>
      <c r="P380" s="169">
        <f>0</f>
        <v>0</v>
      </c>
      <c r="Q380" s="169">
        <v>0</v>
      </c>
      <c r="R380" s="169">
        <f>0</f>
        <v>0</v>
      </c>
      <c r="S380" s="169">
        <v>0</v>
      </c>
      <c r="T380" s="169">
        <v>0</v>
      </c>
      <c r="U380" s="169">
        <v>0</v>
      </c>
      <c r="V380" s="169">
        <f>0</f>
        <v>0</v>
      </c>
      <c r="W380" s="169">
        <v>1</v>
      </c>
      <c r="X380" s="169">
        <f>0</f>
        <v>0</v>
      </c>
      <c r="Y380" s="169">
        <f>0</f>
        <v>0</v>
      </c>
      <c r="Z380" s="219">
        <f>0</f>
        <v>0</v>
      </c>
      <c r="AA380" s="160">
        <f t="shared" si="15"/>
        <v>1</v>
      </c>
      <c r="AB380" s="141">
        <v>1</v>
      </c>
      <c r="AC380" s="172">
        <f t="shared" si="16"/>
        <v>0</v>
      </c>
      <c r="AD380" s="194"/>
      <c r="AE380" s="195" t="s">
        <v>531</v>
      </c>
      <c r="AF380" s="97" t="s">
        <v>44</v>
      </c>
      <c r="AG380" s="196"/>
      <c r="AH380" s="195"/>
      <c r="AI380" s="98"/>
      <c r="AJ380" s="99" t="s">
        <v>501</v>
      </c>
      <c r="AK380" s="197" t="e">
        <f t="shared" si="18"/>
        <v>#VALUE!</v>
      </c>
      <c r="AL380" s="98" t="s">
        <v>959</v>
      </c>
      <c r="AM380" s="90"/>
      <c r="AN380" s="100"/>
      <c r="AO380" s="198"/>
    </row>
    <row r="381" spans="1:41" s="308" customFormat="1" ht="30.75" hidden="1" customHeight="1" x14ac:dyDescent="0.35">
      <c r="A381" s="252">
        <v>322</v>
      </c>
      <c r="B381" s="253">
        <v>44945</v>
      </c>
      <c r="C381" s="254" t="s">
        <v>308</v>
      </c>
      <c r="D381" s="236" t="s">
        <v>844</v>
      </c>
      <c r="E381" s="236" t="s">
        <v>324</v>
      </c>
      <c r="F381" s="185" t="s">
        <v>845</v>
      </c>
      <c r="G381" s="196" t="s">
        <v>844</v>
      </c>
      <c r="H381" s="328" t="s">
        <v>844</v>
      </c>
      <c r="I381" s="535" t="s">
        <v>570</v>
      </c>
      <c r="J381" s="97" t="s">
        <v>251</v>
      </c>
      <c r="K381" s="97" t="s">
        <v>252</v>
      </c>
      <c r="L381" s="97" t="s">
        <v>252</v>
      </c>
      <c r="M381" s="97"/>
      <c r="N381" s="235" t="s">
        <v>604</v>
      </c>
      <c r="O381" s="343">
        <f>0</f>
        <v>0</v>
      </c>
      <c r="P381" s="169">
        <f>0</f>
        <v>0</v>
      </c>
      <c r="Q381" s="169">
        <f>0</f>
        <v>0</v>
      </c>
      <c r="R381" s="169">
        <f>0</f>
        <v>0</v>
      </c>
      <c r="S381" s="169">
        <f>0</f>
        <v>0</v>
      </c>
      <c r="T381" s="169">
        <v>2</v>
      </c>
      <c r="U381" s="169">
        <f>0</f>
        <v>0</v>
      </c>
      <c r="V381" s="169">
        <f>0</f>
        <v>0</v>
      </c>
      <c r="W381" s="169">
        <f>0</f>
        <v>0</v>
      </c>
      <c r="X381" s="169">
        <f>0</f>
        <v>0</v>
      </c>
      <c r="Y381" s="169">
        <f>0</f>
        <v>0</v>
      </c>
      <c r="Z381" s="219">
        <f>0</f>
        <v>0</v>
      </c>
      <c r="AA381" s="160">
        <f t="shared" si="15"/>
        <v>2</v>
      </c>
      <c r="AB381" s="141">
        <v>2</v>
      </c>
      <c r="AC381" s="172">
        <f t="shared" si="16"/>
        <v>0</v>
      </c>
      <c r="AD381" s="194"/>
      <c r="AE381" s="195" t="s">
        <v>531</v>
      </c>
      <c r="AF381" s="97" t="s">
        <v>44</v>
      </c>
      <c r="AG381" s="196"/>
      <c r="AH381" s="195"/>
      <c r="AI381" s="98"/>
      <c r="AJ381" s="99" t="s">
        <v>501</v>
      </c>
      <c r="AK381" s="197" t="e">
        <f t="shared" si="18"/>
        <v>#VALUE!</v>
      </c>
      <c r="AL381" s="98" t="s">
        <v>858</v>
      </c>
      <c r="AM381" s="90"/>
      <c r="AN381" s="100"/>
      <c r="AO381" s="198"/>
    </row>
    <row r="382" spans="1:41" s="308" customFormat="1" ht="30.75" hidden="1" customHeight="1" x14ac:dyDescent="0.35">
      <c r="A382" s="244">
        <v>362</v>
      </c>
      <c r="B382" s="253">
        <v>44945</v>
      </c>
      <c r="C382" s="254" t="s">
        <v>863</v>
      </c>
      <c r="D382" s="236" t="s">
        <v>928</v>
      </c>
      <c r="E382" s="236">
        <v>0</v>
      </c>
      <c r="F382" s="185" t="s">
        <v>929</v>
      </c>
      <c r="G382" s="97" t="s">
        <v>252</v>
      </c>
      <c r="H382" s="97" t="s">
        <v>928</v>
      </c>
      <c r="I382" s="242" t="s">
        <v>930</v>
      </c>
      <c r="J382" s="97" t="s">
        <v>875</v>
      </c>
      <c r="K382" s="97" t="s">
        <v>252</v>
      </c>
      <c r="L382" s="97" t="s">
        <v>252</v>
      </c>
      <c r="M382" s="97"/>
      <c r="N382" s="235" t="s">
        <v>951</v>
      </c>
      <c r="O382" s="343">
        <v>0</v>
      </c>
      <c r="P382" s="169">
        <v>2</v>
      </c>
      <c r="Q382" s="169">
        <v>0</v>
      </c>
      <c r="R382" s="169">
        <v>0</v>
      </c>
      <c r="S382" s="169">
        <v>0</v>
      </c>
      <c r="T382" s="169">
        <v>0</v>
      </c>
      <c r="U382" s="169">
        <v>0</v>
      </c>
      <c r="V382" s="169">
        <f>0</f>
        <v>0</v>
      </c>
      <c r="W382" s="169">
        <v>0</v>
      </c>
      <c r="X382" s="169">
        <f>0</f>
        <v>0</v>
      </c>
      <c r="Y382" s="169">
        <f>0</f>
        <v>0</v>
      </c>
      <c r="Z382" s="219">
        <f>0</f>
        <v>0</v>
      </c>
      <c r="AA382" s="160">
        <f t="shared" si="15"/>
        <v>2</v>
      </c>
      <c r="AB382" s="141">
        <v>2</v>
      </c>
      <c r="AC382" s="172">
        <f t="shared" si="16"/>
        <v>0</v>
      </c>
      <c r="AD382" s="194">
        <v>44951</v>
      </c>
      <c r="AE382" s="195" t="s">
        <v>531</v>
      </c>
      <c r="AF382" s="97" t="s">
        <v>44</v>
      </c>
      <c r="AG382" s="196"/>
      <c r="AH382" s="195"/>
      <c r="AI382" s="101"/>
      <c r="AJ382" s="99" t="s">
        <v>501</v>
      </c>
      <c r="AK382" s="197" t="e">
        <f t="shared" si="18"/>
        <v>#VALUE!</v>
      </c>
      <c r="AL382" s="98" t="s">
        <v>1256</v>
      </c>
      <c r="AM382" s="90"/>
      <c r="AN382" s="100"/>
      <c r="AO382" s="198"/>
    </row>
    <row r="383" spans="1:41" s="308" customFormat="1" ht="30.75" hidden="1" customHeight="1" x14ac:dyDescent="0.35">
      <c r="A383" s="252">
        <v>195</v>
      </c>
      <c r="B383" s="253" t="s">
        <v>616</v>
      </c>
      <c r="C383" s="254" t="s">
        <v>617</v>
      </c>
      <c r="D383" s="595" t="s">
        <v>1577</v>
      </c>
      <c r="E383" s="228" t="s">
        <v>324</v>
      </c>
      <c r="F383" s="231" t="s">
        <v>1352</v>
      </c>
      <c r="G383" s="230" t="s">
        <v>1578</v>
      </c>
      <c r="H383" s="230" t="s">
        <v>649</v>
      </c>
      <c r="I383" s="545" t="s">
        <v>650</v>
      </c>
      <c r="J383" s="231" t="s">
        <v>651</v>
      </c>
      <c r="K383" s="231" t="s">
        <v>252</v>
      </c>
      <c r="L383" s="231" t="s">
        <v>252</v>
      </c>
      <c r="M383" s="231" t="s">
        <v>654</v>
      </c>
      <c r="N383" s="324" t="s">
        <v>711</v>
      </c>
      <c r="O383" s="417">
        <f>0</f>
        <v>0</v>
      </c>
      <c r="P383" s="90">
        <f>0</f>
        <v>0</v>
      </c>
      <c r="Q383" s="90">
        <f>0</f>
        <v>0</v>
      </c>
      <c r="R383" s="90">
        <f>0</f>
        <v>0</v>
      </c>
      <c r="S383" s="90">
        <f>0</f>
        <v>0</v>
      </c>
      <c r="T383" s="90">
        <f>0</f>
        <v>0</v>
      </c>
      <c r="U383" s="90">
        <f>0</f>
        <v>0</v>
      </c>
      <c r="V383" s="90">
        <f>0</f>
        <v>0</v>
      </c>
      <c r="W383" s="90">
        <v>2</v>
      </c>
      <c r="X383" s="90">
        <f>0</f>
        <v>0</v>
      </c>
      <c r="Y383" s="90">
        <f>0</f>
        <v>0</v>
      </c>
      <c r="Z383" s="418">
        <f>0</f>
        <v>0</v>
      </c>
      <c r="AA383" s="192">
        <f t="shared" si="15"/>
        <v>2</v>
      </c>
      <c r="AB383" s="193"/>
      <c r="AC383" s="190">
        <f t="shared" si="16"/>
        <v>2</v>
      </c>
      <c r="AD383" s="194">
        <v>45030</v>
      </c>
      <c r="AE383" s="195" t="s">
        <v>239</v>
      </c>
      <c r="AF383" s="97" t="s">
        <v>1595</v>
      </c>
      <c r="AG383" s="196"/>
      <c r="AH383" s="195"/>
      <c r="AI383" s="101" t="s">
        <v>1448</v>
      </c>
      <c r="AJ383" s="99">
        <v>2</v>
      </c>
      <c r="AK383" s="197">
        <f t="shared" si="18"/>
        <v>0</v>
      </c>
      <c r="AL383" s="98" t="s">
        <v>1622</v>
      </c>
      <c r="AM383" s="90"/>
      <c r="AN383" s="100"/>
      <c r="AO383" s="198"/>
    </row>
    <row r="384" spans="1:41" s="308" customFormat="1" ht="30.75" hidden="1" customHeight="1" x14ac:dyDescent="0.35">
      <c r="A384" s="244">
        <v>196</v>
      </c>
      <c r="B384" s="253" t="s">
        <v>616</v>
      </c>
      <c r="C384" s="254" t="s">
        <v>617</v>
      </c>
      <c r="D384" s="595" t="s">
        <v>1579</v>
      </c>
      <c r="E384" s="228">
        <v>0</v>
      </c>
      <c r="F384" s="231" t="s">
        <v>652</v>
      </c>
      <c r="G384" s="230" t="s">
        <v>1580</v>
      </c>
      <c r="H384" s="230" t="s">
        <v>252</v>
      </c>
      <c r="I384" s="545" t="s">
        <v>650</v>
      </c>
      <c r="J384" s="231" t="s">
        <v>251</v>
      </c>
      <c r="K384" s="231" t="s">
        <v>653</v>
      </c>
      <c r="L384" s="231" t="s">
        <v>252</v>
      </c>
      <c r="M384" s="231" t="s">
        <v>654</v>
      </c>
      <c r="N384" s="324" t="s">
        <v>711</v>
      </c>
      <c r="O384" s="417">
        <f>0</f>
        <v>0</v>
      </c>
      <c r="P384" s="90">
        <f>0</f>
        <v>0</v>
      </c>
      <c r="Q384" s="90">
        <f>0</f>
        <v>0</v>
      </c>
      <c r="R384" s="90">
        <f>0</f>
        <v>0</v>
      </c>
      <c r="S384" s="90">
        <f>0</f>
        <v>0</v>
      </c>
      <c r="T384" s="90">
        <f>0</f>
        <v>0</v>
      </c>
      <c r="U384" s="90">
        <f>0</f>
        <v>0</v>
      </c>
      <c r="V384" s="90">
        <f>0</f>
        <v>0</v>
      </c>
      <c r="W384" s="90">
        <v>2</v>
      </c>
      <c r="X384" s="90">
        <f>0</f>
        <v>0</v>
      </c>
      <c r="Y384" s="90">
        <f>0</f>
        <v>0</v>
      </c>
      <c r="Z384" s="418">
        <f>0</f>
        <v>0</v>
      </c>
      <c r="AA384" s="192">
        <f t="shared" si="15"/>
        <v>2</v>
      </c>
      <c r="AB384" s="193"/>
      <c r="AC384" s="190">
        <f t="shared" si="16"/>
        <v>2</v>
      </c>
      <c r="AD384" s="194">
        <v>45030</v>
      </c>
      <c r="AE384" s="195" t="s">
        <v>239</v>
      </c>
      <c r="AF384" s="97" t="s">
        <v>1595</v>
      </c>
      <c r="AG384" s="196"/>
      <c r="AH384" s="195"/>
      <c r="AI384" s="101" t="s">
        <v>1448</v>
      </c>
      <c r="AJ384" s="99">
        <v>2</v>
      </c>
      <c r="AK384" s="197">
        <f t="shared" si="18"/>
        <v>0</v>
      </c>
      <c r="AL384" s="98" t="s">
        <v>1622</v>
      </c>
      <c r="AM384" s="90"/>
      <c r="AN384" s="100"/>
      <c r="AO384" s="198"/>
    </row>
    <row r="385" spans="1:41" s="308" customFormat="1" ht="30.75" hidden="1" customHeight="1" x14ac:dyDescent="0.35">
      <c r="A385" s="252">
        <v>284</v>
      </c>
      <c r="B385" s="253">
        <v>44944</v>
      </c>
      <c r="C385" s="254" t="s">
        <v>817</v>
      </c>
      <c r="D385" s="595" t="s">
        <v>1576</v>
      </c>
      <c r="E385" s="400">
        <v>0</v>
      </c>
      <c r="F385" s="231" t="s">
        <v>652</v>
      </c>
      <c r="G385" s="230" t="s">
        <v>1575</v>
      </c>
      <c r="H385" s="230" t="s">
        <v>252</v>
      </c>
      <c r="I385" s="545" t="s">
        <v>650</v>
      </c>
      <c r="J385" s="231" t="s">
        <v>251</v>
      </c>
      <c r="K385" s="231" t="s">
        <v>653</v>
      </c>
      <c r="L385" s="231" t="s">
        <v>252</v>
      </c>
      <c r="M385" s="231" t="s">
        <v>654</v>
      </c>
      <c r="N385" s="235" t="s">
        <v>814</v>
      </c>
      <c r="O385" s="417">
        <f>0</f>
        <v>0</v>
      </c>
      <c r="P385" s="90">
        <f>0</f>
        <v>0</v>
      </c>
      <c r="Q385" s="90">
        <f>0</f>
        <v>0</v>
      </c>
      <c r="R385" s="90">
        <v>4</v>
      </c>
      <c r="S385" s="90">
        <f>0</f>
        <v>0</v>
      </c>
      <c r="T385" s="90">
        <f>0</f>
        <v>0</v>
      </c>
      <c r="U385" s="90">
        <f>0</f>
        <v>0</v>
      </c>
      <c r="V385" s="90">
        <f>0</f>
        <v>0</v>
      </c>
      <c r="W385" s="90">
        <f>0</f>
        <v>0</v>
      </c>
      <c r="X385" s="90">
        <f>0</f>
        <v>0</v>
      </c>
      <c r="Y385" s="90">
        <f>0</f>
        <v>0</v>
      </c>
      <c r="Z385" s="418">
        <f>0</f>
        <v>0</v>
      </c>
      <c r="AA385" s="596">
        <f t="shared" si="15"/>
        <v>4</v>
      </c>
      <c r="AB385" s="193"/>
      <c r="AC385" s="190">
        <f t="shared" si="16"/>
        <v>4</v>
      </c>
      <c r="AD385" s="194">
        <v>45030</v>
      </c>
      <c r="AE385" s="195" t="s">
        <v>239</v>
      </c>
      <c r="AF385" s="97" t="s">
        <v>1595</v>
      </c>
      <c r="AG385" s="196"/>
      <c r="AH385" s="195"/>
      <c r="AI385" s="98" t="s">
        <v>1448</v>
      </c>
      <c r="AJ385" s="99">
        <v>4</v>
      </c>
      <c r="AK385" s="197">
        <f t="shared" si="18"/>
        <v>0</v>
      </c>
      <c r="AL385" s="98" t="s">
        <v>1622</v>
      </c>
      <c r="AM385" s="90"/>
      <c r="AN385" s="100"/>
      <c r="AO385" s="198"/>
    </row>
    <row r="386" spans="1:41" s="308" customFormat="1" ht="30.75" hidden="1" customHeight="1" x14ac:dyDescent="0.35">
      <c r="A386" s="244">
        <v>285</v>
      </c>
      <c r="B386" s="253">
        <v>44944</v>
      </c>
      <c r="C386" s="254" t="s">
        <v>817</v>
      </c>
      <c r="D386" s="595" t="s">
        <v>1573</v>
      </c>
      <c r="E386" s="400">
        <v>0</v>
      </c>
      <c r="F386" s="231" t="s">
        <v>1352</v>
      </c>
      <c r="G386" s="230" t="s">
        <v>1574</v>
      </c>
      <c r="H386" s="230" t="s">
        <v>649</v>
      </c>
      <c r="I386" s="545" t="s">
        <v>650</v>
      </c>
      <c r="J386" s="231" t="s">
        <v>251</v>
      </c>
      <c r="K386" s="231" t="s">
        <v>252</v>
      </c>
      <c r="L386" s="231" t="s">
        <v>252</v>
      </c>
      <c r="M386" s="231" t="s">
        <v>654</v>
      </c>
      <c r="N386" s="597" t="s">
        <v>1581</v>
      </c>
      <c r="O386" s="417">
        <f>0</f>
        <v>0</v>
      </c>
      <c r="P386" s="90">
        <f>0</f>
        <v>0</v>
      </c>
      <c r="Q386" s="90">
        <f>0</f>
        <v>0</v>
      </c>
      <c r="R386" s="90">
        <v>4</v>
      </c>
      <c r="S386" s="90">
        <f>0</f>
        <v>0</v>
      </c>
      <c r="T386" s="90">
        <f>0</f>
        <v>0</v>
      </c>
      <c r="U386" s="90">
        <f>0</f>
        <v>0</v>
      </c>
      <c r="V386" s="90">
        <f>0</f>
        <v>0</v>
      </c>
      <c r="W386" s="90">
        <f>0</f>
        <v>0</v>
      </c>
      <c r="X386" s="90">
        <f>0</f>
        <v>0</v>
      </c>
      <c r="Y386" s="90">
        <f>0</f>
        <v>0</v>
      </c>
      <c r="Z386" s="418">
        <f>0</f>
        <v>0</v>
      </c>
      <c r="AA386" s="596">
        <f t="shared" si="15"/>
        <v>4</v>
      </c>
      <c r="AB386" s="193"/>
      <c r="AC386" s="190">
        <f t="shared" si="16"/>
        <v>4</v>
      </c>
      <c r="AD386" s="194">
        <v>45030</v>
      </c>
      <c r="AE386" s="195" t="s">
        <v>239</v>
      </c>
      <c r="AF386" s="97" t="s">
        <v>1595</v>
      </c>
      <c r="AG386" s="196"/>
      <c r="AH386" s="195"/>
      <c r="AI386" s="101" t="s">
        <v>1448</v>
      </c>
      <c r="AJ386" s="99">
        <v>4</v>
      </c>
      <c r="AK386" s="197">
        <f t="shared" si="18"/>
        <v>0</v>
      </c>
      <c r="AL386" s="98" t="s">
        <v>1622</v>
      </c>
      <c r="AM386" s="90"/>
      <c r="AN386" s="100"/>
      <c r="AO386" s="198"/>
    </row>
    <row r="387" spans="1:41" s="308" customFormat="1" ht="30.75" hidden="1" customHeight="1" x14ac:dyDescent="0.35">
      <c r="A387" s="252">
        <v>63</v>
      </c>
      <c r="B387" s="253"/>
      <c r="C387" s="254" t="s">
        <v>237</v>
      </c>
      <c r="D387" s="97"/>
      <c r="E387" s="231"/>
      <c r="F387" s="334" t="s">
        <v>186</v>
      </c>
      <c r="G387" s="335"/>
      <c r="H387" s="336" t="s">
        <v>187</v>
      </c>
      <c r="I387" s="540" t="s">
        <v>188</v>
      </c>
      <c r="J387" s="554"/>
      <c r="K387" s="325"/>
      <c r="L387" s="97" t="s">
        <v>80</v>
      </c>
      <c r="M387" s="97"/>
      <c r="N387" s="235" t="s">
        <v>71</v>
      </c>
      <c r="O387" s="343">
        <v>1</v>
      </c>
      <c r="P387" s="169">
        <f>0</f>
        <v>0</v>
      </c>
      <c r="Q387" s="169">
        <f>0</f>
        <v>0</v>
      </c>
      <c r="R387" s="169">
        <f>0</f>
        <v>0</v>
      </c>
      <c r="S387" s="169">
        <f>0</f>
        <v>0</v>
      </c>
      <c r="T387" s="169">
        <f>0</f>
        <v>0</v>
      </c>
      <c r="U387" s="169">
        <f>0</f>
        <v>0</v>
      </c>
      <c r="V387" s="169">
        <f>0</f>
        <v>0</v>
      </c>
      <c r="W387" s="169">
        <f>0</f>
        <v>0</v>
      </c>
      <c r="X387" s="169">
        <f>0</f>
        <v>0</v>
      </c>
      <c r="Y387" s="169">
        <f>0</f>
        <v>0</v>
      </c>
      <c r="Z387" s="219">
        <f>0</f>
        <v>0</v>
      </c>
      <c r="AA387" s="160">
        <f t="shared" si="15"/>
        <v>1</v>
      </c>
      <c r="AB387" s="141">
        <f>0</f>
        <v>0</v>
      </c>
      <c r="AC387" s="172">
        <f t="shared" si="16"/>
        <v>1</v>
      </c>
      <c r="AD387" s="194">
        <v>44756</v>
      </c>
      <c r="AE387" s="195" t="s">
        <v>239</v>
      </c>
      <c r="AF387" s="97" t="s">
        <v>276</v>
      </c>
      <c r="AG387" s="196" t="s">
        <v>277</v>
      </c>
      <c r="AH387" s="195"/>
      <c r="AI387" s="101"/>
      <c r="AJ387" s="99">
        <v>1</v>
      </c>
      <c r="AK387" s="197">
        <f t="shared" si="18"/>
        <v>0</v>
      </c>
      <c r="AL387" s="98" t="s">
        <v>285</v>
      </c>
      <c r="AM387" s="90"/>
      <c r="AN387" s="100"/>
      <c r="AO387" s="198"/>
    </row>
    <row r="388" spans="1:41" s="308" customFormat="1" ht="30.75" hidden="1" customHeight="1" x14ac:dyDescent="0.35">
      <c r="A388" s="244">
        <v>64</v>
      </c>
      <c r="B388" s="253"/>
      <c r="C388" s="254" t="s">
        <v>237</v>
      </c>
      <c r="D388" s="236"/>
      <c r="E388" s="236"/>
      <c r="F388" s="337" t="s">
        <v>189</v>
      </c>
      <c r="G388" s="338"/>
      <c r="H388" s="230" t="s">
        <v>190</v>
      </c>
      <c r="I388" s="534" t="s">
        <v>188</v>
      </c>
      <c r="J388" s="231"/>
      <c r="K388" s="325"/>
      <c r="L388" s="97" t="s">
        <v>80</v>
      </c>
      <c r="M388" s="97"/>
      <c r="N388" s="235" t="s">
        <v>71</v>
      </c>
      <c r="O388" s="343">
        <v>1</v>
      </c>
      <c r="P388" s="169">
        <f>0</f>
        <v>0</v>
      </c>
      <c r="Q388" s="169">
        <f>0</f>
        <v>0</v>
      </c>
      <c r="R388" s="169">
        <f>0</f>
        <v>0</v>
      </c>
      <c r="S388" s="169">
        <f>0</f>
        <v>0</v>
      </c>
      <c r="T388" s="169">
        <f>0</f>
        <v>0</v>
      </c>
      <c r="U388" s="169">
        <f>0</f>
        <v>0</v>
      </c>
      <c r="V388" s="169">
        <f>0</f>
        <v>0</v>
      </c>
      <c r="W388" s="169">
        <f>0</f>
        <v>0</v>
      </c>
      <c r="X388" s="169">
        <f>0</f>
        <v>0</v>
      </c>
      <c r="Y388" s="169">
        <f>0</f>
        <v>0</v>
      </c>
      <c r="Z388" s="219">
        <f>0</f>
        <v>0</v>
      </c>
      <c r="AA388" s="160">
        <f t="shared" ref="AA388:AA451" si="19">SUM(O388:Z388)</f>
        <v>1</v>
      </c>
      <c r="AB388" s="141">
        <f>0</f>
        <v>0</v>
      </c>
      <c r="AC388" s="172">
        <f t="shared" si="16"/>
        <v>1</v>
      </c>
      <c r="AD388" s="194">
        <v>44756</v>
      </c>
      <c r="AE388" s="195" t="s">
        <v>239</v>
      </c>
      <c r="AF388" s="97" t="s">
        <v>276</v>
      </c>
      <c r="AG388" s="196" t="s">
        <v>277</v>
      </c>
      <c r="AH388" s="195"/>
      <c r="AI388" s="98"/>
      <c r="AJ388" s="99" t="s">
        <v>303</v>
      </c>
      <c r="AK388" s="197" t="e">
        <f t="shared" si="18"/>
        <v>#VALUE!</v>
      </c>
      <c r="AL388" s="98" t="s">
        <v>304</v>
      </c>
      <c r="AM388" s="90"/>
      <c r="AN388" s="100"/>
      <c r="AO388" s="198"/>
    </row>
    <row r="389" spans="1:41" s="308" customFormat="1" ht="30.75" hidden="1" customHeight="1" x14ac:dyDescent="0.35">
      <c r="A389" s="252">
        <v>423</v>
      </c>
      <c r="B389" s="253">
        <v>44946</v>
      </c>
      <c r="C389" s="254" t="s">
        <v>456</v>
      </c>
      <c r="D389" s="236"/>
      <c r="E389" s="236"/>
      <c r="F389" s="185" t="s">
        <v>1015</v>
      </c>
      <c r="G389" s="97" t="s">
        <v>1107</v>
      </c>
      <c r="H389" s="97" t="s">
        <v>1107</v>
      </c>
      <c r="I389" s="242" t="s">
        <v>188</v>
      </c>
      <c r="J389" s="97"/>
      <c r="K389" s="97"/>
      <c r="L389" s="97"/>
      <c r="M389" s="97"/>
      <c r="N389" s="235"/>
      <c r="O389" s="343">
        <v>1</v>
      </c>
      <c r="P389" s="169">
        <v>0</v>
      </c>
      <c r="Q389" s="169">
        <v>0</v>
      </c>
      <c r="R389" s="169">
        <v>0</v>
      </c>
      <c r="S389" s="169">
        <v>0</v>
      </c>
      <c r="T389" s="169">
        <v>0</v>
      </c>
      <c r="U389" s="169">
        <v>0</v>
      </c>
      <c r="V389" s="169">
        <v>0</v>
      </c>
      <c r="W389" s="169">
        <v>0</v>
      </c>
      <c r="X389" s="169">
        <v>0</v>
      </c>
      <c r="Y389" s="169">
        <f>0</f>
        <v>0</v>
      </c>
      <c r="Z389" s="219">
        <f>0</f>
        <v>0</v>
      </c>
      <c r="AA389" s="160">
        <f t="shared" si="19"/>
        <v>1</v>
      </c>
      <c r="AB389" s="141"/>
      <c r="AC389" s="172">
        <f t="shared" si="16"/>
        <v>1</v>
      </c>
      <c r="AD389" s="194">
        <v>44964</v>
      </c>
      <c r="AE389" s="195" t="s">
        <v>531</v>
      </c>
      <c r="AF389" s="97" t="s">
        <v>1335</v>
      </c>
      <c r="AG389" s="196"/>
      <c r="AH389" s="195" t="s">
        <v>1336</v>
      </c>
      <c r="AI389" s="98"/>
      <c r="AJ389" s="99">
        <v>1</v>
      </c>
      <c r="AK389" s="197">
        <f t="shared" si="18"/>
        <v>0</v>
      </c>
      <c r="AL389" s="98" t="s">
        <v>1432</v>
      </c>
      <c r="AM389" s="90"/>
      <c r="AN389" s="100"/>
      <c r="AO389" s="198"/>
    </row>
    <row r="390" spans="1:41" s="308" customFormat="1" ht="30.75" hidden="1" customHeight="1" x14ac:dyDescent="0.35">
      <c r="A390" s="244">
        <v>424</v>
      </c>
      <c r="B390" s="253">
        <v>44946</v>
      </c>
      <c r="C390" s="254" t="s">
        <v>456</v>
      </c>
      <c r="D390" s="236"/>
      <c r="E390" s="236"/>
      <c r="F390" s="185" t="s">
        <v>1016</v>
      </c>
      <c r="G390" s="97" t="s">
        <v>1108</v>
      </c>
      <c r="H390" s="97" t="s">
        <v>1108</v>
      </c>
      <c r="I390" s="242" t="s">
        <v>188</v>
      </c>
      <c r="J390" s="97"/>
      <c r="K390" s="97"/>
      <c r="L390" s="97"/>
      <c r="M390" s="97"/>
      <c r="N390" s="235"/>
      <c r="O390" s="343">
        <v>3</v>
      </c>
      <c r="P390" s="169">
        <v>0</v>
      </c>
      <c r="Q390" s="169">
        <v>0</v>
      </c>
      <c r="R390" s="169">
        <v>0</v>
      </c>
      <c r="S390" s="169">
        <v>0</v>
      </c>
      <c r="T390" s="169">
        <v>0</v>
      </c>
      <c r="U390" s="169">
        <v>0</v>
      </c>
      <c r="V390" s="169">
        <v>0</v>
      </c>
      <c r="W390" s="169">
        <v>0</v>
      </c>
      <c r="X390" s="169">
        <v>0</v>
      </c>
      <c r="Y390" s="169">
        <f>0</f>
        <v>0</v>
      </c>
      <c r="Z390" s="219">
        <f>0</f>
        <v>0</v>
      </c>
      <c r="AA390" s="160">
        <f t="shared" si="19"/>
        <v>3</v>
      </c>
      <c r="AB390" s="141"/>
      <c r="AC390" s="172">
        <f t="shared" si="16"/>
        <v>3</v>
      </c>
      <c r="AD390" s="194">
        <v>44964</v>
      </c>
      <c r="AE390" s="195" t="s">
        <v>531</v>
      </c>
      <c r="AF390" s="97" t="s">
        <v>1335</v>
      </c>
      <c r="AG390" s="196"/>
      <c r="AH390" s="195" t="s">
        <v>1336</v>
      </c>
      <c r="AI390" s="98"/>
      <c r="AJ390" s="99">
        <v>3</v>
      </c>
      <c r="AK390" s="197">
        <f t="shared" si="18"/>
        <v>0</v>
      </c>
      <c r="AL390" s="98" t="s">
        <v>1432</v>
      </c>
      <c r="AM390" s="90"/>
      <c r="AN390" s="100"/>
      <c r="AO390" s="198"/>
    </row>
    <row r="391" spans="1:41" s="308" customFormat="1" ht="30.75" hidden="1" customHeight="1" x14ac:dyDescent="0.35">
      <c r="A391" s="252">
        <v>425</v>
      </c>
      <c r="B391" s="253">
        <v>44946</v>
      </c>
      <c r="C391" s="254" t="s">
        <v>456</v>
      </c>
      <c r="D391" s="236"/>
      <c r="E391" s="236"/>
      <c r="F391" s="185" t="s">
        <v>1017</v>
      </c>
      <c r="G391" s="97" t="s">
        <v>1109</v>
      </c>
      <c r="H391" s="97" t="s">
        <v>1109</v>
      </c>
      <c r="I391" s="242" t="s">
        <v>188</v>
      </c>
      <c r="J391" s="97"/>
      <c r="K391" s="97"/>
      <c r="L391" s="97"/>
      <c r="M391" s="97"/>
      <c r="N391" s="235"/>
      <c r="O391" s="343">
        <v>7</v>
      </c>
      <c r="P391" s="169">
        <v>0</v>
      </c>
      <c r="Q391" s="169">
        <v>0</v>
      </c>
      <c r="R391" s="169">
        <v>0</v>
      </c>
      <c r="S391" s="169">
        <v>0</v>
      </c>
      <c r="T391" s="169">
        <v>0</v>
      </c>
      <c r="U391" s="169">
        <v>0</v>
      </c>
      <c r="V391" s="169">
        <v>0</v>
      </c>
      <c r="W391" s="169">
        <v>0</v>
      </c>
      <c r="X391" s="169">
        <v>0</v>
      </c>
      <c r="Y391" s="169">
        <f>0</f>
        <v>0</v>
      </c>
      <c r="Z391" s="219">
        <f>0</f>
        <v>0</v>
      </c>
      <c r="AA391" s="160">
        <f t="shared" si="19"/>
        <v>7</v>
      </c>
      <c r="AB391" s="141">
        <v>1</v>
      </c>
      <c r="AC391" s="172">
        <f t="shared" ref="AC391:AC454" si="20">AA391-AB391</f>
        <v>6</v>
      </c>
      <c r="AD391" s="194">
        <v>44964</v>
      </c>
      <c r="AE391" s="195" t="s">
        <v>531</v>
      </c>
      <c r="AF391" s="97" t="s">
        <v>1335</v>
      </c>
      <c r="AG391" s="196"/>
      <c r="AH391" s="195" t="s">
        <v>1336</v>
      </c>
      <c r="AI391" s="98"/>
      <c r="AJ391" s="99">
        <v>6</v>
      </c>
      <c r="AK391" s="197">
        <f t="shared" si="18"/>
        <v>0</v>
      </c>
      <c r="AL391" s="98" t="s">
        <v>1433</v>
      </c>
      <c r="AM391" s="90"/>
      <c r="AN391" s="100"/>
      <c r="AO391" s="198"/>
    </row>
    <row r="392" spans="1:41" s="308" customFormat="1" ht="30.75" hidden="1" customHeight="1" x14ac:dyDescent="0.35">
      <c r="A392" s="244">
        <v>426</v>
      </c>
      <c r="B392" s="253">
        <v>44946</v>
      </c>
      <c r="C392" s="254" t="s">
        <v>456</v>
      </c>
      <c r="D392" s="236"/>
      <c r="E392" s="236"/>
      <c r="F392" s="185" t="s">
        <v>1017</v>
      </c>
      <c r="G392" s="97" t="s">
        <v>1110</v>
      </c>
      <c r="H392" s="97" t="s">
        <v>1110</v>
      </c>
      <c r="I392" s="242" t="s">
        <v>188</v>
      </c>
      <c r="J392" s="97"/>
      <c r="K392" s="97"/>
      <c r="L392" s="97"/>
      <c r="M392" s="97"/>
      <c r="N392" s="235"/>
      <c r="O392" s="343">
        <v>11</v>
      </c>
      <c r="P392" s="169">
        <v>0</v>
      </c>
      <c r="Q392" s="169">
        <v>0</v>
      </c>
      <c r="R392" s="169">
        <v>0</v>
      </c>
      <c r="S392" s="169">
        <v>0</v>
      </c>
      <c r="T392" s="169">
        <v>0</v>
      </c>
      <c r="U392" s="169">
        <v>0</v>
      </c>
      <c r="V392" s="169">
        <v>0</v>
      </c>
      <c r="W392" s="169">
        <v>0</v>
      </c>
      <c r="X392" s="169">
        <v>0</v>
      </c>
      <c r="Y392" s="169">
        <f>0</f>
        <v>0</v>
      </c>
      <c r="Z392" s="219">
        <f>0</f>
        <v>0</v>
      </c>
      <c r="AA392" s="160">
        <f t="shared" si="19"/>
        <v>11</v>
      </c>
      <c r="AB392" s="141"/>
      <c r="AC392" s="172">
        <f t="shared" si="20"/>
        <v>11</v>
      </c>
      <c r="AD392" s="194">
        <v>44964</v>
      </c>
      <c r="AE392" s="195" t="s">
        <v>531</v>
      </c>
      <c r="AF392" s="97" t="s">
        <v>1335</v>
      </c>
      <c r="AG392" s="196"/>
      <c r="AH392" s="195" t="s">
        <v>1336</v>
      </c>
      <c r="AI392" s="98"/>
      <c r="AJ392" s="99">
        <v>11</v>
      </c>
      <c r="AK392" s="197">
        <f t="shared" si="18"/>
        <v>0</v>
      </c>
      <c r="AL392" s="98" t="s">
        <v>1432</v>
      </c>
      <c r="AM392" s="90"/>
      <c r="AN392" s="100"/>
      <c r="AO392" s="198"/>
    </row>
    <row r="393" spans="1:41" s="308" customFormat="1" ht="30.75" hidden="1" customHeight="1" x14ac:dyDescent="0.35">
      <c r="A393" s="252">
        <v>427</v>
      </c>
      <c r="B393" s="253">
        <v>44946</v>
      </c>
      <c r="C393" s="254" t="s">
        <v>456</v>
      </c>
      <c r="D393" s="236"/>
      <c r="E393" s="236"/>
      <c r="F393" s="185" t="s">
        <v>1018</v>
      </c>
      <c r="G393" s="97" t="s">
        <v>1111</v>
      </c>
      <c r="H393" s="97" t="s">
        <v>1111</v>
      </c>
      <c r="I393" s="242" t="s">
        <v>188</v>
      </c>
      <c r="J393" s="97"/>
      <c r="K393" s="97"/>
      <c r="L393" s="97"/>
      <c r="M393" s="97"/>
      <c r="N393" s="235"/>
      <c r="O393" s="343">
        <v>1</v>
      </c>
      <c r="P393" s="169">
        <v>0</v>
      </c>
      <c r="Q393" s="169">
        <v>0</v>
      </c>
      <c r="R393" s="169">
        <v>0</v>
      </c>
      <c r="S393" s="169">
        <v>0</v>
      </c>
      <c r="T393" s="169">
        <v>0</v>
      </c>
      <c r="U393" s="169">
        <v>0</v>
      </c>
      <c r="V393" s="169">
        <v>0</v>
      </c>
      <c r="W393" s="169">
        <v>0</v>
      </c>
      <c r="X393" s="169">
        <v>0</v>
      </c>
      <c r="Y393" s="169">
        <f>0</f>
        <v>0</v>
      </c>
      <c r="Z393" s="219">
        <f>0</f>
        <v>0</v>
      </c>
      <c r="AA393" s="160">
        <f t="shared" si="19"/>
        <v>1</v>
      </c>
      <c r="AB393" s="141"/>
      <c r="AC393" s="172">
        <f t="shared" si="20"/>
        <v>1</v>
      </c>
      <c r="AD393" s="194">
        <v>44964</v>
      </c>
      <c r="AE393" s="195" t="s">
        <v>531</v>
      </c>
      <c r="AF393" s="97" t="s">
        <v>1335</v>
      </c>
      <c r="AG393" s="196"/>
      <c r="AH393" s="195" t="s">
        <v>1336</v>
      </c>
      <c r="AI393" s="98"/>
      <c r="AJ393" s="99">
        <v>1</v>
      </c>
      <c r="AK393" s="197">
        <f t="shared" si="18"/>
        <v>0</v>
      </c>
      <c r="AL393" s="98" t="s">
        <v>1432</v>
      </c>
      <c r="AM393" s="90"/>
      <c r="AN393" s="100"/>
      <c r="AO393" s="198"/>
    </row>
    <row r="394" spans="1:41" s="308" customFormat="1" ht="30.75" hidden="1" customHeight="1" x14ac:dyDescent="0.35">
      <c r="A394" s="244">
        <v>428</v>
      </c>
      <c r="B394" s="253">
        <v>44946</v>
      </c>
      <c r="C394" s="254" t="s">
        <v>456</v>
      </c>
      <c r="D394" s="236"/>
      <c r="E394" s="236"/>
      <c r="F394" s="185" t="s">
        <v>1017</v>
      </c>
      <c r="G394" s="97" t="s">
        <v>1112</v>
      </c>
      <c r="H394" s="97" t="s">
        <v>1112</v>
      </c>
      <c r="I394" s="242" t="s">
        <v>188</v>
      </c>
      <c r="J394" s="97"/>
      <c r="K394" s="97"/>
      <c r="L394" s="97"/>
      <c r="M394" s="97"/>
      <c r="N394" s="235"/>
      <c r="O394" s="343">
        <v>2</v>
      </c>
      <c r="P394" s="169">
        <v>0</v>
      </c>
      <c r="Q394" s="169">
        <v>0</v>
      </c>
      <c r="R394" s="169">
        <v>0</v>
      </c>
      <c r="S394" s="169">
        <v>0</v>
      </c>
      <c r="T394" s="169">
        <v>0</v>
      </c>
      <c r="U394" s="169">
        <v>0</v>
      </c>
      <c r="V394" s="169">
        <v>0</v>
      </c>
      <c r="W394" s="169">
        <v>0</v>
      </c>
      <c r="X394" s="169">
        <v>0</v>
      </c>
      <c r="Y394" s="169">
        <f>0</f>
        <v>0</v>
      </c>
      <c r="Z394" s="219">
        <f>0</f>
        <v>0</v>
      </c>
      <c r="AA394" s="160">
        <f t="shared" si="19"/>
        <v>2</v>
      </c>
      <c r="AB394" s="141"/>
      <c r="AC394" s="172">
        <f t="shared" si="20"/>
        <v>2</v>
      </c>
      <c r="AD394" s="194">
        <v>44964</v>
      </c>
      <c r="AE394" s="195" t="s">
        <v>531</v>
      </c>
      <c r="AF394" s="97" t="s">
        <v>1335</v>
      </c>
      <c r="AG394" s="196"/>
      <c r="AH394" s="195" t="s">
        <v>1336</v>
      </c>
      <c r="AI394" s="98"/>
      <c r="AJ394" s="99">
        <v>2</v>
      </c>
      <c r="AK394" s="197">
        <f t="shared" si="18"/>
        <v>0</v>
      </c>
      <c r="AL394" s="98" t="s">
        <v>1432</v>
      </c>
      <c r="AM394" s="90"/>
      <c r="AN394" s="100"/>
      <c r="AO394" s="198"/>
    </row>
    <row r="395" spans="1:41" s="308" customFormat="1" ht="30.75" hidden="1" customHeight="1" x14ac:dyDescent="0.35">
      <c r="A395" s="252">
        <v>429</v>
      </c>
      <c r="B395" s="253">
        <v>44946</v>
      </c>
      <c r="C395" s="254" t="s">
        <v>456</v>
      </c>
      <c r="D395" s="236"/>
      <c r="E395" s="236"/>
      <c r="F395" s="185" t="s">
        <v>1019</v>
      </c>
      <c r="G395" s="97" t="s">
        <v>1113</v>
      </c>
      <c r="H395" s="97" t="s">
        <v>1113</v>
      </c>
      <c r="I395" s="242" t="s">
        <v>188</v>
      </c>
      <c r="J395" s="97"/>
      <c r="K395" s="97"/>
      <c r="L395" s="97"/>
      <c r="M395" s="97"/>
      <c r="N395" s="235"/>
      <c r="O395" s="343">
        <v>1</v>
      </c>
      <c r="P395" s="169">
        <v>0</v>
      </c>
      <c r="Q395" s="169">
        <v>0</v>
      </c>
      <c r="R395" s="169">
        <v>0</v>
      </c>
      <c r="S395" s="169">
        <v>0</v>
      </c>
      <c r="T395" s="169">
        <v>0</v>
      </c>
      <c r="U395" s="169">
        <v>0</v>
      </c>
      <c r="V395" s="169">
        <v>0</v>
      </c>
      <c r="W395" s="169">
        <v>0</v>
      </c>
      <c r="X395" s="169">
        <v>0</v>
      </c>
      <c r="Y395" s="169">
        <f>0</f>
        <v>0</v>
      </c>
      <c r="Z395" s="219">
        <f>0</f>
        <v>0</v>
      </c>
      <c r="AA395" s="160">
        <f t="shared" si="19"/>
        <v>1</v>
      </c>
      <c r="AB395" s="141"/>
      <c r="AC395" s="172">
        <f t="shared" si="20"/>
        <v>1</v>
      </c>
      <c r="AD395" s="194">
        <v>44964</v>
      </c>
      <c r="AE395" s="195" t="s">
        <v>531</v>
      </c>
      <c r="AF395" s="97" t="s">
        <v>1335</v>
      </c>
      <c r="AG395" s="196"/>
      <c r="AH395" s="195" t="s">
        <v>1336</v>
      </c>
      <c r="AI395" s="98"/>
      <c r="AJ395" s="99">
        <v>1</v>
      </c>
      <c r="AK395" s="197">
        <f t="shared" si="18"/>
        <v>0</v>
      </c>
      <c r="AL395" s="98" t="s">
        <v>1432</v>
      </c>
      <c r="AM395" s="90"/>
      <c r="AN395" s="100"/>
      <c r="AO395" s="198"/>
    </row>
    <row r="396" spans="1:41" s="308" customFormat="1" ht="30.75" hidden="1" customHeight="1" x14ac:dyDescent="0.35">
      <c r="A396" s="244">
        <v>430</v>
      </c>
      <c r="B396" s="253">
        <v>44946</v>
      </c>
      <c r="C396" s="254" t="s">
        <v>456</v>
      </c>
      <c r="D396" s="236"/>
      <c r="E396" s="236"/>
      <c r="F396" s="185" t="s">
        <v>1020</v>
      </c>
      <c r="G396" s="97" t="s">
        <v>1114</v>
      </c>
      <c r="H396" s="97" t="s">
        <v>1114</v>
      </c>
      <c r="I396" s="242" t="s">
        <v>188</v>
      </c>
      <c r="J396" s="97"/>
      <c r="K396" s="97"/>
      <c r="L396" s="97"/>
      <c r="M396" s="97"/>
      <c r="N396" s="235"/>
      <c r="O396" s="343">
        <v>2</v>
      </c>
      <c r="P396" s="169">
        <v>0</v>
      </c>
      <c r="Q396" s="169">
        <v>0</v>
      </c>
      <c r="R396" s="169">
        <v>0</v>
      </c>
      <c r="S396" s="169">
        <v>0</v>
      </c>
      <c r="T396" s="169">
        <v>0</v>
      </c>
      <c r="U396" s="169">
        <v>0</v>
      </c>
      <c r="V396" s="169">
        <v>0</v>
      </c>
      <c r="W396" s="169">
        <v>0</v>
      </c>
      <c r="X396" s="169">
        <v>0</v>
      </c>
      <c r="Y396" s="169">
        <f>0</f>
        <v>0</v>
      </c>
      <c r="Z396" s="219">
        <f>0</f>
        <v>0</v>
      </c>
      <c r="AA396" s="160">
        <f t="shared" si="19"/>
        <v>2</v>
      </c>
      <c r="AB396" s="141"/>
      <c r="AC396" s="172">
        <f t="shared" si="20"/>
        <v>2</v>
      </c>
      <c r="AD396" s="194">
        <v>44964</v>
      </c>
      <c r="AE396" s="195" t="s">
        <v>531</v>
      </c>
      <c r="AF396" s="97" t="s">
        <v>1335</v>
      </c>
      <c r="AG396" s="196"/>
      <c r="AH396" s="195" t="s">
        <v>1336</v>
      </c>
      <c r="AI396" s="98"/>
      <c r="AJ396" s="99">
        <v>2</v>
      </c>
      <c r="AK396" s="197">
        <f t="shared" si="18"/>
        <v>0</v>
      </c>
      <c r="AL396" s="98" t="s">
        <v>1432</v>
      </c>
      <c r="AM396" s="90"/>
      <c r="AN396" s="100"/>
      <c r="AO396" s="198"/>
    </row>
    <row r="397" spans="1:41" s="308" customFormat="1" ht="30.75" hidden="1" customHeight="1" x14ac:dyDescent="0.35">
      <c r="A397" s="252">
        <v>431</v>
      </c>
      <c r="B397" s="253">
        <v>44946</v>
      </c>
      <c r="C397" s="254" t="s">
        <v>456</v>
      </c>
      <c r="D397" s="236"/>
      <c r="E397" s="236"/>
      <c r="F397" s="185" t="s">
        <v>1021</v>
      </c>
      <c r="G397" s="97" t="s">
        <v>1115</v>
      </c>
      <c r="H397" s="97" t="s">
        <v>1115</v>
      </c>
      <c r="I397" s="242" t="s">
        <v>188</v>
      </c>
      <c r="J397" s="97"/>
      <c r="K397" s="97"/>
      <c r="L397" s="97"/>
      <c r="M397" s="97"/>
      <c r="N397" s="235"/>
      <c r="O397" s="343">
        <v>2</v>
      </c>
      <c r="P397" s="169">
        <v>0</v>
      </c>
      <c r="Q397" s="169">
        <v>0</v>
      </c>
      <c r="R397" s="169">
        <v>0</v>
      </c>
      <c r="S397" s="169">
        <v>0</v>
      </c>
      <c r="T397" s="169">
        <v>0</v>
      </c>
      <c r="U397" s="169">
        <v>0</v>
      </c>
      <c r="V397" s="169">
        <v>0</v>
      </c>
      <c r="W397" s="169">
        <v>0</v>
      </c>
      <c r="X397" s="169">
        <v>0</v>
      </c>
      <c r="Y397" s="169">
        <f>0</f>
        <v>0</v>
      </c>
      <c r="Z397" s="219">
        <f>0</f>
        <v>0</v>
      </c>
      <c r="AA397" s="160">
        <f t="shared" si="19"/>
        <v>2</v>
      </c>
      <c r="AB397" s="141">
        <v>1</v>
      </c>
      <c r="AC397" s="172">
        <f t="shared" si="20"/>
        <v>1</v>
      </c>
      <c r="AD397" s="194">
        <v>44964</v>
      </c>
      <c r="AE397" s="195" t="s">
        <v>531</v>
      </c>
      <c r="AF397" s="97" t="s">
        <v>1335</v>
      </c>
      <c r="AG397" s="196"/>
      <c r="AH397" s="195" t="s">
        <v>1336</v>
      </c>
      <c r="AI397" s="98"/>
      <c r="AJ397" s="99">
        <v>1</v>
      </c>
      <c r="AK397" s="197">
        <f t="shared" si="18"/>
        <v>0</v>
      </c>
      <c r="AL397" s="191" t="s">
        <v>1433</v>
      </c>
      <c r="AM397" s="90"/>
      <c r="AN397" s="100"/>
      <c r="AO397" s="198"/>
    </row>
    <row r="398" spans="1:41" s="308" customFormat="1" ht="30.75" hidden="1" customHeight="1" x14ac:dyDescent="0.35">
      <c r="A398" s="244">
        <v>432</v>
      </c>
      <c r="B398" s="253">
        <v>44946</v>
      </c>
      <c r="C398" s="254" t="s">
        <v>456</v>
      </c>
      <c r="D398" s="236"/>
      <c r="E398" s="236"/>
      <c r="F398" s="185" t="s">
        <v>1022</v>
      </c>
      <c r="G398" s="97" t="s">
        <v>1116</v>
      </c>
      <c r="H398" s="97" t="s">
        <v>1116</v>
      </c>
      <c r="I398" s="242" t="s">
        <v>188</v>
      </c>
      <c r="J398" s="97"/>
      <c r="K398" s="97"/>
      <c r="L398" s="97"/>
      <c r="M398" s="97"/>
      <c r="N398" s="235"/>
      <c r="O398" s="343">
        <v>1</v>
      </c>
      <c r="P398" s="169">
        <v>0</v>
      </c>
      <c r="Q398" s="169">
        <v>0</v>
      </c>
      <c r="R398" s="169">
        <v>0</v>
      </c>
      <c r="S398" s="169">
        <v>0</v>
      </c>
      <c r="T398" s="169">
        <v>0</v>
      </c>
      <c r="U398" s="169">
        <v>0</v>
      </c>
      <c r="V398" s="169">
        <v>0</v>
      </c>
      <c r="W398" s="169">
        <v>0</v>
      </c>
      <c r="X398" s="169">
        <v>0</v>
      </c>
      <c r="Y398" s="169">
        <f>0</f>
        <v>0</v>
      </c>
      <c r="Z398" s="219">
        <f>0</f>
        <v>0</v>
      </c>
      <c r="AA398" s="160">
        <f t="shared" si="19"/>
        <v>1</v>
      </c>
      <c r="AB398" s="141"/>
      <c r="AC398" s="172">
        <f t="shared" si="20"/>
        <v>1</v>
      </c>
      <c r="AD398" s="194">
        <v>44964</v>
      </c>
      <c r="AE398" s="195" t="s">
        <v>531</v>
      </c>
      <c r="AF398" s="97" t="s">
        <v>1335</v>
      </c>
      <c r="AG398" s="196"/>
      <c r="AH398" s="195" t="s">
        <v>1336</v>
      </c>
      <c r="AI398" s="98"/>
      <c r="AJ398" s="99">
        <v>1</v>
      </c>
      <c r="AK398" s="197">
        <f t="shared" si="18"/>
        <v>0</v>
      </c>
      <c r="AL398" s="98" t="s">
        <v>1432</v>
      </c>
      <c r="AM398" s="90"/>
      <c r="AN398" s="100"/>
      <c r="AO398" s="198"/>
    </row>
    <row r="399" spans="1:41" s="308" customFormat="1" ht="30.75" hidden="1" customHeight="1" x14ac:dyDescent="0.35">
      <c r="A399" s="252">
        <v>433</v>
      </c>
      <c r="B399" s="253">
        <v>44946</v>
      </c>
      <c r="C399" s="254" t="s">
        <v>456</v>
      </c>
      <c r="D399" s="236"/>
      <c r="E399" s="236"/>
      <c r="F399" s="185" t="s">
        <v>1017</v>
      </c>
      <c r="G399" s="97" t="s">
        <v>1117</v>
      </c>
      <c r="H399" s="97" t="s">
        <v>1117</v>
      </c>
      <c r="I399" s="242" t="s">
        <v>188</v>
      </c>
      <c r="J399" s="97"/>
      <c r="K399" s="97"/>
      <c r="L399" s="97"/>
      <c r="M399" s="97"/>
      <c r="N399" s="235"/>
      <c r="O399" s="343">
        <v>1</v>
      </c>
      <c r="P399" s="169">
        <v>0</v>
      </c>
      <c r="Q399" s="169">
        <v>0</v>
      </c>
      <c r="R399" s="169">
        <v>0</v>
      </c>
      <c r="S399" s="169">
        <v>0</v>
      </c>
      <c r="T399" s="169">
        <v>0</v>
      </c>
      <c r="U399" s="169">
        <v>0</v>
      </c>
      <c r="V399" s="169">
        <v>0</v>
      </c>
      <c r="W399" s="169">
        <v>0</v>
      </c>
      <c r="X399" s="169">
        <v>0</v>
      </c>
      <c r="Y399" s="169">
        <f>0</f>
        <v>0</v>
      </c>
      <c r="Z399" s="219">
        <f>0</f>
        <v>0</v>
      </c>
      <c r="AA399" s="160">
        <f t="shared" si="19"/>
        <v>1</v>
      </c>
      <c r="AB399" s="141"/>
      <c r="AC399" s="172">
        <f t="shared" si="20"/>
        <v>1</v>
      </c>
      <c r="AD399" s="194">
        <v>44964</v>
      </c>
      <c r="AE399" s="195" t="s">
        <v>531</v>
      </c>
      <c r="AF399" s="97" t="s">
        <v>1335</v>
      </c>
      <c r="AG399" s="196"/>
      <c r="AH399" s="195" t="s">
        <v>1336</v>
      </c>
      <c r="AI399" s="98"/>
      <c r="AJ399" s="99">
        <v>1</v>
      </c>
      <c r="AK399" s="197">
        <f t="shared" si="18"/>
        <v>0</v>
      </c>
      <c r="AL399" s="98" t="s">
        <v>1432</v>
      </c>
      <c r="AM399" s="90"/>
      <c r="AN399" s="100"/>
      <c r="AO399" s="198"/>
    </row>
    <row r="400" spans="1:41" s="308" customFormat="1" ht="30.75" hidden="1" customHeight="1" x14ac:dyDescent="0.35">
      <c r="A400" s="244">
        <v>434</v>
      </c>
      <c r="B400" s="253">
        <v>44946</v>
      </c>
      <c r="C400" s="254" t="s">
        <v>456</v>
      </c>
      <c r="D400" s="236"/>
      <c r="E400" s="236"/>
      <c r="F400" s="185" t="s">
        <v>1017</v>
      </c>
      <c r="G400" s="97" t="s">
        <v>1118</v>
      </c>
      <c r="H400" s="97" t="s">
        <v>1118</v>
      </c>
      <c r="I400" s="242" t="s">
        <v>188</v>
      </c>
      <c r="J400" s="97"/>
      <c r="K400" s="97"/>
      <c r="L400" s="97"/>
      <c r="M400" s="97"/>
      <c r="N400" s="235"/>
      <c r="O400" s="343">
        <v>6</v>
      </c>
      <c r="P400" s="169">
        <v>0</v>
      </c>
      <c r="Q400" s="169">
        <v>0</v>
      </c>
      <c r="R400" s="169">
        <v>0</v>
      </c>
      <c r="S400" s="169">
        <v>0</v>
      </c>
      <c r="T400" s="169">
        <v>0</v>
      </c>
      <c r="U400" s="169">
        <v>0</v>
      </c>
      <c r="V400" s="169">
        <v>0</v>
      </c>
      <c r="W400" s="169">
        <v>0</v>
      </c>
      <c r="X400" s="169">
        <v>0</v>
      </c>
      <c r="Y400" s="169">
        <f>0</f>
        <v>0</v>
      </c>
      <c r="Z400" s="219">
        <f>0</f>
        <v>0</v>
      </c>
      <c r="AA400" s="160">
        <f t="shared" si="19"/>
        <v>6</v>
      </c>
      <c r="AB400" s="141">
        <v>4</v>
      </c>
      <c r="AC400" s="172">
        <f t="shared" si="20"/>
        <v>2</v>
      </c>
      <c r="AD400" s="194">
        <v>44964</v>
      </c>
      <c r="AE400" s="195" t="s">
        <v>531</v>
      </c>
      <c r="AF400" s="97" t="s">
        <v>1335</v>
      </c>
      <c r="AG400" s="196"/>
      <c r="AH400" s="195" t="s">
        <v>1336</v>
      </c>
      <c r="AI400" s="98"/>
      <c r="AJ400" s="99">
        <v>2</v>
      </c>
      <c r="AK400" s="197">
        <f t="shared" si="18"/>
        <v>0</v>
      </c>
      <c r="AL400" s="98" t="s">
        <v>1433</v>
      </c>
      <c r="AM400" s="90"/>
      <c r="AN400" s="100"/>
      <c r="AO400" s="198"/>
    </row>
    <row r="401" spans="1:41" s="308" customFormat="1" ht="30.75" hidden="1" customHeight="1" x14ac:dyDescent="0.35">
      <c r="A401" s="252">
        <v>435</v>
      </c>
      <c r="B401" s="253">
        <v>44946</v>
      </c>
      <c r="C401" s="254" t="s">
        <v>456</v>
      </c>
      <c r="D401" s="236"/>
      <c r="E401" s="236"/>
      <c r="F401" s="185" t="s">
        <v>1023</v>
      </c>
      <c r="G401" s="97" t="s">
        <v>1119</v>
      </c>
      <c r="H401" s="97" t="s">
        <v>1119</v>
      </c>
      <c r="I401" s="242" t="s">
        <v>188</v>
      </c>
      <c r="J401" s="97"/>
      <c r="K401" s="97"/>
      <c r="L401" s="97"/>
      <c r="M401" s="97"/>
      <c r="N401" s="235"/>
      <c r="O401" s="343">
        <v>3</v>
      </c>
      <c r="P401" s="169">
        <v>0</v>
      </c>
      <c r="Q401" s="169">
        <v>0</v>
      </c>
      <c r="R401" s="169">
        <v>0</v>
      </c>
      <c r="S401" s="169">
        <v>0</v>
      </c>
      <c r="T401" s="169">
        <v>0</v>
      </c>
      <c r="U401" s="169">
        <v>0</v>
      </c>
      <c r="V401" s="169">
        <v>0</v>
      </c>
      <c r="W401" s="169">
        <v>0</v>
      </c>
      <c r="X401" s="169">
        <v>0</v>
      </c>
      <c r="Y401" s="169">
        <f>0</f>
        <v>0</v>
      </c>
      <c r="Z401" s="219">
        <f>0</f>
        <v>0</v>
      </c>
      <c r="AA401" s="160">
        <f t="shared" si="19"/>
        <v>3</v>
      </c>
      <c r="AB401" s="141">
        <v>3</v>
      </c>
      <c r="AC401" s="172">
        <f t="shared" si="20"/>
        <v>0</v>
      </c>
      <c r="AD401" s="194"/>
      <c r="AE401" s="195" t="s">
        <v>531</v>
      </c>
      <c r="AF401" s="97" t="s">
        <v>44</v>
      </c>
      <c r="AG401" s="196"/>
      <c r="AH401" s="195"/>
      <c r="AI401" s="98"/>
      <c r="AJ401" s="99" t="s">
        <v>501</v>
      </c>
      <c r="AK401" s="197" t="e">
        <f t="shared" si="18"/>
        <v>#VALUE!</v>
      </c>
      <c r="AL401" s="191" t="s">
        <v>1239</v>
      </c>
      <c r="AM401" s="90"/>
      <c r="AN401" s="100"/>
      <c r="AO401" s="198"/>
    </row>
    <row r="402" spans="1:41" s="308" customFormat="1" ht="30.75" hidden="1" customHeight="1" x14ac:dyDescent="0.35">
      <c r="A402" s="244">
        <v>436</v>
      </c>
      <c r="B402" s="253">
        <v>44946</v>
      </c>
      <c r="C402" s="254" t="s">
        <v>456</v>
      </c>
      <c r="D402" s="236"/>
      <c r="E402" s="236"/>
      <c r="F402" s="185" t="s">
        <v>1023</v>
      </c>
      <c r="G402" s="97" t="s">
        <v>1120</v>
      </c>
      <c r="H402" s="97" t="s">
        <v>1120</v>
      </c>
      <c r="I402" s="242" t="s">
        <v>188</v>
      </c>
      <c r="J402" s="97"/>
      <c r="K402" s="97"/>
      <c r="L402" s="97"/>
      <c r="M402" s="97"/>
      <c r="N402" s="235"/>
      <c r="O402" s="343">
        <v>1</v>
      </c>
      <c r="P402" s="169">
        <v>0</v>
      </c>
      <c r="Q402" s="169">
        <v>0</v>
      </c>
      <c r="R402" s="169">
        <v>0</v>
      </c>
      <c r="S402" s="169">
        <v>0</v>
      </c>
      <c r="T402" s="169">
        <v>0</v>
      </c>
      <c r="U402" s="169">
        <v>0</v>
      </c>
      <c r="V402" s="169">
        <v>0</v>
      </c>
      <c r="W402" s="169">
        <v>0</v>
      </c>
      <c r="X402" s="169">
        <v>0</v>
      </c>
      <c r="Y402" s="169">
        <f>0</f>
        <v>0</v>
      </c>
      <c r="Z402" s="219">
        <f>0</f>
        <v>0</v>
      </c>
      <c r="AA402" s="160">
        <f t="shared" si="19"/>
        <v>1</v>
      </c>
      <c r="AB402" s="141">
        <v>1</v>
      </c>
      <c r="AC402" s="172">
        <f t="shared" si="20"/>
        <v>0</v>
      </c>
      <c r="AD402" s="194"/>
      <c r="AE402" s="195" t="s">
        <v>531</v>
      </c>
      <c r="AF402" s="97" t="s">
        <v>44</v>
      </c>
      <c r="AG402" s="196"/>
      <c r="AH402" s="195"/>
      <c r="AI402" s="98"/>
      <c r="AJ402" s="99" t="s">
        <v>501</v>
      </c>
      <c r="AK402" s="197" t="e">
        <f t="shared" si="18"/>
        <v>#VALUE!</v>
      </c>
      <c r="AL402" s="191" t="s">
        <v>1239</v>
      </c>
      <c r="AM402" s="90"/>
      <c r="AN402" s="100"/>
      <c r="AO402" s="198"/>
    </row>
    <row r="403" spans="1:41" s="308" customFormat="1" ht="30.75" hidden="1" customHeight="1" x14ac:dyDescent="0.35">
      <c r="A403" s="252">
        <v>437</v>
      </c>
      <c r="B403" s="253">
        <v>44946</v>
      </c>
      <c r="C403" s="254" t="s">
        <v>456</v>
      </c>
      <c r="D403" s="236"/>
      <c r="E403" s="236"/>
      <c r="F403" s="185" t="s">
        <v>186</v>
      </c>
      <c r="G403" s="97" t="s">
        <v>187</v>
      </c>
      <c r="H403" s="97" t="s">
        <v>187</v>
      </c>
      <c r="I403" s="242" t="s">
        <v>188</v>
      </c>
      <c r="J403" s="97"/>
      <c r="K403" s="97"/>
      <c r="L403" s="97"/>
      <c r="M403" s="97"/>
      <c r="N403" s="235"/>
      <c r="O403" s="343">
        <v>1</v>
      </c>
      <c r="P403" s="169">
        <v>0</v>
      </c>
      <c r="Q403" s="169">
        <v>0</v>
      </c>
      <c r="R403" s="169">
        <v>0</v>
      </c>
      <c r="S403" s="169">
        <v>0</v>
      </c>
      <c r="T403" s="169">
        <v>0</v>
      </c>
      <c r="U403" s="169">
        <v>0</v>
      </c>
      <c r="V403" s="169">
        <v>0</v>
      </c>
      <c r="W403" s="169">
        <v>0</v>
      </c>
      <c r="X403" s="169">
        <v>0</v>
      </c>
      <c r="Y403" s="169">
        <f>0</f>
        <v>0</v>
      </c>
      <c r="Z403" s="219">
        <f>0</f>
        <v>0</v>
      </c>
      <c r="AA403" s="160">
        <f t="shared" si="19"/>
        <v>1</v>
      </c>
      <c r="AB403" s="141">
        <v>1</v>
      </c>
      <c r="AC403" s="172">
        <f t="shared" si="20"/>
        <v>0</v>
      </c>
      <c r="AD403" s="194"/>
      <c r="AE403" s="195" t="s">
        <v>531</v>
      </c>
      <c r="AF403" s="97" t="s">
        <v>44</v>
      </c>
      <c r="AG403" s="196"/>
      <c r="AH403" s="195"/>
      <c r="AI403" s="101"/>
      <c r="AJ403" s="99" t="s">
        <v>501</v>
      </c>
      <c r="AK403" s="197" t="e">
        <f t="shared" si="18"/>
        <v>#VALUE!</v>
      </c>
      <c r="AL403" s="98" t="s">
        <v>1239</v>
      </c>
      <c r="AM403" s="90"/>
      <c r="AN403" s="100"/>
      <c r="AO403" s="198"/>
    </row>
    <row r="404" spans="1:41" s="308" customFormat="1" ht="30.75" hidden="1" customHeight="1" x14ac:dyDescent="0.35">
      <c r="A404" s="244">
        <v>438</v>
      </c>
      <c r="B404" s="253">
        <v>44946</v>
      </c>
      <c r="C404" s="254" t="s">
        <v>456</v>
      </c>
      <c r="D404" s="236"/>
      <c r="E404" s="236"/>
      <c r="F404" s="185" t="s">
        <v>189</v>
      </c>
      <c r="G404" s="97" t="s">
        <v>190</v>
      </c>
      <c r="H404" s="97" t="s">
        <v>190</v>
      </c>
      <c r="I404" s="536" t="s">
        <v>188</v>
      </c>
      <c r="J404" s="97"/>
      <c r="K404" s="97"/>
      <c r="L404" s="97"/>
      <c r="M404" s="97"/>
      <c r="N404" s="235"/>
      <c r="O404" s="343">
        <v>1</v>
      </c>
      <c r="P404" s="169">
        <v>0</v>
      </c>
      <c r="Q404" s="169">
        <v>0</v>
      </c>
      <c r="R404" s="169">
        <v>0</v>
      </c>
      <c r="S404" s="169">
        <v>0</v>
      </c>
      <c r="T404" s="169">
        <v>0</v>
      </c>
      <c r="U404" s="169">
        <v>0</v>
      </c>
      <c r="V404" s="169">
        <v>0</v>
      </c>
      <c r="W404" s="169">
        <v>0</v>
      </c>
      <c r="X404" s="169">
        <v>0</v>
      </c>
      <c r="Y404" s="169">
        <f>0</f>
        <v>0</v>
      </c>
      <c r="Z404" s="219">
        <f>0</f>
        <v>0</v>
      </c>
      <c r="AA404" s="160">
        <f t="shared" si="19"/>
        <v>1</v>
      </c>
      <c r="AB404" s="141">
        <v>1</v>
      </c>
      <c r="AC404" s="172">
        <f t="shared" si="20"/>
        <v>0</v>
      </c>
      <c r="AD404" s="194"/>
      <c r="AE404" s="195" t="s">
        <v>531</v>
      </c>
      <c r="AF404" s="97" t="s">
        <v>44</v>
      </c>
      <c r="AG404" s="196"/>
      <c r="AH404" s="195"/>
      <c r="AI404" s="101"/>
      <c r="AJ404" s="99" t="s">
        <v>501</v>
      </c>
      <c r="AK404" s="197" t="e">
        <f t="shared" ref="AK404:AK467" si="21">AC404-AJ404</f>
        <v>#VALUE!</v>
      </c>
      <c r="AL404" s="98" t="s">
        <v>1239</v>
      </c>
      <c r="AM404" s="90"/>
      <c r="AN404" s="100"/>
      <c r="AO404" s="198"/>
    </row>
    <row r="405" spans="1:41" s="308" customFormat="1" ht="30.75" hidden="1" customHeight="1" x14ac:dyDescent="0.35">
      <c r="A405" s="252">
        <v>439</v>
      </c>
      <c r="B405" s="253">
        <v>44946</v>
      </c>
      <c r="C405" s="254" t="s">
        <v>456</v>
      </c>
      <c r="D405" s="236"/>
      <c r="E405" s="236"/>
      <c r="F405" s="185" t="s">
        <v>1024</v>
      </c>
      <c r="G405" s="97" t="s">
        <v>1121</v>
      </c>
      <c r="H405" s="97" t="s">
        <v>1121</v>
      </c>
      <c r="I405" s="536" t="s">
        <v>188</v>
      </c>
      <c r="J405" s="97"/>
      <c r="K405" s="97"/>
      <c r="L405" s="97"/>
      <c r="M405" s="97"/>
      <c r="N405" s="235"/>
      <c r="O405" s="343">
        <v>2</v>
      </c>
      <c r="P405" s="169">
        <v>0</v>
      </c>
      <c r="Q405" s="169">
        <v>0</v>
      </c>
      <c r="R405" s="169">
        <v>0</v>
      </c>
      <c r="S405" s="169">
        <v>0</v>
      </c>
      <c r="T405" s="169">
        <v>0</v>
      </c>
      <c r="U405" s="169">
        <v>0</v>
      </c>
      <c r="V405" s="169">
        <v>0</v>
      </c>
      <c r="W405" s="169">
        <v>0</v>
      </c>
      <c r="X405" s="169">
        <v>0</v>
      </c>
      <c r="Y405" s="169">
        <f>0</f>
        <v>0</v>
      </c>
      <c r="Z405" s="219">
        <f>0</f>
        <v>0</v>
      </c>
      <c r="AA405" s="160">
        <f t="shared" si="19"/>
        <v>2</v>
      </c>
      <c r="AB405" s="141">
        <v>2</v>
      </c>
      <c r="AC405" s="172">
        <f t="shared" si="20"/>
        <v>0</v>
      </c>
      <c r="AD405" s="194"/>
      <c r="AE405" s="195" t="s">
        <v>531</v>
      </c>
      <c r="AF405" s="97" t="s">
        <v>44</v>
      </c>
      <c r="AG405" s="196"/>
      <c r="AH405" s="195"/>
      <c r="AI405" s="101"/>
      <c r="AJ405" s="99" t="s">
        <v>501</v>
      </c>
      <c r="AK405" s="197" t="e">
        <f t="shared" si="21"/>
        <v>#VALUE!</v>
      </c>
      <c r="AL405" s="191" t="s">
        <v>1239</v>
      </c>
      <c r="AM405" s="90"/>
      <c r="AN405" s="100"/>
      <c r="AO405" s="198"/>
    </row>
    <row r="406" spans="1:41" s="308" customFormat="1" ht="30.75" hidden="1" customHeight="1" x14ac:dyDescent="0.35">
      <c r="A406" s="244">
        <v>440</v>
      </c>
      <c r="B406" s="253">
        <v>44946</v>
      </c>
      <c r="C406" s="254" t="s">
        <v>456</v>
      </c>
      <c r="D406" s="236"/>
      <c r="E406" s="236"/>
      <c r="F406" s="185" t="s">
        <v>1025</v>
      </c>
      <c r="G406" s="97" t="s">
        <v>1122</v>
      </c>
      <c r="H406" s="97" t="s">
        <v>1122</v>
      </c>
      <c r="I406" s="536" t="s">
        <v>188</v>
      </c>
      <c r="J406" s="97"/>
      <c r="K406" s="97"/>
      <c r="L406" s="97"/>
      <c r="M406" s="97"/>
      <c r="N406" s="235"/>
      <c r="O406" s="343">
        <v>2</v>
      </c>
      <c r="P406" s="169">
        <v>0</v>
      </c>
      <c r="Q406" s="169">
        <v>0</v>
      </c>
      <c r="R406" s="169">
        <v>0</v>
      </c>
      <c r="S406" s="169">
        <v>0</v>
      </c>
      <c r="T406" s="169">
        <v>0</v>
      </c>
      <c r="U406" s="169">
        <v>0</v>
      </c>
      <c r="V406" s="169">
        <v>0</v>
      </c>
      <c r="W406" s="169">
        <v>0</v>
      </c>
      <c r="X406" s="169">
        <v>0</v>
      </c>
      <c r="Y406" s="169">
        <f>0</f>
        <v>0</v>
      </c>
      <c r="Z406" s="219">
        <f>0</f>
        <v>0</v>
      </c>
      <c r="AA406" s="160">
        <f t="shared" si="19"/>
        <v>2</v>
      </c>
      <c r="AB406" s="141"/>
      <c r="AC406" s="172">
        <f t="shared" si="20"/>
        <v>2</v>
      </c>
      <c r="AD406" s="194">
        <v>44964</v>
      </c>
      <c r="AE406" s="195" t="s">
        <v>531</v>
      </c>
      <c r="AF406" s="97" t="s">
        <v>1335</v>
      </c>
      <c r="AG406" s="196"/>
      <c r="AH406" s="195" t="s">
        <v>1336</v>
      </c>
      <c r="AI406" s="101"/>
      <c r="AJ406" s="99">
        <v>2</v>
      </c>
      <c r="AK406" s="197">
        <f t="shared" si="21"/>
        <v>0</v>
      </c>
      <c r="AL406" s="98" t="s">
        <v>1469</v>
      </c>
      <c r="AM406" s="90"/>
      <c r="AN406" s="100"/>
      <c r="AO406" s="198"/>
    </row>
    <row r="407" spans="1:41" s="308" customFormat="1" ht="30.75" hidden="1" customHeight="1" x14ac:dyDescent="0.35">
      <c r="A407" s="252">
        <v>441</v>
      </c>
      <c r="B407" s="253">
        <v>44946</v>
      </c>
      <c r="C407" s="254" t="s">
        <v>456</v>
      </c>
      <c r="D407" s="236"/>
      <c r="E407" s="236"/>
      <c r="F407" s="185" t="s">
        <v>1026</v>
      </c>
      <c r="G407" s="97" t="s">
        <v>1123</v>
      </c>
      <c r="H407" s="97" t="s">
        <v>1123</v>
      </c>
      <c r="I407" s="242" t="s">
        <v>188</v>
      </c>
      <c r="J407" s="97"/>
      <c r="K407" s="97"/>
      <c r="L407" s="97"/>
      <c r="M407" s="97"/>
      <c r="N407" s="235"/>
      <c r="O407" s="343">
        <v>2</v>
      </c>
      <c r="P407" s="169">
        <v>0</v>
      </c>
      <c r="Q407" s="169">
        <v>0</v>
      </c>
      <c r="R407" s="169">
        <v>0</v>
      </c>
      <c r="S407" s="169">
        <v>0</v>
      </c>
      <c r="T407" s="169">
        <v>0</v>
      </c>
      <c r="U407" s="169">
        <v>0</v>
      </c>
      <c r="V407" s="169">
        <v>0</v>
      </c>
      <c r="W407" s="169">
        <v>0</v>
      </c>
      <c r="X407" s="169">
        <v>0</v>
      </c>
      <c r="Y407" s="169">
        <f>0</f>
        <v>0</v>
      </c>
      <c r="Z407" s="219">
        <f>0</f>
        <v>0</v>
      </c>
      <c r="AA407" s="160">
        <f t="shared" si="19"/>
        <v>2</v>
      </c>
      <c r="AB407" s="141"/>
      <c r="AC407" s="172">
        <f t="shared" si="20"/>
        <v>2</v>
      </c>
      <c r="AD407" s="194">
        <v>44964</v>
      </c>
      <c r="AE407" s="195" t="s">
        <v>531</v>
      </c>
      <c r="AF407" s="97" t="s">
        <v>1335</v>
      </c>
      <c r="AG407" s="196"/>
      <c r="AH407" s="195" t="s">
        <v>1336</v>
      </c>
      <c r="AI407" s="98"/>
      <c r="AJ407" s="99">
        <v>2</v>
      </c>
      <c r="AK407" s="197">
        <f t="shared" si="21"/>
        <v>0</v>
      </c>
      <c r="AL407" s="98" t="s">
        <v>1432</v>
      </c>
      <c r="AM407" s="90"/>
      <c r="AN407" s="100"/>
      <c r="AO407" s="198"/>
    </row>
    <row r="408" spans="1:41" s="454" customFormat="1" ht="35.5" hidden="1" thickTop="1" x14ac:dyDescent="0.35">
      <c r="A408" s="244">
        <v>442</v>
      </c>
      <c r="B408" s="253">
        <v>44946</v>
      </c>
      <c r="C408" s="254" t="s">
        <v>456</v>
      </c>
      <c r="D408" s="236"/>
      <c r="E408" s="236"/>
      <c r="F408" s="185" t="s">
        <v>1027</v>
      </c>
      <c r="G408" s="97" t="s">
        <v>1124</v>
      </c>
      <c r="H408" s="97" t="s">
        <v>1124</v>
      </c>
      <c r="I408" s="536" t="s">
        <v>188</v>
      </c>
      <c r="J408" s="97"/>
      <c r="K408" s="97"/>
      <c r="L408" s="97"/>
      <c r="M408" s="97"/>
      <c r="N408" s="235"/>
      <c r="O408" s="343">
        <v>2</v>
      </c>
      <c r="P408" s="169">
        <v>0</v>
      </c>
      <c r="Q408" s="169">
        <v>0</v>
      </c>
      <c r="R408" s="169">
        <v>0</v>
      </c>
      <c r="S408" s="169">
        <v>0</v>
      </c>
      <c r="T408" s="169">
        <v>0</v>
      </c>
      <c r="U408" s="169">
        <v>0</v>
      </c>
      <c r="V408" s="169">
        <v>0</v>
      </c>
      <c r="W408" s="169">
        <v>0</v>
      </c>
      <c r="X408" s="169">
        <v>0</v>
      </c>
      <c r="Y408" s="169">
        <f>0</f>
        <v>0</v>
      </c>
      <c r="Z408" s="219">
        <f>0</f>
        <v>0</v>
      </c>
      <c r="AA408" s="160">
        <f t="shared" si="19"/>
        <v>2</v>
      </c>
      <c r="AB408" s="141">
        <v>2</v>
      </c>
      <c r="AC408" s="172">
        <f t="shared" si="20"/>
        <v>0</v>
      </c>
      <c r="AD408" s="194"/>
      <c r="AE408" s="195" t="s">
        <v>531</v>
      </c>
      <c r="AF408" s="97" t="s">
        <v>44</v>
      </c>
      <c r="AG408" s="196"/>
      <c r="AH408" s="195"/>
      <c r="AI408" s="101"/>
      <c r="AJ408" s="99" t="s">
        <v>501</v>
      </c>
      <c r="AK408" s="197" t="e">
        <f t="shared" si="21"/>
        <v>#VALUE!</v>
      </c>
      <c r="AL408" s="191" t="s">
        <v>1239</v>
      </c>
      <c r="AM408" s="90"/>
      <c r="AN408" s="100"/>
      <c r="AO408" s="198"/>
    </row>
    <row r="409" spans="1:41" s="308" customFormat="1" ht="30.75" hidden="1" customHeight="1" x14ac:dyDescent="0.35">
      <c r="A409" s="252">
        <v>443</v>
      </c>
      <c r="B409" s="253">
        <v>44946</v>
      </c>
      <c r="C409" s="254" t="s">
        <v>456</v>
      </c>
      <c r="D409" s="236"/>
      <c r="E409" s="236"/>
      <c r="F409" s="185" t="s">
        <v>1028</v>
      </c>
      <c r="G409" s="97" t="s">
        <v>1125</v>
      </c>
      <c r="H409" s="97" t="s">
        <v>1125</v>
      </c>
      <c r="I409" s="536" t="s">
        <v>188</v>
      </c>
      <c r="J409" s="97"/>
      <c r="K409" s="97"/>
      <c r="L409" s="97"/>
      <c r="M409" s="97"/>
      <c r="N409" s="235"/>
      <c r="O409" s="343">
        <v>2</v>
      </c>
      <c r="P409" s="169">
        <v>0</v>
      </c>
      <c r="Q409" s="169">
        <v>0</v>
      </c>
      <c r="R409" s="169">
        <v>0</v>
      </c>
      <c r="S409" s="169">
        <v>0</v>
      </c>
      <c r="T409" s="169">
        <v>0</v>
      </c>
      <c r="U409" s="169">
        <v>0</v>
      </c>
      <c r="V409" s="169">
        <v>0</v>
      </c>
      <c r="W409" s="169">
        <v>0</v>
      </c>
      <c r="X409" s="169">
        <v>0</v>
      </c>
      <c r="Y409" s="169">
        <f>0</f>
        <v>0</v>
      </c>
      <c r="Z409" s="219">
        <f>0</f>
        <v>0</v>
      </c>
      <c r="AA409" s="160">
        <f t="shared" si="19"/>
        <v>2</v>
      </c>
      <c r="AB409" s="141">
        <v>2</v>
      </c>
      <c r="AC409" s="172">
        <f t="shared" si="20"/>
        <v>0</v>
      </c>
      <c r="AD409" s="194"/>
      <c r="AE409" s="195" t="s">
        <v>531</v>
      </c>
      <c r="AF409" s="97" t="s">
        <v>44</v>
      </c>
      <c r="AG409" s="196"/>
      <c r="AH409" s="195"/>
      <c r="AI409" s="101"/>
      <c r="AJ409" s="99" t="s">
        <v>501</v>
      </c>
      <c r="AK409" s="197" t="e">
        <f t="shared" si="21"/>
        <v>#VALUE!</v>
      </c>
      <c r="AL409" s="191" t="s">
        <v>1239</v>
      </c>
      <c r="AM409" s="90"/>
      <c r="AN409" s="100"/>
      <c r="AO409" s="198"/>
    </row>
    <row r="410" spans="1:41" s="308" customFormat="1" ht="30.75" hidden="1" customHeight="1" x14ac:dyDescent="0.35">
      <c r="A410" s="244">
        <v>444</v>
      </c>
      <c r="B410" s="253">
        <v>44946</v>
      </c>
      <c r="C410" s="254" t="s">
        <v>456</v>
      </c>
      <c r="D410" s="236"/>
      <c r="E410" s="236"/>
      <c r="F410" s="185" t="s">
        <v>1029</v>
      </c>
      <c r="G410" s="97" t="s">
        <v>1126</v>
      </c>
      <c r="H410" s="97" t="s">
        <v>1126</v>
      </c>
      <c r="I410" s="242" t="s">
        <v>188</v>
      </c>
      <c r="J410" s="97"/>
      <c r="K410" s="97"/>
      <c r="L410" s="97"/>
      <c r="M410" s="97"/>
      <c r="N410" s="235"/>
      <c r="O410" s="343">
        <v>2</v>
      </c>
      <c r="P410" s="169">
        <v>0</v>
      </c>
      <c r="Q410" s="169">
        <v>0</v>
      </c>
      <c r="R410" s="169">
        <v>0</v>
      </c>
      <c r="S410" s="169">
        <v>0</v>
      </c>
      <c r="T410" s="169">
        <v>0</v>
      </c>
      <c r="U410" s="169">
        <v>0</v>
      </c>
      <c r="V410" s="169">
        <v>0</v>
      </c>
      <c r="W410" s="169">
        <v>0</v>
      </c>
      <c r="X410" s="169">
        <v>0</v>
      </c>
      <c r="Y410" s="169">
        <f>0</f>
        <v>0</v>
      </c>
      <c r="Z410" s="219">
        <f>0</f>
        <v>0</v>
      </c>
      <c r="AA410" s="160">
        <f t="shared" si="19"/>
        <v>2</v>
      </c>
      <c r="AB410" s="141">
        <v>1</v>
      </c>
      <c r="AC410" s="172">
        <f t="shared" si="20"/>
        <v>1</v>
      </c>
      <c r="AD410" s="194">
        <v>44964</v>
      </c>
      <c r="AE410" s="195" t="s">
        <v>531</v>
      </c>
      <c r="AF410" s="97" t="s">
        <v>1335</v>
      </c>
      <c r="AG410" s="196"/>
      <c r="AH410" s="195" t="s">
        <v>1336</v>
      </c>
      <c r="AI410" s="98"/>
      <c r="AJ410" s="99">
        <v>1</v>
      </c>
      <c r="AK410" s="197">
        <f t="shared" si="21"/>
        <v>0</v>
      </c>
      <c r="AL410" s="191" t="s">
        <v>1433</v>
      </c>
      <c r="AM410" s="90"/>
      <c r="AN410" s="100"/>
      <c r="AO410" s="198"/>
    </row>
    <row r="411" spans="1:41" s="454" customFormat="1" ht="35.5" hidden="1" thickTop="1" x14ac:dyDescent="0.35">
      <c r="A411" s="252">
        <v>445</v>
      </c>
      <c r="B411" s="253">
        <v>44946</v>
      </c>
      <c r="C411" s="254" t="s">
        <v>456</v>
      </c>
      <c r="D411" s="236"/>
      <c r="E411" s="236"/>
      <c r="F411" s="185" t="s">
        <v>1030</v>
      </c>
      <c r="G411" s="97" t="s">
        <v>1127</v>
      </c>
      <c r="H411" s="97" t="s">
        <v>1127</v>
      </c>
      <c r="I411" s="536" t="s">
        <v>188</v>
      </c>
      <c r="J411" s="97"/>
      <c r="K411" s="97"/>
      <c r="L411" s="97"/>
      <c r="M411" s="97"/>
      <c r="N411" s="235"/>
      <c r="O411" s="343">
        <v>1</v>
      </c>
      <c r="P411" s="169">
        <v>0</v>
      </c>
      <c r="Q411" s="169">
        <v>0</v>
      </c>
      <c r="R411" s="169">
        <v>0</v>
      </c>
      <c r="S411" s="169">
        <v>0</v>
      </c>
      <c r="T411" s="169">
        <v>0</v>
      </c>
      <c r="U411" s="169">
        <v>0</v>
      </c>
      <c r="V411" s="169">
        <v>0</v>
      </c>
      <c r="W411" s="169">
        <v>0</v>
      </c>
      <c r="X411" s="169">
        <v>0</v>
      </c>
      <c r="Y411" s="169">
        <f>0</f>
        <v>0</v>
      </c>
      <c r="Z411" s="219">
        <f>0</f>
        <v>0</v>
      </c>
      <c r="AA411" s="160">
        <f t="shared" si="19"/>
        <v>1</v>
      </c>
      <c r="AB411" s="141">
        <v>1</v>
      </c>
      <c r="AC411" s="172">
        <f t="shared" si="20"/>
        <v>0</v>
      </c>
      <c r="AD411" s="194"/>
      <c r="AE411" s="195" t="s">
        <v>531</v>
      </c>
      <c r="AF411" s="97" t="s">
        <v>44</v>
      </c>
      <c r="AG411" s="196"/>
      <c r="AH411" s="195"/>
      <c r="AI411" s="101"/>
      <c r="AJ411" s="99" t="s">
        <v>501</v>
      </c>
      <c r="AK411" s="197" t="e">
        <f t="shared" si="21"/>
        <v>#VALUE!</v>
      </c>
      <c r="AL411" s="191" t="s">
        <v>1239</v>
      </c>
      <c r="AM411" s="90"/>
      <c r="AN411" s="100"/>
      <c r="AO411" s="198"/>
    </row>
    <row r="412" spans="1:41" s="308" customFormat="1" ht="30.75" hidden="1" customHeight="1" x14ac:dyDescent="0.35">
      <c r="A412" s="244">
        <v>446</v>
      </c>
      <c r="B412" s="253">
        <v>44946</v>
      </c>
      <c r="C412" s="254" t="s">
        <v>456</v>
      </c>
      <c r="D412" s="236"/>
      <c r="E412" s="236"/>
      <c r="F412" s="185" t="s">
        <v>1031</v>
      </c>
      <c r="G412" s="97" t="s">
        <v>1128</v>
      </c>
      <c r="H412" s="97" t="s">
        <v>1128</v>
      </c>
      <c r="I412" s="242" t="s">
        <v>188</v>
      </c>
      <c r="J412" s="97"/>
      <c r="K412" s="97"/>
      <c r="L412" s="97"/>
      <c r="M412" s="97"/>
      <c r="N412" s="235"/>
      <c r="O412" s="343">
        <v>1</v>
      </c>
      <c r="P412" s="169">
        <v>0</v>
      </c>
      <c r="Q412" s="169">
        <v>0</v>
      </c>
      <c r="R412" s="169">
        <v>0</v>
      </c>
      <c r="S412" s="169">
        <v>0</v>
      </c>
      <c r="T412" s="169">
        <v>0</v>
      </c>
      <c r="U412" s="169">
        <v>0</v>
      </c>
      <c r="V412" s="169">
        <v>0</v>
      </c>
      <c r="W412" s="169">
        <v>0</v>
      </c>
      <c r="X412" s="169">
        <v>0</v>
      </c>
      <c r="Y412" s="169">
        <f>0</f>
        <v>0</v>
      </c>
      <c r="Z412" s="219">
        <f>0</f>
        <v>0</v>
      </c>
      <c r="AA412" s="160">
        <f t="shared" si="19"/>
        <v>1</v>
      </c>
      <c r="AB412" s="141">
        <v>1</v>
      </c>
      <c r="AC412" s="172">
        <f t="shared" si="20"/>
        <v>0</v>
      </c>
      <c r="AD412" s="194"/>
      <c r="AE412" s="195" t="s">
        <v>531</v>
      </c>
      <c r="AF412" s="97" t="s">
        <v>44</v>
      </c>
      <c r="AG412" s="196"/>
      <c r="AH412" s="195"/>
      <c r="AI412" s="98"/>
      <c r="AJ412" s="99" t="s">
        <v>501</v>
      </c>
      <c r="AK412" s="197" t="e">
        <f t="shared" si="21"/>
        <v>#VALUE!</v>
      </c>
      <c r="AL412" s="191" t="s">
        <v>1239</v>
      </c>
      <c r="AM412" s="90"/>
      <c r="AN412" s="100"/>
      <c r="AO412" s="198"/>
    </row>
    <row r="413" spans="1:41" s="308" customFormat="1" ht="30.75" hidden="1" customHeight="1" x14ac:dyDescent="0.35">
      <c r="A413" s="252">
        <v>447</v>
      </c>
      <c r="B413" s="253">
        <v>44946</v>
      </c>
      <c r="C413" s="254" t="s">
        <v>456</v>
      </c>
      <c r="D413" s="236"/>
      <c r="E413" s="236"/>
      <c r="F413" s="185" t="s">
        <v>1032</v>
      </c>
      <c r="G413" s="97" t="s">
        <v>1129</v>
      </c>
      <c r="H413" s="97" t="s">
        <v>1129</v>
      </c>
      <c r="I413" s="242" t="s">
        <v>188</v>
      </c>
      <c r="J413" s="97"/>
      <c r="K413" s="97"/>
      <c r="L413" s="97"/>
      <c r="M413" s="97"/>
      <c r="N413" s="235"/>
      <c r="O413" s="343">
        <v>2</v>
      </c>
      <c r="P413" s="169">
        <v>0</v>
      </c>
      <c r="Q413" s="169">
        <v>0</v>
      </c>
      <c r="R413" s="169">
        <v>0</v>
      </c>
      <c r="S413" s="169">
        <v>0</v>
      </c>
      <c r="T413" s="169">
        <v>0</v>
      </c>
      <c r="U413" s="169">
        <v>0</v>
      </c>
      <c r="V413" s="169">
        <v>0</v>
      </c>
      <c r="W413" s="169">
        <v>0</v>
      </c>
      <c r="X413" s="169">
        <v>0</v>
      </c>
      <c r="Y413" s="169">
        <f>0</f>
        <v>0</v>
      </c>
      <c r="Z413" s="219">
        <f>0</f>
        <v>0</v>
      </c>
      <c r="AA413" s="160">
        <f t="shared" si="19"/>
        <v>2</v>
      </c>
      <c r="AB413" s="141">
        <v>2</v>
      </c>
      <c r="AC413" s="172">
        <f t="shared" si="20"/>
        <v>0</v>
      </c>
      <c r="AD413" s="194"/>
      <c r="AE413" s="195" t="s">
        <v>531</v>
      </c>
      <c r="AF413" s="97" t="s">
        <v>44</v>
      </c>
      <c r="AG413" s="196"/>
      <c r="AH413" s="195"/>
      <c r="AI413" s="98"/>
      <c r="AJ413" s="99" t="s">
        <v>501</v>
      </c>
      <c r="AK413" s="197" t="e">
        <f t="shared" si="21"/>
        <v>#VALUE!</v>
      </c>
      <c r="AL413" s="191" t="s">
        <v>1239</v>
      </c>
      <c r="AM413" s="90"/>
      <c r="AN413" s="100"/>
      <c r="AO413" s="198"/>
    </row>
    <row r="414" spans="1:41" s="308" customFormat="1" ht="30.75" hidden="1" customHeight="1" x14ac:dyDescent="0.35">
      <c r="A414" s="244">
        <v>448</v>
      </c>
      <c r="B414" s="253">
        <v>44946</v>
      </c>
      <c r="C414" s="254" t="s">
        <v>456</v>
      </c>
      <c r="D414" s="236"/>
      <c r="E414" s="236"/>
      <c r="F414" s="185" t="s">
        <v>1033</v>
      </c>
      <c r="G414" s="97" t="s">
        <v>1130</v>
      </c>
      <c r="H414" s="97" t="s">
        <v>1130</v>
      </c>
      <c r="I414" s="242" t="s">
        <v>188</v>
      </c>
      <c r="J414" s="97"/>
      <c r="K414" s="97"/>
      <c r="L414" s="97"/>
      <c r="M414" s="97"/>
      <c r="N414" s="235"/>
      <c r="O414" s="343">
        <v>2</v>
      </c>
      <c r="P414" s="169">
        <v>0</v>
      </c>
      <c r="Q414" s="169">
        <v>0</v>
      </c>
      <c r="R414" s="169">
        <v>0</v>
      </c>
      <c r="S414" s="169">
        <v>0</v>
      </c>
      <c r="T414" s="169">
        <v>0</v>
      </c>
      <c r="U414" s="169">
        <v>0</v>
      </c>
      <c r="V414" s="169">
        <v>0</v>
      </c>
      <c r="W414" s="169">
        <v>0</v>
      </c>
      <c r="X414" s="169">
        <v>0</v>
      </c>
      <c r="Y414" s="169">
        <f>0</f>
        <v>0</v>
      </c>
      <c r="Z414" s="219">
        <f>0</f>
        <v>0</v>
      </c>
      <c r="AA414" s="160">
        <f t="shared" si="19"/>
        <v>2</v>
      </c>
      <c r="AB414" s="141">
        <v>2</v>
      </c>
      <c r="AC414" s="172">
        <f t="shared" si="20"/>
        <v>0</v>
      </c>
      <c r="AD414" s="194"/>
      <c r="AE414" s="195" t="s">
        <v>531</v>
      </c>
      <c r="AF414" s="97" t="s">
        <v>44</v>
      </c>
      <c r="AG414" s="196"/>
      <c r="AH414" s="195"/>
      <c r="AI414" s="98"/>
      <c r="AJ414" s="99" t="s">
        <v>501</v>
      </c>
      <c r="AK414" s="197" t="e">
        <f t="shared" si="21"/>
        <v>#VALUE!</v>
      </c>
      <c r="AL414" s="191" t="s">
        <v>1239</v>
      </c>
      <c r="AM414" s="90"/>
      <c r="AN414" s="100"/>
      <c r="AO414" s="198"/>
    </row>
    <row r="415" spans="1:41" s="308" customFormat="1" ht="30.75" hidden="1" customHeight="1" x14ac:dyDescent="0.35">
      <c r="A415" s="252">
        <v>449</v>
      </c>
      <c r="B415" s="253">
        <v>44946</v>
      </c>
      <c r="C415" s="254" t="s">
        <v>456</v>
      </c>
      <c r="D415" s="236"/>
      <c r="E415" s="236"/>
      <c r="F415" s="185" t="s">
        <v>1034</v>
      </c>
      <c r="G415" s="97" t="s">
        <v>1131</v>
      </c>
      <c r="H415" s="97" t="s">
        <v>1131</v>
      </c>
      <c r="I415" s="242" t="s">
        <v>188</v>
      </c>
      <c r="J415" s="97"/>
      <c r="K415" s="97"/>
      <c r="L415" s="97"/>
      <c r="M415" s="97"/>
      <c r="N415" s="235"/>
      <c r="O415" s="343">
        <v>1</v>
      </c>
      <c r="P415" s="169">
        <v>0</v>
      </c>
      <c r="Q415" s="169">
        <v>0</v>
      </c>
      <c r="R415" s="169">
        <v>0</v>
      </c>
      <c r="S415" s="169">
        <v>0</v>
      </c>
      <c r="T415" s="169">
        <v>0</v>
      </c>
      <c r="U415" s="169">
        <v>0</v>
      </c>
      <c r="V415" s="169">
        <v>0</v>
      </c>
      <c r="W415" s="169">
        <v>0</v>
      </c>
      <c r="X415" s="169">
        <v>0</v>
      </c>
      <c r="Y415" s="169">
        <f>0</f>
        <v>0</v>
      </c>
      <c r="Z415" s="219">
        <f>0</f>
        <v>0</v>
      </c>
      <c r="AA415" s="160">
        <f t="shared" si="19"/>
        <v>1</v>
      </c>
      <c r="AB415" s="141">
        <v>1</v>
      </c>
      <c r="AC415" s="172">
        <f t="shared" si="20"/>
        <v>0</v>
      </c>
      <c r="AD415" s="194"/>
      <c r="AE415" s="195" t="s">
        <v>531</v>
      </c>
      <c r="AF415" s="97" t="s">
        <v>44</v>
      </c>
      <c r="AG415" s="196"/>
      <c r="AH415" s="195"/>
      <c r="AI415" s="98"/>
      <c r="AJ415" s="99" t="s">
        <v>501</v>
      </c>
      <c r="AK415" s="197" t="e">
        <f t="shared" si="21"/>
        <v>#VALUE!</v>
      </c>
      <c r="AL415" s="191" t="s">
        <v>1239</v>
      </c>
      <c r="AM415" s="90"/>
      <c r="AN415" s="100"/>
      <c r="AO415" s="198"/>
    </row>
    <row r="416" spans="1:41" s="308" customFormat="1" ht="30.75" hidden="1" customHeight="1" x14ac:dyDescent="0.35">
      <c r="A416" s="244">
        <v>450</v>
      </c>
      <c r="B416" s="253">
        <v>44946</v>
      </c>
      <c r="C416" s="254" t="s">
        <v>456</v>
      </c>
      <c r="D416" s="236"/>
      <c r="E416" s="236"/>
      <c r="F416" s="185" t="s">
        <v>1035</v>
      </c>
      <c r="G416" s="97" t="s">
        <v>1132</v>
      </c>
      <c r="H416" s="97" t="s">
        <v>1171</v>
      </c>
      <c r="I416" s="242" t="s">
        <v>188</v>
      </c>
      <c r="J416" s="97"/>
      <c r="K416" s="97"/>
      <c r="L416" s="97"/>
      <c r="M416" s="97"/>
      <c r="N416" s="235"/>
      <c r="O416" s="343">
        <v>1</v>
      </c>
      <c r="P416" s="169">
        <v>0</v>
      </c>
      <c r="Q416" s="169">
        <v>0</v>
      </c>
      <c r="R416" s="169">
        <v>0</v>
      </c>
      <c r="S416" s="169">
        <v>0</v>
      </c>
      <c r="T416" s="169">
        <v>0</v>
      </c>
      <c r="U416" s="169">
        <v>0</v>
      </c>
      <c r="V416" s="169">
        <v>0</v>
      </c>
      <c r="W416" s="169">
        <v>0</v>
      </c>
      <c r="X416" s="169">
        <v>0</v>
      </c>
      <c r="Y416" s="169">
        <f>0</f>
        <v>0</v>
      </c>
      <c r="Z416" s="219">
        <f>0</f>
        <v>0</v>
      </c>
      <c r="AA416" s="160">
        <f t="shared" si="19"/>
        <v>1</v>
      </c>
      <c r="AB416" s="141">
        <v>1</v>
      </c>
      <c r="AC416" s="172">
        <f t="shared" si="20"/>
        <v>0</v>
      </c>
      <c r="AD416" s="194"/>
      <c r="AE416" s="195" t="s">
        <v>531</v>
      </c>
      <c r="AF416" s="97" t="s">
        <v>44</v>
      </c>
      <c r="AG416" s="196"/>
      <c r="AH416" s="195"/>
      <c r="AI416" s="98"/>
      <c r="AJ416" s="99" t="s">
        <v>501</v>
      </c>
      <c r="AK416" s="197" t="e">
        <f t="shared" si="21"/>
        <v>#VALUE!</v>
      </c>
      <c r="AL416" s="191" t="s">
        <v>1239</v>
      </c>
      <c r="AM416" s="90"/>
      <c r="AN416" s="100"/>
      <c r="AO416" s="198"/>
    </row>
    <row r="417" spans="1:41" s="308" customFormat="1" ht="30.75" hidden="1" customHeight="1" x14ac:dyDescent="0.35">
      <c r="A417" s="252">
        <v>515</v>
      </c>
      <c r="B417" s="253">
        <v>44957</v>
      </c>
      <c r="C417" s="254" t="s">
        <v>456</v>
      </c>
      <c r="D417" s="236"/>
      <c r="E417" s="236"/>
      <c r="F417" s="185" t="s">
        <v>1321</v>
      </c>
      <c r="G417" s="185" t="s">
        <v>1322</v>
      </c>
      <c r="H417" s="185" t="s">
        <v>1322</v>
      </c>
      <c r="I417" s="535" t="s">
        <v>188</v>
      </c>
      <c r="J417" s="97"/>
      <c r="K417" s="97"/>
      <c r="L417" s="97"/>
      <c r="M417" s="97"/>
      <c r="N417" s="235"/>
      <c r="O417" s="343">
        <v>0</v>
      </c>
      <c r="P417" s="169">
        <v>0</v>
      </c>
      <c r="Q417" s="169">
        <v>0</v>
      </c>
      <c r="R417" s="169">
        <v>0</v>
      </c>
      <c r="S417" s="169">
        <v>0</v>
      </c>
      <c r="T417" s="169">
        <v>0</v>
      </c>
      <c r="U417" s="169">
        <v>0</v>
      </c>
      <c r="V417" s="169">
        <v>0</v>
      </c>
      <c r="W417" s="169">
        <v>0</v>
      </c>
      <c r="X417" s="169">
        <v>0</v>
      </c>
      <c r="Y417" s="169">
        <v>0</v>
      </c>
      <c r="Z417" s="219">
        <v>0</v>
      </c>
      <c r="AA417" s="160">
        <f t="shared" si="19"/>
        <v>0</v>
      </c>
      <c r="AB417" s="193"/>
      <c r="AC417" s="190">
        <f t="shared" si="20"/>
        <v>0</v>
      </c>
      <c r="AD417" s="194">
        <v>44960</v>
      </c>
      <c r="AE417" s="195" t="s">
        <v>284</v>
      </c>
      <c r="AF417" s="220" t="s">
        <v>1332</v>
      </c>
      <c r="AG417" s="196"/>
      <c r="AH417" s="195"/>
      <c r="AI417" s="98"/>
      <c r="AJ417" s="99">
        <v>2</v>
      </c>
      <c r="AK417" s="197">
        <f t="shared" si="21"/>
        <v>-2</v>
      </c>
      <c r="AL417" s="98" t="s">
        <v>1554</v>
      </c>
      <c r="AM417" s="90"/>
      <c r="AN417" s="100"/>
      <c r="AO417" s="198"/>
    </row>
    <row r="418" spans="1:41" s="308" customFormat="1" ht="30.75" hidden="1" customHeight="1" x14ac:dyDescent="0.35">
      <c r="A418" s="244">
        <v>516</v>
      </c>
      <c r="B418" s="253">
        <v>44957</v>
      </c>
      <c r="C418" s="254" t="s">
        <v>456</v>
      </c>
      <c r="D418" s="236"/>
      <c r="E418" s="236"/>
      <c r="F418" s="185" t="s">
        <v>1026</v>
      </c>
      <c r="G418" s="185" t="s">
        <v>1123</v>
      </c>
      <c r="H418" s="185" t="s">
        <v>1123</v>
      </c>
      <c r="I418" s="535" t="s">
        <v>188</v>
      </c>
      <c r="J418" s="97"/>
      <c r="K418" s="97"/>
      <c r="L418" s="97"/>
      <c r="M418" s="97"/>
      <c r="N418" s="235"/>
      <c r="O418" s="343">
        <v>0</v>
      </c>
      <c r="P418" s="169">
        <v>0</v>
      </c>
      <c r="Q418" s="169">
        <v>0</v>
      </c>
      <c r="R418" s="169">
        <v>0</v>
      </c>
      <c r="S418" s="169">
        <v>0</v>
      </c>
      <c r="T418" s="169">
        <v>0</v>
      </c>
      <c r="U418" s="169">
        <v>0</v>
      </c>
      <c r="V418" s="169">
        <v>0</v>
      </c>
      <c r="W418" s="169">
        <v>0</v>
      </c>
      <c r="X418" s="169">
        <v>0</v>
      </c>
      <c r="Y418" s="169">
        <v>0</v>
      </c>
      <c r="Z418" s="219">
        <v>0</v>
      </c>
      <c r="AA418" s="160">
        <f t="shared" si="19"/>
        <v>0</v>
      </c>
      <c r="AB418" s="193"/>
      <c r="AC418" s="190">
        <f t="shared" si="20"/>
        <v>0</v>
      </c>
      <c r="AD418" s="194">
        <v>44960</v>
      </c>
      <c r="AE418" s="195" t="s">
        <v>284</v>
      </c>
      <c r="AF418" s="220" t="s">
        <v>1332</v>
      </c>
      <c r="AG418" s="196"/>
      <c r="AH418" s="195"/>
      <c r="AI418" s="98"/>
      <c r="AJ418" s="99">
        <v>2</v>
      </c>
      <c r="AK418" s="197">
        <f t="shared" si="21"/>
        <v>-2</v>
      </c>
      <c r="AL418" s="98" t="s">
        <v>1558</v>
      </c>
      <c r="AM418" s="90"/>
      <c r="AN418" s="100"/>
      <c r="AO418" s="198"/>
    </row>
    <row r="419" spans="1:41" s="308" customFormat="1" ht="30.75" hidden="1" customHeight="1" x14ac:dyDescent="0.35">
      <c r="A419" s="252">
        <v>517</v>
      </c>
      <c r="B419" s="253">
        <v>44957</v>
      </c>
      <c r="C419" s="254" t="s">
        <v>456</v>
      </c>
      <c r="D419" s="236"/>
      <c r="E419" s="236"/>
      <c r="F419" s="185" t="s">
        <v>1027</v>
      </c>
      <c r="G419" s="185" t="s">
        <v>1124</v>
      </c>
      <c r="H419" s="185" t="s">
        <v>1124</v>
      </c>
      <c r="I419" s="535" t="s">
        <v>188</v>
      </c>
      <c r="J419" s="97"/>
      <c r="K419" s="97"/>
      <c r="L419" s="97"/>
      <c r="M419" s="97"/>
      <c r="N419" s="235"/>
      <c r="O419" s="343">
        <v>0</v>
      </c>
      <c r="P419" s="169">
        <v>0</v>
      </c>
      <c r="Q419" s="169">
        <v>0</v>
      </c>
      <c r="R419" s="169">
        <v>0</v>
      </c>
      <c r="S419" s="169">
        <v>0</v>
      </c>
      <c r="T419" s="169">
        <v>0</v>
      </c>
      <c r="U419" s="169">
        <v>0</v>
      </c>
      <c r="V419" s="169">
        <v>0</v>
      </c>
      <c r="W419" s="169">
        <v>0</v>
      </c>
      <c r="X419" s="169">
        <v>0</v>
      </c>
      <c r="Y419" s="169">
        <v>0</v>
      </c>
      <c r="Z419" s="219">
        <v>0</v>
      </c>
      <c r="AA419" s="160">
        <f t="shared" si="19"/>
        <v>0</v>
      </c>
      <c r="AB419" s="141">
        <v>2</v>
      </c>
      <c r="AC419" s="172">
        <f t="shared" si="20"/>
        <v>-2</v>
      </c>
      <c r="AD419" s="194"/>
      <c r="AE419" s="195" t="s">
        <v>284</v>
      </c>
      <c r="AF419" s="97" t="s">
        <v>294</v>
      </c>
      <c r="AG419" s="196"/>
      <c r="AH419" s="195"/>
      <c r="AI419" s="98"/>
      <c r="AJ419" s="99" t="s">
        <v>297</v>
      </c>
      <c r="AK419" s="197" t="e">
        <f t="shared" si="21"/>
        <v>#VALUE!</v>
      </c>
      <c r="AL419" s="98" t="s">
        <v>1325</v>
      </c>
      <c r="AM419" s="90"/>
      <c r="AN419" s="100"/>
      <c r="AO419" s="198"/>
    </row>
    <row r="420" spans="1:41" s="308" customFormat="1" ht="30.75" hidden="1" customHeight="1" x14ac:dyDescent="0.35">
      <c r="A420" s="244">
        <v>65</v>
      </c>
      <c r="B420" s="253"/>
      <c r="C420" s="254" t="s">
        <v>237</v>
      </c>
      <c r="D420" s="236"/>
      <c r="E420" s="236"/>
      <c r="F420" s="299" t="s">
        <v>191</v>
      </c>
      <c r="G420" s="196"/>
      <c r="H420" s="328" t="s">
        <v>192</v>
      </c>
      <c r="I420" s="535" t="s">
        <v>193</v>
      </c>
      <c r="J420" s="97"/>
      <c r="K420" s="97"/>
      <c r="L420" s="97" t="s">
        <v>80</v>
      </c>
      <c r="M420" s="97"/>
      <c r="N420" s="235" t="s">
        <v>71</v>
      </c>
      <c r="O420" s="343">
        <v>1</v>
      </c>
      <c r="P420" s="169">
        <f>0</f>
        <v>0</v>
      </c>
      <c r="Q420" s="169">
        <f>0</f>
        <v>0</v>
      </c>
      <c r="R420" s="169">
        <f>0</f>
        <v>0</v>
      </c>
      <c r="S420" s="169">
        <f>0</f>
        <v>0</v>
      </c>
      <c r="T420" s="169">
        <f>0</f>
        <v>0</v>
      </c>
      <c r="U420" s="169">
        <f>0</f>
        <v>0</v>
      </c>
      <c r="V420" s="169">
        <f>0</f>
        <v>0</v>
      </c>
      <c r="W420" s="169">
        <f>0</f>
        <v>0</v>
      </c>
      <c r="X420" s="169">
        <f>0</f>
        <v>0</v>
      </c>
      <c r="Y420" s="169">
        <f>0</f>
        <v>0</v>
      </c>
      <c r="Z420" s="219">
        <f>0</f>
        <v>0</v>
      </c>
      <c r="AA420" s="160">
        <f t="shared" si="19"/>
        <v>1</v>
      </c>
      <c r="AB420" s="141">
        <v>1</v>
      </c>
      <c r="AC420" s="172">
        <f t="shared" si="20"/>
        <v>0</v>
      </c>
      <c r="AD420" s="194"/>
      <c r="AE420" s="142" t="s">
        <v>284</v>
      </c>
      <c r="AF420" s="97" t="s">
        <v>294</v>
      </c>
      <c r="AG420" s="196"/>
      <c r="AH420" s="195"/>
      <c r="AI420" s="98"/>
      <c r="AJ420" s="143" t="s">
        <v>286</v>
      </c>
      <c r="AK420" s="414" t="e">
        <f t="shared" si="21"/>
        <v>#VALUE!</v>
      </c>
      <c r="AL420" s="157" t="s">
        <v>500</v>
      </c>
      <c r="AM420" s="169"/>
      <c r="AN420" s="171"/>
      <c r="AO420" s="416"/>
    </row>
    <row r="421" spans="1:41" s="308" customFormat="1" ht="30.75" hidden="1" customHeight="1" x14ac:dyDescent="0.35">
      <c r="A421" s="252">
        <v>66</v>
      </c>
      <c r="B421" s="253"/>
      <c r="C421" s="254" t="s">
        <v>237</v>
      </c>
      <c r="D421" s="236"/>
      <c r="E421" s="236"/>
      <c r="F421" s="185" t="s">
        <v>194</v>
      </c>
      <c r="G421" s="185" t="s">
        <v>195</v>
      </c>
      <c r="H421" s="328" t="s">
        <v>196</v>
      </c>
      <c r="I421" s="535" t="s">
        <v>193</v>
      </c>
      <c r="J421" s="97"/>
      <c r="K421" s="97"/>
      <c r="L421" s="97" t="s">
        <v>80</v>
      </c>
      <c r="M421" s="97"/>
      <c r="N421" s="235" t="s">
        <v>71</v>
      </c>
      <c r="O421" s="343">
        <v>1</v>
      </c>
      <c r="P421" s="169">
        <f>0</f>
        <v>0</v>
      </c>
      <c r="Q421" s="169">
        <f>0</f>
        <v>0</v>
      </c>
      <c r="R421" s="169">
        <f>0</f>
        <v>0</v>
      </c>
      <c r="S421" s="169">
        <f>0</f>
        <v>0</v>
      </c>
      <c r="T421" s="169">
        <f>0</f>
        <v>0</v>
      </c>
      <c r="U421" s="169">
        <f>0</f>
        <v>0</v>
      </c>
      <c r="V421" s="169">
        <f>0</f>
        <v>0</v>
      </c>
      <c r="W421" s="169">
        <f>0</f>
        <v>0</v>
      </c>
      <c r="X421" s="169">
        <f>0</f>
        <v>0</v>
      </c>
      <c r="Y421" s="169">
        <f>0</f>
        <v>0</v>
      </c>
      <c r="Z421" s="219">
        <f>0</f>
        <v>0</v>
      </c>
      <c r="AA421" s="160">
        <f t="shared" si="19"/>
        <v>1</v>
      </c>
      <c r="AB421" s="141">
        <f>0</f>
        <v>0</v>
      </c>
      <c r="AC421" s="172">
        <f t="shared" si="20"/>
        <v>1</v>
      </c>
      <c r="AD421" s="194"/>
      <c r="AE421" s="142" t="s">
        <v>284</v>
      </c>
      <c r="AF421" s="97" t="s">
        <v>294</v>
      </c>
      <c r="AG421" s="196"/>
      <c r="AH421" s="195"/>
      <c r="AI421" s="98"/>
      <c r="AJ421" s="143">
        <v>1</v>
      </c>
      <c r="AK421" s="414">
        <f t="shared" si="21"/>
        <v>0</v>
      </c>
      <c r="AL421" s="157" t="s">
        <v>607</v>
      </c>
      <c r="AM421" s="169"/>
      <c r="AN421" s="171"/>
      <c r="AO421" s="416"/>
    </row>
    <row r="422" spans="1:41" s="308" customFormat="1" ht="30.75" hidden="1" customHeight="1" x14ac:dyDescent="0.35">
      <c r="A422" s="244">
        <v>55</v>
      </c>
      <c r="B422" s="253"/>
      <c r="C422" s="254" t="s">
        <v>237</v>
      </c>
      <c r="D422" s="97"/>
      <c r="E422" s="231"/>
      <c r="F422" s="334" t="s">
        <v>549</v>
      </c>
      <c r="G422" s="335"/>
      <c r="H422" s="336" t="s">
        <v>169</v>
      </c>
      <c r="I422" s="540" t="s">
        <v>170</v>
      </c>
      <c r="J422" s="554"/>
      <c r="K422" s="325"/>
      <c r="L422" s="97"/>
      <c r="M422" s="97"/>
      <c r="N422" s="235" t="s">
        <v>71</v>
      </c>
      <c r="O422" s="343">
        <v>1</v>
      </c>
      <c r="P422" s="169">
        <f>0</f>
        <v>0</v>
      </c>
      <c r="Q422" s="169">
        <f>0</f>
        <v>0</v>
      </c>
      <c r="R422" s="169">
        <f>0</f>
        <v>0</v>
      </c>
      <c r="S422" s="169">
        <f>0</f>
        <v>0</v>
      </c>
      <c r="T422" s="169">
        <f>0</f>
        <v>0</v>
      </c>
      <c r="U422" s="169">
        <f>0</f>
        <v>0</v>
      </c>
      <c r="V422" s="169">
        <f>0</f>
        <v>0</v>
      </c>
      <c r="W422" s="169">
        <f>0</f>
        <v>0</v>
      </c>
      <c r="X422" s="169">
        <f>0</f>
        <v>0</v>
      </c>
      <c r="Y422" s="169">
        <f>0</f>
        <v>0</v>
      </c>
      <c r="Z422" s="219">
        <f>0</f>
        <v>0</v>
      </c>
      <c r="AA422" s="160">
        <f t="shared" si="19"/>
        <v>1</v>
      </c>
      <c r="AB422" s="141">
        <f>0</f>
        <v>0</v>
      </c>
      <c r="AC422" s="172">
        <f t="shared" si="20"/>
        <v>1</v>
      </c>
      <c r="AD422" s="194">
        <v>44756</v>
      </c>
      <c r="AE422" s="195" t="s">
        <v>239</v>
      </c>
      <c r="AF422" s="97" t="s">
        <v>275</v>
      </c>
      <c r="AG422" s="167" t="s">
        <v>273</v>
      </c>
      <c r="AH422" s="195"/>
      <c r="AI422" s="98"/>
      <c r="AJ422" s="99" t="s">
        <v>286</v>
      </c>
      <c r="AK422" s="197" t="e">
        <f t="shared" si="21"/>
        <v>#VALUE!</v>
      </c>
      <c r="AL422" s="98" t="s">
        <v>548</v>
      </c>
      <c r="AM422" s="90"/>
      <c r="AN422" s="100"/>
      <c r="AO422" s="198"/>
    </row>
    <row r="423" spans="1:41" s="308" customFormat="1" ht="30.75" hidden="1" customHeight="1" x14ac:dyDescent="0.35">
      <c r="A423" s="252">
        <v>56</v>
      </c>
      <c r="B423" s="253">
        <v>44694</v>
      </c>
      <c r="C423" s="254" t="s">
        <v>452</v>
      </c>
      <c r="D423" s="236"/>
      <c r="E423" s="236"/>
      <c r="F423" s="337" t="s">
        <v>171</v>
      </c>
      <c r="G423" s="338"/>
      <c r="H423" s="230" t="s">
        <v>172</v>
      </c>
      <c r="I423" s="534" t="s">
        <v>170</v>
      </c>
      <c r="J423" s="231"/>
      <c r="K423" s="325"/>
      <c r="L423" s="97"/>
      <c r="M423" s="97" t="s">
        <v>471</v>
      </c>
      <c r="N423" s="235" t="s">
        <v>80</v>
      </c>
      <c r="O423" s="343">
        <v>5</v>
      </c>
      <c r="P423" s="169">
        <f>0</f>
        <v>0</v>
      </c>
      <c r="Q423" s="169">
        <f>0</f>
        <v>0</v>
      </c>
      <c r="R423" s="169">
        <f>0</f>
        <v>0</v>
      </c>
      <c r="S423" s="169">
        <f>0</f>
        <v>0</v>
      </c>
      <c r="T423" s="169">
        <f>0</f>
        <v>0</v>
      </c>
      <c r="U423" s="169">
        <f>0</f>
        <v>0</v>
      </c>
      <c r="V423" s="169">
        <f>0</f>
        <v>0</v>
      </c>
      <c r="W423" s="169">
        <f>0</f>
        <v>0</v>
      </c>
      <c r="X423" s="169">
        <f>0</f>
        <v>0</v>
      </c>
      <c r="Y423" s="169">
        <f>0</f>
        <v>0</v>
      </c>
      <c r="Z423" s="219">
        <f>0</f>
        <v>0</v>
      </c>
      <c r="AA423" s="160">
        <f t="shared" si="19"/>
        <v>5</v>
      </c>
      <c r="AB423" s="141">
        <v>5</v>
      </c>
      <c r="AC423" s="172">
        <f t="shared" si="20"/>
        <v>0</v>
      </c>
      <c r="AD423" s="194">
        <v>44694</v>
      </c>
      <c r="AE423" s="195" t="s">
        <v>284</v>
      </c>
      <c r="AF423" s="97" t="s">
        <v>294</v>
      </c>
      <c r="AG423" s="167" t="s">
        <v>434</v>
      </c>
      <c r="AH423" s="195"/>
      <c r="AI423" s="98"/>
      <c r="AJ423" s="99" t="s">
        <v>547</v>
      </c>
      <c r="AK423" s="197" t="e">
        <f t="shared" si="21"/>
        <v>#VALUE!</v>
      </c>
      <c r="AL423" s="98" t="s">
        <v>548</v>
      </c>
      <c r="AM423" s="109"/>
      <c r="AN423" s="110"/>
      <c r="AO423" s="105"/>
    </row>
    <row r="424" spans="1:41" s="308" customFormat="1" ht="30.75" hidden="1" customHeight="1" x14ac:dyDescent="0.35">
      <c r="A424" s="244">
        <v>451</v>
      </c>
      <c r="B424" s="253">
        <v>44946</v>
      </c>
      <c r="C424" s="254" t="s">
        <v>456</v>
      </c>
      <c r="D424" s="236"/>
      <c r="E424" s="236"/>
      <c r="F424" s="185" t="s">
        <v>1036</v>
      </c>
      <c r="G424" s="97" t="s">
        <v>1133</v>
      </c>
      <c r="H424" s="97" t="s">
        <v>1172</v>
      </c>
      <c r="I424" s="242" t="s">
        <v>170</v>
      </c>
      <c r="J424" s="97"/>
      <c r="K424" s="97"/>
      <c r="L424" s="97"/>
      <c r="M424" s="97"/>
      <c r="N424" s="235" t="s">
        <v>71</v>
      </c>
      <c r="O424" s="417">
        <v>2</v>
      </c>
      <c r="P424" s="90">
        <v>0</v>
      </c>
      <c r="Q424" s="90">
        <v>0</v>
      </c>
      <c r="R424" s="90">
        <v>0</v>
      </c>
      <c r="S424" s="90">
        <v>0</v>
      </c>
      <c r="T424" s="90">
        <v>0</v>
      </c>
      <c r="U424" s="90">
        <v>0</v>
      </c>
      <c r="V424" s="90">
        <v>0</v>
      </c>
      <c r="W424" s="90">
        <v>0</v>
      </c>
      <c r="X424" s="90">
        <v>0</v>
      </c>
      <c r="Y424" s="90">
        <f>0</f>
        <v>0</v>
      </c>
      <c r="Z424" s="418">
        <f>0</f>
        <v>0</v>
      </c>
      <c r="AA424" s="192">
        <f t="shared" si="19"/>
        <v>2</v>
      </c>
      <c r="AB424" s="193">
        <v>2</v>
      </c>
      <c r="AC424" s="190">
        <f t="shared" si="20"/>
        <v>0</v>
      </c>
      <c r="AD424" s="194"/>
      <c r="AE424" s="195" t="s">
        <v>239</v>
      </c>
      <c r="AF424" s="97" t="s">
        <v>1450</v>
      </c>
      <c r="AG424" s="151"/>
      <c r="AH424" s="113"/>
      <c r="AI424" s="98" t="s">
        <v>1448</v>
      </c>
      <c r="AJ424" s="99" t="s">
        <v>501</v>
      </c>
      <c r="AK424" s="197" t="e">
        <f t="shared" si="21"/>
        <v>#VALUE!</v>
      </c>
      <c r="AL424" s="98" t="s">
        <v>1449</v>
      </c>
      <c r="AM424" s="90"/>
      <c r="AN424" s="100"/>
      <c r="AO424" s="198"/>
    </row>
    <row r="425" spans="1:41" s="308" customFormat="1" ht="35.5" hidden="1" thickTop="1" x14ac:dyDescent="0.35">
      <c r="A425" s="252">
        <v>452</v>
      </c>
      <c r="B425" s="253">
        <v>44946</v>
      </c>
      <c r="C425" s="254" t="s">
        <v>456</v>
      </c>
      <c r="D425" s="236"/>
      <c r="E425" s="236"/>
      <c r="F425" s="185" t="s">
        <v>1037</v>
      </c>
      <c r="G425" s="97" t="s">
        <v>1134</v>
      </c>
      <c r="H425" s="97" t="s">
        <v>1173</v>
      </c>
      <c r="I425" s="242" t="s">
        <v>170</v>
      </c>
      <c r="J425" s="97"/>
      <c r="K425" s="97"/>
      <c r="L425" s="97"/>
      <c r="M425" s="97"/>
      <c r="N425" s="235" t="s">
        <v>71</v>
      </c>
      <c r="O425" s="417">
        <v>9</v>
      </c>
      <c r="P425" s="90">
        <v>0</v>
      </c>
      <c r="Q425" s="90">
        <v>0</v>
      </c>
      <c r="R425" s="90">
        <v>0</v>
      </c>
      <c r="S425" s="90">
        <v>0</v>
      </c>
      <c r="T425" s="90">
        <v>0</v>
      </c>
      <c r="U425" s="90">
        <v>0</v>
      </c>
      <c r="V425" s="90">
        <v>0</v>
      </c>
      <c r="W425" s="90">
        <v>0</v>
      </c>
      <c r="X425" s="90">
        <v>0</v>
      </c>
      <c r="Y425" s="90">
        <f>0</f>
        <v>0</v>
      </c>
      <c r="Z425" s="418">
        <f>0</f>
        <v>0</v>
      </c>
      <c r="AA425" s="192">
        <f t="shared" si="19"/>
        <v>9</v>
      </c>
      <c r="AB425" s="193">
        <v>9</v>
      </c>
      <c r="AC425" s="190">
        <f t="shared" si="20"/>
        <v>0</v>
      </c>
      <c r="AD425" s="194"/>
      <c r="AE425" s="195" t="s">
        <v>239</v>
      </c>
      <c r="AF425" s="97" t="s">
        <v>1451</v>
      </c>
      <c r="AG425" s="151"/>
      <c r="AH425" s="113"/>
      <c r="AI425" s="98" t="s">
        <v>1448</v>
      </c>
      <c r="AJ425" s="99" t="s">
        <v>501</v>
      </c>
      <c r="AK425" s="197" t="e">
        <f t="shared" si="21"/>
        <v>#VALUE!</v>
      </c>
      <c r="AL425" s="98" t="s">
        <v>1449</v>
      </c>
      <c r="AM425" s="90"/>
      <c r="AN425" s="100"/>
      <c r="AO425" s="198"/>
    </row>
    <row r="426" spans="1:41" s="308" customFormat="1" ht="30.75" hidden="1" customHeight="1" x14ac:dyDescent="0.35">
      <c r="A426" s="244">
        <v>453</v>
      </c>
      <c r="B426" s="253">
        <v>44946</v>
      </c>
      <c r="C426" s="254" t="s">
        <v>456</v>
      </c>
      <c r="D426" s="236"/>
      <c r="E426" s="236"/>
      <c r="F426" s="185" t="s">
        <v>1038</v>
      </c>
      <c r="G426" s="97" t="s">
        <v>1135</v>
      </c>
      <c r="H426" s="97" t="s">
        <v>1174</v>
      </c>
      <c r="I426" s="242" t="s">
        <v>170</v>
      </c>
      <c r="J426" s="97"/>
      <c r="K426" s="97"/>
      <c r="L426" s="97"/>
      <c r="M426" s="97"/>
      <c r="N426" s="235" t="s">
        <v>71</v>
      </c>
      <c r="O426" s="417">
        <v>4</v>
      </c>
      <c r="P426" s="90">
        <v>0</v>
      </c>
      <c r="Q426" s="90">
        <v>0</v>
      </c>
      <c r="R426" s="90">
        <v>0</v>
      </c>
      <c r="S426" s="90">
        <v>0</v>
      </c>
      <c r="T426" s="90">
        <v>0</v>
      </c>
      <c r="U426" s="90">
        <v>0</v>
      </c>
      <c r="V426" s="90">
        <v>0</v>
      </c>
      <c r="W426" s="90">
        <v>0</v>
      </c>
      <c r="X426" s="90">
        <v>0</v>
      </c>
      <c r="Y426" s="90">
        <f>0</f>
        <v>0</v>
      </c>
      <c r="Z426" s="418">
        <f>0</f>
        <v>0</v>
      </c>
      <c r="AA426" s="192">
        <f t="shared" si="19"/>
        <v>4</v>
      </c>
      <c r="AB426" s="193"/>
      <c r="AC426" s="190">
        <f t="shared" si="20"/>
        <v>4</v>
      </c>
      <c r="AD426" s="194">
        <v>45013</v>
      </c>
      <c r="AE426" s="195" t="s">
        <v>239</v>
      </c>
      <c r="AF426" s="97" t="s">
        <v>1563</v>
      </c>
      <c r="AG426" s="151"/>
      <c r="AH426" s="164">
        <v>45062</v>
      </c>
      <c r="AI426" s="98" t="s">
        <v>1448</v>
      </c>
      <c r="AJ426" s="99">
        <v>4</v>
      </c>
      <c r="AK426" s="197">
        <f t="shared" si="21"/>
        <v>0</v>
      </c>
      <c r="AL426" s="98" t="s">
        <v>1631</v>
      </c>
      <c r="AM426" s="90"/>
      <c r="AN426" s="100"/>
      <c r="AO426" s="198"/>
    </row>
    <row r="427" spans="1:41" s="308" customFormat="1" ht="30.75" hidden="1" customHeight="1" x14ac:dyDescent="0.35">
      <c r="A427" s="252">
        <v>454</v>
      </c>
      <c r="B427" s="253">
        <v>44946</v>
      </c>
      <c r="C427" s="254" t="s">
        <v>456</v>
      </c>
      <c r="D427" s="236"/>
      <c r="E427" s="236"/>
      <c r="F427" s="185" t="s">
        <v>1039</v>
      </c>
      <c r="G427" s="97" t="s">
        <v>1136</v>
      </c>
      <c r="H427" s="97" t="s">
        <v>1175</v>
      </c>
      <c r="I427" s="242" t="s">
        <v>170</v>
      </c>
      <c r="J427" s="97"/>
      <c r="K427" s="97"/>
      <c r="L427" s="97"/>
      <c r="M427" s="97"/>
      <c r="N427" s="235" t="s">
        <v>71</v>
      </c>
      <c r="O427" s="417">
        <v>3</v>
      </c>
      <c r="P427" s="90">
        <v>0</v>
      </c>
      <c r="Q427" s="90">
        <v>0</v>
      </c>
      <c r="R427" s="90">
        <v>0</v>
      </c>
      <c r="S427" s="90">
        <v>0</v>
      </c>
      <c r="T427" s="90">
        <v>0</v>
      </c>
      <c r="U427" s="90">
        <v>0</v>
      </c>
      <c r="V427" s="90">
        <v>0</v>
      </c>
      <c r="W427" s="90">
        <v>0</v>
      </c>
      <c r="X427" s="90">
        <v>0</v>
      </c>
      <c r="Y427" s="90">
        <f>0</f>
        <v>0</v>
      </c>
      <c r="Z427" s="418">
        <f>0</f>
        <v>0</v>
      </c>
      <c r="AA427" s="192">
        <f t="shared" si="19"/>
        <v>3</v>
      </c>
      <c r="AB427" s="193"/>
      <c r="AC427" s="190">
        <f t="shared" si="20"/>
        <v>3</v>
      </c>
      <c r="AD427" s="194">
        <v>45013</v>
      </c>
      <c r="AE427" s="195" t="s">
        <v>239</v>
      </c>
      <c r="AF427" s="97" t="s">
        <v>1563</v>
      </c>
      <c r="AG427" s="151"/>
      <c r="AH427" s="164">
        <v>45062</v>
      </c>
      <c r="AI427" s="98" t="s">
        <v>1448</v>
      </c>
      <c r="AJ427" s="99">
        <v>3</v>
      </c>
      <c r="AK427" s="197">
        <f t="shared" si="21"/>
        <v>0</v>
      </c>
      <c r="AL427" s="98" t="s">
        <v>1631</v>
      </c>
      <c r="AM427" s="90"/>
      <c r="AN427" s="100"/>
      <c r="AO427" s="198"/>
    </row>
    <row r="428" spans="1:41" s="308" customFormat="1" ht="30.75" hidden="1" customHeight="1" x14ac:dyDescent="0.35">
      <c r="A428" s="244">
        <v>455</v>
      </c>
      <c r="B428" s="253">
        <v>44946</v>
      </c>
      <c r="C428" s="254" t="s">
        <v>456</v>
      </c>
      <c r="D428" s="236"/>
      <c r="E428" s="236"/>
      <c r="F428" s="185" t="s">
        <v>1040</v>
      </c>
      <c r="G428" s="97" t="s">
        <v>1137</v>
      </c>
      <c r="H428" s="97" t="s">
        <v>1137</v>
      </c>
      <c r="I428" s="242" t="s">
        <v>1194</v>
      </c>
      <c r="J428" s="97"/>
      <c r="K428" s="97"/>
      <c r="L428" s="97"/>
      <c r="M428" s="97"/>
      <c r="N428" s="235"/>
      <c r="O428" s="343">
        <v>1</v>
      </c>
      <c r="P428" s="169">
        <v>0</v>
      </c>
      <c r="Q428" s="169">
        <v>0</v>
      </c>
      <c r="R428" s="169">
        <v>0</v>
      </c>
      <c r="S428" s="169">
        <v>0</v>
      </c>
      <c r="T428" s="169">
        <v>0</v>
      </c>
      <c r="U428" s="169">
        <v>0</v>
      </c>
      <c r="V428" s="169">
        <v>0</v>
      </c>
      <c r="W428" s="169">
        <v>0</v>
      </c>
      <c r="X428" s="169">
        <v>0</v>
      </c>
      <c r="Y428" s="169">
        <f>0</f>
        <v>0</v>
      </c>
      <c r="Z428" s="219">
        <f>0</f>
        <v>0</v>
      </c>
      <c r="AA428" s="160">
        <f t="shared" si="19"/>
        <v>1</v>
      </c>
      <c r="AB428" s="141">
        <v>1</v>
      </c>
      <c r="AC428" s="172">
        <f t="shared" si="20"/>
        <v>0</v>
      </c>
      <c r="AD428" s="194"/>
      <c r="AE428" s="195" t="s">
        <v>531</v>
      </c>
      <c r="AF428" s="97" t="s">
        <v>44</v>
      </c>
      <c r="AG428" s="196"/>
      <c r="AH428" s="195"/>
      <c r="AI428" s="98"/>
      <c r="AJ428" s="99" t="s">
        <v>501</v>
      </c>
      <c r="AK428" s="197" t="e">
        <f t="shared" si="21"/>
        <v>#VALUE!</v>
      </c>
      <c r="AL428" s="98" t="s">
        <v>1239</v>
      </c>
      <c r="AM428" s="90"/>
      <c r="AN428" s="100"/>
      <c r="AO428" s="198"/>
    </row>
    <row r="429" spans="1:41" s="308" customFormat="1" ht="30.75" hidden="1" customHeight="1" x14ac:dyDescent="0.35">
      <c r="A429" s="252">
        <v>456</v>
      </c>
      <c r="B429" s="253">
        <v>44946</v>
      </c>
      <c r="C429" s="254" t="s">
        <v>456</v>
      </c>
      <c r="D429" s="236"/>
      <c r="E429" s="236"/>
      <c r="F429" s="185" t="s">
        <v>1041</v>
      </c>
      <c r="G429" s="97" t="s">
        <v>1138</v>
      </c>
      <c r="H429" s="97" t="s">
        <v>1138</v>
      </c>
      <c r="I429" s="242" t="s">
        <v>1194</v>
      </c>
      <c r="J429" s="97"/>
      <c r="K429" s="97"/>
      <c r="L429" s="97"/>
      <c r="M429" s="97"/>
      <c r="N429" s="235"/>
      <c r="O429" s="417">
        <v>9</v>
      </c>
      <c r="P429" s="90">
        <v>0</v>
      </c>
      <c r="Q429" s="90">
        <v>0</v>
      </c>
      <c r="R429" s="90">
        <v>0</v>
      </c>
      <c r="S429" s="90">
        <v>0</v>
      </c>
      <c r="T429" s="90">
        <v>0</v>
      </c>
      <c r="U429" s="90">
        <v>0</v>
      </c>
      <c r="V429" s="90">
        <v>0</v>
      </c>
      <c r="W429" s="90">
        <v>0</v>
      </c>
      <c r="X429" s="90">
        <v>0</v>
      </c>
      <c r="Y429" s="90">
        <f>0</f>
        <v>0</v>
      </c>
      <c r="Z429" s="418">
        <f>0</f>
        <v>0</v>
      </c>
      <c r="AA429" s="192">
        <f t="shared" si="19"/>
        <v>9</v>
      </c>
      <c r="AB429" s="193">
        <v>7</v>
      </c>
      <c r="AC429" s="190">
        <f t="shared" si="20"/>
        <v>2</v>
      </c>
      <c r="AD429" s="194"/>
      <c r="AE429" s="195" t="s">
        <v>531</v>
      </c>
      <c r="AF429" s="97"/>
      <c r="AG429" s="196"/>
      <c r="AH429" s="195"/>
      <c r="AI429" s="98"/>
      <c r="AJ429" s="99"/>
      <c r="AK429" s="197">
        <f t="shared" si="21"/>
        <v>2</v>
      </c>
      <c r="AL429" s="98" t="s">
        <v>1239</v>
      </c>
      <c r="AM429" s="90"/>
      <c r="AN429" s="100"/>
      <c r="AO429" s="198"/>
    </row>
    <row r="430" spans="1:41" s="308" customFormat="1" ht="30.75" hidden="1" customHeight="1" x14ac:dyDescent="0.35">
      <c r="A430" s="244">
        <v>89</v>
      </c>
      <c r="B430" s="297">
        <v>44900</v>
      </c>
      <c r="C430" s="306" t="s">
        <v>308</v>
      </c>
      <c r="D430" s="299"/>
      <c r="E430" s="400"/>
      <c r="F430" s="185" t="s">
        <v>305</v>
      </c>
      <c r="G430" s="196" t="s">
        <v>306</v>
      </c>
      <c r="H430" s="328" t="s">
        <v>306</v>
      </c>
      <c r="I430" s="535" t="s">
        <v>307</v>
      </c>
      <c r="J430" s="244"/>
      <c r="K430" s="303"/>
      <c r="L430" s="302"/>
      <c r="M430" s="97" t="s">
        <v>313</v>
      </c>
      <c r="N430" s="235" t="s">
        <v>71</v>
      </c>
      <c r="O430" s="343">
        <v>0</v>
      </c>
      <c r="P430" s="169">
        <f>0</f>
        <v>0</v>
      </c>
      <c r="Q430" s="169">
        <f>0</f>
        <v>0</v>
      </c>
      <c r="R430" s="169">
        <f>0</f>
        <v>0</v>
      </c>
      <c r="S430" s="169">
        <f>0</f>
        <v>0</v>
      </c>
      <c r="T430" s="169">
        <f>0</f>
        <v>0</v>
      </c>
      <c r="U430" s="169">
        <f>0</f>
        <v>0</v>
      </c>
      <c r="V430" s="169">
        <f>0</f>
        <v>0</v>
      </c>
      <c r="W430" s="169">
        <f>0</f>
        <v>0</v>
      </c>
      <c r="X430" s="169">
        <f>0</f>
        <v>0</v>
      </c>
      <c r="Y430" s="169">
        <f>0</f>
        <v>0</v>
      </c>
      <c r="Z430" s="219">
        <v>6</v>
      </c>
      <c r="AA430" s="160">
        <f t="shared" si="19"/>
        <v>6</v>
      </c>
      <c r="AB430" s="141">
        <v>6</v>
      </c>
      <c r="AC430" s="172">
        <f t="shared" si="20"/>
        <v>0</v>
      </c>
      <c r="AD430" s="194"/>
      <c r="AE430" s="142" t="s">
        <v>284</v>
      </c>
      <c r="AF430" s="97" t="s">
        <v>294</v>
      </c>
      <c r="AG430" s="196"/>
      <c r="AH430" s="195"/>
      <c r="AI430" s="98"/>
      <c r="AJ430" s="143" t="s">
        <v>502</v>
      </c>
      <c r="AK430" s="414" t="e">
        <f t="shared" si="21"/>
        <v>#VALUE!</v>
      </c>
      <c r="AL430" s="157" t="s">
        <v>500</v>
      </c>
      <c r="AM430" s="169"/>
      <c r="AN430" s="171"/>
      <c r="AO430" s="416"/>
    </row>
    <row r="431" spans="1:41" s="308" customFormat="1" ht="30.75" hidden="1" customHeight="1" x14ac:dyDescent="0.35">
      <c r="A431" s="252">
        <v>186</v>
      </c>
      <c r="B431" s="253" t="s">
        <v>616</v>
      </c>
      <c r="C431" s="254" t="s">
        <v>617</v>
      </c>
      <c r="D431" s="299" t="s">
        <v>621</v>
      </c>
      <c r="E431" s="230" t="s">
        <v>340</v>
      </c>
      <c r="F431" s="231" t="s">
        <v>622</v>
      </c>
      <c r="G431" s="230" t="s">
        <v>623</v>
      </c>
      <c r="H431" s="230" t="s">
        <v>624</v>
      </c>
      <c r="I431" s="545" t="s">
        <v>307</v>
      </c>
      <c r="J431" s="231" t="s">
        <v>251</v>
      </c>
      <c r="K431" s="231" t="s">
        <v>252</v>
      </c>
      <c r="L431" s="231" t="s">
        <v>252</v>
      </c>
      <c r="M431" s="97"/>
      <c r="N431" s="324" t="s">
        <v>643</v>
      </c>
      <c r="O431" s="343">
        <f>0</f>
        <v>0</v>
      </c>
      <c r="P431" s="169">
        <f>0</f>
        <v>0</v>
      </c>
      <c r="Q431" s="169">
        <f>0</f>
        <v>0</v>
      </c>
      <c r="R431" s="169">
        <f>0</f>
        <v>0</v>
      </c>
      <c r="S431" s="169">
        <f>0</f>
        <v>0</v>
      </c>
      <c r="T431" s="169">
        <f>0</f>
        <v>0</v>
      </c>
      <c r="U431" s="169">
        <f>0</f>
        <v>0</v>
      </c>
      <c r="V431" s="169">
        <f>0</f>
        <v>0</v>
      </c>
      <c r="W431" s="169">
        <v>4</v>
      </c>
      <c r="X431" s="169">
        <f>0</f>
        <v>0</v>
      </c>
      <c r="Y431" s="169">
        <f>0</f>
        <v>0</v>
      </c>
      <c r="Z431" s="219">
        <f>0</f>
        <v>0</v>
      </c>
      <c r="AA431" s="192">
        <f t="shared" si="19"/>
        <v>4</v>
      </c>
      <c r="AB431" s="193"/>
      <c r="AC431" s="190">
        <f t="shared" si="20"/>
        <v>4</v>
      </c>
      <c r="AD431" s="194">
        <v>44936</v>
      </c>
      <c r="AE431" s="195" t="s">
        <v>284</v>
      </c>
      <c r="AF431" s="97" t="s">
        <v>745</v>
      </c>
      <c r="AG431" s="196"/>
      <c r="AH431" s="195"/>
      <c r="AI431" s="98"/>
      <c r="AJ431" s="99">
        <v>4</v>
      </c>
      <c r="AK431" s="197">
        <f t="shared" si="21"/>
        <v>0</v>
      </c>
      <c r="AL431" s="98" t="s">
        <v>748</v>
      </c>
      <c r="AM431" s="90"/>
      <c r="AN431" s="100"/>
      <c r="AO431" s="198"/>
    </row>
    <row r="432" spans="1:41" s="308" customFormat="1" ht="30.75" hidden="1" customHeight="1" x14ac:dyDescent="0.35">
      <c r="A432" s="244">
        <v>488</v>
      </c>
      <c r="B432" s="253">
        <v>44949</v>
      </c>
      <c r="C432" s="254" t="s">
        <v>254</v>
      </c>
      <c r="D432" s="236" t="s">
        <v>1225</v>
      </c>
      <c r="E432" s="236" t="s">
        <v>340</v>
      </c>
      <c r="F432" s="185" t="s">
        <v>622</v>
      </c>
      <c r="G432" s="236" t="s">
        <v>1225</v>
      </c>
      <c r="H432" s="328" t="s">
        <v>624</v>
      </c>
      <c r="I432" s="535" t="s">
        <v>307</v>
      </c>
      <c r="J432" s="97" t="s">
        <v>251</v>
      </c>
      <c r="K432" s="97" t="s">
        <v>252</v>
      </c>
      <c r="L432" s="97" t="s">
        <v>252</v>
      </c>
      <c r="M432" s="97" t="s">
        <v>252</v>
      </c>
      <c r="N432" s="235" t="s">
        <v>1222</v>
      </c>
      <c r="O432" s="343">
        <v>0</v>
      </c>
      <c r="P432" s="169">
        <v>0</v>
      </c>
      <c r="Q432" s="169">
        <v>0</v>
      </c>
      <c r="R432" s="169">
        <v>0</v>
      </c>
      <c r="S432" s="169">
        <v>0</v>
      </c>
      <c r="T432" s="169">
        <v>0</v>
      </c>
      <c r="U432" s="169">
        <v>2</v>
      </c>
      <c r="V432" s="169">
        <f>0</f>
        <v>0</v>
      </c>
      <c r="W432" s="169">
        <v>0</v>
      </c>
      <c r="X432" s="169">
        <f>0</f>
        <v>0</v>
      </c>
      <c r="Y432" s="169">
        <f>0</f>
        <v>0</v>
      </c>
      <c r="Z432" s="219">
        <f>0</f>
        <v>0</v>
      </c>
      <c r="AA432" s="192">
        <f t="shared" si="19"/>
        <v>2</v>
      </c>
      <c r="AB432" s="193"/>
      <c r="AC432" s="190">
        <f t="shared" si="20"/>
        <v>2</v>
      </c>
      <c r="AD432" s="194">
        <v>44949</v>
      </c>
      <c r="AE432" s="195" t="s">
        <v>284</v>
      </c>
      <c r="AF432" s="97" t="s">
        <v>1331</v>
      </c>
      <c r="AG432" s="196"/>
      <c r="AH432" s="195"/>
      <c r="AI432" s="98"/>
      <c r="AJ432" s="99">
        <v>2</v>
      </c>
      <c r="AK432" s="197">
        <f t="shared" si="21"/>
        <v>0</v>
      </c>
      <c r="AL432" s="98" t="s">
        <v>1330</v>
      </c>
      <c r="AM432" s="90"/>
      <c r="AN432" s="100"/>
      <c r="AO432" s="198"/>
    </row>
    <row r="433" spans="1:41" s="308" customFormat="1" ht="30.75" hidden="1" customHeight="1" x14ac:dyDescent="0.35">
      <c r="A433" s="252">
        <v>489</v>
      </c>
      <c r="B433" s="253">
        <v>44949</v>
      </c>
      <c r="C433" s="254" t="s">
        <v>254</v>
      </c>
      <c r="D433" s="236" t="s">
        <v>1226</v>
      </c>
      <c r="E433" s="236">
        <v>0</v>
      </c>
      <c r="F433" s="185" t="s">
        <v>305</v>
      </c>
      <c r="G433" s="236" t="s">
        <v>1226</v>
      </c>
      <c r="H433" s="328" t="s">
        <v>1227</v>
      </c>
      <c r="I433" s="535" t="s">
        <v>307</v>
      </c>
      <c r="J433" s="97" t="s">
        <v>251</v>
      </c>
      <c r="K433" s="97" t="s">
        <v>252</v>
      </c>
      <c r="L433" s="97" t="s">
        <v>252</v>
      </c>
      <c r="M433" s="97" t="s">
        <v>252</v>
      </c>
      <c r="N433" s="235" t="s">
        <v>1222</v>
      </c>
      <c r="O433" s="343">
        <v>0</v>
      </c>
      <c r="P433" s="169">
        <v>0</v>
      </c>
      <c r="Q433" s="169">
        <v>0</v>
      </c>
      <c r="R433" s="169">
        <v>0</v>
      </c>
      <c r="S433" s="169">
        <v>0</v>
      </c>
      <c r="T433" s="169">
        <v>0</v>
      </c>
      <c r="U433" s="169">
        <v>1</v>
      </c>
      <c r="V433" s="169">
        <f>0</f>
        <v>0</v>
      </c>
      <c r="W433" s="169">
        <v>0</v>
      </c>
      <c r="X433" s="169">
        <f>0</f>
        <v>0</v>
      </c>
      <c r="Y433" s="169">
        <f>0</f>
        <v>0</v>
      </c>
      <c r="Z433" s="219">
        <f>0</f>
        <v>0</v>
      </c>
      <c r="AA433" s="192">
        <f t="shared" si="19"/>
        <v>1</v>
      </c>
      <c r="AB433" s="193"/>
      <c r="AC433" s="190">
        <f t="shared" si="20"/>
        <v>1</v>
      </c>
      <c r="AD433" s="194"/>
      <c r="AE433" s="195" t="s">
        <v>531</v>
      </c>
      <c r="AF433" s="97" t="s">
        <v>44</v>
      </c>
      <c r="AG433" s="196"/>
      <c r="AH433" s="195"/>
      <c r="AI433" s="98"/>
      <c r="AJ433" s="99" t="s">
        <v>501</v>
      </c>
      <c r="AK433" s="197" t="e">
        <f t="shared" si="21"/>
        <v>#VALUE!</v>
      </c>
      <c r="AL433" s="98"/>
      <c r="AM433" s="90"/>
      <c r="AN433" s="100"/>
      <c r="AO433" s="198"/>
    </row>
    <row r="434" spans="1:41" s="308" customFormat="1" ht="30.75" customHeight="1" thickTop="1" x14ac:dyDescent="0.35">
      <c r="A434" s="244">
        <v>82</v>
      </c>
      <c r="B434" s="253"/>
      <c r="C434" s="254" t="s">
        <v>239</v>
      </c>
      <c r="D434" s="97"/>
      <c r="E434" s="231"/>
      <c r="F434" s="334" t="s">
        <v>493</v>
      </c>
      <c r="G434" s="335" t="s">
        <v>492</v>
      </c>
      <c r="H434" s="336"/>
      <c r="I434" s="540" t="s">
        <v>227</v>
      </c>
      <c r="J434" s="554"/>
      <c r="K434" s="325"/>
      <c r="L434" s="97" t="s">
        <v>252</v>
      </c>
      <c r="M434" s="97"/>
      <c r="N434" s="235" t="s">
        <v>71</v>
      </c>
      <c r="O434" s="343">
        <v>6</v>
      </c>
      <c r="P434" s="169">
        <f>0</f>
        <v>0</v>
      </c>
      <c r="Q434" s="169">
        <f>0</f>
        <v>0</v>
      </c>
      <c r="R434" s="169">
        <f>0</f>
        <v>0</v>
      </c>
      <c r="S434" s="169">
        <f>0</f>
        <v>0</v>
      </c>
      <c r="T434" s="169">
        <f>0</f>
        <v>0</v>
      </c>
      <c r="U434" s="169">
        <f>0</f>
        <v>0</v>
      </c>
      <c r="V434" s="169">
        <f>0</f>
        <v>0</v>
      </c>
      <c r="W434" s="169">
        <f>0</f>
        <v>0</v>
      </c>
      <c r="X434" s="169">
        <f>0</f>
        <v>0</v>
      </c>
      <c r="Y434" s="169">
        <f>0</f>
        <v>0</v>
      </c>
      <c r="Z434" s="219">
        <f>0</f>
        <v>0</v>
      </c>
      <c r="AA434" s="160">
        <f t="shared" si="19"/>
        <v>6</v>
      </c>
      <c r="AB434" s="141">
        <v>12</v>
      </c>
      <c r="AC434" s="172">
        <f t="shared" si="20"/>
        <v>-6</v>
      </c>
      <c r="AD434" s="194">
        <v>44906</v>
      </c>
      <c r="AE434" s="195" t="s">
        <v>239</v>
      </c>
      <c r="AF434" s="97" t="s">
        <v>494</v>
      </c>
      <c r="AG434" s="167"/>
      <c r="AH434" s="195"/>
      <c r="AI434" s="98"/>
      <c r="AJ434" s="99">
        <v>6</v>
      </c>
      <c r="AK434" s="197">
        <f t="shared" si="21"/>
        <v>-12</v>
      </c>
      <c r="AL434" s="98" t="s">
        <v>1523</v>
      </c>
      <c r="AM434" s="109"/>
      <c r="AN434" s="110"/>
      <c r="AO434" s="198"/>
    </row>
    <row r="435" spans="1:41" s="308" customFormat="1" ht="30.75" customHeight="1" x14ac:dyDescent="0.35">
      <c r="A435" s="252">
        <v>103</v>
      </c>
      <c r="B435" s="297">
        <v>44903</v>
      </c>
      <c r="C435" s="306" t="s">
        <v>374</v>
      </c>
      <c r="D435" s="299" t="s">
        <v>337</v>
      </c>
      <c r="E435" s="400">
        <v>0</v>
      </c>
      <c r="F435" s="185" t="s">
        <v>1373</v>
      </c>
      <c r="G435" s="196" t="s">
        <v>337</v>
      </c>
      <c r="H435" s="328" t="s">
        <v>337</v>
      </c>
      <c r="I435" s="535" t="s">
        <v>227</v>
      </c>
      <c r="J435" s="244" t="s">
        <v>251</v>
      </c>
      <c r="K435" s="303"/>
      <c r="L435" s="302"/>
      <c r="M435" s="310"/>
      <c r="N435" s="235" t="s">
        <v>71</v>
      </c>
      <c r="O435" s="417">
        <v>0</v>
      </c>
      <c r="P435" s="90">
        <f>0</f>
        <v>0</v>
      </c>
      <c r="Q435" s="90">
        <f>0</f>
        <v>0</v>
      </c>
      <c r="R435" s="90">
        <f>0</f>
        <v>0</v>
      </c>
      <c r="S435" s="90">
        <v>2</v>
      </c>
      <c r="T435" s="90">
        <f>0</f>
        <v>0</v>
      </c>
      <c r="U435" s="90">
        <f>0</f>
        <v>0</v>
      </c>
      <c r="V435" s="90">
        <f>0</f>
        <v>0</v>
      </c>
      <c r="W435" s="90">
        <f>0</f>
        <v>0</v>
      </c>
      <c r="X435" s="90">
        <f>0</f>
        <v>0</v>
      </c>
      <c r="Y435" s="90">
        <f>0</f>
        <v>0</v>
      </c>
      <c r="Z435" s="418">
        <f>0</f>
        <v>0</v>
      </c>
      <c r="AA435" s="192">
        <f t="shared" si="19"/>
        <v>2</v>
      </c>
      <c r="AB435" s="193">
        <f>0</f>
        <v>0</v>
      </c>
      <c r="AC435" s="190">
        <f t="shared" si="20"/>
        <v>2</v>
      </c>
      <c r="AD435" s="194" t="s">
        <v>1440</v>
      </c>
      <c r="AE435" s="195" t="s">
        <v>239</v>
      </c>
      <c r="AF435" s="97" t="s">
        <v>1441</v>
      </c>
      <c r="AG435" s="196"/>
      <c r="AH435" s="195"/>
      <c r="AI435" s="98"/>
      <c r="AJ435" s="99">
        <v>2</v>
      </c>
      <c r="AK435" s="197">
        <f t="shared" si="21"/>
        <v>0</v>
      </c>
      <c r="AL435" s="98" t="s">
        <v>1538</v>
      </c>
      <c r="AM435" s="90"/>
      <c r="AN435" s="100"/>
      <c r="AO435" s="198"/>
    </row>
    <row r="436" spans="1:41" s="308" customFormat="1" ht="30.75" customHeight="1" x14ac:dyDescent="0.35">
      <c r="A436" s="244">
        <v>104</v>
      </c>
      <c r="B436" s="297">
        <v>44903</v>
      </c>
      <c r="C436" s="306" t="s">
        <v>374</v>
      </c>
      <c r="D436" s="299" t="s">
        <v>338</v>
      </c>
      <c r="E436" s="400">
        <v>0</v>
      </c>
      <c r="F436" s="185" t="s">
        <v>1374</v>
      </c>
      <c r="G436" s="196" t="s">
        <v>338</v>
      </c>
      <c r="H436" s="328" t="s">
        <v>338</v>
      </c>
      <c r="I436" s="535" t="s">
        <v>227</v>
      </c>
      <c r="J436" s="244" t="s">
        <v>251</v>
      </c>
      <c r="K436" s="303" t="s">
        <v>252</v>
      </c>
      <c r="L436" s="302" t="s">
        <v>252</v>
      </c>
      <c r="M436" s="310"/>
      <c r="N436" s="235" t="s">
        <v>71</v>
      </c>
      <c r="O436" s="417">
        <v>0</v>
      </c>
      <c r="P436" s="90">
        <f>0</f>
        <v>0</v>
      </c>
      <c r="Q436" s="90">
        <f>0</f>
        <v>0</v>
      </c>
      <c r="R436" s="90">
        <f>0</f>
        <v>0</v>
      </c>
      <c r="S436" s="90">
        <v>2</v>
      </c>
      <c r="T436" s="90">
        <f>0</f>
        <v>0</v>
      </c>
      <c r="U436" s="90">
        <f>0</f>
        <v>0</v>
      </c>
      <c r="V436" s="90">
        <f>0</f>
        <v>0</v>
      </c>
      <c r="W436" s="90">
        <f>0</f>
        <v>0</v>
      </c>
      <c r="X436" s="90">
        <f>0</f>
        <v>0</v>
      </c>
      <c r="Y436" s="90">
        <f>0</f>
        <v>0</v>
      </c>
      <c r="Z436" s="418">
        <f>0</f>
        <v>0</v>
      </c>
      <c r="AA436" s="192">
        <f t="shared" si="19"/>
        <v>2</v>
      </c>
      <c r="AB436" s="193">
        <f>0</f>
        <v>0</v>
      </c>
      <c r="AC436" s="190">
        <f t="shared" si="20"/>
        <v>2</v>
      </c>
      <c r="AD436" s="194" t="s">
        <v>1440</v>
      </c>
      <c r="AE436" s="195" t="s">
        <v>239</v>
      </c>
      <c r="AF436" s="97" t="s">
        <v>1441</v>
      </c>
      <c r="AG436" s="196"/>
      <c r="AH436" s="195"/>
      <c r="AI436" s="98"/>
      <c r="AJ436" s="99">
        <v>2</v>
      </c>
      <c r="AK436" s="197">
        <f t="shared" si="21"/>
        <v>0</v>
      </c>
      <c r="AL436" s="98" t="s">
        <v>1538</v>
      </c>
      <c r="AM436" s="90"/>
      <c r="AN436" s="100"/>
      <c r="AO436" s="198"/>
    </row>
    <row r="437" spans="1:41" s="308" customFormat="1" ht="30.75" customHeight="1" x14ac:dyDescent="0.35">
      <c r="A437" s="252">
        <v>105</v>
      </c>
      <c r="B437" s="297">
        <v>44903</v>
      </c>
      <c r="C437" s="306" t="s">
        <v>374</v>
      </c>
      <c r="D437" s="299" t="s">
        <v>339</v>
      </c>
      <c r="E437" s="400" t="s">
        <v>340</v>
      </c>
      <c r="F437" s="185" t="s">
        <v>341</v>
      </c>
      <c r="G437" s="196" t="s">
        <v>339</v>
      </c>
      <c r="H437" s="328" t="s">
        <v>339</v>
      </c>
      <c r="I437" s="535" t="s">
        <v>227</v>
      </c>
      <c r="J437" s="244" t="s">
        <v>251</v>
      </c>
      <c r="K437" s="303" t="s">
        <v>252</v>
      </c>
      <c r="L437" s="302" t="s">
        <v>252</v>
      </c>
      <c r="M437" s="310"/>
      <c r="N437" s="235" t="s">
        <v>71</v>
      </c>
      <c r="O437" s="417">
        <v>0</v>
      </c>
      <c r="P437" s="90">
        <f>0</f>
        <v>0</v>
      </c>
      <c r="Q437" s="90">
        <f>0</f>
        <v>0</v>
      </c>
      <c r="R437" s="90">
        <f>0</f>
        <v>0</v>
      </c>
      <c r="S437" s="90">
        <v>2</v>
      </c>
      <c r="T437" s="90">
        <f>0</f>
        <v>0</v>
      </c>
      <c r="U437" s="90">
        <f>0</f>
        <v>0</v>
      </c>
      <c r="V437" s="90">
        <f>0</f>
        <v>0</v>
      </c>
      <c r="W437" s="90">
        <f>0</f>
        <v>0</v>
      </c>
      <c r="X437" s="90">
        <f>0</f>
        <v>0</v>
      </c>
      <c r="Y437" s="90">
        <f>0</f>
        <v>0</v>
      </c>
      <c r="Z437" s="418">
        <f>0</f>
        <v>0</v>
      </c>
      <c r="AA437" s="192">
        <f t="shared" si="19"/>
        <v>2</v>
      </c>
      <c r="AB437" s="193">
        <f>0</f>
        <v>0</v>
      </c>
      <c r="AC437" s="190">
        <f t="shared" si="20"/>
        <v>2</v>
      </c>
      <c r="AD437" s="194" t="s">
        <v>1440</v>
      </c>
      <c r="AE437" s="195" t="s">
        <v>239</v>
      </c>
      <c r="AF437" s="97" t="s">
        <v>1441</v>
      </c>
      <c r="AG437" s="196"/>
      <c r="AH437" s="195"/>
      <c r="AI437" s="98"/>
      <c r="AJ437" s="99">
        <v>2</v>
      </c>
      <c r="AK437" s="197">
        <f t="shared" si="21"/>
        <v>0</v>
      </c>
      <c r="AL437" s="98" t="s">
        <v>1538</v>
      </c>
      <c r="AM437" s="90"/>
      <c r="AN437" s="100"/>
      <c r="AO437" s="198"/>
    </row>
    <row r="438" spans="1:41" s="308" customFormat="1" ht="30.75" customHeight="1" x14ac:dyDescent="0.35">
      <c r="A438" s="244">
        <v>106</v>
      </c>
      <c r="B438" s="297">
        <v>44903</v>
      </c>
      <c r="C438" s="306" t="s">
        <v>374</v>
      </c>
      <c r="D438" s="299" t="s">
        <v>342</v>
      </c>
      <c r="E438" s="400" t="s">
        <v>330</v>
      </c>
      <c r="F438" s="185" t="s">
        <v>341</v>
      </c>
      <c r="G438" s="196" t="s">
        <v>342</v>
      </c>
      <c r="H438" s="328" t="s">
        <v>342</v>
      </c>
      <c r="I438" s="535" t="s">
        <v>227</v>
      </c>
      <c r="J438" s="244" t="s">
        <v>251</v>
      </c>
      <c r="K438" s="303" t="s">
        <v>252</v>
      </c>
      <c r="L438" s="302" t="s">
        <v>252</v>
      </c>
      <c r="M438" s="310"/>
      <c r="N438" s="235" t="s">
        <v>71</v>
      </c>
      <c r="O438" s="343">
        <v>0</v>
      </c>
      <c r="P438" s="169">
        <f>0</f>
        <v>0</v>
      </c>
      <c r="Q438" s="169">
        <f>0</f>
        <v>0</v>
      </c>
      <c r="R438" s="169">
        <f>0</f>
        <v>0</v>
      </c>
      <c r="S438" s="169">
        <v>4</v>
      </c>
      <c r="T438" s="169">
        <f>0</f>
        <v>0</v>
      </c>
      <c r="U438" s="169">
        <f>0</f>
        <v>0</v>
      </c>
      <c r="V438" s="169">
        <f>0</f>
        <v>0</v>
      </c>
      <c r="W438" s="169">
        <f>0</f>
        <v>0</v>
      </c>
      <c r="X438" s="169">
        <f>0</f>
        <v>0</v>
      </c>
      <c r="Y438" s="169">
        <f>0</f>
        <v>0</v>
      </c>
      <c r="Z438" s="219">
        <f>0</f>
        <v>0</v>
      </c>
      <c r="AA438" s="160">
        <f t="shared" si="19"/>
        <v>4</v>
      </c>
      <c r="AB438" s="141">
        <v>7</v>
      </c>
      <c r="AC438" s="172">
        <f t="shared" si="20"/>
        <v>-3</v>
      </c>
      <c r="AD438" s="194"/>
      <c r="AE438" s="195"/>
      <c r="AF438" s="97" t="s">
        <v>590</v>
      </c>
      <c r="AG438" s="196"/>
      <c r="AH438" s="195"/>
      <c r="AI438" s="98"/>
      <c r="AJ438" s="99">
        <v>7</v>
      </c>
      <c r="AK438" s="197">
        <f t="shared" si="21"/>
        <v>-10</v>
      </c>
      <c r="AL438" s="98" t="s">
        <v>582</v>
      </c>
      <c r="AM438" s="90"/>
      <c r="AN438" s="100"/>
      <c r="AO438" s="198"/>
    </row>
    <row r="439" spans="1:41" s="308" customFormat="1" ht="30.75" customHeight="1" x14ac:dyDescent="0.35">
      <c r="A439" s="252">
        <v>107</v>
      </c>
      <c r="B439" s="297">
        <v>44903</v>
      </c>
      <c r="C439" s="306" t="s">
        <v>374</v>
      </c>
      <c r="D439" s="299" t="s">
        <v>343</v>
      </c>
      <c r="E439" s="400" t="s">
        <v>324</v>
      </c>
      <c r="F439" s="185" t="s">
        <v>344</v>
      </c>
      <c r="G439" s="196" t="s">
        <v>343</v>
      </c>
      <c r="H439" s="328" t="s">
        <v>343</v>
      </c>
      <c r="I439" s="535" t="s">
        <v>227</v>
      </c>
      <c r="J439" s="244" t="s">
        <v>251</v>
      </c>
      <c r="K439" s="303" t="s">
        <v>252</v>
      </c>
      <c r="L439" s="302" t="s">
        <v>252</v>
      </c>
      <c r="M439" s="310"/>
      <c r="N439" s="235" t="s">
        <v>71</v>
      </c>
      <c r="O439" s="417">
        <v>0</v>
      </c>
      <c r="P439" s="90">
        <f>0</f>
        <v>0</v>
      </c>
      <c r="Q439" s="90">
        <f>0</f>
        <v>0</v>
      </c>
      <c r="R439" s="90">
        <f>0</f>
        <v>0</v>
      </c>
      <c r="S439" s="90">
        <v>2</v>
      </c>
      <c r="T439" s="90">
        <f>0</f>
        <v>0</v>
      </c>
      <c r="U439" s="90">
        <f>0</f>
        <v>0</v>
      </c>
      <c r="V439" s="90">
        <f>0</f>
        <v>0</v>
      </c>
      <c r="W439" s="90">
        <f>0</f>
        <v>0</v>
      </c>
      <c r="X439" s="90">
        <f>0</f>
        <v>0</v>
      </c>
      <c r="Y439" s="90">
        <f>0</f>
        <v>0</v>
      </c>
      <c r="Z439" s="418">
        <f>0</f>
        <v>0</v>
      </c>
      <c r="AA439" s="192">
        <f t="shared" si="19"/>
        <v>2</v>
      </c>
      <c r="AB439" s="193">
        <f>0</f>
        <v>0</v>
      </c>
      <c r="AC439" s="190">
        <f t="shared" si="20"/>
        <v>2</v>
      </c>
      <c r="AD439" s="194" t="s">
        <v>1440</v>
      </c>
      <c r="AE439" s="195" t="s">
        <v>239</v>
      </c>
      <c r="AF439" s="97" t="s">
        <v>1441</v>
      </c>
      <c r="AG439" s="196"/>
      <c r="AH439" s="195"/>
      <c r="AI439" s="98"/>
      <c r="AJ439" s="99">
        <v>2</v>
      </c>
      <c r="AK439" s="197">
        <f t="shared" si="21"/>
        <v>0</v>
      </c>
      <c r="AL439" s="98" t="s">
        <v>1544</v>
      </c>
      <c r="AM439" s="90"/>
      <c r="AN439" s="100"/>
      <c r="AO439" s="198"/>
    </row>
    <row r="440" spans="1:41" s="308" customFormat="1" ht="30.75" customHeight="1" x14ac:dyDescent="0.35">
      <c r="A440" s="244">
        <v>108</v>
      </c>
      <c r="B440" s="297">
        <v>44903</v>
      </c>
      <c r="C440" s="306" t="s">
        <v>374</v>
      </c>
      <c r="D440" s="299" t="s">
        <v>345</v>
      </c>
      <c r="E440" s="400" t="s">
        <v>324</v>
      </c>
      <c r="F440" s="185" t="s">
        <v>357</v>
      </c>
      <c r="G440" s="196" t="s">
        <v>345</v>
      </c>
      <c r="H440" s="328" t="s">
        <v>345</v>
      </c>
      <c r="I440" s="535" t="s">
        <v>227</v>
      </c>
      <c r="J440" s="244" t="s">
        <v>251</v>
      </c>
      <c r="K440" s="303" t="s">
        <v>252</v>
      </c>
      <c r="L440" s="302" t="s">
        <v>252</v>
      </c>
      <c r="M440" s="310"/>
      <c r="N440" s="235" t="s">
        <v>71</v>
      </c>
      <c r="O440" s="417">
        <v>0</v>
      </c>
      <c r="P440" s="90">
        <f>0</f>
        <v>0</v>
      </c>
      <c r="Q440" s="90">
        <f>0</f>
        <v>0</v>
      </c>
      <c r="R440" s="90">
        <f>0</f>
        <v>0</v>
      </c>
      <c r="S440" s="90">
        <v>4</v>
      </c>
      <c r="T440" s="90">
        <f>0</f>
        <v>0</v>
      </c>
      <c r="U440" s="90">
        <f>0</f>
        <v>0</v>
      </c>
      <c r="V440" s="90">
        <f>0</f>
        <v>0</v>
      </c>
      <c r="W440" s="90">
        <f>0</f>
        <v>0</v>
      </c>
      <c r="X440" s="90">
        <f>0</f>
        <v>0</v>
      </c>
      <c r="Y440" s="90">
        <f>0</f>
        <v>0</v>
      </c>
      <c r="Z440" s="418">
        <f>0</f>
        <v>0</v>
      </c>
      <c r="AA440" s="192">
        <f t="shared" si="19"/>
        <v>4</v>
      </c>
      <c r="AB440" s="193">
        <f>0</f>
        <v>0</v>
      </c>
      <c r="AC440" s="190">
        <f t="shared" si="20"/>
        <v>4</v>
      </c>
      <c r="AD440" s="194" t="s">
        <v>1440</v>
      </c>
      <c r="AE440" s="195" t="s">
        <v>239</v>
      </c>
      <c r="AF440" s="97" t="s">
        <v>1441</v>
      </c>
      <c r="AG440" s="196"/>
      <c r="AH440" s="195"/>
      <c r="AI440" s="98"/>
      <c r="AJ440" s="99">
        <v>4</v>
      </c>
      <c r="AK440" s="197">
        <f t="shared" si="21"/>
        <v>0</v>
      </c>
      <c r="AL440" s="98" t="s">
        <v>1538</v>
      </c>
      <c r="AM440" s="90"/>
      <c r="AN440" s="100"/>
      <c r="AO440" s="198"/>
    </row>
    <row r="441" spans="1:41" s="308" customFormat="1" ht="30.75" customHeight="1" x14ac:dyDescent="0.35">
      <c r="A441" s="252">
        <v>109</v>
      </c>
      <c r="B441" s="297">
        <v>44903</v>
      </c>
      <c r="C441" s="306" t="s">
        <v>374</v>
      </c>
      <c r="D441" s="299" t="s">
        <v>346</v>
      </c>
      <c r="E441" s="400" t="s">
        <v>340</v>
      </c>
      <c r="F441" s="185" t="s">
        <v>349</v>
      </c>
      <c r="G441" s="196" t="s">
        <v>346</v>
      </c>
      <c r="H441" s="328" t="s">
        <v>346</v>
      </c>
      <c r="I441" s="535" t="s">
        <v>227</v>
      </c>
      <c r="J441" s="244" t="s">
        <v>251</v>
      </c>
      <c r="K441" s="303" t="s">
        <v>252</v>
      </c>
      <c r="L441" s="302" t="s">
        <v>252</v>
      </c>
      <c r="M441" s="310"/>
      <c r="N441" s="235" t="s">
        <v>71</v>
      </c>
      <c r="O441" s="417">
        <v>0</v>
      </c>
      <c r="P441" s="90">
        <f>0</f>
        <v>0</v>
      </c>
      <c r="Q441" s="90">
        <f>0</f>
        <v>0</v>
      </c>
      <c r="R441" s="90">
        <f>0</f>
        <v>0</v>
      </c>
      <c r="S441" s="90">
        <v>2</v>
      </c>
      <c r="T441" s="90">
        <f>0</f>
        <v>0</v>
      </c>
      <c r="U441" s="90">
        <f>0</f>
        <v>0</v>
      </c>
      <c r="V441" s="90">
        <f>0</f>
        <v>0</v>
      </c>
      <c r="W441" s="90">
        <f>0</f>
        <v>0</v>
      </c>
      <c r="X441" s="90">
        <f>0</f>
        <v>0</v>
      </c>
      <c r="Y441" s="90">
        <f>0</f>
        <v>0</v>
      </c>
      <c r="Z441" s="418">
        <f>0</f>
        <v>0</v>
      </c>
      <c r="AA441" s="192">
        <f t="shared" si="19"/>
        <v>2</v>
      </c>
      <c r="AB441" s="193">
        <f>0</f>
        <v>0</v>
      </c>
      <c r="AC441" s="190">
        <f t="shared" si="20"/>
        <v>2</v>
      </c>
      <c r="AD441" s="194" t="s">
        <v>1440</v>
      </c>
      <c r="AE441" s="195" t="s">
        <v>239</v>
      </c>
      <c r="AF441" s="97" t="s">
        <v>1441</v>
      </c>
      <c r="AG441" s="196"/>
      <c r="AH441" s="195"/>
      <c r="AI441" s="98"/>
      <c r="AJ441" s="99">
        <v>2</v>
      </c>
      <c r="AK441" s="197">
        <f t="shared" si="21"/>
        <v>0</v>
      </c>
      <c r="AL441" s="98" t="s">
        <v>1538</v>
      </c>
      <c r="AM441" s="90"/>
      <c r="AN441" s="100"/>
      <c r="AO441" s="198"/>
    </row>
    <row r="442" spans="1:41" s="308" customFormat="1" ht="30.75" customHeight="1" x14ac:dyDescent="0.35">
      <c r="A442" s="244">
        <v>110</v>
      </c>
      <c r="B442" s="297">
        <v>44903</v>
      </c>
      <c r="C442" s="306" t="s">
        <v>374</v>
      </c>
      <c r="D442" s="299" t="s">
        <v>348</v>
      </c>
      <c r="E442" s="400" t="s">
        <v>324</v>
      </c>
      <c r="F442" s="185" t="s">
        <v>349</v>
      </c>
      <c r="G442" s="196" t="s">
        <v>348</v>
      </c>
      <c r="H442" s="328" t="s">
        <v>348</v>
      </c>
      <c r="I442" s="535" t="s">
        <v>227</v>
      </c>
      <c r="J442" s="244" t="s">
        <v>251</v>
      </c>
      <c r="K442" s="303" t="s">
        <v>252</v>
      </c>
      <c r="L442" s="302" t="s">
        <v>252</v>
      </c>
      <c r="M442" s="310"/>
      <c r="N442" s="235" t="s">
        <v>71</v>
      </c>
      <c r="O442" s="417">
        <v>0</v>
      </c>
      <c r="P442" s="90">
        <f>0</f>
        <v>0</v>
      </c>
      <c r="Q442" s="90">
        <f>0</f>
        <v>0</v>
      </c>
      <c r="R442" s="90">
        <f>0</f>
        <v>0</v>
      </c>
      <c r="S442" s="90">
        <v>2</v>
      </c>
      <c r="T442" s="90">
        <f>0</f>
        <v>0</v>
      </c>
      <c r="U442" s="90">
        <f>0</f>
        <v>0</v>
      </c>
      <c r="V442" s="90">
        <f>0</f>
        <v>0</v>
      </c>
      <c r="W442" s="90">
        <f>0</f>
        <v>0</v>
      </c>
      <c r="X442" s="90">
        <f>0</f>
        <v>0</v>
      </c>
      <c r="Y442" s="90">
        <f>0</f>
        <v>0</v>
      </c>
      <c r="Z442" s="418">
        <f>0</f>
        <v>0</v>
      </c>
      <c r="AA442" s="192">
        <f t="shared" si="19"/>
        <v>2</v>
      </c>
      <c r="AB442" s="193">
        <f>0</f>
        <v>0</v>
      </c>
      <c r="AC442" s="190">
        <f t="shared" si="20"/>
        <v>2</v>
      </c>
      <c r="AD442" s="194" t="s">
        <v>1440</v>
      </c>
      <c r="AE442" s="195" t="s">
        <v>239</v>
      </c>
      <c r="AF442" s="97" t="s">
        <v>1441</v>
      </c>
      <c r="AG442" s="196"/>
      <c r="AH442" s="195"/>
      <c r="AI442" s="98"/>
      <c r="AJ442" s="99">
        <v>2</v>
      </c>
      <c r="AK442" s="197">
        <f t="shared" si="21"/>
        <v>0</v>
      </c>
      <c r="AL442" s="98" t="s">
        <v>1538</v>
      </c>
      <c r="AM442" s="90"/>
      <c r="AN442" s="100"/>
      <c r="AO442" s="198"/>
    </row>
    <row r="443" spans="1:41" s="308" customFormat="1" ht="30.75" customHeight="1" x14ac:dyDescent="0.35">
      <c r="A443" s="252">
        <v>111</v>
      </c>
      <c r="B443" s="297">
        <v>44903</v>
      </c>
      <c r="C443" s="306" t="s">
        <v>374</v>
      </c>
      <c r="D443" s="299" t="s">
        <v>350</v>
      </c>
      <c r="E443" s="400" t="s">
        <v>330</v>
      </c>
      <c r="F443" s="185" t="s">
        <v>351</v>
      </c>
      <c r="G443" s="196" t="s">
        <v>350</v>
      </c>
      <c r="H443" s="328" t="s">
        <v>350</v>
      </c>
      <c r="I443" s="535" t="s">
        <v>227</v>
      </c>
      <c r="J443" s="244" t="s">
        <v>251</v>
      </c>
      <c r="K443" s="303" t="s">
        <v>252</v>
      </c>
      <c r="L443" s="302" t="s">
        <v>252</v>
      </c>
      <c r="M443" s="310"/>
      <c r="N443" s="235" t="s">
        <v>71</v>
      </c>
      <c r="O443" s="417">
        <v>0</v>
      </c>
      <c r="P443" s="90">
        <f>0</f>
        <v>0</v>
      </c>
      <c r="Q443" s="90">
        <f>0</f>
        <v>0</v>
      </c>
      <c r="R443" s="90">
        <f>0</f>
        <v>0</v>
      </c>
      <c r="S443" s="90">
        <v>4</v>
      </c>
      <c r="T443" s="90">
        <f>0</f>
        <v>0</v>
      </c>
      <c r="U443" s="90">
        <f>0</f>
        <v>0</v>
      </c>
      <c r="V443" s="90">
        <f>0</f>
        <v>0</v>
      </c>
      <c r="W443" s="90">
        <f>0</f>
        <v>0</v>
      </c>
      <c r="X443" s="90">
        <f>0</f>
        <v>0</v>
      </c>
      <c r="Y443" s="90">
        <f>0</f>
        <v>0</v>
      </c>
      <c r="Z443" s="418">
        <f>0</f>
        <v>0</v>
      </c>
      <c r="AA443" s="192">
        <f t="shared" si="19"/>
        <v>4</v>
      </c>
      <c r="AB443" s="193">
        <f>0</f>
        <v>0</v>
      </c>
      <c r="AC443" s="190">
        <f t="shared" si="20"/>
        <v>4</v>
      </c>
      <c r="AD443" s="194" t="s">
        <v>1440</v>
      </c>
      <c r="AE443" s="195" t="s">
        <v>239</v>
      </c>
      <c r="AF443" s="97" t="s">
        <v>1441</v>
      </c>
      <c r="AG443" s="196"/>
      <c r="AH443" s="195"/>
      <c r="AI443" s="98"/>
      <c r="AJ443" s="99">
        <v>4</v>
      </c>
      <c r="AK443" s="197">
        <f t="shared" si="21"/>
        <v>0</v>
      </c>
      <c r="AL443" s="98" t="s">
        <v>1538</v>
      </c>
      <c r="AM443" s="90"/>
      <c r="AN443" s="100"/>
      <c r="AO443" s="198"/>
    </row>
    <row r="444" spans="1:41" s="308" customFormat="1" ht="30.75" customHeight="1" x14ac:dyDescent="0.35">
      <c r="A444" s="244">
        <v>112</v>
      </c>
      <c r="B444" s="297">
        <v>44903</v>
      </c>
      <c r="C444" s="306" t="s">
        <v>374</v>
      </c>
      <c r="D444" s="299" t="s">
        <v>352</v>
      </c>
      <c r="E444" s="400" t="s">
        <v>324</v>
      </c>
      <c r="F444" s="185" t="s">
        <v>351</v>
      </c>
      <c r="G444" s="196" t="s">
        <v>352</v>
      </c>
      <c r="H444" s="328" t="s">
        <v>352</v>
      </c>
      <c r="I444" s="535" t="s">
        <v>227</v>
      </c>
      <c r="J444" s="244" t="s">
        <v>251</v>
      </c>
      <c r="K444" s="303" t="s">
        <v>252</v>
      </c>
      <c r="L444" s="302" t="s">
        <v>252</v>
      </c>
      <c r="M444" s="310"/>
      <c r="N444" s="235" t="s">
        <v>71</v>
      </c>
      <c r="O444" s="417">
        <v>0</v>
      </c>
      <c r="P444" s="90">
        <f>0</f>
        <v>0</v>
      </c>
      <c r="Q444" s="90">
        <f>0</f>
        <v>0</v>
      </c>
      <c r="R444" s="90">
        <f>0</f>
        <v>0</v>
      </c>
      <c r="S444" s="90">
        <v>2</v>
      </c>
      <c r="T444" s="90">
        <f>0</f>
        <v>0</v>
      </c>
      <c r="U444" s="90">
        <f>0</f>
        <v>0</v>
      </c>
      <c r="V444" s="90">
        <f>0</f>
        <v>0</v>
      </c>
      <c r="W444" s="90">
        <f>0</f>
        <v>0</v>
      </c>
      <c r="X444" s="90">
        <f>0</f>
        <v>0</v>
      </c>
      <c r="Y444" s="90">
        <f>0</f>
        <v>0</v>
      </c>
      <c r="Z444" s="418">
        <f>0</f>
        <v>0</v>
      </c>
      <c r="AA444" s="192">
        <f t="shared" si="19"/>
        <v>2</v>
      </c>
      <c r="AB444" s="193">
        <f>0</f>
        <v>0</v>
      </c>
      <c r="AC444" s="190">
        <f t="shared" si="20"/>
        <v>2</v>
      </c>
      <c r="AD444" s="194" t="s">
        <v>1440</v>
      </c>
      <c r="AE444" s="195" t="s">
        <v>239</v>
      </c>
      <c r="AF444" s="97" t="s">
        <v>1441</v>
      </c>
      <c r="AG444" s="196"/>
      <c r="AH444" s="195"/>
      <c r="AI444" s="98"/>
      <c r="AJ444" s="99">
        <v>2</v>
      </c>
      <c r="AK444" s="197">
        <f t="shared" si="21"/>
        <v>0</v>
      </c>
      <c r="AL444" s="98" t="s">
        <v>1538</v>
      </c>
      <c r="AM444" s="90"/>
      <c r="AN444" s="100"/>
      <c r="AO444" s="198"/>
    </row>
    <row r="445" spans="1:41" s="308" customFormat="1" ht="18" x14ac:dyDescent="0.35">
      <c r="A445" s="252">
        <v>113</v>
      </c>
      <c r="B445" s="297">
        <v>44903</v>
      </c>
      <c r="C445" s="306" t="s">
        <v>374</v>
      </c>
      <c r="D445" s="299" t="s">
        <v>353</v>
      </c>
      <c r="E445" s="400" t="s">
        <v>330</v>
      </c>
      <c r="F445" s="185" t="s">
        <v>351</v>
      </c>
      <c r="G445" s="196" t="s">
        <v>353</v>
      </c>
      <c r="H445" s="328" t="s">
        <v>353</v>
      </c>
      <c r="I445" s="535" t="s">
        <v>227</v>
      </c>
      <c r="J445" s="244" t="s">
        <v>251</v>
      </c>
      <c r="K445" s="303" t="s">
        <v>252</v>
      </c>
      <c r="L445" s="302" t="s">
        <v>252</v>
      </c>
      <c r="M445" s="310"/>
      <c r="N445" s="235" t="s">
        <v>71</v>
      </c>
      <c r="O445" s="417">
        <v>0</v>
      </c>
      <c r="P445" s="90">
        <f>0</f>
        <v>0</v>
      </c>
      <c r="Q445" s="90">
        <f>0</f>
        <v>0</v>
      </c>
      <c r="R445" s="90">
        <f>0</f>
        <v>0</v>
      </c>
      <c r="S445" s="90">
        <v>2</v>
      </c>
      <c r="T445" s="90">
        <f>0</f>
        <v>0</v>
      </c>
      <c r="U445" s="90">
        <f>0</f>
        <v>0</v>
      </c>
      <c r="V445" s="90">
        <f>0</f>
        <v>0</v>
      </c>
      <c r="W445" s="90">
        <f>0</f>
        <v>0</v>
      </c>
      <c r="X445" s="90">
        <f>0</f>
        <v>0</v>
      </c>
      <c r="Y445" s="90">
        <f>0</f>
        <v>0</v>
      </c>
      <c r="Z445" s="418">
        <f>0</f>
        <v>0</v>
      </c>
      <c r="AA445" s="192">
        <f t="shared" si="19"/>
        <v>2</v>
      </c>
      <c r="AB445" s="193">
        <f>0</f>
        <v>0</v>
      </c>
      <c r="AC445" s="190">
        <f t="shared" si="20"/>
        <v>2</v>
      </c>
      <c r="AD445" s="194" t="s">
        <v>1440</v>
      </c>
      <c r="AE445" s="195" t="s">
        <v>239</v>
      </c>
      <c r="AF445" s="97" t="s">
        <v>1441</v>
      </c>
      <c r="AG445" s="196"/>
      <c r="AH445" s="195"/>
      <c r="AI445" s="101"/>
      <c r="AJ445" s="99">
        <v>2</v>
      </c>
      <c r="AK445" s="197">
        <f t="shared" si="21"/>
        <v>0</v>
      </c>
      <c r="AL445" s="98" t="s">
        <v>1538</v>
      </c>
      <c r="AM445" s="90"/>
      <c r="AN445" s="100"/>
      <c r="AO445" s="198"/>
    </row>
    <row r="446" spans="1:41" s="308" customFormat="1" ht="18" x14ac:dyDescent="0.35">
      <c r="A446" s="244">
        <v>131</v>
      </c>
      <c r="B446" s="297">
        <v>44903</v>
      </c>
      <c r="C446" s="306" t="s">
        <v>374</v>
      </c>
      <c r="D446" s="299" t="s">
        <v>387</v>
      </c>
      <c r="E446" s="236" t="s">
        <v>324</v>
      </c>
      <c r="F446" s="185" t="s">
        <v>347</v>
      </c>
      <c r="G446" s="196" t="s">
        <v>387</v>
      </c>
      <c r="H446" s="328" t="s">
        <v>387</v>
      </c>
      <c r="I446" s="535" t="s">
        <v>227</v>
      </c>
      <c r="J446" s="244" t="s">
        <v>251</v>
      </c>
      <c r="K446" s="303"/>
      <c r="L446" s="302"/>
      <c r="M446" s="310"/>
      <c r="N446" s="235" t="s">
        <v>71</v>
      </c>
      <c r="O446" s="343">
        <v>0</v>
      </c>
      <c r="P446" s="169">
        <f>0</f>
        <v>0</v>
      </c>
      <c r="Q446" s="169">
        <f>0</f>
        <v>0</v>
      </c>
      <c r="R446" s="169">
        <f>0</f>
        <v>0</v>
      </c>
      <c r="S446" s="169">
        <v>1</v>
      </c>
      <c r="T446" s="169">
        <f>0</f>
        <v>0</v>
      </c>
      <c r="U446" s="169">
        <f>0</f>
        <v>0</v>
      </c>
      <c r="V446" s="169">
        <f>0</f>
        <v>0</v>
      </c>
      <c r="W446" s="169">
        <f>0</f>
        <v>0</v>
      </c>
      <c r="X446" s="169">
        <f>0</f>
        <v>0</v>
      </c>
      <c r="Y446" s="169">
        <f>0</f>
        <v>0</v>
      </c>
      <c r="Z446" s="219">
        <f>0</f>
        <v>0</v>
      </c>
      <c r="AA446" s="160">
        <f t="shared" si="19"/>
        <v>1</v>
      </c>
      <c r="AB446" s="141">
        <v>1</v>
      </c>
      <c r="AC446" s="172">
        <f t="shared" si="20"/>
        <v>0</v>
      </c>
      <c r="AD446" s="194"/>
      <c r="AE446" s="195"/>
      <c r="AF446" s="97" t="s">
        <v>590</v>
      </c>
      <c r="AG446" s="196"/>
      <c r="AH446" s="195"/>
      <c r="AI446" s="101"/>
      <c r="AJ446" s="99">
        <v>1</v>
      </c>
      <c r="AK446" s="197">
        <f t="shared" si="21"/>
        <v>-1</v>
      </c>
      <c r="AL446" s="98" t="s">
        <v>582</v>
      </c>
      <c r="AM446" s="90"/>
      <c r="AN446" s="100"/>
      <c r="AO446" s="198"/>
    </row>
    <row r="447" spans="1:41" s="308" customFormat="1" ht="30.75" customHeight="1" x14ac:dyDescent="0.35">
      <c r="A447" s="252">
        <v>132</v>
      </c>
      <c r="B447" s="297">
        <v>44903</v>
      </c>
      <c r="C447" s="306" t="s">
        <v>374</v>
      </c>
      <c r="D447" s="299" t="s">
        <v>388</v>
      </c>
      <c r="E447" s="236">
        <v>0</v>
      </c>
      <c r="F447" s="185" t="s">
        <v>351</v>
      </c>
      <c r="G447" s="196" t="s">
        <v>388</v>
      </c>
      <c r="H447" s="328" t="s">
        <v>388</v>
      </c>
      <c r="I447" s="535" t="s">
        <v>227</v>
      </c>
      <c r="J447" s="244" t="s">
        <v>251</v>
      </c>
      <c r="K447" s="303"/>
      <c r="L447" s="302"/>
      <c r="M447" s="310"/>
      <c r="N447" s="235" t="s">
        <v>71</v>
      </c>
      <c r="O447" s="343">
        <v>0</v>
      </c>
      <c r="P447" s="169">
        <f>0</f>
        <v>0</v>
      </c>
      <c r="Q447" s="169">
        <f>0</f>
        <v>0</v>
      </c>
      <c r="R447" s="169">
        <f>0</f>
        <v>0</v>
      </c>
      <c r="S447" s="169">
        <v>1</v>
      </c>
      <c r="T447" s="169">
        <f>0</f>
        <v>0</v>
      </c>
      <c r="U447" s="169">
        <f>0</f>
        <v>0</v>
      </c>
      <c r="V447" s="169">
        <f>0</f>
        <v>0</v>
      </c>
      <c r="W447" s="169">
        <f>0</f>
        <v>0</v>
      </c>
      <c r="X447" s="169">
        <f>0</f>
        <v>0</v>
      </c>
      <c r="Y447" s="169">
        <f>0</f>
        <v>0</v>
      </c>
      <c r="Z447" s="219">
        <f>0</f>
        <v>0</v>
      </c>
      <c r="AA447" s="160">
        <f t="shared" si="19"/>
        <v>1</v>
      </c>
      <c r="AB447" s="141">
        <v>3</v>
      </c>
      <c r="AC447" s="172">
        <f t="shared" si="20"/>
        <v>-2</v>
      </c>
      <c r="AD447" s="194"/>
      <c r="AE447" s="195"/>
      <c r="AF447" s="97" t="s">
        <v>590</v>
      </c>
      <c r="AG447" s="196"/>
      <c r="AH447" s="195"/>
      <c r="AI447" s="101"/>
      <c r="AJ447" s="99">
        <v>3</v>
      </c>
      <c r="AK447" s="197">
        <f t="shared" si="21"/>
        <v>-5</v>
      </c>
      <c r="AL447" s="98" t="s">
        <v>582</v>
      </c>
      <c r="AM447" s="90"/>
      <c r="AN447" s="100"/>
      <c r="AO447" s="198"/>
    </row>
    <row r="448" spans="1:41" s="308" customFormat="1" ht="30.75" customHeight="1" x14ac:dyDescent="0.35">
      <c r="A448" s="244">
        <v>133</v>
      </c>
      <c r="B448" s="297">
        <v>44903</v>
      </c>
      <c r="C448" s="306" t="s">
        <v>374</v>
      </c>
      <c r="D448" s="299" t="s">
        <v>389</v>
      </c>
      <c r="E448" s="236" t="s">
        <v>330</v>
      </c>
      <c r="F448" s="185" t="s">
        <v>341</v>
      </c>
      <c r="G448" s="196" t="s">
        <v>389</v>
      </c>
      <c r="H448" s="328" t="s">
        <v>389</v>
      </c>
      <c r="I448" s="535" t="s">
        <v>227</v>
      </c>
      <c r="J448" s="244" t="s">
        <v>251</v>
      </c>
      <c r="K448" s="303"/>
      <c r="L448" s="302"/>
      <c r="M448" s="310"/>
      <c r="N448" s="235" t="s">
        <v>71</v>
      </c>
      <c r="O448" s="343">
        <v>0</v>
      </c>
      <c r="P448" s="169">
        <f>0</f>
        <v>0</v>
      </c>
      <c r="Q448" s="169">
        <f>0</f>
        <v>0</v>
      </c>
      <c r="R448" s="169">
        <f>0</f>
        <v>0</v>
      </c>
      <c r="S448" s="169">
        <v>2</v>
      </c>
      <c r="T448" s="169">
        <f>0</f>
        <v>0</v>
      </c>
      <c r="U448" s="169">
        <f>0</f>
        <v>0</v>
      </c>
      <c r="V448" s="169">
        <f>0</f>
        <v>0</v>
      </c>
      <c r="W448" s="169">
        <f>0</f>
        <v>0</v>
      </c>
      <c r="X448" s="169">
        <f>0</f>
        <v>0</v>
      </c>
      <c r="Y448" s="169">
        <f>0</f>
        <v>0</v>
      </c>
      <c r="Z448" s="219">
        <f>0</f>
        <v>0</v>
      </c>
      <c r="AA448" s="160">
        <f t="shared" si="19"/>
        <v>2</v>
      </c>
      <c r="AB448" s="141">
        <v>2</v>
      </c>
      <c r="AC448" s="172">
        <f t="shared" si="20"/>
        <v>0</v>
      </c>
      <c r="AD448" s="194"/>
      <c r="AE448" s="195"/>
      <c r="AF448" s="97" t="s">
        <v>590</v>
      </c>
      <c r="AG448" s="196"/>
      <c r="AH448" s="195"/>
      <c r="AI448" s="101"/>
      <c r="AJ448" s="99">
        <v>2</v>
      </c>
      <c r="AK448" s="197">
        <f t="shared" si="21"/>
        <v>-2</v>
      </c>
      <c r="AL448" s="98" t="s">
        <v>582</v>
      </c>
      <c r="AM448" s="90"/>
      <c r="AN448" s="100"/>
      <c r="AO448" s="198"/>
    </row>
    <row r="449" spans="1:41" s="308" customFormat="1" ht="30.75" customHeight="1" x14ac:dyDescent="0.35">
      <c r="A449" s="252">
        <v>140</v>
      </c>
      <c r="B449" s="297">
        <v>44903</v>
      </c>
      <c r="C449" s="306" t="s">
        <v>374</v>
      </c>
      <c r="D449" s="299" t="s">
        <v>389</v>
      </c>
      <c r="E449" s="236" t="s">
        <v>330</v>
      </c>
      <c r="F449" s="185" t="s">
        <v>341</v>
      </c>
      <c r="G449" s="196" t="s">
        <v>389</v>
      </c>
      <c r="H449" s="328" t="s">
        <v>389</v>
      </c>
      <c r="I449" s="535" t="s">
        <v>227</v>
      </c>
      <c r="J449" s="244" t="s">
        <v>251</v>
      </c>
      <c r="K449" s="303"/>
      <c r="L449" s="302"/>
      <c r="M449" s="310"/>
      <c r="N449" s="235" t="s">
        <v>71</v>
      </c>
      <c r="O449" s="343">
        <v>0</v>
      </c>
      <c r="P449" s="169">
        <f>0</f>
        <v>0</v>
      </c>
      <c r="Q449" s="169">
        <f>0</f>
        <v>0</v>
      </c>
      <c r="R449" s="169">
        <f>0</f>
        <v>0</v>
      </c>
      <c r="S449" s="169">
        <v>2</v>
      </c>
      <c r="T449" s="169">
        <f>0</f>
        <v>0</v>
      </c>
      <c r="U449" s="169">
        <f>0</f>
        <v>0</v>
      </c>
      <c r="V449" s="169">
        <f>0</f>
        <v>0</v>
      </c>
      <c r="W449" s="169">
        <f>0</f>
        <v>0</v>
      </c>
      <c r="X449" s="169">
        <f>0</f>
        <v>0</v>
      </c>
      <c r="Y449" s="169">
        <f>0</f>
        <v>0</v>
      </c>
      <c r="Z449" s="219">
        <f>0</f>
        <v>0</v>
      </c>
      <c r="AA449" s="160">
        <f t="shared" si="19"/>
        <v>2</v>
      </c>
      <c r="AB449" s="141">
        <v>2</v>
      </c>
      <c r="AC449" s="172">
        <f t="shared" si="20"/>
        <v>0</v>
      </c>
      <c r="AD449" s="194"/>
      <c r="AE449" s="195"/>
      <c r="AF449" s="97" t="s">
        <v>590</v>
      </c>
      <c r="AG449" s="196"/>
      <c r="AH449" s="195"/>
      <c r="AI449" s="98"/>
      <c r="AJ449" s="99">
        <v>2</v>
      </c>
      <c r="AK449" s="197">
        <f t="shared" si="21"/>
        <v>-2</v>
      </c>
      <c r="AL449" s="98" t="s">
        <v>582</v>
      </c>
      <c r="AM449" s="90"/>
      <c r="AN449" s="100"/>
      <c r="AO449" s="198"/>
    </row>
    <row r="450" spans="1:41" s="308" customFormat="1" ht="30.75" customHeight="1" x14ac:dyDescent="0.35">
      <c r="A450" s="244">
        <v>141</v>
      </c>
      <c r="B450" s="297">
        <v>44903</v>
      </c>
      <c r="C450" s="306" t="s">
        <v>374</v>
      </c>
      <c r="D450" s="299" t="s">
        <v>387</v>
      </c>
      <c r="E450" s="236" t="s">
        <v>324</v>
      </c>
      <c r="F450" s="185" t="s">
        <v>347</v>
      </c>
      <c r="G450" s="196" t="s">
        <v>387</v>
      </c>
      <c r="H450" s="328" t="s">
        <v>387</v>
      </c>
      <c r="I450" s="535" t="s">
        <v>227</v>
      </c>
      <c r="J450" s="244" t="s">
        <v>251</v>
      </c>
      <c r="K450" s="303"/>
      <c r="L450" s="302"/>
      <c r="M450" s="310"/>
      <c r="N450" s="235" t="s">
        <v>71</v>
      </c>
      <c r="O450" s="343">
        <v>0</v>
      </c>
      <c r="P450" s="169">
        <f>0</f>
        <v>0</v>
      </c>
      <c r="Q450" s="169">
        <f>0</f>
        <v>0</v>
      </c>
      <c r="R450" s="169">
        <f>0</f>
        <v>0</v>
      </c>
      <c r="S450" s="169">
        <v>2</v>
      </c>
      <c r="T450" s="169">
        <f>0</f>
        <v>0</v>
      </c>
      <c r="U450" s="169">
        <f>0</f>
        <v>0</v>
      </c>
      <c r="V450" s="169">
        <f>0</f>
        <v>0</v>
      </c>
      <c r="W450" s="169">
        <f>0</f>
        <v>0</v>
      </c>
      <c r="X450" s="169">
        <f>0</f>
        <v>0</v>
      </c>
      <c r="Y450" s="169">
        <f>0</f>
        <v>0</v>
      </c>
      <c r="Z450" s="219">
        <f>0</f>
        <v>0</v>
      </c>
      <c r="AA450" s="160">
        <f t="shared" si="19"/>
        <v>2</v>
      </c>
      <c r="AB450" s="141">
        <v>2</v>
      </c>
      <c r="AC450" s="172">
        <f t="shared" si="20"/>
        <v>0</v>
      </c>
      <c r="AD450" s="194"/>
      <c r="AE450" s="195"/>
      <c r="AF450" s="97" t="s">
        <v>590</v>
      </c>
      <c r="AG450" s="196"/>
      <c r="AH450" s="195"/>
      <c r="AI450" s="98"/>
      <c r="AJ450" s="99">
        <v>2</v>
      </c>
      <c r="AK450" s="197">
        <f t="shared" si="21"/>
        <v>-2</v>
      </c>
      <c r="AL450" s="98" t="s">
        <v>582</v>
      </c>
      <c r="AM450" s="90"/>
      <c r="AN450" s="100"/>
      <c r="AO450" s="198"/>
    </row>
    <row r="451" spans="1:41" s="308" customFormat="1" ht="30.75" customHeight="1" x14ac:dyDescent="0.35">
      <c r="A451" s="252">
        <v>142</v>
      </c>
      <c r="B451" s="297">
        <v>44903</v>
      </c>
      <c r="C451" s="306" t="s">
        <v>374</v>
      </c>
      <c r="D451" s="299" t="s">
        <v>388</v>
      </c>
      <c r="E451" s="236">
        <v>0</v>
      </c>
      <c r="F451" s="185" t="s">
        <v>351</v>
      </c>
      <c r="G451" s="196" t="s">
        <v>388</v>
      </c>
      <c r="H451" s="328" t="s">
        <v>388</v>
      </c>
      <c r="I451" s="535" t="s">
        <v>227</v>
      </c>
      <c r="J451" s="244" t="s">
        <v>251</v>
      </c>
      <c r="K451" s="303"/>
      <c r="L451" s="302"/>
      <c r="M451" s="310"/>
      <c r="N451" s="235" t="s">
        <v>71</v>
      </c>
      <c r="O451" s="343">
        <v>0</v>
      </c>
      <c r="P451" s="169">
        <f>0</f>
        <v>0</v>
      </c>
      <c r="Q451" s="169">
        <f>0</f>
        <v>0</v>
      </c>
      <c r="R451" s="169">
        <f>0</f>
        <v>0</v>
      </c>
      <c r="S451" s="169">
        <v>2</v>
      </c>
      <c r="T451" s="169">
        <f>0</f>
        <v>0</v>
      </c>
      <c r="U451" s="169">
        <f>0</f>
        <v>0</v>
      </c>
      <c r="V451" s="169">
        <f>0</f>
        <v>0</v>
      </c>
      <c r="W451" s="169">
        <f>0</f>
        <v>0</v>
      </c>
      <c r="X451" s="169">
        <f>0</f>
        <v>0</v>
      </c>
      <c r="Y451" s="169">
        <f>0</f>
        <v>0</v>
      </c>
      <c r="Z451" s="219">
        <f>0</f>
        <v>0</v>
      </c>
      <c r="AA451" s="160">
        <f t="shared" si="19"/>
        <v>2</v>
      </c>
      <c r="AB451" s="141">
        <v>3</v>
      </c>
      <c r="AC451" s="172">
        <f t="shared" si="20"/>
        <v>-1</v>
      </c>
      <c r="AD451" s="194"/>
      <c r="AE451" s="195"/>
      <c r="AF451" s="148" t="s">
        <v>590</v>
      </c>
      <c r="AG451" s="196"/>
      <c r="AH451" s="195"/>
      <c r="AI451" s="98"/>
      <c r="AJ451" s="99">
        <v>3</v>
      </c>
      <c r="AK451" s="197">
        <f t="shared" si="21"/>
        <v>-4</v>
      </c>
      <c r="AL451" s="98" t="s">
        <v>582</v>
      </c>
      <c r="AM451" s="90"/>
      <c r="AN451" s="100"/>
      <c r="AO451" s="198"/>
    </row>
    <row r="452" spans="1:41" s="308" customFormat="1" ht="30.75" customHeight="1" x14ac:dyDescent="0.35">
      <c r="A452" s="244">
        <v>150</v>
      </c>
      <c r="B452" s="297">
        <v>44909</v>
      </c>
      <c r="C452" s="306" t="s">
        <v>374</v>
      </c>
      <c r="D452" s="299" t="s">
        <v>514</v>
      </c>
      <c r="E452" s="317">
        <v>0</v>
      </c>
      <c r="F452" s="337" t="s">
        <v>1381</v>
      </c>
      <c r="G452" s="231" t="s">
        <v>514</v>
      </c>
      <c r="H452" s="230" t="s">
        <v>514</v>
      </c>
      <c r="I452" s="534" t="s">
        <v>227</v>
      </c>
      <c r="J452" s="244" t="s">
        <v>251</v>
      </c>
      <c r="K452" s="303"/>
      <c r="L452" s="302"/>
      <c r="M452" s="310" t="s">
        <v>515</v>
      </c>
      <c r="N452" s="235" t="s">
        <v>71</v>
      </c>
      <c r="O452" s="343">
        <v>0</v>
      </c>
      <c r="P452" s="169">
        <f>0</f>
        <v>0</v>
      </c>
      <c r="Q452" s="169">
        <f>0</f>
        <v>0</v>
      </c>
      <c r="R452" s="169">
        <f>0</f>
        <v>0</v>
      </c>
      <c r="S452" s="169">
        <v>2</v>
      </c>
      <c r="T452" s="169">
        <f>0</f>
        <v>0</v>
      </c>
      <c r="U452" s="169">
        <f>0</f>
        <v>0</v>
      </c>
      <c r="V452" s="169">
        <f>0</f>
        <v>0</v>
      </c>
      <c r="W452" s="169">
        <f>0</f>
        <v>0</v>
      </c>
      <c r="X452" s="169">
        <f>0</f>
        <v>0</v>
      </c>
      <c r="Y452" s="169">
        <f>0</f>
        <v>0</v>
      </c>
      <c r="Z452" s="219">
        <f>0</f>
        <v>0</v>
      </c>
      <c r="AA452" s="160">
        <f t="shared" ref="AA452:AA515" si="22">SUM(O452:Z452)</f>
        <v>2</v>
      </c>
      <c r="AB452" s="141">
        <v>2</v>
      </c>
      <c r="AC452" s="172">
        <f t="shared" si="20"/>
        <v>0</v>
      </c>
      <c r="AD452" s="194"/>
      <c r="AE452" s="195"/>
      <c r="AF452" s="310" t="s">
        <v>515</v>
      </c>
      <c r="AG452" s="196"/>
      <c r="AH452" s="195"/>
      <c r="AI452" s="98"/>
      <c r="AJ452" s="99" t="s">
        <v>297</v>
      </c>
      <c r="AK452" s="197" t="e">
        <f t="shared" si="21"/>
        <v>#VALUE!</v>
      </c>
      <c r="AL452" s="98" t="s">
        <v>1510</v>
      </c>
      <c r="AM452" s="90"/>
      <c r="AN452" s="100"/>
      <c r="AO452" s="198"/>
    </row>
    <row r="453" spans="1:41" s="308" customFormat="1" ht="30.75" customHeight="1" x14ac:dyDescent="0.35">
      <c r="A453" s="252">
        <v>156</v>
      </c>
      <c r="B453" s="297">
        <v>44909</v>
      </c>
      <c r="C453" s="306" t="s">
        <v>374</v>
      </c>
      <c r="D453" s="299" t="s">
        <v>520</v>
      </c>
      <c r="E453" s="316">
        <v>0</v>
      </c>
      <c r="F453" s="337" t="s">
        <v>1389</v>
      </c>
      <c r="G453" s="231" t="s">
        <v>520</v>
      </c>
      <c r="H453" s="230" t="s">
        <v>520</v>
      </c>
      <c r="I453" s="534" t="s">
        <v>227</v>
      </c>
      <c r="J453" s="244" t="s">
        <v>251</v>
      </c>
      <c r="K453" s="303"/>
      <c r="L453" s="302"/>
      <c r="M453" s="310"/>
      <c r="N453" s="235" t="s">
        <v>71</v>
      </c>
      <c r="O453" s="417">
        <v>0</v>
      </c>
      <c r="P453" s="90">
        <f>0</f>
        <v>0</v>
      </c>
      <c r="Q453" s="90">
        <f>0</f>
        <v>0</v>
      </c>
      <c r="R453" s="90">
        <f>0</f>
        <v>0</v>
      </c>
      <c r="S453" s="90">
        <v>6</v>
      </c>
      <c r="T453" s="90">
        <f>0</f>
        <v>0</v>
      </c>
      <c r="U453" s="90">
        <f>0</f>
        <v>0</v>
      </c>
      <c r="V453" s="90">
        <f>0</f>
        <v>0</v>
      </c>
      <c r="W453" s="90">
        <f>0</f>
        <v>0</v>
      </c>
      <c r="X453" s="90">
        <f>0</f>
        <v>0</v>
      </c>
      <c r="Y453" s="90">
        <f>0</f>
        <v>0</v>
      </c>
      <c r="Z453" s="418">
        <f>0</f>
        <v>0</v>
      </c>
      <c r="AA453" s="192">
        <f t="shared" si="22"/>
        <v>6</v>
      </c>
      <c r="AB453" s="193">
        <f>0</f>
        <v>0</v>
      </c>
      <c r="AC453" s="190">
        <f t="shared" si="20"/>
        <v>6</v>
      </c>
      <c r="AD453" s="194" t="s">
        <v>1440</v>
      </c>
      <c r="AE453" s="195" t="s">
        <v>239</v>
      </c>
      <c r="AF453" s="97" t="s">
        <v>1441</v>
      </c>
      <c r="AG453" s="196"/>
      <c r="AH453" s="195"/>
      <c r="AI453" s="98"/>
      <c r="AJ453" s="99">
        <v>6</v>
      </c>
      <c r="AK453" s="197">
        <f t="shared" si="21"/>
        <v>0</v>
      </c>
      <c r="AL453" s="98" t="s">
        <v>1538</v>
      </c>
      <c r="AM453" s="90"/>
      <c r="AN453" s="100"/>
      <c r="AO453" s="198"/>
    </row>
    <row r="454" spans="1:41" s="308" customFormat="1" ht="30.75" customHeight="1" x14ac:dyDescent="0.35">
      <c r="A454" s="244">
        <v>157</v>
      </c>
      <c r="B454" s="297">
        <v>44909</v>
      </c>
      <c r="C454" s="306" t="s">
        <v>374</v>
      </c>
      <c r="D454" s="299" t="s">
        <v>345</v>
      </c>
      <c r="E454" s="316" t="s">
        <v>324</v>
      </c>
      <c r="F454" s="337" t="s">
        <v>521</v>
      </c>
      <c r="G454" s="231" t="s">
        <v>345</v>
      </c>
      <c r="H454" s="230" t="s">
        <v>345</v>
      </c>
      <c r="I454" s="534" t="s">
        <v>227</v>
      </c>
      <c r="J454" s="244" t="s">
        <v>251</v>
      </c>
      <c r="K454" s="303"/>
      <c r="L454" s="302"/>
      <c r="M454" s="310"/>
      <c r="N454" s="235" t="s">
        <v>71</v>
      </c>
      <c r="O454" s="343">
        <v>0</v>
      </c>
      <c r="P454" s="169">
        <f>0</f>
        <v>0</v>
      </c>
      <c r="Q454" s="169">
        <f>0</f>
        <v>0</v>
      </c>
      <c r="R454" s="169">
        <f>0</f>
        <v>0</v>
      </c>
      <c r="S454" s="169">
        <v>6</v>
      </c>
      <c r="T454" s="169">
        <f>0</f>
        <v>0</v>
      </c>
      <c r="U454" s="169">
        <f>0</f>
        <v>0</v>
      </c>
      <c r="V454" s="169">
        <f>0</f>
        <v>0</v>
      </c>
      <c r="W454" s="169">
        <f>0</f>
        <v>0</v>
      </c>
      <c r="X454" s="169">
        <f>0</f>
        <v>0</v>
      </c>
      <c r="Y454" s="169">
        <f>0</f>
        <v>0</v>
      </c>
      <c r="Z454" s="219">
        <f>0</f>
        <v>0</v>
      </c>
      <c r="AA454" s="160">
        <f t="shared" si="22"/>
        <v>6</v>
      </c>
      <c r="AB454" s="141">
        <v>6</v>
      </c>
      <c r="AC454" s="172">
        <f t="shared" si="20"/>
        <v>0</v>
      </c>
      <c r="AD454" s="194"/>
      <c r="AE454" s="195"/>
      <c r="AF454" s="148" t="s">
        <v>294</v>
      </c>
      <c r="AG454" s="196"/>
      <c r="AH454" s="195"/>
      <c r="AI454" s="98"/>
      <c r="AJ454" s="99" t="s">
        <v>502</v>
      </c>
      <c r="AK454" s="197" t="e">
        <f t="shared" si="21"/>
        <v>#VALUE!</v>
      </c>
      <c r="AL454" s="98" t="s">
        <v>536</v>
      </c>
      <c r="AM454" s="90"/>
      <c r="AN454" s="100"/>
      <c r="AO454" s="198"/>
    </row>
    <row r="455" spans="1:41" s="308" customFormat="1" ht="30.75" customHeight="1" x14ac:dyDescent="0.35">
      <c r="A455" s="252">
        <v>158</v>
      </c>
      <c r="B455" s="297">
        <v>44909</v>
      </c>
      <c r="C455" s="306" t="s">
        <v>374</v>
      </c>
      <c r="D455" s="299" t="s">
        <v>522</v>
      </c>
      <c r="E455" s="316" t="s">
        <v>324</v>
      </c>
      <c r="F455" s="337" t="s">
        <v>1390</v>
      </c>
      <c r="G455" s="231" t="s">
        <v>522</v>
      </c>
      <c r="H455" s="230" t="s">
        <v>522</v>
      </c>
      <c r="I455" s="534" t="s">
        <v>227</v>
      </c>
      <c r="J455" s="244" t="s">
        <v>251</v>
      </c>
      <c r="K455" s="303"/>
      <c r="L455" s="302"/>
      <c r="M455" s="310" t="s">
        <v>535</v>
      </c>
      <c r="N455" s="235" t="s">
        <v>71</v>
      </c>
      <c r="O455" s="343">
        <v>0</v>
      </c>
      <c r="P455" s="169">
        <f>0</f>
        <v>0</v>
      </c>
      <c r="Q455" s="169">
        <f>0</f>
        <v>0</v>
      </c>
      <c r="R455" s="169">
        <f>0</f>
        <v>0</v>
      </c>
      <c r="S455" s="169">
        <v>2</v>
      </c>
      <c r="T455" s="169">
        <f>0</f>
        <v>0</v>
      </c>
      <c r="U455" s="169">
        <f>0</f>
        <v>0</v>
      </c>
      <c r="V455" s="169">
        <f>0</f>
        <v>0</v>
      </c>
      <c r="W455" s="169">
        <f>0</f>
        <v>0</v>
      </c>
      <c r="X455" s="169">
        <f>0</f>
        <v>0</v>
      </c>
      <c r="Y455" s="169">
        <f>0</f>
        <v>0</v>
      </c>
      <c r="Z455" s="219">
        <f>0</f>
        <v>0</v>
      </c>
      <c r="AA455" s="160">
        <f t="shared" si="22"/>
        <v>2</v>
      </c>
      <c r="AB455" s="141">
        <v>2</v>
      </c>
      <c r="AC455" s="172">
        <f t="shared" ref="AC455:AC518" si="23">AA455-AB455</f>
        <v>0</v>
      </c>
      <c r="AD455" s="194"/>
      <c r="AE455" s="195"/>
      <c r="AF455" s="148"/>
      <c r="AG455" s="196"/>
      <c r="AH455" s="195"/>
      <c r="AI455" s="98"/>
      <c r="AJ455" s="99"/>
      <c r="AK455" s="197">
        <f t="shared" si="21"/>
        <v>0</v>
      </c>
      <c r="AL455" s="98"/>
      <c r="AM455" s="90"/>
      <c r="AN455" s="100"/>
      <c r="AO455" s="198"/>
    </row>
    <row r="456" spans="1:41" s="308" customFormat="1" ht="30.75" customHeight="1" x14ac:dyDescent="0.35">
      <c r="A456" s="244">
        <v>159</v>
      </c>
      <c r="B456" s="297">
        <v>44909</v>
      </c>
      <c r="C456" s="306" t="s">
        <v>374</v>
      </c>
      <c r="D456" s="299" t="s">
        <v>523</v>
      </c>
      <c r="E456" s="317">
        <v>0</v>
      </c>
      <c r="F456" s="337" t="s">
        <v>530</v>
      </c>
      <c r="G456" s="231" t="s">
        <v>523</v>
      </c>
      <c r="H456" s="230" t="s">
        <v>523</v>
      </c>
      <c r="I456" s="534" t="s">
        <v>227</v>
      </c>
      <c r="J456" s="244" t="s">
        <v>251</v>
      </c>
      <c r="K456" s="303"/>
      <c r="L456" s="302"/>
      <c r="M456" s="310" t="s">
        <v>534</v>
      </c>
      <c r="N456" s="235" t="s">
        <v>71</v>
      </c>
      <c r="O456" s="343">
        <v>0</v>
      </c>
      <c r="P456" s="169">
        <f>0</f>
        <v>0</v>
      </c>
      <c r="Q456" s="169">
        <f>0</f>
        <v>0</v>
      </c>
      <c r="R456" s="169">
        <f>0</f>
        <v>0</v>
      </c>
      <c r="S456" s="169">
        <v>2</v>
      </c>
      <c r="T456" s="169">
        <f>0</f>
        <v>0</v>
      </c>
      <c r="U456" s="169">
        <f>0</f>
        <v>0</v>
      </c>
      <c r="V456" s="169">
        <f>0</f>
        <v>0</v>
      </c>
      <c r="W456" s="169">
        <f>0</f>
        <v>0</v>
      </c>
      <c r="X456" s="169">
        <f>0</f>
        <v>0</v>
      </c>
      <c r="Y456" s="169">
        <f>0</f>
        <v>0</v>
      </c>
      <c r="Z456" s="219">
        <f>0</f>
        <v>0</v>
      </c>
      <c r="AA456" s="160">
        <f t="shared" si="22"/>
        <v>2</v>
      </c>
      <c r="AB456" s="141">
        <v>2</v>
      </c>
      <c r="AC456" s="172">
        <f t="shared" si="23"/>
        <v>0</v>
      </c>
      <c r="AD456" s="194"/>
      <c r="AE456" s="195"/>
      <c r="AF456" s="97" t="s">
        <v>590</v>
      </c>
      <c r="AG456" s="196"/>
      <c r="AH456" s="195"/>
      <c r="AI456" s="98"/>
      <c r="AJ456" s="99">
        <v>0</v>
      </c>
      <c r="AK456" s="197">
        <f t="shared" si="21"/>
        <v>0</v>
      </c>
      <c r="AL456" s="98" t="s">
        <v>582</v>
      </c>
      <c r="AM456" s="90"/>
      <c r="AN456" s="100"/>
      <c r="AO456" s="198"/>
    </row>
    <row r="457" spans="1:41" s="308" customFormat="1" ht="30.75" customHeight="1" x14ac:dyDescent="0.35">
      <c r="A457" s="252">
        <v>165</v>
      </c>
      <c r="B457" s="253">
        <v>44914</v>
      </c>
      <c r="C457" s="306" t="s">
        <v>254</v>
      </c>
      <c r="D457" s="299" t="s">
        <v>565</v>
      </c>
      <c r="E457" s="236" t="s">
        <v>324</v>
      </c>
      <c r="F457" s="185" t="s">
        <v>566</v>
      </c>
      <c r="G457" s="196"/>
      <c r="H457" s="328" t="s">
        <v>567</v>
      </c>
      <c r="I457" s="535" t="s">
        <v>227</v>
      </c>
      <c r="J457" s="97" t="s">
        <v>251</v>
      </c>
      <c r="K457" s="97" t="s">
        <v>252</v>
      </c>
      <c r="L457" s="97" t="s">
        <v>252</v>
      </c>
      <c r="M457" s="97" t="s">
        <v>252</v>
      </c>
      <c r="N457" s="235" t="s">
        <v>580</v>
      </c>
      <c r="O457" s="343">
        <v>0</v>
      </c>
      <c r="P457" s="169">
        <f>0</f>
        <v>0</v>
      </c>
      <c r="Q457" s="169">
        <v>2</v>
      </c>
      <c r="R457" s="169">
        <f>0</f>
        <v>0</v>
      </c>
      <c r="S457" s="169">
        <f>0</f>
        <v>0</v>
      </c>
      <c r="T457" s="169">
        <f>0</f>
        <v>0</v>
      </c>
      <c r="U457" s="169">
        <f>0</f>
        <v>0</v>
      </c>
      <c r="V457" s="169">
        <f>0</f>
        <v>0</v>
      </c>
      <c r="W457" s="169">
        <f>0</f>
        <v>0</v>
      </c>
      <c r="X457" s="169">
        <f>0</f>
        <v>0</v>
      </c>
      <c r="Y457" s="169">
        <f>0</f>
        <v>0</v>
      </c>
      <c r="Z457" s="219">
        <f>0</f>
        <v>0</v>
      </c>
      <c r="AA457" s="160">
        <f t="shared" si="22"/>
        <v>2</v>
      </c>
      <c r="AB457" s="141">
        <v>8</v>
      </c>
      <c r="AC457" s="172">
        <f t="shared" si="23"/>
        <v>-6</v>
      </c>
      <c r="AD457" s="194"/>
      <c r="AE457" s="195"/>
      <c r="AF457" s="148" t="s">
        <v>590</v>
      </c>
      <c r="AG457" s="196"/>
      <c r="AH457" s="195"/>
      <c r="AI457" s="98"/>
      <c r="AJ457" s="99">
        <v>8</v>
      </c>
      <c r="AK457" s="197">
        <f t="shared" si="21"/>
        <v>-14</v>
      </c>
      <c r="AL457" s="98" t="s">
        <v>582</v>
      </c>
      <c r="AM457" s="90"/>
      <c r="AN457" s="100"/>
      <c r="AO457" s="198"/>
    </row>
    <row r="458" spans="1:41" s="308" customFormat="1" ht="54.75" customHeight="1" x14ac:dyDescent="0.35">
      <c r="A458" s="244">
        <v>172</v>
      </c>
      <c r="B458" s="253">
        <v>44916</v>
      </c>
      <c r="C458" s="254" t="s">
        <v>308</v>
      </c>
      <c r="D458" s="299" t="s">
        <v>595</v>
      </c>
      <c r="E458" s="400" t="s">
        <v>324</v>
      </c>
      <c r="F458" s="185" t="s">
        <v>596</v>
      </c>
      <c r="G458" s="196"/>
      <c r="H458" s="328" t="s">
        <v>595</v>
      </c>
      <c r="I458" s="535" t="s">
        <v>227</v>
      </c>
      <c r="J458" s="97" t="s">
        <v>251</v>
      </c>
      <c r="K458" s="97" t="s">
        <v>252</v>
      </c>
      <c r="L458" s="97" t="s">
        <v>252</v>
      </c>
      <c r="M458" s="97" t="s">
        <v>604</v>
      </c>
      <c r="N458" s="235" t="s">
        <v>71</v>
      </c>
      <c r="O458" s="417">
        <f>0</f>
        <v>0</v>
      </c>
      <c r="P458" s="90">
        <f>0</f>
        <v>0</v>
      </c>
      <c r="Q458" s="90">
        <f>0</f>
        <v>0</v>
      </c>
      <c r="R458" s="90">
        <f>0</f>
        <v>0</v>
      </c>
      <c r="S458" s="90">
        <f>0</f>
        <v>0</v>
      </c>
      <c r="T458" s="90">
        <v>1</v>
      </c>
      <c r="U458" s="90">
        <f>0</f>
        <v>0</v>
      </c>
      <c r="V458" s="90">
        <f>0</f>
        <v>0</v>
      </c>
      <c r="W458" s="90">
        <f>0</f>
        <v>0</v>
      </c>
      <c r="X458" s="90">
        <f>0</f>
        <v>0</v>
      </c>
      <c r="Y458" s="90">
        <f>0</f>
        <v>0</v>
      </c>
      <c r="Z458" s="418">
        <f>0</f>
        <v>0</v>
      </c>
      <c r="AA458" s="192">
        <f t="shared" si="22"/>
        <v>1</v>
      </c>
      <c r="AB458" s="193"/>
      <c r="AC458" s="190">
        <f t="shared" si="23"/>
        <v>1</v>
      </c>
      <c r="AD458" s="194" t="s">
        <v>1440</v>
      </c>
      <c r="AE458" s="195" t="s">
        <v>239</v>
      </c>
      <c r="AF458" s="97" t="s">
        <v>1441</v>
      </c>
      <c r="AG458" s="196"/>
      <c r="AH458" s="195"/>
      <c r="AI458" s="98"/>
      <c r="AJ458" s="99">
        <v>1</v>
      </c>
      <c r="AK458" s="197">
        <f t="shared" si="21"/>
        <v>0</v>
      </c>
      <c r="AL458" s="98" t="s">
        <v>1543</v>
      </c>
      <c r="AM458" s="90"/>
      <c r="AN458" s="100"/>
      <c r="AO458" s="198"/>
    </row>
    <row r="459" spans="1:41" s="308" customFormat="1" ht="59.25" customHeight="1" x14ac:dyDescent="0.35">
      <c r="A459" s="252">
        <v>178</v>
      </c>
      <c r="B459" s="253">
        <v>44923</v>
      </c>
      <c r="C459" s="254" t="s">
        <v>254</v>
      </c>
      <c r="D459" s="299" t="s">
        <v>608</v>
      </c>
      <c r="E459" s="400" t="s">
        <v>324</v>
      </c>
      <c r="F459" s="185" t="s">
        <v>609</v>
      </c>
      <c r="G459" s="196"/>
      <c r="H459" s="236" t="s">
        <v>608</v>
      </c>
      <c r="I459" s="535" t="s">
        <v>227</v>
      </c>
      <c r="J459" s="97" t="s">
        <v>251</v>
      </c>
      <c r="K459" s="97" t="s">
        <v>252</v>
      </c>
      <c r="L459" s="97" t="s">
        <v>252</v>
      </c>
      <c r="M459" s="97" t="s">
        <v>615</v>
      </c>
      <c r="N459" s="235" t="s">
        <v>71</v>
      </c>
      <c r="O459" s="417">
        <f>0</f>
        <v>0</v>
      </c>
      <c r="P459" s="90">
        <f>0</f>
        <v>0</v>
      </c>
      <c r="Q459" s="90">
        <f>0</f>
        <v>0</v>
      </c>
      <c r="R459" s="90">
        <f>0</f>
        <v>0</v>
      </c>
      <c r="S459" s="90">
        <f>0</f>
        <v>0</v>
      </c>
      <c r="T459" s="90">
        <f>0</f>
        <v>0</v>
      </c>
      <c r="U459" s="90">
        <v>2</v>
      </c>
      <c r="V459" s="90">
        <f>0</f>
        <v>0</v>
      </c>
      <c r="W459" s="90">
        <f>0</f>
        <v>0</v>
      </c>
      <c r="X459" s="90">
        <f>0</f>
        <v>0</v>
      </c>
      <c r="Y459" s="90">
        <f>0</f>
        <v>0</v>
      </c>
      <c r="Z459" s="418">
        <f>0</f>
        <v>0</v>
      </c>
      <c r="AA459" s="192">
        <f t="shared" si="22"/>
        <v>2</v>
      </c>
      <c r="AB459" s="193"/>
      <c r="AC459" s="190">
        <f t="shared" si="23"/>
        <v>2</v>
      </c>
      <c r="AD459" s="194" t="s">
        <v>1440</v>
      </c>
      <c r="AE459" s="195" t="s">
        <v>239</v>
      </c>
      <c r="AF459" s="97" t="s">
        <v>1441</v>
      </c>
      <c r="AG459" s="196"/>
      <c r="AH459" s="195"/>
      <c r="AI459" s="98"/>
      <c r="AJ459" s="99">
        <v>2</v>
      </c>
      <c r="AK459" s="197">
        <f t="shared" si="21"/>
        <v>0</v>
      </c>
      <c r="AL459" s="98" t="s">
        <v>1538</v>
      </c>
      <c r="AM459" s="90"/>
      <c r="AN459" s="100"/>
      <c r="AO459" s="198"/>
    </row>
    <row r="460" spans="1:41" s="308" customFormat="1" ht="30.75" customHeight="1" x14ac:dyDescent="0.35">
      <c r="A460" s="244">
        <v>179</v>
      </c>
      <c r="B460" s="253">
        <v>44923</v>
      </c>
      <c r="C460" s="254" t="s">
        <v>254</v>
      </c>
      <c r="D460" s="299" t="s">
        <v>610</v>
      </c>
      <c r="E460" s="400" t="s">
        <v>324</v>
      </c>
      <c r="F460" s="185" t="s">
        <v>351</v>
      </c>
      <c r="G460" s="196"/>
      <c r="H460" s="328" t="s">
        <v>610</v>
      </c>
      <c r="I460" s="535" t="s">
        <v>227</v>
      </c>
      <c r="J460" s="97" t="s">
        <v>251</v>
      </c>
      <c r="K460" s="97" t="s">
        <v>252</v>
      </c>
      <c r="L460" s="97" t="s">
        <v>252</v>
      </c>
      <c r="M460" s="97" t="s">
        <v>615</v>
      </c>
      <c r="N460" s="235" t="s">
        <v>71</v>
      </c>
      <c r="O460" s="417">
        <f>0</f>
        <v>0</v>
      </c>
      <c r="P460" s="90">
        <f>0</f>
        <v>0</v>
      </c>
      <c r="Q460" s="90">
        <f>0</f>
        <v>0</v>
      </c>
      <c r="R460" s="90">
        <f>0</f>
        <v>0</v>
      </c>
      <c r="S460" s="90">
        <f>0</f>
        <v>0</v>
      </c>
      <c r="T460" s="90">
        <f>0</f>
        <v>0</v>
      </c>
      <c r="U460" s="90">
        <v>2</v>
      </c>
      <c r="V460" s="90">
        <f>0</f>
        <v>0</v>
      </c>
      <c r="W460" s="90">
        <f>0</f>
        <v>0</v>
      </c>
      <c r="X460" s="90">
        <f>0</f>
        <v>0</v>
      </c>
      <c r="Y460" s="90">
        <f>0</f>
        <v>0</v>
      </c>
      <c r="Z460" s="418">
        <f>0</f>
        <v>0</v>
      </c>
      <c r="AA460" s="192">
        <f t="shared" si="22"/>
        <v>2</v>
      </c>
      <c r="AB460" s="193"/>
      <c r="AC460" s="190">
        <f t="shared" si="23"/>
        <v>2</v>
      </c>
      <c r="AD460" s="194" t="s">
        <v>1440</v>
      </c>
      <c r="AE460" s="195" t="s">
        <v>239</v>
      </c>
      <c r="AF460" s="97" t="s">
        <v>1441</v>
      </c>
      <c r="AG460" s="196"/>
      <c r="AH460" s="195"/>
      <c r="AI460" s="98"/>
      <c r="AJ460" s="99">
        <v>2</v>
      </c>
      <c r="AK460" s="197">
        <f t="shared" si="21"/>
        <v>0</v>
      </c>
      <c r="AL460" s="98" t="s">
        <v>1538</v>
      </c>
      <c r="AM460" s="90"/>
      <c r="AN460" s="100"/>
      <c r="AO460" s="198"/>
    </row>
    <row r="461" spans="1:41" s="308" customFormat="1" ht="30.75" customHeight="1" x14ac:dyDescent="0.35">
      <c r="A461" s="252">
        <v>180</v>
      </c>
      <c r="B461" s="253">
        <v>44923</v>
      </c>
      <c r="C461" s="254" t="s">
        <v>254</v>
      </c>
      <c r="D461" s="299" t="s">
        <v>565</v>
      </c>
      <c r="E461" s="236" t="s">
        <v>324</v>
      </c>
      <c r="F461" s="185" t="s">
        <v>566</v>
      </c>
      <c r="G461" s="196"/>
      <c r="H461" s="328" t="s">
        <v>567</v>
      </c>
      <c r="I461" s="535" t="s">
        <v>227</v>
      </c>
      <c r="J461" s="97" t="s">
        <v>251</v>
      </c>
      <c r="K461" s="97" t="s">
        <v>252</v>
      </c>
      <c r="L461" s="97" t="s">
        <v>252</v>
      </c>
      <c r="M461" s="97" t="s">
        <v>252</v>
      </c>
      <c r="N461" s="235" t="s">
        <v>615</v>
      </c>
      <c r="O461" s="343">
        <f>0</f>
        <v>0</v>
      </c>
      <c r="P461" s="169">
        <f>0</f>
        <v>0</v>
      </c>
      <c r="Q461" s="169">
        <f>0</f>
        <v>0</v>
      </c>
      <c r="R461" s="169">
        <f>0</f>
        <v>0</v>
      </c>
      <c r="S461" s="169">
        <f>0</f>
        <v>0</v>
      </c>
      <c r="T461" s="169">
        <f>0</f>
        <v>0</v>
      </c>
      <c r="U461" s="169">
        <v>4</v>
      </c>
      <c r="V461" s="169">
        <f>0</f>
        <v>0</v>
      </c>
      <c r="W461" s="169">
        <f>0</f>
        <v>0</v>
      </c>
      <c r="X461" s="169">
        <f>0</f>
        <v>0</v>
      </c>
      <c r="Y461" s="169">
        <f>0</f>
        <v>0</v>
      </c>
      <c r="Z461" s="219">
        <f>0</f>
        <v>0</v>
      </c>
      <c r="AA461" s="160">
        <f t="shared" si="22"/>
        <v>4</v>
      </c>
      <c r="AB461" s="141">
        <v>4</v>
      </c>
      <c r="AC461" s="172">
        <f t="shared" si="23"/>
        <v>0</v>
      </c>
      <c r="AD461" s="194"/>
      <c r="AE461" s="195"/>
      <c r="AF461" s="97" t="s">
        <v>590</v>
      </c>
      <c r="AG461" s="196"/>
      <c r="AH461" s="195"/>
      <c r="AI461" s="98"/>
      <c r="AJ461" s="99">
        <v>4</v>
      </c>
      <c r="AK461" s="197">
        <f t="shared" si="21"/>
        <v>-4</v>
      </c>
      <c r="AL461" s="98" t="s">
        <v>735</v>
      </c>
      <c r="AM461" s="90"/>
      <c r="AN461" s="100"/>
      <c r="AO461" s="198"/>
    </row>
    <row r="462" spans="1:41" s="308" customFormat="1" ht="30.75" customHeight="1" x14ac:dyDescent="0.35">
      <c r="A462" s="244">
        <v>200</v>
      </c>
      <c r="B462" s="253">
        <v>44924</v>
      </c>
      <c r="C462" s="254" t="s">
        <v>308</v>
      </c>
      <c r="D462" s="299" t="s">
        <v>665</v>
      </c>
      <c r="E462" s="400" t="s">
        <v>330</v>
      </c>
      <c r="F462" s="185" t="s">
        <v>351</v>
      </c>
      <c r="G462" s="196" t="s">
        <v>666</v>
      </c>
      <c r="H462" s="328" t="s">
        <v>665</v>
      </c>
      <c r="I462" s="535" t="s">
        <v>227</v>
      </c>
      <c r="J462" s="231" t="s">
        <v>251</v>
      </c>
      <c r="K462" s="231" t="s">
        <v>252</v>
      </c>
      <c r="L462" s="231" t="s">
        <v>252</v>
      </c>
      <c r="M462" s="231" t="s">
        <v>694</v>
      </c>
      <c r="N462" s="235" t="s">
        <v>71</v>
      </c>
      <c r="O462" s="417">
        <f>0</f>
        <v>0</v>
      </c>
      <c r="P462" s="90">
        <f>0</f>
        <v>0</v>
      </c>
      <c r="Q462" s="90">
        <f>0</f>
        <v>0</v>
      </c>
      <c r="R462" s="90">
        <f>0</f>
        <v>0</v>
      </c>
      <c r="S462" s="90">
        <f>0</f>
        <v>0</v>
      </c>
      <c r="T462" s="90">
        <v>2</v>
      </c>
      <c r="U462" s="90">
        <f>0</f>
        <v>0</v>
      </c>
      <c r="V462" s="90">
        <f>0</f>
        <v>0</v>
      </c>
      <c r="W462" s="90">
        <f>0</f>
        <v>0</v>
      </c>
      <c r="X462" s="90">
        <f>0</f>
        <v>0</v>
      </c>
      <c r="Y462" s="90">
        <f>0</f>
        <v>0</v>
      </c>
      <c r="Z462" s="418">
        <f>0</f>
        <v>0</v>
      </c>
      <c r="AA462" s="192">
        <f t="shared" si="22"/>
        <v>2</v>
      </c>
      <c r="AB462" s="193"/>
      <c r="AC462" s="190">
        <f t="shared" si="23"/>
        <v>2</v>
      </c>
      <c r="AD462" s="194" t="s">
        <v>1440</v>
      </c>
      <c r="AE462" s="195" t="s">
        <v>239</v>
      </c>
      <c r="AF462" s="97" t="s">
        <v>1441</v>
      </c>
      <c r="AG462" s="196"/>
      <c r="AH462" s="195"/>
      <c r="AI462" s="98"/>
      <c r="AJ462" s="99">
        <v>2</v>
      </c>
      <c r="AK462" s="197">
        <f t="shared" si="21"/>
        <v>0</v>
      </c>
      <c r="AL462" s="98" t="s">
        <v>1538</v>
      </c>
      <c r="AM462" s="90"/>
      <c r="AN462" s="100"/>
      <c r="AO462" s="198"/>
    </row>
    <row r="463" spans="1:41" s="308" customFormat="1" ht="30.75" customHeight="1" x14ac:dyDescent="0.35">
      <c r="A463" s="252">
        <v>201</v>
      </c>
      <c r="B463" s="253">
        <v>44924</v>
      </c>
      <c r="C463" s="254" t="s">
        <v>308</v>
      </c>
      <c r="D463" s="299" t="s">
        <v>667</v>
      </c>
      <c r="E463" s="400">
        <v>0</v>
      </c>
      <c r="F463" s="185" t="s">
        <v>347</v>
      </c>
      <c r="G463" s="196" t="s">
        <v>668</v>
      </c>
      <c r="H463" s="328" t="s">
        <v>667</v>
      </c>
      <c r="I463" s="535" t="s">
        <v>227</v>
      </c>
      <c r="J463" s="231" t="s">
        <v>251</v>
      </c>
      <c r="K463" s="231" t="s">
        <v>252</v>
      </c>
      <c r="L463" s="231" t="s">
        <v>252</v>
      </c>
      <c r="M463" s="231" t="s">
        <v>694</v>
      </c>
      <c r="N463" s="235" t="s">
        <v>71</v>
      </c>
      <c r="O463" s="417">
        <f>0</f>
        <v>0</v>
      </c>
      <c r="P463" s="90">
        <f>0</f>
        <v>0</v>
      </c>
      <c r="Q463" s="90">
        <f>0</f>
        <v>0</v>
      </c>
      <c r="R463" s="90">
        <f>0</f>
        <v>0</v>
      </c>
      <c r="S463" s="90">
        <f>0</f>
        <v>0</v>
      </c>
      <c r="T463" s="90">
        <v>2</v>
      </c>
      <c r="U463" s="90">
        <f>0</f>
        <v>0</v>
      </c>
      <c r="V463" s="90">
        <f>0</f>
        <v>0</v>
      </c>
      <c r="W463" s="90">
        <f>0</f>
        <v>0</v>
      </c>
      <c r="X463" s="90">
        <f>0</f>
        <v>0</v>
      </c>
      <c r="Y463" s="90">
        <f>0</f>
        <v>0</v>
      </c>
      <c r="Z463" s="418">
        <f>0</f>
        <v>0</v>
      </c>
      <c r="AA463" s="192">
        <f t="shared" si="22"/>
        <v>2</v>
      </c>
      <c r="AB463" s="193"/>
      <c r="AC463" s="190">
        <f t="shared" si="23"/>
        <v>2</v>
      </c>
      <c r="AD463" s="194" t="s">
        <v>1440</v>
      </c>
      <c r="AE463" s="195" t="s">
        <v>239</v>
      </c>
      <c r="AF463" s="97" t="s">
        <v>1441</v>
      </c>
      <c r="AG463" s="196"/>
      <c r="AH463" s="195"/>
      <c r="AI463" s="98"/>
      <c r="AJ463" s="99">
        <v>2</v>
      </c>
      <c r="AK463" s="197">
        <f t="shared" si="21"/>
        <v>0</v>
      </c>
      <c r="AL463" s="98" t="s">
        <v>1538</v>
      </c>
      <c r="AM463" s="90"/>
      <c r="AN463" s="100"/>
      <c r="AO463" s="198"/>
    </row>
    <row r="464" spans="1:41" s="308" customFormat="1" ht="30.75" customHeight="1" x14ac:dyDescent="0.35">
      <c r="A464" s="244">
        <v>202</v>
      </c>
      <c r="B464" s="253">
        <v>44924</v>
      </c>
      <c r="C464" s="254" t="s">
        <v>308</v>
      </c>
      <c r="D464" s="299" t="s">
        <v>669</v>
      </c>
      <c r="E464" s="400" t="s">
        <v>324</v>
      </c>
      <c r="F464" s="185" t="s">
        <v>670</v>
      </c>
      <c r="G464" s="196" t="s">
        <v>671</v>
      </c>
      <c r="H464" s="328" t="s">
        <v>669</v>
      </c>
      <c r="I464" s="535" t="s">
        <v>227</v>
      </c>
      <c r="J464" s="231" t="s">
        <v>251</v>
      </c>
      <c r="K464" s="231" t="s">
        <v>252</v>
      </c>
      <c r="L464" s="231" t="s">
        <v>252</v>
      </c>
      <c r="M464" s="231" t="s">
        <v>694</v>
      </c>
      <c r="N464" s="235" t="s">
        <v>71</v>
      </c>
      <c r="O464" s="417">
        <f>0</f>
        <v>0</v>
      </c>
      <c r="P464" s="90">
        <f>0</f>
        <v>0</v>
      </c>
      <c r="Q464" s="90">
        <f>0</f>
        <v>0</v>
      </c>
      <c r="R464" s="90">
        <f>0</f>
        <v>0</v>
      </c>
      <c r="S464" s="90">
        <f>0</f>
        <v>0</v>
      </c>
      <c r="T464" s="90">
        <v>2</v>
      </c>
      <c r="U464" s="90">
        <f>0</f>
        <v>0</v>
      </c>
      <c r="V464" s="90">
        <f>0</f>
        <v>0</v>
      </c>
      <c r="W464" s="90">
        <f>0</f>
        <v>0</v>
      </c>
      <c r="X464" s="90">
        <f>0</f>
        <v>0</v>
      </c>
      <c r="Y464" s="90">
        <f>0</f>
        <v>0</v>
      </c>
      <c r="Z464" s="418">
        <f>0</f>
        <v>0</v>
      </c>
      <c r="AA464" s="192">
        <f t="shared" si="22"/>
        <v>2</v>
      </c>
      <c r="AB464" s="193"/>
      <c r="AC464" s="190">
        <f t="shared" si="23"/>
        <v>2</v>
      </c>
      <c r="AD464" s="194" t="s">
        <v>1440</v>
      </c>
      <c r="AE464" s="195" t="s">
        <v>239</v>
      </c>
      <c r="AF464" s="97" t="s">
        <v>1441</v>
      </c>
      <c r="AG464" s="196"/>
      <c r="AH464" s="195"/>
      <c r="AI464" s="98"/>
      <c r="AJ464" s="99">
        <v>2</v>
      </c>
      <c r="AK464" s="197">
        <f t="shared" si="21"/>
        <v>0</v>
      </c>
      <c r="AL464" s="98" t="s">
        <v>1543</v>
      </c>
      <c r="AM464" s="90"/>
      <c r="AN464" s="100"/>
      <c r="AO464" s="198"/>
    </row>
    <row r="465" spans="1:41" s="308" customFormat="1" ht="30.75" customHeight="1" x14ac:dyDescent="0.35">
      <c r="A465" s="244">
        <v>211</v>
      </c>
      <c r="B465" s="253">
        <v>44924</v>
      </c>
      <c r="C465" s="327" t="s">
        <v>254</v>
      </c>
      <c r="D465" s="299" t="s">
        <v>695</v>
      </c>
      <c r="E465" s="400">
        <v>0</v>
      </c>
      <c r="F465" s="185" t="s">
        <v>696</v>
      </c>
      <c r="G465" s="196" t="s">
        <v>695</v>
      </c>
      <c r="H465" s="328" t="s">
        <v>695</v>
      </c>
      <c r="I465" s="321" t="s">
        <v>227</v>
      </c>
      <c r="J465" s="231" t="s">
        <v>251</v>
      </c>
      <c r="K465" s="231" t="s">
        <v>252</v>
      </c>
      <c r="L465" s="231" t="s">
        <v>252</v>
      </c>
      <c r="M465" s="231" t="s">
        <v>699</v>
      </c>
      <c r="N465" s="235" t="s">
        <v>71</v>
      </c>
      <c r="O465" s="417">
        <v>1</v>
      </c>
      <c r="P465" s="90">
        <f>0</f>
        <v>0</v>
      </c>
      <c r="Q465" s="90">
        <f>0</f>
        <v>0</v>
      </c>
      <c r="R465" s="90">
        <f>0</f>
        <v>0</v>
      </c>
      <c r="S465" s="90">
        <f>0</f>
        <v>0</v>
      </c>
      <c r="T465" s="90">
        <f>0</f>
        <v>0</v>
      </c>
      <c r="U465" s="90">
        <f>0</f>
        <v>0</v>
      </c>
      <c r="V465" s="90">
        <f>0</f>
        <v>0</v>
      </c>
      <c r="W465" s="90">
        <f>0</f>
        <v>0</v>
      </c>
      <c r="X465" s="90">
        <f>0</f>
        <v>0</v>
      </c>
      <c r="Y465" s="90">
        <f>0</f>
        <v>0</v>
      </c>
      <c r="Z465" s="418">
        <f>0</f>
        <v>0</v>
      </c>
      <c r="AA465" s="192">
        <f t="shared" si="22"/>
        <v>1</v>
      </c>
      <c r="AB465" s="193"/>
      <c r="AC465" s="190">
        <f t="shared" si="23"/>
        <v>1</v>
      </c>
      <c r="AD465" s="194" t="s">
        <v>1440</v>
      </c>
      <c r="AE465" s="195" t="s">
        <v>239</v>
      </c>
      <c r="AF465" s="148" t="s">
        <v>1441</v>
      </c>
      <c r="AG465" s="196"/>
      <c r="AH465" s="205"/>
      <c r="AI465" s="98"/>
      <c r="AJ465" s="99">
        <v>1</v>
      </c>
      <c r="AK465" s="197">
        <f t="shared" si="21"/>
        <v>0</v>
      </c>
      <c r="AL465" s="98" t="s">
        <v>1588</v>
      </c>
      <c r="AM465" s="90"/>
      <c r="AN465" s="100"/>
      <c r="AO465" s="198"/>
    </row>
    <row r="466" spans="1:41" s="308" customFormat="1" ht="30.75" customHeight="1" x14ac:dyDescent="0.35">
      <c r="A466" s="244">
        <v>212</v>
      </c>
      <c r="B466" s="253">
        <v>44924</v>
      </c>
      <c r="C466" s="327" t="s">
        <v>254</v>
      </c>
      <c r="D466" s="299" t="s">
        <v>697</v>
      </c>
      <c r="E466" s="400">
        <v>0</v>
      </c>
      <c r="F466" s="185" t="s">
        <v>698</v>
      </c>
      <c r="G466" s="196" t="s">
        <v>697</v>
      </c>
      <c r="H466" s="328" t="s">
        <v>697</v>
      </c>
      <c r="I466" s="321" t="s">
        <v>227</v>
      </c>
      <c r="J466" s="231" t="s">
        <v>251</v>
      </c>
      <c r="K466" s="231" t="s">
        <v>252</v>
      </c>
      <c r="L466" s="231" t="s">
        <v>252</v>
      </c>
      <c r="M466" s="231" t="s">
        <v>699</v>
      </c>
      <c r="N466" s="235" t="s">
        <v>71</v>
      </c>
      <c r="O466" s="417">
        <v>1</v>
      </c>
      <c r="P466" s="90">
        <f>0</f>
        <v>0</v>
      </c>
      <c r="Q466" s="90">
        <f>0</f>
        <v>0</v>
      </c>
      <c r="R466" s="90">
        <f>0</f>
        <v>0</v>
      </c>
      <c r="S466" s="90">
        <f>0</f>
        <v>0</v>
      </c>
      <c r="T466" s="90">
        <f>0</f>
        <v>0</v>
      </c>
      <c r="U466" s="90">
        <f>0</f>
        <v>0</v>
      </c>
      <c r="V466" s="90">
        <f>0</f>
        <v>0</v>
      </c>
      <c r="W466" s="90">
        <f>0</f>
        <v>0</v>
      </c>
      <c r="X466" s="90">
        <f>0</f>
        <v>0</v>
      </c>
      <c r="Y466" s="90">
        <f>0</f>
        <v>0</v>
      </c>
      <c r="Z466" s="418">
        <f>0</f>
        <v>0</v>
      </c>
      <c r="AA466" s="192">
        <f t="shared" si="22"/>
        <v>1</v>
      </c>
      <c r="AB466" s="193"/>
      <c r="AC466" s="190">
        <f t="shared" si="23"/>
        <v>1</v>
      </c>
      <c r="AD466" s="204" t="s">
        <v>1440</v>
      </c>
      <c r="AE466" s="205" t="s">
        <v>239</v>
      </c>
      <c r="AF466" s="97" t="s">
        <v>1441</v>
      </c>
      <c r="AG466" s="196"/>
      <c r="AH466" s="205"/>
      <c r="AI466" s="98"/>
      <c r="AJ466" s="99">
        <v>1</v>
      </c>
      <c r="AK466" s="197">
        <f t="shared" si="21"/>
        <v>0</v>
      </c>
      <c r="AL466" s="98" t="s">
        <v>1543</v>
      </c>
      <c r="AM466" s="90"/>
      <c r="AN466" s="100"/>
      <c r="AO466" s="198"/>
    </row>
    <row r="467" spans="1:41" s="308" customFormat="1" ht="30.75" customHeight="1" x14ac:dyDescent="0.35">
      <c r="A467" s="244">
        <v>213</v>
      </c>
      <c r="B467" s="253">
        <v>44924</v>
      </c>
      <c r="C467" s="327" t="s">
        <v>254</v>
      </c>
      <c r="D467" s="299" t="s">
        <v>700</v>
      </c>
      <c r="E467" s="400">
        <v>0</v>
      </c>
      <c r="F467" s="185" t="s">
        <v>701</v>
      </c>
      <c r="G467" s="196" t="s">
        <v>700</v>
      </c>
      <c r="H467" s="328" t="s">
        <v>700</v>
      </c>
      <c r="I467" s="321" t="s">
        <v>227</v>
      </c>
      <c r="J467" s="231" t="s">
        <v>251</v>
      </c>
      <c r="K467" s="231" t="s">
        <v>252</v>
      </c>
      <c r="L467" s="231" t="s">
        <v>706</v>
      </c>
      <c r="M467" s="231" t="s">
        <v>702</v>
      </c>
      <c r="N467" s="235" t="s">
        <v>71</v>
      </c>
      <c r="O467" s="417">
        <v>9</v>
      </c>
      <c r="P467" s="90">
        <f>0</f>
        <v>0</v>
      </c>
      <c r="Q467" s="90">
        <f>0</f>
        <v>0</v>
      </c>
      <c r="R467" s="90">
        <f>0</f>
        <v>0</v>
      </c>
      <c r="S467" s="90">
        <f>0</f>
        <v>0</v>
      </c>
      <c r="T467" s="90">
        <f>0</f>
        <v>0</v>
      </c>
      <c r="U467" s="90">
        <f>0</f>
        <v>0</v>
      </c>
      <c r="V467" s="90">
        <f>0</f>
        <v>0</v>
      </c>
      <c r="W467" s="90">
        <f>0</f>
        <v>0</v>
      </c>
      <c r="X467" s="90">
        <f>0</f>
        <v>0</v>
      </c>
      <c r="Y467" s="90">
        <f>0</f>
        <v>0</v>
      </c>
      <c r="Z467" s="418">
        <f>0</f>
        <v>0</v>
      </c>
      <c r="AA467" s="192">
        <f t="shared" si="22"/>
        <v>9</v>
      </c>
      <c r="AB467" s="193"/>
      <c r="AC467" s="190">
        <f t="shared" si="23"/>
        <v>9</v>
      </c>
      <c r="AD467" s="204" t="s">
        <v>1440</v>
      </c>
      <c r="AE467" s="205" t="s">
        <v>239</v>
      </c>
      <c r="AF467" s="97" t="s">
        <v>1441</v>
      </c>
      <c r="AG467" s="196"/>
      <c r="AH467" s="205"/>
      <c r="AI467" s="98"/>
      <c r="AJ467" s="99">
        <v>9</v>
      </c>
      <c r="AK467" s="197">
        <f t="shared" si="21"/>
        <v>0</v>
      </c>
      <c r="AL467" s="98" t="s">
        <v>1538</v>
      </c>
      <c r="AM467" s="90"/>
      <c r="AN467" s="100"/>
      <c r="AO467" s="198"/>
    </row>
    <row r="468" spans="1:41" s="308" customFormat="1" ht="30.75" customHeight="1" x14ac:dyDescent="0.35">
      <c r="A468" s="252">
        <v>214</v>
      </c>
      <c r="B468" s="253">
        <v>44924</v>
      </c>
      <c r="C468" s="327" t="s">
        <v>254</v>
      </c>
      <c r="D468" s="299" t="s">
        <v>703</v>
      </c>
      <c r="E468" s="400">
        <v>0</v>
      </c>
      <c r="F468" s="185" t="s">
        <v>704</v>
      </c>
      <c r="G468" s="196" t="s">
        <v>703</v>
      </c>
      <c r="H468" s="328" t="s">
        <v>703</v>
      </c>
      <c r="I468" s="321" t="s">
        <v>227</v>
      </c>
      <c r="J468" s="231" t="s">
        <v>251</v>
      </c>
      <c r="K468" s="231" t="s">
        <v>252</v>
      </c>
      <c r="L468" s="231" t="s">
        <v>706</v>
      </c>
      <c r="M468" s="231" t="s">
        <v>705</v>
      </c>
      <c r="N468" s="235" t="s">
        <v>71</v>
      </c>
      <c r="O468" s="417">
        <v>3</v>
      </c>
      <c r="P468" s="90">
        <f>0</f>
        <v>0</v>
      </c>
      <c r="Q468" s="90">
        <f>0</f>
        <v>0</v>
      </c>
      <c r="R468" s="90">
        <f>0</f>
        <v>0</v>
      </c>
      <c r="S468" s="90">
        <f>0</f>
        <v>0</v>
      </c>
      <c r="T468" s="90">
        <f>0</f>
        <v>0</v>
      </c>
      <c r="U468" s="90">
        <f>0</f>
        <v>0</v>
      </c>
      <c r="V468" s="90">
        <f>0</f>
        <v>0</v>
      </c>
      <c r="W468" s="90">
        <f>0</f>
        <v>0</v>
      </c>
      <c r="X468" s="90">
        <f>0</f>
        <v>0</v>
      </c>
      <c r="Y468" s="90">
        <f>0</f>
        <v>0</v>
      </c>
      <c r="Z468" s="418">
        <f>0</f>
        <v>0</v>
      </c>
      <c r="AA468" s="192">
        <f t="shared" si="22"/>
        <v>3</v>
      </c>
      <c r="AB468" s="193"/>
      <c r="AC468" s="190">
        <f t="shared" si="23"/>
        <v>3</v>
      </c>
      <c r="AD468" s="194" t="s">
        <v>1440</v>
      </c>
      <c r="AE468" s="195" t="s">
        <v>239</v>
      </c>
      <c r="AF468" s="189" t="s">
        <v>1441</v>
      </c>
      <c r="AG468" s="196"/>
      <c r="AH468" s="195"/>
      <c r="AI468" s="98"/>
      <c r="AJ468" s="99">
        <v>3</v>
      </c>
      <c r="AK468" s="197">
        <f t="shared" ref="AK468:AK531" si="24">AC468-AJ468</f>
        <v>0</v>
      </c>
      <c r="AL468" s="98" t="s">
        <v>1589</v>
      </c>
      <c r="AM468" s="90"/>
      <c r="AN468" s="100"/>
      <c r="AO468" s="198"/>
    </row>
    <row r="469" spans="1:41" s="308" customFormat="1" ht="30.75" customHeight="1" x14ac:dyDescent="0.35">
      <c r="A469" s="244">
        <v>215</v>
      </c>
      <c r="B469" s="253">
        <v>44924</v>
      </c>
      <c r="C469" s="327" t="s">
        <v>254</v>
      </c>
      <c r="D469" s="236" t="s">
        <v>707</v>
      </c>
      <c r="E469" s="236">
        <v>0</v>
      </c>
      <c r="F469" s="185" t="s">
        <v>708</v>
      </c>
      <c r="G469" s="196" t="s">
        <v>707</v>
      </c>
      <c r="H469" s="328" t="s">
        <v>707</v>
      </c>
      <c r="I469" s="321" t="s">
        <v>227</v>
      </c>
      <c r="J469" s="231" t="s">
        <v>251</v>
      </c>
      <c r="K469" s="231" t="s">
        <v>252</v>
      </c>
      <c r="L469" s="231" t="s">
        <v>252</v>
      </c>
      <c r="M469" s="231" t="s">
        <v>252</v>
      </c>
      <c r="N469" s="235" t="s">
        <v>252</v>
      </c>
      <c r="O469" s="343">
        <v>20</v>
      </c>
      <c r="P469" s="169">
        <f>0</f>
        <v>0</v>
      </c>
      <c r="Q469" s="169">
        <f>0</f>
        <v>0</v>
      </c>
      <c r="R469" s="169">
        <f>0</f>
        <v>0</v>
      </c>
      <c r="S469" s="169">
        <f>0</f>
        <v>0</v>
      </c>
      <c r="T469" s="169">
        <f>0</f>
        <v>0</v>
      </c>
      <c r="U469" s="169">
        <f>0</f>
        <v>0</v>
      </c>
      <c r="V469" s="169">
        <f>0</f>
        <v>0</v>
      </c>
      <c r="W469" s="169">
        <f>0</f>
        <v>0</v>
      </c>
      <c r="X469" s="169">
        <f>0</f>
        <v>0</v>
      </c>
      <c r="Y469" s="169">
        <f>0</f>
        <v>0</v>
      </c>
      <c r="Z469" s="219">
        <f>0</f>
        <v>0</v>
      </c>
      <c r="AA469" s="160">
        <f t="shared" si="22"/>
        <v>20</v>
      </c>
      <c r="AB469" s="141">
        <v>20</v>
      </c>
      <c r="AC469" s="172">
        <f t="shared" si="23"/>
        <v>0</v>
      </c>
      <c r="AD469" s="194"/>
      <c r="AE469" s="195" t="s">
        <v>284</v>
      </c>
      <c r="AF469" s="189" t="s">
        <v>590</v>
      </c>
      <c r="AG469" s="196"/>
      <c r="AH469" s="195"/>
      <c r="AI469" s="98"/>
      <c r="AJ469" s="99">
        <v>15</v>
      </c>
      <c r="AK469" s="197">
        <f t="shared" si="24"/>
        <v>-15</v>
      </c>
      <c r="AL469" s="98" t="s">
        <v>1607</v>
      </c>
      <c r="AM469" s="90"/>
      <c r="AN469" s="100"/>
      <c r="AO469" s="198"/>
    </row>
    <row r="470" spans="1:41" s="308" customFormat="1" ht="30.75" customHeight="1" x14ac:dyDescent="0.35">
      <c r="A470" s="244">
        <v>232</v>
      </c>
      <c r="B470" s="253">
        <v>44939</v>
      </c>
      <c r="C470" s="327" t="s">
        <v>308</v>
      </c>
      <c r="D470" s="236" t="s">
        <v>752</v>
      </c>
      <c r="E470" s="236">
        <v>0</v>
      </c>
      <c r="F470" s="185" t="s">
        <v>753</v>
      </c>
      <c r="G470" s="196"/>
      <c r="H470" s="328" t="s">
        <v>752</v>
      </c>
      <c r="I470" s="321" t="s">
        <v>227</v>
      </c>
      <c r="J470" s="231" t="s">
        <v>251</v>
      </c>
      <c r="K470" s="231" t="s">
        <v>252</v>
      </c>
      <c r="L470" s="231" t="s">
        <v>252</v>
      </c>
      <c r="M470" s="231"/>
      <c r="N470" s="235" t="s">
        <v>777</v>
      </c>
      <c r="O470" s="343">
        <v>0</v>
      </c>
      <c r="P470" s="169">
        <f>0</f>
        <v>0</v>
      </c>
      <c r="Q470" s="169">
        <v>0</v>
      </c>
      <c r="R470" s="169">
        <f>0</f>
        <v>0</v>
      </c>
      <c r="S470" s="169">
        <v>0</v>
      </c>
      <c r="T470" s="169">
        <v>0</v>
      </c>
      <c r="U470" s="169">
        <v>0</v>
      </c>
      <c r="V470" s="169">
        <f>0</f>
        <v>0</v>
      </c>
      <c r="W470" s="169">
        <v>1</v>
      </c>
      <c r="X470" s="169">
        <f>0</f>
        <v>0</v>
      </c>
      <c r="Y470" s="169">
        <f>0</f>
        <v>0</v>
      </c>
      <c r="Z470" s="219">
        <f>0</f>
        <v>0</v>
      </c>
      <c r="AA470" s="160">
        <f t="shared" si="22"/>
        <v>1</v>
      </c>
      <c r="AB470" s="141"/>
      <c r="AC470" s="172">
        <f t="shared" si="23"/>
        <v>1</v>
      </c>
      <c r="AD470" s="194">
        <v>44943</v>
      </c>
      <c r="AE470" s="195" t="s">
        <v>284</v>
      </c>
      <c r="AF470" s="97" t="s">
        <v>781</v>
      </c>
      <c r="AG470" s="196"/>
      <c r="AH470" s="195"/>
      <c r="AI470" s="98"/>
      <c r="AJ470" s="99">
        <v>1</v>
      </c>
      <c r="AK470" s="197">
        <f t="shared" si="24"/>
        <v>0</v>
      </c>
      <c r="AL470" s="98" t="s">
        <v>959</v>
      </c>
      <c r="AM470" s="90"/>
      <c r="AN470" s="100"/>
      <c r="AO470" s="198"/>
    </row>
    <row r="471" spans="1:41" s="308" customFormat="1" ht="30.75" customHeight="1" x14ac:dyDescent="0.35">
      <c r="A471" s="252">
        <v>233</v>
      </c>
      <c r="B471" s="253">
        <v>44939</v>
      </c>
      <c r="C471" s="327" t="s">
        <v>308</v>
      </c>
      <c r="D471" s="236" t="s">
        <v>754</v>
      </c>
      <c r="E471" s="236">
        <v>0</v>
      </c>
      <c r="F471" s="185" t="s">
        <v>767</v>
      </c>
      <c r="G471" s="196"/>
      <c r="H471" s="328" t="s">
        <v>754</v>
      </c>
      <c r="I471" s="321" t="s">
        <v>227</v>
      </c>
      <c r="J471" s="231" t="s">
        <v>251</v>
      </c>
      <c r="K471" s="231" t="s">
        <v>252</v>
      </c>
      <c r="L471" s="231" t="s">
        <v>252</v>
      </c>
      <c r="M471" s="231"/>
      <c r="N471" s="235" t="s">
        <v>777</v>
      </c>
      <c r="O471" s="343">
        <v>0</v>
      </c>
      <c r="P471" s="169">
        <f>0</f>
        <v>0</v>
      </c>
      <c r="Q471" s="169">
        <v>0</v>
      </c>
      <c r="R471" s="169">
        <f>0</f>
        <v>0</v>
      </c>
      <c r="S471" s="169">
        <v>0</v>
      </c>
      <c r="T471" s="169">
        <v>0</v>
      </c>
      <c r="U471" s="169">
        <v>0</v>
      </c>
      <c r="V471" s="169">
        <f>0</f>
        <v>0</v>
      </c>
      <c r="W471" s="169">
        <v>1</v>
      </c>
      <c r="X471" s="169">
        <f>0</f>
        <v>0</v>
      </c>
      <c r="Y471" s="169">
        <f>0</f>
        <v>0</v>
      </c>
      <c r="Z471" s="219">
        <f>0</f>
        <v>0</v>
      </c>
      <c r="AA471" s="160">
        <f t="shared" si="22"/>
        <v>1</v>
      </c>
      <c r="AB471" s="141"/>
      <c r="AC471" s="172">
        <f t="shared" si="23"/>
        <v>1</v>
      </c>
      <c r="AD471" s="194">
        <v>44943</v>
      </c>
      <c r="AE471" s="195" t="s">
        <v>284</v>
      </c>
      <c r="AF471" s="189" t="s">
        <v>781</v>
      </c>
      <c r="AG471" s="196"/>
      <c r="AH471" s="195"/>
      <c r="AI471" s="98"/>
      <c r="AJ471" s="99">
        <v>1</v>
      </c>
      <c r="AK471" s="197">
        <f t="shared" si="24"/>
        <v>0</v>
      </c>
      <c r="AL471" s="98" t="s">
        <v>959</v>
      </c>
      <c r="AM471" s="90"/>
      <c r="AN471" s="100"/>
      <c r="AO471" s="198"/>
    </row>
    <row r="472" spans="1:41" s="308" customFormat="1" ht="30.75" customHeight="1" x14ac:dyDescent="0.35">
      <c r="A472" s="244">
        <v>234</v>
      </c>
      <c r="B472" s="253">
        <v>44939</v>
      </c>
      <c r="C472" s="327" t="s">
        <v>308</v>
      </c>
      <c r="D472" s="236" t="s">
        <v>755</v>
      </c>
      <c r="E472" s="236">
        <v>0</v>
      </c>
      <c r="F472" s="185" t="s">
        <v>756</v>
      </c>
      <c r="G472" s="196"/>
      <c r="H472" s="328" t="s">
        <v>755</v>
      </c>
      <c r="I472" s="321" t="s">
        <v>227</v>
      </c>
      <c r="J472" s="231" t="s">
        <v>251</v>
      </c>
      <c r="K472" s="231" t="s">
        <v>252</v>
      </c>
      <c r="L472" s="231" t="s">
        <v>252</v>
      </c>
      <c r="M472" s="231"/>
      <c r="N472" s="235" t="s">
        <v>777</v>
      </c>
      <c r="O472" s="343">
        <v>0</v>
      </c>
      <c r="P472" s="169">
        <f>0</f>
        <v>0</v>
      </c>
      <c r="Q472" s="169">
        <v>0</v>
      </c>
      <c r="R472" s="169">
        <f>0</f>
        <v>0</v>
      </c>
      <c r="S472" s="169">
        <v>0</v>
      </c>
      <c r="T472" s="169">
        <v>0</v>
      </c>
      <c r="U472" s="169">
        <v>0</v>
      </c>
      <c r="V472" s="169">
        <f>0</f>
        <v>0</v>
      </c>
      <c r="W472" s="169">
        <v>1</v>
      </c>
      <c r="X472" s="169">
        <f>0</f>
        <v>0</v>
      </c>
      <c r="Y472" s="169">
        <f>0</f>
        <v>0</v>
      </c>
      <c r="Z472" s="219">
        <f>0</f>
        <v>0</v>
      </c>
      <c r="AA472" s="192">
        <f t="shared" si="22"/>
        <v>1</v>
      </c>
      <c r="AB472" s="193"/>
      <c r="AC472" s="190">
        <f t="shared" si="23"/>
        <v>1</v>
      </c>
      <c r="AD472" s="194">
        <v>44943</v>
      </c>
      <c r="AE472" s="195" t="s">
        <v>284</v>
      </c>
      <c r="AF472" s="189" t="s">
        <v>781</v>
      </c>
      <c r="AG472" s="196"/>
      <c r="AH472" s="195"/>
      <c r="AI472" s="98"/>
      <c r="AJ472" s="99">
        <v>1</v>
      </c>
      <c r="AK472" s="197">
        <f t="shared" si="24"/>
        <v>0</v>
      </c>
      <c r="AL472" s="98" t="s">
        <v>1295</v>
      </c>
      <c r="AM472" s="90"/>
      <c r="AN472" s="100"/>
      <c r="AO472" s="198"/>
    </row>
    <row r="473" spans="1:41" s="308" customFormat="1" ht="30.75" customHeight="1" x14ac:dyDescent="0.35">
      <c r="A473" s="244">
        <v>235</v>
      </c>
      <c r="B473" s="253">
        <v>44939</v>
      </c>
      <c r="C473" s="327" t="s">
        <v>308</v>
      </c>
      <c r="D473" s="236" t="s">
        <v>757</v>
      </c>
      <c r="E473" s="236">
        <v>0</v>
      </c>
      <c r="F473" s="185" t="s">
        <v>768</v>
      </c>
      <c r="G473" s="196"/>
      <c r="H473" s="236" t="s">
        <v>757</v>
      </c>
      <c r="I473" s="321" t="s">
        <v>227</v>
      </c>
      <c r="J473" s="231" t="s">
        <v>251</v>
      </c>
      <c r="K473" s="231" t="s">
        <v>252</v>
      </c>
      <c r="L473" s="231" t="s">
        <v>252</v>
      </c>
      <c r="M473" s="231"/>
      <c r="N473" s="235" t="s">
        <v>777</v>
      </c>
      <c r="O473" s="343">
        <v>0</v>
      </c>
      <c r="P473" s="169">
        <f>0</f>
        <v>0</v>
      </c>
      <c r="Q473" s="169">
        <v>0</v>
      </c>
      <c r="R473" s="169">
        <f>0</f>
        <v>0</v>
      </c>
      <c r="S473" s="169">
        <v>0</v>
      </c>
      <c r="T473" s="169">
        <v>0</v>
      </c>
      <c r="U473" s="169">
        <v>0</v>
      </c>
      <c r="V473" s="169">
        <f>0</f>
        <v>0</v>
      </c>
      <c r="W473" s="169">
        <v>1</v>
      </c>
      <c r="X473" s="169">
        <f>0</f>
        <v>0</v>
      </c>
      <c r="Y473" s="169">
        <f>0</f>
        <v>0</v>
      </c>
      <c r="Z473" s="219">
        <f>0</f>
        <v>0</v>
      </c>
      <c r="AA473" s="160">
        <f t="shared" si="22"/>
        <v>1</v>
      </c>
      <c r="AB473" s="141"/>
      <c r="AC473" s="172">
        <f t="shared" si="23"/>
        <v>1</v>
      </c>
      <c r="AD473" s="194">
        <v>44943</v>
      </c>
      <c r="AE473" s="195" t="s">
        <v>284</v>
      </c>
      <c r="AF473" s="189" t="s">
        <v>781</v>
      </c>
      <c r="AG473" s="196"/>
      <c r="AH473" s="195"/>
      <c r="AI473" s="98"/>
      <c r="AJ473" s="99">
        <v>1</v>
      </c>
      <c r="AK473" s="197">
        <f t="shared" si="24"/>
        <v>0</v>
      </c>
      <c r="AL473" s="98" t="s">
        <v>959</v>
      </c>
      <c r="AM473" s="90"/>
      <c r="AN473" s="100"/>
      <c r="AO473" s="198"/>
    </row>
    <row r="474" spans="1:41" s="308" customFormat="1" ht="30.75" customHeight="1" x14ac:dyDescent="0.35">
      <c r="A474" s="252">
        <v>236</v>
      </c>
      <c r="B474" s="253">
        <v>44939</v>
      </c>
      <c r="C474" s="327" t="s">
        <v>308</v>
      </c>
      <c r="D474" s="233" t="s">
        <v>758</v>
      </c>
      <c r="E474" s="233" t="s">
        <v>324</v>
      </c>
      <c r="F474" s="241" t="s">
        <v>351</v>
      </c>
      <c r="G474" s="206"/>
      <c r="H474" s="329" t="s">
        <v>773</v>
      </c>
      <c r="I474" s="321" t="s">
        <v>227</v>
      </c>
      <c r="J474" s="229" t="s">
        <v>774</v>
      </c>
      <c r="K474" s="229" t="s">
        <v>252</v>
      </c>
      <c r="L474" s="229" t="s">
        <v>252</v>
      </c>
      <c r="M474" s="229"/>
      <c r="N474" s="235" t="s">
        <v>777</v>
      </c>
      <c r="O474" s="343">
        <v>0</v>
      </c>
      <c r="P474" s="169">
        <f>0</f>
        <v>0</v>
      </c>
      <c r="Q474" s="169">
        <v>0</v>
      </c>
      <c r="R474" s="169">
        <f>0</f>
        <v>0</v>
      </c>
      <c r="S474" s="169">
        <v>0</v>
      </c>
      <c r="T474" s="169">
        <v>0</v>
      </c>
      <c r="U474" s="169">
        <v>0</v>
      </c>
      <c r="V474" s="169">
        <f>0</f>
        <v>0</v>
      </c>
      <c r="W474" s="169">
        <v>1</v>
      </c>
      <c r="X474" s="169">
        <f>0</f>
        <v>0</v>
      </c>
      <c r="Y474" s="169">
        <f>0</f>
        <v>0</v>
      </c>
      <c r="Z474" s="219">
        <f>0</f>
        <v>0</v>
      </c>
      <c r="AA474" s="161">
        <f t="shared" si="22"/>
        <v>1</v>
      </c>
      <c r="AB474" s="186"/>
      <c r="AC474" s="187">
        <f t="shared" si="23"/>
        <v>1</v>
      </c>
      <c r="AD474" s="194">
        <v>44943</v>
      </c>
      <c r="AE474" s="195" t="s">
        <v>284</v>
      </c>
      <c r="AF474" s="189" t="s">
        <v>781</v>
      </c>
      <c r="AG474" s="206"/>
      <c r="AH474" s="195"/>
      <c r="AI474" s="101"/>
      <c r="AJ474" s="102">
        <v>1</v>
      </c>
      <c r="AK474" s="207">
        <f t="shared" si="24"/>
        <v>0</v>
      </c>
      <c r="AL474" s="101" t="s">
        <v>959</v>
      </c>
      <c r="AM474" s="96"/>
      <c r="AN474" s="103"/>
      <c r="AO474" s="208"/>
    </row>
    <row r="475" spans="1:41" s="308" customFormat="1" ht="30.75" customHeight="1" x14ac:dyDescent="0.35">
      <c r="A475" s="244">
        <v>288</v>
      </c>
      <c r="B475" s="253">
        <v>44944</v>
      </c>
      <c r="C475" s="327" t="s">
        <v>817</v>
      </c>
      <c r="D475" s="236" t="s">
        <v>346</v>
      </c>
      <c r="E475" s="236"/>
      <c r="F475" s="185" t="s">
        <v>347</v>
      </c>
      <c r="G475" s="196"/>
      <c r="H475" s="328" t="s">
        <v>1501</v>
      </c>
      <c r="I475" s="321" t="s">
        <v>227</v>
      </c>
      <c r="J475" s="231"/>
      <c r="K475" s="231"/>
      <c r="L475" s="231"/>
      <c r="M475" s="231"/>
      <c r="N475" s="235" t="s">
        <v>814</v>
      </c>
      <c r="O475" s="343">
        <f>0</f>
        <v>0</v>
      </c>
      <c r="P475" s="169">
        <f>0</f>
        <v>0</v>
      </c>
      <c r="Q475" s="169">
        <f>0</f>
        <v>0</v>
      </c>
      <c r="R475" s="169">
        <v>2</v>
      </c>
      <c r="S475" s="169">
        <f>0</f>
        <v>0</v>
      </c>
      <c r="T475" s="169">
        <f>0</f>
        <v>0</v>
      </c>
      <c r="U475" s="169">
        <f>0</f>
        <v>0</v>
      </c>
      <c r="V475" s="169">
        <f>0</f>
        <v>0</v>
      </c>
      <c r="W475" s="169">
        <f>0</f>
        <v>0</v>
      </c>
      <c r="X475" s="169">
        <f>0</f>
        <v>0</v>
      </c>
      <c r="Y475" s="169">
        <f>0</f>
        <v>0</v>
      </c>
      <c r="Z475" s="219">
        <f>0</f>
        <v>0</v>
      </c>
      <c r="AA475" s="192">
        <f t="shared" si="22"/>
        <v>2</v>
      </c>
      <c r="AB475" s="193"/>
      <c r="AC475" s="190">
        <f t="shared" si="23"/>
        <v>2</v>
      </c>
      <c r="AD475" s="194">
        <v>44967</v>
      </c>
      <c r="AE475" s="195" t="s">
        <v>284</v>
      </c>
      <c r="AF475" s="304" t="s">
        <v>1408</v>
      </c>
      <c r="AG475" s="196"/>
      <c r="AH475" s="195"/>
      <c r="AI475" s="98"/>
      <c r="AJ475" s="99">
        <v>2</v>
      </c>
      <c r="AK475" s="197">
        <f t="shared" si="24"/>
        <v>0</v>
      </c>
      <c r="AL475" s="98" t="s">
        <v>1499</v>
      </c>
      <c r="AM475" s="90"/>
      <c r="AN475" s="100"/>
      <c r="AO475" s="198"/>
    </row>
    <row r="476" spans="1:41" s="308" customFormat="1" ht="30.75" customHeight="1" x14ac:dyDescent="0.35">
      <c r="A476" s="244">
        <v>289</v>
      </c>
      <c r="B476" s="253">
        <v>44944</v>
      </c>
      <c r="C476" s="327" t="s">
        <v>817</v>
      </c>
      <c r="D476" s="236" t="s">
        <v>353</v>
      </c>
      <c r="E476" s="236"/>
      <c r="F476" s="185" t="s">
        <v>351</v>
      </c>
      <c r="G476" s="196"/>
      <c r="H476" s="328" t="s">
        <v>353</v>
      </c>
      <c r="I476" s="321" t="s">
        <v>227</v>
      </c>
      <c r="J476" s="97"/>
      <c r="K476" s="97"/>
      <c r="L476" s="97"/>
      <c r="M476" s="97"/>
      <c r="N476" s="235" t="s">
        <v>814</v>
      </c>
      <c r="O476" s="343">
        <f>0</f>
        <v>0</v>
      </c>
      <c r="P476" s="169">
        <f>0</f>
        <v>0</v>
      </c>
      <c r="Q476" s="169">
        <f>0</f>
        <v>0</v>
      </c>
      <c r="R476" s="169">
        <v>2</v>
      </c>
      <c r="S476" s="169">
        <f>0</f>
        <v>0</v>
      </c>
      <c r="T476" s="169">
        <f>0</f>
        <v>0</v>
      </c>
      <c r="U476" s="169">
        <f>0</f>
        <v>0</v>
      </c>
      <c r="V476" s="169">
        <f>0</f>
        <v>0</v>
      </c>
      <c r="W476" s="169">
        <f>0</f>
        <v>0</v>
      </c>
      <c r="X476" s="169">
        <f>0</f>
        <v>0</v>
      </c>
      <c r="Y476" s="169">
        <f>0</f>
        <v>0</v>
      </c>
      <c r="Z476" s="219">
        <f>0</f>
        <v>0</v>
      </c>
      <c r="AA476" s="192">
        <f t="shared" si="22"/>
        <v>2</v>
      </c>
      <c r="AB476" s="193"/>
      <c r="AC476" s="190">
        <f t="shared" si="23"/>
        <v>2</v>
      </c>
      <c r="AD476" s="194">
        <v>44967</v>
      </c>
      <c r="AE476" s="195" t="s">
        <v>284</v>
      </c>
      <c r="AF476" s="304" t="s">
        <v>1408</v>
      </c>
      <c r="AG476" s="196"/>
      <c r="AH476" s="195"/>
      <c r="AI476" s="98"/>
      <c r="AJ476" s="99">
        <v>2</v>
      </c>
      <c r="AK476" s="197">
        <f t="shared" si="24"/>
        <v>0</v>
      </c>
      <c r="AL476" s="98" t="s">
        <v>1499</v>
      </c>
      <c r="AM476" s="90"/>
      <c r="AN476" s="100"/>
      <c r="AO476" s="198"/>
    </row>
    <row r="477" spans="1:41" s="308" customFormat="1" ht="30.75" customHeight="1" x14ac:dyDescent="0.35">
      <c r="A477" s="252">
        <v>291</v>
      </c>
      <c r="B477" s="253">
        <v>44944</v>
      </c>
      <c r="C477" s="327" t="s">
        <v>817</v>
      </c>
      <c r="D477" s="233" t="s">
        <v>800</v>
      </c>
      <c r="E477" s="233"/>
      <c r="F477" s="241" t="s">
        <v>801</v>
      </c>
      <c r="G477" s="206"/>
      <c r="H477" s="329" t="s">
        <v>800</v>
      </c>
      <c r="I477" s="321" t="s">
        <v>227</v>
      </c>
      <c r="J477" s="189"/>
      <c r="K477" s="189"/>
      <c r="L477" s="189"/>
      <c r="M477" s="189"/>
      <c r="N477" s="235" t="s">
        <v>814</v>
      </c>
      <c r="O477" s="343">
        <f>0</f>
        <v>0</v>
      </c>
      <c r="P477" s="169">
        <f>0</f>
        <v>0</v>
      </c>
      <c r="Q477" s="169">
        <f>0</f>
        <v>0</v>
      </c>
      <c r="R477" s="169">
        <v>2</v>
      </c>
      <c r="S477" s="169">
        <f>0</f>
        <v>0</v>
      </c>
      <c r="T477" s="169">
        <f>0</f>
        <v>0</v>
      </c>
      <c r="U477" s="169">
        <f>0</f>
        <v>0</v>
      </c>
      <c r="V477" s="169">
        <f>0</f>
        <v>0</v>
      </c>
      <c r="W477" s="169">
        <f>0</f>
        <v>0</v>
      </c>
      <c r="X477" s="169">
        <f>0</f>
        <v>0</v>
      </c>
      <c r="Y477" s="169">
        <f>0</f>
        <v>0</v>
      </c>
      <c r="Z477" s="219">
        <f>0</f>
        <v>0</v>
      </c>
      <c r="AA477" s="150">
        <f t="shared" si="22"/>
        <v>2</v>
      </c>
      <c r="AB477" s="178"/>
      <c r="AC477" s="179">
        <f t="shared" si="23"/>
        <v>2</v>
      </c>
      <c r="AD477" s="194">
        <v>44967</v>
      </c>
      <c r="AE477" s="195" t="s">
        <v>284</v>
      </c>
      <c r="AF477" s="304" t="s">
        <v>1408</v>
      </c>
      <c r="AG477" s="206"/>
      <c r="AH477" s="205"/>
      <c r="AI477" s="101"/>
      <c r="AJ477" s="102">
        <v>2</v>
      </c>
      <c r="AK477" s="207">
        <f t="shared" si="24"/>
        <v>0</v>
      </c>
      <c r="AL477" s="101" t="s">
        <v>1499</v>
      </c>
      <c r="AM477" s="96"/>
      <c r="AN477" s="103"/>
      <c r="AO477" s="208"/>
    </row>
    <row r="478" spans="1:41" s="308" customFormat="1" ht="30.75" customHeight="1" x14ac:dyDescent="0.35">
      <c r="A478" s="244">
        <v>305</v>
      </c>
      <c r="B478" s="253">
        <v>44944</v>
      </c>
      <c r="C478" s="327" t="s">
        <v>817</v>
      </c>
      <c r="D478" s="233" t="s">
        <v>811</v>
      </c>
      <c r="E478" s="233"/>
      <c r="F478" s="241" t="s">
        <v>351</v>
      </c>
      <c r="G478" s="206"/>
      <c r="H478" s="233" t="s">
        <v>811</v>
      </c>
      <c r="I478" s="321" t="s">
        <v>227</v>
      </c>
      <c r="J478" s="189"/>
      <c r="K478" s="189"/>
      <c r="L478" s="189"/>
      <c r="M478" s="189"/>
      <c r="N478" s="235" t="s">
        <v>814</v>
      </c>
      <c r="O478" s="343">
        <f>0</f>
        <v>0</v>
      </c>
      <c r="P478" s="169">
        <f>0</f>
        <v>0</v>
      </c>
      <c r="Q478" s="169">
        <f>0</f>
        <v>0</v>
      </c>
      <c r="R478" s="169">
        <v>2</v>
      </c>
      <c r="S478" s="169">
        <f>0</f>
        <v>0</v>
      </c>
      <c r="T478" s="169">
        <f>0</f>
        <v>0</v>
      </c>
      <c r="U478" s="169">
        <f>0</f>
        <v>0</v>
      </c>
      <c r="V478" s="169">
        <f>0</f>
        <v>0</v>
      </c>
      <c r="W478" s="169">
        <f>0</f>
        <v>0</v>
      </c>
      <c r="X478" s="169">
        <f>0</f>
        <v>0</v>
      </c>
      <c r="Y478" s="169">
        <f>0</f>
        <v>0</v>
      </c>
      <c r="Z478" s="219">
        <f>0</f>
        <v>0</v>
      </c>
      <c r="AA478" s="150">
        <f t="shared" si="22"/>
        <v>2</v>
      </c>
      <c r="AB478" s="178">
        <v>2</v>
      </c>
      <c r="AC478" s="179">
        <f t="shared" si="23"/>
        <v>0</v>
      </c>
      <c r="AD478" s="194"/>
      <c r="AE478" s="205" t="s">
        <v>531</v>
      </c>
      <c r="AF478" s="148" t="s">
        <v>44</v>
      </c>
      <c r="AG478" s="206"/>
      <c r="AH478" s="205"/>
      <c r="AI478" s="101"/>
      <c r="AJ478" s="102"/>
      <c r="AK478" s="207">
        <f t="shared" si="24"/>
        <v>0</v>
      </c>
      <c r="AL478" s="101" t="s">
        <v>858</v>
      </c>
      <c r="AM478" s="96"/>
      <c r="AN478" s="103"/>
      <c r="AO478" s="208"/>
    </row>
    <row r="479" spans="1:41" s="308" customFormat="1" ht="30.75" customHeight="1" x14ac:dyDescent="0.35">
      <c r="A479" s="244">
        <v>329</v>
      </c>
      <c r="B479" s="253">
        <v>44945</v>
      </c>
      <c r="C479" s="327" t="s">
        <v>863</v>
      </c>
      <c r="D479" s="236" t="s">
        <v>864</v>
      </c>
      <c r="E479" s="236" t="s">
        <v>324</v>
      </c>
      <c r="F479" s="185" t="s">
        <v>865</v>
      </c>
      <c r="G479" s="196" t="s">
        <v>864</v>
      </c>
      <c r="H479" s="97" t="s">
        <v>252</v>
      </c>
      <c r="I479" s="148" t="s">
        <v>227</v>
      </c>
      <c r="J479" s="97" t="s">
        <v>251</v>
      </c>
      <c r="K479" s="97" t="s">
        <v>252</v>
      </c>
      <c r="L479" s="97" t="s">
        <v>252</v>
      </c>
      <c r="M479" s="97"/>
      <c r="N479" s="235" t="s">
        <v>953</v>
      </c>
      <c r="O479" s="343">
        <v>0</v>
      </c>
      <c r="P479" s="169">
        <v>2</v>
      </c>
      <c r="Q479" s="169">
        <v>0</v>
      </c>
      <c r="R479" s="169">
        <v>0</v>
      </c>
      <c r="S479" s="169">
        <v>0</v>
      </c>
      <c r="T479" s="169">
        <v>0</v>
      </c>
      <c r="U479" s="169">
        <v>0</v>
      </c>
      <c r="V479" s="169">
        <f>0</f>
        <v>0</v>
      </c>
      <c r="W479" s="169">
        <v>0</v>
      </c>
      <c r="X479" s="169">
        <f>0</f>
        <v>0</v>
      </c>
      <c r="Y479" s="169">
        <f>0</f>
        <v>0</v>
      </c>
      <c r="Z479" s="219">
        <f>0</f>
        <v>0</v>
      </c>
      <c r="AA479" s="160">
        <f t="shared" si="22"/>
        <v>2</v>
      </c>
      <c r="AB479" s="141">
        <v>2</v>
      </c>
      <c r="AC479" s="172">
        <f t="shared" si="23"/>
        <v>0</v>
      </c>
      <c r="AD479" s="194"/>
      <c r="AE479" s="195" t="s">
        <v>531</v>
      </c>
      <c r="AF479" s="97" t="s">
        <v>44</v>
      </c>
      <c r="AG479" s="196"/>
      <c r="AH479" s="195"/>
      <c r="AI479" s="98"/>
      <c r="AJ479" s="99" t="s">
        <v>1539</v>
      </c>
      <c r="AK479" s="197" t="e">
        <f t="shared" si="24"/>
        <v>#VALUE!</v>
      </c>
      <c r="AL479" s="98" t="s">
        <v>1540</v>
      </c>
      <c r="AM479" s="90"/>
      <c r="AN479" s="100"/>
      <c r="AO479" s="198"/>
    </row>
    <row r="480" spans="1:41" s="308" customFormat="1" ht="30.75" customHeight="1" x14ac:dyDescent="0.35">
      <c r="A480" s="252">
        <v>330</v>
      </c>
      <c r="B480" s="253">
        <v>44945</v>
      </c>
      <c r="C480" s="327" t="s">
        <v>863</v>
      </c>
      <c r="D480" s="236" t="s">
        <v>866</v>
      </c>
      <c r="E480" s="400" t="s">
        <v>324</v>
      </c>
      <c r="F480" s="185" t="s">
        <v>756</v>
      </c>
      <c r="G480" s="196" t="s">
        <v>866</v>
      </c>
      <c r="H480" s="97" t="s">
        <v>866</v>
      </c>
      <c r="I480" s="148" t="s">
        <v>227</v>
      </c>
      <c r="J480" s="97" t="s">
        <v>251</v>
      </c>
      <c r="K480" s="97" t="s">
        <v>252</v>
      </c>
      <c r="L480" s="97" t="s">
        <v>252</v>
      </c>
      <c r="M480" s="97"/>
      <c r="N480" s="235" t="s">
        <v>952</v>
      </c>
      <c r="O480" s="343">
        <v>0</v>
      </c>
      <c r="P480" s="169">
        <v>1</v>
      </c>
      <c r="Q480" s="169">
        <v>0</v>
      </c>
      <c r="R480" s="169">
        <v>0</v>
      </c>
      <c r="S480" s="169">
        <v>0</v>
      </c>
      <c r="T480" s="169">
        <v>0</v>
      </c>
      <c r="U480" s="169">
        <v>0</v>
      </c>
      <c r="V480" s="169">
        <f>0</f>
        <v>0</v>
      </c>
      <c r="W480" s="169">
        <v>0</v>
      </c>
      <c r="X480" s="169">
        <f>0</f>
        <v>0</v>
      </c>
      <c r="Y480" s="169">
        <f>0</f>
        <v>0</v>
      </c>
      <c r="Z480" s="219">
        <f>0</f>
        <v>0</v>
      </c>
      <c r="AA480" s="192">
        <f t="shared" si="22"/>
        <v>1</v>
      </c>
      <c r="AB480" s="193"/>
      <c r="AC480" s="190">
        <f t="shared" si="23"/>
        <v>1</v>
      </c>
      <c r="AD480" s="194">
        <v>44967</v>
      </c>
      <c r="AE480" s="195" t="s">
        <v>284</v>
      </c>
      <c r="AF480" s="304" t="s">
        <v>1408</v>
      </c>
      <c r="AG480" s="196"/>
      <c r="AH480" s="195"/>
      <c r="AI480" s="98"/>
      <c r="AJ480" s="99">
        <v>1</v>
      </c>
      <c r="AK480" s="197">
        <f t="shared" si="24"/>
        <v>0</v>
      </c>
      <c r="AL480" s="98" t="s">
        <v>1499</v>
      </c>
      <c r="AM480" s="90"/>
      <c r="AN480" s="100"/>
      <c r="AO480" s="198"/>
    </row>
    <row r="481" spans="1:41" s="308" customFormat="1" ht="30.75" customHeight="1" x14ac:dyDescent="0.35">
      <c r="A481" s="244">
        <v>331</v>
      </c>
      <c r="B481" s="253">
        <v>44945</v>
      </c>
      <c r="C481" s="327" t="s">
        <v>863</v>
      </c>
      <c r="D481" s="236" t="s">
        <v>867</v>
      </c>
      <c r="E481" s="400" t="s">
        <v>330</v>
      </c>
      <c r="F481" s="185" t="s">
        <v>351</v>
      </c>
      <c r="G481" s="196" t="s">
        <v>867</v>
      </c>
      <c r="H481" s="97" t="s">
        <v>867</v>
      </c>
      <c r="I481" s="148" t="s">
        <v>227</v>
      </c>
      <c r="J481" s="97" t="s">
        <v>252</v>
      </c>
      <c r="K481" s="97" t="s">
        <v>252</v>
      </c>
      <c r="L481" s="97" t="s">
        <v>252</v>
      </c>
      <c r="M481" s="97"/>
      <c r="N481" s="235" t="s">
        <v>955</v>
      </c>
      <c r="O481" s="343">
        <v>0</v>
      </c>
      <c r="P481" s="169">
        <v>1</v>
      </c>
      <c r="Q481" s="169">
        <v>0</v>
      </c>
      <c r="R481" s="169">
        <v>0</v>
      </c>
      <c r="S481" s="169">
        <v>0</v>
      </c>
      <c r="T481" s="169">
        <v>0</v>
      </c>
      <c r="U481" s="169">
        <v>0</v>
      </c>
      <c r="V481" s="169">
        <f>0</f>
        <v>0</v>
      </c>
      <c r="W481" s="169">
        <v>0</v>
      </c>
      <c r="X481" s="169">
        <f>0</f>
        <v>0</v>
      </c>
      <c r="Y481" s="169">
        <f>0</f>
        <v>0</v>
      </c>
      <c r="Z481" s="219">
        <f>0</f>
        <v>0</v>
      </c>
      <c r="AA481" s="192">
        <f t="shared" si="22"/>
        <v>1</v>
      </c>
      <c r="AB481" s="193"/>
      <c r="AC481" s="190">
        <f t="shared" si="23"/>
        <v>1</v>
      </c>
      <c r="AD481" s="194">
        <v>44967</v>
      </c>
      <c r="AE481" s="195" t="s">
        <v>284</v>
      </c>
      <c r="AF481" s="304" t="s">
        <v>1408</v>
      </c>
      <c r="AG481" s="196"/>
      <c r="AH481" s="195"/>
      <c r="AI481" s="98"/>
      <c r="AJ481" s="99">
        <v>1</v>
      </c>
      <c r="AK481" s="197">
        <f t="shared" si="24"/>
        <v>0</v>
      </c>
      <c r="AL481" s="98" t="s">
        <v>1499</v>
      </c>
      <c r="AM481" s="90"/>
      <c r="AN481" s="100"/>
      <c r="AO481" s="198"/>
    </row>
    <row r="482" spans="1:41" s="308" customFormat="1" ht="30.75" customHeight="1" x14ac:dyDescent="0.35">
      <c r="A482" s="244">
        <v>332</v>
      </c>
      <c r="B482" s="253">
        <v>44945</v>
      </c>
      <c r="C482" s="327" t="s">
        <v>863</v>
      </c>
      <c r="D482" s="236" t="s">
        <v>868</v>
      </c>
      <c r="E482" s="236" t="s">
        <v>340</v>
      </c>
      <c r="F482" s="185" t="s">
        <v>351</v>
      </c>
      <c r="G482" s="196" t="s">
        <v>868</v>
      </c>
      <c r="H482" s="97" t="s">
        <v>868</v>
      </c>
      <c r="I482" s="148" t="s">
        <v>227</v>
      </c>
      <c r="J482" s="97" t="s">
        <v>251</v>
      </c>
      <c r="K482" s="97" t="s">
        <v>252</v>
      </c>
      <c r="L482" s="97" t="s">
        <v>252</v>
      </c>
      <c r="M482" s="97"/>
      <c r="N482" s="235" t="s">
        <v>954</v>
      </c>
      <c r="O482" s="343">
        <v>0</v>
      </c>
      <c r="P482" s="169">
        <v>2</v>
      </c>
      <c r="Q482" s="169">
        <v>0</v>
      </c>
      <c r="R482" s="169">
        <v>0</v>
      </c>
      <c r="S482" s="169">
        <v>0</v>
      </c>
      <c r="T482" s="169">
        <v>0</v>
      </c>
      <c r="U482" s="169">
        <v>0</v>
      </c>
      <c r="V482" s="169">
        <f>0</f>
        <v>0</v>
      </c>
      <c r="W482" s="169">
        <v>0</v>
      </c>
      <c r="X482" s="169">
        <f>0</f>
        <v>0</v>
      </c>
      <c r="Y482" s="169">
        <f>0</f>
        <v>0</v>
      </c>
      <c r="Z482" s="219">
        <f>0</f>
        <v>0</v>
      </c>
      <c r="AA482" s="192">
        <f t="shared" si="22"/>
        <v>2</v>
      </c>
      <c r="AB482" s="193"/>
      <c r="AC482" s="190">
        <f t="shared" si="23"/>
        <v>2</v>
      </c>
      <c r="AD482" s="194">
        <v>44967</v>
      </c>
      <c r="AE482" s="195" t="s">
        <v>284</v>
      </c>
      <c r="AF482" s="304" t="s">
        <v>1408</v>
      </c>
      <c r="AG482" s="196"/>
      <c r="AH482" s="195"/>
      <c r="AI482" s="98"/>
      <c r="AJ482" s="99">
        <v>2</v>
      </c>
      <c r="AK482" s="197">
        <f t="shared" si="24"/>
        <v>0</v>
      </c>
      <c r="AL482" s="98" t="s">
        <v>1504</v>
      </c>
      <c r="AM482" s="90"/>
      <c r="AN482" s="100"/>
      <c r="AO482" s="198"/>
    </row>
    <row r="483" spans="1:41" s="308" customFormat="1" ht="30.75" customHeight="1" x14ac:dyDescent="0.35">
      <c r="A483" s="252">
        <v>333</v>
      </c>
      <c r="B483" s="253">
        <v>44945</v>
      </c>
      <c r="C483" s="327" t="s">
        <v>863</v>
      </c>
      <c r="D483" s="236" t="s">
        <v>869</v>
      </c>
      <c r="E483" s="400" t="s">
        <v>324</v>
      </c>
      <c r="F483" s="185" t="s">
        <v>756</v>
      </c>
      <c r="G483" s="196" t="s">
        <v>869</v>
      </c>
      <c r="H483" s="97" t="s">
        <v>869</v>
      </c>
      <c r="I483" s="148" t="s">
        <v>227</v>
      </c>
      <c r="J483" s="97" t="s">
        <v>251</v>
      </c>
      <c r="K483" s="97" t="s">
        <v>252</v>
      </c>
      <c r="L483" s="97" t="s">
        <v>252</v>
      </c>
      <c r="M483" s="97"/>
      <c r="N483" s="235" t="s">
        <v>952</v>
      </c>
      <c r="O483" s="343">
        <v>0</v>
      </c>
      <c r="P483" s="169">
        <v>1</v>
      </c>
      <c r="Q483" s="169">
        <v>0</v>
      </c>
      <c r="R483" s="169">
        <v>0</v>
      </c>
      <c r="S483" s="169">
        <v>0</v>
      </c>
      <c r="T483" s="169">
        <v>0</v>
      </c>
      <c r="U483" s="169">
        <v>0</v>
      </c>
      <c r="V483" s="169">
        <f>0</f>
        <v>0</v>
      </c>
      <c r="W483" s="169">
        <v>0</v>
      </c>
      <c r="X483" s="169">
        <f>0</f>
        <v>0</v>
      </c>
      <c r="Y483" s="169">
        <f>0</f>
        <v>0</v>
      </c>
      <c r="Z483" s="219">
        <f>0</f>
        <v>0</v>
      </c>
      <c r="AA483" s="192">
        <f t="shared" si="22"/>
        <v>1</v>
      </c>
      <c r="AB483" s="193"/>
      <c r="AC483" s="190">
        <f t="shared" si="23"/>
        <v>1</v>
      </c>
      <c r="AD483" s="194">
        <v>44967</v>
      </c>
      <c r="AE483" s="195" t="s">
        <v>284</v>
      </c>
      <c r="AF483" s="282" t="s">
        <v>1408</v>
      </c>
      <c r="AG483" s="196"/>
      <c r="AH483" s="195"/>
      <c r="AI483" s="98"/>
      <c r="AJ483" s="99">
        <v>1</v>
      </c>
      <c r="AK483" s="197">
        <f t="shared" si="24"/>
        <v>0</v>
      </c>
      <c r="AL483" s="98" t="s">
        <v>1499</v>
      </c>
      <c r="AM483" s="90"/>
      <c r="AN483" s="100"/>
      <c r="AO483" s="198"/>
    </row>
    <row r="484" spans="1:41" s="308" customFormat="1" ht="30.75" customHeight="1" x14ac:dyDescent="0.35">
      <c r="A484" s="244">
        <v>334</v>
      </c>
      <c r="B484" s="253">
        <v>44945</v>
      </c>
      <c r="C484" s="327" t="s">
        <v>863</v>
      </c>
      <c r="D484" s="236" t="s">
        <v>896</v>
      </c>
      <c r="E484" s="400" t="s">
        <v>330</v>
      </c>
      <c r="F484" s="185" t="s">
        <v>1353</v>
      </c>
      <c r="G484" s="196" t="s">
        <v>870</v>
      </c>
      <c r="H484" s="97" t="s">
        <v>870</v>
      </c>
      <c r="I484" s="148" t="s">
        <v>227</v>
      </c>
      <c r="J484" s="97" t="s">
        <v>251</v>
      </c>
      <c r="K484" s="97" t="s">
        <v>252</v>
      </c>
      <c r="L484" s="97" t="s">
        <v>252</v>
      </c>
      <c r="M484" s="97"/>
      <c r="N484" s="235" t="s">
        <v>956</v>
      </c>
      <c r="O484" s="343">
        <v>0</v>
      </c>
      <c r="P484" s="169">
        <v>4</v>
      </c>
      <c r="Q484" s="169">
        <v>0</v>
      </c>
      <c r="R484" s="169">
        <v>0</v>
      </c>
      <c r="S484" s="169">
        <v>0</v>
      </c>
      <c r="T484" s="169">
        <v>0</v>
      </c>
      <c r="U484" s="169">
        <v>0</v>
      </c>
      <c r="V484" s="169">
        <f>0</f>
        <v>0</v>
      </c>
      <c r="W484" s="169">
        <v>0</v>
      </c>
      <c r="X484" s="169">
        <f>0</f>
        <v>0</v>
      </c>
      <c r="Y484" s="169">
        <f>0</f>
        <v>0</v>
      </c>
      <c r="Z484" s="219">
        <f>0</f>
        <v>0</v>
      </c>
      <c r="AA484" s="192">
        <f t="shared" si="22"/>
        <v>4</v>
      </c>
      <c r="AB484" s="193"/>
      <c r="AC484" s="190">
        <f t="shared" si="23"/>
        <v>4</v>
      </c>
      <c r="AD484" s="194">
        <v>44967</v>
      </c>
      <c r="AE484" s="195" t="s">
        <v>284</v>
      </c>
      <c r="AF484" s="282" t="s">
        <v>1408</v>
      </c>
      <c r="AG484" s="196"/>
      <c r="AH484" s="195"/>
      <c r="AI484" s="98"/>
      <c r="AJ484" s="99">
        <v>4</v>
      </c>
      <c r="AK484" s="197">
        <f t="shared" si="24"/>
        <v>0</v>
      </c>
      <c r="AL484" s="98" t="s">
        <v>1499</v>
      </c>
      <c r="AM484" s="90"/>
      <c r="AN484" s="100"/>
      <c r="AO484" s="198"/>
    </row>
    <row r="485" spans="1:41" s="308" customFormat="1" ht="30.75" customHeight="1" x14ac:dyDescent="0.35">
      <c r="A485" s="244">
        <v>344</v>
      </c>
      <c r="B485" s="253">
        <v>44945</v>
      </c>
      <c r="C485" s="327" t="s">
        <v>863</v>
      </c>
      <c r="D485" s="236" t="s">
        <v>888</v>
      </c>
      <c r="E485" s="236" t="s">
        <v>330</v>
      </c>
      <c r="F485" s="185" t="s">
        <v>889</v>
      </c>
      <c r="G485" s="196" t="s">
        <v>888</v>
      </c>
      <c r="H485" s="97" t="s">
        <v>252</v>
      </c>
      <c r="I485" s="148" t="s">
        <v>227</v>
      </c>
      <c r="J485" s="97" t="s">
        <v>251</v>
      </c>
      <c r="K485" s="97" t="s">
        <v>252</v>
      </c>
      <c r="L485" s="97" t="s">
        <v>252</v>
      </c>
      <c r="M485" s="97"/>
      <c r="N485" s="235" t="s">
        <v>952</v>
      </c>
      <c r="O485" s="343">
        <v>0</v>
      </c>
      <c r="P485" s="169">
        <v>1</v>
      </c>
      <c r="Q485" s="169">
        <v>0</v>
      </c>
      <c r="R485" s="169">
        <v>0</v>
      </c>
      <c r="S485" s="169">
        <v>0</v>
      </c>
      <c r="T485" s="169">
        <v>0</v>
      </c>
      <c r="U485" s="169">
        <v>0</v>
      </c>
      <c r="V485" s="169">
        <f>0</f>
        <v>0</v>
      </c>
      <c r="W485" s="169">
        <v>0</v>
      </c>
      <c r="X485" s="169">
        <f>0</f>
        <v>0</v>
      </c>
      <c r="Y485" s="169">
        <f>0</f>
        <v>0</v>
      </c>
      <c r="Z485" s="219">
        <f>0</f>
        <v>0</v>
      </c>
      <c r="AA485" s="160">
        <f t="shared" si="22"/>
        <v>1</v>
      </c>
      <c r="AB485" s="141">
        <v>1</v>
      </c>
      <c r="AC485" s="172">
        <f t="shared" si="23"/>
        <v>0</v>
      </c>
      <c r="AD485" s="194"/>
      <c r="AE485" s="195" t="s">
        <v>531</v>
      </c>
      <c r="AF485" s="148" t="s">
        <v>44</v>
      </c>
      <c r="AG485" s="196"/>
      <c r="AH485" s="195"/>
      <c r="AI485" s="98"/>
      <c r="AJ485" s="99" t="s">
        <v>501</v>
      </c>
      <c r="AK485" s="197" t="e">
        <f t="shared" si="24"/>
        <v>#VALUE!</v>
      </c>
      <c r="AL485" s="98" t="s">
        <v>959</v>
      </c>
      <c r="AM485" s="90"/>
      <c r="AN485" s="100"/>
      <c r="AO485" s="198"/>
    </row>
    <row r="486" spans="1:41" s="308" customFormat="1" ht="30.75" customHeight="1" x14ac:dyDescent="0.35">
      <c r="A486" s="244">
        <v>345</v>
      </c>
      <c r="B486" s="253">
        <v>44945</v>
      </c>
      <c r="C486" s="327" t="s">
        <v>863</v>
      </c>
      <c r="D486" s="233" t="s">
        <v>890</v>
      </c>
      <c r="E486" s="287">
        <v>0</v>
      </c>
      <c r="F486" s="241" t="s">
        <v>948</v>
      </c>
      <c r="G486" s="206" t="s">
        <v>890</v>
      </c>
      <c r="H486" s="189" t="s">
        <v>252</v>
      </c>
      <c r="I486" s="148" t="s">
        <v>227</v>
      </c>
      <c r="J486" s="189" t="s">
        <v>251</v>
      </c>
      <c r="K486" s="189" t="s">
        <v>252</v>
      </c>
      <c r="L486" s="189" t="s">
        <v>252</v>
      </c>
      <c r="M486" s="189"/>
      <c r="N486" s="235" t="s">
        <v>952</v>
      </c>
      <c r="O486" s="343">
        <v>0</v>
      </c>
      <c r="P486" s="169">
        <v>1</v>
      </c>
      <c r="Q486" s="169">
        <v>0</v>
      </c>
      <c r="R486" s="169">
        <v>0</v>
      </c>
      <c r="S486" s="169">
        <v>0</v>
      </c>
      <c r="T486" s="169">
        <v>0</v>
      </c>
      <c r="U486" s="169">
        <v>0</v>
      </c>
      <c r="V486" s="169">
        <f>0</f>
        <v>0</v>
      </c>
      <c r="W486" s="169">
        <v>0</v>
      </c>
      <c r="X486" s="169">
        <f>0</f>
        <v>0</v>
      </c>
      <c r="Y486" s="169">
        <f>0</f>
        <v>0</v>
      </c>
      <c r="Z486" s="219">
        <f>0</f>
        <v>0</v>
      </c>
      <c r="AA486" s="150">
        <f t="shared" si="22"/>
        <v>1</v>
      </c>
      <c r="AB486" s="178"/>
      <c r="AC486" s="179">
        <f t="shared" si="23"/>
        <v>1</v>
      </c>
      <c r="AD486" s="204">
        <v>44967</v>
      </c>
      <c r="AE486" s="205" t="s">
        <v>284</v>
      </c>
      <c r="AF486" s="304" t="s">
        <v>1408</v>
      </c>
      <c r="AG486" s="206"/>
      <c r="AH486" s="205"/>
      <c r="AI486" s="101"/>
      <c r="AJ486" s="102">
        <v>1</v>
      </c>
      <c r="AK486" s="207">
        <f t="shared" si="24"/>
        <v>0</v>
      </c>
      <c r="AL486" s="101" t="s">
        <v>1504</v>
      </c>
      <c r="AM486" s="96"/>
      <c r="AN486" s="103"/>
      <c r="AO486" s="208"/>
    </row>
    <row r="487" spans="1:41" s="308" customFormat="1" ht="30.75" customHeight="1" x14ac:dyDescent="0.35">
      <c r="A487" s="244">
        <v>457</v>
      </c>
      <c r="B487" s="253">
        <v>44946</v>
      </c>
      <c r="C487" s="327" t="s">
        <v>456</v>
      </c>
      <c r="D487" s="236"/>
      <c r="E487" s="236"/>
      <c r="F487" s="185" t="s">
        <v>1042</v>
      </c>
      <c r="G487" s="97" t="s">
        <v>1139</v>
      </c>
      <c r="H487" s="97" t="s">
        <v>1139</v>
      </c>
      <c r="I487" s="148" t="s">
        <v>227</v>
      </c>
      <c r="J487" s="97"/>
      <c r="K487" s="97"/>
      <c r="L487" s="97"/>
      <c r="M487" s="97"/>
      <c r="N487" s="235"/>
      <c r="O487" s="343">
        <v>6</v>
      </c>
      <c r="P487" s="169">
        <v>0</v>
      </c>
      <c r="Q487" s="169">
        <v>0</v>
      </c>
      <c r="R487" s="169">
        <v>0</v>
      </c>
      <c r="S487" s="169">
        <v>0</v>
      </c>
      <c r="T487" s="169">
        <v>0</v>
      </c>
      <c r="U487" s="169">
        <v>0</v>
      </c>
      <c r="V487" s="169">
        <v>0</v>
      </c>
      <c r="W487" s="169">
        <v>0</v>
      </c>
      <c r="X487" s="169">
        <v>0</v>
      </c>
      <c r="Y487" s="169">
        <f>0</f>
        <v>0</v>
      </c>
      <c r="Z487" s="219">
        <f>0</f>
        <v>0</v>
      </c>
      <c r="AA487" s="192">
        <f t="shared" si="22"/>
        <v>6</v>
      </c>
      <c r="AB487" s="193"/>
      <c r="AC487" s="190">
        <f t="shared" si="23"/>
        <v>6</v>
      </c>
      <c r="AD487" s="194">
        <v>44967</v>
      </c>
      <c r="AE487" s="195" t="s">
        <v>284</v>
      </c>
      <c r="AF487" s="304" t="s">
        <v>1408</v>
      </c>
      <c r="AG487" s="196"/>
      <c r="AH487" s="195"/>
      <c r="AI487" s="98"/>
      <c r="AJ487" s="99">
        <v>6</v>
      </c>
      <c r="AK487" s="197">
        <f t="shared" si="24"/>
        <v>0</v>
      </c>
      <c r="AL487" s="98" t="s">
        <v>1499</v>
      </c>
      <c r="AM487" s="90"/>
      <c r="AN487" s="100"/>
      <c r="AO487" s="198"/>
    </row>
    <row r="488" spans="1:41" s="308" customFormat="1" ht="30.75" customHeight="1" x14ac:dyDescent="0.35">
      <c r="A488" s="252">
        <v>458</v>
      </c>
      <c r="B488" s="253">
        <v>44946</v>
      </c>
      <c r="C488" s="327" t="s">
        <v>456</v>
      </c>
      <c r="D488" s="233"/>
      <c r="E488" s="233"/>
      <c r="F488" s="241" t="s">
        <v>1043</v>
      </c>
      <c r="G488" s="189" t="s">
        <v>1140</v>
      </c>
      <c r="H488" s="189" t="s">
        <v>1140</v>
      </c>
      <c r="I488" s="148" t="s">
        <v>227</v>
      </c>
      <c r="J488" s="189"/>
      <c r="K488" s="189"/>
      <c r="L488" s="189"/>
      <c r="M488" s="189"/>
      <c r="N488" s="235"/>
      <c r="O488" s="343">
        <v>2</v>
      </c>
      <c r="P488" s="169">
        <v>0</v>
      </c>
      <c r="Q488" s="169">
        <v>0</v>
      </c>
      <c r="R488" s="169">
        <v>0</v>
      </c>
      <c r="S488" s="169">
        <v>0</v>
      </c>
      <c r="T488" s="169">
        <v>0</v>
      </c>
      <c r="U488" s="169">
        <v>0</v>
      </c>
      <c r="V488" s="169">
        <v>0</v>
      </c>
      <c r="W488" s="169">
        <v>0</v>
      </c>
      <c r="X488" s="169">
        <v>0</v>
      </c>
      <c r="Y488" s="169">
        <f>0</f>
        <v>0</v>
      </c>
      <c r="Z488" s="219">
        <f>0</f>
        <v>0</v>
      </c>
      <c r="AA488" s="161">
        <f t="shared" si="22"/>
        <v>2</v>
      </c>
      <c r="AB488" s="186">
        <v>2</v>
      </c>
      <c r="AC488" s="187">
        <f t="shared" si="23"/>
        <v>0</v>
      </c>
      <c r="AD488" s="194"/>
      <c r="AE488" s="195" t="s">
        <v>531</v>
      </c>
      <c r="AF488" s="189" t="s">
        <v>1242</v>
      </c>
      <c r="AG488" s="206"/>
      <c r="AH488" s="195"/>
      <c r="AI488" s="101"/>
      <c r="AJ488" s="102" t="s">
        <v>501</v>
      </c>
      <c r="AK488" s="207" t="e">
        <f t="shared" si="24"/>
        <v>#VALUE!</v>
      </c>
      <c r="AL488" s="101" t="s">
        <v>1239</v>
      </c>
      <c r="AM488" s="96"/>
      <c r="AN488" s="103"/>
      <c r="AO488" s="208"/>
    </row>
    <row r="489" spans="1:41" s="308" customFormat="1" ht="30.75" customHeight="1" x14ac:dyDescent="0.35">
      <c r="A489" s="252">
        <v>459</v>
      </c>
      <c r="B489" s="253">
        <v>44946</v>
      </c>
      <c r="C489" s="327" t="s">
        <v>456</v>
      </c>
      <c r="D489" s="236"/>
      <c r="E489" s="236"/>
      <c r="F489" s="185" t="s">
        <v>1043</v>
      </c>
      <c r="G489" s="97" t="s">
        <v>1141</v>
      </c>
      <c r="H489" s="97" t="s">
        <v>1141</v>
      </c>
      <c r="I489" s="148" t="s">
        <v>227</v>
      </c>
      <c r="J489" s="97"/>
      <c r="K489" s="97"/>
      <c r="L489" s="97"/>
      <c r="M489" s="97"/>
      <c r="N489" s="235"/>
      <c r="O489" s="343">
        <v>2</v>
      </c>
      <c r="P489" s="169">
        <v>0</v>
      </c>
      <c r="Q489" s="169">
        <v>0</v>
      </c>
      <c r="R489" s="169">
        <v>0</v>
      </c>
      <c r="S489" s="169">
        <v>0</v>
      </c>
      <c r="T489" s="169">
        <v>0</v>
      </c>
      <c r="U489" s="169">
        <v>0</v>
      </c>
      <c r="V489" s="169">
        <v>0</v>
      </c>
      <c r="W489" s="169">
        <v>0</v>
      </c>
      <c r="X489" s="169">
        <v>0</v>
      </c>
      <c r="Y489" s="169">
        <f>0</f>
        <v>0</v>
      </c>
      <c r="Z489" s="219">
        <f>0</f>
        <v>0</v>
      </c>
      <c r="AA489" s="160">
        <f t="shared" si="22"/>
        <v>2</v>
      </c>
      <c r="AB489" s="141">
        <v>2</v>
      </c>
      <c r="AC489" s="172">
        <f t="shared" si="23"/>
        <v>0</v>
      </c>
      <c r="AD489" s="194"/>
      <c r="AE489" s="195" t="s">
        <v>531</v>
      </c>
      <c r="AF489" s="148" t="s">
        <v>1242</v>
      </c>
      <c r="AG489" s="196"/>
      <c r="AH489" s="195"/>
      <c r="AI489" s="98"/>
      <c r="AJ489" s="99" t="s">
        <v>501</v>
      </c>
      <c r="AK489" s="197" t="e">
        <f t="shared" si="24"/>
        <v>#VALUE!</v>
      </c>
      <c r="AL489" s="98" t="s">
        <v>1239</v>
      </c>
      <c r="AM489" s="90"/>
      <c r="AN489" s="100"/>
      <c r="AO489" s="198"/>
    </row>
    <row r="490" spans="1:41" s="308" customFormat="1" ht="30.75" customHeight="1" x14ac:dyDescent="0.35">
      <c r="A490" s="252">
        <v>460</v>
      </c>
      <c r="B490" s="253">
        <v>44946</v>
      </c>
      <c r="C490" s="327" t="s">
        <v>456</v>
      </c>
      <c r="D490" s="236"/>
      <c r="E490" s="400"/>
      <c r="F490" s="185" t="s">
        <v>1044</v>
      </c>
      <c r="G490" s="97" t="s">
        <v>1142</v>
      </c>
      <c r="H490" s="97" t="s">
        <v>1142</v>
      </c>
      <c r="I490" s="148" t="s">
        <v>227</v>
      </c>
      <c r="J490" s="97"/>
      <c r="K490" s="97"/>
      <c r="L490" s="97"/>
      <c r="M490" s="97"/>
      <c r="N490" s="235"/>
      <c r="O490" s="343">
        <v>1</v>
      </c>
      <c r="P490" s="169">
        <v>0</v>
      </c>
      <c r="Q490" s="169">
        <v>0</v>
      </c>
      <c r="R490" s="169">
        <v>0</v>
      </c>
      <c r="S490" s="169">
        <v>0</v>
      </c>
      <c r="T490" s="169">
        <v>0</v>
      </c>
      <c r="U490" s="169">
        <v>0</v>
      </c>
      <c r="V490" s="169">
        <v>0</v>
      </c>
      <c r="W490" s="169">
        <v>0</v>
      </c>
      <c r="X490" s="169">
        <v>0</v>
      </c>
      <c r="Y490" s="169">
        <f>0</f>
        <v>0</v>
      </c>
      <c r="Z490" s="219">
        <f>0</f>
        <v>0</v>
      </c>
      <c r="AA490" s="192">
        <f t="shared" si="22"/>
        <v>1</v>
      </c>
      <c r="AB490" s="193"/>
      <c r="AC490" s="190">
        <f t="shared" si="23"/>
        <v>1</v>
      </c>
      <c r="AD490" s="194">
        <v>44967</v>
      </c>
      <c r="AE490" s="195" t="s">
        <v>284</v>
      </c>
      <c r="AF490" s="282" t="s">
        <v>1408</v>
      </c>
      <c r="AG490" s="196"/>
      <c r="AH490" s="195"/>
      <c r="AI490" s="98"/>
      <c r="AJ490" s="99">
        <v>1</v>
      </c>
      <c r="AK490" s="197">
        <f t="shared" si="24"/>
        <v>0</v>
      </c>
      <c r="AL490" s="98" t="s">
        <v>1499</v>
      </c>
      <c r="AM490" s="90"/>
      <c r="AN490" s="100"/>
      <c r="AO490" s="198"/>
    </row>
    <row r="491" spans="1:41" s="308" customFormat="1" ht="30.75" customHeight="1" x14ac:dyDescent="0.35">
      <c r="A491" s="252">
        <v>461</v>
      </c>
      <c r="B491" s="253">
        <v>44946</v>
      </c>
      <c r="C491" s="327" t="s">
        <v>456</v>
      </c>
      <c r="D491" s="236"/>
      <c r="E491" s="400"/>
      <c r="F491" s="185" t="s">
        <v>1044</v>
      </c>
      <c r="G491" s="97" t="s">
        <v>1143</v>
      </c>
      <c r="H491" s="97" t="s">
        <v>1143</v>
      </c>
      <c r="I491" s="148" t="s">
        <v>227</v>
      </c>
      <c r="J491" s="97"/>
      <c r="K491" s="97"/>
      <c r="L491" s="97"/>
      <c r="M491" s="97"/>
      <c r="N491" s="235"/>
      <c r="O491" s="343">
        <v>1</v>
      </c>
      <c r="P491" s="169">
        <v>0</v>
      </c>
      <c r="Q491" s="169">
        <v>0</v>
      </c>
      <c r="R491" s="169">
        <v>0</v>
      </c>
      <c r="S491" s="169">
        <v>0</v>
      </c>
      <c r="T491" s="169">
        <v>0</v>
      </c>
      <c r="U491" s="169">
        <v>0</v>
      </c>
      <c r="V491" s="169">
        <v>0</v>
      </c>
      <c r="W491" s="169">
        <v>0</v>
      </c>
      <c r="X491" s="169">
        <v>0</v>
      </c>
      <c r="Y491" s="169">
        <f>0</f>
        <v>0</v>
      </c>
      <c r="Z491" s="219">
        <f>0</f>
        <v>0</v>
      </c>
      <c r="AA491" s="192">
        <f t="shared" si="22"/>
        <v>1</v>
      </c>
      <c r="AB491" s="193"/>
      <c r="AC491" s="190">
        <f t="shared" si="23"/>
        <v>1</v>
      </c>
      <c r="AD491" s="194">
        <v>44967</v>
      </c>
      <c r="AE491" s="195" t="s">
        <v>284</v>
      </c>
      <c r="AF491" s="304" t="s">
        <v>1408</v>
      </c>
      <c r="AG491" s="196"/>
      <c r="AH491" s="195"/>
      <c r="AI491" s="98"/>
      <c r="AJ491" s="99">
        <v>1</v>
      </c>
      <c r="AK491" s="197">
        <f t="shared" si="24"/>
        <v>0</v>
      </c>
      <c r="AL491" s="98" t="s">
        <v>1499</v>
      </c>
      <c r="AM491" s="90"/>
      <c r="AN491" s="100"/>
      <c r="AO491" s="198"/>
    </row>
    <row r="492" spans="1:41" s="308" customFormat="1" ht="30.75" customHeight="1" x14ac:dyDescent="0.35">
      <c r="A492" s="252">
        <v>462</v>
      </c>
      <c r="B492" s="253">
        <v>44946</v>
      </c>
      <c r="C492" s="327" t="s">
        <v>456</v>
      </c>
      <c r="D492" s="236"/>
      <c r="E492" s="236"/>
      <c r="F492" s="185" t="s">
        <v>1045</v>
      </c>
      <c r="G492" s="97" t="s">
        <v>1144</v>
      </c>
      <c r="H492" s="97" t="s">
        <v>1144</v>
      </c>
      <c r="I492" s="148" t="s">
        <v>227</v>
      </c>
      <c r="J492" s="97"/>
      <c r="K492" s="97"/>
      <c r="L492" s="97"/>
      <c r="M492" s="97"/>
      <c r="N492" s="235"/>
      <c r="O492" s="343">
        <v>2</v>
      </c>
      <c r="P492" s="169">
        <v>0</v>
      </c>
      <c r="Q492" s="169">
        <v>0</v>
      </c>
      <c r="R492" s="169">
        <v>0</v>
      </c>
      <c r="S492" s="169">
        <v>0</v>
      </c>
      <c r="T492" s="169">
        <v>0</v>
      </c>
      <c r="U492" s="169">
        <v>0</v>
      </c>
      <c r="V492" s="169">
        <v>0</v>
      </c>
      <c r="W492" s="169">
        <v>0</v>
      </c>
      <c r="X492" s="169">
        <v>0</v>
      </c>
      <c r="Y492" s="169">
        <f>0</f>
        <v>0</v>
      </c>
      <c r="Z492" s="219">
        <f>0</f>
        <v>0</v>
      </c>
      <c r="AA492" s="160">
        <f t="shared" si="22"/>
        <v>2</v>
      </c>
      <c r="AB492" s="141">
        <v>2</v>
      </c>
      <c r="AC492" s="172">
        <f t="shared" si="23"/>
        <v>0</v>
      </c>
      <c r="AD492" s="194"/>
      <c r="AE492" s="195" t="s">
        <v>531</v>
      </c>
      <c r="AF492" s="97" t="s">
        <v>44</v>
      </c>
      <c r="AG492" s="196"/>
      <c r="AH492" s="195"/>
      <c r="AI492" s="98"/>
      <c r="AJ492" s="99" t="s">
        <v>501</v>
      </c>
      <c r="AK492" s="197" t="e">
        <f t="shared" si="24"/>
        <v>#VALUE!</v>
      </c>
      <c r="AL492" s="98" t="s">
        <v>1239</v>
      </c>
      <c r="AM492" s="90"/>
      <c r="AN492" s="100"/>
      <c r="AO492" s="198"/>
    </row>
    <row r="493" spans="1:41" s="308" customFormat="1" ht="30.75" customHeight="1" x14ac:dyDescent="0.35">
      <c r="A493" s="252">
        <v>463</v>
      </c>
      <c r="B493" s="253">
        <v>44946</v>
      </c>
      <c r="C493" s="327" t="s">
        <v>456</v>
      </c>
      <c r="D493" s="236"/>
      <c r="E493" s="400"/>
      <c r="F493" s="185" t="s">
        <v>1046</v>
      </c>
      <c r="G493" s="97" t="s">
        <v>1145</v>
      </c>
      <c r="H493" s="97" t="s">
        <v>1145</v>
      </c>
      <c r="I493" s="148" t="s">
        <v>227</v>
      </c>
      <c r="J493" s="97"/>
      <c r="K493" s="97"/>
      <c r="L493" s="97"/>
      <c r="M493" s="97"/>
      <c r="N493" s="235"/>
      <c r="O493" s="343">
        <v>1</v>
      </c>
      <c r="P493" s="169">
        <v>0</v>
      </c>
      <c r="Q493" s="169">
        <v>0</v>
      </c>
      <c r="R493" s="169">
        <v>0</v>
      </c>
      <c r="S493" s="169">
        <v>0</v>
      </c>
      <c r="T493" s="169">
        <v>0</v>
      </c>
      <c r="U493" s="169">
        <v>0</v>
      </c>
      <c r="V493" s="169">
        <v>0</v>
      </c>
      <c r="W493" s="169">
        <v>0</v>
      </c>
      <c r="X493" s="169">
        <v>0</v>
      </c>
      <c r="Y493" s="169">
        <f>0</f>
        <v>0</v>
      </c>
      <c r="Z493" s="219">
        <f>0</f>
        <v>0</v>
      </c>
      <c r="AA493" s="192">
        <f t="shared" si="22"/>
        <v>1</v>
      </c>
      <c r="AB493" s="193"/>
      <c r="AC493" s="190">
        <f t="shared" si="23"/>
        <v>1</v>
      </c>
      <c r="AD493" s="194">
        <v>44967</v>
      </c>
      <c r="AE493" s="195" t="s">
        <v>284</v>
      </c>
      <c r="AF493" s="304" t="s">
        <v>1408</v>
      </c>
      <c r="AG493" s="196"/>
      <c r="AH493" s="195"/>
      <c r="AI493" s="98"/>
      <c r="AJ493" s="99">
        <v>1</v>
      </c>
      <c r="AK493" s="197">
        <f t="shared" si="24"/>
        <v>0</v>
      </c>
      <c r="AL493" s="98" t="s">
        <v>1499</v>
      </c>
      <c r="AM493" s="90"/>
      <c r="AN493" s="100"/>
      <c r="AO493" s="198"/>
    </row>
    <row r="494" spans="1:41" s="308" customFormat="1" ht="30.75" customHeight="1" x14ac:dyDescent="0.35">
      <c r="A494" s="252">
        <v>486</v>
      </c>
      <c r="B494" s="253">
        <v>44949</v>
      </c>
      <c r="C494" s="327" t="s">
        <v>254</v>
      </c>
      <c r="D494" s="236" t="s">
        <v>888</v>
      </c>
      <c r="E494" s="236" t="s">
        <v>330</v>
      </c>
      <c r="F494" s="185" t="s">
        <v>1224</v>
      </c>
      <c r="G494" s="236" t="s">
        <v>888</v>
      </c>
      <c r="H494" s="328" t="s">
        <v>888</v>
      </c>
      <c r="I494" s="321" t="s">
        <v>227</v>
      </c>
      <c r="J494" s="97" t="s">
        <v>251</v>
      </c>
      <c r="K494" s="97" t="s">
        <v>252</v>
      </c>
      <c r="L494" s="97" t="s">
        <v>252</v>
      </c>
      <c r="M494" s="97" t="s">
        <v>252</v>
      </c>
      <c r="N494" s="235" t="s">
        <v>1222</v>
      </c>
      <c r="O494" s="343">
        <v>0</v>
      </c>
      <c r="P494" s="169">
        <v>0</v>
      </c>
      <c r="Q494" s="169">
        <v>0</v>
      </c>
      <c r="R494" s="169">
        <v>0</v>
      </c>
      <c r="S494" s="169">
        <v>0</v>
      </c>
      <c r="T494" s="169">
        <v>0</v>
      </c>
      <c r="U494" s="169">
        <v>1</v>
      </c>
      <c r="V494" s="169">
        <f>0</f>
        <v>0</v>
      </c>
      <c r="W494" s="169">
        <v>0</v>
      </c>
      <c r="X494" s="169">
        <f>0</f>
        <v>0</v>
      </c>
      <c r="Y494" s="169">
        <f>0</f>
        <v>0</v>
      </c>
      <c r="Z494" s="219">
        <f>0</f>
        <v>0</v>
      </c>
      <c r="AA494" s="160">
        <f t="shared" si="22"/>
        <v>1</v>
      </c>
      <c r="AB494" s="141">
        <v>1</v>
      </c>
      <c r="AC494" s="172">
        <f t="shared" si="23"/>
        <v>0</v>
      </c>
      <c r="AD494" s="194"/>
      <c r="AE494" s="195" t="s">
        <v>531</v>
      </c>
      <c r="AF494" s="97" t="s">
        <v>44</v>
      </c>
      <c r="AG494" s="196"/>
      <c r="AH494" s="195"/>
      <c r="AI494" s="98"/>
      <c r="AJ494" s="99" t="s">
        <v>501</v>
      </c>
      <c r="AK494" s="197" t="e">
        <f t="shared" si="24"/>
        <v>#VALUE!</v>
      </c>
      <c r="AL494" s="98" t="s">
        <v>1239</v>
      </c>
      <c r="AM494" s="90"/>
      <c r="AN494" s="100"/>
      <c r="AO494" s="198"/>
    </row>
    <row r="495" spans="1:41" s="308" customFormat="1" ht="30.75" customHeight="1" x14ac:dyDescent="0.35">
      <c r="A495" s="252">
        <v>487</v>
      </c>
      <c r="B495" s="253">
        <v>44949</v>
      </c>
      <c r="C495" s="327" t="s">
        <v>254</v>
      </c>
      <c r="D495" s="236" t="s">
        <v>565</v>
      </c>
      <c r="E495" s="236" t="s">
        <v>324</v>
      </c>
      <c r="F495" s="185" t="s">
        <v>566</v>
      </c>
      <c r="G495" s="236" t="s">
        <v>565</v>
      </c>
      <c r="H495" s="328" t="s">
        <v>565</v>
      </c>
      <c r="I495" s="321" t="s">
        <v>227</v>
      </c>
      <c r="J495" s="97" t="s">
        <v>251</v>
      </c>
      <c r="K495" s="97" t="s">
        <v>252</v>
      </c>
      <c r="L495" s="97" t="s">
        <v>252</v>
      </c>
      <c r="M495" s="97" t="s">
        <v>252</v>
      </c>
      <c r="N495" s="235" t="s">
        <v>1222</v>
      </c>
      <c r="O495" s="343">
        <v>0</v>
      </c>
      <c r="P495" s="169">
        <v>0</v>
      </c>
      <c r="Q495" s="169">
        <v>0</v>
      </c>
      <c r="R495" s="169">
        <v>0</v>
      </c>
      <c r="S495" s="169">
        <v>0</v>
      </c>
      <c r="T495" s="169">
        <v>0</v>
      </c>
      <c r="U495" s="169">
        <v>2</v>
      </c>
      <c r="V495" s="169">
        <f>0</f>
        <v>0</v>
      </c>
      <c r="W495" s="169">
        <v>0</v>
      </c>
      <c r="X495" s="169">
        <f>0</f>
        <v>0</v>
      </c>
      <c r="Y495" s="169">
        <f>0</f>
        <v>0</v>
      </c>
      <c r="Z495" s="219">
        <f>0</f>
        <v>0</v>
      </c>
      <c r="AA495" s="160">
        <f t="shared" si="22"/>
        <v>2</v>
      </c>
      <c r="AB495" s="141">
        <v>2</v>
      </c>
      <c r="AC495" s="172">
        <f t="shared" si="23"/>
        <v>0</v>
      </c>
      <c r="AD495" s="194"/>
      <c r="AE495" s="195" t="s">
        <v>531</v>
      </c>
      <c r="AF495" s="148" t="s">
        <v>1242</v>
      </c>
      <c r="AG495" s="196"/>
      <c r="AH495" s="195"/>
      <c r="AI495" s="98"/>
      <c r="AJ495" s="99" t="s">
        <v>501</v>
      </c>
      <c r="AK495" s="197" t="e">
        <f t="shared" si="24"/>
        <v>#VALUE!</v>
      </c>
      <c r="AL495" s="98" t="s">
        <v>1239</v>
      </c>
      <c r="AM495" s="90"/>
      <c r="AN495" s="100"/>
      <c r="AO495" s="198"/>
    </row>
    <row r="496" spans="1:41" s="308" customFormat="1" ht="30.75" customHeight="1" x14ac:dyDescent="0.35">
      <c r="A496" s="252">
        <v>497</v>
      </c>
      <c r="B496" s="253">
        <v>44955</v>
      </c>
      <c r="C496" s="327" t="s">
        <v>254</v>
      </c>
      <c r="D496" s="236" t="s">
        <v>1261</v>
      </c>
      <c r="E496" s="236"/>
      <c r="F496" s="185" t="s">
        <v>1262</v>
      </c>
      <c r="G496" s="196" t="s">
        <v>1261</v>
      </c>
      <c r="H496" s="328" t="s">
        <v>1261</v>
      </c>
      <c r="I496" s="321" t="s">
        <v>227</v>
      </c>
      <c r="J496" s="97" t="s">
        <v>251</v>
      </c>
      <c r="K496" s="97" t="s">
        <v>252</v>
      </c>
      <c r="L496" s="97" t="s">
        <v>252</v>
      </c>
      <c r="M496" s="97" t="s">
        <v>1263</v>
      </c>
      <c r="N496" s="235" t="s">
        <v>706</v>
      </c>
      <c r="O496" s="343">
        <v>1</v>
      </c>
      <c r="P496" s="169">
        <v>0</v>
      </c>
      <c r="Q496" s="169">
        <v>0</v>
      </c>
      <c r="R496" s="169">
        <v>0</v>
      </c>
      <c r="S496" s="169">
        <v>0</v>
      </c>
      <c r="T496" s="169">
        <v>0</v>
      </c>
      <c r="U496" s="169">
        <v>0</v>
      </c>
      <c r="V496" s="169">
        <v>0</v>
      </c>
      <c r="W496" s="169">
        <v>0</v>
      </c>
      <c r="X496" s="169">
        <v>0</v>
      </c>
      <c r="Y496" s="169">
        <v>0</v>
      </c>
      <c r="Z496" s="219">
        <v>0</v>
      </c>
      <c r="AA496" s="192">
        <f t="shared" si="22"/>
        <v>1</v>
      </c>
      <c r="AB496" s="193"/>
      <c r="AC496" s="190">
        <f t="shared" si="23"/>
        <v>1</v>
      </c>
      <c r="AD496" s="194">
        <v>44967</v>
      </c>
      <c r="AE496" s="195" t="s">
        <v>284</v>
      </c>
      <c r="AF496" s="282" t="s">
        <v>1408</v>
      </c>
      <c r="AG496" s="196"/>
      <c r="AH496" s="195"/>
      <c r="AI496" s="98"/>
      <c r="AJ496" s="99">
        <v>1</v>
      </c>
      <c r="AK496" s="197">
        <f t="shared" si="24"/>
        <v>0</v>
      </c>
      <c r="AL496" s="98" t="s">
        <v>1499</v>
      </c>
      <c r="AM496" s="90"/>
      <c r="AN496" s="100"/>
      <c r="AO496" s="198"/>
    </row>
    <row r="497" spans="1:41" s="308" customFormat="1" ht="30.75" customHeight="1" x14ac:dyDescent="0.35">
      <c r="A497" s="252">
        <v>498</v>
      </c>
      <c r="B497" s="253">
        <v>44955</v>
      </c>
      <c r="C497" s="327" t="s">
        <v>254</v>
      </c>
      <c r="D497" s="236" t="s">
        <v>1264</v>
      </c>
      <c r="E497" s="236"/>
      <c r="F497" s="185" t="s">
        <v>1265</v>
      </c>
      <c r="G497" s="196" t="s">
        <v>1264</v>
      </c>
      <c r="H497" s="328" t="s">
        <v>1264</v>
      </c>
      <c r="I497" s="321" t="s">
        <v>227</v>
      </c>
      <c r="J497" s="97" t="s">
        <v>251</v>
      </c>
      <c r="K497" s="97" t="s">
        <v>252</v>
      </c>
      <c r="L497" s="97" t="s">
        <v>252</v>
      </c>
      <c r="M497" s="97" t="s">
        <v>1263</v>
      </c>
      <c r="N497" s="235" t="s">
        <v>706</v>
      </c>
      <c r="O497" s="343">
        <v>1</v>
      </c>
      <c r="P497" s="169">
        <v>0</v>
      </c>
      <c r="Q497" s="169">
        <v>0</v>
      </c>
      <c r="R497" s="169">
        <v>0</v>
      </c>
      <c r="S497" s="169">
        <v>0</v>
      </c>
      <c r="T497" s="169">
        <v>0</v>
      </c>
      <c r="U497" s="169">
        <v>0</v>
      </c>
      <c r="V497" s="169">
        <v>0</v>
      </c>
      <c r="W497" s="169">
        <v>0</v>
      </c>
      <c r="X497" s="169">
        <v>0</v>
      </c>
      <c r="Y497" s="169">
        <v>0</v>
      </c>
      <c r="Z497" s="219">
        <v>0</v>
      </c>
      <c r="AA497" s="192">
        <f t="shared" si="22"/>
        <v>1</v>
      </c>
      <c r="AB497" s="193"/>
      <c r="AC497" s="190">
        <f t="shared" si="23"/>
        <v>1</v>
      </c>
      <c r="AD497" s="194">
        <v>44967</v>
      </c>
      <c r="AE497" s="195" t="s">
        <v>284</v>
      </c>
      <c r="AF497" s="304" t="s">
        <v>1408</v>
      </c>
      <c r="AG497" s="196"/>
      <c r="AH497" s="195"/>
      <c r="AI497" s="98"/>
      <c r="AJ497" s="99">
        <v>1</v>
      </c>
      <c r="AK497" s="197">
        <f t="shared" si="24"/>
        <v>0</v>
      </c>
      <c r="AL497" s="98" t="s">
        <v>1499</v>
      </c>
      <c r="AM497" s="90"/>
      <c r="AN497" s="100"/>
      <c r="AO497" s="198"/>
    </row>
    <row r="498" spans="1:41" s="308" customFormat="1" ht="30.75" customHeight="1" x14ac:dyDescent="0.35">
      <c r="A498" s="252">
        <v>499</v>
      </c>
      <c r="B498" s="253">
        <v>44955</v>
      </c>
      <c r="C498" s="327" t="s">
        <v>254</v>
      </c>
      <c r="D498" s="236" t="s">
        <v>700</v>
      </c>
      <c r="E498" s="236">
        <v>0</v>
      </c>
      <c r="F498" s="185" t="s">
        <v>701</v>
      </c>
      <c r="G498" s="196" t="s">
        <v>700</v>
      </c>
      <c r="H498" s="328" t="s">
        <v>700</v>
      </c>
      <c r="I498" s="321" t="s">
        <v>227</v>
      </c>
      <c r="J498" s="97" t="s">
        <v>251</v>
      </c>
      <c r="K498" s="97" t="s">
        <v>252</v>
      </c>
      <c r="L498" s="97" t="s">
        <v>252</v>
      </c>
      <c r="M498" s="97" t="s">
        <v>1266</v>
      </c>
      <c r="N498" s="235" t="s">
        <v>706</v>
      </c>
      <c r="O498" s="343">
        <v>0</v>
      </c>
      <c r="P498" s="169">
        <v>1</v>
      </c>
      <c r="Q498" s="169">
        <v>0</v>
      </c>
      <c r="R498" s="169">
        <v>0</v>
      </c>
      <c r="S498" s="169">
        <v>0</v>
      </c>
      <c r="T498" s="169">
        <v>0</v>
      </c>
      <c r="U498" s="169">
        <v>0</v>
      </c>
      <c r="V498" s="169">
        <v>0</v>
      </c>
      <c r="W498" s="169">
        <v>0</v>
      </c>
      <c r="X498" s="169">
        <v>0</v>
      </c>
      <c r="Y498" s="169">
        <v>0</v>
      </c>
      <c r="Z498" s="219">
        <v>0</v>
      </c>
      <c r="AA498" s="160">
        <f t="shared" si="22"/>
        <v>1</v>
      </c>
      <c r="AB498" s="141">
        <v>1</v>
      </c>
      <c r="AC498" s="172">
        <f t="shared" si="23"/>
        <v>0</v>
      </c>
      <c r="AD498" s="194"/>
      <c r="AE498" s="195" t="s">
        <v>284</v>
      </c>
      <c r="AF498" s="97" t="s">
        <v>294</v>
      </c>
      <c r="AG498" s="196"/>
      <c r="AH498" s="195"/>
      <c r="AI498" s="98"/>
      <c r="AJ498" s="99" t="s">
        <v>286</v>
      </c>
      <c r="AK498" s="197" t="e">
        <f t="shared" si="24"/>
        <v>#VALUE!</v>
      </c>
      <c r="AL498" s="98" t="s">
        <v>1328</v>
      </c>
      <c r="AM498" s="90"/>
      <c r="AN498" s="100"/>
      <c r="AO498" s="198"/>
    </row>
    <row r="499" spans="1:41" s="308" customFormat="1" ht="30.75" customHeight="1" x14ac:dyDescent="0.35">
      <c r="A499" s="252">
        <v>500</v>
      </c>
      <c r="B499" s="253">
        <v>44955</v>
      </c>
      <c r="C499" s="327" t="s">
        <v>254</v>
      </c>
      <c r="D499" s="236" t="s">
        <v>700</v>
      </c>
      <c r="E499" s="236">
        <v>0</v>
      </c>
      <c r="F499" s="185" t="s">
        <v>701</v>
      </c>
      <c r="G499" s="196" t="s">
        <v>700</v>
      </c>
      <c r="H499" s="328" t="s">
        <v>700</v>
      </c>
      <c r="I499" s="321" t="s">
        <v>227</v>
      </c>
      <c r="J499" s="97" t="s">
        <v>251</v>
      </c>
      <c r="K499" s="97" t="s">
        <v>252</v>
      </c>
      <c r="L499" s="97" t="s">
        <v>252</v>
      </c>
      <c r="M499" s="97" t="s">
        <v>1267</v>
      </c>
      <c r="N499" s="235" t="s">
        <v>706</v>
      </c>
      <c r="O499" s="343">
        <v>0</v>
      </c>
      <c r="P499" s="169">
        <v>2</v>
      </c>
      <c r="Q499" s="169">
        <v>0</v>
      </c>
      <c r="R499" s="169">
        <v>0</v>
      </c>
      <c r="S499" s="169">
        <v>0</v>
      </c>
      <c r="T499" s="169">
        <v>0</v>
      </c>
      <c r="U499" s="169">
        <v>0</v>
      </c>
      <c r="V499" s="169">
        <v>0</v>
      </c>
      <c r="W499" s="169">
        <v>0</v>
      </c>
      <c r="X499" s="169">
        <v>0</v>
      </c>
      <c r="Y499" s="169">
        <v>0</v>
      </c>
      <c r="Z499" s="219">
        <v>0</v>
      </c>
      <c r="AA499" s="160">
        <f t="shared" si="22"/>
        <v>2</v>
      </c>
      <c r="AB499" s="141">
        <v>2</v>
      </c>
      <c r="AC499" s="172">
        <f t="shared" si="23"/>
        <v>0</v>
      </c>
      <c r="AD499" s="194"/>
      <c r="AE499" s="195" t="s">
        <v>284</v>
      </c>
      <c r="AF499" s="97" t="s">
        <v>294</v>
      </c>
      <c r="AG499" s="196"/>
      <c r="AH499" s="195"/>
      <c r="AI499" s="98"/>
      <c r="AJ499" s="99" t="s">
        <v>297</v>
      </c>
      <c r="AK499" s="197" t="e">
        <f t="shared" si="24"/>
        <v>#VALUE!</v>
      </c>
      <c r="AL499" s="98" t="s">
        <v>1328</v>
      </c>
      <c r="AM499" s="90"/>
      <c r="AN499" s="100"/>
      <c r="AO499" s="198"/>
    </row>
    <row r="500" spans="1:41" s="309" customFormat="1" ht="30.75" customHeight="1" x14ac:dyDescent="0.35">
      <c r="A500" s="252">
        <v>503</v>
      </c>
      <c r="B500" s="253">
        <v>44955</v>
      </c>
      <c r="C500" s="254" t="s">
        <v>254</v>
      </c>
      <c r="D500" s="233" t="s">
        <v>1272</v>
      </c>
      <c r="E500" s="233">
        <v>0</v>
      </c>
      <c r="F500" s="241" t="s">
        <v>1273</v>
      </c>
      <c r="G500" s="206" t="s">
        <v>1272</v>
      </c>
      <c r="H500" s="329" t="s">
        <v>1272</v>
      </c>
      <c r="I500" s="251" t="s">
        <v>227</v>
      </c>
      <c r="J500" s="189" t="s">
        <v>251</v>
      </c>
      <c r="K500" s="189" t="s">
        <v>252</v>
      </c>
      <c r="L500" s="189" t="s">
        <v>252</v>
      </c>
      <c r="M500" s="189" t="s">
        <v>1274</v>
      </c>
      <c r="N500" s="235" t="s">
        <v>706</v>
      </c>
      <c r="O500" s="343">
        <v>0</v>
      </c>
      <c r="P500" s="169">
        <v>0</v>
      </c>
      <c r="Q500" s="169">
        <v>0</v>
      </c>
      <c r="R500" s="169">
        <v>0</v>
      </c>
      <c r="S500" s="169">
        <v>2</v>
      </c>
      <c r="T500" s="169">
        <v>0</v>
      </c>
      <c r="U500" s="169">
        <v>0</v>
      </c>
      <c r="V500" s="169">
        <v>0</v>
      </c>
      <c r="W500" s="169">
        <v>0</v>
      </c>
      <c r="X500" s="169">
        <v>0</v>
      </c>
      <c r="Y500" s="169">
        <v>0</v>
      </c>
      <c r="Z500" s="219">
        <v>0</v>
      </c>
      <c r="AA500" s="150">
        <f t="shared" si="22"/>
        <v>2</v>
      </c>
      <c r="AB500" s="178"/>
      <c r="AC500" s="179">
        <f t="shared" si="23"/>
        <v>2</v>
      </c>
      <c r="AD500" s="188">
        <v>44967</v>
      </c>
      <c r="AE500" s="205" t="s">
        <v>284</v>
      </c>
      <c r="AF500" s="273" t="s">
        <v>1408</v>
      </c>
      <c r="AG500" s="206"/>
      <c r="AH500" s="205"/>
      <c r="AI500" s="101"/>
      <c r="AJ500" s="102">
        <v>2</v>
      </c>
      <c r="AK500" s="207">
        <f t="shared" si="24"/>
        <v>0</v>
      </c>
      <c r="AL500" s="101" t="s">
        <v>1499</v>
      </c>
      <c r="AM500" s="96"/>
      <c r="AN500" s="103"/>
      <c r="AO500" s="208"/>
    </row>
    <row r="501" spans="1:41" s="308" customFormat="1" ht="30.75" customHeight="1" x14ac:dyDescent="0.35">
      <c r="A501" s="252">
        <v>504</v>
      </c>
      <c r="B501" s="253">
        <v>44955</v>
      </c>
      <c r="C501" s="254" t="s">
        <v>254</v>
      </c>
      <c r="D501" s="233" t="s">
        <v>1275</v>
      </c>
      <c r="E501" s="233">
        <v>0</v>
      </c>
      <c r="F501" s="241" t="s">
        <v>1276</v>
      </c>
      <c r="G501" s="206" t="s">
        <v>1275</v>
      </c>
      <c r="H501" s="329" t="s">
        <v>1275</v>
      </c>
      <c r="I501" s="321" t="s">
        <v>227</v>
      </c>
      <c r="J501" s="189" t="s">
        <v>251</v>
      </c>
      <c r="K501" s="189" t="s">
        <v>252</v>
      </c>
      <c r="L501" s="189" t="s">
        <v>252</v>
      </c>
      <c r="M501" s="189" t="s">
        <v>1277</v>
      </c>
      <c r="N501" s="243" t="s">
        <v>706</v>
      </c>
      <c r="O501" s="343">
        <v>0</v>
      </c>
      <c r="P501" s="169">
        <v>0</v>
      </c>
      <c r="Q501" s="169">
        <v>0</v>
      </c>
      <c r="R501" s="169">
        <v>0</v>
      </c>
      <c r="S501" s="169">
        <v>0</v>
      </c>
      <c r="T501" s="169">
        <v>0</v>
      </c>
      <c r="U501" s="169">
        <v>0</v>
      </c>
      <c r="V501" s="169">
        <v>0</v>
      </c>
      <c r="W501" s="169">
        <v>3</v>
      </c>
      <c r="X501" s="169">
        <v>0</v>
      </c>
      <c r="Y501" s="169">
        <v>0</v>
      </c>
      <c r="Z501" s="219">
        <v>0</v>
      </c>
      <c r="AA501" s="150">
        <f t="shared" si="22"/>
        <v>3</v>
      </c>
      <c r="AB501" s="178">
        <v>1</v>
      </c>
      <c r="AC501" s="179">
        <f t="shared" si="23"/>
        <v>2</v>
      </c>
      <c r="AD501" s="204">
        <v>44967</v>
      </c>
      <c r="AE501" s="205" t="s">
        <v>284</v>
      </c>
      <c r="AF501" s="273" t="s">
        <v>1408</v>
      </c>
      <c r="AG501" s="206"/>
      <c r="AH501" s="205"/>
      <c r="AI501" s="101"/>
      <c r="AJ501" s="102" t="s">
        <v>1502</v>
      </c>
      <c r="AK501" s="207" t="e">
        <f t="shared" si="24"/>
        <v>#VALUE!</v>
      </c>
      <c r="AL501" s="101" t="s">
        <v>1503</v>
      </c>
      <c r="AM501" s="96"/>
      <c r="AN501" s="103"/>
      <c r="AO501" s="208"/>
    </row>
    <row r="502" spans="1:41" s="308" customFormat="1" ht="30.75" customHeight="1" x14ac:dyDescent="0.35">
      <c r="A502" s="252">
        <v>505</v>
      </c>
      <c r="B502" s="253">
        <v>44955</v>
      </c>
      <c r="C502" s="254" t="s">
        <v>254</v>
      </c>
      <c r="D502" s="233" t="s">
        <v>700</v>
      </c>
      <c r="E502" s="233">
        <v>0</v>
      </c>
      <c r="F502" s="241" t="s">
        <v>701</v>
      </c>
      <c r="G502" s="206" t="s">
        <v>700</v>
      </c>
      <c r="H502" s="329" t="s">
        <v>700</v>
      </c>
      <c r="I502" s="321" t="s">
        <v>227</v>
      </c>
      <c r="J502" s="189" t="s">
        <v>251</v>
      </c>
      <c r="K502" s="189" t="s">
        <v>252</v>
      </c>
      <c r="L502" s="189" t="s">
        <v>252</v>
      </c>
      <c r="M502" s="189" t="s">
        <v>1278</v>
      </c>
      <c r="N502" s="243" t="s">
        <v>706</v>
      </c>
      <c r="O502" s="343">
        <v>0</v>
      </c>
      <c r="P502" s="169">
        <v>0</v>
      </c>
      <c r="Q502" s="169">
        <v>0</v>
      </c>
      <c r="R502" s="169">
        <v>2</v>
      </c>
      <c r="S502" s="169">
        <v>0</v>
      </c>
      <c r="T502" s="169">
        <v>0</v>
      </c>
      <c r="U502" s="169">
        <v>0</v>
      </c>
      <c r="V502" s="169">
        <v>0</v>
      </c>
      <c r="W502" s="169">
        <v>0</v>
      </c>
      <c r="X502" s="169">
        <v>0</v>
      </c>
      <c r="Y502" s="169">
        <v>0</v>
      </c>
      <c r="Z502" s="219">
        <v>0</v>
      </c>
      <c r="AA502" s="161">
        <f t="shared" si="22"/>
        <v>2</v>
      </c>
      <c r="AB502" s="186">
        <v>2</v>
      </c>
      <c r="AC502" s="187">
        <f t="shared" si="23"/>
        <v>0</v>
      </c>
      <c r="AD502" s="204"/>
      <c r="AE502" s="205" t="s">
        <v>284</v>
      </c>
      <c r="AF502" s="189" t="s">
        <v>294</v>
      </c>
      <c r="AG502" s="206"/>
      <c r="AH502" s="205"/>
      <c r="AI502" s="101"/>
      <c r="AJ502" s="102" t="s">
        <v>297</v>
      </c>
      <c r="AK502" s="207" t="e">
        <f t="shared" si="24"/>
        <v>#VALUE!</v>
      </c>
      <c r="AL502" s="101" t="s">
        <v>1328</v>
      </c>
      <c r="AM502" s="96"/>
      <c r="AN502" s="103"/>
      <c r="AO502" s="208"/>
    </row>
    <row r="503" spans="1:41" s="308" customFormat="1" ht="30.75" customHeight="1" x14ac:dyDescent="0.35">
      <c r="A503" s="252">
        <v>506</v>
      </c>
      <c r="B503" s="253">
        <v>44955</v>
      </c>
      <c r="C503" s="254" t="s">
        <v>254</v>
      </c>
      <c r="D503" s="233" t="s">
        <v>700</v>
      </c>
      <c r="E503" s="233">
        <v>0</v>
      </c>
      <c r="F503" s="241" t="s">
        <v>701</v>
      </c>
      <c r="G503" s="206" t="s">
        <v>700</v>
      </c>
      <c r="H503" s="329" t="s">
        <v>700</v>
      </c>
      <c r="I503" s="321" t="s">
        <v>227</v>
      </c>
      <c r="J503" s="189" t="s">
        <v>251</v>
      </c>
      <c r="K503" s="189" t="s">
        <v>252</v>
      </c>
      <c r="L503" s="189" t="s">
        <v>252</v>
      </c>
      <c r="M503" s="189" t="s">
        <v>1274</v>
      </c>
      <c r="N503" s="243" t="s">
        <v>706</v>
      </c>
      <c r="O503" s="343">
        <v>0</v>
      </c>
      <c r="P503" s="169">
        <v>0</v>
      </c>
      <c r="Q503" s="169">
        <v>0</v>
      </c>
      <c r="R503" s="169">
        <v>0</v>
      </c>
      <c r="S503" s="169">
        <v>2</v>
      </c>
      <c r="T503" s="169">
        <v>0</v>
      </c>
      <c r="U503" s="169">
        <v>0</v>
      </c>
      <c r="V503" s="169">
        <v>0</v>
      </c>
      <c r="W503" s="169">
        <v>0</v>
      </c>
      <c r="X503" s="169">
        <v>0</v>
      </c>
      <c r="Y503" s="169">
        <v>0</v>
      </c>
      <c r="Z503" s="219">
        <v>0</v>
      </c>
      <c r="AA503" s="161">
        <f t="shared" si="22"/>
        <v>2</v>
      </c>
      <c r="AB503" s="186">
        <v>2</v>
      </c>
      <c r="AC503" s="187">
        <f t="shared" si="23"/>
        <v>0</v>
      </c>
      <c r="AD503" s="204"/>
      <c r="AE503" s="205" t="s">
        <v>284</v>
      </c>
      <c r="AF503" s="189" t="s">
        <v>294</v>
      </c>
      <c r="AG503" s="206"/>
      <c r="AH503" s="205"/>
      <c r="AI503" s="101"/>
      <c r="AJ503" s="102" t="s">
        <v>297</v>
      </c>
      <c r="AK503" s="207" t="e">
        <f t="shared" si="24"/>
        <v>#VALUE!</v>
      </c>
      <c r="AL503" s="101" t="s">
        <v>1328</v>
      </c>
      <c r="AM503" s="96"/>
      <c r="AN503" s="103"/>
      <c r="AO503" s="208"/>
    </row>
    <row r="504" spans="1:41" s="308" customFormat="1" ht="30.75" customHeight="1" x14ac:dyDescent="0.35">
      <c r="A504" s="252">
        <v>520</v>
      </c>
      <c r="B504" s="500">
        <v>44971</v>
      </c>
      <c r="C504" s="393" t="s">
        <v>254</v>
      </c>
      <c r="D504" s="236" t="s">
        <v>345</v>
      </c>
      <c r="E504" s="236" t="s">
        <v>324</v>
      </c>
      <c r="F504" s="241" t="s">
        <v>521</v>
      </c>
      <c r="G504" s="233" t="s">
        <v>345</v>
      </c>
      <c r="H504" s="233" t="s">
        <v>345</v>
      </c>
      <c r="I504" s="321" t="s">
        <v>227</v>
      </c>
      <c r="J504" s="97" t="s">
        <v>251</v>
      </c>
      <c r="K504" s="97" t="s">
        <v>252</v>
      </c>
      <c r="L504" s="97" t="s">
        <v>252</v>
      </c>
      <c r="M504" s="97" t="s">
        <v>1424</v>
      </c>
      <c r="N504" s="235" t="s">
        <v>252</v>
      </c>
      <c r="O504" s="417">
        <v>0</v>
      </c>
      <c r="P504" s="90">
        <v>0</v>
      </c>
      <c r="Q504" s="90">
        <v>0</v>
      </c>
      <c r="R504" s="90">
        <v>6</v>
      </c>
      <c r="S504" s="90">
        <v>0</v>
      </c>
      <c r="T504" s="90">
        <v>0</v>
      </c>
      <c r="U504" s="90">
        <v>0</v>
      </c>
      <c r="V504" s="90">
        <v>0</v>
      </c>
      <c r="W504" s="90">
        <v>0</v>
      </c>
      <c r="X504" s="90">
        <v>0</v>
      </c>
      <c r="Y504" s="90">
        <v>0</v>
      </c>
      <c r="Z504" s="418">
        <v>0</v>
      </c>
      <c r="AA504" s="150">
        <f t="shared" si="22"/>
        <v>6</v>
      </c>
      <c r="AB504" s="421"/>
      <c r="AC504" s="422">
        <f t="shared" si="23"/>
        <v>6</v>
      </c>
      <c r="AD504" s="194"/>
      <c r="AE504" s="195" t="s">
        <v>531</v>
      </c>
      <c r="AF504" s="97" t="s">
        <v>1513</v>
      </c>
      <c r="AG504" s="196"/>
      <c r="AH504" s="195"/>
      <c r="AI504" s="98" t="s">
        <v>1448</v>
      </c>
      <c r="AJ504" s="424">
        <v>6</v>
      </c>
      <c r="AK504" s="207">
        <f t="shared" si="24"/>
        <v>0</v>
      </c>
      <c r="AL504" s="98" t="s">
        <v>1499</v>
      </c>
      <c r="AM504" s="425"/>
      <c r="AN504" s="426"/>
      <c r="AO504" s="198"/>
    </row>
    <row r="505" spans="1:41" s="308" customFormat="1" ht="30.75" hidden="1" customHeight="1" x14ac:dyDescent="0.35">
      <c r="A505" s="495" t="s">
        <v>1406</v>
      </c>
      <c r="B505" s="353">
        <v>44945</v>
      </c>
      <c r="C505" s="503" t="s">
        <v>863</v>
      </c>
      <c r="D505" s="354" t="s">
        <v>922</v>
      </c>
      <c r="E505" s="236">
        <v>0</v>
      </c>
      <c r="F505" s="511" t="s">
        <v>923</v>
      </c>
      <c r="G505" s="518" t="s">
        <v>922</v>
      </c>
      <c r="H505" s="518" t="s">
        <v>922</v>
      </c>
      <c r="I505" s="550" t="s">
        <v>924</v>
      </c>
      <c r="J505" s="97" t="s">
        <v>251</v>
      </c>
      <c r="K505" s="97" t="s">
        <v>252</v>
      </c>
      <c r="L505" s="97" t="s">
        <v>252</v>
      </c>
      <c r="M505" s="97" t="s">
        <v>945</v>
      </c>
      <c r="N505" s="235" t="s">
        <v>1306</v>
      </c>
      <c r="O505" s="343">
        <v>0</v>
      </c>
      <c r="P505" s="169">
        <v>2</v>
      </c>
      <c r="Q505" s="169">
        <v>0</v>
      </c>
      <c r="R505" s="169">
        <v>0</v>
      </c>
      <c r="S505" s="169">
        <v>0</v>
      </c>
      <c r="T505" s="169">
        <v>0</v>
      </c>
      <c r="U505" s="169">
        <v>0</v>
      </c>
      <c r="V505" s="169">
        <f>0</f>
        <v>0</v>
      </c>
      <c r="W505" s="169">
        <v>0</v>
      </c>
      <c r="X505" s="169">
        <f>0</f>
        <v>0</v>
      </c>
      <c r="Y505" s="169">
        <f>0</f>
        <v>0</v>
      </c>
      <c r="Z505" s="219">
        <f>0</f>
        <v>0</v>
      </c>
      <c r="AA505" s="568">
        <f t="shared" si="22"/>
        <v>2</v>
      </c>
      <c r="AB505" s="356"/>
      <c r="AC505" s="357">
        <f t="shared" si="23"/>
        <v>2</v>
      </c>
      <c r="AD505" s="358">
        <v>44950</v>
      </c>
      <c r="AE505" s="359" t="s">
        <v>531</v>
      </c>
      <c r="AF505" s="355" t="s">
        <v>1407</v>
      </c>
      <c r="AG505" s="360"/>
      <c r="AH505" s="359" t="s">
        <v>1247</v>
      </c>
      <c r="AI505" s="361"/>
      <c r="AJ505" s="362"/>
      <c r="AK505" s="588">
        <f t="shared" si="24"/>
        <v>2</v>
      </c>
      <c r="AL505" s="361"/>
      <c r="AM505" s="363"/>
      <c r="AN505" s="364"/>
      <c r="AO505" s="365"/>
    </row>
    <row r="506" spans="1:41" s="308" customFormat="1" ht="30.75" hidden="1" customHeight="1" x14ac:dyDescent="0.35">
      <c r="A506" s="252">
        <v>495</v>
      </c>
      <c r="B506" s="253">
        <v>44949</v>
      </c>
      <c r="C506" s="327" t="s">
        <v>254</v>
      </c>
      <c r="D506" s="236" t="s">
        <v>1235</v>
      </c>
      <c r="E506" s="236" t="s">
        <v>330</v>
      </c>
      <c r="F506" s="241" t="s">
        <v>1236</v>
      </c>
      <c r="G506" s="233" t="s">
        <v>1235</v>
      </c>
      <c r="H506" s="329" t="s">
        <v>1235</v>
      </c>
      <c r="I506" s="321" t="s">
        <v>924</v>
      </c>
      <c r="J506" s="97" t="s">
        <v>251</v>
      </c>
      <c r="K506" s="97" t="s">
        <v>252</v>
      </c>
      <c r="L506" s="97" t="s">
        <v>252</v>
      </c>
      <c r="M506" s="97" t="s">
        <v>252</v>
      </c>
      <c r="N506" s="235" t="s">
        <v>1222</v>
      </c>
      <c r="O506" s="343">
        <v>0</v>
      </c>
      <c r="P506" s="169">
        <v>0</v>
      </c>
      <c r="Q506" s="169">
        <v>0</v>
      </c>
      <c r="R506" s="169">
        <v>0</v>
      </c>
      <c r="S506" s="169">
        <v>0</v>
      </c>
      <c r="T506" s="169">
        <v>0</v>
      </c>
      <c r="U506" s="169">
        <v>2</v>
      </c>
      <c r="V506" s="169">
        <f>0</f>
        <v>0</v>
      </c>
      <c r="W506" s="169">
        <v>0</v>
      </c>
      <c r="X506" s="169">
        <f>0</f>
        <v>0</v>
      </c>
      <c r="Y506" s="169">
        <f>0</f>
        <v>0</v>
      </c>
      <c r="Z506" s="219">
        <f>0</f>
        <v>0</v>
      </c>
      <c r="AA506" s="161">
        <f t="shared" si="22"/>
        <v>2</v>
      </c>
      <c r="AB506" s="141"/>
      <c r="AC506" s="172">
        <f t="shared" si="23"/>
        <v>2</v>
      </c>
      <c r="AD506" s="194">
        <v>44950</v>
      </c>
      <c r="AE506" s="195" t="s">
        <v>531</v>
      </c>
      <c r="AF506" s="97" t="s">
        <v>1249</v>
      </c>
      <c r="AG506" s="196"/>
      <c r="AH506" s="195" t="s">
        <v>1247</v>
      </c>
      <c r="AI506" s="98"/>
      <c r="AJ506" s="99">
        <v>2</v>
      </c>
      <c r="AK506" s="207">
        <f t="shared" si="24"/>
        <v>0</v>
      </c>
      <c r="AL506" s="98" t="s">
        <v>1405</v>
      </c>
      <c r="AM506" s="90"/>
      <c r="AN506" s="100"/>
      <c r="AO506" s="198"/>
    </row>
    <row r="507" spans="1:41" s="308" customFormat="1" ht="30.75" hidden="1" customHeight="1" x14ac:dyDescent="0.35">
      <c r="A507" s="252">
        <v>323</v>
      </c>
      <c r="B507" s="253">
        <v>44945</v>
      </c>
      <c r="C507" s="327" t="s">
        <v>308</v>
      </c>
      <c r="D507" s="236" t="s">
        <v>856</v>
      </c>
      <c r="E507" s="236" t="s">
        <v>324</v>
      </c>
      <c r="F507" s="241" t="s">
        <v>846</v>
      </c>
      <c r="G507" s="189" t="s">
        <v>856</v>
      </c>
      <c r="H507" s="329" t="s">
        <v>856</v>
      </c>
      <c r="I507" s="321" t="s">
        <v>853</v>
      </c>
      <c r="J507" s="97" t="s">
        <v>251</v>
      </c>
      <c r="K507" s="97" t="s">
        <v>252</v>
      </c>
      <c r="L507" s="97" t="s">
        <v>252</v>
      </c>
      <c r="M507" s="97"/>
      <c r="N507" s="235" t="s">
        <v>604</v>
      </c>
      <c r="O507" s="343">
        <f>0</f>
        <v>0</v>
      </c>
      <c r="P507" s="169">
        <f>0</f>
        <v>0</v>
      </c>
      <c r="Q507" s="169">
        <f>0</f>
        <v>0</v>
      </c>
      <c r="R507" s="169">
        <f>0</f>
        <v>0</v>
      </c>
      <c r="S507" s="169">
        <f>0</f>
        <v>0</v>
      </c>
      <c r="T507" s="169">
        <v>1</v>
      </c>
      <c r="U507" s="169">
        <f>0</f>
        <v>0</v>
      </c>
      <c r="V507" s="169">
        <f>0</f>
        <v>0</v>
      </c>
      <c r="W507" s="169">
        <f>0</f>
        <v>0</v>
      </c>
      <c r="X507" s="169">
        <f>0</f>
        <v>0</v>
      </c>
      <c r="Y507" s="169">
        <f>0</f>
        <v>0</v>
      </c>
      <c r="Z507" s="219">
        <f>0</f>
        <v>0</v>
      </c>
      <c r="AA507" s="150">
        <f t="shared" si="22"/>
        <v>1</v>
      </c>
      <c r="AB507" s="193"/>
      <c r="AC507" s="190">
        <f t="shared" si="23"/>
        <v>1</v>
      </c>
      <c r="AD507" s="194">
        <v>44965</v>
      </c>
      <c r="AE507" s="195" t="s">
        <v>284</v>
      </c>
      <c r="AF507" s="282" t="s">
        <v>1345</v>
      </c>
      <c r="AG507" s="196"/>
      <c r="AH507" s="195"/>
      <c r="AI507" s="98"/>
      <c r="AJ507" s="99">
        <v>1</v>
      </c>
      <c r="AK507" s="197">
        <f t="shared" si="24"/>
        <v>0</v>
      </c>
      <c r="AL507" s="98" t="s">
        <v>1488</v>
      </c>
      <c r="AM507" s="90"/>
      <c r="AN507" s="100"/>
      <c r="AO507" s="198"/>
    </row>
    <row r="508" spans="1:41" s="308" customFormat="1" ht="30.75" hidden="1" customHeight="1" x14ac:dyDescent="0.35">
      <c r="A508" s="252">
        <v>324</v>
      </c>
      <c r="B508" s="253">
        <v>44945</v>
      </c>
      <c r="C508" s="327" t="s">
        <v>308</v>
      </c>
      <c r="D508" s="236" t="s">
        <v>847</v>
      </c>
      <c r="E508" s="236">
        <v>0</v>
      </c>
      <c r="F508" s="241" t="s">
        <v>848</v>
      </c>
      <c r="G508" s="206" t="s">
        <v>847</v>
      </c>
      <c r="H508" s="329" t="s">
        <v>847</v>
      </c>
      <c r="I508" s="321" t="s">
        <v>853</v>
      </c>
      <c r="J508" s="97" t="s">
        <v>251</v>
      </c>
      <c r="K508" s="97" t="s">
        <v>252</v>
      </c>
      <c r="L508" s="97" t="s">
        <v>252</v>
      </c>
      <c r="M508" s="97"/>
      <c r="N508" s="235" t="s">
        <v>604</v>
      </c>
      <c r="O508" s="343">
        <f>0</f>
        <v>0</v>
      </c>
      <c r="P508" s="169">
        <f>0</f>
        <v>0</v>
      </c>
      <c r="Q508" s="169">
        <f>0</f>
        <v>0</v>
      </c>
      <c r="R508" s="169">
        <f>0</f>
        <v>0</v>
      </c>
      <c r="S508" s="169">
        <f>0</f>
        <v>0</v>
      </c>
      <c r="T508" s="169">
        <v>2</v>
      </c>
      <c r="U508" s="169">
        <f>0</f>
        <v>0</v>
      </c>
      <c r="V508" s="169">
        <f>0</f>
        <v>0</v>
      </c>
      <c r="W508" s="169">
        <f>0</f>
        <v>0</v>
      </c>
      <c r="X508" s="169">
        <f>0</f>
        <v>0</v>
      </c>
      <c r="Y508" s="169">
        <f>0</f>
        <v>0</v>
      </c>
      <c r="Z508" s="219">
        <f>0</f>
        <v>0</v>
      </c>
      <c r="AA508" s="150">
        <f t="shared" si="22"/>
        <v>2</v>
      </c>
      <c r="AB508" s="193"/>
      <c r="AC508" s="190">
        <f t="shared" si="23"/>
        <v>2</v>
      </c>
      <c r="AD508" s="194">
        <v>44965</v>
      </c>
      <c r="AE508" s="195" t="s">
        <v>284</v>
      </c>
      <c r="AF508" s="282" t="s">
        <v>1345</v>
      </c>
      <c r="AG508" s="196"/>
      <c r="AH508" s="195"/>
      <c r="AI508" s="98"/>
      <c r="AJ508" s="99">
        <v>2</v>
      </c>
      <c r="AK508" s="197">
        <f t="shared" si="24"/>
        <v>0</v>
      </c>
      <c r="AL508" s="98" t="s">
        <v>1488</v>
      </c>
      <c r="AM508" s="90"/>
      <c r="AN508" s="100"/>
      <c r="AO508" s="198"/>
    </row>
    <row r="509" spans="1:41" s="308" customFormat="1" ht="30.75" hidden="1" customHeight="1" x14ac:dyDescent="0.35">
      <c r="A509" s="252">
        <v>325</v>
      </c>
      <c r="B509" s="253">
        <v>44945</v>
      </c>
      <c r="C509" s="327" t="s">
        <v>308</v>
      </c>
      <c r="D509" s="236" t="s">
        <v>849</v>
      </c>
      <c r="E509" s="236" t="s">
        <v>324</v>
      </c>
      <c r="F509" s="241" t="s">
        <v>850</v>
      </c>
      <c r="G509" s="206" t="s">
        <v>849</v>
      </c>
      <c r="H509" s="329" t="s">
        <v>849</v>
      </c>
      <c r="I509" s="321" t="s">
        <v>853</v>
      </c>
      <c r="J509" s="97" t="s">
        <v>251</v>
      </c>
      <c r="K509" s="97" t="s">
        <v>252</v>
      </c>
      <c r="L509" s="97" t="s">
        <v>252</v>
      </c>
      <c r="M509" s="97"/>
      <c r="N509" s="235" t="s">
        <v>604</v>
      </c>
      <c r="O509" s="343">
        <f>0</f>
        <v>0</v>
      </c>
      <c r="P509" s="169">
        <f>0</f>
        <v>0</v>
      </c>
      <c r="Q509" s="169">
        <f>0</f>
        <v>0</v>
      </c>
      <c r="R509" s="169">
        <f>0</f>
        <v>0</v>
      </c>
      <c r="S509" s="169">
        <f>0</f>
        <v>0</v>
      </c>
      <c r="T509" s="169">
        <v>2</v>
      </c>
      <c r="U509" s="169">
        <f>0</f>
        <v>0</v>
      </c>
      <c r="V509" s="169">
        <f>0</f>
        <v>0</v>
      </c>
      <c r="W509" s="169">
        <f>0</f>
        <v>0</v>
      </c>
      <c r="X509" s="169">
        <f>0</f>
        <v>0</v>
      </c>
      <c r="Y509" s="169">
        <f>0</f>
        <v>0</v>
      </c>
      <c r="Z509" s="219">
        <f>0</f>
        <v>0</v>
      </c>
      <c r="AA509" s="150">
        <f t="shared" si="22"/>
        <v>2</v>
      </c>
      <c r="AB509" s="193"/>
      <c r="AC509" s="190">
        <f t="shared" si="23"/>
        <v>2</v>
      </c>
      <c r="AD509" s="194">
        <v>44965</v>
      </c>
      <c r="AE509" s="195" t="s">
        <v>284</v>
      </c>
      <c r="AF509" s="304" t="s">
        <v>1345</v>
      </c>
      <c r="AG509" s="196"/>
      <c r="AH509" s="195"/>
      <c r="AI509" s="98"/>
      <c r="AJ509" s="99">
        <v>2</v>
      </c>
      <c r="AK509" s="197">
        <f t="shared" si="24"/>
        <v>0</v>
      </c>
      <c r="AL509" s="98" t="s">
        <v>1488</v>
      </c>
      <c r="AM509" s="90"/>
      <c r="AN509" s="100"/>
      <c r="AO509" s="198"/>
    </row>
    <row r="510" spans="1:41" s="308" customFormat="1" ht="30.75" hidden="1" customHeight="1" x14ac:dyDescent="0.35">
      <c r="A510" s="252">
        <v>326</v>
      </c>
      <c r="B510" s="253">
        <v>44945</v>
      </c>
      <c r="C510" s="254" t="s">
        <v>308</v>
      </c>
      <c r="D510" s="233" t="s">
        <v>851</v>
      </c>
      <c r="E510" s="233">
        <v>0</v>
      </c>
      <c r="F510" s="241" t="s">
        <v>852</v>
      </c>
      <c r="G510" s="206" t="s">
        <v>851</v>
      </c>
      <c r="H510" s="329" t="s">
        <v>851</v>
      </c>
      <c r="I510" s="321" t="s">
        <v>853</v>
      </c>
      <c r="J510" s="189" t="s">
        <v>251</v>
      </c>
      <c r="K510" s="189" t="s">
        <v>252</v>
      </c>
      <c r="L510" s="189" t="s">
        <v>252</v>
      </c>
      <c r="M510" s="189"/>
      <c r="N510" s="243" t="s">
        <v>604</v>
      </c>
      <c r="O510" s="343">
        <f>0</f>
        <v>0</v>
      </c>
      <c r="P510" s="169">
        <f>0</f>
        <v>0</v>
      </c>
      <c r="Q510" s="169">
        <f>0</f>
        <v>0</v>
      </c>
      <c r="R510" s="169">
        <f>0</f>
        <v>0</v>
      </c>
      <c r="S510" s="169">
        <f>0</f>
        <v>0</v>
      </c>
      <c r="T510" s="169">
        <v>2</v>
      </c>
      <c r="U510" s="169">
        <f>0</f>
        <v>0</v>
      </c>
      <c r="V510" s="169">
        <f>0</f>
        <v>0</v>
      </c>
      <c r="W510" s="169">
        <f>0</f>
        <v>0</v>
      </c>
      <c r="X510" s="169">
        <f>0</f>
        <v>0</v>
      </c>
      <c r="Y510" s="169">
        <f>0</f>
        <v>0</v>
      </c>
      <c r="Z510" s="219">
        <f>0</f>
        <v>0</v>
      </c>
      <c r="AA510" s="150">
        <f t="shared" si="22"/>
        <v>2</v>
      </c>
      <c r="AB510" s="178"/>
      <c r="AC510" s="179">
        <f t="shared" si="23"/>
        <v>2</v>
      </c>
      <c r="AD510" s="204">
        <v>44965</v>
      </c>
      <c r="AE510" s="205" t="s">
        <v>284</v>
      </c>
      <c r="AF510" s="282" t="s">
        <v>1345</v>
      </c>
      <c r="AG510" s="206"/>
      <c r="AH510" s="205"/>
      <c r="AI510" s="101"/>
      <c r="AJ510" s="102">
        <v>2</v>
      </c>
      <c r="AK510" s="207">
        <f t="shared" si="24"/>
        <v>0</v>
      </c>
      <c r="AL510" s="101" t="s">
        <v>1488</v>
      </c>
      <c r="AM510" s="96"/>
      <c r="AN510" s="103"/>
      <c r="AO510" s="208"/>
    </row>
    <row r="511" spans="1:41" s="308" customFormat="1" ht="30.75" hidden="1" customHeight="1" x14ac:dyDescent="0.35">
      <c r="A511" s="252">
        <v>464</v>
      </c>
      <c r="B511" s="253">
        <v>44946</v>
      </c>
      <c r="C511" s="254" t="s">
        <v>456</v>
      </c>
      <c r="D511" s="233"/>
      <c r="E511" s="233"/>
      <c r="F511" s="241" t="s">
        <v>1047</v>
      </c>
      <c r="G511" s="189" t="s">
        <v>1521</v>
      </c>
      <c r="H511" s="189" t="s">
        <v>1519</v>
      </c>
      <c r="I511" s="148" t="s">
        <v>1518</v>
      </c>
      <c r="J511" s="189"/>
      <c r="K511" s="189"/>
      <c r="L511" s="189"/>
      <c r="M511" s="189"/>
      <c r="N511" s="243"/>
      <c r="O511" s="343">
        <v>1</v>
      </c>
      <c r="P511" s="169">
        <v>0</v>
      </c>
      <c r="Q511" s="169">
        <v>0</v>
      </c>
      <c r="R511" s="169">
        <v>0</v>
      </c>
      <c r="S511" s="169">
        <v>0</v>
      </c>
      <c r="T511" s="169">
        <v>0</v>
      </c>
      <c r="U511" s="169">
        <v>0</v>
      </c>
      <c r="V511" s="169">
        <v>0</v>
      </c>
      <c r="W511" s="169">
        <v>0</v>
      </c>
      <c r="X511" s="169">
        <v>0</v>
      </c>
      <c r="Y511" s="169">
        <f>0</f>
        <v>0</v>
      </c>
      <c r="Z511" s="219">
        <f>0</f>
        <v>0</v>
      </c>
      <c r="AA511" s="150">
        <f t="shared" si="22"/>
        <v>1</v>
      </c>
      <c r="AB511" s="178">
        <v>1</v>
      </c>
      <c r="AC511" s="179">
        <f t="shared" si="23"/>
        <v>0</v>
      </c>
      <c r="AD511" s="204"/>
      <c r="AE511" s="205"/>
      <c r="AF511" s="189" t="s">
        <v>294</v>
      </c>
      <c r="AG511" s="206"/>
      <c r="AH511" s="205"/>
      <c r="AI511" s="101"/>
      <c r="AJ511" s="102" t="s">
        <v>286</v>
      </c>
      <c r="AK511" s="207" t="e">
        <f t="shared" si="24"/>
        <v>#VALUE!</v>
      </c>
      <c r="AL511" s="101" t="s">
        <v>1517</v>
      </c>
      <c r="AM511" s="96"/>
      <c r="AN511" s="103"/>
      <c r="AO511" s="208"/>
    </row>
    <row r="512" spans="1:41" s="397" customFormat="1" ht="28.15" hidden="1" customHeight="1" x14ac:dyDescent="0.25">
      <c r="A512" s="252">
        <v>465</v>
      </c>
      <c r="B512" s="245">
        <v>44946</v>
      </c>
      <c r="C512" s="327" t="s">
        <v>456</v>
      </c>
      <c r="D512" s="236"/>
      <c r="E512" s="236"/>
      <c r="F512" s="185" t="s">
        <v>1048</v>
      </c>
      <c r="G512" s="97" t="s">
        <v>1522</v>
      </c>
      <c r="H512" s="97" t="s">
        <v>1520</v>
      </c>
      <c r="I512" s="148" t="s">
        <v>1518</v>
      </c>
      <c r="J512" s="97"/>
      <c r="K512" s="97"/>
      <c r="L512" s="97"/>
      <c r="M512" s="97"/>
      <c r="N512" s="235"/>
      <c r="O512" s="343">
        <v>1</v>
      </c>
      <c r="P512" s="169">
        <v>0</v>
      </c>
      <c r="Q512" s="169">
        <v>0</v>
      </c>
      <c r="R512" s="169">
        <v>0</v>
      </c>
      <c r="S512" s="169">
        <v>0</v>
      </c>
      <c r="T512" s="169">
        <v>0</v>
      </c>
      <c r="U512" s="169">
        <v>0</v>
      </c>
      <c r="V512" s="169">
        <v>0</v>
      </c>
      <c r="W512" s="169">
        <v>0</v>
      </c>
      <c r="X512" s="169">
        <v>0</v>
      </c>
      <c r="Y512" s="169">
        <f>0</f>
        <v>0</v>
      </c>
      <c r="Z512" s="219">
        <f>0</f>
        <v>0</v>
      </c>
      <c r="AA512" s="150">
        <f t="shared" si="22"/>
        <v>1</v>
      </c>
      <c r="AB512" s="193">
        <v>1</v>
      </c>
      <c r="AC512" s="190">
        <f t="shared" si="23"/>
        <v>0</v>
      </c>
      <c r="AD512" s="194"/>
      <c r="AE512" s="195"/>
      <c r="AF512" s="97" t="s">
        <v>294</v>
      </c>
      <c r="AG512" s="196"/>
      <c r="AH512" s="195"/>
      <c r="AI512" s="101"/>
      <c r="AJ512" s="99" t="s">
        <v>286</v>
      </c>
      <c r="AK512" s="197" t="e">
        <f t="shared" si="24"/>
        <v>#VALUE!</v>
      </c>
      <c r="AL512" s="98" t="s">
        <v>1517</v>
      </c>
      <c r="AM512" s="90"/>
      <c r="AN512" s="100"/>
      <c r="AO512" s="198"/>
    </row>
    <row r="513" spans="1:41" s="397" customFormat="1" ht="28.15" hidden="1" customHeight="1" x14ac:dyDescent="0.35">
      <c r="A513" s="252">
        <v>222</v>
      </c>
      <c r="B513" s="245">
        <v>44928</v>
      </c>
      <c r="C513" s="327" t="s">
        <v>617</v>
      </c>
      <c r="D513" s="231" t="s">
        <v>717</v>
      </c>
      <c r="E513" s="173"/>
      <c r="F513" s="230" t="s">
        <v>718</v>
      </c>
      <c r="G513" s="231" t="s">
        <v>719</v>
      </c>
      <c r="H513" s="231" t="s">
        <v>651</v>
      </c>
      <c r="I513" s="232" t="s">
        <v>720</v>
      </c>
      <c r="J513" s="231" t="s">
        <v>252</v>
      </c>
      <c r="K513" s="231"/>
      <c r="L513" s="231"/>
      <c r="M513" s="231"/>
      <c r="N513" s="235" t="s">
        <v>716</v>
      </c>
      <c r="O513" s="343">
        <v>0</v>
      </c>
      <c r="P513" s="169">
        <f>0</f>
        <v>0</v>
      </c>
      <c r="Q513" s="169">
        <v>0</v>
      </c>
      <c r="R513" s="169">
        <f>0</f>
        <v>0</v>
      </c>
      <c r="S513" s="169">
        <v>0</v>
      </c>
      <c r="T513" s="169">
        <v>0</v>
      </c>
      <c r="U513" s="169">
        <v>0</v>
      </c>
      <c r="V513" s="169">
        <f>0</f>
        <v>0</v>
      </c>
      <c r="W513" s="169">
        <v>1</v>
      </c>
      <c r="X513" s="169">
        <f>0</f>
        <v>0</v>
      </c>
      <c r="Y513" s="169">
        <f>0</f>
        <v>0</v>
      </c>
      <c r="Z513" s="219">
        <f>0</f>
        <v>0</v>
      </c>
      <c r="AA513" s="161">
        <f t="shared" si="22"/>
        <v>1</v>
      </c>
      <c r="AB513" s="141"/>
      <c r="AC513" s="172">
        <f t="shared" si="23"/>
        <v>1</v>
      </c>
      <c r="AD513" s="194"/>
      <c r="AE513" s="195" t="s">
        <v>284</v>
      </c>
      <c r="AF513" s="97" t="s">
        <v>294</v>
      </c>
      <c r="AG513" s="196"/>
      <c r="AH513" s="195"/>
      <c r="AI513" s="98"/>
      <c r="AJ513" s="99"/>
      <c r="AK513" s="197">
        <f t="shared" si="24"/>
        <v>1</v>
      </c>
      <c r="AL513" s="98"/>
      <c r="AM513" s="90"/>
      <c r="AN513" s="100"/>
      <c r="AO513" s="198"/>
    </row>
    <row r="514" spans="1:41" s="397" customFormat="1" ht="28.15" hidden="1" customHeight="1" x14ac:dyDescent="0.25">
      <c r="A514" s="252">
        <v>466</v>
      </c>
      <c r="B514" s="245">
        <v>44946</v>
      </c>
      <c r="C514" s="327" t="s">
        <v>456</v>
      </c>
      <c r="D514" s="236"/>
      <c r="E514" s="236"/>
      <c r="F514" s="185" t="s">
        <v>1049</v>
      </c>
      <c r="G514" s="97" t="s">
        <v>1146</v>
      </c>
      <c r="H514" s="97" t="s">
        <v>1146</v>
      </c>
      <c r="I514" s="148" t="s">
        <v>1195</v>
      </c>
      <c r="J514" s="97"/>
      <c r="K514" s="97"/>
      <c r="L514" s="97"/>
      <c r="M514" s="97"/>
      <c r="N514" s="235"/>
      <c r="O514" s="343">
        <v>2</v>
      </c>
      <c r="P514" s="169">
        <v>0</v>
      </c>
      <c r="Q514" s="169">
        <v>0</v>
      </c>
      <c r="R514" s="169">
        <v>0</v>
      </c>
      <c r="S514" s="169">
        <v>0</v>
      </c>
      <c r="T514" s="169">
        <v>0</v>
      </c>
      <c r="U514" s="169">
        <v>0</v>
      </c>
      <c r="V514" s="169">
        <v>0</v>
      </c>
      <c r="W514" s="169">
        <v>0</v>
      </c>
      <c r="X514" s="169">
        <v>0</v>
      </c>
      <c r="Y514" s="169">
        <f>0</f>
        <v>0</v>
      </c>
      <c r="Z514" s="219">
        <f>0</f>
        <v>0</v>
      </c>
      <c r="AA514" s="161">
        <f t="shared" si="22"/>
        <v>2</v>
      </c>
      <c r="AB514" s="141"/>
      <c r="AC514" s="172">
        <f t="shared" si="23"/>
        <v>2</v>
      </c>
      <c r="AD514" s="204">
        <v>44951</v>
      </c>
      <c r="AE514" s="205" t="s">
        <v>531</v>
      </c>
      <c r="AF514" s="148" t="s">
        <v>1304</v>
      </c>
      <c r="AG514" s="196"/>
      <c r="AH514" s="195"/>
      <c r="AI514" s="98"/>
      <c r="AJ514" s="99">
        <v>2</v>
      </c>
      <c r="AK514" s="197">
        <f t="shared" si="24"/>
        <v>0</v>
      </c>
      <c r="AL514" s="98" t="s">
        <v>1305</v>
      </c>
      <c r="AM514" s="90"/>
      <c r="AN514" s="100"/>
      <c r="AO514" s="198"/>
    </row>
    <row r="515" spans="1:41" s="397" customFormat="1" ht="28.15" hidden="1" customHeight="1" x14ac:dyDescent="0.25">
      <c r="A515" s="252">
        <v>467</v>
      </c>
      <c r="B515" s="245">
        <v>44946</v>
      </c>
      <c r="C515" s="327" t="s">
        <v>456</v>
      </c>
      <c r="D515" s="236"/>
      <c r="E515" s="236"/>
      <c r="F515" s="185" t="s">
        <v>1050</v>
      </c>
      <c r="G515" s="97" t="s">
        <v>1147</v>
      </c>
      <c r="H515" s="97" t="s">
        <v>1176</v>
      </c>
      <c r="I515" s="148" t="s">
        <v>1196</v>
      </c>
      <c r="J515" s="97"/>
      <c r="K515" s="97"/>
      <c r="L515" s="97"/>
      <c r="M515" s="97"/>
      <c r="N515" s="235"/>
      <c r="O515" s="343">
        <v>1</v>
      </c>
      <c r="P515" s="169">
        <v>0</v>
      </c>
      <c r="Q515" s="169">
        <v>0</v>
      </c>
      <c r="R515" s="169">
        <v>0</v>
      </c>
      <c r="S515" s="169">
        <v>0</v>
      </c>
      <c r="T515" s="169">
        <v>0</v>
      </c>
      <c r="U515" s="169">
        <v>0</v>
      </c>
      <c r="V515" s="169">
        <v>0</v>
      </c>
      <c r="W515" s="169">
        <v>0</v>
      </c>
      <c r="X515" s="169">
        <v>0</v>
      </c>
      <c r="Y515" s="169">
        <f>0</f>
        <v>0</v>
      </c>
      <c r="Z515" s="219">
        <f>0</f>
        <v>0</v>
      </c>
      <c r="AA515" s="161">
        <f t="shared" si="22"/>
        <v>1</v>
      </c>
      <c r="AB515" s="141">
        <v>1</v>
      </c>
      <c r="AC515" s="172">
        <f t="shared" si="23"/>
        <v>0</v>
      </c>
      <c r="AD515" s="204"/>
      <c r="AE515" s="205" t="s">
        <v>531</v>
      </c>
      <c r="AF515" s="148" t="s">
        <v>44</v>
      </c>
      <c r="AG515" s="196"/>
      <c r="AH515" s="195"/>
      <c r="AI515" s="98"/>
      <c r="AJ515" s="99" t="s">
        <v>501</v>
      </c>
      <c r="AK515" s="197" t="e">
        <f t="shared" si="24"/>
        <v>#VALUE!</v>
      </c>
      <c r="AL515" s="98" t="s">
        <v>1239</v>
      </c>
      <c r="AM515" s="90"/>
      <c r="AN515" s="100"/>
      <c r="AO515" s="198"/>
    </row>
    <row r="516" spans="1:41" s="427" customFormat="1" ht="28.15" hidden="1" customHeight="1" x14ac:dyDescent="0.25">
      <c r="A516" s="252">
        <v>468</v>
      </c>
      <c r="B516" s="245">
        <v>44946</v>
      </c>
      <c r="C516" s="327" t="s">
        <v>456</v>
      </c>
      <c r="D516" s="236"/>
      <c r="E516" s="236"/>
      <c r="F516" s="185" t="s">
        <v>1051</v>
      </c>
      <c r="G516" s="97" t="s">
        <v>1148</v>
      </c>
      <c r="H516" s="97" t="s">
        <v>1177</v>
      </c>
      <c r="I516" s="148" t="s">
        <v>1196</v>
      </c>
      <c r="J516" s="97"/>
      <c r="K516" s="97"/>
      <c r="L516" s="97"/>
      <c r="M516" s="97"/>
      <c r="N516" s="235"/>
      <c r="O516" s="343">
        <v>1</v>
      </c>
      <c r="P516" s="169">
        <v>0</v>
      </c>
      <c r="Q516" s="169">
        <v>0</v>
      </c>
      <c r="R516" s="169">
        <v>0</v>
      </c>
      <c r="S516" s="169">
        <v>0</v>
      </c>
      <c r="T516" s="169">
        <v>0</v>
      </c>
      <c r="U516" s="169">
        <v>0</v>
      </c>
      <c r="V516" s="169">
        <v>0</v>
      </c>
      <c r="W516" s="169">
        <v>0</v>
      </c>
      <c r="X516" s="169">
        <v>0</v>
      </c>
      <c r="Y516" s="169">
        <f>0</f>
        <v>0</v>
      </c>
      <c r="Z516" s="219">
        <f>0</f>
        <v>0</v>
      </c>
      <c r="AA516" s="161">
        <f t="shared" ref="AA516:AA579" si="25">SUM(O516:Z516)</f>
        <v>1</v>
      </c>
      <c r="AB516" s="141">
        <v>1</v>
      </c>
      <c r="AC516" s="172">
        <f t="shared" si="23"/>
        <v>0</v>
      </c>
      <c r="AD516" s="194"/>
      <c r="AE516" s="195" t="s">
        <v>531</v>
      </c>
      <c r="AF516" s="189" t="s">
        <v>44</v>
      </c>
      <c r="AG516" s="196"/>
      <c r="AH516" s="195"/>
      <c r="AI516" s="101"/>
      <c r="AJ516" s="99" t="s">
        <v>501</v>
      </c>
      <c r="AK516" s="197" t="e">
        <f t="shared" si="24"/>
        <v>#VALUE!</v>
      </c>
      <c r="AL516" s="98" t="s">
        <v>1239</v>
      </c>
      <c r="AM516" s="90"/>
      <c r="AN516" s="100"/>
      <c r="AO516" s="198"/>
    </row>
    <row r="517" spans="1:41" s="397" customFormat="1" ht="28.15" hidden="1" customHeight="1" x14ac:dyDescent="0.25">
      <c r="A517" s="252">
        <v>469</v>
      </c>
      <c r="B517" s="245">
        <v>44946</v>
      </c>
      <c r="C517" s="327" t="s">
        <v>456</v>
      </c>
      <c r="D517" s="233"/>
      <c r="E517" s="233"/>
      <c r="F517" s="241" t="s">
        <v>1052</v>
      </c>
      <c r="G517" s="189" t="s">
        <v>1149</v>
      </c>
      <c r="H517" s="189" t="s">
        <v>1178</v>
      </c>
      <c r="I517" s="148" t="s">
        <v>1196</v>
      </c>
      <c r="J517" s="189"/>
      <c r="K517" s="189"/>
      <c r="L517" s="189"/>
      <c r="M517" s="97"/>
      <c r="N517" s="235"/>
      <c r="O517" s="343">
        <v>1</v>
      </c>
      <c r="P517" s="169">
        <v>0</v>
      </c>
      <c r="Q517" s="169">
        <v>0</v>
      </c>
      <c r="R517" s="169">
        <v>0</v>
      </c>
      <c r="S517" s="169">
        <v>0</v>
      </c>
      <c r="T517" s="169">
        <v>0</v>
      </c>
      <c r="U517" s="169">
        <v>0</v>
      </c>
      <c r="V517" s="169">
        <v>0</v>
      </c>
      <c r="W517" s="169">
        <v>0</v>
      </c>
      <c r="X517" s="169">
        <v>0</v>
      </c>
      <c r="Y517" s="169">
        <f>0</f>
        <v>0</v>
      </c>
      <c r="Z517" s="219">
        <f>0</f>
        <v>0</v>
      </c>
      <c r="AA517" s="161">
        <f t="shared" si="25"/>
        <v>1</v>
      </c>
      <c r="AB517" s="186">
        <v>1</v>
      </c>
      <c r="AC517" s="187">
        <f t="shared" si="23"/>
        <v>0</v>
      </c>
      <c r="AD517" s="204"/>
      <c r="AE517" s="205" t="s">
        <v>531</v>
      </c>
      <c r="AF517" s="189" t="s">
        <v>1243</v>
      </c>
      <c r="AG517" s="206"/>
      <c r="AH517" s="205"/>
      <c r="AI517" s="101"/>
      <c r="AJ517" s="102" t="s">
        <v>501</v>
      </c>
      <c r="AK517" s="207" t="e">
        <f t="shared" si="24"/>
        <v>#VALUE!</v>
      </c>
      <c r="AL517" s="101" t="s">
        <v>1239</v>
      </c>
      <c r="AM517" s="96"/>
      <c r="AN517" s="103"/>
      <c r="AO517" s="208"/>
    </row>
    <row r="518" spans="1:41" s="397" customFormat="1" ht="28.15" hidden="1" customHeight="1" x14ac:dyDescent="0.25">
      <c r="A518" s="252">
        <v>470</v>
      </c>
      <c r="B518" s="245">
        <v>44946</v>
      </c>
      <c r="C518" s="327" t="s">
        <v>456</v>
      </c>
      <c r="D518" s="233"/>
      <c r="E518" s="233"/>
      <c r="F518" s="241" t="s">
        <v>1053</v>
      </c>
      <c r="G518" s="189" t="s">
        <v>1150</v>
      </c>
      <c r="H518" s="189" t="s">
        <v>1179</v>
      </c>
      <c r="I518" s="148" t="s">
        <v>1196</v>
      </c>
      <c r="J518" s="189"/>
      <c r="K518" s="189"/>
      <c r="L518" s="189"/>
      <c r="M518" s="97"/>
      <c r="N518" s="235"/>
      <c r="O518" s="343">
        <v>2</v>
      </c>
      <c r="P518" s="169">
        <v>0</v>
      </c>
      <c r="Q518" s="169">
        <v>0</v>
      </c>
      <c r="R518" s="169">
        <v>0</v>
      </c>
      <c r="S518" s="169">
        <v>0</v>
      </c>
      <c r="T518" s="169">
        <v>0</v>
      </c>
      <c r="U518" s="169">
        <v>0</v>
      </c>
      <c r="V518" s="169">
        <v>0</v>
      </c>
      <c r="W518" s="169">
        <v>0</v>
      </c>
      <c r="X518" s="169">
        <v>0</v>
      </c>
      <c r="Y518" s="169">
        <f>0</f>
        <v>0</v>
      </c>
      <c r="Z518" s="219">
        <f>0</f>
        <v>0</v>
      </c>
      <c r="AA518" s="161">
        <f t="shared" si="25"/>
        <v>2</v>
      </c>
      <c r="AB518" s="186">
        <v>2</v>
      </c>
      <c r="AC518" s="187">
        <f t="shared" si="23"/>
        <v>0</v>
      </c>
      <c r="AD518" s="204"/>
      <c r="AE518" s="205" t="s">
        <v>531</v>
      </c>
      <c r="AF518" s="189" t="s">
        <v>44</v>
      </c>
      <c r="AG518" s="206"/>
      <c r="AH518" s="205"/>
      <c r="AI518" s="101"/>
      <c r="AJ518" s="102" t="s">
        <v>501</v>
      </c>
      <c r="AK518" s="207" t="e">
        <f t="shared" si="24"/>
        <v>#VALUE!</v>
      </c>
      <c r="AL518" s="101" t="s">
        <v>1239</v>
      </c>
      <c r="AM518" s="96"/>
      <c r="AN518" s="103"/>
      <c r="AO518" s="208"/>
    </row>
    <row r="519" spans="1:41" ht="28.15" hidden="1" customHeight="1" x14ac:dyDescent="0.25">
      <c r="A519" s="252">
        <v>80</v>
      </c>
      <c r="B519" s="245"/>
      <c r="C519" s="327" t="s">
        <v>237</v>
      </c>
      <c r="D519" s="236"/>
      <c r="E519" s="296"/>
      <c r="F519" s="185" t="s">
        <v>490</v>
      </c>
      <c r="G519" s="196" t="s">
        <v>491</v>
      </c>
      <c r="H519" s="328"/>
      <c r="I519" s="321" t="s">
        <v>238</v>
      </c>
      <c r="J519" s="97"/>
      <c r="K519" s="97"/>
      <c r="L519" s="97"/>
      <c r="M519" s="97"/>
      <c r="N519" s="235" t="s">
        <v>71</v>
      </c>
      <c r="O519" s="417">
        <v>1</v>
      </c>
      <c r="P519" s="90">
        <f>0</f>
        <v>0</v>
      </c>
      <c r="Q519" s="90">
        <f>0</f>
        <v>0</v>
      </c>
      <c r="R519" s="90">
        <f>0</f>
        <v>0</v>
      </c>
      <c r="S519" s="90">
        <f>0</f>
        <v>0</v>
      </c>
      <c r="T519" s="90">
        <f>0</f>
        <v>0</v>
      </c>
      <c r="U519" s="90">
        <f>0</f>
        <v>0</v>
      </c>
      <c r="V519" s="90">
        <f>0</f>
        <v>0</v>
      </c>
      <c r="W519" s="90">
        <f>0</f>
        <v>0</v>
      </c>
      <c r="X519" s="90">
        <f>0</f>
        <v>0</v>
      </c>
      <c r="Y519" s="90">
        <f>0</f>
        <v>0</v>
      </c>
      <c r="Z519" s="418">
        <f>0</f>
        <v>0</v>
      </c>
      <c r="AA519" s="150">
        <f t="shared" si="25"/>
        <v>1</v>
      </c>
      <c r="AB519" s="193">
        <f>0</f>
        <v>0</v>
      </c>
      <c r="AC519" s="190">
        <f t="shared" ref="AC519:AC582" si="26">AA519-AB519</f>
        <v>1</v>
      </c>
      <c r="AD519" s="194" t="s">
        <v>1567</v>
      </c>
      <c r="AE519" s="195" t="s">
        <v>239</v>
      </c>
      <c r="AF519" s="182" t="s">
        <v>1566</v>
      </c>
      <c r="AG519" s="151"/>
      <c r="AH519" s="113"/>
      <c r="AI519" s="98"/>
      <c r="AJ519" s="99"/>
      <c r="AK519" s="197">
        <f t="shared" si="24"/>
        <v>1</v>
      </c>
      <c r="AL519" s="98"/>
      <c r="AM519" s="90"/>
      <c r="AN519" s="100"/>
      <c r="AO519" s="198"/>
    </row>
    <row r="520" spans="1:41" ht="28.15" hidden="1" customHeight="1" x14ac:dyDescent="0.25">
      <c r="A520" s="252">
        <v>81</v>
      </c>
      <c r="B520" s="245"/>
      <c r="C520" s="327" t="s">
        <v>239</v>
      </c>
      <c r="D520" s="233"/>
      <c r="E520" s="295"/>
      <c r="F520" s="241" t="s">
        <v>240</v>
      </c>
      <c r="G520" s="206" t="s">
        <v>241</v>
      </c>
      <c r="H520" s="329"/>
      <c r="I520" s="329" t="s">
        <v>238</v>
      </c>
      <c r="J520" s="97"/>
      <c r="K520" s="97"/>
      <c r="L520" s="97"/>
      <c r="M520" s="97"/>
      <c r="N520" s="235" t="s">
        <v>71</v>
      </c>
      <c r="O520" s="417">
        <v>1</v>
      </c>
      <c r="P520" s="90">
        <f>0</f>
        <v>0</v>
      </c>
      <c r="Q520" s="90">
        <f>0</f>
        <v>0</v>
      </c>
      <c r="R520" s="90">
        <f>0</f>
        <v>0</v>
      </c>
      <c r="S520" s="90">
        <f>0</f>
        <v>0</v>
      </c>
      <c r="T520" s="90">
        <f>0</f>
        <v>0</v>
      </c>
      <c r="U520" s="90">
        <f>0</f>
        <v>0</v>
      </c>
      <c r="V520" s="90">
        <f>0</f>
        <v>0</v>
      </c>
      <c r="W520" s="90">
        <f>0</f>
        <v>0</v>
      </c>
      <c r="X520" s="566">
        <f>0</f>
        <v>0</v>
      </c>
      <c r="Y520" s="90">
        <f>0</f>
        <v>0</v>
      </c>
      <c r="Z520" s="418">
        <f>0</f>
        <v>0</v>
      </c>
      <c r="AA520" s="150">
        <f t="shared" si="25"/>
        <v>1</v>
      </c>
      <c r="AB520" s="193">
        <f>0</f>
        <v>0</v>
      </c>
      <c r="AC520" s="190">
        <f t="shared" si="26"/>
        <v>1</v>
      </c>
      <c r="AD520" s="194" t="s">
        <v>1567</v>
      </c>
      <c r="AE520" s="195" t="s">
        <v>239</v>
      </c>
      <c r="AF520" s="182" t="s">
        <v>1566</v>
      </c>
      <c r="AG520" s="151"/>
      <c r="AH520" s="113"/>
      <c r="AI520" s="98"/>
      <c r="AJ520" s="99"/>
      <c r="AK520" s="197">
        <f t="shared" si="24"/>
        <v>1</v>
      </c>
      <c r="AL520" s="98"/>
      <c r="AM520" s="90"/>
      <c r="AN520" s="100"/>
      <c r="AO520" s="198"/>
    </row>
    <row r="521" spans="1:41" ht="28.15" hidden="1" customHeight="1" x14ac:dyDescent="0.25">
      <c r="A521" s="252">
        <v>77</v>
      </c>
      <c r="B521" s="245"/>
      <c r="C521" s="327" t="s">
        <v>237</v>
      </c>
      <c r="D521" s="189"/>
      <c r="E521" s="229"/>
      <c r="F521" s="241" t="s">
        <v>228</v>
      </c>
      <c r="G521" s="206" t="s">
        <v>229</v>
      </c>
      <c r="H521" s="329" t="s">
        <v>229</v>
      </c>
      <c r="I521" s="329" t="s">
        <v>230</v>
      </c>
      <c r="J521" s="97"/>
      <c r="K521" s="97"/>
      <c r="L521" s="97"/>
      <c r="M521" s="97"/>
      <c r="N521" s="235" t="s">
        <v>71</v>
      </c>
      <c r="O521" s="417">
        <v>1</v>
      </c>
      <c r="P521" s="90">
        <f>0</f>
        <v>0</v>
      </c>
      <c r="Q521" s="90">
        <f>0</f>
        <v>0</v>
      </c>
      <c r="R521" s="90">
        <f>0</f>
        <v>0</v>
      </c>
      <c r="S521" s="90">
        <f>0</f>
        <v>0</v>
      </c>
      <c r="T521" s="90">
        <f>0</f>
        <v>0</v>
      </c>
      <c r="U521" s="90">
        <f>0</f>
        <v>0</v>
      </c>
      <c r="V521" s="90">
        <f>0</f>
        <v>0</v>
      </c>
      <c r="W521" s="90">
        <f>0</f>
        <v>0</v>
      </c>
      <c r="X521" s="566">
        <f>0</f>
        <v>0</v>
      </c>
      <c r="Y521" s="90">
        <f>0</f>
        <v>0</v>
      </c>
      <c r="Z521" s="418">
        <f>0</f>
        <v>0</v>
      </c>
      <c r="AA521" s="150">
        <f t="shared" si="25"/>
        <v>1</v>
      </c>
      <c r="AB521" s="193">
        <v>0</v>
      </c>
      <c r="AC521" s="190">
        <f t="shared" si="26"/>
        <v>1</v>
      </c>
      <c r="AD521" s="194">
        <v>45013</v>
      </c>
      <c r="AE521" s="195" t="s">
        <v>239</v>
      </c>
      <c r="AF521" s="182" t="s">
        <v>1565</v>
      </c>
      <c r="AG521" s="151"/>
      <c r="AH521" s="164">
        <v>45030</v>
      </c>
      <c r="AI521" s="98" t="s">
        <v>1448</v>
      </c>
      <c r="AJ521" s="99">
        <v>1</v>
      </c>
      <c r="AK521" s="197">
        <f t="shared" si="24"/>
        <v>0</v>
      </c>
      <c r="AL521" s="98" t="s">
        <v>1603</v>
      </c>
      <c r="AM521" s="90"/>
      <c r="AN521" s="100"/>
      <c r="AO521" s="198"/>
    </row>
    <row r="522" spans="1:41" ht="28.15" hidden="1" customHeight="1" x14ac:dyDescent="0.25">
      <c r="A522" s="252">
        <v>78</v>
      </c>
      <c r="B522" s="245"/>
      <c r="C522" s="327" t="s">
        <v>237</v>
      </c>
      <c r="D522" s="233"/>
      <c r="E522" s="233"/>
      <c r="F522" s="241" t="s">
        <v>231</v>
      </c>
      <c r="G522" s="206" t="s">
        <v>232</v>
      </c>
      <c r="H522" s="329" t="s">
        <v>232</v>
      </c>
      <c r="I522" s="329" t="s">
        <v>230</v>
      </c>
      <c r="J522" s="97"/>
      <c r="K522" s="97"/>
      <c r="L522" s="97"/>
      <c r="M522" s="97"/>
      <c r="N522" s="235" t="s">
        <v>71</v>
      </c>
      <c r="O522" s="417">
        <v>1</v>
      </c>
      <c r="P522" s="90">
        <f>0</f>
        <v>0</v>
      </c>
      <c r="Q522" s="90">
        <f>0</f>
        <v>0</v>
      </c>
      <c r="R522" s="90">
        <f>0</f>
        <v>0</v>
      </c>
      <c r="S522" s="90">
        <f>0</f>
        <v>0</v>
      </c>
      <c r="T522" s="90">
        <f>0</f>
        <v>0</v>
      </c>
      <c r="U522" s="90">
        <f>0</f>
        <v>0</v>
      </c>
      <c r="V522" s="90">
        <f>0</f>
        <v>0</v>
      </c>
      <c r="W522" s="90">
        <f>0</f>
        <v>0</v>
      </c>
      <c r="X522" s="566">
        <f>0</f>
        <v>0</v>
      </c>
      <c r="Y522" s="90">
        <f>0</f>
        <v>0</v>
      </c>
      <c r="Z522" s="418">
        <f>0</f>
        <v>0</v>
      </c>
      <c r="AA522" s="150">
        <f t="shared" si="25"/>
        <v>1</v>
      </c>
      <c r="AB522" s="193">
        <v>0</v>
      </c>
      <c r="AC522" s="190">
        <f t="shared" si="26"/>
        <v>1</v>
      </c>
      <c r="AD522" s="194">
        <v>45013</v>
      </c>
      <c r="AE522" s="195" t="s">
        <v>239</v>
      </c>
      <c r="AF522" s="182" t="s">
        <v>1565</v>
      </c>
      <c r="AG522" s="151"/>
      <c r="AH522" s="164">
        <v>45030</v>
      </c>
      <c r="AI522" s="98" t="s">
        <v>1448</v>
      </c>
      <c r="AJ522" s="99">
        <v>1</v>
      </c>
      <c r="AK522" s="197">
        <f t="shared" si="24"/>
        <v>0</v>
      </c>
      <c r="AL522" s="98" t="s">
        <v>1603</v>
      </c>
      <c r="AM522" s="90"/>
      <c r="AN522" s="100"/>
      <c r="AO522" s="198"/>
    </row>
    <row r="523" spans="1:41" ht="28.15" hidden="1" customHeight="1" x14ac:dyDescent="0.25">
      <c r="A523" s="252">
        <v>79</v>
      </c>
      <c r="B523" s="245"/>
      <c r="C523" s="327" t="s">
        <v>237</v>
      </c>
      <c r="D523" s="189"/>
      <c r="E523" s="229"/>
      <c r="F523" s="241" t="s">
        <v>233</v>
      </c>
      <c r="G523" s="206" t="s">
        <v>234</v>
      </c>
      <c r="H523" s="329" t="s">
        <v>234</v>
      </c>
      <c r="I523" s="329" t="s">
        <v>230</v>
      </c>
      <c r="J523" s="97"/>
      <c r="K523" s="97"/>
      <c r="L523" s="97"/>
      <c r="M523" s="97"/>
      <c r="N523" s="235" t="s">
        <v>71</v>
      </c>
      <c r="O523" s="417">
        <v>1</v>
      </c>
      <c r="P523" s="90">
        <f>0</f>
        <v>0</v>
      </c>
      <c r="Q523" s="90">
        <f>0</f>
        <v>0</v>
      </c>
      <c r="R523" s="90">
        <f>0</f>
        <v>0</v>
      </c>
      <c r="S523" s="90">
        <f>0</f>
        <v>0</v>
      </c>
      <c r="T523" s="90">
        <f>0</f>
        <v>0</v>
      </c>
      <c r="U523" s="90">
        <f>0</f>
        <v>0</v>
      </c>
      <c r="V523" s="90">
        <f>0</f>
        <v>0</v>
      </c>
      <c r="W523" s="90">
        <f>0</f>
        <v>0</v>
      </c>
      <c r="X523" s="566">
        <f>0</f>
        <v>0</v>
      </c>
      <c r="Y523" s="90">
        <f>0</f>
        <v>0</v>
      </c>
      <c r="Z523" s="418">
        <f>0</f>
        <v>0</v>
      </c>
      <c r="AA523" s="150">
        <f t="shared" si="25"/>
        <v>1</v>
      </c>
      <c r="AB523" s="193">
        <v>0</v>
      </c>
      <c r="AC523" s="190">
        <f t="shared" si="26"/>
        <v>1</v>
      </c>
      <c r="AD523" s="194">
        <v>45013</v>
      </c>
      <c r="AE523" s="195" t="s">
        <v>239</v>
      </c>
      <c r="AF523" s="182" t="s">
        <v>1565</v>
      </c>
      <c r="AG523" s="151"/>
      <c r="AH523" s="164">
        <v>45030</v>
      </c>
      <c r="AI523" s="98" t="s">
        <v>1448</v>
      </c>
      <c r="AJ523" s="99">
        <v>1</v>
      </c>
      <c r="AK523" s="197">
        <f t="shared" si="24"/>
        <v>0</v>
      </c>
      <c r="AL523" s="98" t="s">
        <v>1603</v>
      </c>
      <c r="AM523" s="90"/>
      <c r="AN523" s="100"/>
      <c r="AO523" s="198"/>
    </row>
    <row r="524" spans="1:41" ht="28.15" hidden="1" customHeight="1" x14ac:dyDescent="0.35">
      <c r="A524" s="252">
        <v>57</v>
      </c>
      <c r="B524" s="245"/>
      <c r="C524" s="327" t="s">
        <v>237</v>
      </c>
      <c r="D524" s="189"/>
      <c r="E524" s="229"/>
      <c r="F524" s="255" t="s">
        <v>173</v>
      </c>
      <c r="G524" s="256"/>
      <c r="H524" s="332" t="s">
        <v>174</v>
      </c>
      <c r="I524" s="332" t="s">
        <v>179</v>
      </c>
      <c r="J524" s="554"/>
      <c r="K524" s="325"/>
      <c r="L524" s="97"/>
      <c r="M524" s="97"/>
      <c r="N524" s="235" t="s">
        <v>71</v>
      </c>
      <c r="O524" s="343">
        <v>1</v>
      </c>
      <c r="P524" s="169">
        <f>0</f>
        <v>0</v>
      </c>
      <c r="Q524" s="169">
        <f>0</f>
        <v>0</v>
      </c>
      <c r="R524" s="169">
        <f>0</f>
        <v>0</v>
      </c>
      <c r="S524" s="169">
        <f>0</f>
        <v>0</v>
      </c>
      <c r="T524" s="169">
        <f>0</f>
        <v>0</v>
      </c>
      <c r="U524" s="169">
        <f>0</f>
        <v>0</v>
      </c>
      <c r="V524" s="169">
        <f>0</f>
        <v>0</v>
      </c>
      <c r="W524" s="169">
        <f>0</f>
        <v>0</v>
      </c>
      <c r="X524" s="567">
        <f>0</f>
        <v>0</v>
      </c>
      <c r="Y524" s="169">
        <f>0</f>
        <v>0</v>
      </c>
      <c r="Z524" s="219">
        <f>0</f>
        <v>0</v>
      </c>
      <c r="AA524" s="161">
        <f t="shared" si="25"/>
        <v>1</v>
      </c>
      <c r="AB524" s="141">
        <f>0</f>
        <v>0</v>
      </c>
      <c r="AC524" s="172">
        <f t="shared" si="26"/>
        <v>1</v>
      </c>
      <c r="AD524" s="194">
        <v>44694</v>
      </c>
      <c r="AE524" s="195" t="s">
        <v>239</v>
      </c>
      <c r="AF524" s="97" t="s">
        <v>439</v>
      </c>
      <c r="AG524" s="167">
        <v>3</v>
      </c>
      <c r="AH524" s="195">
        <v>-1</v>
      </c>
      <c r="AI524" s="98" t="s">
        <v>440</v>
      </c>
      <c r="AJ524" s="99">
        <v>2</v>
      </c>
      <c r="AK524" s="197">
        <f t="shared" si="24"/>
        <v>-1</v>
      </c>
      <c r="AL524" s="98" t="s">
        <v>289</v>
      </c>
      <c r="AM524" s="90"/>
      <c r="AN524" s="100"/>
      <c r="AO524" s="198"/>
    </row>
    <row r="525" spans="1:41" ht="28.15" hidden="1" customHeight="1" x14ac:dyDescent="0.35">
      <c r="A525" s="252">
        <v>58</v>
      </c>
      <c r="B525" s="245"/>
      <c r="C525" s="327" t="s">
        <v>237</v>
      </c>
      <c r="D525" s="233"/>
      <c r="E525" s="233"/>
      <c r="F525" s="312" t="s">
        <v>175</v>
      </c>
      <c r="G525" s="313"/>
      <c r="H525" s="326" t="s">
        <v>176</v>
      </c>
      <c r="I525" s="326" t="s">
        <v>179</v>
      </c>
      <c r="J525" s="231"/>
      <c r="K525" s="325"/>
      <c r="L525" s="97"/>
      <c r="M525" s="97"/>
      <c r="N525" s="235" t="s">
        <v>71</v>
      </c>
      <c r="O525" s="343">
        <v>1</v>
      </c>
      <c r="P525" s="169">
        <f>0</f>
        <v>0</v>
      </c>
      <c r="Q525" s="169">
        <f>0</f>
        <v>0</v>
      </c>
      <c r="R525" s="169">
        <f>0</f>
        <v>0</v>
      </c>
      <c r="S525" s="169">
        <f>0</f>
        <v>0</v>
      </c>
      <c r="T525" s="169">
        <f>0</f>
        <v>0</v>
      </c>
      <c r="U525" s="169">
        <f>0</f>
        <v>0</v>
      </c>
      <c r="V525" s="169">
        <f>0</f>
        <v>0</v>
      </c>
      <c r="W525" s="169">
        <f>0</f>
        <v>0</v>
      </c>
      <c r="X525" s="567">
        <f>0</f>
        <v>0</v>
      </c>
      <c r="Y525" s="169">
        <f>0</f>
        <v>0</v>
      </c>
      <c r="Z525" s="219">
        <f>0</f>
        <v>0</v>
      </c>
      <c r="AA525" s="161">
        <f t="shared" si="25"/>
        <v>1</v>
      </c>
      <c r="AB525" s="141">
        <f>0</f>
        <v>0</v>
      </c>
      <c r="AC525" s="172">
        <f t="shared" si="26"/>
        <v>1</v>
      </c>
      <c r="AD525" s="194">
        <v>44694</v>
      </c>
      <c r="AE525" s="195" t="s">
        <v>239</v>
      </c>
      <c r="AF525" s="97" t="s">
        <v>439</v>
      </c>
      <c r="AG525" s="167">
        <v>3</v>
      </c>
      <c r="AH525" s="195">
        <v>-1</v>
      </c>
      <c r="AI525" s="98" t="s">
        <v>440</v>
      </c>
      <c r="AJ525" s="99">
        <v>2</v>
      </c>
      <c r="AK525" s="197">
        <f t="shared" si="24"/>
        <v>-1</v>
      </c>
      <c r="AL525" s="98" t="s">
        <v>289</v>
      </c>
      <c r="AM525" s="90"/>
      <c r="AN525" s="100"/>
      <c r="AO525" s="198"/>
    </row>
    <row r="526" spans="1:41" ht="28.15" hidden="1" customHeight="1" x14ac:dyDescent="0.35">
      <c r="A526" s="252">
        <v>59</v>
      </c>
      <c r="B526" s="245"/>
      <c r="C526" s="327" t="s">
        <v>237</v>
      </c>
      <c r="D526" s="189"/>
      <c r="E526" s="229"/>
      <c r="F526" s="255" t="s">
        <v>177</v>
      </c>
      <c r="G526" s="256"/>
      <c r="H526" s="332" t="s">
        <v>178</v>
      </c>
      <c r="I526" s="332" t="s">
        <v>179</v>
      </c>
      <c r="J526" s="554"/>
      <c r="K526" s="325"/>
      <c r="L526" s="97"/>
      <c r="M526" s="97"/>
      <c r="N526" s="235" t="s">
        <v>71</v>
      </c>
      <c r="O526" s="343">
        <v>3</v>
      </c>
      <c r="P526" s="169">
        <f>0</f>
        <v>0</v>
      </c>
      <c r="Q526" s="169">
        <f>0</f>
        <v>0</v>
      </c>
      <c r="R526" s="169">
        <f>0</f>
        <v>0</v>
      </c>
      <c r="S526" s="169">
        <f>0</f>
        <v>0</v>
      </c>
      <c r="T526" s="169">
        <f>0</f>
        <v>0</v>
      </c>
      <c r="U526" s="169">
        <f>0</f>
        <v>0</v>
      </c>
      <c r="V526" s="169">
        <f>0</f>
        <v>0</v>
      </c>
      <c r="W526" s="169">
        <f>0</f>
        <v>0</v>
      </c>
      <c r="X526" s="567">
        <f>0</f>
        <v>0</v>
      </c>
      <c r="Y526" s="169">
        <f>0</f>
        <v>0</v>
      </c>
      <c r="Z526" s="219">
        <f>0</f>
        <v>0</v>
      </c>
      <c r="AA526" s="161">
        <f t="shared" si="25"/>
        <v>3</v>
      </c>
      <c r="AB526" s="141">
        <f>0</f>
        <v>0</v>
      </c>
      <c r="AC526" s="172">
        <f t="shared" si="26"/>
        <v>3</v>
      </c>
      <c r="AD526" s="194">
        <v>44694</v>
      </c>
      <c r="AE526" s="195" t="s">
        <v>239</v>
      </c>
      <c r="AF526" s="97" t="s">
        <v>441</v>
      </c>
      <c r="AG526" s="167" t="s">
        <v>442</v>
      </c>
      <c r="AH526" s="195" t="e">
        <v>#VALUE!</v>
      </c>
      <c r="AI526" s="98" t="s">
        <v>443</v>
      </c>
      <c r="AJ526" s="99">
        <v>7</v>
      </c>
      <c r="AK526" s="197">
        <f t="shared" si="24"/>
        <v>-4</v>
      </c>
      <c r="AL526" s="98" t="s">
        <v>289</v>
      </c>
      <c r="AM526" s="90"/>
      <c r="AN526" s="100"/>
      <c r="AO526" s="198"/>
    </row>
    <row r="527" spans="1:41" ht="28.15" hidden="1" customHeight="1" x14ac:dyDescent="0.25">
      <c r="A527" s="252">
        <v>231</v>
      </c>
      <c r="B527" s="245">
        <v>44939</v>
      </c>
      <c r="C527" s="327" t="s">
        <v>308</v>
      </c>
      <c r="D527" s="233" t="s">
        <v>776</v>
      </c>
      <c r="E527" s="233" t="s">
        <v>330</v>
      </c>
      <c r="F527" s="241" t="s">
        <v>778</v>
      </c>
      <c r="G527" s="206" t="s">
        <v>779</v>
      </c>
      <c r="H527" s="329" t="s">
        <v>771</v>
      </c>
      <c r="I527" s="329" t="s">
        <v>772</v>
      </c>
      <c r="J527" s="231" t="s">
        <v>251</v>
      </c>
      <c r="K527" s="231" t="s">
        <v>252</v>
      </c>
      <c r="L527" s="231" t="s">
        <v>252</v>
      </c>
      <c r="M527" s="231"/>
      <c r="N527" s="235" t="s">
        <v>777</v>
      </c>
      <c r="O527" s="343">
        <v>0</v>
      </c>
      <c r="P527" s="169">
        <f>0</f>
        <v>0</v>
      </c>
      <c r="Q527" s="169">
        <v>0</v>
      </c>
      <c r="R527" s="169">
        <f>0</f>
        <v>0</v>
      </c>
      <c r="S527" s="169">
        <v>0</v>
      </c>
      <c r="T527" s="169">
        <v>0</v>
      </c>
      <c r="U527" s="169">
        <v>0</v>
      </c>
      <c r="V527" s="169">
        <f>0</f>
        <v>0</v>
      </c>
      <c r="W527" s="169">
        <v>6</v>
      </c>
      <c r="X527" s="567">
        <f>0</f>
        <v>0</v>
      </c>
      <c r="Y527" s="169">
        <f>0</f>
        <v>0</v>
      </c>
      <c r="Z527" s="219">
        <f>0</f>
        <v>0</v>
      </c>
      <c r="AA527" s="150">
        <f t="shared" si="25"/>
        <v>6</v>
      </c>
      <c r="AB527" s="193"/>
      <c r="AC527" s="190">
        <f t="shared" si="26"/>
        <v>6</v>
      </c>
      <c r="AD527" s="194"/>
      <c r="AE527" s="195" t="s">
        <v>531</v>
      </c>
      <c r="AF527" s="97" t="s">
        <v>44</v>
      </c>
      <c r="AG527" s="196"/>
      <c r="AH527" s="195"/>
      <c r="AI527" s="98"/>
      <c r="AJ527" s="99" t="s">
        <v>501</v>
      </c>
      <c r="AK527" s="197" t="e">
        <f t="shared" si="24"/>
        <v>#VALUE!</v>
      </c>
      <c r="AL527" s="98"/>
      <c r="AM527" s="90"/>
      <c r="AN527" s="100"/>
      <c r="AO527" s="198"/>
    </row>
    <row r="528" spans="1:41" s="397" customFormat="1" ht="28.15" hidden="1" customHeight="1" x14ac:dyDescent="0.25">
      <c r="A528" s="252">
        <v>185</v>
      </c>
      <c r="B528" s="245" t="s">
        <v>616</v>
      </c>
      <c r="C528" s="327" t="s">
        <v>617</v>
      </c>
      <c r="D528" s="305" t="s">
        <v>618</v>
      </c>
      <c r="E528" s="326" t="s">
        <v>324</v>
      </c>
      <c r="F528" s="229" t="s">
        <v>1349</v>
      </c>
      <c r="G528" s="326" t="s">
        <v>1392</v>
      </c>
      <c r="H528" s="326" t="s">
        <v>1393</v>
      </c>
      <c r="I528" s="229" t="s">
        <v>619</v>
      </c>
      <c r="J528" s="231" t="s">
        <v>71</v>
      </c>
      <c r="K528" s="231"/>
      <c r="L528" s="231" t="s">
        <v>328</v>
      </c>
      <c r="M528" s="97"/>
      <c r="N528" s="324" t="s">
        <v>643</v>
      </c>
      <c r="O528" s="417">
        <f>0</f>
        <v>0</v>
      </c>
      <c r="P528" s="90">
        <f>0</f>
        <v>0</v>
      </c>
      <c r="Q528" s="90">
        <f>0</f>
        <v>0</v>
      </c>
      <c r="R528" s="90">
        <f>0</f>
        <v>0</v>
      </c>
      <c r="S528" s="90">
        <f>0</f>
        <v>0</v>
      </c>
      <c r="T528" s="90">
        <f>0</f>
        <v>0</v>
      </c>
      <c r="U528" s="90">
        <f>0</f>
        <v>0</v>
      </c>
      <c r="V528" s="90">
        <f>0</f>
        <v>0</v>
      </c>
      <c r="W528" s="90">
        <v>1</v>
      </c>
      <c r="X528" s="566">
        <f>0</f>
        <v>0</v>
      </c>
      <c r="Y528" s="90">
        <f>0</f>
        <v>0</v>
      </c>
      <c r="Z528" s="418">
        <f>0</f>
        <v>0</v>
      </c>
      <c r="AA528" s="150">
        <f t="shared" si="25"/>
        <v>1</v>
      </c>
      <c r="AB528" s="193"/>
      <c r="AC528" s="190">
        <f t="shared" si="26"/>
        <v>1</v>
      </c>
      <c r="AD528" s="194">
        <v>45013</v>
      </c>
      <c r="AE528" s="195" t="s">
        <v>239</v>
      </c>
      <c r="AF528" s="97" t="s">
        <v>1601</v>
      </c>
      <c r="AG528" s="196"/>
      <c r="AH528" s="195"/>
      <c r="AI528" s="98" t="s">
        <v>1448</v>
      </c>
      <c r="AJ528" s="99">
        <v>1</v>
      </c>
      <c r="AK528" s="197">
        <f t="shared" si="24"/>
        <v>0</v>
      </c>
      <c r="AL528" s="98" t="s">
        <v>1606</v>
      </c>
      <c r="AM528" s="90"/>
      <c r="AN528" s="100"/>
      <c r="AO528" s="198"/>
    </row>
    <row r="529" spans="1:41" s="397" customFormat="1" ht="28.15" hidden="1" customHeight="1" x14ac:dyDescent="0.25">
      <c r="A529" s="252">
        <v>194</v>
      </c>
      <c r="B529" s="245" t="s">
        <v>616</v>
      </c>
      <c r="C529" s="327" t="s">
        <v>617</v>
      </c>
      <c r="D529" s="305" t="s">
        <v>618</v>
      </c>
      <c r="E529" s="326" t="s">
        <v>324</v>
      </c>
      <c r="F529" s="229" t="s">
        <v>1349</v>
      </c>
      <c r="G529" s="326" t="s">
        <v>1350</v>
      </c>
      <c r="H529" s="326" t="s">
        <v>1351</v>
      </c>
      <c r="I529" s="229" t="s">
        <v>619</v>
      </c>
      <c r="J529" s="231" t="s">
        <v>71</v>
      </c>
      <c r="K529" s="231"/>
      <c r="L529" s="231" t="s">
        <v>328</v>
      </c>
      <c r="M529" s="231"/>
      <c r="N529" s="324" t="s">
        <v>711</v>
      </c>
      <c r="O529" s="417">
        <f>0</f>
        <v>0</v>
      </c>
      <c r="P529" s="90">
        <v>0</v>
      </c>
      <c r="Q529" s="90">
        <f>0</f>
        <v>0</v>
      </c>
      <c r="R529" s="90">
        <v>0</v>
      </c>
      <c r="S529" s="90">
        <f>0</f>
        <v>0</v>
      </c>
      <c r="T529" s="90">
        <f>0</f>
        <v>0</v>
      </c>
      <c r="U529" s="90">
        <f>0</f>
        <v>0</v>
      </c>
      <c r="V529" s="90">
        <v>0</v>
      </c>
      <c r="W529" s="90">
        <v>2</v>
      </c>
      <c r="X529" s="566">
        <f>0</f>
        <v>0</v>
      </c>
      <c r="Y529" s="90">
        <f>0</f>
        <v>0</v>
      </c>
      <c r="Z529" s="418">
        <f>0</f>
        <v>0</v>
      </c>
      <c r="AA529" s="150">
        <f t="shared" si="25"/>
        <v>2</v>
      </c>
      <c r="AB529" s="193"/>
      <c r="AC529" s="190">
        <f t="shared" si="26"/>
        <v>2</v>
      </c>
      <c r="AD529" s="194">
        <v>45013</v>
      </c>
      <c r="AE529" s="195" t="s">
        <v>239</v>
      </c>
      <c r="AF529" s="97" t="s">
        <v>1601</v>
      </c>
      <c r="AG529" s="196"/>
      <c r="AH529" s="195"/>
      <c r="AI529" s="98" t="s">
        <v>1448</v>
      </c>
      <c r="AJ529" s="99">
        <v>2</v>
      </c>
      <c r="AK529" s="197">
        <f t="shared" si="24"/>
        <v>0</v>
      </c>
      <c r="AL529" s="98" t="s">
        <v>1606</v>
      </c>
      <c r="AM529" s="90"/>
      <c r="AN529" s="100"/>
      <c r="AO529" s="198"/>
    </row>
    <row r="530" spans="1:41" s="397" customFormat="1" ht="28.15" hidden="1" customHeight="1" x14ac:dyDescent="0.25">
      <c r="A530" s="252">
        <v>283</v>
      </c>
      <c r="B530" s="245">
        <v>44944</v>
      </c>
      <c r="C530" s="327" t="s">
        <v>817</v>
      </c>
      <c r="D530" s="233" t="s">
        <v>1290</v>
      </c>
      <c r="E530" s="233" t="s">
        <v>324</v>
      </c>
      <c r="F530" s="241" t="s">
        <v>1289</v>
      </c>
      <c r="G530" s="189" t="s">
        <v>1288</v>
      </c>
      <c r="H530" s="329" t="s">
        <v>1287</v>
      </c>
      <c r="I530" s="329" t="s">
        <v>619</v>
      </c>
      <c r="J530" s="231" t="s">
        <v>71</v>
      </c>
      <c r="K530" s="231"/>
      <c r="L530" s="231"/>
      <c r="M530" s="231"/>
      <c r="N530" s="235" t="s">
        <v>814</v>
      </c>
      <c r="O530" s="417">
        <f>0</f>
        <v>0</v>
      </c>
      <c r="P530" s="90">
        <f>0</f>
        <v>0</v>
      </c>
      <c r="Q530" s="90">
        <f>0</f>
        <v>0</v>
      </c>
      <c r="R530" s="90">
        <v>2</v>
      </c>
      <c r="S530" s="90">
        <f>0</f>
        <v>0</v>
      </c>
      <c r="T530" s="90">
        <f>0</f>
        <v>0</v>
      </c>
      <c r="U530" s="90">
        <f>0</f>
        <v>0</v>
      </c>
      <c r="V530" s="90">
        <f>0</f>
        <v>0</v>
      </c>
      <c r="W530" s="90">
        <f>0</f>
        <v>0</v>
      </c>
      <c r="X530" s="566">
        <f>0</f>
        <v>0</v>
      </c>
      <c r="Y530" s="90">
        <f>0</f>
        <v>0</v>
      </c>
      <c r="Z530" s="418">
        <f>0</f>
        <v>0</v>
      </c>
      <c r="AA530" s="150">
        <f t="shared" si="25"/>
        <v>2</v>
      </c>
      <c r="AB530" s="193"/>
      <c r="AC530" s="190">
        <f t="shared" si="26"/>
        <v>2</v>
      </c>
      <c r="AD530" s="194">
        <v>45013</v>
      </c>
      <c r="AE530" s="195" t="s">
        <v>239</v>
      </c>
      <c r="AF530" s="97" t="s">
        <v>1601</v>
      </c>
      <c r="AG530" s="196"/>
      <c r="AH530" s="195"/>
      <c r="AI530" s="98" t="s">
        <v>1448</v>
      </c>
      <c r="AJ530" s="99">
        <v>2</v>
      </c>
      <c r="AK530" s="197">
        <f t="shared" si="24"/>
        <v>0</v>
      </c>
      <c r="AL530" s="98" t="s">
        <v>1606</v>
      </c>
      <c r="AM530" s="90"/>
      <c r="AN530" s="100"/>
      <c r="AO530" s="198"/>
    </row>
    <row r="531" spans="1:41" s="397" customFormat="1" ht="28.15" hidden="1" customHeight="1" x14ac:dyDescent="0.25">
      <c r="A531" s="252">
        <v>306</v>
      </c>
      <c r="B531" s="245">
        <v>44944</v>
      </c>
      <c r="C531" s="327" t="s">
        <v>817</v>
      </c>
      <c r="D531" s="236" t="s">
        <v>1292</v>
      </c>
      <c r="E531" s="236" t="s">
        <v>324</v>
      </c>
      <c r="F531" s="185" t="s">
        <v>1289</v>
      </c>
      <c r="G531" s="97" t="s">
        <v>1291</v>
      </c>
      <c r="H531" s="328" t="s">
        <v>1286</v>
      </c>
      <c r="I531" s="321" t="s">
        <v>619</v>
      </c>
      <c r="J531" s="231" t="s">
        <v>71</v>
      </c>
      <c r="K531" s="97"/>
      <c r="L531" s="97"/>
      <c r="M531" s="97"/>
      <c r="N531" s="235" t="s">
        <v>814</v>
      </c>
      <c r="O531" s="417">
        <f>0</f>
        <v>0</v>
      </c>
      <c r="P531" s="90">
        <f>0</f>
        <v>0</v>
      </c>
      <c r="Q531" s="90">
        <f>0</f>
        <v>0</v>
      </c>
      <c r="R531" s="90">
        <v>2</v>
      </c>
      <c r="S531" s="90">
        <f>0</f>
        <v>0</v>
      </c>
      <c r="T531" s="90">
        <f>0</f>
        <v>0</v>
      </c>
      <c r="U531" s="90">
        <f>0</f>
        <v>0</v>
      </c>
      <c r="V531" s="90">
        <f>0</f>
        <v>0</v>
      </c>
      <c r="W531" s="90">
        <f>0</f>
        <v>0</v>
      </c>
      <c r="X531" s="90">
        <f>0</f>
        <v>0</v>
      </c>
      <c r="Y531" s="90">
        <f>0</f>
        <v>0</v>
      </c>
      <c r="Z531" s="418">
        <f>0</f>
        <v>0</v>
      </c>
      <c r="AA531" s="150">
        <f t="shared" si="25"/>
        <v>2</v>
      </c>
      <c r="AB531" s="193"/>
      <c r="AC531" s="190">
        <f t="shared" si="26"/>
        <v>2</v>
      </c>
      <c r="AD531" s="194">
        <v>45013</v>
      </c>
      <c r="AE531" s="195" t="s">
        <v>239</v>
      </c>
      <c r="AF531" s="97" t="s">
        <v>1601</v>
      </c>
      <c r="AG531" s="196"/>
      <c r="AH531" s="195"/>
      <c r="AI531" s="98" t="s">
        <v>1448</v>
      </c>
      <c r="AJ531" s="99">
        <v>2</v>
      </c>
      <c r="AK531" s="197">
        <f t="shared" si="24"/>
        <v>0</v>
      </c>
      <c r="AL531" s="98" t="s">
        <v>1606</v>
      </c>
      <c r="AM531" s="90"/>
      <c r="AN531" s="100"/>
      <c r="AO531" s="198"/>
    </row>
    <row r="532" spans="1:41" s="397" customFormat="1" ht="28.15" hidden="1" customHeight="1" x14ac:dyDescent="0.25">
      <c r="A532" s="252">
        <v>369</v>
      </c>
      <c r="B532" s="245">
        <v>44946</v>
      </c>
      <c r="C532" s="327" t="s">
        <v>456</v>
      </c>
      <c r="D532" s="236"/>
      <c r="E532" s="236"/>
      <c r="F532" s="185" t="s">
        <v>961</v>
      </c>
      <c r="G532" s="97" t="s">
        <v>1054</v>
      </c>
      <c r="H532" s="97" t="s">
        <v>1054</v>
      </c>
      <c r="I532" s="148"/>
      <c r="J532" s="97"/>
      <c r="K532" s="97"/>
      <c r="L532" s="97"/>
      <c r="M532" s="97"/>
      <c r="N532" s="235"/>
      <c r="O532" s="343">
        <v>16</v>
      </c>
      <c r="P532" s="169">
        <v>0</v>
      </c>
      <c r="Q532" s="169">
        <v>0</v>
      </c>
      <c r="R532" s="169">
        <v>0</v>
      </c>
      <c r="S532" s="169">
        <v>0</v>
      </c>
      <c r="T532" s="169">
        <v>0</v>
      </c>
      <c r="U532" s="169">
        <v>0</v>
      </c>
      <c r="V532" s="169">
        <v>0</v>
      </c>
      <c r="W532" s="169">
        <v>0</v>
      </c>
      <c r="X532" s="169">
        <v>0</v>
      </c>
      <c r="Y532" s="169">
        <f>0</f>
        <v>0</v>
      </c>
      <c r="Z532" s="219">
        <f>0</f>
        <v>0</v>
      </c>
      <c r="AA532" s="150">
        <f t="shared" si="25"/>
        <v>16</v>
      </c>
      <c r="AB532" s="193"/>
      <c r="AC532" s="190">
        <f t="shared" si="26"/>
        <v>16</v>
      </c>
      <c r="AD532" s="194"/>
      <c r="AE532" s="195"/>
      <c r="AF532" s="97" t="s">
        <v>294</v>
      </c>
      <c r="AG532" s="196"/>
      <c r="AH532" s="195"/>
      <c r="AI532" s="98"/>
      <c r="AJ532" s="99" t="s">
        <v>501</v>
      </c>
      <c r="AK532" s="197" t="e">
        <f t="shared" ref="AK532:AK586" si="27">AC532-AJ532</f>
        <v>#VALUE!</v>
      </c>
      <c r="AL532" s="98"/>
      <c r="AM532" s="90"/>
      <c r="AN532" s="100"/>
      <c r="AO532" s="198"/>
    </row>
    <row r="533" spans="1:41" s="397" customFormat="1" ht="28.15" hidden="1" customHeight="1" x14ac:dyDescent="0.25">
      <c r="A533" s="252">
        <v>370</v>
      </c>
      <c r="B533" s="245">
        <v>44946</v>
      </c>
      <c r="C533" s="327" t="s">
        <v>456</v>
      </c>
      <c r="D533" s="236"/>
      <c r="E533" s="236"/>
      <c r="F533" s="185" t="s">
        <v>962</v>
      </c>
      <c r="G533" s="97" t="s">
        <v>1055</v>
      </c>
      <c r="H533" s="97" t="s">
        <v>1151</v>
      </c>
      <c r="I533" s="148"/>
      <c r="J533" s="97"/>
      <c r="K533" s="97"/>
      <c r="L533" s="97"/>
      <c r="M533" s="97"/>
      <c r="N533" s="235"/>
      <c r="O533" s="343">
        <v>4</v>
      </c>
      <c r="P533" s="169">
        <v>0</v>
      </c>
      <c r="Q533" s="169">
        <v>0</v>
      </c>
      <c r="R533" s="169">
        <v>0</v>
      </c>
      <c r="S533" s="169">
        <v>0</v>
      </c>
      <c r="T533" s="169">
        <v>0</v>
      </c>
      <c r="U533" s="169">
        <v>0</v>
      </c>
      <c r="V533" s="169">
        <v>0</v>
      </c>
      <c r="W533" s="169">
        <v>0</v>
      </c>
      <c r="X533" s="169">
        <v>0</v>
      </c>
      <c r="Y533" s="169">
        <f>0</f>
        <v>0</v>
      </c>
      <c r="Z533" s="219">
        <f>0</f>
        <v>0</v>
      </c>
      <c r="AA533" s="150">
        <f t="shared" si="25"/>
        <v>4</v>
      </c>
      <c r="AB533" s="193">
        <v>4</v>
      </c>
      <c r="AC533" s="190">
        <f t="shared" si="26"/>
        <v>0</v>
      </c>
      <c r="AD533" s="194"/>
      <c r="AE533" s="195"/>
      <c r="AF533" s="97" t="s">
        <v>294</v>
      </c>
      <c r="AG533" s="196"/>
      <c r="AH533" s="195"/>
      <c r="AI533" s="98"/>
      <c r="AJ533" s="99" t="s">
        <v>295</v>
      </c>
      <c r="AK533" s="197" t="e">
        <f t="shared" si="27"/>
        <v>#VALUE!</v>
      </c>
      <c r="AL533" s="98" t="s">
        <v>1490</v>
      </c>
      <c r="AM533" s="90"/>
      <c r="AN533" s="100"/>
      <c r="AO533" s="198"/>
    </row>
    <row r="534" spans="1:41" s="397" customFormat="1" ht="28.15" hidden="1" customHeight="1" x14ac:dyDescent="0.25">
      <c r="A534" s="252">
        <v>371</v>
      </c>
      <c r="B534" s="245">
        <v>44946</v>
      </c>
      <c r="C534" s="327" t="s">
        <v>456</v>
      </c>
      <c r="D534" s="236"/>
      <c r="E534" s="236"/>
      <c r="F534" s="185" t="s">
        <v>963</v>
      </c>
      <c r="G534" s="97" t="s">
        <v>1056</v>
      </c>
      <c r="H534" s="97" t="s">
        <v>1056</v>
      </c>
      <c r="I534" s="148"/>
      <c r="J534" s="97"/>
      <c r="K534" s="97"/>
      <c r="L534" s="97"/>
      <c r="M534" s="97"/>
      <c r="N534" s="235"/>
      <c r="O534" s="343">
        <v>16</v>
      </c>
      <c r="P534" s="169">
        <v>0</v>
      </c>
      <c r="Q534" s="169">
        <v>0</v>
      </c>
      <c r="R534" s="169">
        <v>0</v>
      </c>
      <c r="S534" s="169">
        <v>0</v>
      </c>
      <c r="T534" s="169">
        <v>0</v>
      </c>
      <c r="U534" s="169">
        <v>0</v>
      </c>
      <c r="V534" s="169">
        <v>0</v>
      </c>
      <c r="W534" s="169">
        <v>0</v>
      </c>
      <c r="X534" s="169">
        <v>0</v>
      </c>
      <c r="Y534" s="169">
        <f>0</f>
        <v>0</v>
      </c>
      <c r="Z534" s="219">
        <f>0</f>
        <v>0</v>
      </c>
      <c r="AA534" s="150">
        <f t="shared" si="25"/>
        <v>16</v>
      </c>
      <c r="AB534" s="193">
        <v>16</v>
      </c>
      <c r="AC534" s="190">
        <f t="shared" si="26"/>
        <v>0</v>
      </c>
      <c r="AD534" s="194"/>
      <c r="AE534" s="195"/>
      <c r="AF534" s="97" t="s">
        <v>294</v>
      </c>
      <c r="AG534" s="196"/>
      <c r="AH534" s="195"/>
      <c r="AI534" s="98"/>
      <c r="AJ534" s="99" t="s">
        <v>1489</v>
      </c>
      <c r="AK534" s="197" t="e">
        <f t="shared" si="27"/>
        <v>#VALUE!</v>
      </c>
      <c r="AL534" s="98" t="s">
        <v>1490</v>
      </c>
      <c r="AM534" s="90"/>
      <c r="AN534" s="100"/>
      <c r="AO534" s="198"/>
    </row>
    <row r="535" spans="1:41" s="397" customFormat="1" ht="28.15" hidden="1" customHeight="1" x14ac:dyDescent="0.25">
      <c r="A535" s="252">
        <v>372</v>
      </c>
      <c r="B535" s="245">
        <v>44946</v>
      </c>
      <c r="C535" s="327" t="s">
        <v>456</v>
      </c>
      <c r="D535" s="236"/>
      <c r="E535" s="236"/>
      <c r="F535" s="185" t="s">
        <v>964</v>
      </c>
      <c r="G535" s="97" t="s">
        <v>1057</v>
      </c>
      <c r="H535" s="97" t="s">
        <v>1057</v>
      </c>
      <c r="I535" s="148"/>
      <c r="J535" s="97"/>
      <c r="K535" s="97"/>
      <c r="L535" s="97"/>
      <c r="M535" s="97"/>
      <c r="N535" s="235"/>
      <c r="O535" s="343">
        <v>4</v>
      </c>
      <c r="P535" s="169">
        <v>0</v>
      </c>
      <c r="Q535" s="169">
        <v>0</v>
      </c>
      <c r="R535" s="169">
        <v>0</v>
      </c>
      <c r="S535" s="169">
        <v>0</v>
      </c>
      <c r="T535" s="169">
        <v>0</v>
      </c>
      <c r="U535" s="169">
        <v>0</v>
      </c>
      <c r="V535" s="169">
        <v>0</v>
      </c>
      <c r="W535" s="169">
        <v>0</v>
      </c>
      <c r="X535" s="169">
        <v>0</v>
      </c>
      <c r="Y535" s="169">
        <f>0</f>
        <v>0</v>
      </c>
      <c r="Z535" s="219">
        <f>0</f>
        <v>0</v>
      </c>
      <c r="AA535" s="150">
        <f t="shared" si="25"/>
        <v>4</v>
      </c>
      <c r="AB535" s="193"/>
      <c r="AC535" s="190">
        <f t="shared" si="26"/>
        <v>4</v>
      </c>
      <c r="AD535" s="194">
        <v>44984</v>
      </c>
      <c r="AE535" s="195" t="s">
        <v>284</v>
      </c>
      <c r="AF535" s="97" t="s">
        <v>1491</v>
      </c>
      <c r="AG535" s="196"/>
      <c r="AH535" s="195"/>
      <c r="AI535" s="98"/>
      <c r="AJ535" s="99"/>
      <c r="AK535" s="197">
        <f t="shared" si="27"/>
        <v>4</v>
      </c>
      <c r="AL535" s="98"/>
      <c r="AM535" s="90"/>
      <c r="AN535" s="100"/>
      <c r="AO535" s="198"/>
    </row>
    <row r="536" spans="1:41" s="397" customFormat="1" ht="28.15" hidden="1" customHeight="1" x14ac:dyDescent="0.25">
      <c r="A536" s="252">
        <v>373</v>
      </c>
      <c r="B536" s="245">
        <v>44946</v>
      </c>
      <c r="C536" s="327" t="s">
        <v>456</v>
      </c>
      <c r="D536" s="236"/>
      <c r="E536" s="236"/>
      <c r="F536" s="185" t="s">
        <v>965</v>
      </c>
      <c r="G536" s="97" t="s">
        <v>1058</v>
      </c>
      <c r="H536" s="97" t="s">
        <v>1058</v>
      </c>
      <c r="I536" s="148"/>
      <c r="J536" s="97"/>
      <c r="K536" s="97"/>
      <c r="L536" s="97"/>
      <c r="M536" s="97"/>
      <c r="N536" s="235"/>
      <c r="O536" s="343">
        <v>4</v>
      </c>
      <c r="P536" s="169">
        <v>0</v>
      </c>
      <c r="Q536" s="169">
        <v>0</v>
      </c>
      <c r="R536" s="169">
        <v>0</v>
      </c>
      <c r="S536" s="169">
        <v>0</v>
      </c>
      <c r="T536" s="169">
        <v>0</v>
      </c>
      <c r="U536" s="169">
        <v>0</v>
      </c>
      <c r="V536" s="169">
        <v>0</v>
      </c>
      <c r="W536" s="169">
        <v>0</v>
      </c>
      <c r="X536" s="169">
        <v>0</v>
      </c>
      <c r="Y536" s="169">
        <f>0</f>
        <v>0</v>
      </c>
      <c r="Z536" s="219">
        <f>0</f>
        <v>0</v>
      </c>
      <c r="AA536" s="150">
        <f t="shared" si="25"/>
        <v>4</v>
      </c>
      <c r="AB536" s="193">
        <v>4</v>
      </c>
      <c r="AC536" s="190">
        <f t="shared" si="26"/>
        <v>0</v>
      </c>
      <c r="AD536" s="194"/>
      <c r="AE536" s="195"/>
      <c r="AF536" s="97" t="s">
        <v>294</v>
      </c>
      <c r="AG536" s="196"/>
      <c r="AH536" s="195"/>
      <c r="AI536" s="98"/>
      <c r="AJ536" s="99" t="s">
        <v>295</v>
      </c>
      <c r="AK536" s="197" t="e">
        <f t="shared" si="27"/>
        <v>#VALUE!</v>
      </c>
      <c r="AL536" s="98" t="s">
        <v>1490</v>
      </c>
      <c r="AM536" s="90"/>
      <c r="AN536" s="100"/>
      <c r="AO536" s="198"/>
    </row>
    <row r="537" spans="1:41" s="397" customFormat="1" ht="28.15" hidden="1" customHeight="1" x14ac:dyDescent="0.25">
      <c r="A537" s="252">
        <v>374</v>
      </c>
      <c r="B537" s="245">
        <v>44946</v>
      </c>
      <c r="C537" s="327" t="s">
        <v>456</v>
      </c>
      <c r="D537" s="236"/>
      <c r="E537" s="236"/>
      <c r="F537" s="185" t="s">
        <v>966</v>
      </c>
      <c r="G537" s="97" t="s">
        <v>1059</v>
      </c>
      <c r="H537" s="97" t="s">
        <v>1059</v>
      </c>
      <c r="I537" s="148"/>
      <c r="J537" s="97"/>
      <c r="K537" s="97"/>
      <c r="L537" s="97"/>
      <c r="M537" s="97"/>
      <c r="N537" s="235"/>
      <c r="O537" s="343">
        <v>4</v>
      </c>
      <c r="P537" s="169">
        <v>0</v>
      </c>
      <c r="Q537" s="169">
        <v>0</v>
      </c>
      <c r="R537" s="169">
        <v>0</v>
      </c>
      <c r="S537" s="169">
        <v>0</v>
      </c>
      <c r="T537" s="169">
        <v>0</v>
      </c>
      <c r="U537" s="169">
        <v>0</v>
      </c>
      <c r="V537" s="169">
        <v>0</v>
      </c>
      <c r="W537" s="169">
        <v>0</v>
      </c>
      <c r="X537" s="169">
        <v>0</v>
      </c>
      <c r="Y537" s="169">
        <f>0</f>
        <v>0</v>
      </c>
      <c r="Z537" s="219">
        <f>0</f>
        <v>0</v>
      </c>
      <c r="AA537" s="150">
        <f t="shared" si="25"/>
        <v>4</v>
      </c>
      <c r="AB537" s="193">
        <v>4</v>
      </c>
      <c r="AC537" s="190">
        <f t="shared" si="26"/>
        <v>0</v>
      </c>
      <c r="AD537" s="194"/>
      <c r="AE537" s="195"/>
      <c r="AF537" s="97" t="s">
        <v>294</v>
      </c>
      <c r="AG537" s="196"/>
      <c r="AH537" s="195"/>
      <c r="AI537" s="98"/>
      <c r="AJ537" s="99" t="s">
        <v>295</v>
      </c>
      <c r="AK537" s="197" t="e">
        <f t="shared" si="27"/>
        <v>#VALUE!</v>
      </c>
      <c r="AL537" s="98" t="s">
        <v>1490</v>
      </c>
      <c r="AM537" s="90"/>
      <c r="AN537" s="100"/>
      <c r="AO537" s="198"/>
    </row>
    <row r="538" spans="1:41" ht="28.15" hidden="1" customHeight="1" x14ac:dyDescent="0.25">
      <c r="A538" s="252">
        <v>546</v>
      </c>
      <c r="B538" s="398"/>
      <c r="C538" s="399"/>
      <c r="D538" s="400"/>
      <c r="E538" s="400"/>
      <c r="F538" s="401"/>
      <c r="G538" s="402"/>
      <c r="H538" s="403"/>
      <c r="I538" s="404"/>
      <c r="J538" s="405"/>
      <c r="K538" s="405"/>
      <c r="L538" s="405"/>
      <c r="M538" s="405"/>
      <c r="N538" s="406"/>
      <c r="O538" s="343">
        <v>0</v>
      </c>
      <c r="P538" s="169">
        <v>0</v>
      </c>
      <c r="Q538" s="169">
        <v>0</v>
      </c>
      <c r="R538" s="169">
        <v>0</v>
      </c>
      <c r="S538" s="169">
        <v>0</v>
      </c>
      <c r="T538" s="169">
        <v>0</v>
      </c>
      <c r="U538" s="169">
        <v>0</v>
      </c>
      <c r="V538" s="169">
        <v>0</v>
      </c>
      <c r="W538" s="169">
        <v>0</v>
      </c>
      <c r="X538" s="169">
        <v>0</v>
      </c>
      <c r="Y538" s="169">
        <v>0</v>
      </c>
      <c r="Z538" s="219">
        <v>0</v>
      </c>
      <c r="AA538" s="161">
        <f t="shared" si="25"/>
        <v>0</v>
      </c>
      <c r="AB538" s="408"/>
      <c r="AC538" s="409">
        <f t="shared" si="26"/>
        <v>0</v>
      </c>
      <c r="AD538" s="410"/>
      <c r="AE538" s="411"/>
      <c r="AF538" s="405"/>
      <c r="AG538" s="402"/>
      <c r="AH538" s="411"/>
      <c r="AI538" s="412"/>
      <c r="AJ538" s="413"/>
      <c r="AK538" s="414">
        <f t="shared" si="27"/>
        <v>0</v>
      </c>
      <c r="AL538" s="412"/>
      <c r="AM538" s="407"/>
      <c r="AN538" s="415"/>
      <c r="AO538" s="416"/>
    </row>
    <row r="539" spans="1:41" ht="28.15" hidden="1" customHeight="1" x14ac:dyDescent="0.25">
      <c r="A539" s="252">
        <v>547</v>
      </c>
      <c r="B539" s="398"/>
      <c r="C539" s="399"/>
      <c r="D539" s="400"/>
      <c r="E539" s="400"/>
      <c r="F539" s="401"/>
      <c r="G539" s="402"/>
      <c r="H539" s="403"/>
      <c r="I539" s="404"/>
      <c r="J539" s="405"/>
      <c r="K539" s="405"/>
      <c r="L539" s="405"/>
      <c r="M539" s="405"/>
      <c r="N539" s="406"/>
      <c r="O539" s="343">
        <v>0</v>
      </c>
      <c r="P539" s="169">
        <v>0</v>
      </c>
      <c r="Q539" s="169">
        <v>0</v>
      </c>
      <c r="R539" s="169">
        <v>0</v>
      </c>
      <c r="S539" s="169">
        <v>0</v>
      </c>
      <c r="T539" s="169">
        <v>0</v>
      </c>
      <c r="U539" s="169">
        <v>0</v>
      </c>
      <c r="V539" s="169">
        <v>0</v>
      </c>
      <c r="W539" s="169">
        <v>0</v>
      </c>
      <c r="X539" s="169">
        <v>0</v>
      </c>
      <c r="Y539" s="169">
        <v>0</v>
      </c>
      <c r="Z539" s="219">
        <v>0</v>
      </c>
      <c r="AA539" s="161">
        <f t="shared" si="25"/>
        <v>0</v>
      </c>
      <c r="AB539" s="408"/>
      <c r="AC539" s="409">
        <f t="shared" si="26"/>
        <v>0</v>
      </c>
      <c r="AD539" s="410"/>
      <c r="AE539" s="411"/>
      <c r="AF539" s="405"/>
      <c r="AG539" s="402"/>
      <c r="AH539" s="411"/>
      <c r="AI539" s="412"/>
      <c r="AJ539" s="413"/>
      <c r="AK539" s="414">
        <f t="shared" si="27"/>
        <v>0</v>
      </c>
      <c r="AL539" s="412"/>
      <c r="AM539" s="407"/>
      <c r="AN539" s="415"/>
      <c r="AO539" s="416"/>
    </row>
    <row r="540" spans="1:41" ht="28.15" hidden="1" customHeight="1" x14ac:dyDescent="0.25">
      <c r="A540" s="252">
        <v>548</v>
      </c>
      <c r="B540" s="398"/>
      <c r="C540" s="399"/>
      <c r="D540" s="400"/>
      <c r="E540" s="400"/>
      <c r="F540" s="401"/>
      <c r="G540" s="402"/>
      <c r="H540" s="403"/>
      <c r="I540" s="404"/>
      <c r="J540" s="405"/>
      <c r="K540" s="405"/>
      <c r="L540" s="405"/>
      <c r="M540" s="405"/>
      <c r="N540" s="406"/>
      <c r="O540" s="343">
        <v>0</v>
      </c>
      <c r="P540" s="169">
        <v>0</v>
      </c>
      <c r="Q540" s="169">
        <v>0</v>
      </c>
      <c r="R540" s="169">
        <v>0</v>
      </c>
      <c r="S540" s="169">
        <v>0</v>
      </c>
      <c r="T540" s="169">
        <v>0</v>
      </c>
      <c r="U540" s="169">
        <v>0</v>
      </c>
      <c r="V540" s="169">
        <v>0</v>
      </c>
      <c r="W540" s="169">
        <v>0</v>
      </c>
      <c r="X540" s="169">
        <v>0</v>
      </c>
      <c r="Y540" s="169">
        <v>0</v>
      </c>
      <c r="Z540" s="219">
        <v>0</v>
      </c>
      <c r="AA540" s="161">
        <f t="shared" si="25"/>
        <v>0</v>
      </c>
      <c r="AB540" s="408"/>
      <c r="AC540" s="409">
        <f t="shared" si="26"/>
        <v>0</v>
      </c>
      <c r="AD540" s="410"/>
      <c r="AE540" s="411"/>
      <c r="AF540" s="405"/>
      <c r="AG540" s="402"/>
      <c r="AH540" s="411"/>
      <c r="AI540" s="412"/>
      <c r="AJ540" s="413"/>
      <c r="AK540" s="414">
        <f t="shared" si="27"/>
        <v>0</v>
      </c>
      <c r="AL540" s="412"/>
      <c r="AM540" s="407"/>
      <c r="AN540" s="415"/>
      <c r="AO540" s="416"/>
    </row>
    <row r="541" spans="1:41" ht="28.15" hidden="1" customHeight="1" x14ac:dyDescent="0.25">
      <c r="A541" s="252">
        <v>549</v>
      </c>
      <c r="B541" s="398"/>
      <c r="C541" s="399"/>
      <c r="D541" s="400"/>
      <c r="E541" s="400"/>
      <c r="F541" s="401"/>
      <c r="G541" s="402"/>
      <c r="H541" s="403"/>
      <c r="I541" s="404"/>
      <c r="J541" s="405"/>
      <c r="K541" s="405"/>
      <c r="L541" s="405"/>
      <c r="M541" s="405"/>
      <c r="N541" s="406"/>
      <c r="O541" s="343">
        <v>0</v>
      </c>
      <c r="P541" s="169">
        <v>0</v>
      </c>
      <c r="Q541" s="169">
        <v>0</v>
      </c>
      <c r="R541" s="169">
        <v>0</v>
      </c>
      <c r="S541" s="169">
        <v>0</v>
      </c>
      <c r="T541" s="169">
        <v>0</v>
      </c>
      <c r="U541" s="169">
        <v>0</v>
      </c>
      <c r="V541" s="169">
        <v>0</v>
      </c>
      <c r="W541" s="169">
        <v>0</v>
      </c>
      <c r="X541" s="169">
        <v>0</v>
      </c>
      <c r="Y541" s="169">
        <v>0</v>
      </c>
      <c r="Z541" s="219">
        <v>0</v>
      </c>
      <c r="AA541" s="161">
        <f t="shared" si="25"/>
        <v>0</v>
      </c>
      <c r="AB541" s="408"/>
      <c r="AC541" s="409">
        <f t="shared" si="26"/>
        <v>0</v>
      </c>
      <c r="AD541" s="410"/>
      <c r="AE541" s="411"/>
      <c r="AF541" s="405"/>
      <c r="AG541" s="402"/>
      <c r="AH541" s="411"/>
      <c r="AI541" s="412"/>
      <c r="AJ541" s="413"/>
      <c r="AK541" s="414">
        <f t="shared" si="27"/>
        <v>0</v>
      </c>
      <c r="AL541" s="412"/>
      <c r="AM541" s="407"/>
      <c r="AN541" s="415"/>
      <c r="AO541" s="416"/>
    </row>
    <row r="542" spans="1:41" ht="28.15" hidden="1" customHeight="1" x14ac:dyDescent="0.25">
      <c r="A542" s="252">
        <v>550</v>
      </c>
      <c r="B542" s="398"/>
      <c r="C542" s="399"/>
      <c r="D542" s="400"/>
      <c r="E542" s="400"/>
      <c r="F542" s="401"/>
      <c r="G542" s="402"/>
      <c r="H542" s="403"/>
      <c r="I542" s="404"/>
      <c r="J542" s="405"/>
      <c r="K542" s="405"/>
      <c r="L542" s="405"/>
      <c r="M542" s="405"/>
      <c r="N542" s="406"/>
      <c r="O542" s="343">
        <v>0</v>
      </c>
      <c r="P542" s="169">
        <v>0</v>
      </c>
      <c r="Q542" s="169">
        <v>0</v>
      </c>
      <c r="R542" s="169">
        <v>0</v>
      </c>
      <c r="S542" s="169">
        <v>0</v>
      </c>
      <c r="T542" s="169">
        <v>0</v>
      </c>
      <c r="U542" s="169">
        <v>0</v>
      </c>
      <c r="V542" s="169">
        <v>0</v>
      </c>
      <c r="W542" s="169">
        <v>0</v>
      </c>
      <c r="X542" s="169">
        <v>0</v>
      </c>
      <c r="Y542" s="169">
        <v>0</v>
      </c>
      <c r="Z542" s="219">
        <v>0</v>
      </c>
      <c r="AA542" s="161">
        <f t="shared" si="25"/>
        <v>0</v>
      </c>
      <c r="AB542" s="408"/>
      <c r="AC542" s="409">
        <f t="shared" si="26"/>
        <v>0</v>
      </c>
      <c r="AD542" s="410"/>
      <c r="AE542" s="411"/>
      <c r="AF542" s="405"/>
      <c r="AG542" s="402"/>
      <c r="AH542" s="411"/>
      <c r="AI542" s="412"/>
      <c r="AJ542" s="413"/>
      <c r="AK542" s="414">
        <f t="shared" si="27"/>
        <v>0</v>
      </c>
      <c r="AL542" s="412"/>
      <c r="AM542" s="407"/>
      <c r="AN542" s="415"/>
      <c r="AO542" s="416"/>
    </row>
    <row r="543" spans="1:41" ht="28.15" hidden="1" customHeight="1" x14ac:dyDescent="0.25">
      <c r="A543" s="252">
        <v>551</v>
      </c>
      <c r="B543" s="398"/>
      <c r="C543" s="399"/>
      <c r="D543" s="400"/>
      <c r="E543" s="400"/>
      <c r="F543" s="401"/>
      <c r="G543" s="402"/>
      <c r="H543" s="403"/>
      <c r="I543" s="404"/>
      <c r="J543" s="405"/>
      <c r="K543" s="405"/>
      <c r="L543" s="405"/>
      <c r="M543" s="405"/>
      <c r="N543" s="406"/>
      <c r="O543" s="343">
        <v>0</v>
      </c>
      <c r="P543" s="169">
        <v>0</v>
      </c>
      <c r="Q543" s="169">
        <v>0</v>
      </c>
      <c r="R543" s="169">
        <v>0</v>
      </c>
      <c r="S543" s="169">
        <v>0</v>
      </c>
      <c r="T543" s="169">
        <v>0</v>
      </c>
      <c r="U543" s="169">
        <v>0</v>
      </c>
      <c r="V543" s="169">
        <v>0</v>
      </c>
      <c r="W543" s="169">
        <v>0</v>
      </c>
      <c r="X543" s="169">
        <v>0</v>
      </c>
      <c r="Y543" s="169">
        <v>0</v>
      </c>
      <c r="Z543" s="219">
        <v>0</v>
      </c>
      <c r="AA543" s="161">
        <f t="shared" si="25"/>
        <v>0</v>
      </c>
      <c r="AB543" s="408"/>
      <c r="AC543" s="409">
        <f t="shared" si="26"/>
        <v>0</v>
      </c>
      <c r="AD543" s="410"/>
      <c r="AE543" s="411"/>
      <c r="AF543" s="405"/>
      <c r="AG543" s="402"/>
      <c r="AH543" s="411"/>
      <c r="AI543" s="412"/>
      <c r="AJ543" s="413"/>
      <c r="AK543" s="414">
        <f t="shared" si="27"/>
        <v>0</v>
      </c>
      <c r="AL543" s="412"/>
      <c r="AM543" s="407"/>
      <c r="AN543" s="415"/>
      <c r="AO543" s="416"/>
    </row>
    <row r="544" spans="1:41" ht="28.15" hidden="1" customHeight="1" x14ac:dyDescent="0.25">
      <c r="A544" s="252">
        <v>552</v>
      </c>
      <c r="B544" s="398"/>
      <c r="C544" s="399"/>
      <c r="D544" s="400"/>
      <c r="E544" s="400"/>
      <c r="F544" s="401"/>
      <c r="G544" s="402"/>
      <c r="H544" s="403"/>
      <c r="I544" s="404"/>
      <c r="J544" s="405"/>
      <c r="K544" s="405"/>
      <c r="L544" s="405"/>
      <c r="M544" s="405"/>
      <c r="N544" s="406"/>
      <c r="O544" s="343">
        <v>0</v>
      </c>
      <c r="P544" s="169">
        <v>0</v>
      </c>
      <c r="Q544" s="169">
        <v>0</v>
      </c>
      <c r="R544" s="169">
        <v>0</v>
      </c>
      <c r="S544" s="169">
        <v>0</v>
      </c>
      <c r="T544" s="169">
        <v>0</v>
      </c>
      <c r="U544" s="169">
        <v>0</v>
      </c>
      <c r="V544" s="169">
        <v>0</v>
      </c>
      <c r="W544" s="169">
        <v>0</v>
      </c>
      <c r="X544" s="169">
        <v>0</v>
      </c>
      <c r="Y544" s="169">
        <v>0</v>
      </c>
      <c r="Z544" s="219">
        <v>0</v>
      </c>
      <c r="AA544" s="161">
        <f t="shared" si="25"/>
        <v>0</v>
      </c>
      <c r="AB544" s="408"/>
      <c r="AC544" s="409">
        <f t="shared" si="26"/>
        <v>0</v>
      </c>
      <c r="AD544" s="410"/>
      <c r="AE544" s="411"/>
      <c r="AF544" s="405"/>
      <c r="AG544" s="402"/>
      <c r="AH544" s="411"/>
      <c r="AI544" s="412"/>
      <c r="AJ544" s="413"/>
      <c r="AK544" s="414">
        <f t="shared" si="27"/>
        <v>0</v>
      </c>
      <c r="AL544" s="412"/>
      <c r="AM544" s="407"/>
      <c r="AN544" s="415"/>
      <c r="AO544" s="416"/>
    </row>
    <row r="545" spans="1:41" ht="28.15" hidden="1" customHeight="1" x14ac:dyDescent="0.25">
      <c r="A545" s="252">
        <v>553</v>
      </c>
      <c r="B545" s="398"/>
      <c r="C545" s="399"/>
      <c r="D545" s="400"/>
      <c r="E545" s="400"/>
      <c r="F545" s="401"/>
      <c r="G545" s="402"/>
      <c r="H545" s="403"/>
      <c r="I545" s="404"/>
      <c r="J545" s="405"/>
      <c r="K545" s="405"/>
      <c r="L545" s="405"/>
      <c r="M545" s="405"/>
      <c r="N545" s="406"/>
      <c r="O545" s="343">
        <v>0</v>
      </c>
      <c r="P545" s="169">
        <v>0</v>
      </c>
      <c r="Q545" s="169">
        <v>0</v>
      </c>
      <c r="R545" s="169">
        <v>0</v>
      </c>
      <c r="S545" s="169">
        <v>0</v>
      </c>
      <c r="T545" s="169">
        <v>0</v>
      </c>
      <c r="U545" s="169">
        <v>0</v>
      </c>
      <c r="V545" s="169">
        <v>0</v>
      </c>
      <c r="W545" s="169">
        <v>0</v>
      </c>
      <c r="X545" s="169">
        <v>0</v>
      </c>
      <c r="Y545" s="169">
        <v>0</v>
      </c>
      <c r="Z545" s="219">
        <v>0</v>
      </c>
      <c r="AA545" s="161">
        <f t="shared" si="25"/>
        <v>0</v>
      </c>
      <c r="AB545" s="408"/>
      <c r="AC545" s="409">
        <f t="shared" si="26"/>
        <v>0</v>
      </c>
      <c r="AD545" s="410"/>
      <c r="AE545" s="411"/>
      <c r="AF545" s="405"/>
      <c r="AG545" s="402"/>
      <c r="AH545" s="411"/>
      <c r="AI545" s="412"/>
      <c r="AJ545" s="413"/>
      <c r="AK545" s="414">
        <f t="shared" si="27"/>
        <v>0</v>
      </c>
      <c r="AL545" s="412"/>
      <c r="AM545" s="407"/>
      <c r="AN545" s="415"/>
      <c r="AO545" s="416"/>
    </row>
    <row r="546" spans="1:41" ht="28.15" hidden="1" customHeight="1" x14ac:dyDescent="0.25">
      <c r="A546" s="252">
        <v>554</v>
      </c>
      <c r="B546" s="398"/>
      <c r="C546" s="399"/>
      <c r="D546" s="400"/>
      <c r="E546" s="400"/>
      <c r="F546" s="401"/>
      <c r="G546" s="402"/>
      <c r="H546" s="403"/>
      <c r="I546" s="404"/>
      <c r="J546" s="405"/>
      <c r="K546" s="405"/>
      <c r="L546" s="405"/>
      <c r="M546" s="405"/>
      <c r="N546" s="406"/>
      <c r="O546" s="343">
        <v>0</v>
      </c>
      <c r="P546" s="169">
        <v>0</v>
      </c>
      <c r="Q546" s="169">
        <v>0</v>
      </c>
      <c r="R546" s="169">
        <v>0</v>
      </c>
      <c r="S546" s="169">
        <v>0</v>
      </c>
      <c r="T546" s="169">
        <v>0</v>
      </c>
      <c r="U546" s="169">
        <v>0</v>
      </c>
      <c r="V546" s="169">
        <v>0</v>
      </c>
      <c r="W546" s="169">
        <v>0</v>
      </c>
      <c r="X546" s="169">
        <v>0</v>
      </c>
      <c r="Y546" s="169">
        <v>0</v>
      </c>
      <c r="Z546" s="219">
        <v>0</v>
      </c>
      <c r="AA546" s="161">
        <f t="shared" si="25"/>
        <v>0</v>
      </c>
      <c r="AB546" s="408"/>
      <c r="AC546" s="409">
        <f t="shared" si="26"/>
        <v>0</v>
      </c>
      <c r="AD546" s="410"/>
      <c r="AE546" s="411"/>
      <c r="AF546" s="405"/>
      <c r="AG546" s="402"/>
      <c r="AH546" s="411"/>
      <c r="AI546" s="412"/>
      <c r="AJ546" s="413"/>
      <c r="AK546" s="414">
        <f t="shared" si="27"/>
        <v>0</v>
      </c>
      <c r="AL546" s="412"/>
      <c r="AM546" s="407"/>
      <c r="AN546" s="415"/>
      <c r="AO546" s="416"/>
    </row>
    <row r="547" spans="1:41" ht="28.15" hidden="1" customHeight="1" x14ac:dyDescent="0.25">
      <c r="A547" s="252">
        <v>555</v>
      </c>
      <c r="B547" s="398"/>
      <c r="C547" s="399"/>
      <c r="D547" s="400"/>
      <c r="E547" s="400"/>
      <c r="F547" s="401"/>
      <c r="G547" s="402"/>
      <c r="H547" s="403"/>
      <c r="I547" s="404"/>
      <c r="J547" s="405"/>
      <c r="K547" s="405"/>
      <c r="L547" s="405"/>
      <c r="M547" s="405"/>
      <c r="N547" s="406"/>
      <c r="O547" s="343">
        <v>0</v>
      </c>
      <c r="P547" s="169">
        <v>0</v>
      </c>
      <c r="Q547" s="169">
        <v>0</v>
      </c>
      <c r="R547" s="169">
        <v>0</v>
      </c>
      <c r="S547" s="169">
        <v>0</v>
      </c>
      <c r="T547" s="169">
        <v>0</v>
      </c>
      <c r="U547" s="169">
        <v>0</v>
      </c>
      <c r="V547" s="169">
        <v>0</v>
      </c>
      <c r="W547" s="169">
        <v>0</v>
      </c>
      <c r="X547" s="169">
        <v>0</v>
      </c>
      <c r="Y547" s="169">
        <v>0</v>
      </c>
      <c r="Z547" s="219">
        <v>0</v>
      </c>
      <c r="AA547" s="161">
        <f t="shared" si="25"/>
        <v>0</v>
      </c>
      <c r="AB547" s="408"/>
      <c r="AC547" s="409">
        <f t="shared" si="26"/>
        <v>0</v>
      </c>
      <c r="AD547" s="410"/>
      <c r="AE547" s="411"/>
      <c r="AF547" s="405"/>
      <c r="AG547" s="402"/>
      <c r="AH547" s="411"/>
      <c r="AI547" s="412"/>
      <c r="AJ547" s="413"/>
      <c r="AK547" s="414">
        <f t="shared" si="27"/>
        <v>0</v>
      </c>
      <c r="AL547" s="412"/>
      <c r="AM547" s="407"/>
      <c r="AN547" s="415"/>
      <c r="AO547" s="416"/>
    </row>
    <row r="548" spans="1:41" ht="28.15" hidden="1" customHeight="1" x14ac:dyDescent="0.25">
      <c r="A548" s="252">
        <v>556</v>
      </c>
      <c r="B548" s="398"/>
      <c r="C548" s="399"/>
      <c r="D548" s="400"/>
      <c r="E548" s="400"/>
      <c r="F548" s="401"/>
      <c r="G548" s="402"/>
      <c r="H548" s="403"/>
      <c r="I548" s="404"/>
      <c r="J548" s="405"/>
      <c r="K548" s="405"/>
      <c r="L548" s="405"/>
      <c r="M548" s="405"/>
      <c r="N548" s="406"/>
      <c r="O548" s="343">
        <v>0</v>
      </c>
      <c r="P548" s="169">
        <v>0</v>
      </c>
      <c r="Q548" s="169">
        <v>0</v>
      </c>
      <c r="R548" s="169">
        <v>0</v>
      </c>
      <c r="S548" s="169">
        <v>0</v>
      </c>
      <c r="T548" s="169">
        <v>0</v>
      </c>
      <c r="U548" s="169">
        <v>0</v>
      </c>
      <c r="V548" s="169">
        <v>0</v>
      </c>
      <c r="W548" s="169">
        <v>0</v>
      </c>
      <c r="X548" s="169">
        <v>0</v>
      </c>
      <c r="Y548" s="169">
        <v>0</v>
      </c>
      <c r="Z548" s="219">
        <v>0</v>
      </c>
      <c r="AA548" s="161">
        <f t="shared" si="25"/>
        <v>0</v>
      </c>
      <c r="AB548" s="408"/>
      <c r="AC548" s="409">
        <f t="shared" si="26"/>
        <v>0</v>
      </c>
      <c r="AD548" s="410"/>
      <c r="AE548" s="411"/>
      <c r="AF548" s="405"/>
      <c r="AG548" s="402"/>
      <c r="AH548" s="411"/>
      <c r="AI548" s="412"/>
      <c r="AJ548" s="413"/>
      <c r="AK548" s="414">
        <f t="shared" si="27"/>
        <v>0</v>
      </c>
      <c r="AL548" s="412"/>
      <c r="AM548" s="407"/>
      <c r="AN548" s="415"/>
      <c r="AO548" s="416"/>
    </row>
    <row r="549" spans="1:41" ht="28.15" hidden="1" customHeight="1" x14ac:dyDescent="0.25">
      <c r="A549" s="252">
        <v>557</v>
      </c>
      <c r="B549" s="398"/>
      <c r="C549" s="399"/>
      <c r="D549" s="400"/>
      <c r="E549" s="400"/>
      <c r="F549" s="401"/>
      <c r="G549" s="402"/>
      <c r="H549" s="403"/>
      <c r="I549" s="404"/>
      <c r="J549" s="405"/>
      <c r="K549" s="405"/>
      <c r="L549" s="405"/>
      <c r="M549" s="405"/>
      <c r="N549" s="406"/>
      <c r="O549" s="343">
        <v>0</v>
      </c>
      <c r="P549" s="169">
        <v>0</v>
      </c>
      <c r="Q549" s="169">
        <v>0</v>
      </c>
      <c r="R549" s="169">
        <v>0</v>
      </c>
      <c r="S549" s="169">
        <v>0</v>
      </c>
      <c r="T549" s="169">
        <v>0</v>
      </c>
      <c r="U549" s="169">
        <v>0</v>
      </c>
      <c r="V549" s="169">
        <v>0</v>
      </c>
      <c r="W549" s="169">
        <v>0</v>
      </c>
      <c r="X549" s="169">
        <v>0</v>
      </c>
      <c r="Y549" s="169">
        <v>0</v>
      </c>
      <c r="Z549" s="219">
        <v>0</v>
      </c>
      <c r="AA549" s="161">
        <f t="shared" si="25"/>
        <v>0</v>
      </c>
      <c r="AB549" s="408"/>
      <c r="AC549" s="409">
        <f t="shared" si="26"/>
        <v>0</v>
      </c>
      <c r="AD549" s="410"/>
      <c r="AE549" s="411"/>
      <c r="AF549" s="405"/>
      <c r="AG549" s="402"/>
      <c r="AH549" s="411"/>
      <c r="AI549" s="412"/>
      <c r="AJ549" s="413"/>
      <c r="AK549" s="414">
        <f t="shared" si="27"/>
        <v>0</v>
      </c>
      <c r="AL549" s="412"/>
      <c r="AM549" s="407"/>
      <c r="AN549" s="415"/>
      <c r="AO549" s="416"/>
    </row>
    <row r="550" spans="1:41" ht="28.15" hidden="1" customHeight="1" x14ac:dyDescent="0.25">
      <c r="A550" s="252">
        <v>558</v>
      </c>
      <c r="B550" s="398"/>
      <c r="C550" s="399"/>
      <c r="D550" s="400"/>
      <c r="E550" s="400"/>
      <c r="F550" s="401"/>
      <c r="G550" s="402"/>
      <c r="H550" s="403"/>
      <c r="I550" s="404"/>
      <c r="J550" s="405"/>
      <c r="K550" s="405"/>
      <c r="L550" s="405"/>
      <c r="M550" s="405"/>
      <c r="N550" s="406"/>
      <c r="O550" s="343">
        <v>0</v>
      </c>
      <c r="P550" s="169">
        <v>0</v>
      </c>
      <c r="Q550" s="169">
        <v>0</v>
      </c>
      <c r="R550" s="169">
        <v>0</v>
      </c>
      <c r="S550" s="169">
        <v>0</v>
      </c>
      <c r="T550" s="169">
        <v>0</v>
      </c>
      <c r="U550" s="169">
        <v>0</v>
      </c>
      <c r="V550" s="169">
        <v>0</v>
      </c>
      <c r="W550" s="169">
        <v>0</v>
      </c>
      <c r="X550" s="169">
        <v>0</v>
      </c>
      <c r="Y550" s="169">
        <v>0</v>
      </c>
      <c r="Z550" s="219">
        <v>0</v>
      </c>
      <c r="AA550" s="161">
        <f t="shared" si="25"/>
        <v>0</v>
      </c>
      <c r="AB550" s="408"/>
      <c r="AC550" s="409">
        <f t="shared" si="26"/>
        <v>0</v>
      </c>
      <c r="AD550" s="410"/>
      <c r="AE550" s="411"/>
      <c r="AF550" s="405"/>
      <c r="AG550" s="402"/>
      <c r="AH550" s="411"/>
      <c r="AI550" s="412"/>
      <c r="AJ550" s="413"/>
      <c r="AK550" s="414">
        <f t="shared" si="27"/>
        <v>0</v>
      </c>
      <c r="AL550" s="412"/>
      <c r="AM550" s="407"/>
      <c r="AN550" s="415"/>
      <c r="AO550" s="416"/>
    </row>
    <row r="551" spans="1:41" ht="28.15" hidden="1" customHeight="1" x14ac:dyDescent="0.25">
      <c r="A551" s="252">
        <v>559</v>
      </c>
      <c r="B551" s="398"/>
      <c r="C551" s="399"/>
      <c r="D551" s="400"/>
      <c r="E551" s="400"/>
      <c r="F551" s="401"/>
      <c r="G551" s="402"/>
      <c r="H551" s="403"/>
      <c r="I551" s="404"/>
      <c r="J551" s="405"/>
      <c r="K551" s="405"/>
      <c r="L551" s="405"/>
      <c r="M551" s="405"/>
      <c r="N551" s="406"/>
      <c r="O551" s="343">
        <v>0</v>
      </c>
      <c r="P551" s="169">
        <v>0</v>
      </c>
      <c r="Q551" s="169">
        <v>0</v>
      </c>
      <c r="R551" s="169">
        <v>0</v>
      </c>
      <c r="S551" s="169">
        <v>0</v>
      </c>
      <c r="T551" s="169">
        <v>0</v>
      </c>
      <c r="U551" s="169">
        <v>0</v>
      </c>
      <c r="V551" s="169">
        <v>0</v>
      </c>
      <c r="W551" s="169">
        <v>0</v>
      </c>
      <c r="X551" s="169">
        <v>0</v>
      </c>
      <c r="Y551" s="169">
        <v>0</v>
      </c>
      <c r="Z551" s="219">
        <v>0</v>
      </c>
      <c r="AA551" s="161">
        <f t="shared" si="25"/>
        <v>0</v>
      </c>
      <c r="AB551" s="408"/>
      <c r="AC551" s="409">
        <f t="shared" si="26"/>
        <v>0</v>
      </c>
      <c r="AD551" s="410"/>
      <c r="AE551" s="411"/>
      <c r="AF551" s="405"/>
      <c r="AG551" s="402"/>
      <c r="AH551" s="411"/>
      <c r="AI551" s="412"/>
      <c r="AJ551" s="413"/>
      <c r="AK551" s="414">
        <f t="shared" si="27"/>
        <v>0</v>
      </c>
      <c r="AL551" s="412"/>
      <c r="AM551" s="407"/>
      <c r="AN551" s="415"/>
      <c r="AO551" s="416"/>
    </row>
    <row r="552" spans="1:41" ht="28.15" hidden="1" customHeight="1" x14ac:dyDescent="0.25">
      <c r="A552" s="252">
        <v>560</v>
      </c>
      <c r="B552" s="398"/>
      <c r="C552" s="399"/>
      <c r="D552" s="400"/>
      <c r="E552" s="400"/>
      <c r="F552" s="401"/>
      <c r="G552" s="402"/>
      <c r="H552" s="403"/>
      <c r="I552" s="404"/>
      <c r="J552" s="405"/>
      <c r="K552" s="405"/>
      <c r="L552" s="405"/>
      <c r="M552" s="405"/>
      <c r="N552" s="406"/>
      <c r="O552" s="343">
        <v>0</v>
      </c>
      <c r="P552" s="169">
        <v>0</v>
      </c>
      <c r="Q552" s="169">
        <v>0</v>
      </c>
      <c r="R552" s="169">
        <v>0</v>
      </c>
      <c r="S552" s="169">
        <v>0</v>
      </c>
      <c r="T552" s="169">
        <v>0</v>
      </c>
      <c r="U552" s="169">
        <v>0</v>
      </c>
      <c r="V552" s="169">
        <v>0</v>
      </c>
      <c r="W552" s="169">
        <v>0</v>
      </c>
      <c r="X552" s="169">
        <v>0</v>
      </c>
      <c r="Y552" s="169">
        <v>0</v>
      </c>
      <c r="Z552" s="219">
        <v>0</v>
      </c>
      <c r="AA552" s="161">
        <f t="shared" si="25"/>
        <v>0</v>
      </c>
      <c r="AB552" s="408"/>
      <c r="AC552" s="409">
        <f t="shared" si="26"/>
        <v>0</v>
      </c>
      <c r="AD552" s="410"/>
      <c r="AE552" s="411"/>
      <c r="AF552" s="405"/>
      <c r="AG552" s="402"/>
      <c r="AH552" s="411"/>
      <c r="AI552" s="412"/>
      <c r="AJ552" s="413"/>
      <c r="AK552" s="414">
        <f t="shared" si="27"/>
        <v>0</v>
      </c>
      <c r="AL552" s="412"/>
      <c r="AM552" s="407"/>
      <c r="AN552" s="415"/>
      <c r="AO552" s="416"/>
    </row>
    <row r="553" spans="1:41" ht="28.15" hidden="1" customHeight="1" x14ac:dyDescent="0.25">
      <c r="A553" s="252">
        <v>561</v>
      </c>
      <c r="B553" s="398"/>
      <c r="C553" s="399"/>
      <c r="D553" s="400"/>
      <c r="E553" s="400"/>
      <c r="F553" s="401"/>
      <c r="G553" s="402"/>
      <c r="H553" s="403"/>
      <c r="I553" s="404"/>
      <c r="J553" s="405"/>
      <c r="K553" s="405"/>
      <c r="L553" s="405"/>
      <c r="M553" s="405"/>
      <c r="N553" s="406"/>
      <c r="O553" s="343">
        <v>0</v>
      </c>
      <c r="P553" s="169">
        <v>0</v>
      </c>
      <c r="Q553" s="169">
        <v>0</v>
      </c>
      <c r="R553" s="169">
        <v>0</v>
      </c>
      <c r="S553" s="169">
        <v>0</v>
      </c>
      <c r="T553" s="169">
        <v>0</v>
      </c>
      <c r="U553" s="169">
        <v>0</v>
      </c>
      <c r="V553" s="169">
        <v>0</v>
      </c>
      <c r="W553" s="169">
        <v>0</v>
      </c>
      <c r="X553" s="169">
        <v>0</v>
      </c>
      <c r="Y553" s="169">
        <v>0</v>
      </c>
      <c r="Z553" s="219">
        <v>0</v>
      </c>
      <c r="AA553" s="161">
        <f t="shared" si="25"/>
        <v>0</v>
      </c>
      <c r="AB553" s="408"/>
      <c r="AC553" s="409">
        <f t="shared" si="26"/>
        <v>0</v>
      </c>
      <c r="AD553" s="410"/>
      <c r="AE553" s="411"/>
      <c r="AF553" s="405"/>
      <c r="AG553" s="402"/>
      <c r="AH553" s="411"/>
      <c r="AI553" s="412"/>
      <c r="AJ553" s="413"/>
      <c r="AK553" s="414">
        <f t="shared" si="27"/>
        <v>0</v>
      </c>
      <c r="AL553" s="412"/>
      <c r="AM553" s="407"/>
      <c r="AN553" s="415"/>
      <c r="AO553" s="416"/>
    </row>
    <row r="554" spans="1:41" ht="28.15" hidden="1" customHeight="1" x14ac:dyDescent="0.25">
      <c r="A554" s="252">
        <v>562</v>
      </c>
      <c r="B554" s="398"/>
      <c r="C554" s="399"/>
      <c r="D554" s="400"/>
      <c r="E554" s="400"/>
      <c r="F554" s="401"/>
      <c r="G554" s="402"/>
      <c r="H554" s="403"/>
      <c r="I554" s="404"/>
      <c r="J554" s="405"/>
      <c r="K554" s="405"/>
      <c r="L554" s="405"/>
      <c r="M554" s="405"/>
      <c r="N554" s="406"/>
      <c r="O554" s="343">
        <v>0</v>
      </c>
      <c r="P554" s="169">
        <v>0</v>
      </c>
      <c r="Q554" s="169">
        <v>0</v>
      </c>
      <c r="R554" s="169">
        <v>0</v>
      </c>
      <c r="S554" s="169">
        <v>0</v>
      </c>
      <c r="T554" s="169">
        <v>0</v>
      </c>
      <c r="U554" s="169">
        <v>0</v>
      </c>
      <c r="V554" s="169">
        <v>0</v>
      </c>
      <c r="W554" s="169">
        <v>0</v>
      </c>
      <c r="X554" s="169">
        <v>0</v>
      </c>
      <c r="Y554" s="169">
        <v>0</v>
      </c>
      <c r="Z554" s="219">
        <v>0</v>
      </c>
      <c r="AA554" s="161">
        <f t="shared" si="25"/>
        <v>0</v>
      </c>
      <c r="AB554" s="408"/>
      <c r="AC554" s="409">
        <f t="shared" si="26"/>
        <v>0</v>
      </c>
      <c r="AD554" s="410"/>
      <c r="AE554" s="411"/>
      <c r="AF554" s="405"/>
      <c r="AG554" s="402"/>
      <c r="AH554" s="411"/>
      <c r="AI554" s="412"/>
      <c r="AJ554" s="413"/>
      <c r="AK554" s="414">
        <f t="shared" si="27"/>
        <v>0</v>
      </c>
      <c r="AL554" s="412"/>
      <c r="AM554" s="407"/>
      <c r="AN554" s="415"/>
      <c r="AO554" s="416"/>
    </row>
    <row r="555" spans="1:41" ht="28.15" hidden="1" customHeight="1" x14ac:dyDescent="0.25">
      <c r="A555" s="252">
        <v>563</v>
      </c>
      <c r="B555" s="398"/>
      <c r="C555" s="399"/>
      <c r="D555" s="400"/>
      <c r="E555" s="400"/>
      <c r="F555" s="401"/>
      <c r="G555" s="402"/>
      <c r="H555" s="403"/>
      <c r="I555" s="404"/>
      <c r="J555" s="405"/>
      <c r="K555" s="405"/>
      <c r="L555" s="405"/>
      <c r="M555" s="405"/>
      <c r="N555" s="406"/>
      <c r="O555" s="343">
        <v>0</v>
      </c>
      <c r="P555" s="169">
        <v>0</v>
      </c>
      <c r="Q555" s="169">
        <v>0</v>
      </c>
      <c r="R555" s="169">
        <v>0</v>
      </c>
      <c r="S555" s="169">
        <v>0</v>
      </c>
      <c r="T555" s="169">
        <v>0</v>
      </c>
      <c r="U555" s="169">
        <v>0</v>
      </c>
      <c r="V555" s="169">
        <v>0</v>
      </c>
      <c r="W555" s="169">
        <v>0</v>
      </c>
      <c r="X555" s="169">
        <v>0</v>
      </c>
      <c r="Y555" s="169">
        <v>0</v>
      </c>
      <c r="Z555" s="219">
        <v>0</v>
      </c>
      <c r="AA555" s="161">
        <f t="shared" si="25"/>
        <v>0</v>
      </c>
      <c r="AB555" s="408"/>
      <c r="AC555" s="409">
        <f t="shared" si="26"/>
        <v>0</v>
      </c>
      <c r="AD555" s="410"/>
      <c r="AE555" s="411"/>
      <c r="AF555" s="405"/>
      <c r="AG555" s="402"/>
      <c r="AH555" s="411"/>
      <c r="AI555" s="412"/>
      <c r="AJ555" s="413"/>
      <c r="AK555" s="414">
        <f t="shared" si="27"/>
        <v>0</v>
      </c>
      <c r="AL555" s="412"/>
      <c r="AM555" s="407"/>
      <c r="AN555" s="415"/>
      <c r="AO555" s="416"/>
    </row>
    <row r="556" spans="1:41" ht="28.15" hidden="1" customHeight="1" x14ac:dyDescent="0.25">
      <c r="A556" s="252">
        <v>564</v>
      </c>
      <c r="B556" s="398"/>
      <c r="C556" s="399"/>
      <c r="D556" s="400"/>
      <c r="E556" s="400"/>
      <c r="F556" s="401"/>
      <c r="G556" s="402"/>
      <c r="H556" s="403"/>
      <c r="I556" s="404"/>
      <c r="J556" s="405"/>
      <c r="K556" s="405"/>
      <c r="L556" s="405"/>
      <c r="M556" s="405"/>
      <c r="N556" s="406"/>
      <c r="O556" s="343">
        <v>0</v>
      </c>
      <c r="P556" s="169">
        <v>0</v>
      </c>
      <c r="Q556" s="169">
        <v>0</v>
      </c>
      <c r="R556" s="169">
        <v>0</v>
      </c>
      <c r="S556" s="169">
        <v>0</v>
      </c>
      <c r="T556" s="169">
        <v>0</v>
      </c>
      <c r="U556" s="169">
        <v>0</v>
      </c>
      <c r="V556" s="169">
        <v>0</v>
      </c>
      <c r="W556" s="169">
        <v>0</v>
      </c>
      <c r="X556" s="169">
        <v>0</v>
      </c>
      <c r="Y556" s="169">
        <v>0</v>
      </c>
      <c r="Z556" s="219">
        <v>0</v>
      </c>
      <c r="AA556" s="161">
        <f t="shared" si="25"/>
        <v>0</v>
      </c>
      <c r="AB556" s="408"/>
      <c r="AC556" s="409">
        <f t="shared" si="26"/>
        <v>0</v>
      </c>
      <c r="AD556" s="410"/>
      <c r="AE556" s="411"/>
      <c r="AF556" s="405"/>
      <c r="AG556" s="402"/>
      <c r="AH556" s="411"/>
      <c r="AI556" s="412"/>
      <c r="AJ556" s="413"/>
      <c r="AK556" s="414">
        <f t="shared" si="27"/>
        <v>0</v>
      </c>
      <c r="AL556" s="412"/>
      <c r="AM556" s="407"/>
      <c r="AN556" s="415"/>
      <c r="AO556" s="416"/>
    </row>
    <row r="557" spans="1:41" ht="28.15" hidden="1" customHeight="1" x14ac:dyDescent="0.25">
      <c r="A557" s="252">
        <v>565</v>
      </c>
      <c r="B557" s="398"/>
      <c r="C557" s="399"/>
      <c r="D557" s="400"/>
      <c r="E557" s="400"/>
      <c r="F557" s="401"/>
      <c r="G557" s="402"/>
      <c r="H557" s="403"/>
      <c r="I557" s="404"/>
      <c r="J557" s="405"/>
      <c r="K557" s="405"/>
      <c r="L557" s="405"/>
      <c r="M557" s="405"/>
      <c r="N557" s="406"/>
      <c r="O557" s="343">
        <v>0</v>
      </c>
      <c r="P557" s="169">
        <v>0</v>
      </c>
      <c r="Q557" s="169">
        <v>0</v>
      </c>
      <c r="R557" s="169">
        <v>0</v>
      </c>
      <c r="S557" s="169">
        <v>0</v>
      </c>
      <c r="T557" s="169">
        <v>0</v>
      </c>
      <c r="U557" s="169">
        <v>0</v>
      </c>
      <c r="V557" s="169">
        <v>0</v>
      </c>
      <c r="W557" s="169">
        <v>0</v>
      </c>
      <c r="X557" s="169">
        <v>0</v>
      </c>
      <c r="Y557" s="169">
        <v>0</v>
      </c>
      <c r="Z557" s="219">
        <v>0</v>
      </c>
      <c r="AA557" s="161">
        <f t="shared" si="25"/>
        <v>0</v>
      </c>
      <c r="AB557" s="408"/>
      <c r="AC557" s="409">
        <f t="shared" si="26"/>
        <v>0</v>
      </c>
      <c r="AD557" s="410"/>
      <c r="AE557" s="411"/>
      <c r="AF557" s="405"/>
      <c r="AG557" s="402"/>
      <c r="AH557" s="411"/>
      <c r="AI557" s="412"/>
      <c r="AJ557" s="413"/>
      <c r="AK557" s="414">
        <f t="shared" si="27"/>
        <v>0</v>
      </c>
      <c r="AL557" s="412"/>
      <c r="AM557" s="407"/>
      <c r="AN557" s="415"/>
      <c r="AO557" s="416"/>
    </row>
    <row r="558" spans="1:41" ht="28.15" hidden="1" customHeight="1" x14ac:dyDescent="0.25">
      <c r="A558" s="252">
        <v>566</v>
      </c>
      <c r="B558" s="398"/>
      <c r="C558" s="399"/>
      <c r="D558" s="400"/>
      <c r="E558" s="400"/>
      <c r="F558" s="401"/>
      <c r="G558" s="402"/>
      <c r="H558" s="403"/>
      <c r="I558" s="404"/>
      <c r="J558" s="405"/>
      <c r="K558" s="405"/>
      <c r="L558" s="405"/>
      <c r="M558" s="405"/>
      <c r="N558" s="406"/>
      <c r="O558" s="343">
        <v>0</v>
      </c>
      <c r="P558" s="169">
        <v>0</v>
      </c>
      <c r="Q558" s="169">
        <v>0</v>
      </c>
      <c r="R558" s="169">
        <v>0</v>
      </c>
      <c r="S558" s="169">
        <v>0</v>
      </c>
      <c r="T558" s="169">
        <v>0</v>
      </c>
      <c r="U558" s="169">
        <v>0</v>
      </c>
      <c r="V558" s="169">
        <v>0</v>
      </c>
      <c r="W558" s="169">
        <v>0</v>
      </c>
      <c r="X558" s="169">
        <v>0</v>
      </c>
      <c r="Y558" s="169">
        <v>0</v>
      </c>
      <c r="Z558" s="219">
        <v>0</v>
      </c>
      <c r="AA558" s="161">
        <f t="shared" si="25"/>
        <v>0</v>
      </c>
      <c r="AB558" s="408"/>
      <c r="AC558" s="409">
        <f t="shared" si="26"/>
        <v>0</v>
      </c>
      <c r="AD558" s="410"/>
      <c r="AE558" s="411"/>
      <c r="AF558" s="405"/>
      <c r="AG558" s="402"/>
      <c r="AH558" s="411"/>
      <c r="AI558" s="412"/>
      <c r="AJ558" s="413"/>
      <c r="AK558" s="414">
        <f t="shared" si="27"/>
        <v>0</v>
      </c>
      <c r="AL558" s="412"/>
      <c r="AM558" s="407"/>
      <c r="AN558" s="415"/>
      <c r="AO558" s="416"/>
    </row>
    <row r="559" spans="1:41" ht="28.15" hidden="1" customHeight="1" x14ac:dyDescent="0.25">
      <c r="A559" s="252">
        <v>567</v>
      </c>
      <c r="B559" s="398"/>
      <c r="C559" s="399"/>
      <c r="D559" s="400"/>
      <c r="E559" s="400"/>
      <c r="F559" s="401"/>
      <c r="G559" s="402"/>
      <c r="H559" s="403"/>
      <c r="I559" s="404"/>
      <c r="J559" s="405"/>
      <c r="K559" s="405"/>
      <c r="L559" s="405"/>
      <c r="M559" s="405"/>
      <c r="N559" s="406"/>
      <c r="O559" s="343">
        <v>0</v>
      </c>
      <c r="P559" s="169">
        <v>0</v>
      </c>
      <c r="Q559" s="169">
        <v>0</v>
      </c>
      <c r="R559" s="169">
        <v>0</v>
      </c>
      <c r="S559" s="169">
        <v>0</v>
      </c>
      <c r="T559" s="169">
        <v>0</v>
      </c>
      <c r="U559" s="169">
        <v>0</v>
      </c>
      <c r="V559" s="169">
        <v>0</v>
      </c>
      <c r="W559" s="169">
        <v>0</v>
      </c>
      <c r="X559" s="169">
        <v>0</v>
      </c>
      <c r="Y559" s="169">
        <v>0</v>
      </c>
      <c r="Z559" s="219">
        <v>0</v>
      </c>
      <c r="AA559" s="161">
        <f t="shared" si="25"/>
        <v>0</v>
      </c>
      <c r="AB559" s="408"/>
      <c r="AC559" s="409">
        <f t="shared" si="26"/>
        <v>0</v>
      </c>
      <c r="AD559" s="410"/>
      <c r="AE559" s="411"/>
      <c r="AF559" s="405"/>
      <c r="AG559" s="402"/>
      <c r="AH559" s="411"/>
      <c r="AI559" s="412"/>
      <c r="AJ559" s="413"/>
      <c r="AK559" s="414">
        <f t="shared" si="27"/>
        <v>0</v>
      </c>
      <c r="AL559" s="412"/>
      <c r="AM559" s="407"/>
      <c r="AN559" s="415"/>
      <c r="AO559" s="416"/>
    </row>
    <row r="560" spans="1:41" ht="28.15" hidden="1" customHeight="1" x14ac:dyDescent="0.25">
      <c r="A560" s="252">
        <v>568</v>
      </c>
      <c r="B560" s="398"/>
      <c r="C560" s="399"/>
      <c r="D560" s="400"/>
      <c r="E560" s="400"/>
      <c r="F560" s="401"/>
      <c r="G560" s="402"/>
      <c r="H560" s="403"/>
      <c r="I560" s="404"/>
      <c r="J560" s="405"/>
      <c r="K560" s="405"/>
      <c r="L560" s="405"/>
      <c r="M560" s="405"/>
      <c r="N560" s="406"/>
      <c r="O560" s="343">
        <v>0</v>
      </c>
      <c r="P560" s="169">
        <v>0</v>
      </c>
      <c r="Q560" s="169">
        <v>0</v>
      </c>
      <c r="R560" s="169">
        <v>0</v>
      </c>
      <c r="S560" s="169">
        <v>0</v>
      </c>
      <c r="T560" s="169">
        <v>0</v>
      </c>
      <c r="U560" s="169">
        <v>0</v>
      </c>
      <c r="V560" s="169">
        <v>0</v>
      </c>
      <c r="W560" s="169">
        <v>0</v>
      </c>
      <c r="X560" s="169">
        <v>0</v>
      </c>
      <c r="Y560" s="169">
        <v>0</v>
      </c>
      <c r="Z560" s="219">
        <v>0</v>
      </c>
      <c r="AA560" s="161">
        <f t="shared" si="25"/>
        <v>0</v>
      </c>
      <c r="AB560" s="408"/>
      <c r="AC560" s="409">
        <f t="shared" si="26"/>
        <v>0</v>
      </c>
      <c r="AD560" s="410"/>
      <c r="AE560" s="411"/>
      <c r="AF560" s="405"/>
      <c r="AG560" s="402"/>
      <c r="AH560" s="411"/>
      <c r="AI560" s="412"/>
      <c r="AJ560" s="413"/>
      <c r="AK560" s="414">
        <f t="shared" si="27"/>
        <v>0</v>
      </c>
      <c r="AL560" s="412"/>
      <c r="AM560" s="407"/>
      <c r="AN560" s="415"/>
      <c r="AO560" s="416"/>
    </row>
    <row r="561" spans="1:41" ht="28.15" hidden="1" customHeight="1" x14ac:dyDescent="0.25">
      <c r="A561" s="252">
        <v>569</v>
      </c>
      <c r="B561" s="398"/>
      <c r="C561" s="399"/>
      <c r="D561" s="400"/>
      <c r="E561" s="400"/>
      <c r="F561" s="401"/>
      <c r="G561" s="402"/>
      <c r="H561" s="403"/>
      <c r="I561" s="404"/>
      <c r="J561" s="405"/>
      <c r="K561" s="405"/>
      <c r="L561" s="405"/>
      <c r="M561" s="405"/>
      <c r="N561" s="406"/>
      <c r="O561" s="343">
        <v>0</v>
      </c>
      <c r="P561" s="169">
        <v>0</v>
      </c>
      <c r="Q561" s="169">
        <v>0</v>
      </c>
      <c r="R561" s="169">
        <v>0</v>
      </c>
      <c r="S561" s="169">
        <v>0</v>
      </c>
      <c r="T561" s="169">
        <v>0</v>
      </c>
      <c r="U561" s="169">
        <v>0</v>
      </c>
      <c r="V561" s="169">
        <v>0</v>
      </c>
      <c r="W561" s="169">
        <v>0</v>
      </c>
      <c r="X561" s="169">
        <v>0</v>
      </c>
      <c r="Y561" s="169">
        <v>0</v>
      </c>
      <c r="Z561" s="219">
        <v>0</v>
      </c>
      <c r="AA561" s="161">
        <f t="shared" si="25"/>
        <v>0</v>
      </c>
      <c r="AB561" s="408"/>
      <c r="AC561" s="409">
        <f t="shared" si="26"/>
        <v>0</v>
      </c>
      <c r="AD561" s="410"/>
      <c r="AE561" s="411"/>
      <c r="AF561" s="405"/>
      <c r="AG561" s="402"/>
      <c r="AH561" s="411"/>
      <c r="AI561" s="412"/>
      <c r="AJ561" s="413"/>
      <c r="AK561" s="414">
        <f t="shared" si="27"/>
        <v>0</v>
      </c>
      <c r="AL561" s="412"/>
      <c r="AM561" s="407"/>
      <c r="AN561" s="415"/>
      <c r="AO561" s="416"/>
    </row>
    <row r="562" spans="1:41" ht="28.15" hidden="1" customHeight="1" x14ac:dyDescent="0.25">
      <c r="A562" s="252">
        <v>570</v>
      </c>
      <c r="B562" s="398"/>
      <c r="C562" s="399"/>
      <c r="D562" s="400"/>
      <c r="E562" s="400"/>
      <c r="F562" s="401"/>
      <c r="G562" s="402"/>
      <c r="H562" s="403"/>
      <c r="I562" s="404"/>
      <c r="J562" s="405"/>
      <c r="K562" s="405"/>
      <c r="L562" s="405"/>
      <c r="M562" s="405"/>
      <c r="N562" s="406"/>
      <c r="O562" s="343">
        <v>0</v>
      </c>
      <c r="P562" s="169">
        <v>0</v>
      </c>
      <c r="Q562" s="169">
        <v>0</v>
      </c>
      <c r="R562" s="169">
        <v>0</v>
      </c>
      <c r="S562" s="169">
        <v>0</v>
      </c>
      <c r="T562" s="169">
        <v>0</v>
      </c>
      <c r="U562" s="169">
        <v>0</v>
      </c>
      <c r="V562" s="169">
        <v>0</v>
      </c>
      <c r="W562" s="169">
        <v>0</v>
      </c>
      <c r="X562" s="169">
        <v>0</v>
      </c>
      <c r="Y562" s="169">
        <v>0</v>
      </c>
      <c r="Z562" s="219">
        <v>0</v>
      </c>
      <c r="AA562" s="161">
        <f t="shared" si="25"/>
        <v>0</v>
      </c>
      <c r="AB562" s="408"/>
      <c r="AC562" s="409">
        <f t="shared" si="26"/>
        <v>0</v>
      </c>
      <c r="AD562" s="410"/>
      <c r="AE562" s="411"/>
      <c r="AF562" s="405"/>
      <c r="AG562" s="402"/>
      <c r="AH562" s="411"/>
      <c r="AI562" s="412"/>
      <c r="AJ562" s="413"/>
      <c r="AK562" s="414">
        <f t="shared" si="27"/>
        <v>0</v>
      </c>
      <c r="AL562" s="412"/>
      <c r="AM562" s="407"/>
      <c r="AN562" s="415"/>
      <c r="AO562" s="416"/>
    </row>
    <row r="563" spans="1:41" ht="28.15" hidden="1" customHeight="1" x14ac:dyDescent="0.25">
      <c r="A563" s="252">
        <v>571</v>
      </c>
      <c r="B563" s="398"/>
      <c r="C563" s="399"/>
      <c r="D563" s="400"/>
      <c r="E563" s="400"/>
      <c r="F563" s="401"/>
      <c r="G563" s="402"/>
      <c r="H563" s="403"/>
      <c r="I563" s="404"/>
      <c r="J563" s="405"/>
      <c r="K563" s="405"/>
      <c r="L563" s="405"/>
      <c r="M563" s="405"/>
      <c r="N563" s="406"/>
      <c r="O563" s="343">
        <v>0</v>
      </c>
      <c r="P563" s="169">
        <v>0</v>
      </c>
      <c r="Q563" s="169">
        <v>0</v>
      </c>
      <c r="R563" s="169">
        <v>0</v>
      </c>
      <c r="S563" s="169">
        <v>0</v>
      </c>
      <c r="T563" s="169">
        <v>0</v>
      </c>
      <c r="U563" s="169">
        <v>0</v>
      </c>
      <c r="V563" s="169">
        <v>0</v>
      </c>
      <c r="W563" s="169">
        <v>0</v>
      </c>
      <c r="X563" s="169">
        <v>0</v>
      </c>
      <c r="Y563" s="169">
        <v>0</v>
      </c>
      <c r="Z563" s="219">
        <v>0</v>
      </c>
      <c r="AA563" s="161">
        <f t="shared" si="25"/>
        <v>0</v>
      </c>
      <c r="AB563" s="408"/>
      <c r="AC563" s="409">
        <f t="shared" si="26"/>
        <v>0</v>
      </c>
      <c r="AD563" s="410"/>
      <c r="AE563" s="411"/>
      <c r="AF563" s="405"/>
      <c r="AG563" s="402"/>
      <c r="AH563" s="411"/>
      <c r="AI563" s="412"/>
      <c r="AJ563" s="413"/>
      <c r="AK563" s="414">
        <f t="shared" si="27"/>
        <v>0</v>
      </c>
      <c r="AL563" s="412"/>
      <c r="AM563" s="407"/>
      <c r="AN563" s="415"/>
      <c r="AO563" s="416"/>
    </row>
    <row r="564" spans="1:41" ht="28.15" hidden="1" customHeight="1" x14ac:dyDescent="0.25">
      <c r="A564" s="252">
        <v>572</v>
      </c>
      <c r="B564" s="398"/>
      <c r="C564" s="399"/>
      <c r="D564" s="400"/>
      <c r="E564" s="400"/>
      <c r="F564" s="401"/>
      <c r="G564" s="402"/>
      <c r="H564" s="403"/>
      <c r="I564" s="404"/>
      <c r="J564" s="405"/>
      <c r="K564" s="405"/>
      <c r="L564" s="405"/>
      <c r="M564" s="405"/>
      <c r="N564" s="406"/>
      <c r="O564" s="343">
        <v>0</v>
      </c>
      <c r="P564" s="169">
        <v>0</v>
      </c>
      <c r="Q564" s="169">
        <v>0</v>
      </c>
      <c r="R564" s="169">
        <v>0</v>
      </c>
      <c r="S564" s="169">
        <v>0</v>
      </c>
      <c r="T564" s="169">
        <v>0</v>
      </c>
      <c r="U564" s="169">
        <v>0</v>
      </c>
      <c r="V564" s="169">
        <v>0</v>
      </c>
      <c r="W564" s="169">
        <v>0</v>
      </c>
      <c r="X564" s="169">
        <v>0</v>
      </c>
      <c r="Y564" s="169">
        <v>0</v>
      </c>
      <c r="Z564" s="219">
        <v>0</v>
      </c>
      <c r="AA564" s="161">
        <f t="shared" si="25"/>
        <v>0</v>
      </c>
      <c r="AB564" s="408"/>
      <c r="AC564" s="409">
        <f t="shared" si="26"/>
        <v>0</v>
      </c>
      <c r="AD564" s="410"/>
      <c r="AE564" s="411"/>
      <c r="AF564" s="405"/>
      <c r="AG564" s="402"/>
      <c r="AH564" s="411"/>
      <c r="AI564" s="412"/>
      <c r="AJ564" s="413"/>
      <c r="AK564" s="414">
        <f t="shared" si="27"/>
        <v>0</v>
      </c>
      <c r="AL564" s="412"/>
      <c r="AM564" s="407"/>
      <c r="AN564" s="415"/>
      <c r="AO564" s="416"/>
    </row>
    <row r="565" spans="1:41" ht="28.15" hidden="1" customHeight="1" x14ac:dyDescent="0.25">
      <c r="A565" s="252">
        <v>573</v>
      </c>
      <c r="B565" s="398"/>
      <c r="C565" s="399"/>
      <c r="D565" s="400"/>
      <c r="E565" s="400"/>
      <c r="F565" s="401"/>
      <c r="G565" s="402"/>
      <c r="H565" s="403"/>
      <c r="I565" s="404"/>
      <c r="J565" s="405"/>
      <c r="K565" s="405"/>
      <c r="L565" s="405"/>
      <c r="M565" s="405"/>
      <c r="N565" s="406"/>
      <c r="O565" s="343">
        <v>0</v>
      </c>
      <c r="P565" s="169">
        <v>0</v>
      </c>
      <c r="Q565" s="169">
        <v>0</v>
      </c>
      <c r="R565" s="169">
        <v>0</v>
      </c>
      <c r="S565" s="169">
        <v>0</v>
      </c>
      <c r="T565" s="169">
        <v>0</v>
      </c>
      <c r="U565" s="169">
        <v>0</v>
      </c>
      <c r="V565" s="169">
        <v>0</v>
      </c>
      <c r="W565" s="169">
        <v>0</v>
      </c>
      <c r="X565" s="169">
        <v>0</v>
      </c>
      <c r="Y565" s="169">
        <v>0</v>
      </c>
      <c r="Z565" s="219">
        <v>0</v>
      </c>
      <c r="AA565" s="161">
        <f t="shared" si="25"/>
        <v>0</v>
      </c>
      <c r="AB565" s="408"/>
      <c r="AC565" s="409">
        <f t="shared" si="26"/>
        <v>0</v>
      </c>
      <c r="AD565" s="410"/>
      <c r="AE565" s="411"/>
      <c r="AF565" s="405"/>
      <c r="AG565" s="402"/>
      <c r="AH565" s="411"/>
      <c r="AI565" s="412"/>
      <c r="AJ565" s="413"/>
      <c r="AK565" s="414">
        <f t="shared" si="27"/>
        <v>0</v>
      </c>
      <c r="AL565" s="412"/>
      <c r="AM565" s="407"/>
      <c r="AN565" s="415"/>
      <c r="AO565" s="416"/>
    </row>
    <row r="566" spans="1:41" ht="28.15" hidden="1" customHeight="1" x14ac:dyDescent="0.25">
      <c r="A566" s="252">
        <v>574</v>
      </c>
      <c r="B566" s="398"/>
      <c r="C566" s="399"/>
      <c r="D566" s="400"/>
      <c r="E566" s="400"/>
      <c r="F566" s="401"/>
      <c r="G566" s="402"/>
      <c r="H566" s="403"/>
      <c r="I566" s="404"/>
      <c r="J566" s="405"/>
      <c r="K566" s="405"/>
      <c r="L566" s="405"/>
      <c r="M566" s="405"/>
      <c r="N566" s="406"/>
      <c r="O566" s="343">
        <v>0</v>
      </c>
      <c r="P566" s="169">
        <v>0</v>
      </c>
      <c r="Q566" s="169">
        <v>0</v>
      </c>
      <c r="R566" s="169">
        <v>0</v>
      </c>
      <c r="S566" s="169">
        <v>0</v>
      </c>
      <c r="T566" s="169">
        <v>0</v>
      </c>
      <c r="U566" s="169">
        <v>0</v>
      </c>
      <c r="V566" s="169">
        <v>0</v>
      </c>
      <c r="W566" s="169">
        <v>0</v>
      </c>
      <c r="X566" s="169">
        <v>0</v>
      </c>
      <c r="Y566" s="169">
        <v>0</v>
      </c>
      <c r="Z566" s="219">
        <v>0</v>
      </c>
      <c r="AA566" s="161">
        <f t="shared" si="25"/>
        <v>0</v>
      </c>
      <c r="AB566" s="408"/>
      <c r="AC566" s="409">
        <f t="shared" si="26"/>
        <v>0</v>
      </c>
      <c r="AD566" s="410"/>
      <c r="AE566" s="411"/>
      <c r="AF566" s="405"/>
      <c r="AG566" s="402"/>
      <c r="AH566" s="411"/>
      <c r="AI566" s="412"/>
      <c r="AJ566" s="413"/>
      <c r="AK566" s="414">
        <f t="shared" si="27"/>
        <v>0</v>
      </c>
      <c r="AL566" s="412"/>
      <c r="AM566" s="407"/>
      <c r="AN566" s="415"/>
      <c r="AO566" s="416"/>
    </row>
    <row r="567" spans="1:41" ht="28.15" hidden="1" customHeight="1" x14ac:dyDescent="0.25">
      <c r="A567" s="252">
        <v>575</v>
      </c>
      <c r="B567" s="398"/>
      <c r="C567" s="399"/>
      <c r="D567" s="400"/>
      <c r="E567" s="400"/>
      <c r="F567" s="401"/>
      <c r="G567" s="402"/>
      <c r="H567" s="403"/>
      <c r="I567" s="404"/>
      <c r="J567" s="405"/>
      <c r="K567" s="405"/>
      <c r="L567" s="405"/>
      <c r="M567" s="405"/>
      <c r="N567" s="406"/>
      <c r="O567" s="343">
        <v>0</v>
      </c>
      <c r="P567" s="169">
        <v>0</v>
      </c>
      <c r="Q567" s="169">
        <v>0</v>
      </c>
      <c r="R567" s="169">
        <v>0</v>
      </c>
      <c r="S567" s="169">
        <v>0</v>
      </c>
      <c r="T567" s="169">
        <v>0</v>
      </c>
      <c r="U567" s="169">
        <v>0</v>
      </c>
      <c r="V567" s="169">
        <v>0</v>
      </c>
      <c r="W567" s="169">
        <v>0</v>
      </c>
      <c r="X567" s="169">
        <v>0</v>
      </c>
      <c r="Y567" s="169">
        <v>0</v>
      </c>
      <c r="Z567" s="219">
        <v>0</v>
      </c>
      <c r="AA567" s="161">
        <f t="shared" si="25"/>
        <v>0</v>
      </c>
      <c r="AB567" s="408"/>
      <c r="AC567" s="409">
        <f t="shared" si="26"/>
        <v>0</v>
      </c>
      <c r="AD567" s="410"/>
      <c r="AE567" s="411"/>
      <c r="AF567" s="405"/>
      <c r="AG567" s="402"/>
      <c r="AH567" s="411"/>
      <c r="AI567" s="412"/>
      <c r="AJ567" s="413"/>
      <c r="AK567" s="414">
        <f t="shared" si="27"/>
        <v>0</v>
      </c>
      <c r="AL567" s="412"/>
      <c r="AM567" s="407"/>
      <c r="AN567" s="415"/>
      <c r="AO567" s="416"/>
    </row>
    <row r="568" spans="1:41" ht="28.15" hidden="1" customHeight="1" x14ac:dyDescent="0.25">
      <c r="A568" s="252">
        <v>576</v>
      </c>
      <c r="B568" s="398"/>
      <c r="C568" s="399"/>
      <c r="D568" s="400"/>
      <c r="E568" s="400"/>
      <c r="F568" s="401"/>
      <c r="G568" s="402"/>
      <c r="H568" s="403"/>
      <c r="I568" s="404"/>
      <c r="J568" s="405"/>
      <c r="K568" s="405"/>
      <c r="L568" s="405"/>
      <c r="M568" s="405"/>
      <c r="N568" s="406"/>
      <c r="O568" s="343">
        <v>0</v>
      </c>
      <c r="P568" s="169">
        <v>0</v>
      </c>
      <c r="Q568" s="169">
        <v>0</v>
      </c>
      <c r="R568" s="169">
        <v>0</v>
      </c>
      <c r="S568" s="169">
        <v>0</v>
      </c>
      <c r="T568" s="169">
        <v>0</v>
      </c>
      <c r="U568" s="169">
        <v>0</v>
      </c>
      <c r="V568" s="169">
        <v>0</v>
      </c>
      <c r="W568" s="169">
        <v>0</v>
      </c>
      <c r="X568" s="169">
        <v>0</v>
      </c>
      <c r="Y568" s="169">
        <v>0</v>
      </c>
      <c r="Z568" s="219">
        <v>0</v>
      </c>
      <c r="AA568" s="161">
        <f t="shared" si="25"/>
        <v>0</v>
      </c>
      <c r="AB568" s="408"/>
      <c r="AC568" s="409">
        <f t="shared" si="26"/>
        <v>0</v>
      </c>
      <c r="AD568" s="410"/>
      <c r="AE568" s="411"/>
      <c r="AF568" s="405"/>
      <c r="AG568" s="402"/>
      <c r="AH568" s="411"/>
      <c r="AI568" s="412"/>
      <c r="AJ568" s="413"/>
      <c r="AK568" s="414">
        <f t="shared" si="27"/>
        <v>0</v>
      </c>
      <c r="AL568" s="412"/>
      <c r="AM568" s="407"/>
      <c r="AN568" s="415"/>
      <c r="AO568" s="416"/>
    </row>
    <row r="569" spans="1:41" ht="28.15" hidden="1" customHeight="1" x14ac:dyDescent="0.25">
      <c r="A569" s="252">
        <v>577</v>
      </c>
      <c r="B569" s="398"/>
      <c r="C569" s="399"/>
      <c r="D569" s="400"/>
      <c r="E569" s="400"/>
      <c r="F569" s="401"/>
      <c r="G569" s="402"/>
      <c r="H569" s="403"/>
      <c r="I569" s="404"/>
      <c r="J569" s="405"/>
      <c r="K569" s="405"/>
      <c r="L569" s="405"/>
      <c r="M569" s="405"/>
      <c r="N569" s="406"/>
      <c r="O569" s="343">
        <v>0</v>
      </c>
      <c r="P569" s="169">
        <v>0</v>
      </c>
      <c r="Q569" s="169">
        <v>0</v>
      </c>
      <c r="R569" s="169">
        <v>0</v>
      </c>
      <c r="S569" s="169">
        <v>0</v>
      </c>
      <c r="T569" s="169">
        <v>0</v>
      </c>
      <c r="U569" s="169">
        <v>0</v>
      </c>
      <c r="V569" s="169">
        <v>0</v>
      </c>
      <c r="W569" s="169">
        <v>0</v>
      </c>
      <c r="X569" s="169">
        <v>0</v>
      </c>
      <c r="Y569" s="169">
        <v>0</v>
      </c>
      <c r="Z569" s="219">
        <v>0</v>
      </c>
      <c r="AA569" s="161">
        <f t="shared" si="25"/>
        <v>0</v>
      </c>
      <c r="AB569" s="408"/>
      <c r="AC569" s="409">
        <f t="shared" si="26"/>
        <v>0</v>
      </c>
      <c r="AD569" s="410"/>
      <c r="AE569" s="411"/>
      <c r="AF569" s="405"/>
      <c r="AG569" s="402"/>
      <c r="AH569" s="411"/>
      <c r="AI569" s="412"/>
      <c r="AJ569" s="413"/>
      <c r="AK569" s="414">
        <f t="shared" si="27"/>
        <v>0</v>
      </c>
      <c r="AL569" s="412"/>
      <c r="AM569" s="407"/>
      <c r="AN569" s="415"/>
      <c r="AO569" s="416"/>
    </row>
    <row r="570" spans="1:41" ht="28.15" hidden="1" customHeight="1" x14ac:dyDescent="0.25">
      <c r="A570" s="252">
        <v>578</v>
      </c>
      <c r="B570" s="398"/>
      <c r="C570" s="399"/>
      <c r="D570" s="400"/>
      <c r="E570" s="400"/>
      <c r="F570" s="401"/>
      <c r="G570" s="402"/>
      <c r="H570" s="403"/>
      <c r="I570" s="404"/>
      <c r="J570" s="405"/>
      <c r="K570" s="405"/>
      <c r="L570" s="405"/>
      <c r="M570" s="405"/>
      <c r="N570" s="406"/>
      <c r="O570" s="343">
        <v>0</v>
      </c>
      <c r="P570" s="169">
        <v>0</v>
      </c>
      <c r="Q570" s="169">
        <v>0</v>
      </c>
      <c r="R570" s="169">
        <v>0</v>
      </c>
      <c r="S570" s="169">
        <v>0</v>
      </c>
      <c r="T570" s="169">
        <v>0</v>
      </c>
      <c r="U570" s="169">
        <v>0</v>
      </c>
      <c r="V570" s="169">
        <v>0</v>
      </c>
      <c r="W570" s="169">
        <v>0</v>
      </c>
      <c r="X570" s="169">
        <v>0</v>
      </c>
      <c r="Y570" s="169">
        <v>0</v>
      </c>
      <c r="Z570" s="219">
        <v>0</v>
      </c>
      <c r="AA570" s="161">
        <f t="shared" si="25"/>
        <v>0</v>
      </c>
      <c r="AB570" s="408"/>
      <c r="AC570" s="409">
        <f t="shared" si="26"/>
        <v>0</v>
      </c>
      <c r="AD570" s="410"/>
      <c r="AE570" s="411"/>
      <c r="AF570" s="405"/>
      <c r="AG570" s="402"/>
      <c r="AH570" s="411"/>
      <c r="AI570" s="412"/>
      <c r="AJ570" s="413"/>
      <c r="AK570" s="414">
        <f t="shared" si="27"/>
        <v>0</v>
      </c>
      <c r="AL570" s="412"/>
      <c r="AM570" s="407"/>
      <c r="AN570" s="415"/>
      <c r="AO570" s="416"/>
    </row>
    <row r="571" spans="1:41" ht="28.15" hidden="1" customHeight="1" x14ac:dyDescent="0.25">
      <c r="A571" s="252">
        <v>579</v>
      </c>
      <c r="B571" s="398"/>
      <c r="C571" s="399"/>
      <c r="D571" s="400"/>
      <c r="E571" s="400"/>
      <c r="F571" s="401"/>
      <c r="G571" s="402"/>
      <c r="H571" s="403"/>
      <c r="I571" s="404"/>
      <c r="J571" s="405"/>
      <c r="K571" s="405"/>
      <c r="L571" s="405"/>
      <c r="M571" s="405"/>
      <c r="N571" s="406"/>
      <c r="O571" s="343">
        <v>0</v>
      </c>
      <c r="P571" s="169">
        <v>0</v>
      </c>
      <c r="Q571" s="169">
        <v>0</v>
      </c>
      <c r="R571" s="169">
        <v>0</v>
      </c>
      <c r="S571" s="169">
        <v>0</v>
      </c>
      <c r="T571" s="169">
        <v>0</v>
      </c>
      <c r="U571" s="169">
        <v>0</v>
      </c>
      <c r="V571" s="169">
        <v>0</v>
      </c>
      <c r="W571" s="169">
        <v>0</v>
      </c>
      <c r="X571" s="169">
        <v>0</v>
      </c>
      <c r="Y571" s="169">
        <v>0</v>
      </c>
      <c r="Z571" s="219">
        <v>0</v>
      </c>
      <c r="AA571" s="161">
        <f t="shared" si="25"/>
        <v>0</v>
      </c>
      <c r="AB571" s="408"/>
      <c r="AC571" s="409">
        <f t="shared" si="26"/>
        <v>0</v>
      </c>
      <c r="AD571" s="410"/>
      <c r="AE571" s="411"/>
      <c r="AF571" s="405"/>
      <c r="AG571" s="402"/>
      <c r="AH571" s="411"/>
      <c r="AI571" s="412"/>
      <c r="AJ571" s="413"/>
      <c r="AK571" s="414">
        <f t="shared" si="27"/>
        <v>0</v>
      </c>
      <c r="AL571" s="412"/>
      <c r="AM571" s="407"/>
      <c r="AN571" s="415"/>
      <c r="AO571" s="416"/>
    </row>
    <row r="572" spans="1:41" ht="28.15" hidden="1" customHeight="1" x14ac:dyDescent="0.25">
      <c r="A572" s="252">
        <v>580</v>
      </c>
      <c r="B572" s="398"/>
      <c r="C572" s="399"/>
      <c r="D572" s="400"/>
      <c r="E572" s="400"/>
      <c r="F572" s="401"/>
      <c r="G572" s="402"/>
      <c r="H572" s="403"/>
      <c r="I572" s="404"/>
      <c r="J572" s="405"/>
      <c r="K572" s="405"/>
      <c r="L572" s="405"/>
      <c r="M572" s="405"/>
      <c r="N572" s="406"/>
      <c r="O572" s="343">
        <v>0</v>
      </c>
      <c r="P572" s="169">
        <v>0</v>
      </c>
      <c r="Q572" s="169">
        <v>0</v>
      </c>
      <c r="R572" s="169">
        <v>0</v>
      </c>
      <c r="S572" s="169">
        <v>0</v>
      </c>
      <c r="T572" s="169">
        <v>0</v>
      </c>
      <c r="U572" s="169">
        <v>0</v>
      </c>
      <c r="V572" s="169">
        <v>0</v>
      </c>
      <c r="W572" s="169">
        <v>0</v>
      </c>
      <c r="X572" s="169">
        <v>0</v>
      </c>
      <c r="Y572" s="169">
        <v>0</v>
      </c>
      <c r="Z572" s="219">
        <v>0</v>
      </c>
      <c r="AA572" s="161">
        <f t="shared" si="25"/>
        <v>0</v>
      </c>
      <c r="AB572" s="408"/>
      <c r="AC572" s="409">
        <f t="shared" si="26"/>
        <v>0</v>
      </c>
      <c r="AD572" s="410"/>
      <c r="AE572" s="411"/>
      <c r="AF572" s="405"/>
      <c r="AG572" s="402"/>
      <c r="AH572" s="411"/>
      <c r="AI572" s="412"/>
      <c r="AJ572" s="413"/>
      <c r="AK572" s="414">
        <f t="shared" si="27"/>
        <v>0</v>
      </c>
      <c r="AL572" s="412"/>
      <c r="AM572" s="407"/>
      <c r="AN572" s="415"/>
      <c r="AO572" s="416"/>
    </row>
    <row r="573" spans="1:41" ht="28.15" hidden="1" customHeight="1" x14ac:dyDescent="0.25">
      <c r="A573" s="252">
        <v>581</v>
      </c>
      <c r="B573" s="398"/>
      <c r="C573" s="399"/>
      <c r="D573" s="400"/>
      <c r="E573" s="400"/>
      <c r="F573" s="401"/>
      <c r="G573" s="402"/>
      <c r="H573" s="403"/>
      <c r="I573" s="404"/>
      <c r="J573" s="405"/>
      <c r="K573" s="405"/>
      <c r="L573" s="405"/>
      <c r="M573" s="405"/>
      <c r="N573" s="406"/>
      <c r="O573" s="343">
        <v>0</v>
      </c>
      <c r="P573" s="169">
        <v>0</v>
      </c>
      <c r="Q573" s="169">
        <v>0</v>
      </c>
      <c r="R573" s="169">
        <v>0</v>
      </c>
      <c r="S573" s="169">
        <v>0</v>
      </c>
      <c r="T573" s="169">
        <v>0</v>
      </c>
      <c r="U573" s="169">
        <v>0</v>
      </c>
      <c r="V573" s="169">
        <v>0</v>
      </c>
      <c r="W573" s="169">
        <v>0</v>
      </c>
      <c r="X573" s="169">
        <v>0</v>
      </c>
      <c r="Y573" s="169">
        <v>0</v>
      </c>
      <c r="Z573" s="219">
        <v>0</v>
      </c>
      <c r="AA573" s="161">
        <f t="shared" si="25"/>
        <v>0</v>
      </c>
      <c r="AB573" s="408"/>
      <c r="AC573" s="409">
        <f t="shared" si="26"/>
        <v>0</v>
      </c>
      <c r="AD573" s="410"/>
      <c r="AE573" s="411"/>
      <c r="AF573" s="405"/>
      <c r="AG573" s="402"/>
      <c r="AH573" s="411"/>
      <c r="AI573" s="412"/>
      <c r="AJ573" s="413"/>
      <c r="AK573" s="414">
        <f t="shared" si="27"/>
        <v>0</v>
      </c>
      <c r="AL573" s="412"/>
      <c r="AM573" s="407"/>
      <c r="AN573" s="415"/>
      <c r="AO573" s="416"/>
    </row>
    <row r="574" spans="1:41" ht="28.15" hidden="1" customHeight="1" x14ac:dyDescent="0.25">
      <c r="A574" s="252">
        <v>582</v>
      </c>
      <c r="B574" s="398"/>
      <c r="C574" s="399"/>
      <c r="D574" s="400"/>
      <c r="E574" s="400"/>
      <c r="F574" s="401"/>
      <c r="G574" s="402"/>
      <c r="H574" s="403"/>
      <c r="I574" s="404"/>
      <c r="J574" s="405"/>
      <c r="K574" s="405"/>
      <c r="L574" s="405"/>
      <c r="M574" s="405"/>
      <c r="N574" s="406"/>
      <c r="O574" s="343">
        <v>0</v>
      </c>
      <c r="P574" s="169">
        <v>0</v>
      </c>
      <c r="Q574" s="169">
        <v>0</v>
      </c>
      <c r="R574" s="169">
        <v>0</v>
      </c>
      <c r="S574" s="169">
        <v>0</v>
      </c>
      <c r="T574" s="169">
        <v>0</v>
      </c>
      <c r="U574" s="169">
        <v>0</v>
      </c>
      <c r="V574" s="169">
        <v>0</v>
      </c>
      <c r="W574" s="169">
        <v>0</v>
      </c>
      <c r="X574" s="169">
        <v>0</v>
      </c>
      <c r="Y574" s="169">
        <v>0</v>
      </c>
      <c r="Z574" s="219">
        <v>0</v>
      </c>
      <c r="AA574" s="161">
        <f t="shared" si="25"/>
        <v>0</v>
      </c>
      <c r="AB574" s="408"/>
      <c r="AC574" s="409">
        <f t="shared" si="26"/>
        <v>0</v>
      </c>
      <c r="AD574" s="410"/>
      <c r="AE574" s="411"/>
      <c r="AF574" s="405"/>
      <c r="AG574" s="402"/>
      <c r="AH574" s="411"/>
      <c r="AI574" s="412"/>
      <c r="AJ574" s="413"/>
      <c r="AK574" s="414">
        <f t="shared" si="27"/>
        <v>0</v>
      </c>
      <c r="AL574" s="412"/>
      <c r="AM574" s="407"/>
      <c r="AN574" s="415"/>
      <c r="AO574" s="416"/>
    </row>
    <row r="575" spans="1:41" ht="28.15" hidden="1" customHeight="1" x14ac:dyDescent="0.25">
      <c r="A575" s="252">
        <v>583</v>
      </c>
      <c r="B575" s="398"/>
      <c r="C575" s="399"/>
      <c r="D575" s="400"/>
      <c r="E575" s="400"/>
      <c r="F575" s="401"/>
      <c r="G575" s="402"/>
      <c r="H575" s="403"/>
      <c r="I575" s="404"/>
      <c r="J575" s="405"/>
      <c r="K575" s="405"/>
      <c r="L575" s="405"/>
      <c r="M575" s="405"/>
      <c r="N575" s="406"/>
      <c r="O575" s="343">
        <v>0</v>
      </c>
      <c r="P575" s="169">
        <v>0</v>
      </c>
      <c r="Q575" s="169">
        <v>0</v>
      </c>
      <c r="R575" s="169">
        <v>0</v>
      </c>
      <c r="S575" s="169">
        <v>0</v>
      </c>
      <c r="T575" s="169">
        <v>0</v>
      </c>
      <c r="U575" s="169">
        <v>0</v>
      </c>
      <c r="V575" s="169">
        <v>0</v>
      </c>
      <c r="W575" s="169">
        <v>0</v>
      </c>
      <c r="X575" s="169">
        <v>0</v>
      </c>
      <c r="Y575" s="169">
        <v>0</v>
      </c>
      <c r="Z575" s="219">
        <v>0</v>
      </c>
      <c r="AA575" s="161">
        <f t="shared" si="25"/>
        <v>0</v>
      </c>
      <c r="AB575" s="408"/>
      <c r="AC575" s="409">
        <f t="shared" si="26"/>
        <v>0</v>
      </c>
      <c r="AD575" s="410"/>
      <c r="AE575" s="411"/>
      <c r="AF575" s="405"/>
      <c r="AG575" s="402"/>
      <c r="AH575" s="411"/>
      <c r="AI575" s="412"/>
      <c r="AJ575" s="413"/>
      <c r="AK575" s="414">
        <f t="shared" si="27"/>
        <v>0</v>
      </c>
      <c r="AL575" s="412"/>
      <c r="AM575" s="407"/>
      <c r="AN575" s="415"/>
      <c r="AO575" s="416"/>
    </row>
    <row r="576" spans="1:41" ht="28.15" hidden="1" customHeight="1" x14ac:dyDescent="0.25">
      <c r="A576" s="252">
        <v>584</v>
      </c>
      <c r="B576" s="398"/>
      <c r="C576" s="399"/>
      <c r="D576" s="400"/>
      <c r="E576" s="400"/>
      <c r="F576" s="401"/>
      <c r="G576" s="402"/>
      <c r="H576" s="403"/>
      <c r="I576" s="404"/>
      <c r="J576" s="405"/>
      <c r="K576" s="405"/>
      <c r="L576" s="405"/>
      <c r="M576" s="405"/>
      <c r="N576" s="406"/>
      <c r="O576" s="343">
        <v>0</v>
      </c>
      <c r="P576" s="169">
        <v>0</v>
      </c>
      <c r="Q576" s="169">
        <v>0</v>
      </c>
      <c r="R576" s="169">
        <v>0</v>
      </c>
      <c r="S576" s="169">
        <v>0</v>
      </c>
      <c r="T576" s="169">
        <v>0</v>
      </c>
      <c r="U576" s="169">
        <v>0</v>
      </c>
      <c r="V576" s="169">
        <v>0</v>
      </c>
      <c r="W576" s="169">
        <v>0</v>
      </c>
      <c r="X576" s="169">
        <v>0</v>
      </c>
      <c r="Y576" s="169">
        <v>0</v>
      </c>
      <c r="Z576" s="219">
        <v>0</v>
      </c>
      <c r="AA576" s="161">
        <f t="shared" si="25"/>
        <v>0</v>
      </c>
      <c r="AB576" s="408"/>
      <c r="AC576" s="409">
        <f t="shared" si="26"/>
        <v>0</v>
      </c>
      <c r="AD576" s="410"/>
      <c r="AE576" s="411"/>
      <c r="AF576" s="405"/>
      <c r="AG576" s="402"/>
      <c r="AH576" s="411"/>
      <c r="AI576" s="412"/>
      <c r="AJ576" s="413"/>
      <c r="AK576" s="414">
        <f t="shared" si="27"/>
        <v>0</v>
      </c>
      <c r="AL576" s="412"/>
      <c r="AM576" s="407"/>
      <c r="AN576" s="415"/>
      <c r="AO576" s="416"/>
    </row>
    <row r="577" spans="1:41" ht="28.15" hidden="1" customHeight="1" x14ac:dyDescent="0.25">
      <c r="A577" s="252">
        <v>585</v>
      </c>
      <c r="B577" s="398"/>
      <c r="C577" s="399"/>
      <c r="D577" s="400"/>
      <c r="E577" s="400"/>
      <c r="F577" s="401"/>
      <c r="G577" s="402"/>
      <c r="H577" s="403"/>
      <c r="I577" s="404"/>
      <c r="J577" s="405"/>
      <c r="K577" s="405"/>
      <c r="L577" s="405"/>
      <c r="M577" s="405"/>
      <c r="N577" s="406"/>
      <c r="O577" s="343">
        <v>0</v>
      </c>
      <c r="P577" s="169">
        <v>0</v>
      </c>
      <c r="Q577" s="169">
        <v>0</v>
      </c>
      <c r="R577" s="169">
        <v>0</v>
      </c>
      <c r="S577" s="169">
        <v>0</v>
      </c>
      <c r="T577" s="169">
        <v>0</v>
      </c>
      <c r="U577" s="169">
        <v>0</v>
      </c>
      <c r="V577" s="169">
        <v>0</v>
      </c>
      <c r="W577" s="169">
        <v>0</v>
      </c>
      <c r="X577" s="169">
        <v>0</v>
      </c>
      <c r="Y577" s="169">
        <v>0</v>
      </c>
      <c r="Z577" s="219">
        <v>0</v>
      </c>
      <c r="AA577" s="161">
        <f t="shared" si="25"/>
        <v>0</v>
      </c>
      <c r="AB577" s="408"/>
      <c r="AC577" s="409">
        <f t="shared" si="26"/>
        <v>0</v>
      </c>
      <c r="AD577" s="410"/>
      <c r="AE577" s="411"/>
      <c r="AF577" s="405"/>
      <c r="AG577" s="402"/>
      <c r="AH577" s="411"/>
      <c r="AI577" s="412"/>
      <c r="AJ577" s="413"/>
      <c r="AK577" s="414">
        <f t="shared" si="27"/>
        <v>0</v>
      </c>
      <c r="AL577" s="412"/>
      <c r="AM577" s="407"/>
      <c r="AN577" s="415"/>
      <c r="AO577" s="416"/>
    </row>
    <row r="578" spans="1:41" ht="28.15" hidden="1" customHeight="1" x14ac:dyDescent="0.25">
      <c r="A578" s="252">
        <v>586</v>
      </c>
      <c r="B578" s="398"/>
      <c r="C578" s="399"/>
      <c r="D578" s="400"/>
      <c r="E578" s="400"/>
      <c r="F578" s="401"/>
      <c r="G578" s="402"/>
      <c r="H578" s="403"/>
      <c r="I578" s="404"/>
      <c r="J578" s="405"/>
      <c r="K578" s="405"/>
      <c r="L578" s="405"/>
      <c r="M578" s="405"/>
      <c r="N578" s="406"/>
      <c r="O578" s="343">
        <v>0</v>
      </c>
      <c r="P578" s="169">
        <v>0</v>
      </c>
      <c r="Q578" s="169">
        <v>0</v>
      </c>
      <c r="R578" s="169">
        <v>0</v>
      </c>
      <c r="S578" s="169">
        <v>0</v>
      </c>
      <c r="T578" s="169">
        <v>0</v>
      </c>
      <c r="U578" s="169">
        <v>0</v>
      </c>
      <c r="V578" s="169">
        <v>0</v>
      </c>
      <c r="W578" s="169">
        <v>0</v>
      </c>
      <c r="X578" s="169">
        <v>0</v>
      </c>
      <c r="Y578" s="169">
        <v>0</v>
      </c>
      <c r="Z578" s="219">
        <v>0</v>
      </c>
      <c r="AA578" s="161">
        <f t="shared" si="25"/>
        <v>0</v>
      </c>
      <c r="AB578" s="408"/>
      <c r="AC578" s="409">
        <f t="shared" si="26"/>
        <v>0</v>
      </c>
      <c r="AD578" s="410"/>
      <c r="AE578" s="411"/>
      <c r="AF578" s="405"/>
      <c r="AG578" s="402"/>
      <c r="AH578" s="411"/>
      <c r="AI578" s="412"/>
      <c r="AJ578" s="413"/>
      <c r="AK578" s="414">
        <f t="shared" si="27"/>
        <v>0</v>
      </c>
      <c r="AL578" s="412"/>
      <c r="AM578" s="407"/>
      <c r="AN578" s="415"/>
      <c r="AO578" s="416"/>
    </row>
    <row r="579" spans="1:41" ht="28.15" hidden="1" customHeight="1" x14ac:dyDescent="0.25">
      <c r="A579" s="252">
        <v>587</v>
      </c>
      <c r="B579" s="398"/>
      <c r="C579" s="399"/>
      <c r="D579" s="400"/>
      <c r="E579" s="400"/>
      <c r="F579" s="401"/>
      <c r="G579" s="402"/>
      <c r="H579" s="403"/>
      <c r="I579" s="404"/>
      <c r="J579" s="405"/>
      <c r="K579" s="405"/>
      <c r="L579" s="405"/>
      <c r="M579" s="405"/>
      <c r="N579" s="406"/>
      <c r="O579" s="343">
        <v>0</v>
      </c>
      <c r="P579" s="169">
        <v>0</v>
      </c>
      <c r="Q579" s="169">
        <v>0</v>
      </c>
      <c r="R579" s="169">
        <v>0</v>
      </c>
      <c r="S579" s="169">
        <v>0</v>
      </c>
      <c r="T579" s="169">
        <v>0</v>
      </c>
      <c r="U579" s="169">
        <v>0</v>
      </c>
      <c r="V579" s="169">
        <v>0</v>
      </c>
      <c r="W579" s="169">
        <v>0</v>
      </c>
      <c r="X579" s="169">
        <v>0</v>
      </c>
      <c r="Y579" s="169">
        <v>0</v>
      </c>
      <c r="Z579" s="219">
        <v>0</v>
      </c>
      <c r="AA579" s="161">
        <f t="shared" si="25"/>
        <v>0</v>
      </c>
      <c r="AB579" s="408"/>
      <c r="AC579" s="409">
        <f t="shared" si="26"/>
        <v>0</v>
      </c>
      <c r="AD579" s="410"/>
      <c r="AE579" s="411"/>
      <c r="AF579" s="405"/>
      <c r="AG579" s="402"/>
      <c r="AH579" s="411"/>
      <c r="AI579" s="412"/>
      <c r="AJ579" s="413"/>
      <c r="AK579" s="414">
        <f t="shared" si="27"/>
        <v>0</v>
      </c>
      <c r="AL579" s="412"/>
      <c r="AM579" s="407"/>
      <c r="AN579" s="415"/>
      <c r="AO579" s="416"/>
    </row>
    <row r="580" spans="1:41" ht="28.15" hidden="1" customHeight="1" x14ac:dyDescent="0.25">
      <c r="A580" s="252">
        <v>588</v>
      </c>
      <c r="B580" s="398"/>
      <c r="C580" s="399"/>
      <c r="D580" s="400"/>
      <c r="E580" s="400"/>
      <c r="F580" s="401"/>
      <c r="G580" s="402"/>
      <c r="H580" s="403"/>
      <c r="I580" s="404"/>
      <c r="J580" s="405"/>
      <c r="K580" s="405"/>
      <c r="L580" s="405"/>
      <c r="M580" s="405"/>
      <c r="N580" s="406"/>
      <c r="O580" s="343">
        <v>0</v>
      </c>
      <c r="P580" s="169">
        <v>0</v>
      </c>
      <c r="Q580" s="169">
        <v>0</v>
      </c>
      <c r="R580" s="169">
        <v>0</v>
      </c>
      <c r="S580" s="169">
        <v>0</v>
      </c>
      <c r="T580" s="169">
        <v>0</v>
      </c>
      <c r="U580" s="169">
        <v>0</v>
      </c>
      <c r="V580" s="169">
        <v>0</v>
      </c>
      <c r="W580" s="169">
        <v>0</v>
      </c>
      <c r="X580" s="169">
        <v>0</v>
      </c>
      <c r="Y580" s="169">
        <v>0</v>
      </c>
      <c r="Z580" s="219">
        <v>0</v>
      </c>
      <c r="AA580" s="161">
        <f t="shared" ref="AA580:AA586" si="28">SUM(O580:Z580)</f>
        <v>0</v>
      </c>
      <c r="AB580" s="408"/>
      <c r="AC580" s="409">
        <f t="shared" si="26"/>
        <v>0</v>
      </c>
      <c r="AD580" s="410"/>
      <c r="AE580" s="411"/>
      <c r="AF580" s="405"/>
      <c r="AG580" s="402"/>
      <c r="AH580" s="411"/>
      <c r="AI580" s="412"/>
      <c r="AJ580" s="413"/>
      <c r="AK580" s="414">
        <f t="shared" si="27"/>
        <v>0</v>
      </c>
      <c r="AL580" s="412"/>
      <c r="AM580" s="407"/>
      <c r="AN580" s="415"/>
      <c r="AO580" s="416"/>
    </row>
    <row r="581" spans="1:41" ht="28.15" hidden="1" customHeight="1" x14ac:dyDescent="0.25">
      <c r="A581" s="252">
        <v>589</v>
      </c>
      <c r="B581" s="398"/>
      <c r="C581" s="399"/>
      <c r="D581" s="400"/>
      <c r="E581" s="400"/>
      <c r="F581" s="401"/>
      <c r="G581" s="402"/>
      <c r="H581" s="403"/>
      <c r="I581" s="404"/>
      <c r="J581" s="405"/>
      <c r="K581" s="405"/>
      <c r="L581" s="405"/>
      <c r="M581" s="405"/>
      <c r="N581" s="406"/>
      <c r="O581" s="343">
        <v>0</v>
      </c>
      <c r="P581" s="169">
        <v>0</v>
      </c>
      <c r="Q581" s="169">
        <v>0</v>
      </c>
      <c r="R581" s="169">
        <v>0</v>
      </c>
      <c r="S581" s="169">
        <v>0</v>
      </c>
      <c r="T581" s="169">
        <v>0</v>
      </c>
      <c r="U581" s="169">
        <v>0</v>
      </c>
      <c r="V581" s="169">
        <v>0</v>
      </c>
      <c r="W581" s="169">
        <v>0</v>
      </c>
      <c r="X581" s="169">
        <v>0</v>
      </c>
      <c r="Y581" s="169">
        <v>0</v>
      </c>
      <c r="Z581" s="219">
        <v>0</v>
      </c>
      <c r="AA581" s="161">
        <f t="shared" si="28"/>
        <v>0</v>
      </c>
      <c r="AB581" s="408"/>
      <c r="AC581" s="409">
        <f t="shared" si="26"/>
        <v>0</v>
      </c>
      <c r="AD581" s="410"/>
      <c r="AE581" s="411"/>
      <c r="AF581" s="405"/>
      <c r="AG581" s="402"/>
      <c r="AH581" s="411"/>
      <c r="AI581" s="412"/>
      <c r="AJ581" s="413"/>
      <c r="AK581" s="414">
        <f t="shared" si="27"/>
        <v>0</v>
      </c>
      <c r="AL581" s="412"/>
      <c r="AM581" s="407"/>
      <c r="AN581" s="415"/>
      <c r="AO581" s="416"/>
    </row>
    <row r="582" spans="1:41" ht="28.15" hidden="1" customHeight="1" x14ac:dyDescent="0.25">
      <c r="A582" s="252">
        <v>590</v>
      </c>
      <c r="B582" s="398"/>
      <c r="C582" s="399"/>
      <c r="D582" s="400"/>
      <c r="E582" s="400"/>
      <c r="F582" s="401"/>
      <c r="G582" s="402"/>
      <c r="H582" s="403"/>
      <c r="I582" s="404"/>
      <c r="J582" s="405"/>
      <c r="K582" s="405"/>
      <c r="L582" s="405"/>
      <c r="M582" s="405"/>
      <c r="N582" s="406"/>
      <c r="O582" s="343">
        <v>0</v>
      </c>
      <c r="P582" s="169">
        <v>0</v>
      </c>
      <c r="Q582" s="169">
        <v>0</v>
      </c>
      <c r="R582" s="169">
        <v>0</v>
      </c>
      <c r="S582" s="169">
        <v>0</v>
      </c>
      <c r="T582" s="169">
        <v>0</v>
      </c>
      <c r="U582" s="169">
        <v>0</v>
      </c>
      <c r="V582" s="169">
        <v>0</v>
      </c>
      <c r="W582" s="169">
        <v>0</v>
      </c>
      <c r="X582" s="169">
        <v>0</v>
      </c>
      <c r="Y582" s="169">
        <v>0</v>
      </c>
      <c r="Z582" s="219">
        <v>0</v>
      </c>
      <c r="AA582" s="161">
        <f t="shared" si="28"/>
        <v>0</v>
      </c>
      <c r="AB582" s="408"/>
      <c r="AC582" s="409">
        <f t="shared" si="26"/>
        <v>0</v>
      </c>
      <c r="AD582" s="410"/>
      <c r="AE582" s="411"/>
      <c r="AF582" s="405"/>
      <c r="AG582" s="402"/>
      <c r="AH582" s="411"/>
      <c r="AI582" s="412"/>
      <c r="AJ582" s="413"/>
      <c r="AK582" s="414">
        <f t="shared" si="27"/>
        <v>0</v>
      </c>
      <c r="AL582" s="412"/>
      <c r="AM582" s="407"/>
      <c r="AN582" s="415"/>
      <c r="AO582" s="416"/>
    </row>
    <row r="583" spans="1:41" ht="28.15" hidden="1" customHeight="1" x14ac:dyDescent="0.25">
      <c r="A583" s="252">
        <v>591</v>
      </c>
      <c r="B583" s="398"/>
      <c r="C583" s="399"/>
      <c r="D583" s="400"/>
      <c r="E583" s="400"/>
      <c r="F583" s="401"/>
      <c r="G583" s="402"/>
      <c r="H583" s="403"/>
      <c r="I583" s="404"/>
      <c r="J583" s="405"/>
      <c r="K583" s="405"/>
      <c r="L583" s="405"/>
      <c r="M583" s="405"/>
      <c r="N583" s="406"/>
      <c r="O583" s="343">
        <v>0</v>
      </c>
      <c r="P583" s="169">
        <v>0</v>
      </c>
      <c r="Q583" s="169">
        <v>0</v>
      </c>
      <c r="R583" s="169">
        <v>0</v>
      </c>
      <c r="S583" s="169">
        <v>0</v>
      </c>
      <c r="T583" s="169">
        <v>0</v>
      </c>
      <c r="U583" s="169">
        <v>0</v>
      </c>
      <c r="V583" s="169">
        <v>0</v>
      </c>
      <c r="W583" s="169">
        <v>0</v>
      </c>
      <c r="X583" s="169">
        <v>0</v>
      </c>
      <c r="Y583" s="169">
        <v>0</v>
      </c>
      <c r="Z583" s="219">
        <v>0</v>
      </c>
      <c r="AA583" s="161">
        <f t="shared" si="28"/>
        <v>0</v>
      </c>
      <c r="AB583" s="408"/>
      <c r="AC583" s="409">
        <f>AA583-AB583</f>
        <v>0</v>
      </c>
      <c r="AD583" s="410"/>
      <c r="AE583" s="411"/>
      <c r="AF583" s="405"/>
      <c r="AG583" s="402"/>
      <c r="AH583" s="411"/>
      <c r="AI583" s="412"/>
      <c r="AJ583" s="413"/>
      <c r="AK583" s="414">
        <f t="shared" si="27"/>
        <v>0</v>
      </c>
      <c r="AL583" s="412"/>
      <c r="AM583" s="407"/>
      <c r="AN583" s="415"/>
      <c r="AO583" s="416"/>
    </row>
    <row r="584" spans="1:41" ht="28.15" hidden="1" customHeight="1" x14ac:dyDescent="0.25">
      <c r="A584" s="252">
        <v>592</v>
      </c>
      <c r="B584" s="398"/>
      <c r="C584" s="399"/>
      <c r="D584" s="400"/>
      <c r="E584" s="400"/>
      <c r="F584" s="401"/>
      <c r="G584" s="402"/>
      <c r="H584" s="403"/>
      <c r="I584" s="404"/>
      <c r="J584" s="405"/>
      <c r="K584" s="405"/>
      <c r="L584" s="405"/>
      <c r="M584" s="405"/>
      <c r="N584" s="406"/>
      <c r="O584" s="343">
        <v>0</v>
      </c>
      <c r="P584" s="169">
        <v>0</v>
      </c>
      <c r="Q584" s="169">
        <v>0</v>
      </c>
      <c r="R584" s="169">
        <v>0</v>
      </c>
      <c r="S584" s="169">
        <v>0</v>
      </c>
      <c r="T584" s="169">
        <v>0</v>
      </c>
      <c r="U584" s="169">
        <v>0</v>
      </c>
      <c r="V584" s="169">
        <v>0</v>
      </c>
      <c r="W584" s="169">
        <v>0</v>
      </c>
      <c r="X584" s="169">
        <v>0</v>
      </c>
      <c r="Y584" s="169">
        <v>0</v>
      </c>
      <c r="Z584" s="219">
        <v>0</v>
      </c>
      <c r="AA584" s="161">
        <f t="shared" si="28"/>
        <v>0</v>
      </c>
      <c r="AB584" s="408"/>
      <c r="AC584" s="409">
        <f>AA584-AB584</f>
        <v>0</v>
      </c>
      <c r="AD584" s="410"/>
      <c r="AE584" s="411"/>
      <c r="AF584" s="405"/>
      <c r="AG584" s="402"/>
      <c r="AH584" s="411"/>
      <c r="AI584" s="412"/>
      <c r="AJ584" s="413"/>
      <c r="AK584" s="414">
        <f t="shared" si="27"/>
        <v>0</v>
      </c>
      <c r="AL584" s="412"/>
      <c r="AM584" s="407"/>
      <c r="AN584" s="415"/>
      <c r="AO584" s="416"/>
    </row>
    <row r="585" spans="1:41" ht="28.15" hidden="1" customHeight="1" x14ac:dyDescent="0.25">
      <c r="A585" s="252">
        <v>593</v>
      </c>
      <c r="B585" s="398"/>
      <c r="C585" s="399"/>
      <c r="D585" s="400"/>
      <c r="E585" s="400"/>
      <c r="F585" s="401"/>
      <c r="G585" s="402"/>
      <c r="H585" s="403"/>
      <c r="I585" s="404"/>
      <c r="J585" s="405"/>
      <c r="K585" s="405"/>
      <c r="L585" s="405"/>
      <c r="M585" s="405"/>
      <c r="N585" s="406"/>
      <c r="O585" s="343">
        <v>0</v>
      </c>
      <c r="P585" s="169">
        <v>0</v>
      </c>
      <c r="Q585" s="169">
        <v>0</v>
      </c>
      <c r="R585" s="169">
        <v>0</v>
      </c>
      <c r="S585" s="169">
        <v>0</v>
      </c>
      <c r="T585" s="169">
        <v>0</v>
      </c>
      <c r="U585" s="169">
        <v>0</v>
      </c>
      <c r="V585" s="169">
        <v>0</v>
      </c>
      <c r="W585" s="169">
        <v>0</v>
      </c>
      <c r="X585" s="169">
        <v>0</v>
      </c>
      <c r="Y585" s="169">
        <v>0</v>
      </c>
      <c r="Z585" s="219">
        <v>0</v>
      </c>
      <c r="AA585" s="161">
        <f t="shared" si="28"/>
        <v>0</v>
      </c>
      <c r="AB585" s="408"/>
      <c r="AC585" s="409">
        <f>AA585-AB585</f>
        <v>0</v>
      </c>
      <c r="AD585" s="410"/>
      <c r="AE585" s="411"/>
      <c r="AF585" s="405"/>
      <c r="AG585" s="402"/>
      <c r="AH585" s="411"/>
      <c r="AI585" s="412"/>
      <c r="AJ585" s="413"/>
      <c r="AK585" s="414">
        <f t="shared" si="27"/>
        <v>0</v>
      </c>
      <c r="AL585" s="412"/>
      <c r="AM585" s="407"/>
      <c r="AN585" s="415"/>
      <c r="AO585" s="416"/>
    </row>
    <row r="586" spans="1:41" ht="18" hidden="1" x14ac:dyDescent="0.25">
      <c r="A586" s="252">
        <v>594</v>
      </c>
      <c r="B586" s="398"/>
      <c r="C586" s="399"/>
      <c r="D586" s="400"/>
      <c r="E586" s="400"/>
      <c r="F586" s="401"/>
      <c r="G586" s="402"/>
      <c r="H586" s="403"/>
      <c r="I586" s="404"/>
      <c r="J586" s="405"/>
      <c r="K586" s="405"/>
      <c r="L586" s="405"/>
      <c r="M586" s="405"/>
      <c r="N586" s="406"/>
      <c r="O586" s="343">
        <v>0</v>
      </c>
      <c r="P586" s="169">
        <v>0</v>
      </c>
      <c r="Q586" s="169">
        <v>0</v>
      </c>
      <c r="R586" s="169">
        <v>0</v>
      </c>
      <c r="S586" s="169">
        <v>0</v>
      </c>
      <c r="T586" s="169">
        <v>0</v>
      </c>
      <c r="U586" s="169">
        <v>0</v>
      </c>
      <c r="V586" s="169">
        <v>0</v>
      </c>
      <c r="W586" s="169">
        <v>0</v>
      </c>
      <c r="X586" s="169">
        <v>0</v>
      </c>
      <c r="Y586" s="169">
        <v>0</v>
      </c>
      <c r="Z586" s="219">
        <v>0</v>
      </c>
      <c r="AA586" s="161">
        <f t="shared" si="28"/>
        <v>0</v>
      </c>
      <c r="AB586" s="408"/>
      <c r="AC586" s="409">
        <f>AA586-AB586</f>
        <v>0</v>
      </c>
      <c r="AD586" s="410"/>
      <c r="AE586" s="411"/>
      <c r="AF586" s="405"/>
      <c r="AG586" s="402"/>
      <c r="AH586" s="411"/>
      <c r="AI586" s="412"/>
      <c r="AJ586" s="413"/>
      <c r="AK586" s="414">
        <f t="shared" si="27"/>
        <v>0</v>
      </c>
      <c r="AL586" s="412"/>
      <c r="AM586" s="407"/>
      <c r="AN586" s="415"/>
      <c r="AO586" s="416"/>
    </row>
    <row r="587" spans="1:41" ht="28.15" customHeight="1" x14ac:dyDescent="0.35">
      <c r="G587" s="91"/>
      <c r="H587" s="91"/>
      <c r="I587" s="91"/>
    </row>
    <row r="588" spans="1:41" ht="28.15" customHeight="1" x14ac:dyDescent="0.35">
      <c r="G588" s="91"/>
      <c r="H588" s="91"/>
      <c r="I588" s="91"/>
    </row>
    <row r="589" spans="1:41" ht="28.15" customHeight="1" x14ac:dyDescent="0.35">
      <c r="G589" s="91"/>
      <c r="H589" s="91"/>
      <c r="I589" s="91"/>
    </row>
    <row r="590" spans="1:41" ht="28.15" customHeight="1" x14ac:dyDescent="0.35">
      <c r="G590" s="91"/>
      <c r="H590" s="91"/>
      <c r="I590" s="91"/>
    </row>
    <row r="591" spans="1:41" ht="28.15" customHeight="1" x14ac:dyDescent="0.35">
      <c r="G591" s="91"/>
      <c r="H591" s="91"/>
      <c r="I591" s="91"/>
    </row>
    <row r="592" spans="1:41" ht="28.15" customHeight="1" x14ac:dyDescent="0.35">
      <c r="G592" s="91"/>
      <c r="H592" s="91"/>
      <c r="I592" s="91"/>
    </row>
  </sheetData>
  <sheetProtection formatCells="0" formatColumns="0" formatRows="0" insertColumns="0" insertRows="0" insertHyperlinks="0" deleteColumns="0" deleteRows="0" sort="0" autoFilter="0" pivotTables="0"/>
  <mergeCells count="6">
    <mergeCell ref="A2:Z3"/>
    <mergeCell ref="AA2:AC3"/>
    <mergeCell ref="AO2:AO3"/>
    <mergeCell ref="AD2:AI3"/>
    <mergeCell ref="AJ2:AL3"/>
    <mergeCell ref="AM2:AN3"/>
  </mergeCells>
  <phoneticPr fontId="3" type="noConversion"/>
  <conditionalFormatting sqref="O7:Z586">
    <cfRule type="cellIs" dxfId="105" priority="116" stopIfTrue="1" operator="equal">
      <formula>0</formula>
    </cfRule>
    <cfRule type="cellIs" dxfId="104" priority="142" stopIfTrue="1" operator="greaterThan">
      <formula>0</formula>
    </cfRule>
  </conditionalFormatting>
  <conditionalFormatting sqref="AB7:AB11 AB62:AB198">
    <cfRule type="cellIs" dxfId="103" priority="115" stopIfTrue="1" operator="equal">
      <formula>0</formula>
    </cfRule>
  </conditionalFormatting>
  <conditionalFormatting sqref="AK72 AK80:AK88 AK7:AK70 AK96:AK119 AK91:AK93 AK211:AK213 AK121:AK198">
    <cfRule type="cellIs" dxfId="102" priority="113" stopIfTrue="1" operator="greaterThan">
      <formula>0</formula>
    </cfRule>
    <cfRule type="cellIs" dxfId="101" priority="114" stopIfTrue="1" operator="equal">
      <formula>0</formula>
    </cfRule>
  </conditionalFormatting>
  <conditionalFormatting sqref="O12:O61">
    <cfRule type="cellIs" dxfId="100" priority="57" stopIfTrue="1" operator="equal">
      <formula>0</formula>
    </cfRule>
    <cfRule type="cellIs" dxfId="99" priority="58" stopIfTrue="1" operator="greaterThan">
      <formula>0</formula>
    </cfRule>
  </conditionalFormatting>
  <conditionalFormatting sqref="AB12:AB61">
    <cfRule type="cellIs" dxfId="98" priority="56" stopIfTrue="1" operator="equal">
      <formula>0</formula>
    </cfRule>
  </conditionalFormatting>
  <conditionalFormatting sqref="AK71">
    <cfRule type="cellIs" dxfId="97" priority="48" stopIfTrue="1" operator="greaterThan">
      <formula>0</formula>
    </cfRule>
    <cfRule type="cellIs" dxfId="96" priority="49" stopIfTrue="1" operator="equal">
      <formula>0</formula>
    </cfRule>
  </conditionalFormatting>
  <conditionalFormatting sqref="AK77">
    <cfRule type="cellIs" dxfId="95" priority="46" stopIfTrue="1" operator="greaterThan">
      <formula>0</formula>
    </cfRule>
    <cfRule type="cellIs" dxfId="94" priority="47" stopIfTrue="1" operator="equal">
      <formula>0</formula>
    </cfRule>
  </conditionalFormatting>
  <conditionalFormatting sqref="AK73:AK76">
    <cfRule type="cellIs" dxfId="93" priority="44" stopIfTrue="1" operator="greaterThan">
      <formula>0</formula>
    </cfRule>
    <cfRule type="cellIs" dxfId="92" priority="45" stopIfTrue="1" operator="equal">
      <formula>0</formula>
    </cfRule>
  </conditionalFormatting>
  <conditionalFormatting sqref="O199:Z199 P200:W201 S202:W204">
    <cfRule type="cellIs" dxfId="91" priority="40" stopIfTrue="1" operator="equal">
      <formula>0</formula>
    </cfRule>
    <cfRule type="cellIs" dxfId="90" priority="41" stopIfTrue="1" operator="greaterThan">
      <formula>0</formula>
    </cfRule>
  </conditionalFormatting>
  <conditionalFormatting sqref="O200:O201 X200:Z201 X202:Y204">
    <cfRule type="cellIs" dxfId="89" priority="38" stopIfTrue="1" operator="equal">
      <formula>0</formula>
    </cfRule>
    <cfRule type="cellIs" dxfId="88" priority="39" stopIfTrue="1" operator="greaterThan">
      <formula>0</formula>
    </cfRule>
  </conditionalFormatting>
  <conditionalFormatting sqref="AB199:AB201">
    <cfRule type="cellIs" dxfId="87" priority="37" stopIfTrue="1" operator="equal">
      <formula>0</formula>
    </cfRule>
  </conditionalFormatting>
  <conditionalFormatting sqref="P202:R204">
    <cfRule type="cellIs" dxfId="86" priority="35" stopIfTrue="1" operator="equal">
      <formula>0</formula>
    </cfRule>
    <cfRule type="cellIs" dxfId="85" priority="36" stopIfTrue="1" operator="greaterThan">
      <formula>0</formula>
    </cfRule>
  </conditionalFormatting>
  <conditionalFormatting sqref="Z202:Z204 O202:O204">
    <cfRule type="cellIs" dxfId="84" priority="33" stopIfTrue="1" operator="equal">
      <formula>0</formula>
    </cfRule>
    <cfRule type="cellIs" dxfId="83" priority="34" stopIfTrue="1" operator="greaterThan">
      <formula>0</formula>
    </cfRule>
  </conditionalFormatting>
  <conditionalFormatting sqref="S205:W214 U215:W221">
    <cfRule type="cellIs" dxfId="82" priority="31" stopIfTrue="1" operator="equal">
      <formula>0</formula>
    </cfRule>
    <cfRule type="cellIs" dxfId="81" priority="32" stopIfTrue="1" operator="greaterThan">
      <formula>0</formula>
    </cfRule>
  </conditionalFormatting>
  <conditionalFormatting sqref="X205:Y221">
    <cfRule type="cellIs" dxfId="80" priority="29" stopIfTrue="1" operator="equal">
      <formula>0</formula>
    </cfRule>
    <cfRule type="cellIs" dxfId="79" priority="30" stopIfTrue="1" operator="greaterThan">
      <formula>0</formula>
    </cfRule>
  </conditionalFormatting>
  <conditionalFormatting sqref="P205:R214 P215:T221 T222:U235 T236 Q222:Q236 P237:R246 U251:Z251">
    <cfRule type="cellIs" dxfId="78" priority="27" stopIfTrue="1" operator="equal">
      <formula>0</formula>
    </cfRule>
    <cfRule type="cellIs" dxfId="77" priority="28" stopIfTrue="1" operator="greaterThan">
      <formula>0</formula>
    </cfRule>
  </conditionalFormatting>
  <conditionalFormatting sqref="Z205:Z221 O205:O248">
    <cfRule type="cellIs" dxfId="76" priority="25" stopIfTrue="1" operator="equal">
      <formula>0</formula>
    </cfRule>
    <cfRule type="cellIs" dxfId="75" priority="26" stopIfTrue="1" operator="greaterThan">
      <formula>0</formula>
    </cfRule>
  </conditionalFormatting>
  <conditionalFormatting sqref="O249">
    <cfRule type="cellIs" dxfId="74" priority="17" stopIfTrue="1" operator="equal">
      <formula>0</formula>
    </cfRule>
    <cfRule type="cellIs" dxfId="73" priority="18" stopIfTrue="1" operator="greaterThan">
      <formula>0</formula>
    </cfRule>
  </conditionalFormatting>
  <conditionalFormatting sqref="O250">
    <cfRule type="cellIs" dxfId="72" priority="9" stopIfTrue="1" operator="equal">
      <formula>0</formula>
    </cfRule>
    <cfRule type="cellIs" dxfId="71" priority="10" stopIfTrue="1" operator="greaterThan">
      <formula>0</formula>
    </cfRule>
  </conditionalFormatting>
  <conditionalFormatting sqref="O251">
    <cfRule type="cellIs" dxfId="70" priority="7" stopIfTrue="1" operator="equal">
      <formula>0</formula>
    </cfRule>
    <cfRule type="cellIs" dxfId="69" priority="8" stopIfTrue="1" operator="greaterThan">
      <formula>0</formula>
    </cfRule>
  </conditionalFormatting>
  <conditionalFormatting sqref="O7:Z586">
    <cfRule type="cellIs" dxfId="68" priority="4" stopIfTrue="1" operator="greaterThan">
      <formula>0</formula>
    </cfRule>
  </conditionalFormatting>
  <conditionalFormatting sqref="R285:R286">
    <cfRule type="cellIs" dxfId="67" priority="1" stopIfTrue="1" operator="equal">
      <formula>0</formula>
    </cfRule>
    <cfRule type="cellIs" dxfId="66" priority="2" stopIfTrue="1" operator="greaterThan">
      <formula>0</formula>
    </cfRule>
  </conditionalFormatting>
  <hyperlinks>
    <hyperlink ref="H21" r:id="rId1"/>
  </hyperlinks>
  <printOptions horizontalCentered="1" verticalCentered="1"/>
  <pageMargins left="0.25" right="0.25" top="0.75" bottom="0.75" header="0.3" footer="0.3"/>
  <pageSetup paperSize="8" scale="36" orientation="portrait" useFirstPageNumber="1" horizontalDpi="300" verticalDpi="300" r:id="rId2"/>
  <headerFooter alignWithMargins="0">
    <oddFooter>&amp;CStrona &amp;P z &amp;N</oddFooter>
  </headerFooter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3"/>
  <dimension ref="A1:S603"/>
  <sheetViews>
    <sheetView zoomScaleNormal="100" workbookViewId="0">
      <selection activeCell="S135" sqref="S135"/>
    </sheetView>
  </sheetViews>
  <sheetFormatPr defaultColWidth="15.7265625" defaultRowHeight="12.5" x14ac:dyDescent="0.25"/>
  <cols>
    <col min="1" max="1" width="5.7265625" customWidth="1"/>
    <col min="5" max="5" width="25.26953125" customWidth="1"/>
    <col min="7" max="7" width="16.26953125" customWidth="1"/>
    <col min="8" max="8" width="19.7265625" customWidth="1"/>
    <col min="9" max="9" width="0" hidden="1" customWidth="1"/>
    <col min="10" max="10" width="15.7265625" hidden="1" customWidth="1"/>
    <col min="11" max="11" width="9.7265625" customWidth="1"/>
    <col min="12" max="12" width="15.453125" customWidth="1"/>
    <col min="14" max="14" width="34.453125" customWidth="1"/>
    <col min="15" max="15" width="17.1796875" bestFit="1" customWidth="1"/>
    <col min="17" max="17" width="52.81640625" customWidth="1"/>
    <col min="18" max="18" width="23.81640625" customWidth="1"/>
    <col min="19" max="19" width="52.26953125" customWidth="1"/>
  </cols>
  <sheetData>
    <row r="1" spans="1:19" ht="15.5" x14ac:dyDescent="0.35">
      <c r="A1" s="649" t="s">
        <v>54</v>
      </c>
      <c r="B1" s="649"/>
      <c r="C1" s="649"/>
      <c r="D1" s="649"/>
      <c r="E1" s="649"/>
      <c r="F1" s="649"/>
      <c r="G1" s="649"/>
      <c r="H1" s="649"/>
      <c r="I1" s="649"/>
      <c r="J1" s="649"/>
      <c r="K1" s="649"/>
      <c r="L1" s="649"/>
      <c r="M1" s="649"/>
      <c r="N1" s="649"/>
      <c r="O1" s="650" t="s">
        <v>55</v>
      </c>
      <c r="P1" s="650"/>
      <c r="Q1" s="650"/>
      <c r="R1" s="650"/>
      <c r="S1" s="650"/>
    </row>
    <row r="2" spans="1:19" ht="26" x14ac:dyDescent="0.25">
      <c r="A2" s="59" t="s">
        <v>14</v>
      </c>
      <c r="B2" s="59" t="s">
        <v>56</v>
      </c>
      <c r="C2" s="59" t="s">
        <v>22</v>
      </c>
      <c r="D2" s="59" t="s">
        <v>39</v>
      </c>
      <c r="E2" s="59" t="s">
        <v>64</v>
      </c>
      <c r="F2" s="59" t="s">
        <v>62</v>
      </c>
      <c r="G2" s="59" t="s">
        <v>67</v>
      </c>
      <c r="H2" s="59" t="s">
        <v>63</v>
      </c>
      <c r="I2" s="59" t="s">
        <v>61</v>
      </c>
      <c r="J2" s="59" t="s">
        <v>65</v>
      </c>
      <c r="K2" s="59" t="s">
        <v>40</v>
      </c>
      <c r="L2" s="59" t="s">
        <v>66</v>
      </c>
      <c r="M2" s="59" t="s">
        <v>57</v>
      </c>
      <c r="N2" s="59" t="s">
        <v>58</v>
      </c>
      <c r="O2" s="60" t="s">
        <v>18</v>
      </c>
      <c r="P2" s="60" t="s">
        <v>16</v>
      </c>
      <c r="Q2" s="60" t="s">
        <v>17</v>
      </c>
      <c r="R2" s="60" t="s">
        <v>59</v>
      </c>
      <c r="S2" s="60" t="s">
        <v>20</v>
      </c>
    </row>
    <row r="3" spans="1:19" ht="17" x14ac:dyDescent="0.25">
      <c r="A3" s="61"/>
      <c r="B3" s="61"/>
      <c r="C3" s="61"/>
      <c r="D3" s="62"/>
      <c r="E3" s="62"/>
      <c r="F3" s="63"/>
      <c r="G3" s="63"/>
      <c r="H3" s="64"/>
      <c r="I3" s="64"/>
      <c r="J3" s="65"/>
      <c r="K3" s="65"/>
      <c r="L3" s="65"/>
      <c r="M3" s="64"/>
      <c r="N3" s="66"/>
      <c r="O3" s="67"/>
      <c r="P3" s="68"/>
      <c r="Q3" s="68"/>
      <c r="R3" s="68"/>
      <c r="S3" s="69"/>
    </row>
    <row r="4" spans="1:19" x14ac:dyDescent="0.25">
      <c r="A4" s="70">
        <v>1</v>
      </c>
      <c r="B4" s="93"/>
      <c r="C4" s="92"/>
      <c r="D4" s="144"/>
      <c r="E4" s="144"/>
      <c r="F4" s="94"/>
      <c r="G4" s="94"/>
      <c r="H4" s="145"/>
      <c r="I4" s="94"/>
      <c r="J4" s="93"/>
      <c r="K4" s="93"/>
      <c r="L4" s="93"/>
      <c r="M4" s="94"/>
      <c r="N4" s="95"/>
      <c r="O4" s="146"/>
      <c r="P4" s="78"/>
      <c r="Q4" s="78"/>
      <c r="R4" s="77"/>
      <c r="S4" s="76"/>
    </row>
    <row r="5" spans="1:19" s="345" customFormat="1" ht="14.5" x14ac:dyDescent="0.25">
      <c r="A5" s="372">
        <v>2</v>
      </c>
      <c r="B5" s="373">
        <v>44903</v>
      </c>
      <c r="C5" s="373" t="s">
        <v>374</v>
      </c>
      <c r="D5" s="374" t="s">
        <v>373</v>
      </c>
      <c r="E5" s="374">
        <v>0</v>
      </c>
      <c r="F5" s="374">
        <v>400</v>
      </c>
      <c r="G5" s="374" t="s">
        <v>370</v>
      </c>
      <c r="H5" s="374" t="s">
        <v>370</v>
      </c>
      <c r="I5" s="374" t="s">
        <v>371</v>
      </c>
      <c r="J5" s="375"/>
      <c r="K5" s="375"/>
      <c r="L5" s="375"/>
      <c r="M5" s="374">
        <v>1</v>
      </c>
      <c r="N5" s="376" t="s">
        <v>375</v>
      </c>
      <c r="O5" s="368">
        <v>44966</v>
      </c>
      <c r="P5" s="369" t="s">
        <v>239</v>
      </c>
      <c r="Q5" s="367" t="s">
        <v>1415</v>
      </c>
      <c r="R5" s="370"/>
      <c r="S5" s="371" t="s">
        <v>1487</v>
      </c>
    </row>
    <row r="6" spans="1:19" s="345" customFormat="1" ht="14.5" x14ac:dyDescent="0.25">
      <c r="A6" s="372">
        <v>3</v>
      </c>
      <c r="B6" s="373">
        <v>44903</v>
      </c>
      <c r="C6" s="373" t="s">
        <v>374</v>
      </c>
      <c r="D6" s="374" t="s">
        <v>390</v>
      </c>
      <c r="E6" s="374"/>
      <c r="F6" s="374">
        <v>507</v>
      </c>
      <c r="G6" s="374"/>
      <c r="H6" s="374" t="s">
        <v>391</v>
      </c>
      <c r="I6" s="374" t="s">
        <v>371</v>
      </c>
      <c r="J6" s="375"/>
      <c r="K6" s="375"/>
      <c r="L6" s="375"/>
      <c r="M6" s="374">
        <v>2</v>
      </c>
      <c r="N6" s="376" t="s">
        <v>375</v>
      </c>
      <c r="O6" s="368">
        <v>44966</v>
      </c>
      <c r="P6" s="369" t="s">
        <v>239</v>
      </c>
      <c r="Q6" s="367" t="s">
        <v>1415</v>
      </c>
      <c r="R6" s="370"/>
      <c r="S6" s="344"/>
    </row>
    <row r="7" spans="1:19" s="345" customFormat="1" ht="14.5" x14ac:dyDescent="0.25">
      <c r="A7" s="372">
        <v>4</v>
      </c>
      <c r="B7" s="373">
        <v>44903</v>
      </c>
      <c r="C7" s="373" t="s">
        <v>374</v>
      </c>
      <c r="D7" s="374" t="s">
        <v>390</v>
      </c>
      <c r="E7" s="374"/>
      <c r="F7" s="374">
        <v>470</v>
      </c>
      <c r="G7" s="374"/>
      <c r="H7" s="374" t="s">
        <v>391</v>
      </c>
      <c r="I7" s="374" t="s">
        <v>371</v>
      </c>
      <c r="J7" s="375"/>
      <c r="K7" s="375"/>
      <c r="L7" s="375"/>
      <c r="M7" s="374">
        <v>1</v>
      </c>
      <c r="N7" s="376" t="s">
        <v>375</v>
      </c>
      <c r="O7" s="368">
        <v>44966</v>
      </c>
      <c r="P7" s="369" t="s">
        <v>239</v>
      </c>
      <c r="Q7" s="367" t="s">
        <v>1415</v>
      </c>
      <c r="R7" s="370"/>
      <c r="S7" s="344"/>
    </row>
    <row r="8" spans="1:19" s="345" customFormat="1" ht="14.5" x14ac:dyDescent="0.25">
      <c r="A8" s="372">
        <v>5</v>
      </c>
      <c r="B8" s="373">
        <v>44903</v>
      </c>
      <c r="C8" s="373" t="s">
        <v>374</v>
      </c>
      <c r="D8" s="374" t="s">
        <v>390</v>
      </c>
      <c r="E8" s="374"/>
      <c r="F8" s="374">
        <v>630</v>
      </c>
      <c r="G8" s="374"/>
      <c r="H8" s="374" t="s">
        <v>391</v>
      </c>
      <c r="I8" s="374" t="s">
        <v>371</v>
      </c>
      <c r="J8" s="375"/>
      <c r="K8" s="375"/>
      <c r="L8" s="375"/>
      <c r="M8" s="374">
        <v>2</v>
      </c>
      <c r="N8" s="376" t="s">
        <v>375</v>
      </c>
      <c r="O8" s="368">
        <v>44966</v>
      </c>
      <c r="P8" s="369" t="s">
        <v>239</v>
      </c>
      <c r="Q8" s="367" t="s">
        <v>1415</v>
      </c>
      <c r="R8" s="370"/>
      <c r="S8" s="344"/>
    </row>
    <row r="9" spans="1:19" s="345" customFormat="1" ht="14.5" x14ac:dyDescent="0.25">
      <c r="A9" s="372">
        <v>6</v>
      </c>
      <c r="B9" s="373">
        <v>44903</v>
      </c>
      <c r="C9" s="373" t="s">
        <v>374</v>
      </c>
      <c r="D9" s="374" t="s">
        <v>390</v>
      </c>
      <c r="E9" s="374"/>
      <c r="F9" s="374">
        <v>400</v>
      </c>
      <c r="G9" s="374"/>
      <c r="H9" s="374" t="s">
        <v>391</v>
      </c>
      <c r="I9" s="374" t="s">
        <v>371</v>
      </c>
      <c r="J9" s="375"/>
      <c r="K9" s="375"/>
      <c r="L9" s="375"/>
      <c r="M9" s="374">
        <v>3</v>
      </c>
      <c r="N9" s="376" t="s">
        <v>375</v>
      </c>
      <c r="O9" s="368">
        <v>44966</v>
      </c>
      <c r="P9" s="369" t="s">
        <v>239</v>
      </c>
      <c r="Q9" s="367" t="s">
        <v>1415</v>
      </c>
      <c r="R9" s="370"/>
      <c r="S9" s="344"/>
    </row>
    <row r="10" spans="1:19" s="345" customFormat="1" ht="14.5" x14ac:dyDescent="0.25">
      <c r="A10" s="372">
        <v>7</v>
      </c>
      <c r="B10" s="373">
        <v>44903</v>
      </c>
      <c r="C10" s="373" t="s">
        <v>374</v>
      </c>
      <c r="D10" s="374" t="s">
        <v>390</v>
      </c>
      <c r="E10" s="374"/>
      <c r="F10" s="374">
        <v>510</v>
      </c>
      <c r="G10" s="374"/>
      <c r="H10" s="374" t="s">
        <v>391</v>
      </c>
      <c r="I10" s="374" t="s">
        <v>371</v>
      </c>
      <c r="J10" s="375"/>
      <c r="K10" s="375"/>
      <c r="L10" s="375"/>
      <c r="M10" s="374">
        <v>2</v>
      </c>
      <c r="N10" s="376" t="s">
        <v>375</v>
      </c>
      <c r="O10" s="368">
        <v>44966</v>
      </c>
      <c r="P10" s="369" t="s">
        <v>239</v>
      </c>
      <c r="Q10" s="367" t="s">
        <v>1415</v>
      </c>
      <c r="R10" s="370"/>
      <c r="S10" s="344"/>
    </row>
    <row r="11" spans="1:19" s="345" customFormat="1" ht="14.5" x14ac:dyDescent="0.25">
      <c r="A11" s="372">
        <v>8</v>
      </c>
      <c r="B11" s="373">
        <v>44903</v>
      </c>
      <c r="C11" s="373" t="s">
        <v>374</v>
      </c>
      <c r="D11" s="374" t="s">
        <v>390</v>
      </c>
      <c r="E11" s="374"/>
      <c r="F11" s="374">
        <v>400</v>
      </c>
      <c r="G11" s="374"/>
      <c r="H11" s="374" t="s">
        <v>391</v>
      </c>
      <c r="I11" s="374" t="s">
        <v>371</v>
      </c>
      <c r="J11" s="375"/>
      <c r="K11" s="375"/>
      <c r="L11" s="375"/>
      <c r="M11" s="374">
        <v>6</v>
      </c>
      <c r="N11" s="376" t="s">
        <v>375</v>
      </c>
      <c r="O11" s="368">
        <v>44966</v>
      </c>
      <c r="P11" s="369" t="s">
        <v>239</v>
      </c>
      <c r="Q11" s="367" t="s">
        <v>1415</v>
      </c>
      <c r="R11" s="370"/>
      <c r="S11" s="344"/>
    </row>
    <row r="12" spans="1:19" s="345" customFormat="1" ht="14.5" x14ac:dyDescent="0.25">
      <c r="A12" s="372">
        <v>9</v>
      </c>
      <c r="B12" s="373">
        <v>44903</v>
      </c>
      <c r="C12" s="373" t="s">
        <v>374</v>
      </c>
      <c r="D12" s="374" t="s">
        <v>390</v>
      </c>
      <c r="E12" s="374"/>
      <c r="F12" s="374">
        <v>630</v>
      </c>
      <c r="G12" s="374"/>
      <c r="H12" s="374" t="s">
        <v>391</v>
      </c>
      <c r="I12" s="374" t="s">
        <v>371</v>
      </c>
      <c r="J12" s="375"/>
      <c r="K12" s="375"/>
      <c r="L12" s="375"/>
      <c r="M12" s="374">
        <v>6</v>
      </c>
      <c r="N12" s="376" t="s">
        <v>375</v>
      </c>
      <c r="O12" s="368">
        <v>44966</v>
      </c>
      <c r="P12" s="369" t="s">
        <v>239</v>
      </c>
      <c r="Q12" s="367" t="s">
        <v>1415</v>
      </c>
      <c r="R12" s="370"/>
      <c r="S12" s="344"/>
    </row>
    <row r="13" spans="1:19" s="345" customFormat="1" ht="14.5" x14ac:dyDescent="0.25">
      <c r="A13" s="372">
        <v>10</v>
      </c>
      <c r="B13" s="373">
        <v>44903</v>
      </c>
      <c r="C13" s="373" t="s">
        <v>374</v>
      </c>
      <c r="D13" s="374" t="s">
        <v>390</v>
      </c>
      <c r="E13" s="374"/>
      <c r="F13" s="374">
        <v>520</v>
      </c>
      <c r="G13" s="374"/>
      <c r="H13" s="374" t="s">
        <v>391</v>
      </c>
      <c r="I13" s="374" t="s">
        <v>371</v>
      </c>
      <c r="J13" s="375"/>
      <c r="K13" s="375"/>
      <c r="L13" s="375"/>
      <c r="M13" s="374">
        <v>4</v>
      </c>
      <c r="N13" s="376" t="s">
        <v>375</v>
      </c>
      <c r="O13" s="368">
        <v>44966</v>
      </c>
      <c r="P13" s="369" t="s">
        <v>239</v>
      </c>
      <c r="Q13" s="367" t="s">
        <v>1415</v>
      </c>
      <c r="R13" s="377"/>
      <c r="S13" s="346"/>
    </row>
    <row r="14" spans="1:19" s="345" customFormat="1" ht="14.5" x14ac:dyDescent="0.25">
      <c r="A14" s="372">
        <v>11</v>
      </c>
      <c r="B14" s="373">
        <v>44909</v>
      </c>
      <c r="C14" s="373" t="s">
        <v>374</v>
      </c>
      <c r="D14" s="374" t="s">
        <v>528</v>
      </c>
      <c r="E14" s="374"/>
      <c r="F14" s="374">
        <v>120</v>
      </c>
      <c r="G14" s="374"/>
      <c r="H14" s="374" t="s">
        <v>529</v>
      </c>
      <c r="I14" s="374" t="s">
        <v>371</v>
      </c>
      <c r="J14" s="375"/>
      <c r="K14" s="375"/>
      <c r="L14" s="375"/>
      <c r="M14" s="374">
        <v>2</v>
      </c>
      <c r="N14" s="376" t="s">
        <v>527</v>
      </c>
      <c r="O14" s="368">
        <v>44966</v>
      </c>
      <c r="P14" s="369" t="s">
        <v>239</v>
      </c>
      <c r="Q14" s="367" t="s">
        <v>1415</v>
      </c>
      <c r="R14" s="377"/>
      <c r="S14" s="346"/>
    </row>
    <row r="15" spans="1:19" s="345" customFormat="1" ht="14.5" x14ac:dyDescent="0.25">
      <c r="A15" s="372">
        <v>12</v>
      </c>
      <c r="B15" s="373">
        <v>44916</v>
      </c>
      <c r="C15" s="373" t="s">
        <v>308</v>
      </c>
      <c r="D15" s="374" t="s">
        <v>605</v>
      </c>
      <c r="E15" s="374"/>
      <c r="F15" s="374">
        <v>420</v>
      </c>
      <c r="G15" s="374"/>
      <c r="H15" s="374">
        <v>3842501574</v>
      </c>
      <c r="I15" s="374" t="s">
        <v>255</v>
      </c>
      <c r="J15" s="375"/>
      <c r="K15" s="375"/>
      <c r="L15" s="375"/>
      <c r="M15" s="374">
        <v>2</v>
      </c>
      <c r="N15" s="376" t="s">
        <v>606</v>
      </c>
      <c r="O15" s="368">
        <v>44966</v>
      </c>
      <c r="P15" s="369" t="s">
        <v>239</v>
      </c>
      <c r="Q15" s="367" t="s">
        <v>1415</v>
      </c>
      <c r="R15" s="377"/>
      <c r="S15" s="346"/>
    </row>
    <row r="16" spans="1:19" s="345" customFormat="1" ht="14.5" x14ac:dyDescent="0.25">
      <c r="A16" s="372">
        <v>13</v>
      </c>
      <c r="B16" s="373">
        <v>44916</v>
      </c>
      <c r="C16" s="373" t="s">
        <v>308</v>
      </c>
      <c r="D16" s="374" t="s">
        <v>605</v>
      </c>
      <c r="E16" s="374"/>
      <c r="F16" s="374">
        <v>546</v>
      </c>
      <c r="G16" s="374"/>
      <c r="H16" s="374">
        <v>3842501574</v>
      </c>
      <c r="I16" s="374" t="s">
        <v>255</v>
      </c>
      <c r="J16" s="375"/>
      <c r="K16" s="375"/>
      <c r="L16" s="375"/>
      <c r="M16" s="374">
        <v>2</v>
      </c>
      <c r="N16" s="376" t="s">
        <v>606</v>
      </c>
      <c r="O16" s="368">
        <v>44966</v>
      </c>
      <c r="P16" s="369" t="s">
        <v>239</v>
      </c>
      <c r="Q16" s="367" t="s">
        <v>1415</v>
      </c>
      <c r="R16" s="377"/>
      <c r="S16" s="346"/>
    </row>
    <row r="17" spans="1:19" s="345" customFormat="1" ht="14.5" x14ac:dyDescent="0.25">
      <c r="A17" s="372">
        <v>14</v>
      </c>
      <c r="B17" s="373">
        <v>44916</v>
      </c>
      <c r="C17" s="373" t="s">
        <v>308</v>
      </c>
      <c r="D17" s="374" t="s">
        <v>605</v>
      </c>
      <c r="E17" s="374"/>
      <c r="F17" s="374">
        <v>650</v>
      </c>
      <c r="G17" s="374"/>
      <c r="H17" s="374">
        <v>3842501574</v>
      </c>
      <c r="I17" s="374" t="s">
        <v>255</v>
      </c>
      <c r="J17" s="375"/>
      <c r="K17" s="375"/>
      <c r="L17" s="375"/>
      <c r="M17" s="374">
        <v>2</v>
      </c>
      <c r="N17" s="376" t="s">
        <v>606</v>
      </c>
      <c r="O17" s="368">
        <v>44966</v>
      </c>
      <c r="P17" s="369" t="s">
        <v>239</v>
      </c>
      <c r="Q17" s="367" t="s">
        <v>1415</v>
      </c>
      <c r="R17" s="377"/>
      <c r="S17" s="346"/>
    </row>
    <row r="18" spans="1:19" s="345" customFormat="1" ht="14.5" x14ac:dyDescent="0.25">
      <c r="A18" s="372">
        <v>15</v>
      </c>
      <c r="B18" s="373">
        <v>44916</v>
      </c>
      <c r="C18" s="373" t="s">
        <v>308</v>
      </c>
      <c r="D18" s="374" t="s">
        <v>605</v>
      </c>
      <c r="E18" s="374"/>
      <c r="F18" s="374">
        <v>986</v>
      </c>
      <c r="G18" s="374"/>
      <c r="H18" s="374">
        <v>3842501574</v>
      </c>
      <c r="I18" s="374" t="s">
        <v>255</v>
      </c>
      <c r="J18" s="375"/>
      <c r="K18" s="375"/>
      <c r="L18" s="375"/>
      <c r="M18" s="374">
        <v>2</v>
      </c>
      <c r="N18" s="376" t="s">
        <v>606</v>
      </c>
      <c r="O18" s="368">
        <v>44966</v>
      </c>
      <c r="P18" s="369" t="s">
        <v>239</v>
      </c>
      <c r="Q18" s="367" t="s">
        <v>1415</v>
      </c>
      <c r="R18" s="377"/>
      <c r="S18" s="346"/>
    </row>
    <row r="19" spans="1:19" s="345" customFormat="1" ht="14.5" x14ac:dyDescent="0.25">
      <c r="A19" s="372">
        <v>16</v>
      </c>
      <c r="B19" s="373">
        <v>44916</v>
      </c>
      <c r="C19" s="373" t="s">
        <v>308</v>
      </c>
      <c r="D19" s="374" t="s">
        <v>390</v>
      </c>
      <c r="E19" s="374"/>
      <c r="F19" s="374">
        <v>720</v>
      </c>
      <c r="G19" s="374"/>
      <c r="H19" s="374" t="s">
        <v>391</v>
      </c>
      <c r="I19" s="374" t="s">
        <v>255</v>
      </c>
      <c r="J19" s="375"/>
      <c r="K19" s="375"/>
      <c r="L19" s="375"/>
      <c r="M19" s="374">
        <v>4</v>
      </c>
      <c r="N19" s="376" t="s">
        <v>606</v>
      </c>
      <c r="O19" s="368">
        <v>44966</v>
      </c>
      <c r="P19" s="369" t="s">
        <v>239</v>
      </c>
      <c r="Q19" s="367" t="s">
        <v>1415</v>
      </c>
      <c r="R19" s="377"/>
      <c r="S19" s="346"/>
    </row>
    <row r="20" spans="1:19" s="345" customFormat="1" ht="14.5" x14ac:dyDescent="0.25">
      <c r="A20" s="372">
        <v>17</v>
      </c>
      <c r="B20" s="373">
        <v>44916</v>
      </c>
      <c r="C20" s="373" t="s">
        <v>308</v>
      </c>
      <c r="D20" s="374" t="s">
        <v>390</v>
      </c>
      <c r="E20" s="374"/>
      <c r="F20" s="374">
        <v>109</v>
      </c>
      <c r="G20" s="374"/>
      <c r="H20" s="374" t="s">
        <v>391</v>
      </c>
      <c r="I20" s="374" t="s">
        <v>255</v>
      </c>
      <c r="J20" s="375"/>
      <c r="K20" s="375"/>
      <c r="L20" s="375"/>
      <c r="M20" s="374">
        <v>2</v>
      </c>
      <c r="N20" s="376" t="s">
        <v>606</v>
      </c>
      <c r="O20" s="368">
        <v>44966</v>
      </c>
      <c r="P20" s="369" t="s">
        <v>239</v>
      </c>
      <c r="Q20" s="367" t="s">
        <v>1415</v>
      </c>
      <c r="R20" s="377"/>
      <c r="S20" s="346"/>
    </row>
    <row r="21" spans="1:19" s="345" customFormat="1" ht="14.5" x14ac:dyDescent="0.25">
      <c r="A21" s="372">
        <v>18</v>
      </c>
      <c r="B21" s="373">
        <v>44916</v>
      </c>
      <c r="C21" s="373" t="s">
        <v>308</v>
      </c>
      <c r="D21" s="374" t="s">
        <v>390</v>
      </c>
      <c r="E21" s="374"/>
      <c r="F21" s="374">
        <v>1416</v>
      </c>
      <c r="G21" s="374"/>
      <c r="H21" s="374" t="s">
        <v>391</v>
      </c>
      <c r="I21" s="374" t="s">
        <v>255</v>
      </c>
      <c r="J21" s="375"/>
      <c r="K21" s="375"/>
      <c r="L21" s="375"/>
      <c r="M21" s="374">
        <v>4</v>
      </c>
      <c r="N21" s="376" t="s">
        <v>606</v>
      </c>
      <c r="O21" s="368">
        <v>44966</v>
      </c>
      <c r="P21" s="369" t="s">
        <v>239</v>
      </c>
      <c r="Q21" s="367" t="s">
        <v>1415</v>
      </c>
      <c r="R21" s="377"/>
      <c r="S21" s="346"/>
    </row>
    <row r="22" spans="1:19" s="345" customFormat="1" ht="14.5" x14ac:dyDescent="0.25">
      <c r="A22" s="372">
        <v>19</v>
      </c>
      <c r="B22" s="373">
        <v>44916</v>
      </c>
      <c r="C22" s="373" t="s">
        <v>308</v>
      </c>
      <c r="D22" s="374" t="s">
        <v>390</v>
      </c>
      <c r="E22" s="374"/>
      <c r="F22" s="374">
        <v>350</v>
      </c>
      <c r="G22" s="374"/>
      <c r="H22" s="374" t="s">
        <v>391</v>
      </c>
      <c r="I22" s="374" t="s">
        <v>255</v>
      </c>
      <c r="J22" s="375"/>
      <c r="K22" s="375"/>
      <c r="L22" s="375"/>
      <c r="M22" s="374">
        <v>4</v>
      </c>
      <c r="N22" s="376" t="s">
        <v>606</v>
      </c>
      <c r="O22" s="368">
        <v>44966</v>
      </c>
      <c r="P22" s="369" t="s">
        <v>239</v>
      </c>
      <c r="Q22" s="367" t="s">
        <v>1415</v>
      </c>
      <c r="R22" s="377"/>
      <c r="S22" s="346"/>
    </row>
    <row r="23" spans="1:19" s="345" customFormat="1" ht="14.5" x14ac:dyDescent="0.25">
      <c r="A23" s="372">
        <v>20</v>
      </c>
      <c r="B23" s="373">
        <v>44924</v>
      </c>
      <c r="C23" s="373" t="s">
        <v>617</v>
      </c>
      <c r="D23" s="378" t="s">
        <v>528</v>
      </c>
      <c r="E23" s="378"/>
      <c r="F23" s="378">
        <v>423</v>
      </c>
      <c r="G23" s="378"/>
      <c r="H23" s="378" t="s">
        <v>655</v>
      </c>
      <c r="I23" s="374" t="s">
        <v>255</v>
      </c>
      <c r="J23" s="378"/>
      <c r="K23" s="378"/>
      <c r="L23" s="378"/>
      <c r="M23" s="378">
        <v>6</v>
      </c>
      <c r="N23" s="376" t="s">
        <v>656</v>
      </c>
      <c r="O23" s="368">
        <v>44966</v>
      </c>
      <c r="P23" s="369" t="s">
        <v>239</v>
      </c>
      <c r="Q23" s="367" t="s">
        <v>1415</v>
      </c>
      <c r="R23" s="377"/>
      <c r="S23" s="346"/>
    </row>
    <row r="24" spans="1:19" s="345" customFormat="1" ht="14.5" x14ac:dyDescent="0.25">
      <c r="A24" s="372">
        <v>21</v>
      </c>
      <c r="B24" s="373">
        <v>44924</v>
      </c>
      <c r="C24" s="373" t="s">
        <v>617</v>
      </c>
      <c r="D24" s="378" t="s">
        <v>528</v>
      </c>
      <c r="E24" s="378"/>
      <c r="F24" s="378">
        <v>1320</v>
      </c>
      <c r="G24" s="378"/>
      <c r="H24" s="378" t="s">
        <v>655</v>
      </c>
      <c r="I24" s="374" t="s">
        <v>255</v>
      </c>
      <c r="J24" s="378"/>
      <c r="K24" s="378"/>
      <c r="L24" s="378"/>
      <c r="M24" s="378">
        <v>4</v>
      </c>
      <c r="N24" s="376" t="s">
        <v>656</v>
      </c>
      <c r="O24" s="368">
        <v>44966</v>
      </c>
      <c r="P24" s="369" t="s">
        <v>239</v>
      </c>
      <c r="Q24" s="367" t="s">
        <v>1415</v>
      </c>
      <c r="R24" s="377"/>
      <c r="S24" s="346"/>
    </row>
    <row r="25" spans="1:19" s="345" customFormat="1" ht="17" x14ac:dyDescent="0.25">
      <c r="A25" s="372">
        <v>22</v>
      </c>
      <c r="B25" s="373">
        <v>44924</v>
      </c>
      <c r="C25" s="373" t="s">
        <v>617</v>
      </c>
      <c r="D25" s="378" t="s">
        <v>528</v>
      </c>
      <c r="E25" s="593" t="s">
        <v>1591</v>
      </c>
      <c r="F25" s="378">
        <v>423</v>
      </c>
      <c r="G25" s="379"/>
      <c r="H25" s="378" t="s">
        <v>655</v>
      </c>
      <c r="I25" s="374" t="s">
        <v>255</v>
      </c>
      <c r="J25" s="378"/>
      <c r="K25" s="378"/>
      <c r="L25" s="378"/>
      <c r="M25" s="378">
        <v>3</v>
      </c>
      <c r="N25" s="376" t="s">
        <v>657</v>
      </c>
      <c r="O25" s="368">
        <v>44966</v>
      </c>
      <c r="P25" s="369" t="s">
        <v>239</v>
      </c>
      <c r="Q25" s="367" t="s">
        <v>1415</v>
      </c>
      <c r="R25" s="377"/>
      <c r="S25" s="346"/>
    </row>
    <row r="26" spans="1:19" s="345" customFormat="1" ht="14.5" x14ac:dyDescent="0.25">
      <c r="A26" s="372">
        <v>23</v>
      </c>
      <c r="B26" s="373">
        <v>44924</v>
      </c>
      <c r="C26" s="373" t="s">
        <v>617</v>
      </c>
      <c r="D26" s="378" t="s">
        <v>528</v>
      </c>
      <c r="E26" s="378"/>
      <c r="F26" s="378">
        <v>1320</v>
      </c>
      <c r="G26" s="378"/>
      <c r="H26" s="378" t="s">
        <v>655</v>
      </c>
      <c r="I26" s="374" t="s">
        <v>255</v>
      </c>
      <c r="J26" s="378"/>
      <c r="K26" s="378"/>
      <c r="L26" s="378"/>
      <c r="M26" s="378">
        <v>2</v>
      </c>
      <c r="N26" s="376" t="s">
        <v>657</v>
      </c>
      <c r="O26" s="368">
        <v>44966</v>
      </c>
      <c r="P26" s="369" t="s">
        <v>239</v>
      </c>
      <c r="Q26" s="367" t="s">
        <v>1415</v>
      </c>
      <c r="R26" s="377"/>
      <c r="S26" s="346"/>
    </row>
    <row r="27" spans="1:19" s="345" customFormat="1" ht="14.5" x14ac:dyDescent="0.25">
      <c r="A27" s="372">
        <v>24</v>
      </c>
      <c r="B27" s="373">
        <v>44924</v>
      </c>
      <c r="C27" s="373" t="s">
        <v>617</v>
      </c>
      <c r="D27" s="378" t="s">
        <v>390</v>
      </c>
      <c r="E27" s="378" t="s">
        <v>1592</v>
      </c>
      <c r="F27" s="378">
        <v>280</v>
      </c>
      <c r="G27" s="378" t="s">
        <v>391</v>
      </c>
      <c r="H27" s="374" t="s">
        <v>391</v>
      </c>
      <c r="I27" s="378" t="s">
        <v>255</v>
      </c>
      <c r="J27" s="378"/>
      <c r="K27" s="378"/>
      <c r="L27" s="378"/>
      <c r="M27" s="378">
        <v>4</v>
      </c>
      <c r="N27" s="376" t="s">
        <v>663</v>
      </c>
      <c r="O27" s="368">
        <v>44966</v>
      </c>
      <c r="P27" s="369" t="s">
        <v>239</v>
      </c>
      <c r="Q27" s="367" t="s">
        <v>1415</v>
      </c>
      <c r="R27" s="377"/>
      <c r="S27" s="346"/>
    </row>
    <row r="28" spans="1:19" s="345" customFormat="1" ht="14.5" x14ac:dyDescent="0.25">
      <c r="A28" s="372">
        <v>25</v>
      </c>
      <c r="B28" s="380">
        <v>44924</v>
      </c>
      <c r="C28" s="380" t="s">
        <v>617</v>
      </c>
      <c r="D28" s="378" t="s">
        <v>390</v>
      </c>
      <c r="E28" s="378"/>
      <c r="F28" s="378">
        <v>620</v>
      </c>
      <c r="G28" s="378" t="s">
        <v>391</v>
      </c>
      <c r="H28" s="374" t="s">
        <v>391</v>
      </c>
      <c r="I28" s="378" t="s">
        <v>255</v>
      </c>
      <c r="J28" s="378"/>
      <c r="K28" s="378"/>
      <c r="L28" s="378"/>
      <c r="M28" s="378">
        <v>2</v>
      </c>
      <c r="N28" s="381" t="s">
        <v>663</v>
      </c>
      <c r="O28" s="368">
        <v>44966</v>
      </c>
      <c r="P28" s="369" t="s">
        <v>239</v>
      </c>
      <c r="Q28" s="367" t="s">
        <v>1415</v>
      </c>
      <c r="R28" s="377"/>
      <c r="S28" s="346"/>
    </row>
    <row r="29" spans="1:19" s="345" customFormat="1" ht="17" x14ac:dyDescent="0.25">
      <c r="A29" s="372">
        <v>26</v>
      </c>
      <c r="B29" s="380">
        <v>44924</v>
      </c>
      <c r="C29" s="380" t="s">
        <v>617</v>
      </c>
      <c r="D29" s="382" t="s">
        <v>390</v>
      </c>
      <c r="E29" s="378" t="s">
        <v>1592</v>
      </c>
      <c r="F29" s="378">
        <v>880</v>
      </c>
      <c r="G29" s="379"/>
      <c r="H29" s="378" t="s">
        <v>391</v>
      </c>
      <c r="I29" s="378" t="s">
        <v>255</v>
      </c>
      <c r="J29" s="378"/>
      <c r="K29" s="378"/>
      <c r="L29" s="378"/>
      <c r="M29" s="378">
        <v>4</v>
      </c>
      <c r="N29" s="376" t="s">
        <v>663</v>
      </c>
      <c r="O29" s="368">
        <v>44966</v>
      </c>
      <c r="P29" s="369" t="s">
        <v>239</v>
      </c>
      <c r="Q29" s="367" t="s">
        <v>1415</v>
      </c>
      <c r="R29" s="377"/>
      <c r="S29" s="346"/>
    </row>
    <row r="30" spans="1:19" s="345" customFormat="1" ht="17" x14ac:dyDescent="0.25">
      <c r="A30" s="372">
        <v>27</v>
      </c>
      <c r="B30" s="380">
        <v>44924</v>
      </c>
      <c r="C30" s="380" t="s">
        <v>617</v>
      </c>
      <c r="D30" s="382" t="s">
        <v>390</v>
      </c>
      <c r="E30" s="378"/>
      <c r="F30" s="378">
        <v>620</v>
      </c>
      <c r="G30" s="379"/>
      <c r="H30" s="378" t="s">
        <v>391</v>
      </c>
      <c r="I30" s="378" t="s">
        <v>255</v>
      </c>
      <c r="J30" s="378"/>
      <c r="K30" s="378"/>
      <c r="L30" s="378"/>
      <c r="M30" s="378">
        <v>6</v>
      </c>
      <c r="N30" s="376" t="s">
        <v>663</v>
      </c>
      <c r="O30" s="368">
        <v>44966</v>
      </c>
      <c r="P30" s="369" t="s">
        <v>239</v>
      </c>
      <c r="Q30" s="367" t="s">
        <v>1415</v>
      </c>
      <c r="R30" s="377"/>
      <c r="S30" s="346"/>
    </row>
    <row r="31" spans="1:19" s="345" customFormat="1" ht="17" x14ac:dyDescent="0.25">
      <c r="A31" s="372">
        <v>28</v>
      </c>
      <c r="B31" s="380">
        <v>44924</v>
      </c>
      <c r="C31" s="380" t="s">
        <v>617</v>
      </c>
      <c r="D31" s="382" t="s">
        <v>390</v>
      </c>
      <c r="E31" s="378"/>
      <c r="F31" s="378">
        <v>680</v>
      </c>
      <c r="G31" s="379"/>
      <c r="H31" s="378" t="s">
        <v>391</v>
      </c>
      <c r="I31" s="378" t="s">
        <v>255</v>
      </c>
      <c r="J31" s="378"/>
      <c r="K31" s="378"/>
      <c r="L31" s="378"/>
      <c r="M31" s="378">
        <v>8</v>
      </c>
      <c r="N31" s="376" t="s">
        <v>663</v>
      </c>
      <c r="O31" s="368">
        <v>44966</v>
      </c>
      <c r="P31" s="369" t="s">
        <v>239</v>
      </c>
      <c r="Q31" s="367" t="s">
        <v>1415</v>
      </c>
      <c r="R31" s="377"/>
      <c r="S31" s="346"/>
    </row>
    <row r="32" spans="1:19" s="345" customFormat="1" ht="17" x14ac:dyDescent="0.25">
      <c r="A32" s="372">
        <v>29</v>
      </c>
      <c r="B32" s="380">
        <v>44924</v>
      </c>
      <c r="C32" s="380" t="s">
        <v>617</v>
      </c>
      <c r="D32" s="382" t="s">
        <v>390</v>
      </c>
      <c r="E32" s="378"/>
      <c r="F32" s="378">
        <v>1500</v>
      </c>
      <c r="G32" s="379"/>
      <c r="H32" s="378" t="s">
        <v>391</v>
      </c>
      <c r="I32" s="378" t="s">
        <v>255</v>
      </c>
      <c r="J32" s="378"/>
      <c r="K32" s="378"/>
      <c r="L32" s="378"/>
      <c r="M32" s="378">
        <v>4</v>
      </c>
      <c r="N32" s="376" t="s">
        <v>663</v>
      </c>
      <c r="O32" s="368">
        <v>44966</v>
      </c>
      <c r="P32" s="369" t="s">
        <v>239</v>
      </c>
      <c r="Q32" s="367" t="s">
        <v>1415</v>
      </c>
      <c r="R32" s="377"/>
      <c r="S32" s="346"/>
    </row>
    <row r="33" spans="1:19" s="345" customFormat="1" ht="14.5" x14ac:dyDescent="0.25">
      <c r="A33" s="372">
        <v>30</v>
      </c>
      <c r="B33" s="380">
        <v>44924</v>
      </c>
      <c r="C33" s="380" t="s">
        <v>617</v>
      </c>
      <c r="D33" s="382" t="s">
        <v>390</v>
      </c>
      <c r="E33" s="383" t="s">
        <v>1592</v>
      </c>
      <c r="F33" s="374">
        <v>804</v>
      </c>
      <c r="G33" s="374"/>
      <c r="H33" s="378" t="s">
        <v>391</v>
      </c>
      <c r="I33" s="378" t="s">
        <v>255</v>
      </c>
      <c r="J33" s="375"/>
      <c r="K33" s="375"/>
      <c r="L33" s="375"/>
      <c r="M33" s="374">
        <v>4</v>
      </c>
      <c r="N33" s="376" t="s">
        <v>663</v>
      </c>
      <c r="O33" s="368">
        <v>44966</v>
      </c>
      <c r="P33" s="369" t="s">
        <v>239</v>
      </c>
      <c r="Q33" s="367" t="s">
        <v>1415</v>
      </c>
      <c r="R33" s="377"/>
      <c r="S33" s="346" t="s">
        <v>664</v>
      </c>
    </row>
    <row r="34" spans="1:19" s="345" customFormat="1" ht="14.5" x14ac:dyDescent="0.25">
      <c r="A34" s="372">
        <v>31</v>
      </c>
      <c r="B34" s="380">
        <v>44924</v>
      </c>
      <c r="C34" s="380" t="s">
        <v>617</v>
      </c>
      <c r="D34" s="382" t="s">
        <v>390</v>
      </c>
      <c r="E34" s="383" t="s">
        <v>1592</v>
      </c>
      <c r="F34" s="374">
        <v>562</v>
      </c>
      <c r="G34" s="374"/>
      <c r="H34" s="378" t="s">
        <v>391</v>
      </c>
      <c r="I34" s="378" t="s">
        <v>255</v>
      </c>
      <c r="J34" s="375"/>
      <c r="K34" s="375"/>
      <c r="L34" s="375"/>
      <c r="M34" s="374">
        <v>4</v>
      </c>
      <c r="N34" s="376" t="s">
        <v>663</v>
      </c>
      <c r="O34" s="368">
        <v>44966</v>
      </c>
      <c r="P34" s="369" t="s">
        <v>239</v>
      </c>
      <c r="Q34" s="367" t="s">
        <v>1415</v>
      </c>
      <c r="R34" s="377"/>
      <c r="S34" s="346"/>
    </row>
    <row r="35" spans="1:19" s="345" customFormat="1" ht="14.5" x14ac:dyDescent="0.25">
      <c r="A35" s="372">
        <v>32</v>
      </c>
      <c r="B35" s="373">
        <v>44924</v>
      </c>
      <c r="C35" s="373" t="s">
        <v>617</v>
      </c>
      <c r="D35" s="382" t="s">
        <v>390</v>
      </c>
      <c r="E35" s="383" t="s">
        <v>1592</v>
      </c>
      <c r="F35" s="374">
        <v>600</v>
      </c>
      <c r="G35" s="374"/>
      <c r="H35" s="378" t="s">
        <v>391</v>
      </c>
      <c r="I35" s="378" t="s">
        <v>255</v>
      </c>
      <c r="J35" s="375"/>
      <c r="K35" s="375"/>
      <c r="L35" s="375"/>
      <c r="M35" s="374">
        <v>4</v>
      </c>
      <c r="N35" s="376" t="s">
        <v>663</v>
      </c>
      <c r="O35" s="368">
        <v>44966</v>
      </c>
      <c r="P35" s="369" t="s">
        <v>239</v>
      </c>
      <c r="Q35" s="367" t="s">
        <v>1415</v>
      </c>
      <c r="R35" s="377"/>
      <c r="S35" s="346"/>
    </row>
    <row r="36" spans="1:19" s="345" customFormat="1" ht="17" x14ac:dyDescent="0.25">
      <c r="A36" s="372">
        <v>33</v>
      </c>
      <c r="B36" s="373">
        <v>44924</v>
      </c>
      <c r="C36" s="373" t="s">
        <v>617</v>
      </c>
      <c r="D36" s="382" t="s">
        <v>390</v>
      </c>
      <c r="E36" s="378"/>
      <c r="F36" s="378">
        <v>80</v>
      </c>
      <c r="G36" s="379"/>
      <c r="H36" s="378" t="s">
        <v>391</v>
      </c>
      <c r="I36" s="378" t="s">
        <v>255</v>
      </c>
      <c r="J36" s="378"/>
      <c r="K36" s="378"/>
      <c r="L36" s="378"/>
      <c r="M36" s="378">
        <v>4</v>
      </c>
      <c r="N36" s="376" t="s">
        <v>663</v>
      </c>
      <c r="O36" s="368">
        <v>44966</v>
      </c>
      <c r="P36" s="369" t="s">
        <v>239</v>
      </c>
      <c r="Q36" s="367" t="s">
        <v>1415</v>
      </c>
      <c r="R36" s="377"/>
      <c r="S36" s="346"/>
    </row>
    <row r="37" spans="1:19" s="345" customFormat="1" ht="17" x14ac:dyDescent="0.25">
      <c r="A37" s="372">
        <v>34</v>
      </c>
      <c r="B37" s="373">
        <v>44924</v>
      </c>
      <c r="C37" s="373" t="s">
        <v>617</v>
      </c>
      <c r="D37" s="382" t="s">
        <v>390</v>
      </c>
      <c r="E37" s="378"/>
      <c r="F37" s="378">
        <v>620</v>
      </c>
      <c r="G37" s="379"/>
      <c r="H37" s="378" t="s">
        <v>391</v>
      </c>
      <c r="I37" s="378" t="s">
        <v>255</v>
      </c>
      <c r="J37" s="378"/>
      <c r="K37" s="378"/>
      <c r="L37" s="378"/>
      <c r="M37" s="378">
        <v>2</v>
      </c>
      <c r="N37" s="376" t="s">
        <v>663</v>
      </c>
      <c r="O37" s="368">
        <v>44966</v>
      </c>
      <c r="P37" s="369" t="s">
        <v>239</v>
      </c>
      <c r="Q37" s="367" t="s">
        <v>1415</v>
      </c>
      <c r="R37" s="377"/>
      <c r="S37" s="346"/>
    </row>
    <row r="38" spans="1:19" s="345" customFormat="1" ht="17" x14ac:dyDescent="0.25">
      <c r="A38" s="372">
        <v>35</v>
      </c>
      <c r="B38" s="373">
        <v>44928</v>
      </c>
      <c r="C38" s="373" t="s">
        <v>617</v>
      </c>
      <c r="D38" s="382" t="s">
        <v>390</v>
      </c>
      <c r="E38" s="378"/>
      <c r="F38" s="378">
        <v>473</v>
      </c>
      <c r="G38" s="379"/>
      <c r="H38" s="378" t="s">
        <v>391</v>
      </c>
      <c r="I38" s="378" t="s">
        <v>255</v>
      </c>
      <c r="J38" s="378"/>
      <c r="K38" s="378"/>
      <c r="L38" s="378"/>
      <c r="M38" s="378">
        <v>1</v>
      </c>
      <c r="N38" s="376" t="s">
        <v>709</v>
      </c>
      <c r="O38" s="368">
        <v>44966</v>
      </c>
      <c r="P38" s="369" t="s">
        <v>239</v>
      </c>
      <c r="Q38" s="367" t="s">
        <v>1415</v>
      </c>
      <c r="R38" s="377"/>
      <c r="S38" s="347"/>
    </row>
    <row r="39" spans="1:19" s="345" customFormat="1" ht="17" x14ac:dyDescent="0.25">
      <c r="A39" s="372">
        <v>36</v>
      </c>
      <c r="B39" s="373">
        <v>44928</v>
      </c>
      <c r="C39" s="373" t="s">
        <v>617</v>
      </c>
      <c r="D39" s="382" t="s">
        <v>390</v>
      </c>
      <c r="E39" s="378" t="s">
        <v>1591</v>
      </c>
      <c r="F39" s="378">
        <v>473</v>
      </c>
      <c r="G39" s="379"/>
      <c r="H39" s="378" t="s">
        <v>391</v>
      </c>
      <c r="I39" s="378" t="s">
        <v>255</v>
      </c>
      <c r="J39" s="378"/>
      <c r="K39" s="378"/>
      <c r="L39" s="378"/>
      <c r="M39" s="378">
        <v>3</v>
      </c>
      <c r="N39" s="376" t="s">
        <v>709</v>
      </c>
      <c r="O39" s="368">
        <v>44966</v>
      </c>
      <c r="P39" s="369" t="s">
        <v>239</v>
      </c>
      <c r="Q39" s="367" t="s">
        <v>1415</v>
      </c>
      <c r="R39" s="377"/>
      <c r="S39" s="346" t="s">
        <v>710</v>
      </c>
    </row>
    <row r="40" spans="1:19" s="345" customFormat="1" ht="17" x14ac:dyDescent="0.25">
      <c r="A40" s="372">
        <v>37</v>
      </c>
      <c r="B40" s="373">
        <v>44928</v>
      </c>
      <c r="C40" s="373" t="s">
        <v>617</v>
      </c>
      <c r="D40" s="382" t="s">
        <v>390</v>
      </c>
      <c r="E40" s="378" t="s">
        <v>1590</v>
      </c>
      <c r="F40" s="378">
        <v>833</v>
      </c>
      <c r="G40" s="379"/>
      <c r="H40" s="378" t="s">
        <v>391</v>
      </c>
      <c r="I40" s="378" t="s">
        <v>255</v>
      </c>
      <c r="J40" s="378"/>
      <c r="K40" s="378"/>
      <c r="L40" s="378"/>
      <c r="M40" s="378">
        <v>2</v>
      </c>
      <c r="N40" s="376" t="s">
        <v>709</v>
      </c>
      <c r="O40" s="368">
        <v>44966</v>
      </c>
      <c r="P40" s="369" t="s">
        <v>239</v>
      </c>
      <c r="Q40" s="367" t="s">
        <v>1415</v>
      </c>
      <c r="R40" s="377"/>
      <c r="S40" s="346"/>
    </row>
    <row r="41" spans="1:19" s="345" customFormat="1" ht="17" x14ac:dyDescent="0.25">
      <c r="A41" s="372">
        <v>38</v>
      </c>
      <c r="B41" s="373">
        <v>44928</v>
      </c>
      <c r="C41" s="373" t="s">
        <v>617</v>
      </c>
      <c r="D41" s="382" t="s">
        <v>390</v>
      </c>
      <c r="E41" s="378"/>
      <c r="F41" s="378">
        <v>1310</v>
      </c>
      <c r="G41" s="379"/>
      <c r="H41" s="378" t="s">
        <v>391</v>
      </c>
      <c r="I41" s="378" t="s">
        <v>255</v>
      </c>
      <c r="J41" s="378"/>
      <c r="K41" s="378"/>
      <c r="L41" s="378"/>
      <c r="M41" s="378">
        <v>2</v>
      </c>
      <c r="N41" s="376" t="s">
        <v>709</v>
      </c>
      <c r="O41" s="368">
        <v>44966</v>
      </c>
      <c r="P41" s="369" t="s">
        <v>239</v>
      </c>
      <c r="Q41" s="367" t="s">
        <v>1415</v>
      </c>
      <c r="R41" s="377"/>
      <c r="S41" s="346"/>
    </row>
    <row r="42" spans="1:19" s="345" customFormat="1" ht="17" x14ac:dyDescent="0.25">
      <c r="A42" s="372">
        <v>39</v>
      </c>
      <c r="B42" s="373">
        <v>44928</v>
      </c>
      <c r="C42" s="373" t="s">
        <v>617</v>
      </c>
      <c r="D42" s="382" t="s">
        <v>390</v>
      </c>
      <c r="E42" s="378"/>
      <c r="F42" s="378">
        <v>433</v>
      </c>
      <c r="G42" s="379"/>
      <c r="H42" s="378" t="s">
        <v>391</v>
      </c>
      <c r="I42" s="378" t="s">
        <v>255</v>
      </c>
      <c r="J42" s="378"/>
      <c r="K42" s="378"/>
      <c r="L42" s="378"/>
      <c r="M42" s="378">
        <v>1</v>
      </c>
      <c r="N42" s="376" t="s">
        <v>709</v>
      </c>
      <c r="O42" s="368">
        <v>44966</v>
      </c>
      <c r="P42" s="369" t="s">
        <v>239</v>
      </c>
      <c r="Q42" s="367" t="s">
        <v>1415</v>
      </c>
      <c r="R42" s="377"/>
      <c r="S42" s="346"/>
    </row>
    <row r="43" spans="1:19" s="345" customFormat="1" ht="17" x14ac:dyDescent="0.25">
      <c r="A43" s="372">
        <v>40</v>
      </c>
      <c r="B43" s="373">
        <v>44928</v>
      </c>
      <c r="C43" s="373" t="s">
        <v>617</v>
      </c>
      <c r="D43" s="382" t="s">
        <v>390</v>
      </c>
      <c r="E43" s="378" t="s">
        <v>1590</v>
      </c>
      <c r="F43" s="378">
        <v>307</v>
      </c>
      <c r="G43" s="379"/>
      <c r="H43" s="378" t="s">
        <v>391</v>
      </c>
      <c r="I43" s="378" t="s">
        <v>255</v>
      </c>
      <c r="J43" s="378"/>
      <c r="K43" s="378"/>
      <c r="L43" s="378"/>
      <c r="M43" s="378">
        <v>2</v>
      </c>
      <c r="N43" s="376" t="s">
        <v>709</v>
      </c>
      <c r="O43" s="368">
        <v>44966</v>
      </c>
      <c r="P43" s="369" t="s">
        <v>239</v>
      </c>
      <c r="Q43" s="367" t="s">
        <v>1415</v>
      </c>
      <c r="R43" s="377"/>
      <c r="S43" s="346"/>
    </row>
    <row r="44" spans="1:19" s="345" customFormat="1" ht="17" x14ac:dyDescent="0.25">
      <c r="A44" s="372">
        <v>41</v>
      </c>
      <c r="B44" s="373">
        <v>44928</v>
      </c>
      <c r="C44" s="373" t="s">
        <v>617</v>
      </c>
      <c r="D44" s="382" t="s">
        <v>390</v>
      </c>
      <c r="E44" s="378"/>
      <c r="F44" s="378">
        <v>990</v>
      </c>
      <c r="G44" s="379"/>
      <c r="H44" s="378" t="s">
        <v>391</v>
      </c>
      <c r="I44" s="378" t="s">
        <v>255</v>
      </c>
      <c r="J44" s="378"/>
      <c r="K44" s="378"/>
      <c r="L44" s="378"/>
      <c r="M44" s="378">
        <v>1</v>
      </c>
      <c r="N44" s="376" t="s">
        <v>709</v>
      </c>
      <c r="O44" s="368">
        <v>44966</v>
      </c>
      <c r="P44" s="369" t="s">
        <v>239</v>
      </c>
      <c r="Q44" s="367" t="s">
        <v>1415</v>
      </c>
      <c r="R44" s="377"/>
      <c r="S44" s="346"/>
    </row>
    <row r="45" spans="1:19" s="345" customFormat="1" ht="17" x14ac:dyDescent="0.25">
      <c r="A45" s="372">
        <v>42</v>
      </c>
      <c r="B45" s="373">
        <v>44928</v>
      </c>
      <c r="C45" s="373" t="s">
        <v>617</v>
      </c>
      <c r="D45" s="382" t="s">
        <v>390</v>
      </c>
      <c r="E45" s="378"/>
      <c r="F45" s="378">
        <v>600</v>
      </c>
      <c r="G45" s="379"/>
      <c r="H45" s="378" t="s">
        <v>391</v>
      </c>
      <c r="I45" s="378" t="s">
        <v>255</v>
      </c>
      <c r="J45" s="378"/>
      <c r="K45" s="378"/>
      <c r="L45" s="378"/>
      <c r="M45" s="378">
        <v>4</v>
      </c>
      <c r="N45" s="376" t="s">
        <v>709</v>
      </c>
      <c r="O45" s="368">
        <v>44966</v>
      </c>
      <c r="P45" s="369" t="s">
        <v>239</v>
      </c>
      <c r="Q45" s="367" t="s">
        <v>1415</v>
      </c>
      <c r="R45" s="377"/>
      <c r="S45" s="346"/>
    </row>
    <row r="46" spans="1:19" s="345" customFormat="1" ht="17" x14ac:dyDescent="0.25">
      <c r="A46" s="372">
        <v>43</v>
      </c>
      <c r="B46" s="373">
        <v>44928</v>
      </c>
      <c r="C46" s="373" t="s">
        <v>617</v>
      </c>
      <c r="D46" s="382" t="s">
        <v>390</v>
      </c>
      <c r="E46" s="378" t="s">
        <v>1590</v>
      </c>
      <c r="F46" s="378">
        <v>560</v>
      </c>
      <c r="G46" s="379"/>
      <c r="H46" s="378" t="s">
        <v>391</v>
      </c>
      <c r="I46" s="378" t="s">
        <v>255</v>
      </c>
      <c r="J46" s="378"/>
      <c r="K46" s="378"/>
      <c r="L46" s="378"/>
      <c r="M46" s="378">
        <v>3</v>
      </c>
      <c r="N46" s="376" t="s">
        <v>709</v>
      </c>
      <c r="O46" s="368">
        <v>44966</v>
      </c>
      <c r="P46" s="369" t="s">
        <v>239</v>
      </c>
      <c r="Q46" s="367" t="s">
        <v>1415</v>
      </c>
      <c r="R46" s="377"/>
      <c r="S46" s="346"/>
    </row>
    <row r="47" spans="1:19" s="345" customFormat="1" ht="17" x14ac:dyDescent="0.25">
      <c r="A47" s="372">
        <v>44</v>
      </c>
      <c r="B47" s="373">
        <v>44928</v>
      </c>
      <c r="C47" s="373" t="s">
        <v>617</v>
      </c>
      <c r="D47" s="382" t="s">
        <v>390</v>
      </c>
      <c r="E47" s="378"/>
      <c r="F47" s="378">
        <v>320</v>
      </c>
      <c r="G47" s="379"/>
      <c r="H47" s="378" t="s">
        <v>391</v>
      </c>
      <c r="I47" s="378" t="s">
        <v>255</v>
      </c>
      <c r="J47" s="378"/>
      <c r="K47" s="378"/>
      <c r="L47" s="378"/>
      <c r="M47" s="378">
        <v>2</v>
      </c>
      <c r="N47" s="376" t="s">
        <v>709</v>
      </c>
      <c r="O47" s="368">
        <v>44966</v>
      </c>
      <c r="P47" s="369" t="s">
        <v>239</v>
      </c>
      <c r="Q47" s="367" t="s">
        <v>1415</v>
      </c>
      <c r="R47" s="377"/>
      <c r="S47" s="346"/>
    </row>
    <row r="48" spans="1:19" s="345" customFormat="1" ht="17" x14ac:dyDescent="0.25">
      <c r="A48" s="372">
        <v>45</v>
      </c>
      <c r="B48" s="373">
        <v>44928</v>
      </c>
      <c r="C48" s="373" t="s">
        <v>617</v>
      </c>
      <c r="D48" s="382" t="s">
        <v>390</v>
      </c>
      <c r="E48" s="378"/>
      <c r="F48" s="378">
        <v>1350</v>
      </c>
      <c r="G48" s="379"/>
      <c r="H48" s="378" t="s">
        <v>391</v>
      </c>
      <c r="I48" s="378" t="s">
        <v>255</v>
      </c>
      <c r="J48" s="378"/>
      <c r="K48" s="378"/>
      <c r="L48" s="378"/>
      <c r="M48" s="378">
        <v>2</v>
      </c>
      <c r="N48" s="376" t="s">
        <v>709</v>
      </c>
      <c r="O48" s="368">
        <v>44966</v>
      </c>
      <c r="P48" s="369" t="s">
        <v>239</v>
      </c>
      <c r="Q48" s="367" t="s">
        <v>1415</v>
      </c>
      <c r="R48" s="377"/>
      <c r="S48" s="346"/>
    </row>
    <row r="49" spans="1:19" s="345" customFormat="1" ht="17" x14ac:dyDescent="0.25">
      <c r="A49" s="372">
        <v>46</v>
      </c>
      <c r="B49" s="373">
        <v>44928</v>
      </c>
      <c r="C49" s="373" t="s">
        <v>617</v>
      </c>
      <c r="D49" s="382" t="s">
        <v>390</v>
      </c>
      <c r="E49" s="378"/>
      <c r="F49" s="378">
        <v>280</v>
      </c>
      <c r="G49" s="379"/>
      <c r="H49" s="378" t="s">
        <v>391</v>
      </c>
      <c r="I49" s="378" t="s">
        <v>255</v>
      </c>
      <c r="J49" s="378"/>
      <c r="K49" s="378"/>
      <c r="L49" s="378"/>
      <c r="M49" s="378">
        <v>2</v>
      </c>
      <c r="N49" s="376" t="s">
        <v>709</v>
      </c>
      <c r="O49" s="368">
        <v>44966</v>
      </c>
      <c r="P49" s="369" t="s">
        <v>239</v>
      </c>
      <c r="Q49" s="367" t="s">
        <v>1415</v>
      </c>
      <c r="R49" s="377"/>
      <c r="S49" s="346"/>
    </row>
    <row r="50" spans="1:19" s="345" customFormat="1" ht="17" x14ac:dyDescent="0.25">
      <c r="A50" s="372">
        <v>47</v>
      </c>
      <c r="B50" s="373">
        <v>44928</v>
      </c>
      <c r="C50" s="373" t="s">
        <v>617</v>
      </c>
      <c r="D50" s="382" t="s">
        <v>390</v>
      </c>
      <c r="E50" s="378"/>
      <c r="F50" s="378">
        <v>1486</v>
      </c>
      <c r="G50" s="379"/>
      <c r="H50" s="378" t="s">
        <v>391</v>
      </c>
      <c r="I50" s="378" t="s">
        <v>255</v>
      </c>
      <c r="J50" s="378"/>
      <c r="K50" s="378"/>
      <c r="L50" s="378"/>
      <c r="M50" s="378">
        <v>6</v>
      </c>
      <c r="N50" s="376" t="s">
        <v>709</v>
      </c>
      <c r="O50" s="368">
        <v>44966</v>
      </c>
      <c r="P50" s="369" t="s">
        <v>239</v>
      </c>
      <c r="Q50" s="367" t="s">
        <v>1415</v>
      </c>
      <c r="R50" s="377"/>
      <c r="S50" s="346"/>
    </row>
    <row r="51" spans="1:19" s="345" customFormat="1" ht="17" x14ac:dyDescent="0.25">
      <c r="A51" s="372">
        <v>48</v>
      </c>
      <c r="B51" s="373">
        <v>44928</v>
      </c>
      <c r="C51" s="373" t="s">
        <v>617</v>
      </c>
      <c r="D51" s="382" t="s">
        <v>390</v>
      </c>
      <c r="E51" s="378"/>
      <c r="F51" s="378">
        <v>780</v>
      </c>
      <c r="G51" s="379"/>
      <c r="H51" s="378" t="s">
        <v>391</v>
      </c>
      <c r="I51" s="378" t="s">
        <v>255</v>
      </c>
      <c r="J51" s="378"/>
      <c r="K51" s="378"/>
      <c r="L51" s="378"/>
      <c r="M51" s="378">
        <v>2</v>
      </c>
      <c r="N51" s="376" t="s">
        <v>709</v>
      </c>
      <c r="O51" s="368">
        <v>44966</v>
      </c>
      <c r="P51" s="369" t="s">
        <v>239</v>
      </c>
      <c r="Q51" s="367" t="s">
        <v>1415</v>
      </c>
      <c r="R51" s="377"/>
      <c r="S51" s="346"/>
    </row>
    <row r="52" spans="1:19" s="345" customFormat="1" ht="17" x14ac:dyDescent="0.25">
      <c r="A52" s="372">
        <v>49</v>
      </c>
      <c r="B52" s="373">
        <v>44928</v>
      </c>
      <c r="C52" s="373" t="s">
        <v>617</v>
      </c>
      <c r="D52" s="382" t="s">
        <v>390</v>
      </c>
      <c r="E52" s="378"/>
      <c r="F52" s="378">
        <v>750</v>
      </c>
      <c r="G52" s="379"/>
      <c r="H52" s="378" t="s">
        <v>391</v>
      </c>
      <c r="I52" s="378" t="s">
        <v>255</v>
      </c>
      <c r="J52" s="378"/>
      <c r="K52" s="378"/>
      <c r="L52" s="378"/>
      <c r="M52" s="378">
        <v>1</v>
      </c>
      <c r="N52" s="376" t="s">
        <v>709</v>
      </c>
      <c r="O52" s="368">
        <v>44966</v>
      </c>
      <c r="P52" s="369" t="s">
        <v>239</v>
      </c>
      <c r="Q52" s="367" t="s">
        <v>1415</v>
      </c>
      <c r="R52" s="377"/>
      <c r="S52" s="346"/>
    </row>
    <row r="53" spans="1:19" s="345" customFormat="1" ht="17" x14ac:dyDescent="0.25">
      <c r="A53" s="372">
        <v>50</v>
      </c>
      <c r="B53" s="373">
        <v>44928</v>
      </c>
      <c r="C53" s="373" t="s">
        <v>617</v>
      </c>
      <c r="D53" s="382" t="s">
        <v>390</v>
      </c>
      <c r="E53" s="378"/>
      <c r="F53" s="378">
        <v>873</v>
      </c>
      <c r="G53" s="379"/>
      <c r="H53" s="378" t="s">
        <v>391</v>
      </c>
      <c r="I53" s="378" t="s">
        <v>255</v>
      </c>
      <c r="J53" s="378"/>
      <c r="K53" s="378"/>
      <c r="L53" s="378"/>
      <c r="M53" s="378">
        <v>2</v>
      </c>
      <c r="N53" s="376" t="s">
        <v>709</v>
      </c>
      <c r="O53" s="368">
        <v>44966</v>
      </c>
      <c r="P53" s="369" t="s">
        <v>239</v>
      </c>
      <c r="Q53" s="367" t="s">
        <v>1415</v>
      </c>
      <c r="R53" s="377"/>
      <c r="S53" s="346"/>
    </row>
    <row r="54" spans="1:19" s="345" customFormat="1" ht="17" x14ac:dyDescent="0.25">
      <c r="A54" s="372">
        <v>51</v>
      </c>
      <c r="B54" s="373">
        <v>44928</v>
      </c>
      <c r="C54" s="373" t="s">
        <v>617</v>
      </c>
      <c r="D54" s="382" t="s">
        <v>390</v>
      </c>
      <c r="E54" s="378"/>
      <c r="F54" s="378">
        <v>1160</v>
      </c>
      <c r="G54" s="379"/>
      <c r="H54" s="378" t="s">
        <v>391</v>
      </c>
      <c r="I54" s="378" t="s">
        <v>255</v>
      </c>
      <c r="J54" s="378"/>
      <c r="K54" s="378"/>
      <c r="L54" s="378"/>
      <c r="M54" s="378">
        <v>9</v>
      </c>
      <c r="N54" s="376" t="s">
        <v>709</v>
      </c>
      <c r="O54" s="368">
        <v>44966</v>
      </c>
      <c r="P54" s="369" t="s">
        <v>239</v>
      </c>
      <c r="Q54" s="367" t="s">
        <v>1415</v>
      </c>
      <c r="R54" s="379"/>
      <c r="S54" s="347"/>
    </row>
    <row r="55" spans="1:19" s="345" customFormat="1" ht="17" x14ac:dyDescent="0.25">
      <c r="A55" s="372">
        <v>52</v>
      </c>
      <c r="B55" s="373">
        <v>44928</v>
      </c>
      <c r="C55" s="373" t="s">
        <v>617</v>
      </c>
      <c r="D55" s="382" t="s">
        <v>390</v>
      </c>
      <c r="E55" s="378"/>
      <c r="F55" s="378">
        <v>930</v>
      </c>
      <c r="G55" s="379"/>
      <c r="H55" s="378" t="s">
        <v>391</v>
      </c>
      <c r="I55" s="378" t="s">
        <v>255</v>
      </c>
      <c r="J55" s="378"/>
      <c r="K55" s="378"/>
      <c r="L55" s="378"/>
      <c r="M55" s="378">
        <v>2</v>
      </c>
      <c r="N55" s="376" t="s">
        <v>709</v>
      </c>
      <c r="O55" s="368">
        <v>44966</v>
      </c>
      <c r="P55" s="369" t="s">
        <v>239</v>
      </c>
      <c r="Q55" s="367" t="s">
        <v>1415</v>
      </c>
      <c r="R55" s="379"/>
      <c r="S55" s="347"/>
    </row>
    <row r="56" spans="1:19" s="345" customFormat="1" ht="17" x14ac:dyDescent="0.25">
      <c r="A56" s="372">
        <v>53</v>
      </c>
      <c r="B56" s="384">
        <v>44929</v>
      </c>
      <c r="C56" s="373" t="s">
        <v>617</v>
      </c>
      <c r="D56" s="385" t="s">
        <v>390</v>
      </c>
      <c r="E56" s="378"/>
      <c r="F56" s="378">
        <v>980</v>
      </c>
      <c r="G56" s="370"/>
      <c r="H56" s="378" t="s">
        <v>391</v>
      </c>
      <c r="I56" s="378" t="s">
        <v>255</v>
      </c>
      <c r="J56" s="386"/>
      <c r="K56" s="378"/>
      <c r="L56" s="378"/>
      <c r="M56" s="378">
        <v>1</v>
      </c>
      <c r="N56" s="387" t="s">
        <v>723</v>
      </c>
      <c r="O56" s="368">
        <v>44966</v>
      </c>
      <c r="P56" s="369" t="s">
        <v>239</v>
      </c>
      <c r="Q56" s="367" t="s">
        <v>1415</v>
      </c>
      <c r="R56" s="379"/>
      <c r="S56" s="347"/>
    </row>
    <row r="57" spans="1:19" s="345" customFormat="1" ht="17" x14ac:dyDescent="0.25">
      <c r="A57" s="372">
        <v>54</v>
      </c>
      <c r="B57" s="384">
        <v>44929</v>
      </c>
      <c r="C57" s="373" t="s">
        <v>617</v>
      </c>
      <c r="D57" s="385" t="s">
        <v>390</v>
      </c>
      <c r="E57" s="378"/>
      <c r="F57" s="378">
        <v>365</v>
      </c>
      <c r="G57" s="370"/>
      <c r="H57" s="378" t="s">
        <v>391</v>
      </c>
      <c r="I57" s="378" t="s">
        <v>255</v>
      </c>
      <c r="J57" s="386"/>
      <c r="K57" s="378"/>
      <c r="L57" s="378"/>
      <c r="M57" s="378">
        <v>1</v>
      </c>
      <c r="N57" s="387" t="s">
        <v>723</v>
      </c>
      <c r="O57" s="368">
        <v>44966</v>
      </c>
      <c r="P57" s="369" t="s">
        <v>239</v>
      </c>
      <c r="Q57" s="367" t="s">
        <v>1415</v>
      </c>
      <c r="R57" s="379"/>
      <c r="S57" s="347"/>
    </row>
    <row r="58" spans="1:19" s="345" customFormat="1" ht="17" x14ac:dyDescent="0.25">
      <c r="A58" s="372">
        <v>55</v>
      </c>
      <c r="B58" s="384">
        <v>44929</v>
      </c>
      <c r="C58" s="373" t="s">
        <v>617</v>
      </c>
      <c r="D58" s="385" t="s">
        <v>390</v>
      </c>
      <c r="E58" s="378"/>
      <c r="F58" s="378">
        <v>940</v>
      </c>
      <c r="G58" s="370"/>
      <c r="H58" s="378" t="s">
        <v>391</v>
      </c>
      <c r="I58" s="378" t="s">
        <v>255</v>
      </c>
      <c r="J58" s="386"/>
      <c r="K58" s="378"/>
      <c r="L58" s="378"/>
      <c r="M58" s="378">
        <v>1</v>
      </c>
      <c r="N58" s="387" t="s">
        <v>723</v>
      </c>
      <c r="O58" s="368">
        <v>44966</v>
      </c>
      <c r="P58" s="369" t="s">
        <v>239</v>
      </c>
      <c r="Q58" s="367" t="s">
        <v>1415</v>
      </c>
      <c r="R58" s="379"/>
      <c r="S58" s="347"/>
    </row>
    <row r="59" spans="1:19" s="345" customFormat="1" ht="17" x14ac:dyDescent="0.25">
      <c r="A59" s="372">
        <v>56</v>
      </c>
      <c r="B59" s="384">
        <v>44929</v>
      </c>
      <c r="C59" s="373" t="s">
        <v>617</v>
      </c>
      <c r="D59" s="385" t="s">
        <v>390</v>
      </c>
      <c r="E59" s="378"/>
      <c r="F59" s="378">
        <v>950</v>
      </c>
      <c r="G59" s="370"/>
      <c r="H59" s="378" t="s">
        <v>391</v>
      </c>
      <c r="I59" s="378" t="s">
        <v>255</v>
      </c>
      <c r="J59" s="386"/>
      <c r="K59" s="378"/>
      <c r="L59" s="378"/>
      <c r="M59" s="378">
        <v>1</v>
      </c>
      <c r="N59" s="387" t="s">
        <v>723</v>
      </c>
      <c r="O59" s="368">
        <v>44966</v>
      </c>
      <c r="P59" s="369" t="s">
        <v>239</v>
      </c>
      <c r="Q59" s="367" t="s">
        <v>1415</v>
      </c>
      <c r="R59" s="379"/>
      <c r="S59" s="347"/>
    </row>
    <row r="60" spans="1:19" s="345" customFormat="1" ht="17" x14ac:dyDescent="0.25">
      <c r="A60" s="372">
        <v>57</v>
      </c>
      <c r="B60" s="384">
        <v>44929</v>
      </c>
      <c r="C60" s="373" t="s">
        <v>617</v>
      </c>
      <c r="D60" s="385" t="s">
        <v>390</v>
      </c>
      <c r="E60" s="378"/>
      <c r="F60" s="378">
        <v>143</v>
      </c>
      <c r="G60" s="370"/>
      <c r="H60" s="378" t="s">
        <v>391</v>
      </c>
      <c r="I60" s="378" t="s">
        <v>255</v>
      </c>
      <c r="J60" s="386"/>
      <c r="K60" s="378"/>
      <c r="L60" s="378"/>
      <c r="M60" s="378">
        <v>1</v>
      </c>
      <c r="N60" s="387" t="s">
        <v>723</v>
      </c>
      <c r="O60" s="368">
        <v>44966</v>
      </c>
      <c r="P60" s="369" t="s">
        <v>239</v>
      </c>
      <c r="Q60" s="367" t="s">
        <v>1415</v>
      </c>
      <c r="R60" s="379"/>
      <c r="S60" s="347"/>
    </row>
    <row r="61" spans="1:19" s="345" customFormat="1" ht="17" x14ac:dyDescent="0.25">
      <c r="A61" s="372">
        <v>58</v>
      </c>
      <c r="B61" s="384">
        <v>44929</v>
      </c>
      <c r="C61" s="373" t="s">
        <v>617</v>
      </c>
      <c r="D61" s="385" t="s">
        <v>390</v>
      </c>
      <c r="E61" s="378"/>
      <c r="F61" s="378">
        <v>2000</v>
      </c>
      <c r="G61" s="370"/>
      <c r="H61" s="378" t="s">
        <v>391</v>
      </c>
      <c r="I61" s="378" t="s">
        <v>255</v>
      </c>
      <c r="J61" s="386"/>
      <c r="K61" s="378"/>
      <c r="L61" s="378"/>
      <c r="M61" s="378">
        <v>1</v>
      </c>
      <c r="N61" s="387" t="s">
        <v>723</v>
      </c>
      <c r="O61" s="368">
        <v>44966</v>
      </c>
      <c r="P61" s="369" t="s">
        <v>239</v>
      </c>
      <c r="Q61" s="367" t="s">
        <v>1415</v>
      </c>
      <c r="R61" s="379"/>
      <c r="S61" s="347"/>
    </row>
    <row r="62" spans="1:19" s="345" customFormat="1" ht="17" x14ac:dyDescent="0.25">
      <c r="A62" s="372">
        <v>59</v>
      </c>
      <c r="B62" s="384">
        <v>44929</v>
      </c>
      <c r="C62" s="373" t="s">
        <v>617</v>
      </c>
      <c r="D62" s="385" t="s">
        <v>390</v>
      </c>
      <c r="E62" s="378"/>
      <c r="F62" s="378">
        <v>625</v>
      </c>
      <c r="G62" s="370"/>
      <c r="H62" s="378" t="s">
        <v>391</v>
      </c>
      <c r="I62" s="378" t="s">
        <v>255</v>
      </c>
      <c r="J62" s="386"/>
      <c r="K62" s="378"/>
      <c r="L62" s="378"/>
      <c r="M62" s="378">
        <v>3</v>
      </c>
      <c r="N62" s="387" t="s">
        <v>723</v>
      </c>
      <c r="O62" s="368">
        <v>44966</v>
      </c>
      <c r="P62" s="369" t="s">
        <v>239</v>
      </c>
      <c r="Q62" s="367" t="s">
        <v>1415</v>
      </c>
      <c r="R62" s="379"/>
      <c r="S62" s="347"/>
    </row>
    <row r="63" spans="1:19" s="345" customFormat="1" ht="17" x14ac:dyDescent="0.25">
      <c r="A63" s="372">
        <v>60</v>
      </c>
      <c r="B63" s="384">
        <v>44929</v>
      </c>
      <c r="C63" s="373" t="s">
        <v>617</v>
      </c>
      <c r="D63" s="385" t="s">
        <v>390</v>
      </c>
      <c r="E63" s="378"/>
      <c r="F63" s="378">
        <v>1413</v>
      </c>
      <c r="G63" s="370"/>
      <c r="H63" s="378" t="s">
        <v>391</v>
      </c>
      <c r="I63" s="378" t="s">
        <v>255</v>
      </c>
      <c r="J63" s="386"/>
      <c r="K63" s="378"/>
      <c r="L63" s="378"/>
      <c r="M63" s="378">
        <v>2</v>
      </c>
      <c r="N63" s="387" t="s">
        <v>723</v>
      </c>
      <c r="O63" s="368">
        <v>44966</v>
      </c>
      <c r="P63" s="369" t="s">
        <v>239</v>
      </c>
      <c r="Q63" s="367" t="s">
        <v>1415</v>
      </c>
      <c r="R63" s="379"/>
      <c r="S63" s="347"/>
    </row>
    <row r="64" spans="1:19" s="345" customFormat="1" ht="17" x14ac:dyDescent="0.25">
      <c r="A64" s="372">
        <v>61</v>
      </c>
      <c r="B64" s="384">
        <v>44929</v>
      </c>
      <c r="C64" s="373" t="s">
        <v>617</v>
      </c>
      <c r="D64" s="385" t="s">
        <v>390</v>
      </c>
      <c r="E64" s="378"/>
      <c r="F64" s="378">
        <v>2130</v>
      </c>
      <c r="G64" s="370"/>
      <c r="H64" s="378" t="s">
        <v>391</v>
      </c>
      <c r="I64" s="378" t="s">
        <v>255</v>
      </c>
      <c r="J64" s="386"/>
      <c r="K64" s="378"/>
      <c r="L64" s="378"/>
      <c r="M64" s="378">
        <v>2</v>
      </c>
      <c r="N64" s="387" t="s">
        <v>723</v>
      </c>
      <c r="O64" s="368">
        <v>44966</v>
      </c>
      <c r="P64" s="369" t="s">
        <v>239</v>
      </c>
      <c r="Q64" s="367" t="s">
        <v>1415</v>
      </c>
      <c r="R64" s="388"/>
      <c r="S64" s="348"/>
    </row>
    <row r="65" spans="1:19" s="345" customFormat="1" ht="17" x14ac:dyDescent="0.25">
      <c r="A65" s="372">
        <v>62</v>
      </c>
      <c r="B65" s="384">
        <v>44944</v>
      </c>
      <c r="C65" s="373" t="s">
        <v>817</v>
      </c>
      <c r="D65" s="385" t="s">
        <v>390</v>
      </c>
      <c r="E65" s="378"/>
      <c r="F65" s="378">
        <v>66</v>
      </c>
      <c r="G65" s="370"/>
      <c r="H65" s="378" t="s">
        <v>391</v>
      </c>
      <c r="I65" s="378" t="s">
        <v>255</v>
      </c>
      <c r="J65" s="386"/>
      <c r="K65" s="378"/>
      <c r="L65" s="378"/>
      <c r="M65" s="378">
        <v>2</v>
      </c>
      <c r="N65" s="387" t="s">
        <v>818</v>
      </c>
      <c r="O65" s="368">
        <v>44966</v>
      </c>
      <c r="P65" s="369" t="s">
        <v>239</v>
      </c>
      <c r="Q65" s="367" t="s">
        <v>1415</v>
      </c>
      <c r="R65" s="379"/>
      <c r="S65" s="349"/>
    </row>
    <row r="66" spans="1:19" s="345" customFormat="1" ht="17" x14ac:dyDescent="0.25">
      <c r="A66" s="372">
        <v>63</v>
      </c>
      <c r="B66" s="384">
        <v>44944</v>
      </c>
      <c r="C66" s="373" t="s">
        <v>817</v>
      </c>
      <c r="D66" s="385" t="s">
        <v>390</v>
      </c>
      <c r="E66" s="378"/>
      <c r="F66" s="378">
        <v>378</v>
      </c>
      <c r="G66" s="370"/>
      <c r="H66" s="378" t="s">
        <v>391</v>
      </c>
      <c r="I66" s="378" t="s">
        <v>255</v>
      </c>
      <c r="J66" s="386"/>
      <c r="K66" s="378"/>
      <c r="L66" s="378"/>
      <c r="M66" s="378">
        <v>6</v>
      </c>
      <c r="N66" s="387" t="s">
        <v>818</v>
      </c>
      <c r="O66" s="368">
        <v>44966</v>
      </c>
      <c r="P66" s="369" t="s">
        <v>239</v>
      </c>
      <c r="Q66" s="367" t="s">
        <v>1415</v>
      </c>
      <c r="R66" s="379"/>
      <c r="S66" s="349"/>
    </row>
    <row r="67" spans="1:19" s="345" customFormat="1" ht="17" x14ac:dyDescent="0.25">
      <c r="A67" s="372">
        <v>64</v>
      </c>
      <c r="B67" s="384">
        <v>44944</v>
      </c>
      <c r="C67" s="373" t="s">
        <v>817</v>
      </c>
      <c r="D67" s="385" t="s">
        <v>390</v>
      </c>
      <c r="E67" s="378"/>
      <c r="F67" s="378">
        <v>228</v>
      </c>
      <c r="G67" s="370"/>
      <c r="H67" s="378" t="s">
        <v>391</v>
      </c>
      <c r="I67" s="378" t="s">
        <v>255</v>
      </c>
      <c r="J67" s="386"/>
      <c r="K67" s="378"/>
      <c r="L67" s="378"/>
      <c r="M67" s="378">
        <v>6</v>
      </c>
      <c r="N67" s="387" t="s">
        <v>818</v>
      </c>
      <c r="O67" s="368">
        <v>44966</v>
      </c>
      <c r="P67" s="369" t="s">
        <v>239</v>
      </c>
      <c r="Q67" s="367" t="s">
        <v>1415</v>
      </c>
      <c r="R67" s="379"/>
      <c r="S67" s="349"/>
    </row>
    <row r="68" spans="1:19" s="345" customFormat="1" ht="17" x14ac:dyDescent="0.25">
      <c r="A68" s="372">
        <v>65</v>
      </c>
      <c r="B68" s="384">
        <v>44944</v>
      </c>
      <c r="C68" s="373" t="s">
        <v>817</v>
      </c>
      <c r="D68" s="385" t="s">
        <v>390</v>
      </c>
      <c r="E68" s="378"/>
      <c r="F68" s="378">
        <v>644</v>
      </c>
      <c r="G68" s="370"/>
      <c r="H68" s="378" t="s">
        <v>391</v>
      </c>
      <c r="I68" s="378" t="s">
        <v>255</v>
      </c>
      <c r="J68" s="386"/>
      <c r="K68" s="378"/>
      <c r="L68" s="378"/>
      <c r="M68" s="378">
        <v>1</v>
      </c>
      <c r="N68" s="387" t="s">
        <v>818</v>
      </c>
      <c r="O68" s="368">
        <v>44966</v>
      </c>
      <c r="P68" s="369" t="s">
        <v>239</v>
      </c>
      <c r="Q68" s="367" t="s">
        <v>1415</v>
      </c>
      <c r="R68" s="379"/>
      <c r="S68" s="349"/>
    </row>
    <row r="69" spans="1:19" s="345" customFormat="1" ht="17" x14ac:dyDescent="0.25">
      <c r="A69" s="372">
        <v>66</v>
      </c>
      <c r="B69" s="384">
        <v>44944</v>
      </c>
      <c r="C69" s="373" t="s">
        <v>817</v>
      </c>
      <c r="D69" s="385" t="s">
        <v>390</v>
      </c>
      <c r="E69" s="378"/>
      <c r="F69" s="378">
        <v>2122</v>
      </c>
      <c r="G69" s="370"/>
      <c r="H69" s="378" t="s">
        <v>391</v>
      </c>
      <c r="I69" s="378" t="s">
        <v>255</v>
      </c>
      <c r="J69" s="386"/>
      <c r="K69" s="378"/>
      <c r="L69" s="378"/>
      <c r="M69" s="378">
        <v>3</v>
      </c>
      <c r="N69" s="387" t="s">
        <v>818</v>
      </c>
      <c r="O69" s="368">
        <v>44966</v>
      </c>
      <c r="P69" s="369" t="s">
        <v>239</v>
      </c>
      <c r="Q69" s="367" t="s">
        <v>1415</v>
      </c>
      <c r="R69" s="388"/>
      <c r="S69" s="350"/>
    </row>
    <row r="70" spans="1:19" s="345" customFormat="1" ht="17" x14ac:dyDescent="0.25">
      <c r="A70" s="372">
        <v>67</v>
      </c>
      <c r="B70" s="384">
        <v>44944</v>
      </c>
      <c r="C70" s="373" t="s">
        <v>817</v>
      </c>
      <c r="D70" s="385" t="s">
        <v>390</v>
      </c>
      <c r="E70" s="378"/>
      <c r="F70" s="378">
        <v>150</v>
      </c>
      <c r="G70" s="370"/>
      <c r="H70" s="378" t="s">
        <v>391</v>
      </c>
      <c r="I70" s="378" t="s">
        <v>255</v>
      </c>
      <c r="J70" s="386"/>
      <c r="K70" s="378"/>
      <c r="L70" s="378"/>
      <c r="M70" s="378">
        <v>3</v>
      </c>
      <c r="N70" s="387" t="s">
        <v>819</v>
      </c>
      <c r="O70" s="368">
        <v>44966</v>
      </c>
      <c r="P70" s="369" t="s">
        <v>239</v>
      </c>
      <c r="Q70" s="367" t="s">
        <v>1415</v>
      </c>
      <c r="R70" s="379"/>
      <c r="S70" s="349"/>
    </row>
    <row r="71" spans="1:19" s="345" customFormat="1" ht="17" x14ac:dyDescent="0.25">
      <c r="A71" s="372">
        <v>68</v>
      </c>
      <c r="B71" s="384">
        <v>44944</v>
      </c>
      <c r="C71" s="373" t="s">
        <v>817</v>
      </c>
      <c r="D71" s="385" t="s">
        <v>390</v>
      </c>
      <c r="E71" s="378"/>
      <c r="F71" s="378">
        <v>1478</v>
      </c>
      <c r="G71" s="370"/>
      <c r="H71" s="378" t="s">
        <v>391</v>
      </c>
      <c r="I71" s="378" t="s">
        <v>255</v>
      </c>
      <c r="J71" s="386"/>
      <c r="K71" s="378"/>
      <c r="L71" s="378"/>
      <c r="M71" s="378">
        <v>1</v>
      </c>
      <c r="N71" s="387" t="s">
        <v>819</v>
      </c>
      <c r="O71" s="368">
        <v>44966</v>
      </c>
      <c r="P71" s="369" t="s">
        <v>239</v>
      </c>
      <c r="Q71" s="367" t="s">
        <v>1415</v>
      </c>
      <c r="R71" s="388"/>
      <c r="S71" s="350"/>
    </row>
    <row r="72" spans="1:19" s="345" customFormat="1" ht="17" x14ac:dyDescent="0.25">
      <c r="A72" s="372">
        <v>69</v>
      </c>
      <c r="B72" s="384">
        <v>44944</v>
      </c>
      <c r="C72" s="373" t="s">
        <v>817</v>
      </c>
      <c r="D72" s="385" t="s">
        <v>390</v>
      </c>
      <c r="E72" s="378"/>
      <c r="F72" s="378">
        <v>600</v>
      </c>
      <c r="G72" s="370"/>
      <c r="H72" s="378" t="s">
        <v>391</v>
      </c>
      <c r="I72" s="378" t="s">
        <v>255</v>
      </c>
      <c r="J72" s="386"/>
      <c r="K72" s="378"/>
      <c r="L72" s="378"/>
      <c r="M72" s="378">
        <v>1</v>
      </c>
      <c r="N72" s="387" t="s">
        <v>819</v>
      </c>
      <c r="O72" s="368">
        <v>44966</v>
      </c>
      <c r="P72" s="369" t="s">
        <v>239</v>
      </c>
      <c r="Q72" s="367" t="s">
        <v>1415</v>
      </c>
      <c r="R72" s="379"/>
      <c r="S72" s="349"/>
    </row>
    <row r="73" spans="1:19" s="345" customFormat="1" ht="17" x14ac:dyDescent="0.25">
      <c r="A73" s="372">
        <v>70</v>
      </c>
      <c r="B73" s="384">
        <v>44944</v>
      </c>
      <c r="C73" s="373" t="s">
        <v>817</v>
      </c>
      <c r="D73" s="385" t="s">
        <v>390</v>
      </c>
      <c r="E73" s="378"/>
      <c r="F73" s="378">
        <v>557.5</v>
      </c>
      <c r="G73" s="370"/>
      <c r="H73" s="378" t="s">
        <v>391</v>
      </c>
      <c r="I73" s="378" t="s">
        <v>255</v>
      </c>
      <c r="J73" s="386"/>
      <c r="K73" s="378"/>
      <c r="L73" s="378"/>
      <c r="M73" s="378">
        <v>2</v>
      </c>
      <c r="N73" s="387" t="s">
        <v>819</v>
      </c>
      <c r="O73" s="368">
        <v>44966</v>
      </c>
      <c r="P73" s="369" t="s">
        <v>239</v>
      </c>
      <c r="Q73" s="367" t="s">
        <v>1415</v>
      </c>
      <c r="R73" s="388"/>
      <c r="S73" s="350"/>
    </row>
    <row r="74" spans="1:19" s="345" customFormat="1" ht="17" x14ac:dyDescent="0.25">
      <c r="A74" s="372">
        <v>71</v>
      </c>
      <c r="B74" s="384">
        <v>44944</v>
      </c>
      <c r="C74" s="373" t="s">
        <v>817</v>
      </c>
      <c r="D74" s="385" t="s">
        <v>390</v>
      </c>
      <c r="E74" s="378"/>
      <c r="F74" s="378">
        <v>190</v>
      </c>
      <c r="G74" s="370"/>
      <c r="H74" s="378" t="s">
        <v>391</v>
      </c>
      <c r="I74" s="378" t="s">
        <v>255</v>
      </c>
      <c r="J74" s="386"/>
      <c r="K74" s="378"/>
      <c r="L74" s="378"/>
      <c r="M74" s="378">
        <v>2</v>
      </c>
      <c r="N74" s="387" t="s">
        <v>819</v>
      </c>
      <c r="O74" s="368">
        <v>44966</v>
      </c>
      <c r="P74" s="369" t="s">
        <v>239</v>
      </c>
      <c r="Q74" s="367" t="s">
        <v>1415</v>
      </c>
      <c r="R74" s="379"/>
      <c r="S74" s="349"/>
    </row>
    <row r="75" spans="1:19" s="345" customFormat="1" ht="17" x14ac:dyDescent="0.25">
      <c r="A75" s="372">
        <v>72</v>
      </c>
      <c r="B75" s="384">
        <v>44944</v>
      </c>
      <c r="C75" s="373" t="s">
        <v>817</v>
      </c>
      <c r="D75" s="385" t="s">
        <v>390</v>
      </c>
      <c r="E75" s="378"/>
      <c r="F75" s="378">
        <v>560</v>
      </c>
      <c r="G75" s="370"/>
      <c r="H75" s="378" t="s">
        <v>391</v>
      </c>
      <c r="I75" s="378" t="s">
        <v>255</v>
      </c>
      <c r="J75" s="386"/>
      <c r="K75" s="378"/>
      <c r="L75" s="378"/>
      <c r="M75" s="378">
        <v>2</v>
      </c>
      <c r="N75" s="387" t="s">
        <v>819</v>
      </c>
      <c r="O75" s="368">
        <v>44966</v>
      </c>
      <c r="P75" s="369" t="s">
        <v>239</v>
      </c>
      <c r="Q75" s="367" t="s">
        <v>1415</v>
      </c>
      <c r="R75" s="388"/>
      <c r="S75" s="350"/>
    </row>
    <row r="76" spans="1:19" s="345" customFormat="1" ht="17" x14ac:dyDescent="0.25">
      <c r="A76" s="372">
        <v>73</v>
      </c>
      <c r="B76" s="384">
        <v>44944</v>
      </c>
      <c r="C76" s="373" t="s">
        <v>817</v>
      </c>
      <c r="D76" s="385" t="s">
        <v>390</v>
      </c>
      <c r="E76" s="378" t="s">
        <v>1593</v>
      </c>
      <c r="F76" s="378">
        <v>642.5</v>
      </c>
      <c r="G76" s="370"/>
      <c r="H76" s="378" t="s">
        <v>391</v>
      </c>
      <c r="I76" s="378" t="s">
        <v>255</v>
      </c>
      <c r="J76" s="386"/>
      <c r="K76" s="378"/>
      <c r="L76" s="378"/>
      <c r="M76" s="378">
        <v>3</v>
      </c>
      <c r="N76" s="387" t="s">
        <v>819</v>
      </c>
      <c r="O76" s="368">
        <v>44966</v>
      </c>
      <c r="P76" s="369" t="s">
        <v>239</v>
      </c>
      <c r="Q76" s="367" t="s">
        <v>1415</v>
      </c>
      <c r="R76" s="379"/>
      <c r="S76" s="349"/>
    </row>
    <row r="77" spans="1:19" s="345" customFormat="1" ht="17" x14ac:dyDescent="0.25">
      <c r="A77" s="372">
        <v>74</v>
      </c>
      <c r="B77" s="384">
        <v>44944</v>
      </c>
      <c r="C77" s="373" t="s">
        <v>817</v>
      </c>
      <c r="D77" s="385" t="s">
        <v>390</v>
      </c>
      <c r="E77" s="378"/>
      <c r="F77" s="378">
        <v>1235</v>
      </c>
      <c r="G77" s="370"/>
      <c r="H77" s="378" t="s">
        <v>391</v>
      </c>
      <c r="I77" s="378" t="s">
        <v>255</v>
      </c>
      <c r="J77" s="386"/>
      <c r="K77" s="378"/>
      <c r="L77" s="378"/>
      <c r="M77" s="378">
        <v>2</v>
      </c>
      <c r="N77" s="387" t="s">
        <v>819</v>
      </c>
      <c r="O77" s="368">
        <v>44966</v>
      </c>
      <c r="P77" s="369" t="s">
        <v>239</v>
      </c>
      <c r="Q77" s="367" t="s">
        <v>1415</v>
      </c>
      <c r="R77" s="388"/>
      <c r="S77" s="350"/>
    </row>
    <row r="78" spans="1:19" s="345" customFormat="1" ht="17" x14ac:dyDescent="0.25">
      <c r="A78" s="372">
        <v>75</v>
      </c>
      <c r="B78" s="384">
        <v>44944</v>
      </c>
      <c r="C78" s="373" t="s">
        <v>817</v>
      </c>
      <c r="D78" s="385" t="s">
        <v>390</v>
      </c>
      <c r="E78" s="378"/>
      <c r="F78" s="378">
        <v>1155</v>
      </c>
      <c r="G78" s="370"/>
      <c r="H78" s="378" t="s">
        <v>391</v>
      </c>
      <c r="I78" s="378" t="s">
        <v>255</v>
      </c>
      <c r="J78" s="386"/>
      <c r="K78" s="378"/>
      <c r="L78" s="378"/>
      <c r="M78" s="378">
        <v>2</v>
      </c>
      <c r="N78" s="387" t="s">
        <v>819</v>
      </c>
      <c r="O78" s="368">
        <v>44966</v>
      </c>
      <c r="P78" s="369" t="s">
        <v>239</v>
      </c>
      <c r="Q78" s="367" t="s">
        <v>1415</v>
      </c>
      <c r="R78" s="379"/>
      <c r="S78" s="349"/>
    </row>
    <row r="79" spans="1:19" s="345" customFormat="1" ht="17" x14ac:dyDescent="0.25">
      <c r="A79" s="372">
        <v>76</v>
      </c>
      <c r="B79" s="384">
        <v>44944</v>
      </c>
      <c r="C79" s="373" t="s">
        <v>817</v>
      </c>
      <c r="D79" s="385" t="s">
        <v>390</v>
      </c>
      <c r="E79" s="378"/>
      <c r="F79" s="378">
        <v>1208</v>
      </c>
      <c r="G79" s="370"/>
      <c r="H79" s="378" t="s">
        <v>391</v>
      </c>
      <c r="I79" s="378" t="s">
        <v>255</v>
      </c>
      <c r="J79" s="386"/>
      <c r="K79" s="378"/>
      <c r="L79" s="378"/>
      <c r="M79" s="378">
        <v>1</v>
      </c>
      <c r="N79" s="387" t="s">
        <v>819</v>
      </c>
      <c r="O79" s="368">
        <v>44966</v>
      </c>
      <c r="P79" s="369" t="s">
        <v>239</v>
      </c>
      <c r="Q79" s="367" t="s">
        <v>1415</v>
      </c>
      <c r="R79" s="388"/>
      <c r="S79" s="350"/>
    </row>
    <row r="80" spans="1:19" s="345" customFormat="1" ht="17" x14ac:dyDescent="0.25">
      <c r="A80" s="372">
        <v>77</v>
      </c>
      <c r="B80" s="384">
        <v>44944</v>
      </c>
      <c r="C80" s="373" t="s">
        <v>817</v>
      </c>
      <c r="D80" s="385" t="s">
        <v>390</v>
      </c>
      <c r="E80" s="378"/>
      <c r="F80" s="378">
        <v>1438</v>
      </c>
      <c r="G80" s="370"/>
      <c r="H80" s="378" t="s">
        <v>391</v>
      </c>
      <c r="I80" s="378" t="s">
        <v>255</v>
      </c>
      <c r="J80" s="386"/>
      <c r="K80" s="378"/>
      <c r="L80" s="378"/>
      <c r="M80" s="378">
        <v>1</v>
      </c>
      <c r="N80" s="387" t="s">
        <v>819</v>
      </c>
      <c r="O80" s="368">
        <v>44966</v>
      </c>
      <c r="P80" s="369" t="s">
        <v>239</v>
      </c>
      <c r="Q80" s="367" t="s">
        <v>1415</v>
      </c>
      <c r="R80" s="379"/>
      <c r="S80" s="349"/>
    </row>
    <row r="81" spans="1:19" s="345" customFormat="1" ht="17" x14ac:dyDescent="0.25">
      <c r="A81" s="372">
        <v>78</v>
      </c>
      <c r="B81" s="384">
        <v>44944</v>
      </c>
      <c r="C81" s="373" t="s">
        <v>817</v>
      </c>
      <c r="D81" s="385" t="s">
        <v>528</v>
      </c>
      <c r="E81" s="378"/>
      <c r="F81" s="378">
        <v>373</v>
      </c>
      <c r="G81" s="370"/>
      <c r="H81" s="378" t="s">
        <v>655</v>
      </c>
      <c r="I81" s="378" t="s">
        <v>255</v>
      </c>
      <c r="J81" s="386"/>
      <c r="K81" s="378"/>
      <c r="L81" s="378"/>
      <c r="M81" s="378">
        <v>4</v>
      </c>
      <c r="N81" s="387" t="s">
        <v>822</v>
      </c>
      <c r="O81" s="368">
        <v>44966</v>
      </c>
      <c r="P81" s="369" t="s">
        <v>239</v>
      </c>
      <c r="Q81" s="367" t="s">
        <v>1415</v>
      </c>
      <c r="R81" s="388"/>
      <c r="S81" s="350"/>
    </row>
    <row r="82" spans="1:19" s="345" customFormat="1" ht="17" x14ac:dyDescent="0.25">
      <c r="A82" s="372">
        <v>79</v>
      </c>
      <c r="B82" s="384">
        <v>44944</v>
      </c>
      <c r="C82" s="373" t="s">
        <v>817</v>
      </c>
      <c r="D82" s="385" t="s">
        <v>528</v>
      </c>
      <c r="E82" s="378"/>
      <c r="F82" s="378">
        <v>750</v>
      </c>
      <c r="G82" s="370"/>
      <c r="H82" s="378" t="s">
        <v>655</v>
      </c>
      <c r="I82" s="378" t="s">
        <v>255</v>
      </c>
      <c r="J82" s="386"/>
      <c r="K82" s="378"/>
      <c r="L82" s="378"/>
      <c r="M82" s="378">
        <v>4</v>
      </c>
      <c r="N82" s="387" t="s">
        <v>822</v>
      </c>
      <c r="O82" s="368">
        <v>44966</v>
      </c>
      <c r="P82" s="369" t="s">
        <v>239</v>
      </c>
      <c r="Q82" s="367" t="s">
        <v>1415</v>
      </c>
      <c r="R82" s="379"/>
      <c r="S82" s="349"/>
    </row>
    <row r="83" spans="1:19" s="345" customFormat="1" ht="17" x14ac:dyDescent="0.25">
      <c r="A83" s="372">
        <v>80</v>
      </c>
      <c r="B83" s="384">
        <v>44944</v>
      </c>
      <c r="C83" s="373" t="s">
        <v>817</v>
      </c>
      <c r="D83" s="385" t="s">
        <v>528</v>
      </c>
      <c r="E83" s="378"/>
      <c r="F83" s="378">
        <v>57</v>
      </c>
      <c r="G83" s="370"/>
      <c r="H83" s="378" t="s">
        <v>655</v>
      </c>
      <c r="I83" s="378" t="s">
        <v>255</v>
      </c>
      <c r="J83" s="386"/>
      <c r="K83" s="378"/>
      <c r="L83" s="378"/>
      <c r="M83" s="378">
        <v>2</v>
      </c>
      <c r="N83" s="387" t="s">
        <v>820</v>
      </c>
      <c r="O83" s="368">
        <v>44966</v>
      </c>
      <c r="P83" s="369" t="s">
        <v>239</v>
      </c>
      <c r="Q83" s="367" t="s">
        <v>1415</v>
      </c>
      <c r="R83" s="388"/>
      <c r="S83" s="350"/>
    </row>
    <row r="84" spans="1:19" s="345" customFormat="1" ht="17" x14ac:dyDescent="0.25">
      <c r="A84" s="372">
        <v>81</v>
      </c>
      <c r="B84" s="384">
        <v>44944</v>
      </c>
      <c r="C84" s="373" t="s">
        <v>817</v>
      </c>
      <c r="D84" s="385" t="s">
        <v>390</v>
      </c>
      <c r="E84" s="378"/>
      <c r="F84" s="378">
        <v>181</v>
      </c>
      <c r="G84" s="370"/>
      <c r="H84" s="378" t="s">
        <v>391</v>
      </c>
      <c r="I84" s="378" t="s">
        <v>255</v>
      </c>
      <c r="J84" s="386"/>
      <c r="K84" s="378"/>
      <c r="L84" s="378"/>
      <c r="M84" s="378">
        <v>1</v>
      </c>
      <c r="N84" s="387" t="s">
        <v>820</v>
      </c>
      <c r="O84" s="368">
        <v>44966</v>
      </c>
      <c r="P84" s="369" t="s">
        <v>239</v>
      </c>
      <c r="Q84" s="367" t="s">
        <v>1415</v>
      </c>
      <c r="R84" s="379"/>
      <c r="S84" s="349"/>
    </row>
    <row r="85" spans="1:19" s="345" customFormat="1" ht="17" x14ac:dyDescent="0.25">
      <c r="A85" s="372">
        <v>82</v>
      </c>
      <c r="B85" s="384">
        <v>44944</v>
      </c>
      <c r="C85" s="373" t="s">
        <v>817</v>
      </c>
      <c r="D85" s="385" t="s">
        <v>528</v>
      </c>
      <c r="E85" s="378"/>
      <c r="F85" s="378">
        <v>499</v>
      </c>
      <c r="G85" s="370"/>
      <c r="H85" s="378" t="s">
        <v>655</v>
      </c>
      <c r="I85" s="378" t="s">
        <v>255</v>
      </c>
      <c r="J85" s="386"/>
      <c r="K85" s="378"/>
      <c r="L85" s="378"/>
      <c r="M85" s="378">
        <v>1</v>
      </c>
      <c r="N85" s="387" t="s">
        <v>820</v>
      </c>
      <c r="O85" s="368">
        <v>44966</v>
      </c>
      <c r="P85" s="369" t="s">
        <v>239</v>
      </c>
      <c r="Q85" s="367" t="s">
        <v>1415</v>
      </c>
      <c r="R85" s="388"/>
      <c r="S85" s="350"/>
    </row>
    <row r="86" spans="1:19" s="345" customFormat="1" ht="17" x14ac:dyDescent="0.25">
      <c r="A86" s="372">
        <v>83</v>
      </c>
      <c r="B86" s="384">
        <v>44944</v>
      </c>
      <c r="C86" s="373" t="s">
        <v>817</v>
      </c>
      <c r="D86" s="385" t="s">
        <v>390</v>
      </c>
      <c r="E86" s="378"/>
      <c r="F86" s="378">
        <v>80</v>
      </c>
      <c r="G86" s="370"/>
      <c r="H86" s="378" t="s">
        <v>391</v>
      </c>
      <c r="I86" s="378" t="s">
        <v>255</v>
      </c>
      <c r="J86" s="386"/>
      <c r="K86" s="378"/>
      <c r="L86" s="378"/>
      <c r="M86" s="378">
        <v>1</v>
      </c>
      <c r="N86" s="387" t="s">
        <v>820</v>
      </c>
      <c r="O86" s="368">
        <v>44966</v>
      </c>
      <c r="P86" s="369" t="s">
        <v>239</v>
      </c>
      <c r="Q86" s="367" t="s">
        <v>1415</v>
      </c>
      <c r="R86" s="379"/>
      <c r="S86" s="349"/>
    </row>
    <row r="87" spans="1:19" s="345" customFormat="1" ht="17" x14ac:dyDescent="0.25">
      <c r="A87" s="372">
        <v>84</v>
      </c>
      <c r="B87" s="384">
        <v>44944</v>
      </c>
      <c r="C87" s="373" t="s">
        <v>817</v>
      </c>
      <c r="D87" s="385" t="s">
        <v>390</v>
      </c>
      <c r="E87" s="378"/>
      <c r="F87" s="378">
        <v>82</v>
      </c>
      <c r="G87" s="370"/>
      <c r="H87" s="378" t="s">
        <v>391</v>
      </c>
      <c r="I87" s="378" t="s">
        <v>255</v>
      </c>
      <c r="J87" s="386"/>
      <c r="K87" s="378"/>
      <c r="L87" s="378"/>
      <c r="M87" s="378">
        <v>2</v>
      </c>
      <c r="N87" s="387" t="s">
        <v>820</v>
      </c>
      <c r="O87" s="368">
        <v>44966</v>
      </c>
      <c r="P87" s="369" t="s">
        <v>239</v>
      </c>
      <c r="Q87" s="367" t="s">
        <v>1415</v>
      </c>
      <c r="R87" s="388"/>
      <c r="S87" s="350"/>
    </row>
    <row r="88" spans="1:19" s="345" customFormat="1" ht="17" x14ac:dyDescent="0.25">
      <c r="A88" s="372">
        <v>85</v>
      </c>
      <c r="B88" s="384">
        <v>44944</v>
      </c>
      <c r="C88" s="373" t="s">
        <v>817</v>
      </c>
      <c r="D88" s="385" t="s">
        <v>390</v>
      </c>
      <c r="E88" s="378"/>
      <c r="F88" s="378">
        <v>1155</v>
      </c>
      <c r="G88" s="370"/>
      <c r="H88" s="378" t="s">
        <v>391</v>
      </c>
      <c r="I88" s="378" t="s">
        <v>255</v>
      </c>
      <c r="J88" s="386"/>
      <c r="K88" s="378"/>
      <c r="L88" s="378"/>
      <c r="M88" s="378">
        <v>1</v>
      </c>
      <c r="N88" s="387" t="s">
        <v>820</v>
      </c>
      <c r="O88" s="368">
        <v>44966</v>
      </c>
      <c r="P88" s="369" t="s">
        <v>239</v>
      </c>
      <c r="Q88" s="367" t="s">
        <v>1415</v>
      </c>
      <c r="R88" s="379"/>
      <c r="S88" s="349"/>
    </row>
    <row r="89" spans="1:19" s="345" customFormat="1" ht="17" x14ac:dyDescent="0.25">
      <c r="A89" s="372">
        <v>86</v>
      </c>
      <c r="B89" s="384">
        <v>44944</v>
      </c>
      <c r="C89" s="373" t="s">
        <v>817</v>
      </c>
      <c r="D89" s="385" t="s">
        <v>390</v>
      </c>
      <c r="E89" s="378"/>
      <c r="F89" s="378">
        <v>499</v>
      </c>
      <c r="G89" s="370"/>
      <c r="H89" s="378" t="s">
        <v>391</v>
      </c>
      <c r="I89" s="378" t="s">
        <v>255</v>
      </c>
      <c r="J89" s="386"/>
      <c r="K89" s="378"/>
      <c r="L89" s="378"/>
      <c r="M89" s="378">
        <v>2</v>
      </c>
      <c r="N89" s="387" t="s">
        <v>820</v>
      </c>
      <c r="O89" s="368">
        <v>44966</v>
      </c>
      <c r="P89" s="369" t="s">
        <v>239</v>
      </c>
      <c r="Q89" s="367" t="s">
        <v>1415</v>
      </c>
      <c r="R89" s="388"/>
      <c r="S89" s="350"/>
    </row>
    <row r="90" spans="1:19" s="345" customFormat="1" ht="17" x14ac:dyDescent="0.25">
      <c r="A90" s="372">
        <v>87</v>
      </c>
      <c r="B90" s="384">
        <v>44944</v>
      </c>
      <c r="C90" s="373" t="s">
        <v>817</v>
      </c>
      <c r="D90" s="385" t="s">
        <v>528</v>
      </c>
      <c r="E90" s="378"/>
      <c r="F90" s="378">
        <v>95</v>
      </c>
      <c r="G90" s="370"/>
      <c r="H90" s="378" t="s">
        <v>655</v>
      </c>
      <c r="I90" s="378" t="s">
        <v>255</v>
      </c>
      <c r="J90" s="386"/>
      <c r="K90" s="378"/>
      <c r="L90" s="378"/>
      <c r="M90" s="378">
        <v>4</v>
      </c>
      <c r="N90" s="387" t="s">
        <v>820</v>
      </c>
      <c r="O90" s="368">
        <v>44966</v>
      </c>
      <c r="P90" s="369" t="s">
        <v>239</v>
      </c>
      <c r="Q90" s="367" t="s">
        <v>1415</v>
      </c>
      <c r="R90" s="379"/>
      <c r="S90" s="349"/>
    </row>
    <row r="91" spans="1:19" s="345" customFormat="1" ht="17" x14ac:dyDescent="0.25">
      <c r="A91" s="372">
        <v>88</v>
      </c>
      <c r="B91" s="384">
        <v>44944</v>
      </c>
      <c r="C91" s="373" t="s">
        <v>817</v>
      </c>
      <c r="D91" s="385" t="s">
        <v>528</v>
      </c>
      <c r="E91" s="378"/>
      <c r="F91" s="378">
        <v>65</v>
      </c>
      <c r="G91" s="370"/>
      <c r="H91" s="378" t="s">
        <v>655</v>
      </c>
      <c r="I91" s="378" t="s">
        <v>255</v>
      </c>
      <c r="J91" s="386"/>
      <c r="K91" s="378"/>
      <c r="L91" s="378"/>
      <c r="M91" s="378">
        <v>2</v>
      </c>
      <c r="N91" s="387" t="s">
        <v>820</v>
      </c>
      <c r="O91" s="368">
        <v>44966</v>
      </c>
      <c r="P91" s="369" t="s">
        <v>239</v>
      </c>
      <c r="Q91" s="367" t="s">
        <v>1415</v>
      </c>
      <c r="R91" s="388"/>
      <c r="S91" s="350"/>
    </row>
    <row r="92" spans="1:19" s="345" customFormat="1" ht="17" x14ac:dyDescent="0.25">
      <c r="A92" s="372">
        <v>89</v>
      </c>
      <c r="B92" s="384">
        <v>44944</v>
      </c>
      <c r="C92" s="373" t="s">
        <v>817</v>
      </c>
      <c r="D92" s="385" t="s">
        <v>390</v>
      </c>
      <c r="E92" s="378"/>
      <c r="F92" s="378">
        <v>484</v>
      </c>
      <c r="G92" s="370"/>
      <c r="H92" s="378" t="s">
        <v>391</v>
      </c>
      <c r="I92" s="378" t="s">
        <v>255</v>
      </c>
      <c r="J92" s="386"/>
      <c r="K92" s="378"/>
      <c r="L92" s="378"/>
      <c r="M92" s="378">
        <v>2</v>
      </c>
      <c r="N92" s="387" t="s">
        <v>820</v>
      </c>
      <c r="O92" s="368">
        <v>44966</v>
      </c>
      <c r="P92" s="369" t="s">
        <v>239</v>
      </c>
      <c r="Q92" s="367" t="s">
        <v>1415</v>
      </c>
      <c r="R92" s="379"/>
      <c r="S92" s="349"/>
    </row>
    <row r="93" spans="1:19" s="345" customFormat="1" ht="17" x14ac:dyDescent="0.25">
      <c r="A93" s="372">
        <v>90</v>
      </c>
      <c r="B93" s="384">
        <v>44944</v>
      </c>
      <c r="C93" s="373" t="s">
        <v>817</v>
      </c>
      <c r="D93" s="385" t="s">
        <v>528</v>
      </c>
      <c r="E93" s="378" t="s">
        <v>1593</v>
      </c>
      <c r="F93" s="378">
        <v>484</v>
      </c>
      <c r="G93" s="370"/>
      <c r="H93" s="378" t="s">
        <v>655</v>
      </c>
      <c r="I93" s="378" t="s">
        <v>255</v>
      </c>
      <c r="J93" s="386"/>
      <c r="K93" s="378"/>
      <c r="L93" s="378"/>
      <c r="M93" s="378">
        <v>6</v>
      </c>
      <c r="N93" s="387" t="s">
        <v>820</v>
      </c>
      <c r="O93" s="368">
        <v>44966</v>
      </c>
      <c r="P93" s="369" t="s">
        <v>239</v>
      </c>
      <c r="Q93" s="367" t="s">
        <v>1415</v>
      </c>
      <c r="R93" s="388"/>
      <c r="S93" s="350"/>
    </row>
    <row r="94" spans="1:19" s="345" customFormat="1" ht="17" x14ac:dyDescent="0.25">
      <c r="A94" s="372">
        <v>91</v>
      </c>
      <c r="B94" s="384">
        <v>44944</v>
      </c>
      <c r="C94" s="373" t="s">
        <v>817</v>
      </c>
      <c r="D94" s="385" t="s">
        <v>528</v>
      </c>
      <c r="E94" s="378"/>
      <c r="F94" s="378">
        <v>1430</v>
      </c>
      <c r="G94" s="370"/>
      <c r="H94" s="378" t="s">
        <v>655</v>
      </c>
      <c r="I94" s="378" t="s">
        <v>255</v>
      </c>
      <c r="J94" s="386"/>
      <c r="K94" s="378"/>
      <c r="L94" s="378"/>
      <c r="M94" s="378">
        <v>4</v>
      </c>
      <c r="N94" s="387" t="s">
        <v>820</v>
      </c>
      <c r="O94" s="368">
        <v>44966</v>
      </c>
      <c r="P94" s="369" t="s">
        <v>239</v>
      </c>
      <c r="Q94" s="367" t="s">
        <v>1415</v>
      </c>
      <c r="R94" s="379"/>
      <c r="S94" s="349"/>
    </row>
    <row r="95" spans="1:19" s="345" customFormat="1" ht="17" x14ac:dyDescent="0.25">
      <c r="A95" s="372">
        <v>92</v>
      </c>
      <c r="B95" s="384">
        <v>44944</v>
      </c>
      <c r="C95" s="373" t="s">
        <v>817</v>
      </c>
      <c r="D95" s="385" t="s">
        <v>528</v>
      </c>
      <c r="E95" s="378"/>
      <c r="F95" s="378">
        <v>1155</v>
      </c>
      <c r="G95" s="370"/>
      <c r="H95" s="378" t="s">
        <v>655</v>
      </c>
      <c r="I95" s="378" t="s">
        <v>255</v>
      </c>
      <c r="J95" s="386"/>
      <c r="K95" s="378"/>
      <c r="L95" s="378"/>
      <c r="M95" s="378">
        <v>6</v>
      </c>
      <c r="N95" s="387" t="s">
        <v>820</v>
      </c>
      <c r="O95" s="368">
        <v>44966</v>
      </c>
      <c r="P95" s="369" t="s">
        <v>239</v>
      </c>
      <c r="Q95" s="367" t="s">
        <v>1415</v>
      </c>
      <c r="R95" s="388"/>
      <c r="S95" s="350"/>
    </row>
    <row r="96" spans="1:19" s="345" customFormat="1" ht="17" x14ac:dyDescent="0.25">
      <c r="A96" s="372">
        <v>93</v>
      </c>
      <c r="B96" s="384">
        <v>44944</v>
      </c>
      <c r="C96" s="373" t="s">
        <v>817</v>
      </c>
      <c r="D96" s="385" t="s">
        <v>528</v>
      </c>
      <c r="E96" s="378"/>
      <c r="F96" s="378">
        <v>644</v>
      </c>
      <c r="G96" s="370"/>
      <c r="H96" s="378" t="s">
        <v>655</v>
      </c>
      <c r="I96" s="378" t="s">
        <v>255</v>
      </c>
      <c r="J96" s="386"/>
      <c r="K96" s="378"/>
      <c r="L96" s="378"/>
      <c r="M96" s="378">
        <v>4</v>
      </c>
      <c r="N96" s="387" t="s">
        <v>820</v>
      </c>
      <c r="O96" s="368">
        <v>44966</v>
      </c>
      <c r="P96" s="369" t="s">
        <v>239</v>
      </c>
      <c r="Q96" s="367" t="s">
        <v>1415</v>
      </c>
      <c r="R96" s="379"/>
      <c r="S96" s="349"/>
    </row>
    <row r="97" spans="1:19" s="345" customFormat="1" ht="17" x14ac:dyDescent="0.25">
      <c r="A97" s="372">
        <v>94</v>
      </c>
      <c r="B97" s="384">
        <v>44944</v>
      </c>
      <c r="C97" s="373" t="s">
        <v>817</v>
      </c>
      <c r="D97" s="385" t="s">
        <v>528</v>
      </c>
      <c r="E97" s="378"/>
      <c r="F97" s="378">
        <v>450</v>
      </c>
      <c r="G97" s="370"/>
      <c r="H97" s="378" t="s">
        <v>655</v>
      </c>
      <c r="I97" s="378" t="s">
        <v>255</v>
      </c>
      <c r="J97" s="386"/>
      <c r="K97" s="378"/>
      <c r="L97" s="378"/>
      <c r="M97" s="378">
        <v>6</v>
      </c>
      <c r="N97" s="387" t="s">
        <v>821</v>
      </c>
      <c r="O97" s="368">
        <v>44966</v>
      </c>
      <c r="P97" s="369" t="s">
        <v>239</v>
      </c>
      <c r="Q97" s="367" t="s">
        <v>1415</v>
      </c>
      <c r="R97" s="388"/>
      <c r="S97" s="350"/>
    </row>
    <row r="98" spans="1:19" s="345" customFormat="1" ht="17" x14ac:dyDescent="0.25">
      <c r="A98" s="372">
        <v>95</v>
      </c>
      <c r="B98" s="384">
        <v>44944</v>
      </c>
      <c r="C98" s="373" t="s">
        <v>817</v>
      </c>
      <c r="D98" s="385" t="s">
        <v>528</v>
      </c>
      <c r="E98" s="378"/>
      <c r="F98" s="378">
        <v>373</v>
      </c>
      <c r="G98" s="370"/>
      <c r="H98" s="378" t="s">
        <v>655</v>
      </c>
      <c r="I98" s="378" t="s">
        <v>255</v>
      </c>
      <c r="J98" s="386"/>
      <c r="K98" s="378"/>
      <c r="L98" s="378"/>
      <c r="M98" s="378">
        <v>4</v>
      </c>
      <c r="N98" s="387" t="s">
        <v>823</v>
      </c>
      <c r="O98" s="368">
        <v>44966</v>
      </c>
      <c r="P98" s="369" t="s">
        <v>239</v>
      </c>
      <c r="Q98" s="367" t="s">
        <v>1415</v>
      </c>
      <c r="R98" s="379"/>
      <c r="S98" s="349"/>
    </row>
    <row r="99" spans="1:19" s="345" customFormat="1" ht="17" x14ac:dyDescent="0.25">
      <c r="A99" s="372">
        <v>96</v>
      </c>
      <c r="B99" s="384">
        <v>44944</v>
      </c>
      <c r="C99" s="373" t="s">
        <v>817</v>
      </c>
      <c r="D99" s="385" t="s">
        <v>528</v>
      </c>
      <c r="E99" s="378"/>
      <c r="F99" s="378">
        <v>500</v>
      </c>
      <c r="G99" s="370"/>
      <c r="H99" s="378" t="s">
        <v>655</v>
      </c>
      <c r="I99" s="378" t="s">
        <v>255</v>
      </c>
      <c r="J99" s="386"/>
      <c r="K99" s="378"/>
      <c r="L99" s="378"/>
      <c r="M99" s="378">
        <v>4</v>
      </c>
      <c r="N99" s="387" t="s">
        <v>823</v>
      </c>
      <c r="O99" s="368">
        <v>44966</v>
      </c>
      <c r="P99" s="369" t="s">
        <v>239</v>
      </c>
      <c r="Q99" s="367" t="s">
        <v>1415</v>
      </c>
      <c r="R99" s="388"/>
      <c r="S99" s="350"/>
    </row>
    <row r="100" spans="1:19" s="345" customFormat="1" ht="17" x14ac:dyDescent="0.25">
      <c r="A100" s="372">
        <v>97</v>
      </c>
      <c r="B100" s="384">
        <v>44958</v>
      </c>
      <c r="C100" s="373" t="s">
        <v>254</v>
      </c>
      <c r="D100" s="385" t="s">
        <v>390</v>
      </c>
      <c r="E100" s="378"/>
      <c r="F100" s="378">
        <v>1160</v>
      </c>
      <c r="G100" s="370"/>
      <c r="H100" s="378" t="s">
        <v>391</v>
      </c>
      <c r="I100" s="378" t="s">
        <v>255</v>
      </c>
      <c r="J100" s="386"/>
      <c r="K100" s="378"/>
      <c r="L100" s="378"/>
      <c r="M100" s="378">
        <v>2</v>
      </c>
      <c r="N100" s="387" t="s">
        <v>1323</v>
      </c>
      <c r="O100" s="368">
        <v>44966</v>
      </c>
      <c r="P100" s="369" t="s">
        <v>239</v>
      </c>
      <c r="Q100" s="367" t="s">
        <v>1415</v>
      </c>
      <c r="R100" s="388"/>
      <c r="S100" s="351"/>
    </row>
    <row r="101" spans="1:19" s="345" customFormat="1" ht="17" x14ac:dyDescent="0.25">
      <c r="A101" s="372">
        <v>98</v>
      </c>
      <c r="B101" s="384">
        <v>44958</v>
      </c>
      <c r="C101" s="373" t="s">
        <v>254</v>
      </c>
      <c r="D101" s="385" t="s">
        <v>390</v>
      </c>
      <c r="E101" s="378" t="s">
        <v>1592</v>
      </c>
      <c r="F101" s="378">
        <v>680</v>
      </c>
      <c r="G101" s="370"/>
      <c r="H101" s="378" t="s">
        <v>391</v>
      </c>
      <c r="I101" s="378" t="s">
        <v>255</v>
      </c>
      <c r="J101" s="386"/>
      <c r="K101" s="378"/>
      <c r="L101" s="378"/>
      <c r="M101" s="378">
        <v>4</v>
      </c>
      <c r="N101" s="387" t="s">
        <v>1326</v>
      </c>
      <c r="O101" s="368">
        <v>44966</v>
      </c>
      <c r="P101" s="369" t="s">
        <v>239</v>
      </c>
      <c r="Q101" s="367" t="s">
        <v>1415</v>
      </c>
      <c r="R101" s="388"/>
      <c r="S101" s="352"/>
    </row>
    <row r="102" spans="1:19" s="345" customFormat="1" ht="17" x14ac:dyDescent="0.25">
      <c r="A102" s="372">
        <v>99</v>
      </c>
      <c r="B102" s="384">
        <v>44958</v>
      </c>
      <c r="C102" s="373" t="s">
        <v>254</v>
      </c>
      <c r="D102" s="385" t="s">
        <v>390</v>
      </c>
      <c r="E102" s="378"/>
      <c r="F102" s="378">
        <v>620</v>
      </c>
      <c r="G102" s="370"/>
      <c r="H102" s="378" t="s">
        <v>391</v>
      </c>
      <c r="I102" s="378" t="s">
        <v>255</v>
      </c>
      <c r="J102" s="386"/>
      <c r="K102" s="378"/>
      <c r="L102" s="378"/>
      <c r="M102" s="378">
        <v>2</v>
      </c>
      <c r="N102" s="387" t="s">
        <v>1326</v>
      </c>
      <c r="O102" s="368">
        <v>44966</v>
      </c>
      <c r="P102" s="369" t="s">
        <v>239</v>
      </c>
      <c r="Q102" s="367" t="s">
        <v>1415</v>
      </c>
      <c r="R102" s="388"/>
      <c r="S102" s="352"/>
    </row>
    <row r="103" spans="1:19" ht="17" x14ac:dyDescent="0.25">
      <c r="A103" s="613">
        <v>100</v>
      </c>
      <c r="B103" s="614">
        <v>44984</v>
      </c>
      <c r="C103" s="614" t="s">
        <v>1475</v>
      </c>
      <c r="D103" s="615" t="s">
        <v>390</v>
      </c>
      <c r="E103" s="616"/>
      <c r="F103" s="452">
        <v>255</v>
      </c>
      <c r="G103" s="77"/>
      <c r="H103" s="452" t="s">
        <v>391</v>
      </c>
      <c r="I103" s="433"/>
      <c r="J103" s="617"/>
      <c r="K103" s="618"/>
      <c r="L103" s="618"/>
      <c r="M103" s="452">
        <v>2</v>
      </c>
      <c r="N103" s="435" t="s">
        <v>723</v>
      </c>
      <c r="O103" s="619">
        <v>45058</v>
      </c>
      <c r="P103" s="437" t="s">
        <v>531</v>
      </c>
      <c r="Q103" s="437" t="s">
        <v>1627</v>
      </c>
      <c r="R103" s="433" t="s">
        <v>1626</v>
      </c>
      <c r="S103" s="435"/>
    </row>
    <row r="104" spans="1:19" ht="17" x14ac:dyDescent="0.25">
      <c r="A104" s="613">
        <v>101</v>
      </c>
      <c r="B104" s="614">
        <v>44984</v>
      </c>
      <c r="C104" s="614" t="s">
        <v>1475</v>
      </c>
      <c r="D104" s="615" t="s">
        <v>390</v>
      </c>
      <c r="E104" s="616"/>
      <c r="F104" s="452">
        <v>870</v>
      </c>
      <c r="G104" s="77"/>
      <c r="H104" s="452" t="s">
        <v>391</v>
      </c>
      <c r="I104" s="433"/>
      <c r="J104" s="617"/>
      <c r="K104" s="618"/>
      <c r="L104" s="618"/>
      <c r="M104" s="452">
        <v>3</v>
      </c>
      <c r="N104" s="435" t="s">
        <v>723</v>
      </c>
      <c r="O104" s="619">
        <v>45058</v>
      </c>
      <c r="P104" s="437" t="s">
        <v>531</v>
      </c>
      <c r="Q104" s="437" t="s">
        <v>1627</v>
      </c>
      <c r="R104" s="433" t="s">
        <v>1626</v>
      </c>
      <c r="S104" s="435"/>
    </row>
    <row r="105" spans="1:19" ht="17" x14ac:dyDescent="0.25">
      <c r="A105" s="613">
        <v>102</v>
      </c>
      <c r="B105" s="614">
        <v>44984</v>
      </c>
      <c r="C105" s="614" t="s">
        <v>1475</v>
      </c>
      <c r="D105" s="615" t="s">
        <v>390</v>
      </c>
      <c r="E105" s="616"/>
      <c r="F105" s="452">
        <v>920</v>
      </c>
      <c r="G105" s="77"/>
      <c r="H105" s="452" t="s">
        <v>391</v>
      </c>
      <c r="I105" s="433"/>
      <c r="J105" s="617"/>
      <c r="K105" s="618"/>
      <c r="L105" s="618"/>
      <c r="M105" s="452">
        <v>2</v>
      </c>
      <c r="N105" s="435" t="s">
        <v>723</v>
      </c>
      <c r="O105" s="619">
        <v>45058</v>
      </c>
      <c r="P105" s="437" t="s">
        <v>531</v>
      </c>
      <c r="Q105" s="437" t="s">
        <v>1627</v>
      </c>
      <c r="R105" s="433" t="s">
        <v>1626</v>
      </c>
      <c r="S105" s="435"/>
    </row>
    <row r="106" spans="1:19" ht="17" x14ac:dyDescent="0.25">
      <c r="A106" s="613">
        <v>103</v>
      </c>
      <c r="B106" s="614">
        <v>44984</v>
      </c>
      <c r="C106" s="614" t="s">
        <v>1475</v>
      </c>
      <c r="D106" s="615" t="s">
        <v>390</v>
      </c>
      <c r="E106" s="616"/>
      <c r="F106" s="452">
        <v>1207</v>
      </c>
      <c r="G106" s="77"/>
      <c r="H106" s="452" t="s">
        <v>391</v>
      </c>
      <c r="I106" s="433"/>
      <c r="J106" s="617"/>
      <c r="K106" s="618"/>
      <c r="L106" s="618"/>
      <c r="M106" s="452">
        <v>1</v>
      </c>
      <c r="N106" s="435" t="s">
        <v>723</v>
      </c>
      <c r="O106" s="619">
        <v>45058</v>
      </c>
      <c r="P106" s="437" t="s">
        <v>531</v>
      </c>
      <c r="Q106" s="437" t="s">
        <v>1627</v>
      </c>
      <c r="R106" s="433" t="s">
        <v>1626</v>
      </c>
      <c r="S106" s="435"/>
    </row>
    <row r="107" spans="1:19" ht="17" x14ac:dyDescent="0.25">
      <c r="A107" s="613">
        <v>104</v>
      </c>
      <c r="B107" s="614">
        <v>44984</v>
      </c>
      <c r="C107" s="614" t="s">
        <v>1475</v>
      </c>
      <c r="D107" s="615" t="s">
        <v>390</v>
      </c>
      <c r="E107" s="616"/>
      <c r="F107" s="452">
        <v>1287</v>
      </c>
      <c r="G107" s="77"/>
      <c r="H107" s="452" t="s">
        <v>391</v>
      </c>
      <c r="I107" s="433"/>
      <c r="J107" s="617"/>
      <c r="K107" s="618"/>
      <c r="L107" s="618"/>
      <c r="M107" s="452">
        <v>1</v>
      </c>
      <c r="N107" s="435" t="s">
        <v>723</v>
      </c>
      <c r="O107" s="619">
        <v>45058</v>
      </c>
      <c r="P107" s="437" t="s">
        <v>531</v>
      </c>
      <c r="Q107" s="437" t="s">
        <v>1627</v>
      </c>
      <c r="R107" s="433" t="s">
        <v>1626</v>
      </c>
      <c r="S107" s="435"/>
    </row>
    <row r="108" spans="1:19" ht="17" x14ac:dyDescent="0.25">
      <c r="A108" s="613">
        <v>105</v>
      </c>
      <c r="B108" s="614">
        <v>44984</v>
      </c>
      <c r="C108" s="614" t="s">
        <v>1475</v>
      </c>
      <c r="D108" s="615" t="s">
        <v>390</v>
      </c>
      <c r="E108" s="616"/>
      <c r="F108" s="452">
        <v>1847</v>
      </c>
      <c r="G108" s="77"/>
      <c r="H108" s="452" t="s">
        <v>391</v>
      </c>
      <c r="I108" s="433"/>
      <c r="J108" s="617"/>
      <c r="K108" s="618"/>
      <c r="L108" s="618"/>
      <c r="M108" s="452">
        <v>2</v>
      </c>
      <c r="N108" s="435" t="s">
        <v>723</v>
      </c>
      <c r="O108" s="619">
        <v>45058</v>
      </c>
      <c r="P108" s="437" t="s">
        <v>531</v>
      </c>
      <c r="Q108" s="437" t="s">
        <v>1627</v>
      </c>
      <c r="R108" s="433" t="s">
        <v>1626</v>
      </c>
      <c r="S108" s="435"/>
    </row>
    <row r="109" spans="1:19" ht="17" x14ac:dyDescent="0.25">
      <c r="A109" s="613">
        <v>106</v>
      </c>
      <c r="B109" s="614">
        <v>44984</v>
      </c>
      <c r="C109" s="614" t="s">
        <v>1475</v>
      </c>
      <c r="D109" s="615" t="s">
        <v>390</v>
      </c>
      <c r="E109" s="616"/>
      <c r="F109" s="452">
        <v>1008.5</v>
      </c>
      <c r="G109" s="77"/>
      <c r="H109" s="452" t="s">
        <v>391</v>
      </c>
      <c r="I109" s="433"/>
      <c r="J109" s="617"/>
      <c r="K109" s="618"/>
      <c r="L109" s="618"/>
      <c r="M109" s="452">
        <v>1</v>
      </c>
      <c r="N109" s="435" t="s">
        <v>723</v>
      </c>
      <c r="O109" s="619">
        <v>45058</v>
      </c>
      <c r="P109" s="437" t="s">
        <v>531</v>
      </c>
      <c r="Q109" s="437" t="s">
        <v>1627</v>
      </c>
      <c r="R109" s="433" t="s">
        <v>1626</v>
      </c>
      <c r="S109" s="435"/>
    </row>
    <row r="110" spans="1:19" ht="17" x14ac:dyDescent="0.25">
      <c r="A110" s="613">
        <v>107</v>
      </c>
      <c r="B110" s="614">
        <v>44984</v>
      </c>
      <c r="C110" s="614" t="s">
        <v>1475</v>
      </c>
      <c r="D110" s="615" t="s">
        <v>528</v>
      </c>
      <c r="E110" s="616"/>
      <c r="F110" s="452">
        <v>927.5</v>
      </c>
      <c r="G110" s="77"/>
      <c r="H110" s="452" t="s">
        <v>655</v>
      </c>
      <c r="I110" s="433"/>
      <c r="J110" s="617"/>
      <c r="K110" s="618"/>
      <c r="L110" s="618"/>
      <c r="M110" s="452">
        <v>1</v>
      </c>
      <c r="N110" s="435" t="s">
        <v>723</v>
      </c>
      <c r="O110" s="619">
        <v>45058</v>
      </c>
      <c r="P110" s="437" t="s">
        <v>531</v>
      </c>
      <c r="Q110" s="437" t="s">
        <v>1627</v>
      </c>
      <c r="R110" s="433" t="s">
        <v>1626</v>
      </c>
      <c r="S110" s="435"/>
    </row>
    <row r="111" spans="1:19" ht="17" x14ac:dyDescent="0.25">
      <c r="A111" s="613">
        <v>108</v>
      </c>
      <c r="B111" s="614">
        <v>44984</v>
      </c>
      <c r="C111" s="614" t="s">
        <v>1475</v>
      </c>
      <c r="D111" s="615" t="s">
        <v>528</v>
      </c>
      <c r="E111" s="616"/>
      <c r="F111" s="452">
        <v>73</v>
      </c>
      <c r="G111" s="77"/>
      <c r="H111" s="452" t="s">
        <v>655</v>
      </c>
      <c r="I111" s="433"/>
      <c r="J111" s="617"/>
      <c r="K111" s="618"/>
      <c r="L111" s="618"/>
      <c r="M111" s="452">
        <v>2</v>
      </c>
      <c r="N111" s="435" t="s">
        <v>723</v>
      </c>
      <c r="O111" s="619">
        <v>45058</v>
      </c>
      <c r="P111" s="437" t="s">
        <v>531</v>
      </c>
      <c r="Q111" s="437" t="s">
        <v>1627</v>
      </c>
      <c r="R111" s="433" t="s">
        <v>1626</v>
      </c>
      <c r="S111" s="435"/>
    </row>
    <row r="112" spans="1:19" ht="17" x14ac:dyDescent="0.25">
      <c r="A112" s="613">
        <v>109</v>
      </c>
      <c r="B112" s="614">
        <v>44984</v>
      </c>
      <c r="C112" s="614" t="s">
        <v>1475</v>
      </c>
      <c r="D112" s="615" t="s">
        <v>528</v>
      </c>
      <c r="E112" s="616"/>
      <c r="F112" s="452">
        <v>632</v>
      </c>
      <c r="G112" s="77"/>
      <c r="H112" s="452" t="s">
        <v>655</v>
      </c>
      <c r="I112" s="433"/>
      <c r="J112" s="617"/>
      <c r="K112" s="618"/>
      <c r="L112" s="618"/>
      <c r="M112" s="452">
        <v>1</v>
      </c>
      <c r="N112" s="435" t="s">
        <v>723</v>
      </c>
      <c r="O112" s="619">
        <v>45058</v>
      </c>
      <c r="P112" s="437" t="s">
        <v>531</v>
      </c>
      <c r="Q112" s="437" t="s">
        <v>1627</v>
      </c>
      <c r="R112" s="433" t="s">
        <v>1626</v>
      </c>
      <c r="S112" s="435"/>
    </row>
    <row r="113" spans="1:19" ht="17" x14ac:dyDescent="0.25">
      <c r="A113" s="613">
        <v>110</v>
      </c>
      <c r="B113" s="614">
        <v>44984</v>
      </c>
      <c r="C113" s="614" t="s">
        <v>1475</v>
      </c>
      <c r="D113" s="615" t="s">
        <v>528</v>
      </c>
      <c r="E113" s="616"/>
      <c r="F113" s="452">
        <v>210</v>
      </c>
      <c r="G113" s="77"/>
      <c r="H113" s="452" t="s">
        <v>655</v>
      </c>
      <c r="I113" s="433"/>
      <c r="J113" s="617"/>
      <c r="K113" s="618"/>
      <c r="L113" s="618"/>
      <c r="M113" s="452">
        <v>1</v>
      </c>
      <c r="N113" s="435" t="s">
        <v>723</v>
      </c>
      <c r="O113" s="619">
        <v>45058</v>
      </c>
      <c r="P113" s="437" t="s">
        <v>531</v>
      </c>
      <c r="Q113" s="437" t="s">
        <v>1627</v>
      </c>
      <c r="R113" s="433" t="s">
        <v>1626</v>
      </c>
      <c r="S113" s="435"/>
    </row>
    <row r="114" spans="1:19" ht="17" x14ac:dyDescent="0.25">
      <c r="A114" s="613">
        <v>111</v>
      </c>
      <c r="B114" s="614">
        <v>44984</v>
      </c>
      <c r="C114" s="614" t="s">
        <v>1475</v>
      </c>
      <c r="D114" s="615" t="s">
        <v>390</v>
      </c>
      <c r="E114" s="616"/>
      <c r="F114" s="452">
        <v>1370</v>
      </c>
      <c r="G114" s="77"/>
      <c r="H114" s="452" t="s">
        <v>391</v>
      </c>
      <c r="I114" s="433"/>
      <c r="J114" s="617"/>
      <c r="K114" s="618"/>
      <c r="L114" s="618"/>
      <c r="M114" s="452">
        <v>1</v>
      </c>
      <c r="N114" s="435" t="s">
        <v>723</v>
      </c>
      <c r="O114" s="619">
        <v>45058</v>
      </c>
      <c r="P114" s="437" t="s">
        <v>531</v>
      </c>
      <c r="Q114" s="437" t="s">
        <v>1627</v>
      </c>
      <c r="R114" s="433" t="s">
        <v>1626</v>
      </c>
      <c r="S114" s="435"/>
    </row>
    <row r="115" spans="1:19" ht="17" x14ac:dyDescent="0.25">
      <c r="A115" s="613">
        <v>112</v>
      </c>
      <c r="B115" s="614">
        <v>44984</v>
      </c>
      <c r="C115" s="614" t="s">
        <v>1475</v>
      </c>
      <c r="D115" s="615" t="s">
        <v>390</v>
      </c>
      <c r="E115" s="616"/>
      <c r="F115" s="452">
        <v>723</v>
      </c>
      <c r="G115" s="77"/>
      <c r="H115" s="452" t="s">
        <v>391</v>
      </c>
      <c r="I115" s="433"/>
      <c r="J115" s="617"/>
      <c r="K115" s="618"/>
      <c r="L115" s="618"/>
      <c r="M115" s="452">
        <v>1</v>
      </c>
      <c r="N115" s="435" t="s">
        <v>723</v>
      </c>
      <c r="O115" s="619">
        <v>45058</v>
      </c>
      <c r="P115" s="437" t="s">
        <v>531</v>
      </c>
      <c r="Q115" s="437" t="s">
        <v>1627</v>
      </c>
      <c r="R115" s="433" t="s">
        <v>1626</v>
      </c>
      <c r="S115" s="435"/>
    </row>
    <row r="116" spans="1:19" ht="17" x14ac:dyDescent="0.25">
      <c r="A116" s="613">
        <v>113</v>
      </c>
      <c r="B116" s="614">
        <v>44984</v>
      </c>
      <c r="C116" s="614" t="s">
        <v>1475</v>
      </c>
      <c r="D116" s="615" t="s">
        <v>390</v>
      </c>
      <c r="E116" s="616"/>
      <c r="F116" s="452">
        <v>763</v>
      </c>
      <c r="G116" s="77"/>
      <c r="H116" s="452" t="s">
        <v>391</v>
      </c>
      <c r="I116" s="433"/>
      <c r="J116" s="617"/>
      <c r="K116" s="618"/>
      <c r="L116" s="618"/>
      <c r="M116" s="452">
        <v>1</v>
      </c>
      <c r="N116" s="435" t="s">
        <v>723</v>
      </c>
      <c r="O116" s="619">
        <v>45058</v>
      </c>
      <c r="P116" s="437" t="s">
        <v>531</v>
      </c>
      <c r="Q116" s="437" t="s">
        <v>1627</v>
      </c>
      <c r="R116" s="433" t="s">
        <v>1626</v>
      </c>
      <c r="S116" s="435"/>
    </row>
    <row r="117" spans="1:19" ht="17" x14ac:dyDescent="0.25">
      <c r="A117" s="613">
        <v>114</v>
      </c>
      <c r="B117" s="614">
        <v>44984</v>
      </c>
      <c r="C117" s="614" t="s">
        <v>1475</v>
      </c>
      <c r="D117" s="615" t="s">
        <v>390</v>
      </c>
      <c r="E117" s="616"/>
      <c r="F117" s="452">
        <v>968.5</v>
      </c>
      <c r="G117" s="77"/>
      <c r="H117" s="452" t="s">
        <v>391</v>
      </c>
      <c r="I117" s="433"/>
      <c r="J117" s="617"/>
      <c r="K117" s="618"/>
      <c r="L117" s="618"/>
      <c r="M117" s="452">
        <v>1</v>
      </c>
      <c r="N117" s="435" t="s">
        <v>723</v>
      </c>
      <c r="O117" s="619">
        <v>45058</v>
      </c>
      <c r="P117" s="437" t="s">
        <v>531</v>
      </c>
      <c r="Q117" s="437" t="s">
        <v>1627</v>
      </c>
      <c r="R117" s="433" t="s">
        <v>1626</v>
      </c>
      <c r="S117" s="435"/>
    </row>
    <row r="118" spans="1:19" ht="17" x14ac:dyDescent="0.25">
      <c r="A118" s="613">
        <v>115</v>
      </c>
      <c r="B118" s="614">
        <v>44984</v>
      </c>
      <c r="C118" s="614" t="s">
        <v>1475</v>
      </c>
      <c r="D118" s="615" t="s">
        <v>528</v>
      </c>
      <c r="E118" s="616"/>
      <c r="F118" s="452">
        <v>169</v>
      </c>
      <c r="G118" s="77"/>
      <c r="H118" s="452" t="s">
        <v>655</v>
      </c>
      <c r="I118" s="433"/>
      <c r="J118" s="617"/>
      <c r="K118" s="618"/>
      <c r="L118" s="618"/>
      <c r="M118" s="452">
        <v>2</v>
      </c>
      <c r="N118" s="435" t="s">
        <v>723</v>
      </c>
      <c r="O118" s="619">
        <v>45058</v>
      </c>
      <c r="P118" s="437" t="s">
        <v>531</v>
      </c>
      <c r="Q118" s="437" t="s">
        <v>1627</v>
      </c>
      <c r="R118" s="433" t="s">
        <v>1626</v>
      </c>
      <c r="S118" s="435"/>
    </row>
    <row r="119" spans="1:19" ht="17" x14ac:dyDescent="0.25">
      <c r="A119" s="613">
        <v>116</v>
      </c>
      <c r="B119" s="614">
        <v>44984</v>
      </c>
      <c r="C119" s="614" t="s">
        <v>1475</v>
      </c>
      <c r="D119" s="615" t="s">
        <v>528</v>
      </c>
      <c r="E119" s="616"/>
      <c r="F119" s="452">
        <v>797</v>
      </c>
      <c r="G119" s="77"/>
      <c r="H119" s="452" t="s">
        <v>655</v>
      </c>
      <c r="I119" s="433"/>
      <c r="J119" s="617"/>
      <c r="K119" s="618"/>
      <c r="L119" s="618"/>
      <c r="M119" s="452">
        <v>1</v>
      </c>
      <c r="N119" s="435" t="s">
        <v>723</v>
      </c>
      <c r="O119" s="619">
        <v>45058</v>
      </c>
      <c r="P119" s="437" t="s">
        <v>531</v>
      </c>
      <c r="Q119" s="437" t="s">
        <v>1627</v>
      </c>
      <c r="R119" s="433" t="s">
        <v>1626</v>
      </c>
      <c r="S119" s="435"/>
    </row>
    <row r="120" spans="1:19" ht="17" x14ac:dyDescent="0.25">
      <c r="A120" s="613">
        <v>117</v>
      </c>
      <c r="B120" s="614">
        <v>44984</v>
      </c>
      <c r="C120" s="614" t="s">
        <v>1475</v>
      </c>
      <c r="D120" s="615" t="s">
        <v>390</v>
      </c>
      <c r="E120" s="616"/>
      <c r="F120" s="452">
        <v>960</v>
      </c>
      <c r="G120" s="77"/>
      <c r="H120" s="452" t="s">
        <v>391</v>
      </c>
      <c r="I120" s="433"/>
      <c r="J120" s="617"/>
      <c r="K120" s="618"/>
      <c r="L120" s="618"/>
      <c r="M120" s="452">
        <v>2</v>
      </c>
      <c r="N120" s="435" t="s">
        <v>723</v>
      </c>
      <c r="O120" s="619">
        <v>45058</v>
      </c>
      <c r="P120" s="437" t="s">
        <v>531</v>
      </c>
      <c r="Q120" s="437" t="s">
        <v>1627</v>
      </c>
      <c r="R120" s="433" t="s">
        <v>1626</v>
      </c>
      <c r="S120" s="435"/>
    </row>
    <row r="121" spans="1:19" ht="17" x14ac:dyDescent="0.25">
      <c r="A121" s="613">
        <v>118</v>
      </c>
      <c r="B121" s="614">
        <v>44984</v>
      </c>
      <c r="C121" s="614" t="s">
        <v>1475</v>
      </c>
      <c r="D121" s="615" t="s">
        <v>390</v>
      </c>
      <c r="E121" s="616"/>
      <c r="F121" s="452">
        <v>1330</v>
      </c>
      <c r="G121" s="77"/>
      <c r="H121" s="452" t="s">
        <v>391</v>
      </c>
      <c r="I121" s="433"/>
      <c r="J121" s="617"/>
      <c r="K121" s="618"/>
      <c r="L121" s="618"/>
      <c r="M121" s="452">
        <v>1</v>
      </c>
      <c r="N121" s="435" t="s">
        <v>723</v>
      </c>
      <c r="O121" s="619">
        <v>45058</v>
      </c>
      <c r="P121" s="437" t="s">
        <v>531</v>
      </c>
      <c r="Q121" s="437" t="s">
        <v>1627</v>
      </c>
      <c r="R121" s="433" t="s">
        <v>1626</v>
      </c>
      <c r="S121" s="435"/>
    </row>
    <row r="122" spans="1:19" ht="17" x14ac:dyDescent="0.25">
      <c r="A122" s="613">
        <v>119</v>
      </c>
      <c r="B122" s="614">
        <v>44984</v>
      </c>
      <c r="C122" s="614" t="s">
        <v>1475</v>
      </c>
      <c r="D122" s="615" t="s">
        <v>390</v>
      </c>
      <c r="E122" s="616"/>
      <c r="F122" s="452">
        <v>120</v>
      </c>
      <c r="G122" s="77"/>
      <c r="H122" s="452" t="s">
        <v>391</v>
      </c>
      <c r="I122" s="433"/>
      <c r="J122" s="617"/>
      <c r="K122" s="618"/>
      <c r="L122" s="618"/>
      <c r="M122" s="452">
        <v>2</v>
      </c>
      <c r="N122" s="435" t="s">
        <v>723</v>
      </c>
      <c r="O122" s="619">
        <v>45058</v>
      </c>
      <c r="P122" s="437" t="s">
        <v>531</v>
      </c>
      <c r="Q122" s="437" t="s">
        <v>1627</v>
      </c>
      <c r="R122" s="433" t="s">
        <v>1626</v>
      </c>
      <c r="S122" s="435"/>
    </row>
    <row r="123" spans="1:19" ht="17" x14ac:dyDescent="0.25">
      <c r="A123" s="613">
        <v>120</v>
      </c>
      <c r="B123" s="614">
        <v>44984</v>
      </c>
      <c r="C123" s="614" t="s">
        <v>1475</v>
      </c>
      <c r="D123" s="615" t="s">
        <v>390</v>
      </c>
      <c r="E123" s="616"/>
      <c r="F123" s="452">
        <v>740</v>
      </c>
      <c r="G123" s="77"/>
      <c r="H123" s="452" t="s">
        <v>391</v>
      </c>
      <c r="I123" s="433"/>
      <c r="J123" s="617"/>
      <c r="K123" s="618"/>
      <c r="L123" s="618"/>
      <c r="M123" s="452">
        <v>1</v>
      </c>
      <c r="N123" s="435" t="s">
        <v>723</v>
      </c>
      <c r="O123" s="619">
        <v>45058</v>
      </c>
      <c r="P123" s="437" t="s">
        <v>531</v>
      </c>
      <c r="Q123" s="437" t="s">
        <v>1627</v>
      </c>
      <c r="R123" s="433" t="s">
        <v>1626</v>
      </c>
      <c r="S123" s="435"/>
    </row>
    <row r="124" spans="1:19" ht="17" x14ac:dyDescent="0.25">
      <c r="A124" s="613">
        <v>121</v>
      </c>
      <c r="B124" s="614">
        <v>44984</v>
      </c>
      <c r="C124" s="614" t="s">
        <v>1475</v>
      </c>
      <c r="D124" s="615" t="s">
        <v>390</v>
      </c>
      <c r="E124" s="616"/>
      <c r="F124" s="452">
        <v>115</v>
      </c>
      <c r="G124" s="77"/>
      <c r="H124" s="452" t="s">
        <v>391</v>
      </c>
      <c r="I124" s="433"/>
      <c r="J124" s="617"/>
      <c r="K124" s="618"/>
      <c r="L124" s="618"/>
      <c r="M124" s="452">
        <v>3</v>
      </c>
      <c r="N124" s="435" t="s">
        <v>723</v>
      </c>
      <c r="O124" s="619">
        <v>45058</v>
      </c>
      <c r="P124" s="437" t="s">
        <v>531</v>
      </c>
      <c r="Q124" s="437" t="s">
        <v>1627</v>
      </c>
      <c r="R124" s="433" t="s">
        <v>1626</v>
      </c>
      <c r="S124" s="435"/>
    </row>
    <row r="125" spans="1:19" ht="17" x14ac:dyDescent="0.25">
      <c r="A125" s="613">
        <v>122</v>
      </c>
      <c r="B125" s="614">
        <v>44984</v>
      </c>
      <c r="C125" s="614" t="s">
        <v>1475</v>
      </c>
      <c r="D125" s="615" t="s">
        <v>390</v>
      </c>
      <c r="E125" s="616"/>
      <c r="F125" s="452">
        <v>1082</v>
      </c>
      <c r="G125" s="77"/>
      <c r="H125" s="452" t="s">
        <v>391</v>
      </c>
      <c r="I125" s="433"/>
      <c r="J125" s="617"/>
      <c r="K125" s="618"/>
      <c r="L125" s="618"/>
      <c r="M125" s="452">
        <v>2</v>
      </c>
      <c r="N125" s="435" t="s">
        <v>723</v>
      </c>
      <c r="O125" s="619">
        <v>45058</v>
      </c>
      <c r="P125" s="437" t="s">
        <v>531</v>
      </c>
      <c r="Q125" s="437" t="s">
        <v>1627</v>
      </c>
      <c r="R125" s="433" t="s">
        <v>1626</v>
      </c>
      <c r="S125" s="435"/>
    </row>
    <row r="126" spans="1:19" ht="17" x14ac:dyDescent="0.25">
      <c r="A126" s="613">
        <v>123</v>
      </c>
      <c r="B126" s="614">
        <v>44984</v>
      </c>
      <c r="C126" s="614" t="s">
        <v>1475</v>
      </c>
      <c r="D126" s="615" t="s">
        <v>390</v>
      </c>
      <c r="E126" s="616"/>
      <c r="F126" s="452">
        <v>2082</v>
      </c>
      <c r="G126" s="77"/>
      <c r="H126" s="452" t="s">
        <v>391</v>
      </c>
      <c r="I126" s="433"/>
      <c r="J126" s="617"/>
      <c r="K126" s="618"/>
      <c r="L126" s="618"/>
      <c r="M126" s="452">
        <v>1</v>
      </c>
      <c r="N126" s="435" t="s">
        <v>723</v>
      </c>
      <c r="O126" s="619">
        <v>45058</v>
      </c>
      <c r="P126" s="437" t="s">
        <v>531</v>
      </c>
      <c r="Q126" s="437" t="s">
        <v>1627</v>
      </c>
      <c r="R126" s="433" t="s">
        <v>1626</v>
      </c>
      <c r="S126" s="435"/>
    </row>
    <row r="127" spans="1:19" ht="17" x14ac:dyDescent="0.25">
      <c r="A127" s="613">
        <v>124</v>
      </c>
      <c r="B127" s="614">
        <v>44984</v>
      </c>
      <c r="C127" s="614" t="s">
        <v>1475</v>
      </c>
      <c r="D127" s="615" t="s">
        <v>390</v>
      </c>
      <c r="E127" s="616"/>
      <c r="F127" s="452">
        <v>1290</v>
      </c>
      <c r="G127" s="77"/>
      <c r="H127" s="452" t="s">
        <v>391</v>
      </c>
      <c r="I127" s="433"/>
      <c r="J127" s="617"/>
      <c r="K127" s="618"/>
      <c r="L127" s="618"/>
      <c r="M127" s="452">
        <v>1</v>
      </c>
      <c r="N127" s="435" t="s">
        <v>723</v>
      </c>
      <c r="O127" s="619">
        <v>45058</v>
      </c>
      <c r="P127" s="437" t="s">
        <v>531</v>
      </c>
      <c r="Q127" s="437" t="s">
        <v>1627</v>
      </c>
      <c r="R127" s="433" t="s">
        <v>1626</v>
      </c>
      <c r="S127" s="435"/>
    </row>
    <row r="128" spans="1:19" ht="17" x14ac:dyDescent="0.25">
      <c r="A128" s="613">
        <v>125</v>
      </c>
      <c r="B128" s="614">
        <v>44984</v>
      </c>
      <c r="C128" s="614" t="s">
        <v>1475</v>
      </c>
      <c r="D128" s="615" t="s">
        <v>390</v>
      </c>
      <c r="E128" s="616"/>
      <c r="F128" s="452">
        <v>2122</v>
      </c>
      <c r="G128" s="77"/>
      <c r="H128" s="452" t="s">
        <v>391</v>
      </c>
      <c r="I128" s="433"/>
      <c r="J128" s="617"/>
      <c r="K128" s="618"/>
      <c r="L128" s="618"/>
      <c r="M128" s="452">
        <v>1</v>
      </c>
      <c r="N128" s="435" t="s">
        <v>723</v>
      </c>
      <c r="O128" s="619">
        <v>45058</v>
      </c>
      <c r="P128" s="437" t="s">
        <v>531</v>
      </c>
      <c r="Q128" s="437" t="s">
        <v>1627</v>
      </c>
      <c r="R128" s="433" t="s">
        <v>1626</v>
      </c>
      <c r="S128" s="435"/>
    </row>
    <row r="129" spans="1:19" ht="17" x14ac:dyDescent="0.25">
      <c r="A129" s="613">
        <v>126</v>
      </c>
      <c r="B129" s="614">
        <v>44984</v>
      </c>
      <c r="C129" s="614" t="s">
        <v>1475</v>
      </c>
      <c r="D129" s="615" t="s">
        <v>390</v>
      </c>
      <c r="E129" s="616"/>
      <c r="F129" s="452">
        <v>703</v>
      </c>
      <c r="G129" s="77"/>
      <c r="H129" s="452" t="s">
        <v>391</v>
      </c>
      <c r="I129" s="433"/>
      <c r="J129" s="617"/>
      <c r="K129" s="618"/>
      <c r="L129" s="618"/>
      <c r="M129" s="452">
        <v>3</v>
      </c>
      <c r="N129" s="435" t="s">
        <v>723</v>
      </c>
      <c r="O129" s="619">
        <v>45058</v>
      </c>
      <c r="P129" s="437" t="s">
        <v>531</v>
      </c>
      <c r="Q129" s="437" t="s">
        <v>1627</v>
      </c>
      <c r="R129" s="433" t="s">
        <v>1626</v>
      </c>
      <c r="S129" s="435"/>
    </row>
    <row r="130" spans="1:19" ht="17" x14ac:dyDescent="0.25">
      <c r="A130" s="613">
        <v>127</v>
      </c>
      <c r="B130" s="614">
        <v>44984</v>
      </c>
      <c r="C130" s="614" t="s">
        <v>1475</v>
      </c>
      <c r="D130" s="615" t="s">
        <v>390</v>
      </c>
      <c r="E130" s="616"/>
      <c r="F130" s="452">
        <v>255</v>
      </c>
      <c r="G130" s="77"/>
      <c r="H130" s="452" t="s">
        <v>391</v>
      </c>
      <c r="I130" s="433"/>
      <c r="J130" s="617"/>
      <c r="K130" s="618"/>
      <c r="L130" s="618"/>
      <c r="M130" s="452">
        <v>2</v>
      </c>
      <c r="N130" s="435" t="s">
        <v>723</v>
      </c>
      <c r="O130" s="619">
        <v>45058</v>
      </c>
      <c r="P130" s="437" t="s">
        <v>531</v>
      </c>
      <c r="Q130" s="437" t="s">
        <v>1627</v>
      </c>
      <c r="R130" s="433" t="s">
        <v>1626</v>
      </c>
      <c r="S130" s="435"/>
    </row>
    <row r="131" spans="1:19" ht="17" x14ac:dyDescent="0.25">
      <c r="A131" s="613">
        <v>128</v>
      </c>
      <c r="B131" s="614">
        <v>44984</v>
      </c>
      <c r="C131" s="614" t="s">
        <v>1475</v>
      </c>
      <c r="D131" s="615" t="s">
        <v>390</v>
      </c>
      <c r="E131" s="616"/>
      <c r="F131" s="452">
        <v>870</v>
      </c>
      <c r="G131" s="77"/>
      <c r="H131" s="452" t="s">
        <v>391</v>
      </c>
      <c r="I131" s="433"/>
      <c r="J131" s="617"/>
      <c r="K131" s="618"/>
      <c r="L131" s="618"/>
      <c r="M131" s="452">
        <v>3</v>
      </c>
      <c r="N131" s="435" t="s">
        <v>723</v>
      </c>
      <c r="O131" s="619">
        <v>45058</v>
      </c>
      <c r="P131" s="437" t="s">
        <v>531</v>
      </c>
      <c r="Q131" s="437" t="s">
        <v>1627</v>
      </c>
      <c r="R131" s="433" t="s">
        <v>1626</v>
      </c>
      <c r="S131" s="435"/>
    </row>
    <row r="132" spans="1:19" ht="17" x14ac:dyDescent="0.25">
      <c r="A132" s="613">
        <v>129</v>
      </c>
      <c r="B132" s="614">
        <v>44984</v>
      </c>
      <c r="C132" s="614" t="s">
        <v>1475</v>
      </c>
      <c r="D132" s="615" t="s">
        <v>390</v>
      </c>
      <c r="E132" s="616"/>
      <c r="F132" s="452">
        <v>920</v>
      </c>
      <c r="G132" s="77"/>
      <c r="H132" s="452" t="s">
        <v>391</v>
      </c>
      <c r="I132" s="433"/>
      <c r="J132" s="617"/>
      <c r="K132" s="618"/>
      <c r="L132" s="618"/>
      <c r="M132" s="452">
        <v>2</v>
      </c>
      <c r="N132" s="435" t="s">
        <v>723</v>
      </c>
      <c r="O132" s="619">
        <v>45058</v>
      </c>
      <c r="P132" s="437" t="s">
        <v>531</v>
      </c>
      <c r="Q132" s="437" t="s">
        <v>1627</v>
      </c>
      <c r="R132" s="433" t="s">
        <v>1626</v>
      </c>
      <c r="S132" s="435"/>
    </row>
    <row r="133" spans="1:19" ht="17" x14ac:dyDescent="0.25">
      <c r="A133" s="613">
        <v>130</v>
      </c>
      <c r="B133" s="614">
        <v>44984</v>
      </c>
      <c r="C133" s="614" t="s">
        <v>1475</v>
      </c>
      <c r="D133" s="615" t="s">
        <v>390</v>
      </c>
      <c r="E133" s="616"/>
      <c r="F133" s="452">
        <v>2068</v>
      </c>
      <c r="G133" s="77"/>
      <c r="H133" s="452" t="s">
        <v>391</v>
      </c>
      <c r="I133" s="433"/>
      <c r="J133" s="617"/>
      <c r="K133" s="618"/>
      <c r="L133" s="618"/>
      <c r="M133" s="452">
        <v>1</v>
      </c>
      <c r="N133" s="435" t="s">
        <v>723</v>
      </c>
      <c r="O133" s="619">
        <v>45058</v>
      </c>
      <c r="P133" s="437" t="s">
        <v>531</v>
      </c>
      <c r="Q133" s="437" t="s">
        <v>1627</v>
      </c>
      <c r="R133" s="433" t="s">
        <v>1626</v>
      </c>
      <c r="S133" s="435"/>
    </row>
    <row r="134" spans="1:19" ht="17" x14ac:dyDescent="0.25">
      <c r="A134" s="613">
        <v>131</v>
      </c>
      <c r="B134" s="614">
        <v>44984</v>
      </c>
      <c r="C134" s="614" t="s">
        <v>1475</v>
      </c>
      <c r="D134" s="615" t="s">
        <v>390</v>
      </c>
      <c r="E134" s="616"/>
      <c r="F134" s="452">
        <v>500</v>
      </c>
      <c r="G134" s="77"/>
      <c r="H134" s="452" t="s">
        <v>391</v>
      </c>
      <c r="I134" s="433"/>
      <c r="J134" s="617"/>
      <c r="K134" s="618"/>
      <c r="L134" s="618"/>
      <c r="M134" s="452">
        <v>1</v>
      </c>
      <c r="N134" s="435" t="s">
        <v>723</v>
      </c>
      <c r="O134" s="619">
        <v>45058</v>
      </c>
      <c r="P134" s="437" t="s">
        <v>531</v>
      </c>
      <c r="Q134" s="437" t="s">
        <v>1627</v>
      </c>
      <c r="R134" s="433" t="s">
        <v>1626</v>
      </c>
      <c r="S134" s="435"/>
    </row>
    <row r="135" spans="1:19" ht="17" x14ac:dyDescent="0.25">
      <c r="A135" s="613">
        <v>132</v>
      </c>
      <c r="B135" s="614">
        <v>44984</v>
      </c>
      <c r="C135" s="614" t="s">
        <v>1475</v>
      </c>
      <c r="D135" s="615" t="s">
        <v>390</v>
      </c>
      <c r="E135" s="616"/>
      <c r="F135" s="452">
        <v>1200</v>
      </c>
      <c r="G135" s="77"/>
      <c r="H135" s="452" t="s">
        <v>391</v>
      </c>
      <c r="I135" s="433"/>
      <c r="J135" s="617"/>
      <c r="K135" s="618"/>
      <c r="L135" s="618"/>
      <c r="M135" s="452">
        <v>1</v>
      </c>
      <c r="N135" s="435" t="s">
        <v>723</v>
      </c>
      <c r="O135" s="619">
        <v>45058</v>
      </c>
      <c r="P135" s="437" t="s">
        <v>531</v>
      </c>
      <c r="Q135" s="437" t="s">
        <v>1627</v>
      </c>
      <c r="R135" s="433" t="s">
        <v>1626</v>
      </c>
      <c r="S135" s="435"/>
    </row>
    <row r="136" spans="1:19" ht="17" x14ac:dyDescent="0.25">
      <c r="A136" s="613">
        <v>133</v>
      </c>
      <c r="B136" s="614">
        <v>44984</v>
      </c>
      <c r="C136" s="614" t="s">
        <v>1475</v>
      </c>
      <c r="D136" s="615" t="s">
        <v>390</v>
      </c>
      <c r="E136" s="616"/>
      <c r="F136" s="452">
        <v>2108</v>
      </c>
      <c r="G136" s="77"/>
      <c r="H136" s="452" t="s">
        <v>391</v>
      </c>
      <c r="I136" s="433"/>
      <c r="J136" s="617"/>
      <c r="K136" s="618"/>
      <c r="L136" s="618"/>
      <c r="M136" s="452">
        <v>1</v>
      </c>
      <c r="N136" s="435" t="s">
        <v>723</v>
      </c>
      <c r="O136" s="619">
        <v>45058</v>
      </c>
      <c r="P136" s="437" t="s">
        <v>531</v>
      </c>
      <c r="Q136" s="437" t="s">
        <v>1627</v>
      </c>
      <c r="R136" s="433" t="s">
        <v>1626</v>
      </c>
      <c r="S136" s="435"/>
    </row>
    <row r="137" spans="1:19" ht="17" x14ac:dyDescent="0.25">
      <c r="A137" s="613">
        <v>134</v>
      </c>
      <c r="B137" s="614">
        <v>44984</v>
      </c>
      <c r="C137" s="614" t="s">
        <v>1475</v>
      </c>
      <c r="D137" s="615" t="s">
        <v>390</v>
      </c>
      <c r="E137" s="616"/>
      <c r="F137" s="452">
        <v>2063</v>
      </c>
      <c r="G137" s="77"/>
      <c r="H137" s="452" t="s">
        <v>391</v>
      </c>
      <c r="I137" s="433"/>
      <c r="J137" s="617"/>
      <c r="K137" s="618"/>
      <c r="L137" s="618"/>
      <c r="M137" s="452">
        <v>2</v>
      </c>
      <c r="N137" s="435" t="s">
        <v>723</v>
      </c>
      <c r="O137" s="619">
        <v>45058</v>
      </c>
      <c r="P137" s="437" t="s">
        <v>531</v>
      </c>
      <c r="Q137" s="437" t="s">
        <v>1627</v>
      </c>
      <c r="R137" s="433" t="s">
        <v>1626</v>
      </c>
      <c r="S137" s="435"/>
    </row>
    <row r="138" spans="1:19" ht="17" x14ac:dyDescent="0.25">
      <c r="A138" s="613">
        <v>135</v>
      </c>
      <c r="B138" s="614">
        <v>44984</v>
      </c>
      <c r="C138" s="614" t="s">
        <v>1475</v>
      </c>
      <c r="D138" s="615" t="s">
        <v>390</v>
      </c>
      <c r="E138" s="616"/>
      <c r="F138" s="452">
        <v>570</v>
      </c>
      <c r="G138" s="77"/>
      <c r="H138" s="452" t="s">
        <v>391</v>
      </c>
      <c r="I138" s="433"/>
      <c r="J138" s="617"/>
      <c r="K138" s="618"/>
      <c r="L138" s="618"/>
      <c r="M138" s="452">
        <v>3</v>
      </c>
      <c r="N138" s="435" t="s">
        <v>723</v>
      </c>
      <c r="O138" s="619">
        <v>45058</v>
      </c>
      <c r="P138" s="437" t="s">
        <v>531</v>
      </c>
      <c r="Q138" s="437" t="s">
        <v>1627</v>
      </c>
      <c r="R138" s="433" t="s">
        <v>1626</v>
      </c>
      <c r="S138" s="435"/>
    </row>
    <row r="139" spans="1:19" ht="34" x14ac:dyDescent="0.25">
      <c r="A139" s="448">
        <v>136</v>
      </c>
      <c r="B139" s="449">
        <v>44958</v>
      </c>
      <c r="C139" s="449" t="s">
        <v>254</v>
      </c>
      <c r="D139" s="438" t="s">
        <v>390</v>
      </c>
      <c r="E139" s="81"/>
      <c r="F139" s="439">
        <v>530</v>
      </c>
      <c r="G139" s="440"/>
      <c r="H139" s="452" t="s">
        <v>391</v>
      </c>
      <c r="I139" s="439" t="s">
        <v>255</v>
      </c>
      <c r="J139" s="441"/>
      <c r="K139" s="84"/>
      <c r="L139" s="84"/>
      <c r="M139" s="439">
        <v>4</v>
      </c>
      <c r="N139" s="441" t="s">
        <v>1326</v>
      </c>
      <c r="O139" s="442"/>
      <c r="P139" s="437" t="s">
        <v>531</v>
      </c>
      <c r="Q139" s="437" t="s">
        <v>1602</v>
      </c>
      <c r="R139" s="433"/>
      <c r="S139" s="435"/>
    </row>
    <row r="140" spans="1:19" ht="34" x14ac:dyDescent="0.25">
      <c r="A140" s="450">
        <v>137</v>
      </c>
      <c r="B140" s="451">
        <v>44958</v>
      </c>
      <c r="C140" s="451" t="s">
        <v>254</v>
      </c>
      <c r="D140" s="432" t="s">
        <v>390</v>
      </c>
      <c r="E140" s="81"/>
      <c r="F140" s="433">
        <v>802</v>
      </c>
      <c r="G140" s="434"/>
      <c r="H140" s="452" t="s">
        <v>391</v>
      </c>
      <c r="I140" s="433" t="s">
        <v>255</v>
      </c>
      <c r="J140" s="435"/>
      <c r="K140" s="84"/>
      <c r="L140" s="84"/>
      <c r="M140" s="433">
        <v>4</v>
      </c>
      <c r="N140" s="435" t="s">
        <v>1326</v>
      </c>
      <c r="O140" s="436"/>
      <c r="P140" s="437" t="s">
        <v>531</v>
      </c>
      <c r="Q140" s="437" t="s">
        <v>1602</v>
      </c>
      <c r="R140" s="433"/>
      <c r="S140" s="435"/>
    </row>
    <row r="141" spans="1:19" ht="34" x14ac:dyDescent="0.25">
      <c r="A141" s="450">
        <v>138</v>
      </c>
      <c r="B141" s="451">
        <v>44958</v>
      </c>
      <c r="C141" s="451" t="s">
        <v>254</v>
      </c>
      <c r="D141" s="432" t="s">
        <v>390</v>
      </c>
      <c r="E141" s="81"/>
      <c r="F141" s="433">
        <v>800</v>
      </c>
      <c r="G141" s="434"/>
      <c r="H141" s="452" t="s">
        <v>391</v>
      </c>
      <c r="I141" s="433" t="s">
        <v>255</v>
      </c>
      <c r="J141" s="435"/>
      <c r="K141" s="84"/>
      <c r="L141" s="84"/>
      <c r="M141" s="433">
        <v>4</v>
      </c>
      <c r="N141" s="435" t="s">
        <v>1326</v>
      </c>
      <c r="O141" s="436"/>
      <c r="P141" s="437" t="s">
        <v>531</v>
      </c>
      <c r="Q141" s="437" t="s">
        <v>1602</v>
      </c>
      <c r="R141" s="433"/>
      <c r="S141" s="435"/>
    </row>
    <row r="142" spans="1:19" ht="17" x14ac:dyDescent="0.25">
      <c r="A142" s="450">
        <v>138</v>
      </c>
      <c r="B142" s="451">
        <v>45013</v>
      </c>
      <c r="C142" s="472" t="s">
        <v>863</v>
      </c>
      <c r="D142" s="473" t="s">
        <v>390</v>
      </c>
      <c r="E142" s="474"/>
      <c r="F142" s="475">
        <v>865</v>
      </c>
      <c r="G142" s="476"/>
      <c r="H142" s="477" t="s">
        <v>391</v>
      </c>
      <c r="I142" s="475"/>
      <c r="J142" s="478"/>
      <c r="K142" s="479"/>
      <c r="L142" s="479"/>
      <c r="M142" s="475">
        <v>2</v>
      </c>
      <c r="N142" s="478" t="s">
        <v>952</v>
      </c>
      <c r="O142" s="436">
        <v>45029</v>
      </c>
      <c r="P142" s="491" t="s">
        <v>531</v>
      </c>
      <c r="Q142" s="491" t="s">
        <v>1571</v>
      </c>
      <c r="R142" s="433" t="s">
        <v>1604</v>
      </c>
      <c r="S142" s="471" t="s">
        <v>1605</v>
      </c>
    </row>
    <row r="143" spans="1:19" ht="17" x14ac:dyDescent="0.25">
      <c r="A143" s="450">
        <v>138</v>
      </c>
      <c r="B143" s="451">
        <v>45013</v>
      </c>
      <c r="C143" s="472" t="s">
        <v>863</v>
      </c>
      <c r="D143" s="473" t="s">
        <v>390</v>
      </c>
      <c r="E143" s="474"/>
      <c r="F143" s="475">
        <v>1410</v>
      </c>
      <c r="G143" s="476"/>
      <c r="H143" s="477" t="s">
        <v>391</v>
      </c>
      <c r="I143" s="475"/>
      <c r="J143" s="480"/>
      <c r="K143" s="481"/>
      <c r="L143" s="481"/>
      <c r="M143" s="475">
        <v>2</v>
      </c>
      <c r="N143" s="478" t="s">
        <v>952</v>
      </c>
      <c r="O143" s="436">
        <v>45029</v>
      </c>
      <c r="P143" s="491" t="s">
        <v>531</v>
      </c>
      <c r="Q143" s="491" t="s">
        <v>1571</v>
      </c>
      <c r="R143" s="433" t="s">
        <v>1604</v>
      </c>
      <c r="S143" s="471" t="s">
        <v>1605</v>
      </c>
    </row>
    <row r="144" spans="1:19" ht="17" x14ac:dyDescent="0.25">
      <c r="A144" s="450">
        <v>138</v>
      </c>
      <c r="B144" s="451">
        <v>45013</v>
      </c>
      <c r="C144" s="472" t="s">
        <v>863</v>
      </c>
      <c r="D144" s="473" t="s">
        <v>390</v>
      </c>
      <c r="E144" s="474"/>
      <c r="F144" s="475">
        <v>723</v>
      </c>
      <c r="G144" s="476"/>
      <c r="H144" s="477" t="s">
        <v>391</v>
      </c>
      <c r="I144" s="475"/>
      <c r="J144" s="480"/>
      <c r="K144" s="481"/>
      <c r="L144" s="481"/>
      <c r="M144" s="475">
        <v>2</v>
      </c>
      <c r="N144" s="478" t="s">
        <v>952</v>
      </c>
      <c r="O144" s="436">
        <v>45029</v>
      </c>
      <c r="P144" s="491" t="s">
        <v>531</v>
      </c>
      <c r="Q144" s="491" t="s">
        <v>1571</v>
      </c>
      <c r="R144" s="433" t="s">
        <v>1604</v>
      </c>
      <c r="S144" s="471" t="s">
        <v>1605</v>
      </c>
    </row>
    <row r="145" spans="1:19" ht="17" x14ac:dyDescent="0.25">
      <c r="A145" s="450">
        <v>138</v>
      </c>
      <c r="B145" s="451">
        <v>45013</v>
      </c>
      <c r="C145" s="472" t="s">
        <v>863</v>
      </c>
      <c r="D145" s="473" t="s">
        <v>390</v>
      </c>
      <c r="E145" s="474"/>
      <c r="F145" s="475">
        <v>670</v>
      </c>
      <c r="G145" s="476"/>
      <c r="H145" s="477" t="s">
        <v>391</v>
      </c>
      <c r="I145" s="475"/>
      <c r="J145" s="480"/>
      <c r="K145" s="481"/>
      <c r="L145" s="481"/>
      <c r="M145" s="475">
        <v>1</v>
      </c>
      <c r="N145" s="478" t="s">
        <v>952</v>
      </c>
      <c r="O145" s="436">
        <v>45029</v>
      </c>
      <c r="P145" s="491" t="s">
        <v>531</v>
      </c>
      <c r="Q145" s="491" t="s">
        <v>1571</v>
      </c>
      <c r="R145" s="433" t="s">
        <v>1604</v>
      </c>
      <c r="S145" s="471" t="s">
        <v>1605</v>
      </c>
    </row>
    <row r="146" spans="1:19" ht="17" x14ac:dyDescent="0.25">
      <c r="A146" s="450">
        <v>138</v>
      </c>
      <c r="B146" s="451">
        <v>45013</v>
      </c>
      <c r="C146" s="472" t="s">
        <v>863</v>
      </c>
      <c r="D146" s="473" t="s">
        <v>390</v>
      </c>
      <c r="E146" s="474"/>
      <c r="F146" s="475">
        <v>140</v>
      </c>
      <c r="G146" s="476"/>
      <c r="H146" s="477" t="s">
        <v>391</v>
      </c>
      <c r="I146" s="475"/>
      <c r="J146" s="480"/>
      <c r="K146" s="481"/>
      <c r="L146" s="481"/>
      <c r="M146" s="475">
        <v>2</v>
      </c>
      <c r="N146" s="478" t="s">
        <v>952</v>
      </c>
      <c r="O146" s="436">
        <v>45029</v>
      </c>
      <c r="P146" s="491" t="s">
        <v>531</v>
      </c>
      <c r="Q146" s="491" t="s">
        <v>1571</v>
      </c>
      <c r="R146" s="433" t="s">
        <v>1604</v>
      </c>
      <c r="S146" s="471" t="s">
        <v>1605</v>
      </c>
    </row>
    <row r="147" spans="1:19" ht="17" x14ac:dyDescent="0.25">
      <c r="A147" s="450">
        <v>138</v>
      </c>
      <c r="B147" s="451">
        <v>45013</v>
      </c>
      <c r="C147" s="472" t="s">
        <v>863</v>
      </c>
      <c r="D147" s="473" t="s">
        <v>390</v>
      </c>
      <c r="E147" s="474"/>
      <c r="F147" s="475">
        <v>723</v>
      </c>
      <c r="G147" s="476"/>
      <c r="H147" s="477" t="s">
        <v>391</v>
      </c>
      <c r="I147" s="475"/>
      <c r="J147" s="480"/>
      <c r="K147" s="481"/>
      <c r="L147" s="481"/>
      <c r="M147" s="475">
        <v>3</v>
      </c>
      <c r="N147" s="478" t="s">
        <v>952</v>
      </c>
      <c r="O147" s="436">
        <v>45029</v>
      </c>
      <c r="P147" s="491" t="s">
        <v>531</v>
      </c>
      <c r="Q147" s="491" t="s">
        <v>1571</v>
      </c>
      <c r="R147" s="433" t="s">
        <v>1604</v>
      </c>
      <c r="S147" s="471" t="s">
        <v>1605</v>
      </c>
    </row>
    <row r="148" spans="1:19" ht="17" x14ac:dyDescent="0.25">
      <c r="A148" s="450">
        <v>138</v>
      </c>
      <c r="B148" s="451">
        <v>45013</v>
      </c>
      <c r="C148" s="472" t="s">
        <v>863</v>
      </c>
      <c r="D148" s="473" t="s">
        <v>390</v>
      </c>
      <c r="E148" s="474"/>
      <c r="F148" s="475">
        <v>180</v>
      </c>
      <c r="G148" s="476"/>
      <c r="H148" s="477" t="s">
        <v>391</v>
      </c>
      <c r="I148" s="475"/>
      <c r="J148" s="480"/>
      <c r="K148" s="481"/>
      <c r="L148" s="481"/>
      <c r="M148" s="475">
        <v>2</v>
      </c>
      <c r="N148" s="478" t="s">
        <v>952</v>
      </c>
      <c r="O148" s="436">
        <v>45029</v>
      </c>
      <c r="P148" s="491" t="s">
        <v>531</v>
      </c>
      <c r="Q148" s="491" t="s">
        <v>1571</v>
      </c>
      <c r="R148" s="433" t="s">
        <v>1604</v>
      </c>
      <c r="S148" s="471" t="s">
        <v>1605</v>
      </c>
    </row>
    <row r="149" spans="1:19" ht="17" x14ac:dyDescent="0.25">
      <c r="A149" s="450">
        <v>138</v>
      </c>
      <c r="B149" s="451">
        <v>45013</v>
      </c>
      <c r="C149" s="472" t="s">
        <v>863</v>
      </c>
      <c r="D149" s="473" t="s">
        <v>390</v>
      </c>
      <c r="E149" s="474"/>
      <c r="F149" s="475">
        <v>196</v>
      </c>
      <c r="G149" s="476"/>
      <c r="H149" s="477" t="s">
        <v>391</v>
      </c>
      <c r="I149" s="475"/>
      <c r="J149" s="480"/>
      <c r="K149" s="481"/>
      <c r="L149" s="481"/>
      <c r="M149" s="475">
        <v>2</v>
      </c>
      <c r="N149" s="478" t="s">
        <v>952</v>
      </c>
      <c r="O149" s="436">
        <v>45029</v>
      </c>
      <c r="P149" s="491" t="s">
        <v>531</v>
      </c>
      <c r="Q149" s="491" t="s">
        <v>1571</v>
      </c>
      <c r="R149" s="433" t="s">
        <v>1604</v>
      </c>
      <c r="S149" s="471" t="s">
        <v>1605</v>
      </c>
    </row>
    <row r="150" spans="1:19" ht="17" x14ac:dyDescent="0.25">
      <c r="A150" s="450">
        <v>138</v>
      </c>
      <c r="B150" s="451">
        <v>45013</v>
      </c>
      <c r="C150" s="472" t="s">
        <v>863</v>
      </c>
      <c r="D150" s="473" t="s">
        <v>390</v>
      </c>
      <c r="E150" s="474"/>
      <c r="F150" s="482">
        <v>360</v>
      </c>
      <c r="G150" s="483"/>
      <c r="H150" s="477" t="s">
        <v>391</v>
      </c>
      <c r="I150" s="482"/>
      <c r="J150" s="484"/>
      <c r="K150" s="481"/>
      <c r="L150" s="481"/>
      <c r="M150" s="482">
        <v>2</v>
      </c>
      <c r="N150" s="478" t="s">
        <v>952</v>
      </c>
      <c r="O150" s="436">
        <v>45029</v>
      </c>
      <c r="P150" s="491" t="s">
        <v>531</v>
      </c>
      <c r="Q150" s="491" t="s">
        <v>1571</v>
      </c>
      <c r="R150" s="433" t="s">
        <v>1604</v>
      </c>
      <c r="S150" s="471" t="s">
        <v>1605</v>
      </c>
    </row>
    <row r="151" spans="1:19" ht="17" x14ac:dyDescent="0.25">
      <c r="A151" s="450">
        <v>138</v>
      </c>
      <c r="B151" s="451">
        <v>45013</v>
      </c>
      <c r="C151" s="472" t="s">
        <v>863</v>
      </c>
      <c r="D151" s="485" t="s">
        <v>528</v>
      </c>
      <c r="E151" s="474"/>
      <c r="F151" s="482">
        <v>723</v>
      </c>
      <c r="G151" s="483"/>
      <c r="H151" s="475" t="s">
        <v>655</v>
      </c>
      <c r="I151" s="482"/>
      <c r="J151" s="484"/>
      <c r="K151" s="481"/>
      <c r="L151" s="481"/>
      <c r="M151" s="482">
        <v>1</v>
      </c>
      <c r="N151" s="478" t="s">
        <v>952</v>
      </c>
      <c r="O151" s="436">
        <v>45029</v>
      </c>
      <c r="P151" s="491" t="s">
        <v>531</v>
      </c>
      <c r="Q151" s="491" t="s">
        <v>1571</v>
      </c>
      <c r="R151" s="433" t="s">
        <v>1604</v>
      </c>
      <c r="S151" s="471" t="s">
        <v>1605</v>
      </c>
    </row>
    <row r="152" spans="1:19" ht="17" x14ac:dyDescent="0.25">
      <c r="A152" s="450">
        <v>138</v>
      </c>
      <c r="B152" s="451">
        <v>45013</v>
      </c>
      <c r="C152" s="472" t="s">
        <v>863</v>
      </c>
      <c r="D152" s="485" t="s">
        <v>528</v>
      </c>
      <c r="E152" s="474"/>
      <c r="F152" s="482">
        <v>196</v>
      </c>
      <c r="G152" s="483"/>
      <c r="H152" s="475" t="s">
        <v>655</v>
      </c>
      <c r="I152" s="482"/>
      <c r="J152" s="484"/>
      <c r="K152" s="481"/>
      <c r="L152" s="481"/>
      <c r="M152" s="482">
        <v>2</v>
      </c>
      <c r="N152" s="478" t="s">
        <v>952</v>
      </c>
      <c r="O152" s="436">
        <v>45029</v>
      </c>
      <c r="P152" s="491" t="s">
        <v>531</v>
      </c>
      <c r="Q152" s="491" t="s">
        <v>1571</v>
      </c>
      <c r="R152" s="433" t="s">
        <v>1604</v>
      </c>
      <c r="S152" s="471" t="s">
        <v>1605</v>
      </c>
    </row>
    <row r="153" spans="1:19" ht="11.5" customHeight="1" x14ac:dyDescent="0.25">
      <c r="A153" s="450">
        <v>138</v>
      </c>
      <c r="B153" s="451">
        <v>45013</v>
      </c>
      <c r="C153" s="472" t="s">
        <v>863</v>
      </c>
      <c r="D153" s="485" t="s">
        <v>1569</v>
      </c>
      <c r="E153" s="474"/>
      <c r="F153" s="482">
        <v>629</v>
      </c>
      <c r="G153" s="483"/>
      <c r="H153" s="482" t="s">
        <v>1570</v>
      </c>
      <c r="I153" s="482"/>
      <c r="J153" s="484"/>
      <c r="K153" s="481"/>
      <c r="L153" s="481"/>
      <c r="M153" s="482">
        <v>2</v>
      </c>
      <c r="N153" s="478" t="s">
        <v>952</v>
      </c>
      <c r="O153" s="436">
        <v>45029</v>
      </c>
      <c r="P153" s="491" t="s">
        <v>531</v>
      </c>
      <c r="Q153" s="491" t="s">
        <v>1571</v>
      </c>
      <c r="R153" s="433" t="s">
        <v>1604</v>
      </c>
      <c r="S153" s="471" t="s">
        <v>1605</v>
      </c>
    </row>
    <row r="154" spans="1:19" ht="17" x14ac:dyDescent="0.3">
      <c r="A154" s="450">
        <v>138</v>
      </c>
      <c r="B154" s="451">
        <v>45013</v>
      </c>
      <c r="C154" s="472" t="s">
        <v>863</v>
      </c>
      <c r="D154" s="485" t="s">
        <v>1569</v>
      </c>
      <c r="E154" s="486"/>
      <c r="F154" s="482">
        <v>569</v>
      </c>
      <c r="G154" s="487"/>
      <c r="H154" s="482" t="s">
        <v>1570</v>
      </c>
      <c r="I154" s="482"/>
      <c r="J154" s="488"/>
      <c r="K154" s="489"/>
      <c r="L154" s="489"/>
      <c r="M154" s="482">
        <v>1</v>
      </c>
      <c r="N154" s="490" t="s">
        <v>952</v>
      </c>
      <c r="O154" s="436">
        <v>45029</v>
      </c>
      <c r="P154" s="491" t="s">
        <v>531</v>
      </c>
      <c r="Q154" s="491" t="s">
        <v>1571</v>
      </c>
      <c r="R154" s="433" t="s">
        <v>1604</v>
      </c>
      <c r="S154" s="471" t="s">
        <v>1605</v>
      </c>
    </row>
    <row r="155" spans="1:19" ht="17" x14ac:dyDescent="0.25">
      <c r="A155" s="450">
        <v>138</v>
      </c>
      <c r="B155" s="451">
        <v>45013</v>
      </c>
      <c r="C155" s="472" t="s">
        <v>863</v>
      </c>
      <c r="D155" s="485" t="s">
        <v>1569</v>
      </c>
      <c r="E155" s="474"/>
      <c r="F155" s="482">
        <v>390</v>
      </c>
      <c r="G155" s="483"/>
      <c r="H155" s="482" t="s">
        <v>1570</v>
      </c>
      <c r="I155" s="482"/>
      <c r="J155" s="484"/>
      <c r="K155" s="481"/>
      <c r="L155" s="481"/>
      <c r="M155" s="482">
        <v>2</v>
      </c>
      <c r="N155" s="490" t="s">
        <v>952</v>
      </c>
      <c r="O155" s="436">
        <v>45029</v>
      </c>
      <c r="P155" s="491" t="s">
        <v>531</v>
      </c>
      <c r="Q155" s="491" t="s">
        <v>1571</v>
      </c>
      <c r="R155" s="433" t="s">
        <v>1604</v>
      </c>
      <c r="S155" s="471" t="s">
        <v>1605</v>
      </c>
    </row>
    <row r="156" spans="1:19" ht="17" x14ac:dyDescent="0.25">
      <c r="A156" s="450">
        <v>138</v>
      </c>
      <c r="B156" s="451">
        <v>45013</v>
      </c>
      <c r="C156" s="472" t="s">
        <v>863</v>
      </c>
      <c r="D156" s="485" t="s">
        <v>528</v>
      </c>
      <c r="E156" s="474"/>
      <c r="F156" s="475">
        <v>760</v>
      </c>
      <c r="G156" s="476"/>
      <c r="H156" s="475" t="s">
        <v>655</v>
      </c>
      <c r="I156" s="475"/>
      <c r="J156" s="480"/>
      <c r="K156" s="481"/>
      <c r="L156" s="481"/>
      <c r="M156" s="475">
        <v>4</v>
      </c>
      <c r="N156" s="478" t="s">
        <v>951</v>
      </c>
      <c r="O156" s="436">
        <v>45029</v>
      </c>
      <c r="P156" s="491" t="s">
        <v>531</v>
      </c>
      <c r="Q156" s="491" t="s">
        <v>1571</v>
      </c>
      <c r="R156" s="433" t="s">
        <v>1604</v>
      </c>
      <c r="S156" s="471" t="s">
        <v>1605</v>
      </c>
    </row>
    <row r="157" spans="1:19" ht="17" x14ac:dyDescent="0.25">
      <c r="A157" s="450">
        <v>138</v>
      </c>
      <c r="B157" s="451">
        <v>45013</v>
      </c>
      <c r="C157" s="472" t="s">
        <v>863</v>
      </c>
      <c r="D157" s="485" t="s">
        <v>528</v>
      </c>
      <c r="E157" s="474"/>
      <c r="F157" s="475">
        <v>785</v>
      </c>
      <c r="G157" s="476"/>
      <c r="H157" s="475" t="s">
        <v>655</v>
      </c>
      <c r="I157" s="475"/>
      <c r="J157" s="480"/>
      <c r="K157" s="481"/>
      <c r="L157" s="481"/>
      <c r="M157" s="475">
        <v>6</v>
      </c>
      <c r="N157" s="478" t="s">
        <v>951</v>
      </c>
      <c r="O157" s="436">
        <v>45029</v>
      </c>
      <c r="P157" s="491" t="s">
        <v>531</v>
      </c>
      <c r="Q157" s="491" t="s">
        <v>1571</v>
      </c>
      <c r="R157" s="433" t="s">
        <v>1604</v>
      </c>
      <c r="S157" s="471" t="s">
        <v>1605</v>
      </c>
    </row>
    <row r="158" spans="1:19" ht="17" x14ac:dyDescent="0.25">
      <c r="A158" s="450">
        <v>138</v>
      </c>
      <c r="B158" s="451">
        <v>45013</v>
      </c>
      <c r="C158" s="472" t="s">
        <v>863</v>
      </c>
      <c r="D158" s="485" t="s">
        <v>528</v>
      </c>
      <c r="E158" s="474"/>
      <c r="F158" s="475">
        <v>368</v>
      </c>
      <c r="G158" s="476"/>
      <c r="H158" s="475" t="s">
        <v>655</v>
      </c>
      <c r="I158" s="475"/>
      <c r="J158" s="480"/>
      <c r="K158" s="481"/>
      <c r="L158" s="481"/>
      <c r="M158" s="475">
        <v>2</v>
      </c>
      <c r="N158" s="478" t="s">
        <v>951</v>
      </c>
      <c r="O158" s="436">
        <v>45029</v>
      </c>
      <c r="P158" s="491" t="s">
        <v>531</v>
      </c>
      <c r="Q158" s="491" t="s">
        <v>1571</v>
      </c>
      <c r="R158" s="433" t="s">
        <v>1604</v>
      </c>
      <c r="S158" s="471" t="s">
        <v>1605</v>
      </c>
    </row>
    <row r="159" spans="1:19" ht="17" x14ac:dyDescent="0.25">
      <c r="A159" s="450">
        <v>138</v>
      </c>
      <c r="B159" s="451">
        <v>45013</v>
      </c>
      <c r="C159" s="472" t="s">
        <v>863</v>
      </c>
      <c r="D159" s="473" t="s">
        <v>390</v>
      </c>
      <c r="E159" s="474"/>
      <c r="F159" s="482">
        <v>290</v>
      </c>
      <c r="G159" s="483"/>
      <c r="H159" s="477" t="s">
        <v>391</v>
      </c>
      <c r="I159" s="482"/>
      <c r="J159" s="484"/>
      <c r="K159" s="481"/>
      <c r="L159" s="481"/>
      <c r="M159" s="482">
        <v>3</v>
      </c>
      <c r="N159" s="478" t="s">
        <v>951</v>
      </c>
      <c r="O159" s="436">
        <v>45029</v>
      </c>
      <c r="P159" s="491" t="s">
        <v>531</v>
      </c>
      <c r="Q159" s="491" t="s">
        <v>1571</v>
      </c>
      <c r="R159" s="433" t="s">
        <v>1604</v>
      </c>
      <c r="S159" s="471" t="s">
        <v>1605</v>
      </c>
    </row>
    <row r="160" spans="1:19" ht="17" x14ac:dyDescent="0.25">
      <c r="A160" s="450">
        <v>138</v>
      </c>
      <c r="B160" s="451">
        <v>45013</v>
      </c>
      <c r="C160" s="472" t="s">
        <v>863</v>
      </c>
      <c r="D160" s="473" t="s">
        <v>390</v>
      </c>
      <c r="E160" s="474"/>
      <c r="F160" s="482">
        <v>450</v>
      </c>
      <c r="G160" s="483"/>
      <c r="H160" s="477" t="s">
        <v>391</v>
      </c>
      <c r="I160" s="482"/>
      <c r="J160" s="484"/>
      <c r="K160" s="481"/>
      <c r="L160" s="481"/>
      <c r="M160" s="482">
        <v>4</v>
      </c>
      <c r="N160" s="478" t="s">
        <v>951</v>
      </c>
      <c r="O160" s="436">
        <v>45029</v>
      </c>
      <c r="P160" s="491" t="s">
        <v>531</v>
      </c>
      <c r="Q160" s="491" t="s">
        <v>1571</v>
      </c>
      <c r="R160" s="433" t="s">
        <v>1604</v>
      </c>
      <c r="S160" s="471" t="s">
        <v>1605</v>
      </c>
    </row>
    <row r="161" spans="1:19" x14ac:dyDescent="0.25">
      <c r="A161" s="75"/>
      <c r="B161" s="79"/>
      <c r="C161" s="80"/>
      <c r="D161" s="81"/>
      <c r="E161" s="81"/>
      <c r="F161" s="82"/>
      <c r="G161" s="82"/>
      <c r="H161" s="83"/>
      <c r="I161" s="82"/>
      <c r="J161" s="79"/>
      <c r="K161" s="79"/>
      <c r="L161" s="79"/>
      <c r="M161" s="82"/>
      <c r="N161" s="84"/>
      <c r="O161" s="85"/>
      <c r="P161" s="86"/>
      <c r="Q161" s="86"/>
      <c r="R161" s="83"/>
      <c r="S161" s="84"/>
    </row>
    <row r="162" spans="1:19" x14ac:dyDescent="0.25">
      <c r="A162" s="75"/>
      <c r="B162" s="79"/>
      <c r="C162" s="80"/>
      <c r="D162" s="81"/>
      <c r="E162" s="81"/>
      <c r="F162" s="82"/>
      <c r="G162" s="82"/>
      <c r="H162" s="83"/>
      <c r="I162" s="82"/>
      <c r="J162" s="79"/>
      <c r="K162" s="79"/>
      <c r="L162" s="79"/>
      <c r="M162" s="82"/>
      <c r="N162" s="84"/>
      <c r="O162" s="85"/>
      <c r="P162" s="86"/>
      <c r="Q162" s="86"/>
      <c r="R162" s="83"/>
      <c r="S162" s="84"/>
    </row>
    <row r="163" spans="1:19" x14ac:dyDescent="0.25">
      <c r="A163" s="75"/>
      <c r="B163" s="79"/>
      <c r="C163" s="80"/>
      <c r="D163" s="81"/>
      <c r="E163" s="81"/>
      <c r="F163" s="82"/>
      <c r="G163" s="82"/>
      <c r="H163" s="83"/>
      <c r="I163" s="82"/>
      <c r="J163" s="79"/>
      <c r="K163" s="79"/>
      <c r="L163" s="79"/>
      <c r="M163" s="82"/>
      <c r="N163" s="84"/>
      <c r="O163" s="85"/>
      <c r="P163" s="86"/>
      <c r="Q163" s="86"/>
      <c r="R163" s="83"/>
      <c r="S163" s="84"/>
    </row>
    <row r="164" spans="1:19" x14ac:dyDescent="0.25">
      <c r="A164" s="75"/>
      <c r="B164" s="79"/>
      <c r="C164" s="80"/>
      <c r="D164" s="81"/>
      <c r="E164" s="81"/>
      <c r="F164" s="82"/>
      <c r="G164" s="82"/>
      <c r="H164" s="83"/>
      <c r="I164" s="82"/>
      <c r="J164" s="79"/>
      <c r="K164" s="79"/>
      <c r="L164" s="79"/>
      <c r="M164" s="82"/>
      <c r="N164" s="84"/>
      <c r="O164" s="85"/>
      <c r="P164" s="86"/>
      <c r="Q164" s="86"/>
      <c r="R164" s="83"/>
      <c r="S164" s="84"/>
    </row>
    <row r="165" spans="1:19" x14ac:dyDescent="0.25">
      <c r="A165" s="75"/>
      <c r="B165" s="79"/>
      <c r="C165" s="80"/>
      <c r="D165" s="81"/>
      <c r="E165" s="81"/>
      <c r="F165" s="82"/>
      <c r="G165" s="82"/>
      <c r="H165" s="83"/>
      <c r="I165" s="82"/>
      <c r="J165" s="79"/>
      <c r="K165" s="79"/>
      <c r="L165" s="79"/>
      <c r="M165" s="82"/>
      <c r="N165" s="84"/>
      <c r="O165" s="85"/>
      <c r="P165" s="86"/>
      <c r="Q165" s="86"/>
      <c r="R165" s="83"/>
      <c r="S165" s="84"/>
    </row>
    <row r="166" spans="1:19" x14ac:dyDescent="0.25">
      <c r="A166" s="75"/>
      <c r="B166" s="79"/>
      <c r="C166" s="80"/>
      <c r="D166" s="81"/>
      <c r="E166" s="81"/>
      <c r="F166" s="82"/>
      <c r="G166" s="82"/>
      <c r="H166" s="83"/>
      <c r="I166" s="82"/>
      <c r="J166" s="79"/>
      <c r="K166" s="79"/>
      <c r="L166" s="79"/>
      <c r="M166" s="82"/>
      <c r="N166" s="84"/>
      <c r="O166" s="85"/>
      <c r="P166" s="86"/>
      <c r="Q166" s="86"/>
      <c r="R166" s="83"/>
      <c r="S166" s="84"/>
    </row>
    <row r="167" spans="1:19" x14ac:dyDescent="0.25">
      <c r="A167" s="75"/>
      <c r="B167" s="79"/>
      <c r="C167" s="80"/>
      <c r="D167" s="81"/>
      <c r="E167" s="81"/>
      <c r="F167" s="82"/>
      <c r="G167" s="82"/>
      <c r="H167" s="83"/>
      <c r="I167" s="82"/>
      <c r="J167" s="79"/>
      <c r="K167" s="79"/>
      <c r="L167" s="79"/>
      <c r="M167" s="82"/>
      <c r="N167" s="84"/>
      <c r="O167" s="85"/>
      <c r="P167" s="86"/>
      <c r="Q167" s="86"/>
      <c r="R167" s="83"/>
      <c r="S167" s="84"/>
    </row>
    <row r="168" spans="1:19" x14ac:dyDescent="0.25">
      <c r="A168" s="75"/>
      <c r="B168" s="79"/>
      <c r="C168" s="80"/>
      <c r="D168" s="81"/>
      <c r="E168" s="81"/>
      <c r="F168" s="82"/>
      <c r="G168" s="82"/>
      <c r="H168" s="83"/>
      <c r="I168" s="82"/>
      <c r="J168" s="79"/>
      <c r="K168" s="79"/>
      <c r="L168" s="79"/>
      <c r="M168" s="82"/>
      <c r="N168" s="84"/>
      <c r="O168" s="85"/>
      <c r="P168" s="86"/>
      <c r="Q168" s="86"/>
      <c r="R168" s="83"/>
      <c r="S168" s="84"/>
    </row>
    <row r="169" spans="1:19" x14ac:dyDescent="0.25">
      <c r="A169" s="75"/>
      <c r="B169" s="79"/>
      <c r="C169" s="80"/>
      <c r="D169" s="81"/>
      <c r="E169" s="81"/>
      <c r="F169" s="82"/>
      <c r="G169" s="82"/>
      <c r="H169" s="83"/>
      <c r="I169" s="82"/>
      <c r="J169" s="79"/>
      <c r="K169" s="79"/>
      <c r="L169" s="79"/>
      <c r="M169" s="82"/>
      <c r="N169" s="84"/>
      <c r="O169" s="85"/>
      <c r="P169" s="86"/>
      <c r="Q169" s="86"/>
      <c r="R169" s="83"/>
      <c r="S169" s="84"/>
    </row>
    <row r="170" spans="1:19" x14ac:dyDescent="0.25">
      <c r="A170" s="75"/>
      <c r="B170" s="79"/>
      <c r="C170" s="80"/>
      <c r="D170" s="81"/>
      <c r="E170" s="81"/>
      <c r="F170" s="82"/>
      <c r="G170" s="82"/>
      <c r="H170" s="83"/>
      <c r="I170" s="82"/>
      <c r="J170" s="79"/>
      <c r="K170" s="79"/>
      <c r="L170" s="79"/>
      <c r="M170" s="82"/>
      <c r="N170" s="84"/>
      <c r="O170" s="85"/>
      <c r="P170" s="86"/>
      <c r="Q170" s="86"/>
      <c r="R170" s="83"/>
      <c r="S170" s="84"/>
    </row>
    <row r="171" spans="1:19" x14ac:dyDescent="0.25">
      <c r="A171" s="75"/>
      <c r="B171" s="79"/>
      <c r="C171" s="80"/>
      <c r="D171" s="81"/>
      <c r="E171" s="81"/>
      <c r="F171" s="82"/>
      <c r="G171" s="82"/>
      <c r="H171" s="83"/>
      <c r="I171" s="82"/>
      <c r="J171" s="79"/>
      <c r="K171" s="79"/>
      <c r="L171" s="79"/>
      <c r="M171" s="82"/>
      <c r="N171" s="84"/>
      <c r="O171" s="85"/>
      <c r="P171" s="86"/>
      <c r="Q171" s="86"/>
      <c r="R171" s="83"/>
      <c r="S171" s="84"/>
    </row>
    <row r="172" spans="1:19" x14ac:dyDescent="0.25">
      <c r="A172" s="75"/>
      <c r="B172" s="79"/>
      <c r="C172" s="80"/>
      <c r="D172" s="81"/>
      <c r="E172" s="81"/>
      <c r="F172" s="82"/>
      <c r="G172" s="82"/>
      <c r="H172" s="83"/>
      <c r="I172" s="82"/>
      <c r="J172" s="79"/>
      <c r="K172" s="79"/>
      <c r="L172" s="79"/>
      <c r="M172" s="82"/>
      <c r="N172" s="84"/>
      <c r="O172" s="85"/>
      <c r="P172" s="86"/>
      <c r="Q172" s="86"/>
      <c r="R172" s="83"/>
      <c r="S172" s="84"/>
    </row>
    <row r="173" spans="1:19" x14ac:dyDescent="0.25">
      <c r="A173" s="75"/>
      <c r="B173" s="79"/>
      <c r="C173" s="80"/>
      <c r="D173" s="81"/>
      <c r="E173" s="81"/>
      <c r="F173" s="82"/>
      <c r="G173" s="82"/>
      <c r="H173" s="83"/>
      <c r="I173" s="82"/>
      <c r="J173" s="79"/>
      <c r="K173" s="79"/>
      <c r="L173" s="79"/>
      <c r="M173" s="82"/>
      <c r="N173" s="84"/>
      <c r="O173" s="85"/>
      <c r="P173" s="86"/>
      <c r="Q173" s="86"/>
      <c r="R173" s="83"/>
      <c r="S173" s="84"/>
    </row>
    <row r="174" spans="1:19" x14ac:dyDescent="0.25">
      <c r="A174" s="75"/>
      <c r="B174" s="79"/>
      <c r="C174" s="80"/>
      <c r="D174" s="81"/>
      <c r="E174" s="81"/>
      <c r="F174" s="82"/>
      <c r="G174" s="82"/>
      <c r="H174" s="83"/>
      <c r="I174" s="82"/>
      <c r="J174" s="79"/>
      <c r="K174" s="79"/>
      <c r="L174" s="79"/>
      <c r="M174" s="82"/>
      <c r="N174" s="84"/>
      <c r="O174" s="85"/>
      <c r="P174" s="86"/>
      <c r="Q174" s="86"/>
      <c r="R174" s="83"/>
      <c r="S174" s="84"/>
    </row>
    <row r="175" spans="1:19" x14ac:dyDescent="0.25">
      <c r="A175" s="75"/>
      <c r="B175" s="79"/>
      <c r="C175" s="80"/>
      <c r="D175" s="81"/>
      <c r="E175" s="81"/>
      <c r="F175" s="82"/>
      <c r="G175" s="82"/>
      <c r="H175" s="83"/>
      <c r="I175" s="82"/>
      <c r="J175" s="79"/>
      <c r="K175" s="79"/>
      <c r="L175" s="79"/>
      <c r="M175" s="82"/>
      <c r="N175" s="84"/>
      <c r="O175" s="85"/>
      <c r="P175" s="86"/>
      <c r="Q175" s="86"/>
      <c r="R175" s="83"/>
      <c r="S175" s="84"/>
    </row>
    <row r="176" spans="1:19" x14ac:dyDescent="0.25">
      <c r="A176" s="75"/>
      <c r="B176" s="79"/>
      <c r="C176" s="80"/>
      <c r="D176" s="81"/>
      <c r="E176" s="81"/>
      <c r="F176" s="82"/>
      <c r="G176" s="82"/>
      <c r="H176" s="83"/>
      <c r="I176" s="82"/>
      <c r="J176" s="79"/>
      <c r="K176" s="79"/>
      <c r="L176" s="79"/>
      <c r="M176" s="82"/>
      <c r="N176" s="84"/>
      <c r="O176" s="85"/>
      <c r="P176" s="86"/>
      <c r="Q176" s="86"/>
      <c r="R176" s="83"/>
      <c r="S176" s="84"/>
    </row>
    <row r="177" spans="1:19" x14ac:dyDescent="0.25">
      <c r="A177" s="75"/>
      <c r="B177" s="79"/>
      <c r="C177" s="80"/>
      <c r="D177" s="81"/>
      <c r="E177" s="81"/>
      <c r="F177" s="82"/>
      <c r="G177" s="82"/>
      <c r="H177" s="83"/>
      <c r="I177" s="82"/>
      <c r="J177" s="79"/>
      <c r="K177" s="79"/>
      <c r="L177" s="79"/>
      <c r="M177" s="82"/>
      <c r="N177" s="84"/>
      <c r="O177" s="85"/>
      <c r="P177" s="86"/>
      <c r="Q177" s="86"/>
      <c r="R177" s="83"/>
      <c r="S177" s="84"/>
    </row>
    <row r="178" spans="1:19" x14ac:dyDescent="0.25">
      <c r="A178" s="75"/>
      <c r="B178" s="79"/>
      <c r="C178" s="80"/>
      <c r="D178" s="81"/>
      <c r="E178" s="81"/>
      <c r="F178" s="82"/>
      <c r="G178" s="82"/>
      <c r="H178" s="83"/>
      <c r="I178" s="82"/>
      <c r="J178" s="79"/>
      <c r="K178" s="79"/>
      <c r="L178" s="79"/>
      <c r="M178" s="82"/>
      <c r="N178" s="84"/>
      <c r="O178" s="85"/>
      <c r="P178" s="86"/>
      <c r="Q178" s="86"/>
      <c r="R178" s="83"/>
      <c r="S178" s="84"/>
    </row>
    <row r="179" spans="1:19" x14ac:dyDescent="0.25">
      <c r="A179" s="75"/>
      <c r="B179" s="79"/>
      <c r="C179" s="80"/>
      <c r="D179" s="81"/>
      <c r="E179" s="81"/>
      <c r="F179" s="82"/>
      <c r="G179" s="82"/>
      <c r="H179" s="83"/>
      <c r="I179" s="82"/>
      <c r="J179" s="79"/>
      <c r="K179" s="79"/>
      <c r="L179" s="79"/>
      <c r="M179" s="82"/>
      <c r="N179" s="84"/>
      <c r="O179" s="85"/>
      <c r="P179" s="86"/>
      <c r="Q179" s="86"/>
      <c r="R179" s="83"/>
      <c r="S179" s="84"/>
    </row>
    <row r="180" spans="1:19" x14ac:dyDescent="0.25">
      <c r="A180" s="75"/>
      <c r="B180" s="79"/>
      <c r="C180" s="80"/>
      <c r="D180" s="81"/>
      <c r="E180" s="81"/>
      <c r="F180" s="82"/>
      <c r="G180" s="82"/>
      <c r="H180" s="83"/>
      <c r="I180" s="82"/>
      <c r="J180" s="79"/>
      <c r="K180" s="79"/>
      <c r="L180" s="79"/>
      <c r="M180" s="82"/>
      <c r="N180" s="84"/>
      <c r="O180" s="85"/>
      <c r="P180" s="86"/>
      <c r="Q180" s="86"/>
      <c r="R180" s="83"/>
      <c r="S180" s="84"/>
    </row>
    <row r="181" spans="1:19" x14ac:dyDescent="0.25">
      <c r="A181" s="75"/>
      <c r="B181" s="79"/>
      <c r="C181" s="80"/>
      <c r="D181" s="81"/>
      <c r="E181" s="81"/>
      <c r="F181" s="82"/>
      <c r="G181" s="82"/>
      <c r="H181" s="83"/>
      <c r="I181" s="82"/>
      <c r="J181" s="79"/>
      <c r="K181" s="79"/>
      <c r="L181" s="79"/>
      <c r="M181" s="82"/>
      <c r="N181" s="84"/>
      <c r="O181" s="85"/>
      <c r="P181" s="86"/>
      <c r="Q181" s="86"/>
      <c r="R181" s="83"/>
      <c r="S181" s="84"/>
    </row>
    <row r="182" spans="1:19" x14ac:dyDescent="0.25">
      <c r="A182" s="75"/>
      <c r="B182" s="79"/>
      <c r="C182" s="80"/>
      <c r="D182" s="81"/>
      <c r="E182" s="81"/>
      <c r="F182" s="82"/>
      <c r="G182" s="82"/>
      <c r="H182" s="83"/>
      <c r="I182" s="82"/>
      <c r="J182" s="79"/>
      <c r="K182" s="79"/>
      <c r="L182" s="79"/>
      <c r="M182" s="82"/>
      <c r="N182" s="84"/>
      <c r="O182" s="85"/>
      <c r="P182" s="86"/>
      <c r="Q182" s="86"/>
      <c r="R182" s="83"/>
      <c r="S182" s="84"/>
    </row>
    <row r="183" spans="1:19" x14ac:dyDescent="0.25">
      <c r="A183" s="75"/>
      <c r="B183" s="79"/>
      <c r="C183" s="80"/>
      <c r="D183" s="81"/>
      <c r="E183" s="81"/>
      <c r="F183" s="82"/>
      <c r="G183" s="82"/>
      <c r="H183" s="83"/>
      <c r="I183" s="82"/>
      <c r="J183" s="79"/>
      <c r="K183" s="79"/>
      <c r="L183" s="79"/>
      <c r="M183" s="82"/>
      <c r="N183" s="84"/>
      <c r="O183" s="85"/>
      <c r="P183" s="86"/>
      <c r="Q183" s="86"/>
      <c r="R183" s="83"/>
      <c r="S183" s="84"/>
    </row>
    <row r="184" spans="1:19" x14ac:dyDescent="0.25">
      <c r="A184" s="75"/>
      <c r="B184" s="79"/>
      <c r="C184" s="80"/>
      <c r="D184" s="81"/>
      <c r="E184" s="81"/>
      <c r="F184" s="82"/>
      <c r="G184" s="82"/>
      <c r="H184" s="83"/>
      <c r="I184" s="82"/>
      <c r="J184" s="79"/>
      <c r="K184" s="79"/>
      <c r="L184" s="79"/>
      <c r="M184" s="82"/>
      <c r="N184" s="84"/>
      <c r="O184" s="85"/>
      <c r="P184" s="86"/>
      <c r="Q184" s="86"/>
      <c r="R184" s="83"/>
      <c r="S184" s="84"/>
    </row>
    <row r="185" spans="1:19" x14ac:dyDescent="0.25">
      <c r="A185" s="75"/>
      <c r="B185" s="79"/>
      <c r="C185" s="80"/>
      <c r="D185" s="81"/>
      <c r="E185" s="81"/>
      <c r="F185" s="82"/>
      <c r="G185" s="82"/>
      <c r="H185" s="83"/>
      <c r="I185" s="82"/>
      <c r="J185" s="79"/>
      <c r="K185" s="79"/>
      <c r="L185" s="79"/>
      <c r="M185" s="82"/>
      <c r="N185" s="84"/>
      <c r="O185" s="85"/>
      <c r="P185" s="86"/>
      <c r="Q185" s="86"/>
      <c r="R185" s="83"/>
      <c r="S185" s="84"/>
    </row>
    <row r="186" spans="1:19" x14ac:dyDescent="0.25">
      <c r="A186" s="75"/>
      <c r="B186" s="79"/>
      <c r="C186" s="80"/>
      <c r="D186" s="81"/>
      <c r="E186" s="81"/>
      <c r="F186" s="82"/>
      <c r="G186" s="82"/>
      <c r="H186" s="83"/>
      <c r="I186" s="82"/>
      <c r="J186" s="79"/>
      <c r="K186" s="79"/>
      <c r="L186" s="79"/>
      <c r="M186" s="82"/>
      <c r="N186" s="84"/>
      <c r="O186" s="85"/>
      <c r="P186" s="86"/>
      <c r="Q186" s="86"/>
      <c r="R186" s="83"/>
      <c r="S186" s="84"/>
    </row>
    <row r="187" spans="1:19" x14ac:dyDescent="0.25">
      <c r="A187" s="75"/>
      <c r="B187" s="79"/>
      <c r="C187" s="80"/>
      <c r="D187" s="81"/>
      <c r="E187" s="81"/>
      <c r="F187" s="82"/>
      <c r="G187" s="82"/>
      <c r="H187" s="83"/>
      <c r="I187" s="82"/>
      <c r="J187" s="79"/>
      <c r="K187" s="79"/>
      <c r="L187" s="79"/>
      <c r="M187" s="82"/>
      <c r="N187" s="84"/>
      <c r="O187" s="85"/>
      <c r="P187" s="86"/>
      <c r="Q187" s="86"/>
      <c r="R187" s="83"/>
      <c r="S187" s="84"/>
    </row>
    <row r="188" spans="1:19" x14ac:dyDescent="0.25">
      <c r="A188" s="75"/>
      <c r="B188" s="79"/>
      <c r="C188" s="80"/>
      <c r="D188" s="81"/>
      <c r="E188" s="81"/>
      <c r="F188" s="82"/>
      <c r="G188" s="82"/>
      <c r="H188" s="83"/>
      <c r="I188" s="82"/>
      <c r="J188" s="79"/>
      <c r="K188" s="79"/>
      <c r="L188" s="79"/>
      <c r="M188" s="82"/>
      <c r="N188" s="84"/>
      <c r="O188" s="85"/>
      <c r="P188" s="86"/>
      <c r="Q188" s="86"/>
      <c r="R188" s="83"/>
      <c r="S188" s="84"/>
    </row>
    <row r="189" spans="1:19" x14ac:dyDescent="0.25">
      <c r="A189" s="75"/>
      <c r="B189" s="79"/>
      <c r="C189" s="80"/>
      <c r="D189" s="81"/>
      <c r="E189" s="81"/>
      <c r="F189" s="82"/>
      <c r="G189" s="82"/>
      <c r="H189" s="83"/>
      <c r="I189" s="82"/>
      <c r="J189" s="79"/>
      <c r="K189" s="79"/>
      <c r="L189" s="79"/>
      <c r="M189" s="82"/>
      <c r="N189" s="84"/>
      <c r="O189" s="85"/>
      <c r="P189" s="86"/>
      <c r="Q189" s="86"/>
      <c r="R189" s="83"/>
      <c r="S189" s="84"/>
    </row>
    <row r="190" spans="1:19" x14ac:dyDescent="0.25">
      <c r="A190" s="75"/>
      <c r="B190" s="79"/>
      <c r="C190" s="80"/>
      <c r="D190" s="81"/>
      <c r="E190" s="81"/>
      <c r="F190" s="82"/>
      <c r="G190" s="82"/>
      <c r="H190" s="83"/>
      <c r="I190" s="82"/>
      <c r="J190" s="79"/>
      <c r="K190" s="79"/>
      <c r="L190" s="79"/>
      <c r="M190" s="82"/>
      <c r="N190" s="84"/>
      <c r="O190" s="85"/>
      <c r="P190" s="86"/>
      <c r="Q190" s="86"/>
      <c r="R190" s="83"/>
      <c r="S190" s="84"/>
    </row>
    <row r="191" spans="1:19" x14ac:dyDescent="0.25">
      <c r="A191" s="75"/>
      <c r="B191" s="79"/>
      <c r="C191" s="80"/>
      <c r="D191" s="81"/>
      <c r="E191" s="81"/>
      <c r="F191" s="82"/>
      <c r="G191" s="82"/>
      <c r="H191" s="83"/>
      <c r="I191" s="82"/>
      <c r="J191" s="79"/>
      <c r="K191" s="79"/>
      <c r="L191" s="79"/>
      <c r="M191" s="82"/>
      <c r="N191" s="84"/>
      <c r="O191" s="85"/>
      <c r="P191" s="86"/>
      <c r="Q191" s="86"/>
      <c r="R191" s="83"/>
      <c r="S191" s="84"/>
    </row>
    <row r="192" spans="1:19" x14ac:dyDescent="0.25">
      <c r="A192" s="75"/>
      <c r="B192" s="79"/>
      <c r="C192" s="80"/>
      <c r="D192" s="81"/>
      <c r="E192" s="81"/>
      <c r="F192" s="82"/>
      <c r="G192" s="82"/>
      <c r="H192" s="83"/>
      <c r="I192" s="82"/>
      <c r="J192" s="79"/>
      <c r="K192" s="79"/>
      <c r="L192" s="79"/>
      <c r="M192" s="82"/>
      <c r="N192" s="84"/>
      <c r="O192" s="85"/>
      <c r="P192" s="86"/>
      <c r="Q192" s="86"/>
      <c r="R192" s="83"/>
      <c r="S192" s="84"/>
    </row>
    <row r="193" spans="1:19" x14ac:dyDescent="0.25">
      <c r="A193" s="75"/>
      <c r="B193" s="79"/>
      <c r="C193" s="80"/>
      <c r="D193" s="81"/>
      <c r="E193" s="81"/>
      <c r="F193" s="82"/>
      <c r="G193" s="82"/>
      <c r="H193" s="83"/>
      <c r="I193" s="82"/>
      <c r="J193" s="79"/>
      <c r="K193" s="79"/>
      <c r="L193" s="79"/>
      <c r="M193" s="82"/>
      <c r="N193" s="84"/>
      <c r="O193" s="85"/>
      <c r="P193" s="86"/>
      <c r="Q193" s="86"/>
      <c r="R193" s="83"/>
      <c r="S193" s="84"/>
    </row>
    <row r="194" spans="1:19" x14ac:dyDescent="0.25">
      <c r="A194" s="75"/>
      <c r="B194" s="79"/>
      <c r="C194" s="80"/>
      <c r="D194" s="81"/>
      <c r="E194" s="81"/>
      <c r="F194" s="82"/>
      <c r="G194" s="82"/>
      <c r="H194" s="83"/>
      <c r="I194" s="82"/>
      <c r="J194" s="79"/>
      <c r="K194" s="79"/>
      <c r="L194" s="79"/>
      <c r="M194" s="82"/>
      <c r="N194" s="84"/>
      <c r="O194" s="85"/>
      <c r="P194" s="86"/>
      <c r="Q194" s="86"/>
      <c r="R194" s="83"/>
      <c r="S194" s="84"/>
    </row>
    <row r="195" spans="1:19" x14ac:dyDescent="0.25">
      <c r="A195" s="75"/>
      <c r="B195" s="79"/>
      <c r="C195" s="80"/>
      <c r="D195" s="81"/>
      <c r="E195" s="81"/>
      <c r="F195" s="82"/>
      <c r="G195" s="82"/>
      <c r="H195" s="83"/>
      <c r="I195" s="82"/>
      <c r="J195" s="79"/>
      <c r="K195" s="79"/>
      <c r="L195" s="79"/>
      <c r="M195" s="82"/>
      <c r="N195" s="84"/>
      <c r="O195" s="85"/>
      <c r="P195" s="86"/>
      <c r="Q195" s="86"/>
      <c r="R195" s="83"/>
      <c r="S195" s="84"/>
    </row>
    <row r="196" spans="1:19" x14ac:dyDescent="0.25">
      <c r="A196" s="75"/>
      <c r="B196" s="79"/>
      <c r="C196" s="80"/>
      <c r="D196" s="81"/>
      <c r="E196" s="81"/>
      <c r="F196" s="82"/>
      <c r="G196" s="82"/>
      <c r="H196" s="83"/>
      <c r="I196" s="82"/>
      <c r="J196" s="79"/>
      <c r="K196" s="79"/>
      <c r="L196" s="79"/>
      <c r="M196" s="82"/>
      <c r="N196" s="84"/>
      <c r="O196" s="85"/>
      <c r="P196" s="86"/>
      <c r="Q196" s="86"/>
      <c r="R196" s="83"/>
      <c r="S196" s="84"/>
    </row>
    <row r="197" spans="1:19" x14ac:dyDescent="0.25">
      <c r="A197" s="75"/>
      <c r="B197" s="79"/>
      <c r="C197" s="80"/>
      <c r="D197" s="81"/>
      <c r="E197" s="81"/>
      <c r="F197" s="82"/>
      <c r="G197" s="82"/>
      <c r="H197" s="83"/>
      <c r="I197" s="82"/>
      <c r="J197" s="79"/>
      <c r="K197" s="79"/>
      <c r="L197" s="79"/>
      <c r="M197" s="82"/>
      <c r="N197" s="84"/>
      <c r="O197" s="85"/>
      <c r="P197" s="86"/>
      <c r="Q197" s="86"/>
      <c r="R197" s="83"/>
      <c r="S197" s="84"/>
    </row>
    <row r="198" spans="1:19" x14ac:dyDescent="0.25">
      <c r="A198" s="75"/>
      <c r="B198" s="79"/>
      <c r="C198" s="80"/>
      <c r="D198" s="81"/>
      <c r="E198" s="81"/>
      <c r="F198" s="82"/>
      <c r="G198" s="82"/>
      <c r="H198" s="83"/>
      <c r="I198" s="82"/>
      <c r="J198" s="79"/>
      <c r="K198" s="79"/>
      <c r="L198" s="79"/>
      <c r="M198" s="82"/>
      <c r="N198" s="84"/>
      <c r="O198" s="85"/>
      <c r="P198" s="86"/>
      <c r="Q198" s="86"/>
      <c r="R198" s="83"/>
      <c r="S198" s="84"/>
    </row>
    <row r="199" spans="1:19" x14ac:dyDescent="0.25">
      <c r="A199" s="75"/>
      <c r="B199" s="79"/>
      <c r="C199" s="80"/>
      <c r="D199" s="81"/>
      <c r="E199" s="81"/>
      <c r="F199" s="82"/>
      <c r="G199" s="82"/>
      <c r="H199" s="83"/>
      <c r="I199" s="82"/>
      <c r="J199" s="79"/>
      <c r="K199" s="79"/>
      <c r="L199" s="79"/>
      <c r="M199" s="82"/>
      <c r="N199" s="84"/>
      <c r="O199" s="85"/>
      <c r="P199" s="86"/>
      <c r="Q199" s="86"/>
      <c r="R199" s="83"/>
      <c r="S199" s="84"/>
    </row>
    <row r="200" spans="1:19" x14ac:dyDescent="0.25">
      <c r="A200" s="75"/>
      <c r="B200" s="79"/>
      <c r="C200" s="80"/>
      <c r="D200" s="81"/>
      <c r="E200" s="81"/>
      <c r="F200" s="82"/>
      <c r="G200" s="82"/>
      <c r="H200" s="83"/>
      <c r="I200" s="82"/>
      <c r="J200" s="79"/>
      <c r="K200" s="79"/>
      <c r="L200" s="79"/>
      <c r="M200" s="82"/>
      <c r="N200" s="84"/>
      <c r="O200" s="85"/>
      <c r="P200" s="86"/>
      <c r="Q200" s="86"/>
      <c r="R200" s="83"/>
      <c r="S200" s="84"/>
    </row>
    <row r="201" spans="1:19" x14ac:dyDescent="0.25">
      <c r="A201" s="75"/>
      <c r="B201" s="79"/>
      <c r="C201" s="80"/>
      <c r="D201" s="81"/>
      <c r="E201" s="81"/>
      <c r="F201" s="82"/>
      <c r="G201" s="82"/>
      <c r="H201" s="83"/>
      <c r="I201" s="82"/>
      <c r="J201" s="79"/>
      <c r="K201" s="79"/>
      <c r="L201" s="79"/>
      <c r="M201" s="82"/>
      <c r="N201" s="84"/>
      <c r="O201" s="85"/>
      <c r="P201" s="86"/>
      <c r="Q201" s="86"/>
      <c r="R201" s="83"/>
      <c r="S201" s="84"/>
    </row>
    <row r="202" spans="1:19" x14ac:dyDescent="0.25">
      <c r="A202" s="75"/>
      <c r="B202" s="79"/>
      <c r="C202" s="80"/>
      <c r="D202" s="81"/>
      <c r="E202" s="81"/>
      <c r="F202" s="82"/>
      <c r="G202" s="82"/>
      <c r="H202" s="83"/>
      <c r="I202" s="82"/>
      <c r="J202" s="79"/>
      <c r="K202" s="79"/>
      <c r="L202" s="79"/>
      <c r="M202" s="82"/>
      <c r="N202" s="84"/>
      <c r="O202" s="85"/>
      <c r="P202" s="86"/>
      <c r="Q202" s="86"/>
      <c r="R202" s="83"/>
      <c r="S202" s="84"/>
    </row>
    <row r="203" spans="1:19" x14ac:dyDescent="0.25">
      <c r="A203" s="75"/>
      <c r="B203" s="79"/>
      <c r="C203" s="80"/>
      <c r="D203" s="81"/>
      <c r="E203" s="81"/>
      <c r="F203" s="82"/>
      <c r="G203" s="82"/>
      <c r="H203" s="83"/>
      <c r="I203" s="82"/>
      <c r="J203" s="79"/>
      <c r="K203" s="79"/>
      <c r="L203" s="79"/>
      <c r="M203" s="82"/>
      <c r="N203" s="84"/>
      <c r="O203" s="85"/>
      <c r="P203" s="86"/>
      <c r="Q203" s="86"/>
      <c r="R203" s="83"/>
      <c r="S203" s="84"/>
    </row>
    <row r="204" spans="1:19" x14ac:dyDescent="0.25">
      <c r="A204" s="75"/>
      <c r="B204" s="79"/>
      <c r="C204" s="80"/>
      <c r="D204" s="81"/>
      <c r="E204" s="81"/>
      <c r="F204" s="82"/>
      <c r="G204" s="82"/>
      <c r="H204" s="83"/>
      <c r="I204" s="82"/>
      <c r="J204" s="79"/>
      <c r="K204" s="79"/>
      <c r="L204" s="79"/>
      <c r="M204" s="82"/>
      <c r="N204" s="84"/>
      <c r="O204" s="85"/>
      <c r="P204" s="86"/>
      <c r="Q204" s="86"/>
      <c r="R204" s="83"/>
      <c r="S204" s="84"/>
    </row>
    <row r="205" spans="1:19" x14ac:dyDescent="0.25">
      <c r="A205" s="75"/>
      <c r="B205" s="79"/>
      <c r="C205" s="80"/>
      <c r="D205" s="81"/>
      <c r="E205" s="81"/>
      <c r="F205" s="82"/>
      <c r="G205" s="82"/>
      <c r="H205" s="83"/>
      <c r="I205" s="82"/>
      <c r="J205" s="79"/>
      <c r="K205" s="79"/>
      <c r="L205" s="79"/>
      <c r="M205" s="82"/>
      <c r="N205" s="84"/>
      <c r="O205" s="85"/>
      <c r="P205" s="86"/>
      <c r="Q205" s="86"/>
      <c r="R205" s="83"/>
      <c r="S205" s="84"/>
    </row>
    <row r="206" spans="1:19" x14ac:dyDescent="0.25">
      <c r="A206" s="75"/>
      <c r="B206" s="79"/>
      <c r="C206" s="80"/>
      <c r="D206" s="81"/>
      <c r="E206" s="81"/>
      <c r="F206" s="82"/>
      <c r="G206" s="82"/>
      <c r="H206" s="83"/>
      <c r="I206" s="82"/>
      <c r="J206" s="79"/>
      <c r="K206" s="79"/>
      <c r="L206" s="79"/>
      <c r="M206" s="82"/>
      <c r="N206" s="84"/>
      <c r="O206" s="85"/>
      <c r="P206" s="86"/>
      <c r="Q206" s="86"/>
      <c r="R206" s="83"/>
      <c r="S206" s="84"/>
    </row>
    <row r="207" spans="1:19" x14ac:dyDescent="0.25">
      <c r="A207" s="75"/>
      <c r="B207" s="79"/>
      <c r="C207" s="80"/>
      <c r="D207" s="81"/>
      <c r="E207" s="81"/>
      <c r="F207" s="82"/>
      <c r="G207" s="82"/>
      <c r="H207" s="83"/>
      <c r="I207" s="82"/>
      <c r="J207" s="79"/>
      <c r="K207" s="79"/>
      <c r="L207" s="79"/>
      <c r="M207" s="82"/>
      <c r="N207" s="84"/>
      <c r="O207" s="85"/>
      <c r="P207" s="86"/>
      <c r="Q207" s="86"/>
      <c r="R207" s="83"/>
      <c r="S207" s="84"/>
    </row>
    <row r="208" spans="1:19" x14ac:dyDescent="0.25">
      <c r="A208" s="75"/>
      <c r="B208" s="79"/>
      <c r="C208" s="80"/>
      <c r="D208" s="81"/>
      <c r="E208" s="81"/>
      <c r="F208" s="82"/>
      <c r="G208" s="82"/>
      <c r="H208" s="83"/>
      <c r="I208" s="82"/>
      <c r="J208" s="79"/>
      <c r="K208" s="79"/>
      <c r="L208" s="79"/>
      <c r="M208" s="82"/>
      <c r="N208" s="84"/>
      <c r="O208" s="85"/>
      <c r="P208" s="86"/>
      <c r="Q208" s="86"/>
      <c r="R208" s="83"/>
      <c r="S208" s="84"/>
    </row>
    <row r="209" spans="1:19" x14ac:dyDescent="0.25">
      <c r="A209" s="75"/>
      <c r="B209" s="79"/>
      <c r="C209" s="80"/>
      <c r="D209" s="81"/>
      <c r="E209" s="81"/>
      <c r="F209" s="82"/>
      <c r="G209" s="82"/>
      <c r="H209" s="83"/>
      <c r="I209" s="82"/>
      <c r="J209" s="79"/>
      <c r="K209" s="79"/>
      <c r="L209" s="79"/>
      <c r="M209" s="82"/>
      <c r="N209" s="84"/>
      <c r="O209" s="85"/>
      <c r="P209" s="86"/>
      <c r="Q209" s="86"/>
      <c r="R209" s="83"/>
      <c r="S209" s="84"/>
    </row>
    <row r="210" spans="1:19" x14ac:dyDescent="0.25">
      <c r="A210" s="75"/>
      <c r="B210" s="79"/>
      <c r="C210" s="80"/>
      <c r="D210" s="81"/>
      <c r="E210" s="81"/>
      <c r="F210" s="82"/>
      <c r="G210" s="82"/>
      <c r="H210" s="83"/>
      <c r="I210" s="82"/>
      <c r="J210" s="79"/>
      <c r="K210" s="79"/>
      <c r="L210" s="79"/>
      <c r="M210" s="82"/>
      <c r="N210" s="84"/>
      <c r="O210" s="85"/>
      <c r="P210" s="86"/>
      <c r="Q210" s="86"/>
      <c r="R210" s="83"/>
      <c r="S210" s="84"/>
    </row>
    <row r="211" spans="1:19" x14ac:dyDescent="0.25">
      <c r="A211" s="75"/>
      <c r="B211" s="79"/>
      <c r="C211" s="80"/>
      <c r="D211" s="81"/>
      <c r="E211" s="81"/>
      <c r="F211" s="82"/>
      <c r="G211" s="82"/>
      <c r="H211" s="83"/>
      <c r="I211" s="82"/>
      <c r="J211" s="79"/>
      <c r="K211" s="79"/>
      <c r="L211" s="79"/>
      <c r="M211" s="82"/>
      <c r="N211" s="84"/>
      <c r="O211" s="85"/>
      <c r="P211" s="86"/>
      <c r="Q211" s="86"/>
      <c r="R211" s="83"/>
      <c r="S211" s="84"/>
    </row>
    <row r="212" spans="1:19" x14ac:dyDescent="0.25">
      <c r="A212" s="75"/>
      <c r="B212" s="79"/>
      <c r="C212" s="80"/>
      <c r="D212" s="81"/>
      <c r="E212" s="81"/>
      <c r="F212" s="82"/>
      <c r="G212" s="82"/>
      <c r="H212" s="83"/>
      <c r="I212" s="82"/>
      <c r="J212" s="79"/>
      <c r="K212" s="79"/>
      <c r="L212" s="79"/>
      <c r="M212" s="82"/>
      <c r="N212" s="84"/>
      <c r="O212" s="85"/>
      <c r="P212" s="86"/>
      <c r="Q212" s="86"/>
      <c r="R212" s="83"/>
      <c r="S212" s="84"/>
    </row>
    <row r="213" spans="1:19" x14ac:dyDescent="0.25">
      <c r="A213" s="75"/>
      <c r="B213" s="79"/>
      <c r="C213" s="80"/>
      <c r="D213" s="81"/>
      <c r="E213" s="81"/>
      <c r="F213" s="82"/>
      <c r="G213" s="82"/>
      <c r="H213" s="83"/>
      <c r="I213" s="82"/>
      <c r="J213" s="79"/>
      <c r="K213" s="79"/>
      <c r="L213" s="79"/>
      <c r="M213" s="82"/>
      <c r="N213" s="84"/>
      <c r="O213" s="85"/>
      <c r="P213" s="86"/>
      <c r="Q213" s="86"/>
      <c r="R213" s="83"/>
      <c r="S213" s="84"/>
    </row>
    <row r="214" spans="1:19" x14ac:dyDescent="0.25">
      <c r="A214" s="75"/>
      <c r="B214" s="79"/>
      <c r="C214" s="80"/>
      <c r="D214" s="81"/>
      <c r="E214" s="81"/>
      <c r="F214" s="82"/>
      <c r="G214" s="82"/>
      <c r="H214" s="83"/>
      <c r="I214" s="82"/>
      <c r="J214" s="79"/>
      <c r="K214" s="79"/>
      <c r="L214" s="79"/>
      <c r="M214" s="82"/>
      <c r="N214" s="84"/>
      <c r="O214" s="85"/>
      <c r="P214" s="86"/>
      <c r="Q214" s="86"/>
      <c r="R214" s="83"/>
      <c r="S214" s="84"/>
    </row>
    <row r="215" spans="1:19" x14ac:dyDescent="0.25">
      <c r="A215" s="75"/>
      <c r="B215" s="79"/>
      <c r="C215" s="80"/>
      <c r="D215" s="81"/>
      <c r="E215" s="81"/>
      <c r="F215" s="82"/>
      <c r="G215" s="82"/>
      <c r="H215" s="83"/>
      <c r="I215" s="82"/>
      <c r="J215" s="79"/>
      <c r="K215" s="79"/>
      <c r="L215" s="79"/>
      <c r="M215" s="82"/>
      <c r="N215" s="84"/>
      <c r="O215" s="85"/>
      <c r="P215" s="86"/>
      <c r="Q215" s="86"/>
      <c r="R215" s="83"/>
      <c r="S215" s="84"/>
    </row>
    <row r="216" spans="1:19" x14ac:dyDescent="0.25">
      <c r="A216" s="75"/>
      <c r="B216" s="79"/>
      <c r="C216" s="80"/>
      <c r="D216" s="81"/>
      <c r="E216" s="81"/>
      <c r="F216" s="82"/>
      <c r="G216" s="82"/>
      <c r="H216" s="83"/>
      <c r="I216" s="82"/>
      <c r="J216" s="79"/>
      <c r="K216" s="79"/>
      <c r="L216" s="79"/>
      <c r="M216" s="82"/>
      <c r="N216" s="84"/>
      <c r="O216" s="85"/>
      <c r="P216" s="86"/>
      <c r="Q216" s="86"/>
      <c r="R216" s="83"/>
      <c r="S216" s="84"/>
    </row>
    <row r="217" spans="1:19" x14ac:dyDescent="0.25">
      <c r="A217" s="75"/>
      <c r="B217" s="79"/>
      <c r="C217" s="80"/>
      <c r="D217" s="81"/>
      <c r="E217" s="81"/>
      <c r="F217" s="82"/>
      <c r="G217" s="82"/>
      <c r="H217" s="83"/>
      <c r="I217" s="82"/>
      <c r="J217" s="79"/>
      <c r="K217" s="79"/>
      <c r="L217" s="79"/>
      <c r="M217" s="82"/>
      <c r="N217" s="84"/>
      <c r="O217" s="85"/>
      <c r="P217" s="86"/>
      <c r="Q217" s="86"/>
      <c r="R217" s="83"/>
      <c r="S217" s="84"/>
    </row>
    <row r="218" spans="1:19" x14ac:dyDescent="0.25">
      <c r="A218" s="75"/>
      <c r="B218" s="79"/>
      <c r="C218" s="80"/>
      <c r="D218" s="81"/>
      <c r="E218" s="81"/>
      <c r="F218" s="82"/>
      <c r="G218" s="82"/>
      <c r="H218" s="83"/>
      <c r="I218" s="82"/>
      <c r="J218" s="79"/>
      <c r="K218" s="79"/>
      <c r="L218" s="79"/>
      <c r="M218" s="82"/>
      <c r="N218" s="84"/>
      <c r="O218" s="85"/>
      <c r="P218" s="86"/>
      <c r="Q218" s="86"/>
      <c r="R218" s="83"/>
      <c r="S218" s="84"/>
    </row>
    <row r="219" spans="1:19" x14ac:dyDescent="0.25">
      <c r="A219" s="75"/>
      <c r="B219" s="79"/>
      <c r="C219" s="80"/>
      <c r="D219" s="81"/>
      <c r="E219" s="81"/>
      <c r="F219" s="82"/>
      <c r="G219" s="82"/>
      <c r="H219" s="83"/>
      <c r="I219" s="82"/>
      <c r="J219" s="79"/>
      <c r="K219" s="79"/>
      <c r="L219" s="79"/>
      <c r="M219" s="82"/>
      <c r="N219" s="84"/>
      <c r="O219" s="85"/>
      <c r="P219" s="86"/>
      <c r="Q219" s="86"/>
      <c r="R219" s="83"/>
      <c r="S219" s="84"/>
    </row>
    <row r="220" spans="1:19" x14ac:dyDescent="0.25">
      <c r="A220" s="75"/>
      <c r="B220" s="79"/>
      <c r="C220" s="80"/>
      <c r="D220" s="81"/>
      <c r="E220" s="81"/>
      <c r="F220" s="82"/>
      <c r="G220" s="82"/>
      <c r="H220" s="83"/>
      <c r="I220" s="82"/>
      <c r="J220" s="79"/>
      <c r="K220" s="79"/>
      <c r="L220" s="79"/>
      <c r="M220" s="82"/>
      <c r="N220" s="84"/>
      <c r="O220" s="85"/>
      <c r="P220" s="86"/>
      <c r="Q220" s="86"/>
      <c r="R220" s="83"/>
      <c r="S220" s="84"/>
    </row>
    <row r="221" spans="1:19" x14ac:dyDescent="0.25">
      <c r="A221" s="75"/>
      <c r="B221" s="79"/>
      <c r="C221" s="80"/>
      <c r="D221" s="81"/>
      <c r="E221" s="81"/>
      <c r="F221" s="82"/>
      <c r="G221" s="82"/>
      <c r="H221" s="83"/>
      <c r="I221" s="82"/>
      <c r="J221" s="79"/>
      <c r="K221" s="79"/>
      <c r="L221" s="79"/>
      <c r="M221" s="82"/>
      <c r="N221" s="84"/>
      <c r="O221" s="85"/>
      <c r="P221" s="86"/>
      <c r="Q221" s="86"/>
      <c r="R221" s="83"/>
      <c r="S221" s="84"/>
    </row>
    <row r="222" spans="1:19" x14ac:dyDescent="0.25">
      <c r="A222" s="75"/>
      <c r="B222" s="79"/>
      <c r="C222" s="80"/>
      <c r="D222" s="81"/>
      <c r="E222" s="81"/>
      <c r="F222" s="82"/>
      <c r="G222" s="82"/>
      <c r="H222" s="83"/>
      <c r="I222" s="82"/>
      <c r="J222" s="79"/>
      <c r="K222" s="79"/>
      <c r="L222" s="79"/>
      <c r="M222" s="82"/>
      <c r="N222" s="84"/>
      <c r="O222" s="85"/>
      <c r="P222" s="86"/>
      <c r="Q222" s="86"/>
      <c r="R222" s="83"/>
      <c r="S222" s="84"/>
    </row>
    <row r="223" spans="1:19" x14ac:dyDescent="0.25">
      <c r="A223" s="75"/>
      <c r="B223" s="79"/>
      <c r="C223" s="80"/>
      <c r="D223" s="81"/>
      <c r="E223" s="81"/>
      <c r="F223" s="82"/>
      <c r="G223" s="82"/>
      <c r="H223" s="83"/>
      <c r="I223" s="82"/>
      <c r="J223" s="79"/>
      <c r="K223" s="79"/>
      <c r="L223" s="79"/>
      <c r="M223" s="82"/>
      <c r="N223" s="84"/>
      <c r="O223" s="85"/>
      <c r="P223" s="86"/>
      <c r="Q223" s="86"/>
      <c r="R223" s="83"/>
      <c r="S223" s="84"/>
    </row>
    <row r="224" spans="1:19" x14ac:dyDescent="0.25">
      <c r="A224" s="75"/>
      <c r="B224" s="79"/>
      <c r="C224" s="80"/>
      <c r="D224" s="81"/>
      <c r="E224" s="81"/>
      <c r="F224" s="82"/>
      <c r="G224" s="82"/>
      <c r="H224" s="83"/>
      <c r="I224" s="82"/>
      <c r="J224" s="79"/>
      <c r="K224" s="79"/>
      <c r="L224" s="79"/>
      <c r="M224" s="82"/>
      <c r="N224" s="84"/>
      <c r="O224" s="85"/>
      <c r="P224" s="86"/>
      <c r="Q224" s="86"/>
      <c r="R224" s="83"/>
      <c r="S224" s="84"/>
    </row>
    <row r="225" spans="1:19" x14ac:dyDescent="0.25">
      <c r="A225" s="75"/>
      <c r="B225" s="79"/>
      <c r="C225" s="80"/>
      <c r="D225" s="81"/>
      <c r="E225" s="81"/>
      <c r="F225" s="82"/>
      <c r="G225" s="82"/>
      <c r="H225" s="83"/>
      <c r="I225" s="82"/>
      <c r="J225" s="79"/>
      <c r="K225" s="79"/>
      <c r="L225" s="79"/>
      <c r="M225" s="82"/>
      <c r="N225" s="84"/>
      <c r="O225" s="85"/>
      <c r="P225" s="86"/>
      <c r="Q225" s="86"/>
      <c r="R225" s="83"/>
      <c r="S225" s="84"/>
    </row>
    <row r="226" spans="1:19" x14ac:dyDescent="0.25">
      <c r="A226" s="75"/>
      <c r="B226" s="79"/>
      <c r="C226" s="80"/>
      <c r="D226" s="81"/>
      <c r="E226" s="81"/>
      <c r="F226" s="82"/>
      <c r="G226" s="82"/>
      <c r="H226" s="83"/>
      <c r="I226" s="82"/>
      <c r="J226" s="79"/>
      <c r="K226" s="79"/>
      <c r="L226" s="79"/>
      <c r="M226" s="82"/>
      <c r="N226" s="84"/>
      <c r="O226" s="85"/>
      <c r="P226" s="86"/>
      <c r="Q226" s="86"/>
      <c r="R226" s="83"/>
      <c r="S226" s="84"/>
    </row>
    <row r="227" spans="1:19" x14ac:dyDescent="0.25">
      <c r="A227" s="75"/>
      <c r="B227" s="79"/>
      <c r="C227" s="80"/>
      <c r="D227" s="81"/>
      <c r="E227" s="81"/>
      <c r="F227" s="82"/>
      <c r="G227" s="82"/>
      <c r="H227" s="83"/>
      <c r="I227" s="82"/>
      <c r="J227" s="79"/>
      <c r="K227" s="79"/>
      <c r="L227" s="79"/>
      <c r="M227" s="82"/>
      <c r="N227" s="84"/>
      <c r="O227" s="85"/>
      <c r="P227" s="86"/>
      <c r="Q227" s="86"/>
      <c r="R227" s="83"/>
      <c r="S227" s="84"/>
    </row>
    <row r="228" spans="1:19" x14ac:dyDescent="0.25">
      <c r="A228" s="75"/>
      <c r="B228" s="79"/>
      <c r="C228" s="80"/>
      <c r="D228" s="81"/>
      <c r="E228" s="81"/>
      <c r="F228" s="82"/>
      <c r="G228" s="82"/>
      <c r="H228" s="83"/>
      <c r="I228" s="82"/>
      <c r="J228" s="79"/>
      <c r="K228" s="79"/>
      <c r="L228" s="79"/>
      <c r="M228" s="82"/>
      <c r="N228" s="84"/>
      <c r="O228" s="85"/>
      <c r="P228" s="86"/>
      <c r="Q228" s="86"/>
      <c r="R228" s="83"/>
      <c r="S228" s="84"/>
    </row>
    <row r="229" spans="1:19" x14ac:dyDescent="0.25">
      <c r="A229" s="75"/>
      <c r="B229" s="79"/>
      <c r="C229" s="80"/>
      <c r="D229" s="81"/>
      <c r="E229" s="81"/>
      <c r="F229" s="82"/>
      <c r="G229" s="82"/>
      <c r="H229" s="83"/>
      <c r="I229" s="82"/>
      <c r="J229" s="79"/>
      <c r="K229" s="79"/>
      <c r="L229" s="79"/>
      <c r="M229" s="82"/>
      <c r="N229" s="84"/>
      <c r="O229" s="85"/>
      <c r="P229" s="86"/>
      <c r="Q229" s="86"/>
      <c r="R229" s="83"/>
      <c r="S229" s="84"/>
    </row>
    <row r="230" spans="1:19" x14ac:dyDescent="0.25">
      <c r="A230" s="75"/>
      <c r="B230" s="79"/>
      <c r="C230" s="80"/>
      <c r="D230" s="81"/>
      <c r="E230" s="81"/>
      <c r="F230" s="82"/>
      <c r="G230" s="82"/>
      <c r="H230" s="83"/>
      <c r="I230" s="82"/>
      <c r="J230" s="79"/>
      <c r="K230" s="79"/>
      <c r="L230" s="79"/>
      <c r="M230" s="82"/>
      <c r="N230" s="84"/>
      <c r="O230" s="85"/>
      <c r="P230" s="86"/>
      <c r="Q230" s="86"/>
      <c r="R230" s="83"/>
      <c r="S230" s="84"/>
    </row>
    <row r="231" spans="1:19" x14ac:dyDescent="0.25">
      <c r="A231" s="75"/>
      <c r="B231" s="79"/>
      <c r="C231" s="80"/>
      <c r="D231" s="81"/>
      <c r="E231" s="81"/>
      <c r="F231" s="82"/>
      <c r="G231" s="82"/>
      <c r="H231" s="83"/>
      <c r="I231" s="82"/>
      <c r="J231" s="79"/>
      <c r="K231" s="79"/>
      <c r="L231" s="79"/>
      <c r="M231" s="82"/>
      <c r="N231" s="84"/>
      <c r="O231" s="85"/>
      <c r="P231" s="86"/>
      <c r="Q231" s="86"/>
      <c r="R231" s="83"/>
      <c r="S231" s="84"/>
    </row>
    <row r="232" spans="1:19" x14ac:dyDescent="0.25">
      <c r="A232" s="75"/>
      <c r="B232" s="79"/>
      <c r="C232" s="80"/>
      <c r="D232" s="81"/>
      <c r="E232" s="81"/>
      <c r="F232" s="82"/>
      <c r="G232" s="82"/>
      <c r="H232" s="83"/>
      <c r="I232" s="82"/>
      <c r="J232" s="79"/>
      <c r="K232" s="79"/>
      <c r="L232" s="79"/>
      <c r="M232" s="82"/>
      <c r="N232" s="84"/>
      <c r="O232" s="85"/>
      <c r="P232" s="86"/>
      <c r="Q232" s="86"/>
      <c r="R232" s="83"/>
      <c r="S232" s="84"/>
    </row>
    <row r="233" spans="1:19" x14ac:dyDescent="0.25">
      <c r="A233" s="75"/>
      <c r="B233" s="79"/>
      <c r="C233" s="80"/>
      <c r="D233" s="81"/>
      <c r="E233" s="81"/>
      <c r="F233" s="82"/>
      <c r="G233" s="82"/>
      <c r="H233" s="83"/>
      <c r="I233" s="82"/>
      <c r="J233" s="79"/>
      <c r="K233" s="79"/>
      <c r="L233" s="79"/>
      <c r="M233" s="82"/>
      <c r="N233" s="84"/>
      <c r="O233" s="85"/>
      <c r="P233" s="86"/>
      <c r="Q233" s="86"/>
      <c r="R233" s="83"/>
      <c r="S233" s="84"/>
    </row>
    <row r="234" spans="1:19" x14ac:dyDescent="0.25">
      <c r="A234" s="75"/>
      <c r="B234" s="79"/>
      <c r="C234" s="80"/>
      <c r="D234" s="81"/>
      <c r="E234" s="81"/>
      <c r="F234" s="82"/>
      <c r="G234" s="82"/>
      <c r="H234" s="83"/>
      <c r="I234" s="82"/>
      <c r="J234" s="79"/>
      <c r="K234" s="79"/>
      <c r="L234" s="79"/>
      <c r="M234" s="82"/>
      <c r="N234" s="84"/>
      <c r="O234" s="85"/>
      <c r="P234" s="86"/>
      <c r="Q234" s="86"/>
      <c r="R234" s="83"/>
      <c r="S234" s="84"/>
    </row>
    <row r="235" spans="1:19" x14ac:dyDescent="0.25">
      <c r="A235" s="75"/>
      <c r="B235" s="79"/>
      <c r="C235" s="80"/>
      <c r="D235" s="81"/>
      <c r="E235" s="81"/>
      <c r="F235" s="82"/>
      <c r="G235" s="82"/>
      <c r="H235" s="83"/>
      <c r="I235" s="82"/>
      <c r="J235" s="79"/>
      <c r="K235" s="79"/>
      <c r="L235" s="79"/>
      <c r="M235" s="82"/>
      <c r="N235" s="84"/>
      <c r="O235" s="85"/>
      <c r="P235" s="86"/>
      <c r="Q235" s="86"/>
      <c r="R235" s="83"/>
      <c r="S235" s="84"/>
    </row>
    <row r="236" spans="1:19" x14ac:dyDescent="0.25">
      <c r="A236" s="75"/>
      <c r="B236" s="79"/>
      <c r="C236" s="80"/>
      <c r="D236" s="81"/>
      <c r="E236" s="81"/>
      <c r="F236" s="82"/>
      <c r="G236" s="82"/>
      <c r="H236" s="83"/>
      <c r="I236" s="82"/>
      <c r="J236" s="79"/>
      <c r="K236" s="79"/>
      <c r="L236" s="79"/>
      <c r="M236" s="82"/>
      <c r="N236" s="84"/>
      <c r="O236" s="85"/>
      <c r="P236" s="86"/>
      <c r="Q236" s="86"/>
      <c r="R236" s="83"/>
      <c r="S236" s="84"/>
    </row>
    <row r="237" spans="1:19" x14ac:dyDescent="0.25">
      <c r="A237" s="75"/>
      <c r="B237" s="79"/>
      <c r="C237" s="80"/>
      <c r="D237" s="81"/>
      <c r="E237" s="81"/>
      <c r="F237" s="82"/>
      <c r="G237" s="82"/>
      <c r="H237" s="83"/>
      <c r="I237" s="82"/>
      <c r="J237" s="79"/>
      <c r="K237" s="79"/>
      <c r="L237" s="79"/>
      <c r="M237" s="82"/>
      <c r="N237" s="84"/>
      <c r="O237" s="85"/>
      <c r="P237" s="86"/>
      <c r="Q237" s="86"/>
      <c r="R237" s="83"/>
      <c r="S237" s="84"/>
    </row>
    <row r="238" spans="1:19" x14ac:dyDescent="0.25">
      <c r="A238" s="75"/>
      <c r="B238" s="79"/>
      <c r="C238" s="80"/>
      <c r="D238" s="81"/>
      <c r="E238" s="81"/>
      <c r="F238" s="82"/>
      <c r="G238" s="82"/>
      <c r="H238" s="83"/>
      <c r="I238" s="82"/>
      <c r="J238" s="79"/>
      <c r="K238" s="79"/>
      <c r="L238" s="79"/>
      <c r="M238" s="82"/>
      <c r="N238" s="84"/>
      <c r="O238" s="85"/>
      <c r="P238" s="86"/>
      <c r="Q238" s="86"/>
      <c r="R238" s="83"/>
      <c r="S238" s="84"/>
    </row>
    <row r="239" spans="1:19" x14ac:dyDescent="0.25">
      <c r="A239" s="75"/>
      <c r="B239" s="79"/>
      <c r="C239" s="80"/>
      <c r="D239" s="81"/>
      <c r="E239" s="81"/>
      <c r="F239" s="82"/>
      <c r="G239" s="82"/>
      <c r="H239" s="83"/>
      <c r="I239" s="82"/>
      <c r="J239" s="79"/>
      <c r="K239" s="79"/>
      <c r="L239" s="79"/>
      <c r="M239" s="82"/>
      <c r="N239" s="84"/>
      <c r="O239" s="85"/>
      <c r="P239" s="86"/>
      <c r="Q239" s="86"/>
      <c r="R239" s="83"/>
      <c r="S239" s="84"/>
    </row>
    <row r="240" spans="1:19" x14ac:dyDescent="0.25">
      <c r="A240" s="75"/>
      <c r="B240" s="79"/>
      <c r="C240" s="80"/>
      <c r="D240" s="81"/>
      <c r="E240" s="81"/>
      <c r="F240" s="82"/>
      <c r="G240" s="82"/>
      <c r="H240" s="83"/>
      <c r="I240" s="82"/>
      <c r="J240" s="79"/>
      <c r="K240" s="79"/>
      <c r="L240" s="79"/>
      <c r="M240" s="82"/>
      <c r="N240" s="84"/>
      <c r="O240" s="85"/>
      <c r="P240" s="86"/>
      <c r="Q240" s="86"/>
      <c r="R240" s="83"/>
      <c r="S240" s="84"/>
    </row>
    <row r="241" spans="1:19" x14ac:dyDescent="0.25">
      <c r="A241" s="75"/>
      <c r="B241" s="79"/>
      <c r="C241" s="80"/>
      <c r="D241" s="81"/>
      <c r="E241" s="81"/>
      <c r="F241" s="82"/>
      <c r="G241" s="82"/>
      <c r="H241" s="83"/>
      <c r="I241" s="82"/>
      <c r="J241" s="79"/>
      <c r="K241" s="79"/>
      <c r="L241" s="79"/>
      <c r="M241" s="82"/>
      <c r="N241" s="84"/>
      <c r="O241" s="85"/>
      <c r="P241" s="86"/>
      <c r="Q241" s="86"/>
      <c r="R241" s="83"/>
      <c r="S241" s="84"/>
    </row>
    <row r="242" spans="1:19" x14ac:dyDescent="0.25">
      <c r="A242" s="75"/>
      <c r="B242" s="79"/>
      <c r="C242" s="80"/>
      <c r="D242" s="81"/>
      <c r="E242" s="81"/>
      <c r="F242" s="82"/>
      <c r="G242" s="82"/>
      <c r="H242" s="83"/>
      <c r="I242" s="82"/>
      <c r="J242" s="79"/>
      <c r="K242" s="79"/>
      <c r="L242" s="79"/>
      <c r="M242" s="82"/>
      <c r="N242" s="84"/>
      <c r="O242" s="85"/>
      <c r="P242" s="86"/>
      <c r="Q242" s="86"/>
      <c r="R242" s="83"/>
      <c r="S242" s="84"/>
    </row>
    <row r="243" spans="1:19" x14ac:dyDescent="0.25">
      <c r="A243" s="75"/>
      <c r="B243" s="79"/>
      <c r="C243" s="80"/>
      <c r="D243" s="81"/>
      <c r="E243" s="81"/>
      <c r="F243" s="82"/>
      <c r="G243" s="82"/>
      <c r="H243" s="83"/>
      <c r="I243" s="82"/>
      <c r="J243" s="79"/>
      <c r="K243" s="79"/>
      <c r="L243" s="79"/>
      <c r="M243" s="82"/>
      <c r="N243" s="84"/>
      <c r="O243" s="85"/>
      <c r="P243" s="86"/>
      <c r="Q243" s="86"/>
      <c r="R243" s="83"/>
      <c r="S243" s="84"/>
    </row>
    <row r="244" spans="1:19" x14ac:dyDescent="0.25">
      <c r="A244" s="75"/>
      <c r="B244" s="79"/>
      <c r="C244" s="80"/>
      <c r="D244" s="81"/>
      <c r="E244" s="81"/>
      <c r="F244" s="82"/>
      <c r="G244" s="82"/>
      <c r="H244" s="83"/>
      <c r="I244" s="82"/>
      <c r="J244" s="79"/>
      <c r="K244" s="79"/>
      <c r="L244" s="79"/>
      <c r="M244" s="82"/>
      <c r="N244" s="84"/>
      <c r="O244" s="85"/>
      <c r="P244" s="86"/>
      <c r="Q244" s="86"/>
      <c r="R244" s="83"/>
      <c r="S244" s="84"/>
    </row>
    <row r="245" spans="1:19" x14ac:dyDescent="0.25">
      <c r="A245" s="75"/>
      <c r="B245" s="79"/>
      <c r="C245" s="80"/>
      <c r="D245" s="81"/>
      <c r="E245" s="81"/>
      <c r="F245" s="82"/>
      <c r="G245" s="82"/>
      <c r="H245" s="83"/>
      <c r="I245" s="82"/>
      <c r="J245" s="79"/>
      <c r="K245" s="79"/>
      <c r="L245" s="79"/>
      <c r="M245" s="82"/>
      <c r="N245" s="84"/>
      <c r="O245" s="85"/>
      <c r="P245" s="86"/>
      <c r="Q245" s="86"/>
      <c r="R245" s="83"/>
      <c r="S245" s="84"/>
    </row>
    <row r="246" spans="1:19" x14ac:dyDescent="0.25">
      <c r="A246" s="75"/>
      <c r="B246" s="79"/>
      <c r="C246" s="80"/>
      <c r="D246" s="81"/>
      <c r="E246" s="81"/>
      <c r="F246" s="82"/>
      <c r="G246" s="82"/>
      <c r="H246" s="83"/>
      <c r="I246" s="82"/>
      <c r="J246" s="79"/>
      <c r="K246" s="79"/>
      <c r="L246" s="79"/>
      <c r="M246" s="82"/>
      <c r="N246" s="84"/>
      <c r="O246" s="85"/>
      <c r="P246" s="86"/>
      <c r="Q246" s="86"/>
      <c r="R246" s="83"/>
      <c r="S246" s="84"/>
    </row>
    <row r="247" spans="1:19" x14ac:dyDescent="0.25">
      <c r="A247" s="75"/>
      <c r="B247" s="79"/>
      <c r="C247" s="80"/>
      <c r="D247" s="81"/>
      <c r="E247" s="81"/>
      <c r="F247" s="82"/>
      <c r="G247" s="82"/>
      <c r="H247" s="83"/>
      <c r="I247" s="82"/>
      <c r="J247" s="79"/>
      <c r="K247" s="79"/>
      <c r="L247" s="79"/>
      <c r="M247" s="82"/>
      <c r="N247" s="84"/>
      <c r="O247" s="85"/>
      <c r="P247" s="86"/>
      <c r="Q247" s="86"/>
      <c r="R247" s="83"/>
      <c r="S247" s="84"/>
    </row>
    <row r="248" spans="1:19" x14ac:dyDescent="0.25">
      <c r="A248" s="75"/>
      <c r="B248" s="79"/>
      <c r="C248" s="80"/>
      <c r="D248" s="81"/>
      <c r="E248" s="81"/>
      <c r="F248" s="82"/>
      <c r="G248" s="82"/>
      <c r="H248" s="83"/>
      <c r="I248" s="82"/>
      <c r="J248" s="79"/>
      <c r="K248" s="79"/>
      <c r="L248" s="79"/>
      <c r="M248" s="82"/>
      <c r="N248" s="84"/>
      <c r="O248" s="85"/>
      <c r="P248" s="86"/>
      <c r="Q248" s="86"/>
      <c r="R248" s="83"/>
      <c r="S248" s="84"/>
    </row>
    <row r="249" spans="1:19" x14ac:dyDescent="0.25">
      <c r="A249" s="75"/>
      <c r="B249" s="79"/>
      <c r="C249" s="80"/>
      <c r="D249" s="81"/>
      <c r="E249" s="81"/>
      <c r="F249" s="82"/>
      <c r="G249" s="82"/>
      <c r="H249" s="83"/>
      <c r="I249" s="82"/>
      <c r="J249" s="79"/>
      <c r="K249" s="79"/>
      <c r="L249" s="79"/>
      <c r="M249" s="82"/>
      <c r="N249" s="84"/>
      <c r="O249" s="85"/>
      <c r="P249" s="86"/>
      <c r="Q249" s="86"/>
      <c r="R249" s="83"/>
      <c r="S249" s="84"/>
    </row>
    <row r="250" spans="1:19" x14ac:dyDescent="0.25">
      <c r="A250" s="75"/>
      <c r="B250" s="79"/>
      <c r="C250" s="80"/>
      <c r="D250" s="81"/>
      <c r="E250" s="81"/>
      <c r="F250" s="82"/>
      <c r="G250" s="82"/>
      <c r="H250" s="83"/>
      <c r="I250" s="82"/>
      <c r="J250" s="79"/>
      <c r="K250" s="79"/>
      <c r="L250" s="79"/>
      <c r="M250" s="82"/>
      <c r="N250" s="84"/>
      <c r="O250" s="85"/>
      <c r="P250" s="86"/>
      <c r="Q250" s="86"/>
      <c r="R250" s="83"/>
      <c r="S250" s="84"/>
    </row>
    <row r="251" spans="1:19" x14ac:dyDescent="0.25">
      <c r="A251" s="75"/>
      <c r="B251" s="79"/>
      <c r="C251" s="80"/>
      <c r="D251" s="81"/>
      <c r="E251" s="81"/>
      <c r="F251" s="82"/>
      <c r="G251" s="82"/>
      <c r="H251" s="83"/>
      <c r="I251" s="82"/>
      <c r="J251" s="79"/>
      <c r="K251" s="79"/>
      <c r="L251" s="79"/>
      <c r="M251" s="82"/>
      <c r="N251" s="84"/>
      <c r="O251" s="85"/>
      <c r="P251" s="86"/>
      <c r="Q251" s="86"/>
      <c r="R251" s="83"/>
      <c r="S251" s="84"/>
    </row>
    <row r="252" spans="1:19" x14ac:dyDescent="0.25">
      <c r="A252" s="75"/>
      <c r="B252" s="79"/>
      <c r="C252" s="80"/>
      <c r="D252" s="81"/>
      <c r="E252" s="81"/>
      <c r="F252" s="82"/>
      <c r="G252" s="82"/>
      <c r="H252" s="83"/>
      <c r="I252" s="82"/>
      <c r="J252" s="79"/>
      <c r="K252" s="79"/>
      <c r="L252" s="79"/>
      <c r="M252" s="82"/>
      <c r="N252" s="84"/>
      <c r="O252" s="85"/>
      <c r="P252" s="86"/>
      <c r="Q252" s="86"/>
      <c r="R252" s="83"/>
      <c r="S252" s="84"/>
    </row>
    <row r="253" spans="1:19" x14ac:dyDescent="0.25">
      <c r="A253" s="75"/>
      <c r="B253" s="79"/>
      <c r="C253" s="80"/>
      <c r="D253" s="81"/>
      <c r="E253" s="81"/>
      <c r="F253" s="82"/>
      <c r="G253" s="82"/>
      <c r="H253" s="83"/>
      <c r="I253" s="82"/>
      <c r="J253" s="79"/>
      <c r="K253" s="79"/>
      <c r="L253" s="79"/>
      <c r="M253" s="82"/>
      <c r="N253" s="84"/>
      <c r="O253" s="85"/>
      <c r="P253" s="86"/>
      <c r="Q253" s="86"/>
      <c r="R253" s="83"/>
      <c r="S253" s="84"/>
    </row>
    <row r="254" spans="1:19" x14ac:dyDescent="0.25">
      <c r="A254" s="75"/>
      <c r="B254" s="79"/>
      <c r="C254" s="80"/>
      <c r="D254" s="81"/>
      <c r="E254" s="81"/>
      <c r="F254" s="82"/>
      <c r="G254" s="82"/>
      <c r="H254" s="83"/>
      <c r="I254" s="82"/>
      <c r="J254" s="79"/>
      <c r="K254" s="79"/>
      <c r="L254" s="79"/>
      <c r="M254" s="82"/>
      <c r="N254" s="84"/>
      <c r="O254" s="85"/>
      <c r="P254" s="86"/>
      <c r="Q254" s="86"/>
      <c r="R254" s="83"/>
      <c r="S254" s="84"/>
    </row>
    <row r="255" spans="1:19" x14ac:dyDescent="0.25">
      <c r="A255" s="75"/>
      <c r="B255" s="79"/>
      <c r="C255" s="80"/>
      <c r="D255" s="81"/>
      <c r="E255" s="81"/>
      <c r="F255" s="82"/>
      <c r="G255" s="82"/>
      <c r="H255" s="83"/>
      <c r="I255" s="82"/>
      <c r="J255" s="79"/>
      <c r="K255" s="79"/>
      <c r="L255" s="79"/>
      <c r="M255" s="82"/>
      <c r="N255" s="84"/>
      <c r="O255" s="85"/>
      <c r="P255" s="86"/>
      <c r="Q255" s="86"/>
      <c r="R255" s="83"/>
      <c r="S255" s="84"/>
    </row>
    <row r="256" spans="1:19" x14ac:dyDescent="0.25">
      <c r="A256" s="75"/>
      <c r="B256" s="79"/>
      <c r="C256" s="80"/>
      <c r="D256" s="81"/>
      <c r="E256" s="81"/>
      <c r="F256" s="82"/>
      <c r="G256" s="82"/>
      <c r="H256" s="83"/>
      <c r="I256" s="82"/>
      <c r="J256" s="79"/>
      <c r="K256" s="79"/>
      <c r="L256" s="79"/>
      <c r="M256" s="82"/>
      <c r="N256" s="84"/>
      <c r="O256" s="85"/>
      <c r="P256" s="86"/>
      <c r="Q256" s="86"/>
      <c r="R256" s="83"/>
      <c r="S256" s="84"/>
    </row>
    <row r="257" spans="1:19" x14ac:dyDescent="0.25">
      <c r="A257" s="75"/>
      <c r="B257" s="79"/>
      <c r="C257" s="80"/>
      <c r="D257" s="81"/>
      <c r="E257" s="81"/>
      <c r="F257" s="82"/>
      <c r="G257" s="82"/>
      <c r="H257" s="83"/>
      <c r="I257" s="82"/>
      <c r="J257" s="79"/>
      <c r="K257" s="79"/>
      <c r="L257" s="79"/>
      <c r="M257" s="82"/>
      <c r="N257" s="84"/>
      <c r="O257" s="85"/>
      <c r="P257" s="86"/>
      <c r="Q257" s="86"/>
      <c r="R257" s="83"/>
      <c r="S257" s="84"/>
    </row>
    <row r="258" spans="1:19" x14ac:dyDescent="0.25">
      <c r="A258" s="75"/>
      <c r="B258" s="79"/>
      <c r="C258" s="80"/>
      <c r="D258" s="81"/>
      <c r="E258" s="81"/>
      <c r="F258" s="82"/>
      <c r="G258" s="82"/>
      <c r="H258" s="83"/>
      <c r="I258" s="82"/>
      <c r="J258" s="79"/>
      <c r="K258" s="79"/>
      <c r="L258" s="79"/>
      <c r="M258" s="82"/>
      <c r="N258" s="84"/>
      <c r="O258" s="85"/>
      <c r="P258" s="86"/>
      <c r="Q258" s="86"/>
      <c r="R258" s="83"/>
      <c r="S258" s="84"/>
    </row>
    <row r="259" spans="1:19" x14ac:dyDescent="0.25">
      <c r="A259" s="75"/>
      <c r="B259" s="79"/>
      <c r="C259" s="80"/>
      <c r="D259" s="81"/>
      <c r="E259" s="81"/>
      <c r="F259" s="82"/>
      <c r="G259" s="82"/>
      <c r="H259" s="83"/>
      <c r="I259" s="82"/>
      <c r="J259" s="79"/>
      <c r="K259" s="79"/>
      <c r="L259" s="79"/>
      <c r="M259" s="82"/>
      <c r="N259" s="84"/>
      <c r="O259" s="85"/>
      <c r="P259" s="86"/>
      <c r="Q259" s="86"/>
      <c r="R259" s="83"/>
      <c r="S259" s="84"/>
    </row>
    <row r="260" spans="1:19" x14ac:dyDescent="0.25">
      <c r="A260" s="75"/>
      <c r="B260" s="79"/>
      <c r="C260" s="80"/>
      <c r="D260" s="81"/>
      <c r="E260" s="81"/>
      <c r="F260" s="82"/>
      <c r="G260" s="82"/>
      <c r="H260" s="83"/>
      <c r="I260" s="82"/>
      <c r="J260" s="79"/>
      <c r="K260" s="79"/>
      <c r="L260" s="79"/>
      <c r="M260" s="82"/>
      <c r="N260" s="84"/>
      <c r="O260" s="85"/>
      <c r="P260" s="86"/>
      <c r="Q260" s="86"/>
      <c r="R260" s="83"/>
      <c r="S260" s="84"/>
    </row>
    <row r="261" spans="1:19" x14ac:dyDescent="0.25">
      <c r="A261" s="75"/>
      <c r="B261" s="79"/>
      <c r="C261" s="80"/>
      <c r="D261" s="81"/>
      <c r="E261" s="81"/>
      <c r="F261" s="82"/>
      <c r="G261" s="82"/>
      <c r="H261" s="83"/>
      <c r="I261" s="82"/>
      <c r="J261" s="79"/>
      <c r="K261" s="79"/>
      <c r="L261" s="79"/>
      <c r="M261" s="82"/>
      <c r="N261" s="84"/>
      <c r="O261" s="85"/>
      <c r="P261" s="86"/>
      <c r="Q261" s="86"/>
      <c r="R261" s="83"/>
      <c r="S261" s="84"/>
    </row>
    <row r="262" spans="1:19" x14ac:dyDescent="0.25">
      <c r="A262" s="75"/>
      <c r="B262" s="79"/>
      <c r="C262" s="80"/>
      <c r="D262" s="81"/>
      <c r="E262" s="81"/>
      <c r="F262" s="82"/>
      <c r="G262" s="82"/>
      <c r="H262" s="83"/>
      <c r="I262" s="82"/>
      <c r="J262" s="79"/>
      <c r="K262" s="79"/>
      <c r="L262" s="79"/>
      <c r="M262" s="82"/>
      <c r="N262" s="84"/>
      <c r="O262" s="85"/>
      <c r="P262" s="86"/>
      <c r="Q262" s="86"/>
      <c r="R262" s="83"/>
      <c r="S262" s="84"/>
    </row>
    <row r="263" spans="1:19" x14ac:dyDescent="0.25">
      <c r="A263" s="75"/>
      <c r="B263" s="79"/>
      <c r="C263" s="80"/>
      <c r="D263" s="81"/>
      <c r="E263" s="81"/>
      <c r="F263" s="82"/>
      <c r="G263" s="82"/>
      <c r="H263" s="83"/>
      <c r="I263" s="82"/>
      <c r="J263" s="79"/>
      <c r="K263" s="79"/>
      <c r="L263" s="79"/>
      <c r="M263" s="82"/>
      <c r="N263" s="84"/>
      <c r="O263" s="85"/>
      <c r="P263" s="86"/>
      <c r="Q263" s="86"/>
      <c r="R263" s="83"/>
      <c r="S263" s="84"/>
    </row>
    <row r="264" spans="1:19" x14ac:dyDescent="0.25">
      <c r="A264" s="75"/>
      <c r="B264" s="79"/>
      <c r="C264" s="80"/>
      <c r="D264" s="81"/>
      <c r="E264" s="81"/>
      <c r="F264" s="82"/>
      <c r="G264" s="82"/>
      <c r="H264" s="83"/>
      <c r="I264" s="82"/>
      <c r="J264" s="79"/>
      <c r="K264" s="79"/>
      <c r="L264" s="79"/>
      <c r="M264" s="82"/>
      <c r="N264" s="84"/>
      <c r="O264" s="85"/>
      <c r="P264" s="86"/>
      <c r="Q264" s="86"/>
      <c r="R264" s="83"/>
      <c r="S264" s="84"/>
    </row>
    <row r="265" spans="1:19" x14ac:dyDescent="0.25">
      <c r="A265" s="75"/>
      <c r="B265" s="79"/>
      <c r="C265" s="80"/>
      <c r="D265" s="81"/>
      <c r="E265" s="81"/>
      <c r="F265" s="82"/>
      <c r="G265" s="82"/>
      <c r="H265" s="83"/>
      <c r="I265" s="82"/>
      <c r="J265" s="79"/>
      <c r="K265" s="79"/>
      <c r="L265" s="79"/>
      <c r="M265" s="82"/>
      <c r="N265" s="84"/>
      <c r="O265" s="85"/>
      <c r="P265" s="86"/>
      <c r="Q265" s="86"/>
      <c r="R265" s="83"/>
      <c r="S265" s="84"/>
    </row>
    <row r="266" spans="1:19" x14ac:dyDescent="0.25">
      <c r="A266" s="75"/>
      <c r="B266" s="79"/>
      <c r="C266" s="80"/>
      <c r="D266" s="81"/>
      <c r="E266" s="81"/>
      <c r="F266" s="82"/>
      <c r="G266" s="82"/>
      <c r="H266" s="83"/>
      <c r="I266" s="82"/>
      <c r="J266" s="79"/>
      <c r="K266" s="79"/>
      <c r="L266" s="79"/>
      <c r="M266" s="82"/>
      <c r="N266" s="84"/>
      <c r="O266" s="85"/>
      <c r="P266" s="86"/>
      <c r="Q266" s="86"/>
      <c r="R266" s="83"/>
      <c r="S266" s="84"/>
    </row>
    <row r="267" spans="1:19" x14ac:dyDescent="0.25">
      <c r="A267" s="75"/>
      <c r="B267" s="79"/>
      <c r="C267" s="80"/>
      <c r="D267" s="81"/>
      <c r="E267" s="81"/>
      <c r="F267" s="82"/>
      <c r="G267" s="82"/>
      <c r="H267" s="83"/>
      <c r="I267" s="82"/>
      <c r="J267" s="79"/>
      <c r="K267" s="79"/>
      <c r="L267" s="79"/>
      <c r="M267" s="82"/>
      <c r="N267" s="84"/>
      <c r="O267" s="85"/>
      <c r="P267" s="86"/>
      <c r="Q267" s="86"/>
      <c r="R267" s="83"/>
      <c r="S267" s="84"/>
    </row>
    <row r="268" spans="1:19" x14ac:dyDescent="0.25">
      <c r="A268" s="75"/>
      <c r="B268" s="79"/>
      <c r="C268" s="80"/>
      <c r="D268" s="81"/>
      <c r="E268" s="81"/>
      <c r="F268" s="82"/>
      <c r="G268" s="82"/>
      <c r="H268" s="83"/>
      <c r="I268" s="82"/>
      <c r="J268" s="79"/>
      <c r="K268" s="79"/>
      <c r="L268" s="79"/>
      <c r="M268" s="82"/>
      <c r="N268" s="84"/>
      <c r="O268" s="85"/>
      <c r="P268" s="86"/>
      <c r="Q268" s="86"/>
      <c r="R268" s="83"/>
      <c r="S268" s="84"/>
    </row>
    <row r="269" spans="1:19" x14ac:dyDescent="0.25">
      <c r="A269" s="75"/>
      <c r="B269" s="79"/>
      <c r="C269" s="80"/>
      <c r="D269" s="81"/>
      <c r="E269" s="81"/>
      <c r="F269" s="82"/>
      <c r="G269" s="82"/>
      <c r="H269" s="83"/>
      <c r="I269" s="82"/>
      <c r="J269" s="79"/>
      <c r="K269" s="79"/>
      <c r="L269" s="79"/>
      <c r="M269" s="82"/>
      <c r="N269" s="84"/>
      <c r="O269" s="85"/>
      <c r="P269" s="86"/>
      <c r="Q269" s="86"/>
      <c r="R269" s="83"/>
      <c r="S269" s="84"/>
    </row>
    <row r="270" spans="1:19" x14ac:dyDescent="0.25">
      <c r="A270" s="75"/>
      <c r="B270" s="79"/>
      <c r="C270" s="80"/>
      <c r="D270" s="81"/>
      <c r="E270" s="81"/>
      <c r="F270" s="82"/>
      <c r="G270" s="82"/>
      <c r="H270" s="83"/>
      <c r="I270" s="82"/>
      <c r="J270" s="79"/>
      <c r="K270" s="79"/>
      <c r="L270" s="79"/>
      <c r="M270" s="82"/>
      <c r="N270" s="84"/>
      <c r="O270" s="85"/>
      <c r="P270" s="86"/>
      <c r="Q270" s="86"/>
      <c r="R270" s="83"/>
      <c r="S270" s="84"/>
    </row>
    <row r="271" spans="1:19" x14ac:dyDescent="0.25">
      <c r="A271" s="75"/>
      <c r="B271" s="79"/>
      <c r="C271" s="80"/>
      <c r="D271" s="81"/>
      <c r="E271" s="81"/>
      <c r="F271" s="82"/>
      <c r="G271" s="82"/>
      <c r="H271" s="83"/>
      <c r="I271" s="82"/>
      <c r="J271" s="79"/>
      <c r="K271" s="79"/>
      <c r="L271" s="79"/>
      <c r="M271" s="82"/>
      <c r="N271" s="84"/>
      <c r="O271" s="85"/>
      <c r="P271" s="86"/>
      <c r="Q271" s="86"/>
      <c r="R271" s="83"/>
      <c r="S271" s="84"/>
    </row>
    <row r="272" spans="1:19" x14ac:dyDescent="0.25">
      <c r="A272" s="75"/>
      <c r="B272" s="79"/>
      <c r="C272" s="80"/>
      <c r="D272" s="81"/>
      <c r="E272" s="81"/>
      <c r="F272" s="82"/>
      <c r="G272" s="82"/>
      <c r="H272" s="83"/>
      <c r="I272" s="82"/>
      <c r="J272" s="79"/>
      <c r="K272" s="79"/>
      <c r="L272" s="79"/>
      <c r="M272" s="82"/>
      <c r="N272" s="84"/>
      <c r="O272" s="85"/>
      <c r="P272" s="86"/>
      <c r="Q272" s="86"/>
      <c r="R272" s="83"/>
      <c r="S272" s="84"/>
    </row>
    <row r="273" spans="1:19" x14ac:dyDescent="0.25">
      <c r="A273" s="75"/>
      <c r="B273" s="79"/>
      <c r="C273" s="80"/>
      <c r="D273" s="81"/>
      <c r="E273" s="81"/>
      <c r="F273" s="82"/>
      <c r="G273" s="82"/>
      <c r="H273" s="83"/>
      <c r="I273" s="82"/>
      <c r="J273" s="79"/>
      <c r="K273" s="79"/>
      <c r="L273" s="79"/>
      <c r="M273" s="82"/>
      <c r="N273" s="84"/>
      <c r="O273" s="85"/>
      <c r="P273" s="86"/>
      <c r="Q273" s="86"/>
      <c r="R273" s="83"/>
      <c r="S273" s="84"/>
    </row>
    <row r="274" spans="1:19" x14ac:dyDescent="0.25">
      <c r="A274" s="75"/>
      <c r="B274" s="79"/>
      <c r="C274" s="80"/>
      <c r="D274" s="81"/>
      <c r="E274" s="81"/>
      <c r="F274" s="82"/>
      <c r="G274" s="82"/>
      <c r="H274" s="83"/>
      <c r="I274" s="82"/>
      <c r="J274" s="79"/>
      <c r="K274" s="79"/>
      <c r="L274" s="79"/>
      <c r="M274" s="82"/>
      <c r="N274" s="84"/>
      <c r="O274" s="85"/>
      <c r="P274" s="86"/>
      <c r="Q274" s="86"/>
      <c r="R274" s="83"/>
      <c r="S274" s="84"/>
    </row>
    <row r="275" spans="1:19" x14ac:dyDescent="0.25">
      <c r="A275" s="75"/>
      <c r="B275" s="79"/>
      <c r="C275" s="80"/>
      <c r="D275" s="81"/>
      <c r="E275" s="81"/>
      <c r="F275" s="82"/>
      <c r="G275" s="82"/>
      <c r="H275" s="83"/>
      <c r="I275" s="82"/>
      <c r="J275" s="79"/>
      <c r="K275" s="79"/>
      <c r="L275" s="79"/>
      <c r="M275" s="82"/>
      <c r="N275" s="84"/>
      <c r="O275" s="85"/>
      <c r="P275" s="86"/>
      <c r="Q275" s="86"/>
      <c r="R275" s="83"/>
      <c r="S275" s="84"/>
    </row>
    <row r="276" spans="1:19" x14ac:dyDescent="0.25">
      <c r="A276" s="75"/>
      <c r="B276" s="79"/>
      <c r="C276" s="80"/>
      <c r="D276" s="81"/>
      <c r="E276" s="81"/>
      <c r="F276" s="82"/>
      <c r="G276" s="82"/>
      <c r="H276" s="83"/>
      <c r="I276" s="82"/>
      <c r="J276" s="79"/>
      <c r="K276" s="79"/>
      <c r="L276" s="79"/>
      <c r="M276" s="82"/>
      <c r="N276" s="84"/>
      <c r="O276" s="85"/>
      <c r="P276" s="86"/>
      <c r="Q276" s="86"/>
      <c r="R276" s="83"/>
      <c r="S276" s="84"/>
    </row>
    <row r="277" spans="1:19" x14ac:dyDescent="0.25">
      <c r="A277" s="75"/>
      <c r="B277" s="79"/>
      <c r="C277" s="80"/>
      <c r="D277" s="81"/>
      <c r="E277" s="81"/>
      <c r="F277" s="82"/>
      <c r="G277" s="82"/>
      <c r="H277" s="83"/>
      <c r="I277" s="82"/>
      <c r="J277" s="79"/>
      <c r="K277" s="79"/>
      <c r="L277" s="79"/>
      <c r="M277" s="82"/>
      <c r="N277" s="84"/>
      <c r="O277" s="85"/>
      <c r="P277" s="86"/>
      <c r="Q277" s="86"/>
      <c r="R277" s="83"/>
      <c r="S277" s="84"/>
    </row>
    <row r="278" spans="1:19" x14ac:dyDescent="0.25">
      <c r="A278" s="75"/>
      <c r="B278" s="79"/>
      <c r="C278" s="80"/>
      <c r="D278" s="81"/>
      <c r="E278" s="81"/>
      <c r="F278" s="82"/>
      <c r="G278" s="82"/>
      <c r="H278" s="83"/>
      <c r="I278" s="82"/>
      <c r="J278" s="79"/>
      <c r="K278" s="79"/>
      <c r="L278" s="79"/>
      <c r="M278" s="82"/>
      <c r="N278" s="84"/>
      <c r="O278" s="85"/>
      <c r="P278" s="86"/>
      <c r="Q278" s="86"/>
      <c r="R278" s="83"/>
      <c r="S278" s="84"/>
    </row>
    <row r="279" spans="1:19" x14ac:dyDescent="0.25">
      <c r="A279" s="75"/>
      <c r="B279" s="79"/>
      <c r="C279" s="80"/>
      <c r="D279" s="81"/>
      <c r="E279" s="81"/>
      <c r="F279" s="82"/>
      <c r="G279" s="82"/>
      <c r="H279" s="83"/>
      <c r="I279" s="82"/>
      <c r="J279" s="79"/>
      <c r="K279" s="79"/>
      <c r="L279" s="79"/>
      <c r="M279" s="82"/>
      <c r="N279" s="84"/>
      <c r="O279" s="85"/>
      <c r="P279" s="86"/>
      <c r="Q279" s="86"/>
      <c r="R279" s="83"/>
      <c r="S279" s="84"/>
    </row>
    <row r="280" spans="1:19" x14ac:dyDescent="0.25">
      <c r="A280" s="75"/>
      <c r="B280" s="79"/>
      <c r="C280" s="80"/>
      <c r="D280" s="81"/>
      <c r="E280" s="81"/>
      <c r="F280" s="82"/>
      <c r="G280" s="82"/>
      <c r="H280" s="83"/>
      <c r="I280" s="82"/>
      <c r="J280" s="79"/>
      <c r="K280" s="79"/>
      <c r="L280" s="79"/>
      <c r="M280" s="82"/>
      <c r="N280" s="84"/>
      <c r="O280" s="85"/>
      <c r="P280" s="86"/>
      <c r="Q280" s="86"/>
      <c r="R280" s="83"/>
      <c r="S280" s="84"/>
    </row>
    <row r="281" spans="1:19" x14ac:dyDescent="0.25">
      <c r="A281" s="75"/>
      <c r="B281" s="79"/>
      <c r="C281" s="80"/>
      <c r="D281" s="81"/>
      <c r="E281" s="81"/>
      <c r="F281" s="82"/>
      <c r="G281" s="82"/>
      <c r="H281" s="83"/>
      <c r="I281" s="82"/>
      <c r="J281" s="79"/>
      <c r="K281" s="79"/>
      <c r="L281" s="79"/>
      <c r="M281" s="82"/>
      <c r="N281" s="84"/>
      <c r="O281" s="85"/>
      <c r="P281" s="86"/>
      <c r="Q281" s="86"/>
      <c r="R281" s="83"/>
      <c r="S281" s="84"/>
    </row>
    <row r="282" spans="1:19" x14ac:dyDescent="0.25">
      <c r="A282" s="75"/>
      <c r="B282" s="79"/>
      <c r="C282" s="80"/>
      <c r="D282" s="81"/>
      <c r="E282" s="81"/>
      <c r="F282" s="82"/>
      <c r="G282" s="82"/>
      <c r="H282" s="83"/>
      <c r="I282" s="82"/>
      <c r="J282" s="79"/>
      <c r="K282" s="79"/>
      <c r="L282" s="79"/>
      <c r="M282" s="82"/>
      <c r="N282" s="84"/>
      <c r="O282" s="85"/>
      <c r="P282" s="86"/>
      <c r="Q282" s="86"/>
      <c r="R282" s="83"/>
      <c r="S282" s="84"/>
    </row>
    <row r="283" spans="1:19" x14ac:dyDescent="0.25">
      <c r="A283" s="75"/>
      <c r="B283" s="79"/>
      <c r="C283" s="80"/>
      <c r="D283" s="81"/>
      <c r="E283" s="81"/>
      <c r="F283" s="82"/>
      <c r="G283" s="82"/>
      <c r="H283" s="83"/>
      <c r="I283" s="82"/>
      <c r="J283" s="79"/>
      <c r="K283" s="79"/>
      <c r="L283" s="79"/>
      <c r="M283" s="82"/>
      <c r="N283" s="84"/>
      <c r="O283" s="85"/>
      <c r="P283" s="86"/>
      <c r="Q283" s="86"/>
      <c r="R283" s="83"/>
      <c r="S283" s="84"/>
    </row>
    <row r="284" spans="1:19" x14ac:dyDescent="0.25">
      <c r="A284" s="75"/>
      <c r="B284" s="79"/>
      <c r="C284" s="80"/>
      <c r="D284" s="81"/>
      <c r="E284" s="81"/>
      <c r="F284" s="82"/>
      <c r="G284" s="82"/>
      <c r="H284" s="83"/>
      <c r="I284" s="82"/>
      <c r="J284" s="79"/>
      <c r="K284" s="79"/>
      <c r="L284" s="79"/>
      <c r="M284" s="82"/>
      <c r="N284" s="84"/>
      <c r="O284" s="85"/>
      <c r="P284" s="86"/>
      <c r="Q284" s="86"/>
      <c r="R284" s="83"/>
      <c r="S284" s="84"/>
    </row>
    <row r="285" spans="1:19" x14ac:dyDescent="0.25">
      <c r="A285" s="75"/>
      <c r="B285" s="79"/>
      <c r="C285" s="80"/>
      <c r="D285" s="81"/>
      <c r="E285" s="81"/>
      <c r="F285" s="82"/>
      <c r="G285" s="82"/>
      <c r="H285" s="83"/>
      <c r="I285" s="82"/>
      <c r="J285" s="79"/>
      <c r="K285" s="79"/>
      <c r="L285" s="79"/>
      <c r="M285" s="82"/>
      <c r="N285" s="84"/>
      <c r="O285" s="85"/>
      <c r="P285" s="86"/>
      <c r="Q285" s="86"/>
      <c r="R285" s="83"/>
      <c r="S285" s="84"/>
    </row>
    <row r="286" spans="1:19" x14ac:dyDescent="0.25">
      <c r="A286" s="75"/>
      <c r="B286" s="79"/>
      <c r="C286" s="80"/>
      <c r="D286" s="81"/>
      <c r="E286" s="81"/>
      <c r="F286" s="82"/>
      <c r="G286" s="82"/>
      <c r="H286" s="83"/>
      <c r="I286" s="82"/>
      <c r="J286" s="79"/>
      <c r="K286" s="79"/>
      <c r="L286" s="79"/>
      <c r="M286" s="82"/>
      <c r="N286" s="84"/>
      <c r="O286" s="85"/>
      <c r="P286" s="86"/>
      <c r="Q286" s="86"/>
      <c r="R286" s="83"/>
      <c r="S286" s="84"/>
    </row>
    <row r="287" spans="1:19" x14ac:dyDescent="0.25">
      <c r="A287" s="75"/>
      <c r="B287" s="79"/>
      <c r="C287" s="80"/>
      <c r="D287" s="81"/>
      <c r="E287" s="81"/>
      <c r="F287" s="82"/>
      <c r="G287" s="82"/>
      <c r="H287" s="83"/>
      <c r="I287" s="82"/>
      <c r="J287" s="79"/>
      <c r="K287" s="79"/>
      <c r="L287" s="79"/>
      <c r="M287" s="82"/>
      <c r="N287" s="84"/>
      <c r="O287" s="85"/>
      <c r="P287" s="86"/>
      <c r="Q287" s="86"/>
      <c r="R287" s="83"/>
      <c r="S287" s="84"/>
    </row>
    <row r="288" spans="1:19" x14ac:dyDescent="0.25">
      <c r="A288" s="75"/>
      <c r="B288" s="79"/>
      <c r="C288" s="80"/>
      <c r="D288" s="81"/>
      <c r="E288" s="81"/>
      <c r="F288" s="82"/>
      <c r="G288" s="82"/>
      <c r="H288" s="83"/>
      <c r="I288" s="82"/>
      <c r="J288" s="79"/>
      <c r="K288" s="79"/>
      <c r="L288" s="79"/>
      <c r="M288" s="82"/>
      <c r="N288" s="84"/>
      <c r="O288" s="85"/>
      <c r="P288" s="86"/>
      <c r="Q288" s="86"/>
      <c r="R288" s="83"/>
      <c r="S288" s="84"/>
    </row>
    <row r="289" spans="1:19" x14ac:dyDescent="0.25">
      <c r="A289" s="75"/>
      <c r="B289" s="79"/>
      <c r="C289" s="80"/>
      <c r="D289" s="81"/>
      <c r="E289" s="81"/>
      <c r="F289" s="82"/>
      <c r="G289" s="82"/>
      <c r="H289" s="83"/>
      <c r="I289" s="82"/>
      <c r="J289" s="79"/>
      <c r="K289" s="79"/>
      <c r="L289" s="79"/>
      <c r="M289" s="82"/>
      <c r="N289" s="84"/>
      <c r="O289" s="85"/>
      <c r="P289" s="86"/>
      <c r="Q289" s="86"/>
      <c r="R289" s="83"/>
      <c r="S289" s="84"/>
    </row>
    <row r="290" spans="1:19" x14ac:dyDescent="0.25">
      <c r="A290" s="75"/>
      <c r="B290" s="79"/>
      <c r="C290" s="80"/>
      <c r="D290" s="81"/>
      <c r="E290" s="81"/>
      <c r="F290" s="82"/>
      <c r="G290" s="82"/>
      <c r="H290" s="83"/>
      <c r="I290" s="82"/>
      <c r="J290" s="79"/>
      <c r="K290" s="79"/>
      <c r="L290" s="79"/>
      <c r="M290" s="82"/>
      <c r="N290" s="84"/>
      <c r="O290" s="85"/>
      <c r="P290" s="86"/>
      <c r="Q290" s="86"/>
      <c r="R290" s="83"/>
      <c r="S290" s="84"/>
    </row>
    <row r="291" spans="1:19" x14ac:dyDescent="0.25">
      <c r="A291" s="75"/>
      <c r="B291" s="79"/>
      <c r="C291" s="80"/>
      <c r="D291" s="81"/>
      <c r="E291" s="81"/>
      <c r="F291" s="82"/>
      <c r="G291" s="82"/>
      <c r="H291" s="83"/>
      <c r="I291" s="82"/>
      <c r="J291" s="79"/>
      <c r="K291" s="79"/>
      <c r="L291" s="79"/>
      <c r="M291" s="82"/>
      <c r="N291" s="84"/>
      <c r="O291" s="85"/>
      <c r="P291" s="86"/>
      <c r="Q291" s="86"/>
      <c r="R291" s="83"/>
      <c r="S291" s="84"/>
    </row>
    <row r="292" spans="1:19" x14ac:dyDescent="0.25">
      <c r="A292" s="75"/>
      <c r="B292" s="79"/>
      <c r="C292" s="80"/>
      <c r="D292" s="81"/>
      <c r="E292" s="81"/>
      <c r="F292" s="82"/>
      <c r="G292" s="82"/>
      <c r="H292" s="83"/>
      <c r="I292" s="82"/>
      <c r="J292" s="79"/>
      <c r="K292" s="79"/>
      <c r="L292" s="79"/>
      <c r="M292" s="82"/>
      <c r="N292" s="84"/>
      <c r="O292" s="85"/>
      <c r="P292" s="86"/>
      <c r="Q292" s="86"/>
      <c r="R292" s="83"/>
      <c r="S292" s="84"/>
    </row>
    <row r="293" spans="1:19" x14ac:dyDescent="0.25">
      <c r="A293" s="75"/>
      <c r="B293" s="79"/>
      <c r="C293" s="80"/>
      <c r="D293" s="81"/>
      <c r="E293" s="81"/>
      <c r="F293" s="82"/>
      <c r="G293" s="82"/>
      <c r="H293" s="83"/>
      <c r="I293" s="82"/>
      <c r="J293" s="79"/>
      <c r="K293" s="79"/>
      <c r="L293" s="79"/>
      <c r="M293" s="82"/>
      <c r="N293" s="84"/>
      <c r="O293" s="85"/>
      <c r="P293" s="86"/>
      <c r="Q293" s="86"/>
      <c r="R293" s="83"/>
      <c r="S293" s="84"/>
    </row>
    <row r="294" spans="1:19" x14ac:dyDescent="0.25">
      <c r="A294" s="75"/>
      <c r="B294" s="79"/>
      <c r="C294" s="80"/>
      <c r="D294" s="81"/>
      <c r="E294" s="81"/>
      <c r="F294" s="82"/>
      <c r="G294" s="82"/>
      <c r="H294" s="83"/>
      <c r="I294" s="82"/>
      <c r="J294" s="79"/>
      <c r="K294" s="79"/>
      <c r="L294" s="79"/>
      <c r="M294" s="82"/>
      <c r="N294" s="84"/>
      <c r="O294" s="85"/>
      <c r="P294" s="86"/>
      <c r="Q294" s="86"/>
      <c r="R294" s="83"/>
      <c r="S294" s="84"/>
    </row>
    <row r="295" spans="1:19" x14ac:dyDescent="0.25">
      <c r="A295" s="75"/>
      <c r="B295" s="79"/>
      <c r="C295" s="80"/>
      <c r="D295" s="81"/>
      <c r="E295" s="81"/>
      <c r="F295" s="82"/>
      <c r="G295" s="82"/>
      <c r="H295" s="83"/>
      <c r="I295" s="82"/>
      <c r="J295" s="79"/>
      <c r="K295" s="79"/>
      <c r="L295" s="79"/>
      <c r="M295" s="82"/>
      <c r="N295" s="84"/>
      <c r="O295" s="85"/>
      <c r="P295" s="86"/>
      <c r="Q295" s="86"/>
      <c r="R295" s="83"/>
      <c r="S295" s="84"/>
    </row>
    <row r="296" spans="1:19" x14ac:dyDescent="0.25">
      <c r="A296" s="75"/>
      <c r="B296" s="79"/>
      <c r="C296" s="80"/>
      <c r="D296" s="81"/>
      <c r="E296" s="81"/>
      <c r="F296" s="82"/>
      <c r="G296" s="82"/>
      <c r="H296" s="83"/>
      <c r="I296" s="82"/>
      <c r="J296" s="79"/>
      <c r="K296" s="79"/>
      <c r="L296" s="79"/>
      <c r="M296" s="82"/>
      <c r="N296" s="84"/>
      <c r="O296" s="85"/>
      <c r="P296" s="86"/>
      <c r="Q296" s="86"/>
      <c r="R296" s="83"/>
      <c r="S296" s="84"/>
    </row>
    <row r="297" spans="1:19" x14ac:dyDescent="0.25">
      <c r="A297" s="75"/>
      <c r="B297" s="79"/>
      <c r="C297" s="80"/>
      <c r="D297" s="81"/>
      <c r="E297" s="81"/>
      <c r="F297" s="82"/>
      <c r="G297" s="82"/>
      <c r="H297" s="83"/>
      <c r="I297" s="82"/>
      <c r="J297" s="79"/>
      <c r="K297" s="79"/>
      <c r="L297" s="79"/>
      <c r="M297" s="82"/>
      <c r="N297" s="84"/>
      <c r="O297" s="85"/>
      <c r="P297" s="86"/>
      <c r="Q297" s="86"/>
      <c r="R297" s="83"/>
      <c r="S297" s="84"/>
    </row>
    <row r="298" spans="1:19" x14ac:dyDescent="0.25">
      <c r="A298" s="75"/>
      <c r="B298" s="79"/>
      <c r="C298" s="80"/>
      <c r="D298" s="81"/>
      <c r="E298" s="81"/>
      <c r="F298" s="82"/>
      <c r="G298" s="82"/>
      <c r="H298" s="83"/>
      <c r="I298" s="82"/>
      <c r="J298" s="79"/>
      <c r="K298" s="79"/>
      <c r="L298" s="79"/>
      <c r="M298" s="82"/>
      <c r="N298" s="84"/>
      <c r="O298" s="85"/>
      <c r="P298" s="86"/>
      <c r="Q298" s="86"/>
      <c r="R298" s="83"/>
      <c r="S298" s="84"/>
    </row>
    <row r="299" spans="1:19" x14ac:dyDescent="0.25">
      <c r="A299" s="75"/>
      <c r="B299" s="79"/>
      <c r="C299" s="80"/>
      <c r="D299" s="81"/>
      <c r="E299" s="81"/>
      <c r="F299" s="82"/>
      <c r="G299" s="82"/>
      <c r="H299" s="83"/>
      <c r="I299" s="82"/>
      <c r="J299" s="79"/>
      <c r="K299" s="79"/>
      <c r="L299" s="79"/>
      <c r="M299" s="82"/>
      <c r="N299" s="84"/>
      <c r="O299" s="85"/>
      <c r="P299" s="86"/>
      <c r="Q299" s="86"/>
      <c r="R299" s="83"/>
      <c r="S299" s="84"/>
    </row>
    <row r="300" spans="1:19" x14ac:dyDescent="0.25">
      <c r="A300" s="75"/>
      <c r="B300" s="79"/>
      <c r="C300" s="80"/>
      <c r="D300" s="81"/>
      <c r="E300" s="81"/>
      <c r="F300" s="82"/>
      <c r="G300" s="82"/>
      <c r="H300" s="83"/>
      <c r="I300" s="82"/>
      <c r="J300" s="79"/>
      <c r="K300" s="79"/>
      <c r="L300" s="79"/>
      <c r="M300" s="82"/>
      <c r="N300" s="84"/>
      <c r="O300" s="85"/>
      <c r="P300" s="86"/>
      <c r="Q300" s="86"/>
      <c r="R300" s="83"/>
      <c r="S300" s="84"/>
    </row>
    <row r="301" spans="1:19" x14ac:dyDescent="0.25">
      <c r="A301" s="75"/>
      <c r="B301" s="79"/>
      <c r="C301" s="80"/>
      <c r="D301" s="81"/>
      <c r="E301" s="81"/>
      <c r="F301" s="82"/>
      <c r="G301" s="82"/>
      <c r="H301" s="83"/>
      <c r="I301" s="82"/>
      <c r="J301" s="79"/>
      <c r="K301" s="79"/>
      <c r="L301" s="79"/>
      <c r="M301" s="82"/>
      <c r="N301" s="84"/>
      <c r="O301" s="85"/>
      <c r="P301" s="86"/>
      <c r="Q301" s="86"/>
      <c r="R301" s="83"/>
      <c r="S301" s="84"/>
    </row>
    <row r="302" spans="1:19" x14ac:dyDescent="0.25">
      <c r="A302" s="75"/>
      <c r="B302" s="79"/>
      <c r="C302" s="80"/>
      <c r="D302" s="81"/>
      <c r="E302" s="81"/>
      <c r="F302" s="82"/>
      <c r="G302" s="82"/>
      <c r="H302" s="83"/>
      <c r="I302" s="82"/>
      <c r="J302" s="79"/>
      <c r="K302" s="79"/>
      <c r="L302" s="79"/>
      <c r="M302" s="82"/>
      <c r="N302" s="84"/>
      <c r="O302" s="85"/>
      <c r="P302" s="86"/>
      <c r="Q302" s="86"/>
      <c r="R302" s="83"/>
      <c r="S302" s="84"/>
    </row>
    <row r="303" spans="1:19" x14ac:dyDescent="0.25">
      <c r="A303" s="75"/>
      <c r="B303" s="79"/>
      <c r="C303" s="80"/>
      <c r="D303" s="81"/>
      <c r="E303" s="81"/>
      <c r="F303" s="82"/>
      <c r="G303" s="82"/>
      <c r="H303" s="83"/>
      <c r="I303" s="82"/>
      <c r="J303" s="79"/>
      <c r="K303" s="79"/>
      <c r="L303" s="79"/>
      <c r="M303" s="82"/>
      <c r="N303" s="84"/>
      <c r="O303" s="85"/>
      <c r="P303" s="86"/>
      <c r="Q303" s="86"/>
      <c r="R303" s="83"/>
      <c r="S303" s="84"/>
    </row>
    <row r="304" spans="1:19" x14ac:dyDescent="0.25">
      <c r="A304" s="75"/>
      <c r="B304" s="79"/>
      <c r="C304" s="80"/>
      <c r="D304" s="81"/>
      <c r="E304" s="81"/>
      <c r="F304" s="82"/>
      <c r="G304" s="82"/>
      <c r="H304" s="83"/>
      <c r="I304" s="82"/>
      <c r="J304" s="79"/>
      <c r="K304" s="79"/>
      <c r="L304" s="79"/>
      <c r="M304" s="82"/>
      <c r="N304" s="84"/>
      <c r="O304" s="85"/>
      <c r="P304" s="86"/>
      <c r="Q304" s="86"/>
      <c r="R304" s="83"/>
      <c r="S304" s="84"/>
    </row>
    <row r="305" spans="1:19" x14ac:dyDescent="0.25">
      <c r="A305" s="75"/>
      <c r="B305" s="79"/>
      <c r="C305" s="80"/>
      <c r="D305" s="81"/>
      <c r="E305" s="81"/>
      <c r="F305" s="82"/>
      <c r="G305" s="82"/>
      <c r="H305" s="83"/>
      <c r="I305" s="82"/>
      <c r="J305" s="79"/>
      <c r="K305" s="79"/>
      <c r="L305" s="79"/>
      <c r="M305" s="82"/>
      <c r="N305" s="84"/>
      <c r="O305" s="85"/>
      <c r="P305" s="86"/>
      <c r="Q305" s="86"/>
      <c r="R305" s="83"/>
      <c r="S305" s="84"/>
    </row>
    <row r="306" spans="1:19" x14ac:dyDescent="0.25">
      <c r="A306" s="75"/>
      <c r="B306" s="79"/>
      <c r="C306" s="80"/>
      <c r="D306" s="81"/>
      <c r="E306" s="81"/>
      <c r="F306" s="82"/>
      <c r="G306" s="82"/>
      <c r="H306" s="83"/>
      <c r="I306" s="82"/>
      <c r="J306" s="79"/>
      <c r="K306" s="79"/>
      <c r="L306" s="79"/>
      <c r="M306" s="82"/>
      <c r="N306" s="84"/>
      <c r="O306" s="85"/>
      <c r="P306" s="86"/>
      <c r="Q306" s="86"/>
      <c r="R306" s="83"/>
      <c r="S306" s="84"/>
    </row>
    <row r="307" spans="1:19" x14ac:dyDescent="0.25">
      <c r="A307" s="75"/>
      <c r="B307" s="79"/>
      <c r="C307" s="80"/>
      <c r="D307" s="81"/>
      <c r="E307" s="81"/>
      <c r="F307" s="82"/>
      <c r="G307" s="82"/>
      <c r="H307" s="83"/>
      <c r="I307" s="82"/>
      <c r="J307" s="79"/>
      <c r="K307" s="79"/>
      <c r="L307" s="79"/>
      <c r="M307" s="82"/>
      <c r="N307" s="84"/>
      <c r="O307" s="85"/>
      <c r="P307" s="86"/>
      <c r="Q307" s="86"/>
      <c r="R307" s="83"/>
      <c r="S307" s="84"/>
    </row>
    <row r="308" spans="1:19" x14ac:dyDescent="0.25">
      <c r="A308" s="75"/>
      <c r="B308" s="79"/>
      <c r="C308" s="80"/>
      <c r="D308" s="81"/>
      <c r="E308" s="81"/>
      <c r="F308" s="82"/>
      <c r="G308" s="82"/>
      <c r="H308" s="83"/>
      <c r="I308" s="82"/>
      <c r="J308" s="79"/>
      <c r="K308" s="79"/>
      <c r="L308" s="79"/>
      <c r="M308" s="82"/>
      <c r="N308" s="84"/>
      <c r="O308" s="85"/>
      <c r="P308" s="86"/>
      <c r="Q308" s="86"/>
      <c r="R308" s="83"/>
      <c r="S308" s="84"/>
    </row>
    <row r="309" spans="1:19" x14ac:dyDescent="0.25">
      <c r="A309" s="75"/>
      <c r="B309" s="79"/>
      <c r="C309" s="80"/>
      <c r="D309" s="81"/>
      <c r="E309" s="81"/>
      <c r="F309" s="82"/>
      <c r="G309" s="82"/>
      <c r="H309" s="83"/>
      <c r="I309" s="82"/>
      <c r="J309" s="79"/>
      <c r="K309" s="79"/>
      <c r="L309" s="79"/>
      <c r="M309" s="82"/>
      <c r="N309" s="84"/>
      <c r="O309" s="85"/>
      <c r="P309" s="86"/>
      <c r="Q309" s="86"/>
      <c r="R309" s="83"/>
      <c r="S309" s="84"/>
    </row>
    <row r="310" spans="1:19" x14ac:dyDescent="0.25">
      <c r="A310" s="75"/>
      <c r="B310" s="79"/>
      <c r="C310" s="80"/>
      <c r="D310" s="81"/>
      <c r="E310" s="81"/>
      <c r="F310" s="82"/>
      <c r="G310" s="82"/>
      <c r="H310" s="83"/>
      <c r="I310" s="82"/>
      <c r="J310" s="79"/>
      <c r="K310" s="79"/>
      <c r="L310" s="79"/>
      <c r="M310" s="82"/>
      <c r="N310" s="84"/>
      <c r="O310" s="85"/>
      <c r="P310" s="86"/>
      <c r="Q310" s="86"/>
      <c r="R310" s="83"/>
      <c r="S310" s="84"/>
    </row>
    <row r="311" spans="1:19" x14ac:dyDescent="0.25">
      <c r="A311" s="75"/>
      <c r="B311" s="79"/>
      <c r="C311" s="80"/>
      <c r="D311" s="81"/>
      <c r="E311" s="81"/>
      <c r="F311" s="82"/>
      <c r="G311" s="82"/>
      <c r="H311" s="83"/>
      <c r="I311" s="82"/>
      <c r="J311" s="79"/>
      <c r="K311" s="79"/>
      <c r="L311" s="79"/>
      <c r="M311" s="82"/>
      <c r="N311" s="84"/>
      <c r="O311" s="85"/>
      <c r="P311" s="86"/>
      <c r="Q311" s="86"/>
      <c r="R311" s="83"/>
      <c r="S311" s="84"/>
    </row>
    <row r="312" spans="1:19" x14ac:dyDescent="0.25">
      <c r="A312" s="75"/>
      <c r="B312" s="79"/>
      <c r="C312" s="80"/>
      <c r="D312" s="81"/>
      <c r="E312" s="81"/>
      <c r="F312" s="82"/>
      <c r="G312" s="82"/>
      <c r="H312" s="83"/>
      <c r="I312" s="82"/>
      <c r="J312" s="79"/>
      <c r="K312" s="79"/>
      <c r="L312" s="79"/>
      <c r="M312" s="82"/>
      <c r="N312" s="84"/>
      <c r="O312" s="85"/>
      <c r="P312" s="86"/>
      <c r="Q312" s="86"/>
      <c r="R312" s="83"/>
      <c r="S312" s="84"/>
    </row>
    <row r="313" spans="1:19" x14ac:dyDescent="0.25">
      <c r="A313" s="75"/>
      <c r="B313" s="79"/>
      <c r="C313" s="80"/>
      <c r="D313" s="81"/>
      <c r="E313" s="81"/>
      <c r="F313" s="82"/>
      <c r="G313" s="82"/>
      <c r="H313" s="83"/>
      <c r="I313" s="82"/>
      <c r="J313" s="79"/>
      <c r="K313" s="79"/>
      <c r="L313" s="79"/>
      <c r="M313" s="82"/>
      <c r="N313" s="84"/>
      <c r="O313" s="85"/>
      <c r="P313" s="86"/>
      <c r="Q313" s="86"/>
      <c r="R313" s="83"/>
      <c r="S313" s="84"/>
    </row>
    <row r="314" spans="1:19" x14ac:dyDescent="0.25">
      <c r="A314" s="75"/>
      <c r="B314" s="79"/>
      <c r="C314" s="80"/>
      <c r="D314" s="81"/>
      <c r="E314" s="81"/>
      <c r="F314" s="82"/>
      <c r="G314" s="82"/>
      <c r="H314" s="83"/>
      <c r="I314" s="82"/>
      <c r="J314" s="79"/>
      <c r="K314" s="79"/>
      <c r="L314" s="79"/>
      <c r="M314" s="82"/>
      <c r="N314" s="84"/>
      <c r="O314" s="85"/>
      <c r="P314" s="86"/>
      <c r="Q314" s="86"/>
      <c r="R314" s="83"/>
      <c r="S314" s="84"/>
    </row>
    <row r="315" spans="1:19" x14ac:dyDescent="0.25">
      <c r="A315" s="75"/>
      <c r="B315" s="79"/>
      <c r="C315" s="80"/>
      <c r="D315" s="81"/>
      <c r="E315" s="81"/>
      <c r="F315" s="82"/>
      <c r="G315" s="82"/>
      <c r="H315" s="83"/>
      <c r="I315" s="82"/>
      <c r="J315" s="79"/>
      <c r="K315" s="79"/>
      <c r="L315" s="79"/>
      <c r="M315" s="82"/>
      <c r="N315" s="84"/>
      <c r="O315" s="85"/>
      <c r="P315" s="86"/>
      <c r="Q315" s="86"/>
      <c r="R315" s="83"/>
      <c r="S315" s="84"/>
    </row>
    <row r="316" spans="1:19" x14ac:dyDescent="0.25">
      <c r="A316" s="75"/>
      <c r="B316" s="79"/>
      <c r="C316" s="80"/>
      <c r="D316" s="81"/>
      <c r="E316" s="81"/>
      <c r="F316" s="82"/>
      <c r="G316" s="82"/>
      <c r="H316" s="83"/>
      <c r="I316" s="82"/>
      <c r="J316" s="79"/>
      <c r="K316" s="79"/>
      <c r="L316" s="79"/>
      <c r="M316" s="82"/>
      <c r="N316" s="84"/>
      <c r="O316" s="85"/>
      <c r="P316" s="86"/>
      <c r="Q316" s="86"/>
      <c r="R316" s="83"/>
      <c r="S316" s="84"/>
    </row>
    <row r="317" spans="1:19" x14ac:dyDescent="0.25">
      <c r="A317" s="75"/>
      <c r="B317" s="79"/>
      <c r="C317" s="80"/>
      <c r="D317" s="81"/>
      <c r="E317" s="81"/>
      <c r="F317" s="82"/>
      <c r="G317" s="82"/>
      <c r="H317" s="83"/>
      <c r="I317" s="82"/>
      <c r="J317" s="79"/>
      <c r="K317" s="79"/>
      <c r="L317" s="79"/>
      <c r="M317" s="82"/>
      <c r="N317" s="84"/>
      <c r="O317" s="85"/>
      <c r="P317" s="86"/>
      <c r="Q317" s="86"/>
      <c r="R317" s="83"/>
      <c r="S317" s="84"/>
    </row>
    <row r="318" spans="1:19" x14ac:dyDescent="0.25">
      <c r="A318" s="75"/>
      <c r="B318" s="79"/>
      <c r="C318" s="80"/>
      <c r="D318" s="81"/>
      <c r="E318" s="81"/>
      <c r="F318" s="82"/>
      <c r="G318" s="82"/>
      <c r="H318" s="83"/>
      <c r="I318" s="82"/>
      <c r="J318" s="79"/>
      <c r="K318" s="79"/>
      <c r="L318" s="79"/>
      <c r="M318" s="82"/>
      <c r="N318" s="84"/>
      <c r="O318" s="85"/>
      <c r="P318" s="86"/>
      <c r="Q318" s="86"/>
      <c r="R318" s="83"/>
      <c r="S318" s="84"/>
    </row>
    <row r="319" spans="1:19" x14ac:dyDescent="0.25">
      <c r="A319" s="75"/>
      <c r="B319" s="79"/>
      <c r="C319" s="80"/>
      <c r="D319" s="81"/>
      <c r="E319" s="81"/>
      <c r="F319" s="82"/>
      <c r="G319" s="82"/>
      <c r="H319" s="83"/>
      <c r="I319" s="82"/>
      <c r="J319" s="79"/>
      <c r="K319" s="79"/>
      <c r="L319" s="79"/>
      <c r="M319" s="82"/>
      <c r="N319" s="84"/>
      <c r="O319" s="85"/>
      <c r="P319" s="86"/>
      <c r="Q319" s="86"/>
      <c r="R319" s="83"/>
      <c r="S319" s="84"/>
    </row>
    <row r="320" spans="1:19" x14ac:dyDescent="0.25">
      <c r="A320" s="75"/>
      <c r="B320" s="79"/>
      <c r="C320" s="80"/>
      <c r="D320" s="81"/>
      <c r="E320" s="81"/>
      <c r="F320" s="82"/>
      <c r="G320" s="82"/>
      <c r="H320" s="83"/>
      <c r="I320" s="82"/>
      <c r="J320" s="79"/>
      <c r="K320" s="79"/>
      <c r="L320" s="79"/>
      <c r="M320" s="82"/>
      <c r="N320" s="84"/>
      <c r="O320" s="85"/>
      <c r="P320" s="86"/>
      <c r="Q320" s="86"/>
      <c r="R320" s="83"/>
      <c r="S320" s="84"/>
    </row>
    <row r="321" spans="1:19" x14ac:dyDescent="0.25">
      <c r="A321" s="75"/>
      <c r="B321" s="79"/>
      <c r="C321" s="80"/>
      <c r="D321" s="81"/>
      <c r="E321" s="81"/>
      <c r="F321" s="82"/>
      <c r="G321" s="82"/>
      <c r="H321" s="83"/>
      <c r="I321" s="82"/>
      <c r="J321" s="79"/>
      <c r="K321" s="79"/>
      <c r="L321" s="79"/>
      <c r="M321" s="82"/>
      <c r="N321" s="84"/>
      <c r="O321" s="85"/>
      <c r="P321" s="86"/>
      <c r="Q321" s="86"/>
      <c r="R321" s="83"/>
      <c r="S321" s="84"/>
    </row>
    <row r="322" spans="1:19" x14ac:dyDescent="0.25">
      <c r="A322" s="75"/>
      <c r="B322" s="79"/>
      <c r="C322" s="80"/>
      <c r="D322" s="81"/>
      <c r="E322" s="81"/>
      <c r="F322" s="82"/>
      <c r="G322" s="82"/>
      <c r="H322" s="83"/>
      <c r="I322" s="82"/>
      <c r="J322" s="79"/>
      <c r="K322" s="79"/>
      <c r="L322" s="79"/>
      <c r="M322" s="82"/>
      <c r="N322" s="84"/>
      <c r="O322" s="85"/>
      <c r="P322" s="86"/>
      <c r="Q322" s="86"/>
      <c r="R322" s="83"/>
      <c r="S322" s="84"/>
    </row>
    <row r="323" spans="1:19" x14ac:dyDescent="0.25">
      <c r="A323" s="75"/>
      <c r="B323" s="79"/>
      <c r="C323" s="80"/>
      <c r="D323" s="81"/>
      <c r="E323" s="81"/>
      <c r="F323" s="82"/>
      <c r="G323" s="82"/>
      <c r="H323" s="83"/>
      <c r="I323" s="82"/>
      <c r="J323" s="79"/>
      <c r="K323" s="79"/>
      <c r="L323" s="79"/>
      <c r="M323" s="82"/>
      <c r="N323" s="84"/>
      <c r="O323" s="85"/>
      <c r="P323" s="86"/>
      <c r="Q323" s="86"/>
      <c r="R323" s="83"/>
      <c r="S323" s="84"/>
    </row>
    <row r="324" spans="1:19" x14ac:dyDescent="0.25">
      <c r="A324" s="75"/>
      <c r="B324" s="79"/>
      <c r="C324" s="80"/>
      <c r="D324" s="81"/>
      <c r="E324" s="81"/>
      <c r="F324" s="82"/>
      <c r="G324" s="82"/>
      <c r="H324" s="83"/>
      <c r="I324" s="82"/>
      <c r="J324" s="79"/>
      <c r="K324" s="79"/>
      <c r="L324" s="79"/>
      <c r="M324" s="82"/>
      <c r="N324" s="84"/>
      <c r="O324" s="85"/>
      <c r="P324" s="86"/>
      <c r="Q324" s="86"/>
      <c r="R324" s="83"/>
      <c r="S324" s="84"/>
    </row>
    <row r="325" spans="1:19" x14ac:dyDescent="0.25">
      <c r="A325" s="75"/>
      <c r="B325" s="79"/>
      <c r="C325" s="80"/>
      <c r="D325" s="81"/>
      <c r="E325" s="81"/>
      <c r="F325" s="82"/>
      <c r="G325" s="82"/>
      <c r="H325" s="83"/>
      <c r="I325" s="82"/>
      <c r="J325" s="79"/>
      <c r="K325" s="79"/>
      <c r="L325" s="79"/>
      <c r="M325" s="82"/>
      <c r="N325" s="84"/>
      <c r="O325" s="85"/>
      <c r="P325" s="86"/>
      <c r="Q325" s="86"/>
      <c r="R325" s="83"/>
      <c r="S325" s="84"/>
    </row>
    <row r="326" spans="1:19" x14ac:dyDescent="0.25">
      <c r="A326" s="75"/>
      <c r="B326" s="79"/>
      <c r="C326" s="80"/>
      <c r="D326" s="81"/>
      <c r="E326" s="81"/>
      <c r="F326" s="82"/>
      <c r="G326" s="82"/>
      <c r="H326" s="83"/>
      <c r="I326" s="82"/>
      <c r="J326" s="79"/>
      <c r="K326" s="79"/>
      <c r="L326" s="79"/>
      <c r="M326" s="82"/>
      <c r="N326" s="84"/>
      <c r="O326" s="85"/>
      <c r="P326" s="86"/>
      <c r="Q326" s="86"/>
      <c r="R326" s="83"/>
      <c r="S326" s="84"/>
    </row>
    <row r="327" spans="1:19" x14ac:dyDescent="0.25">
      <c r="A327" s="75"/>
      <c r="B327" s="79"/>
      <c r="C327" s="80"/>
      <c r="D327" s="81"/>
      <c r="E327" s="81"/>
      <c r="F327" s="82"/>
      <c r="G327" s="82"/>
      <c r="H327" s="83"/>
      <c r="I327" s="82"/>
      <c r="J327" s="79"/>
      <c r="K327" s="79"/>
      <c r="L327" s="79"/>
      <c r="M327" s="82"/>
      <c r="N327" s="84"/>
      <c r="O327" s="85"/>
      <c r="P327" s="86"/>
      <c r="Q327" s="86"/>
      <c r="R327" s="83"/>
      <c r="S327" s="84"/>
    </row>
    <row r="328" spans="1:19" x14ac:dyDescent="0.25">
      <c r="A328" s="75"/>
      <c r="B328" s="79"/>
      <c r="C328" s="80"/>
      <c r="D328" s="81"/>
      <c r="E328" s="81"/>
      <c r="F328" s="82"/>
      <c r="G328" s="82"/>
      <c r="H328" s="83"/>
      <c r="I328" s="82"/>
      <c r="J328" s="79"/>
      <c r="K328" s="79"/>
      <c r="L328" s="79"/>
      <c r="M328" s="82"/>
      <c r="N328" s="84"/>
      <c r="O328" s="85"/>
      <c r="P328" s="86"/>
      <c r="Q328" s="86"/>
      <c r="R328" s="83"/>
      <c r="S328" s="84"/>
    </row>
    <row r="329" spans="1:19" x14ac:dyDescent="0.25">
      <c r="A329" s="75"/>
      <c r="B329" s="79"/>
      <c r="C329" s="80"/>
      <c r="D329" s="81"/>
      <c r="E329" s="81"/>
      <c r="F329" s="82"/>
      <c r="G329" s="82"/>
      <c r="H329" s="83"/>
      <c r="I329" s="82"/>
      <c r="J329" s="79"/>
      <c r="K329" s="79"/>
      <c r="L329" s="79"/>
      <c r="M329" s="82"/>
      <c r="N329" s="84"/>
      <c r="O329" s="85"/>
      <c r="P329" s="86"/>
      <c r="Q329" s="86"/>
      <c r="R329" s="83"/>
      <c r="S329" s="84"/>
    </row>
    <row r="330" spans="1:19" x14ac:dyDescent="0.25">
      <c r="A330" s="75"/>
      <c r="B330" s="79"/>
      <c r="C330" s="80"/>
      <c r="D330" s="81"/>
      <c r="E330" s="81"/>
      <c r="F330" s="82"/>
      <c r="G330" s="82"/>
      <c r="H330" s="83"/>
      <c r="I330" s="82"/>
      <c r="J330" s="79"/>
      <c r="K330" s="79"/>
      <c r="L330" s="79"/>
      <c r="M330" s="82"/>
      <c r="N330" s="84"/>
      <c r="O330" s="85"/>
      <c r="P330" s="86"/>
      <c r="Q330" s="86"/>
      <c r="R330" s="83"/>
      <c r="S330" s="84"/>
    </row>
    <row r="331" spans="1:19" x14ac:dyDescent="0.25">
      <c r="A331" s="75"/>
      <c r="B331" s="79"/>
      <c r="C331" s="80"/>
      <c r="D331" s="81"/>
      <c r="E331" s="81"/>
      <c r="F331" s="82"/>
      <c r="G331" s="82"/>
      <c r="H331" s="83"/>
      <c r="I331" s="82"/>
      <c r="J331" s="79"/>
      <c r="K331" s="79"/>
      <c r="L331" s="79"/>
      <c r="M331" s="82"/>
      <c r="N331" s="84"/>
      <c r="O331" s="85"/>
      <c r="P331" s="86"/>
      <c r="Q331" s="86"/>
      <c r="R331" s="83"/>
      <c r="S331" s="84"/>
    </row>
    <row r="332" spans="1:19" x14ac:dyDescent="0.25">
      <c r="A332" s="75"/>
      <c r="B332" s="79"/>
      <c r="C332" s="80"/>
      <c r="D332" s="81"/>
      <c r="E332" s="81"/>
      <c r="F332" s="82"/>
      <c r="G332" s="82"/>
      <c r="H332" s="83"/>
      <c r="I332" s="82"/>
      <c r="J332" s="79"/>
      <c r="K332" s="79"/>
      <c r="L332" s="79"/>
      <c r="M332" s="82"/>
      <c r="N332" s="84"/>
      <c r="O332" s="85"/>
      <c r="P332" s="86"/>
      <c r="Q332" s="86"/>
      <c r="R332" s="83"/>
      <c r="S332" s="84"/>
    </row>
    <row r="333" spans="1:19" x14ac:dyDescent="0.25">
      <c r="A333" s="75"/>
      <c r="B333" s="79"/>
      <c r="C333" s="80"/>
      <c r="D333" s="81"/>
      <c r="E333" s="81"/>
      <c r="F333" s="82"/>
      <c r="G333" s="82"/>
      <c r="H333" s="83"/>
      <c r="I333" s="82"/>
      <c r="J333" s="79"/>
      <c r="K333" s="79"/>
      <c r="L333" s="79"/>
      <c r="M333" s="82"/>
      <c r="N333" s="84"/>
      <c r="O333" s="85"/>
      <c r="P333" s="86"/>
      <c r="Q333" s="86"/>
      <c r="R333" s="83"/>
      <c r="S333" s="84"/>
    </row>
    <row r="334" spans="1:19" x14ac:dyDescent="0.25">
      <c r="A334" s="75"/>
      <c r="B334" s="79"/>
      <c r="C334" s="80"/>
      <c r="D334" s="81"/>
      <c r="E334" s="81"/>
      <c r="F334" s="82"/>
      <c r="G334" s="82"/>
      <c r="H334" s="83"/>
      <c r="I334" s="82"/>
      <c r="J334" s="79"/>
      <c r="K334" s="79"/>
      <c r="L334" s="79"/>
      <c r="M334" s="82"/>
      <c r="N334" s="84"/>
      <c r="O334" s="85"/>
      <c r="P334" s="86"/>
      <c r="Q334" s="86"/>
      <c r="R334" s="83"/>
      <c r="S334" s="84"/>
    </row>
    <row r="335" spans="1:19" x14ac:dyDescent="0.25">
      <c r="A335" s="75"/>
      <c r="B335" s="79"/>
      <c r="C335" s="80"/>
      <c r="D335" s="81"/>
      <c r="E335" s="81"/>
      <c r="F335" s="82"/>
      <c r="G335" s="82"/>
      <c r="H335" s="83"/>
      <c r="I335" s="82"/>
      <c r="J335" s="79"/>
      <c r="K335" s="79"/>
      <c r="L335" s="79"/>
      <c r="M335" s="82"/>
      <c r="N335" s="84"/>
      <c r="O335" s="85"/>
      <c r="P335" s="86"/>
      <c r="Q335" s="86"/>
      <c r="R335" s="83"/>
      <c r="S335" s="84"/>
    </row>
    <row r="336" spans="1:19" x14ac:dyDescent="0.25">
      <c r="A336" s="75"/>
      <c r="B336" s="79"/>
      <c r="C336" s="80"/>
      <c r="D336" s="81"/>
      <c r="E336" s="81"/>
      <c r="F336" s="82"/>
      <c r="G336" s="82"/>
      <c r="H336" s="83"/>
      <c r="I336" s="82"/>
      <c r="J336" s="79"/>
      <c r="K336" s="79"/>
      <c r="L336" s="79"/>
      <c r="M336" s="82"/>
      <c r="N336" s="84"/>
      <c r="O336" s="85"/>
      <c r="P336" s="86"/>
      <c r="Q336" s="86"/>
      <c r="R336" s="83"/>
      <c r="S336" s="84"/>
    </row>
    <row r="337" spans="1:19" x14ac:dyDescent="0.25">
      <c r="A337" s="75"/>
      <c r="B337" s="79"/>
      <c r="C337" s="80"/>
      <c r="D337" s="81"/>
      <c r="E337" s="81"/>
      <c r="F337" s="82"/>
      <c r="G337" s="82"/>
      <c r="H337" s="83"/>
      <c r="I337" s="82"/>
      <c r="J337" s="79"/>
      <c r="K337" s="79"/>
      <c r="L337" s="79"/>
      <c r="M337" s="82"/>
      <c r="N337" s="84"/>
      <c r="O337" s="85"/>
      <c r="P337" s="86"/>
      <c r="Q337" s="86"/>
      <c r="R337" s="83"/>
      <c r="S337" s="84"/>
    </row>
    <row r="338" spans="1:19" x14ac:dyDescent="0.25">
      <c r="A338" s="75"/>
      <c r="B338" s="79"/>
      <c r="C338" s="80"/>
      <c r="D338" s="81"/>
      <c r="E338" s="81"/>
      <c r="F338" s="82"/>
      <c r="G338" s="82"/>
      <c r="H338" s="83"/>
      <c r="I338" s="82"/>
      <c r="J338" s="79"/>
      <c r="K338" s="79"/>
      <c r="L338" s="79"/>
      <c r="M338" s="82"/>
      <c r="N338" s="84"/>
      <c r="O338" s="85"/>
      <c r="P338" s="86"/>
      <c r="Q338" s="86"/>
      <c r="R338" s="83"/>
      <c r="S338" s="84"/>
    </row>
    <row r="339" spans="1:19" x14ac:dyDescent="0.25">
      <c r="A339" s="75"/>
      <c r="B339" s="79"/>
      <c r="C339" s="80"/>
      <c r="D339" s="81"/>
      <c r="E339" s="81"/>
      <c r="F339" s="82"/>
      <c r="G339" s="82"/>
      <c r="H339" s="83"/>
      <c r="I339" s="82"/>
      <c r="J339" s="79"/>
      <c r="K339" s="79"/>
      <c r="L339" s="79"/>
      <c r="M339" s="82"/>
      <c r="N339" s="84"/>
      <c r="O339" s="85"/>
      <c r="P339" s="86"/>
      <c r="Q339" s="86"/>
      <c r="R339" s="83"/>
      <c r="S339" s="84"/>
    </row>
    <row r="340" spans="1:19" x14ac:dyDescent="0.25">
      <c r="A340" s="75"/>
      <c r="B340" s="79"/>
      <c r="C340" s="80"/>
      <c r="D340" s="81"/>
      <c r="E340" s="81"/>
      <c r="F340" s="82"/>
      <c r="G340" s="82"/>
      <c r="H340" s="83"/>
      <c r="I340" s="82"/>
      <c r="J340" s="79"/>
      <c r="K340" s="79"/>
      <c r="L340" s="79"/>
      <c r="M340" s="82"/>
      <c r="N340" s="84"/>
      <c r="O340" s="85"/>
      <c r="P340" s="86"/>
      <c r="Q340" s="86"/>
      <c r="R340" s="83"/>
      <c r="S340" s="84"/>
    </row>
    <row r="341" spans="1:19" x14ac:dyDescent="0.25">
      <c r="A341" s="75"/>
      <c r="B341" s="79"/>
      <c r="C341" s="80"/>
      <c r="D341" s="81"/>
      <c r="E341" s="81"/>
      <c r="F341" s="82"/>
      <c r="G341" s="82"/>
      <c r="H341" s="83"/>
      <c r="I341" s="82"/>
      <c r="J341" s="79"/>
      <c r="K341" s="79"/>
      <c r="L341" s="79"/>
      <c r="M341" s="82"/>
      <c r="N341" s="84"/>
      <c r="O341" s="85"/>
      <c r="P341" s="86"/>
      <c r="Q341" s="86"/>
      <c r="R341" s="83"/>
      <c r="S341" s="84"/>
    </row>
    <row r="342" spans="1:19" x14ac:dyDescent="0.25">
      <c r="A342" s="75"/>
      <c r="B342" s="79"/>
      <c r="C342" s="80"/>
      <c r="D342" s="81"/>
      <c r="E342" s="81"/>
      <c r="F342" s="82"/>
      <c r="G342" s="82"/>
      <c r="H342" s="83"/>
      <c r="I342" s="82"/>
      <c r="J342" s="79"/>
      <c r="K342" s="79"/>
      <c r="L342" s="79"/>
      <c r="M342" s="82"/>
      <c r="N342" s="84"/>
      <c r="O342" s="85"/>
      <c r="P342" s="86"/>
      <c r="Q342" s="86"/>
      <c r="R342" s="83"/>
      <c r="S342" s="84"/>
    </row>
    <row r="343" spans="1:19" x14ac:dyDescent="0.25">
      <c r="A343" s="75"/>
      <c r="B343" s="79"/>
      <c r="C343" s="80"/>
      <c r="D343" s="81"/>
      <c r="E343" s="81"/>
      <c r="F343" s="82"/>
      <c r="G343" s="82"/>
      <c r="H343" s="83"/>
      <c r="I343" s="82"/>
      <c r="J343" s="79"/>
      <c r="K343" s="79"/>
      <c r="L343" s="79"/>
      <c r="M343" s="82"/>
      <c r="N343" s="84"/>
      <c r="O343" s="85"/>
      <c r="P343" s="86"/>
      <c r="Q343" s="86"/>
      <c r="R343" s="83"/>
      <c r="S343" s="84"/>
    </row>
    <row r="344" spans="1:19" x14ac:dyDescent="0.25">
      <c r="A344" s="75"/>
      <c r="B344" s="79"/>
      <c r="C344" s="80"/>
      <c r="D344" s="81"/>
      <c r="E344" s="81"/>
      <c r="F344" s="82"/>
      <c r="G344" s="82"/>
      <c r="H344" s="83"/>
      <c r="I344" s="82"/>
      <c r="J344" s="79"/>
      <c r="K344" s="79"/>
      <c r="L344" s="79"/>
      <c r="M344" s="82"/>
      <c r="N344" s="84"/>
      <c r="O344" s="85"/>
      <c r="P344" s="86"/>
      <c r="Q344" s="86"/>
      <c r="R344" s="83"/>
      <c r="S344" s="84"/>
    </row>
    <row r="345" spans="1:19" x14ac:dyDescent="0.25">
      <c r="A345" s="75"/>
      <c r="B345" s="79"/>
      <c r="C345" s="80"/>
      <c r="D345" s="81"/>
      <c r="E345" s="81"/>
      <c r="F345" s="82"/>
      <c r="G345" s="82"/>
      <c r="H345" s="83"/>
      <c r="I345" s="82"/>
      <c r="J345" s="79"/>
      <c r="K345" s="79"/>
      <c r="L345" s="79"/>
      <c r="M345" s="82"/>
      <c r="N345" s="84"/>
      <c r="O345" s="85"/>
      <c r="P345" s="86"/>
      <c r="Q345" s="86"/>
      <c r="R345" s="83"/>
      <c r="S345" s="84"/>
    </row>
    <row r="346" spans="1:19" x14ac:dyDescent="0.25">
      <c r="A346" s="75"/>
      <c r="B346" s="79"/>
      <c r="C346" s="80"/>
      <c r="D346" s="81"/>
      <c r="E346" s="81"/>
      <c r="F346" s="82"/>
      <c r="G346" s="82"/>
      <c r="H346" s="83"/>
      <c r="I346" s="82"/>
      <c r="J346" s="79"/>
      <c r="K346" s="79"/>
      <c r="L346" s="79"/>
      <c r="M346" s="82"/>
      <c r="N346" s="84"/>
      <c r="O346" s="85"/>
      <c r="P346" s="86"/>
      <c r="Q346" s="86"/>
      <c r="R346" s="83"/>
      <c r="S346" s="84"/>
    </row>
    <row r="347" spans="1:19" x14ac:dyDescent="0.25">
      <c r="A347" s="75"/>
      <c r="B347" s="79"/>
      <c r="C347" s="80"/>
      <c r="D347" s="81"/>
      <c r="E347" s="81"/>
      <c r="F347" s="82"/>
      <c r="G347" s="82"/>
      <c r="H347" s="83"/>
      <c r="I347" s="82"/>
      <c r="J347" s="79"/>
      <c r="K347" s="79"/>
      <c r="L347" s="79"/>
      <c r="M347" s="82"/>
      <c r="N347" s="84"/>
      <c r="O347" s="85"/>
      <c r="P347" s="86"/>
      <c r="Q347" s="86"/>
      <c r="R347" s="83"/>
      <c r="S347" s="84"/>
    </row>
    <row r="348" spans="1:19" x14ac:dyDescent="0.25">
      <c r="A348" s="75"/>
      <c r="B348" s="79"/>
      <c r="C348" s="80"/>
      <c r="D348" s="81"/>
      <c r="E348" s="81"/>
      <c r="F348" s="82"/>
      <c r="G348" s="82"/>
      <c r="H348" s="83"/>
      <c r="I348" s="82"/>
      <c r="J348" s="79"/>
      <c r="K348" s="79"/>
      <c r="L348" s="79"/>
      <c r="M348" s="82"/>
      <c r="N348" s="84"/>
      <c r="O348" s="85"/>
      <c r="P348" s="86"/>
      <c r="Q348" s="86"/>
      <c r="R348" s="83"/>
      <c r="S348" s="84"/>
    </row>
    <row r="349" spans="1:19" x14ac:dyDescent="0.25">
      <c r="A349" s="75"/>
      <c r="B349" s="79"/>
      <c r="C349" s="80"/>
      <c r="D349" s="81"/>
      <c r="E349" s="81"/>
      <c r="F349" s="82"/>
      <c r="G349" s="82"/>
      <c r="H349" s="83"/>
      <c r="I349" s="82"/>
      <c r="J349" s="79"/>
      <c r="K349" s="79"/>
      <c r="L349" s="79"/>
      <c r="M349" s="82"/>
      <c r="N349" s="84"/>
      <c r="O349" s="85"/>
      <c r="P349" s="86"/>
      <c r="Q349" s="86"/>
      <c r="R349" s="83"/>
      <c r="S349" s="84"/>
    </row>
    <row r="350" spans="1:19" x14ac:dyDescent="0.25">
      <c r="A350" s="75"/>
      <c r="B350" s="79"/>
      <c r="C350" s="80"/>
      <c r="D350" s="81"/>
      <c r="E350" s="81"/>
      <c r="F350" s="82"/>
      <c r="G350" s="82"/>
      <c r="H350" s="83"/>
      <c r="I350" s="82"/>
      <c r="J350" s="79"/>
      <c r="K350" s="79"/>
      <c r="L350" s="79"/>
      <c r="M350" s="82"/>
      <c r="N350" s="84"/>
      <c r="O350" s="85"/>
      <c r="P350" s="86"/>
      <c r="Q350" s="86"/>
      <c r="R350" s="83"/>
      <c r="S350" s="84"/>
    </row>
    <row r="351" spans="1:19" x14ac:dyDescent="0.25">
      <c r="A351" s="75"/>
      <c r="B351" s="79"/>
      <c r="C351" s="80"/>
      <c r="D351" s="81"/>
      <c r="E351" s="81"/>
      <c r="F351" s="82"/>
      <c r="G351" s="82"/>
      <c r="H351" s="83"/>
      <c r="I351" s="82"/>
      <c r="J351" s="79"/>
      <c r="K351" s="79"/>
      <c r="L351" s="79"/>
      <c r="M351" s="82"/>
      <c r="N351" s="84"/>
      <c r="O351" s="85"/>
      <c r="P351" s="86"/>
      <c r="Q351" s="86"/>
      <c r="R351" s="83"/>
      <c r="S351" s="84"/>
    </row>
    <row r="352" spans="1:19" x14ac:dyDescent="0.25">
      <c r="A352" s="75"/>
      <c r="B352" s="79"/>
      <c r="C352" s="80"/>
      <c r="D352" s="81"/>
      <c r="E352" s="81"/>
      <c r="F352" s="82"/>
      <c r="G352" s="82"/>
      <c r="H352" s="83"/>
      <c r="I352" s="82"/>
      <c r="J352" s="79"/>
      <c r="K352" s="79"/>
      <c r="L352" s="79"/>
      <c r="M352" s="82"/>
      <c r="N352" s="84"/>
      <c r="O352" s="85"/>
      <c r="P352" s="86"/>
      <c r="Q352" s="86"/>
      <c r="R352" s="83"/>
      <c r="S352" s="84"/>
    </row>
    <row r="353" spans="1:19" x14ac:dyDescent="0.25">
      <c r="A353" s="75"/>
      <c r="B353" s="79"/>
      <c r="C353" s="80"/>
      <c r="D353" s="81"/>
      <c r="E353" s="81"/>
      <c r="F353" s="82"/>
      <c r="G353" s="82"/>
      <c r="H353" s="83"/>
      <c r="I353" s="82"/>
      <c r="J353" s="79"/>
      <c r="K353" s="79"/>
      <c r="L353" s="79"/>
      <c r="M353" s="82"/>
      <c r="N353" s="84"/>
      <c r="O353" s="85"/>
      <c r="P353" s="86"/>
      <c r="Q353" s="86"/>
      <c r="R353" s="83"/>
      <c r="S353" s="84"/>
    </row>
    <row r="354" spans="1:19" x14ac:dyDescent="0.25">
      <c r="A354" s="75"/>
      <c r="B354" s="79"/>
      <c r="C354" s="80"/>
      <c r="D354" s="81"/>
      <c r="E354" s="81"/>
      <c r="F354" s="82"/>
      <c r="G354" s="82"/>
      <c r="H354" s="83"/>
      <c r="I354" s="82"/>
      <c r="J354" s="79"/>
      <c r="K354" s="79"/>
      <c r="L354" s="79"/>
      <c r="M354" s="82"/>
      <c r="N354" s="84"/>
      <c r="O354" s="85"/>
      <c r="P354" s="86"/>
      <c r="Q354" s="86"/>
      <c r="R354" s="83"/>
      <c r="S354" s="84"/>
    </row>
    <row r="355" spans="1:19" x14ac:dyDescent="0.25">
      <c r="A355" s="75"/>
      <c r="B355" s="79"/>
      <c r="C355" s="80"/>
      <c r="D355" s="81"/>
      <c r="E355" s="81"/>
      <c r="F355" s="82"/>
      <c r="G355" s="82"/>
      <c r="H355" s="83"/>
      <c r="I355" s="82"/>
      <c r="J355" s="79"/>
      <c r="K355" s="79"/>
      <c r="L355" s="79"/>
      <c r="M355" s="82"/>
      <c r="N355" s="84"/>
      <c r="O355" s="85"/>
      <c r="P355" s="86"/>
      <c r="Q355" s="86"/>
      <c r="R355" s="83"/>
      <c r="S355" s="84"/>
    </row>
    <row r="356" spans="1:19" x14ac:dyDescent="0.25">
      <c r="A356" s="75"/>
      <c r="B356" s="79"/>
      <c r="C356" s="80"/>
      <c r="D356" s="81"/>
      <c r="E356" s="81"/>
      <c r="F356" s="82"/>
      <c r="G356" s="82"/>
      <c r="H356" s="83"/>
      <c r="I356" s="82"/>
      <c r="J356" s="79"/>
      <c r="K356" s="79"/>
      <c r="L356" s="79"/>
      <c r="M356" s="82"/>
      <c r="N356" s="84"/>
      <c r="O356" s="85"/>
      <c r="P356" s="86"/>
      <c r="Q356" s="86"/>
      <c r="R356" s="83"/>
      <c r="S356" s="84"/>
    </row>
    <row r="357" spans="1:19" x14ac:dyDescent="0.25">
      <c r="A357" s="75"/>
      <c r="B357" s="79"/>
      <c r="C357" s="80"/>
      <c r="D357" s="81"/>
      <c r="E357" s="81"/>
      <c r="F357" s="82"/>
      <c r="G357" s="82"/>
      <c r="H357" s="83"/>
      <c r="I357" s="82"/>
      <c r="J357" s="79"/>
      <c r="K357" s="79"/>
      <c r="L357" s="79"/>
      <c r="M357" s="82"/>
      <c r="N357" s="84"/>
      <c r="O357" s="85"/>
      <c r="P357" s="86"/>
      <c r="Q357" s="86"/>
      <c r="R357" s="83"/>
      <c r="S357" s="84"/>
    </row>
    <row r="358" spans="1:19" x14ac:dyDescent="0.25">
      <c r="A358" s="75"/>
      <c r="B358" s="79"/>
      <c r="C358" s="80"/>
      <c r="D358" s="81"/>
      <c r="E358" s="81"/>
      <c r="F358" s="82"/>
      <c r="G358" s="82"/>
      <c r="H358" s="83"/>
      <c r="I358" s="82"/>
      <c r="J358" s="79"/>
      <c r="K358" s="79"/>
      <c r="L358" s="79"/>
      <c r="M358" s="82"/>
      <c r="N358" s="84"/>
      <c r="O358" s="85"/>
      <c r="P358" s="86"/>
      <c r="Q358" s="86"/>
      <c r="R358" s="83"/>
      <c r="S358" s="84"/>
    </row>
    <row r="359" spans="1:19" x14ac:dyDescent="0.25">
      <c r="A359" s="75"/>
      <c r="B359" s="79"/>
      <c r="C359" s="80"/>
      <c r="D359" s="81"/>
      <c r="E359" s="81"/>
      <c r="F359" s="82"/>
      <c r="G359" s="82"/>
      <c r="H359" s="83"/>
      <c r="I359" s="82"/>
      <c r="J359" s="79"/>
      <c r="K359" s="79"/>
      <c r="L359" s="79"/>
      <c r="M359" s="82"/>
      <c r="N359" s="84"/>
      <c r="O359" s="85"/>
      <c r="P359" s="86"/>
      <c r="Q359" s="86"/>
      <c r="R359" s="83"/>
      <c r="S359" s="84"/>
    </row>
    <row r="360" spans="1:19" x14ac:dyDescent="0.25">
      <c r="A360" s="75"/>
      <c r="B360" s="79"/>
      <c r="C360" s="80"/>
      <c r="D360" s="81"/>
      <c r="E360" s="81"/>
      <c r="F360" s="82"/>
      <c r="G360" s="82"/>
      <c r="H360" s="83"/>
      <c r="I360" s="82"/>
      <c r="J360" s="79"/>
      <c r="K360" s="79"/>
      <c r="L360" s="79"/>
      <c r="M360" s="82"/>
      <c r="N360" s="84"/>
      <c r="O360" s="85"/>
      <c r="P360" s="86"/>
      <c r="Q360" s="86"/>
      <c r="R360" s="83"/>
      <c r="S360" s="84"/>
    </row>
    <row r="361" spans="1:19" x14ac:dyDescent="0.25">
      <c r="A361" s="75"/>
      <c r="B361" s="79"/>
      <c r="C361" s="80"/>
      <c r="D361" s="81"/>
      <c r="E361" s="81"/>
      <c r="F361" s="82"/>
      <c r="G361" s="82"/>
      <c r="H361" s="83"/>
      <c r="I361" s="82"/>
      <c r="J361" s="79"/>
      <c r="K361" s="79"/>
      <c r="L361" s="79"/>
      <c r="M361" s="82"/>
      <c r="N361" s="84"/>
      <c r="O361" s="85"/>
      <c r="P361" s="86"/>
      <c r="Q361" s="86"/>
      <c r="R361" s="83"/>
      <c r="S361" s="84"/>
    </row>
    <row r="362" spans="1:19" x14ac:dyDescent="0.25">
      <c r="A362" s="75"/>
      <c r="B362" s="79"/>
      <c r="C362" s="80"/>
      <c r="D362" s="81"/>
      <c r="E362" s="81"/>
      <c r="F362" s="82"/>
      <c r="G362" s="82"/>
      <c r="H362" s="83"/>
      <c r="I362" s="82"/>
      <c r="J362" s="79"/>
      <c r="K362" s="79"/>
      <c r="L362" s="79"/>
      <c r="M362" s="82"/>
      <c r="N362" s="84"/>
      <c r="O362" s="85"/>
      <c r="P362" s="86"/>
      <c r="Q362" s="86"/>
      <c r="R362" s="83"/>
      <c r="S362" s="84"/>
    </row>
    <row r="363" spans="1:19" x14ac:dyDescent="0.25">
      <c r="A363" s="75"/>
      <c r="B363" s="79"/>
      <c r="C363" s="80"/>
      <c r="D363" s="81"/>
      <c r="E363" s="81"/>
      <c r="F363" s="82"/>
      <c r="G363" s="82"/>
      <c r="H363" s="83"/>
      <c r="I363" s="82"/>
      <c r="J363" s="79"/>
      <c r="K363" s="79"/>
      <c r="L363" s="79"/>
      <c r="M363" s="82"/>
      <c r="N363" s="84"/>
      <c r="O363" s="85"/>
      <c r="P363" s="86"/>
      <c r="Q363" s="86"/>
      <c r="R363" s="83"/>
      <c r="S363" s="84"/>
    </row>
    <row r="364" spans="1:19" x14ac:dyDescent="0.25">
      <c r="A364" s="75"/>
      <c r="B364" s="79"/>
      <c r="C364" s="80"/>
      <c r="D364" s="81"/>
      <c r="E364" s="81"/>
      <c r="F364" s="82"/>
      <c r="G364" s="82"/>
      <c r="H364" s="83"/>
      <c r="I364" s="82"/>
      <c r="J364" s="79"/>
      <c r="K364" s="79"/>
      <c r="L364" s="79"/>
      <c r="M364" s="82"/>
      <c r="N364" s="84"/>
      <c r="O364" s="85"/>
      <c r="P364" s="86"/>
      <c r="Q364" s="86"/>
      <c r="R364" s="83"/>
      <c r="S364" s="84"/>
    </row>
    <row r="365" spans="1:19" x14ac:dyDescent="0.25">
      <c r="A365" s="75"/>
      <c r="B365" s="79"/>
      <c r="C365" s="80"/>
      <c r="D365" s="81"/>
      <c r="E365" s="81"/>
      <c r="F365" s="82"/>
      <c r="G365" s="82"/>
      <c r="H365" s="83"/>
      <c r="I365" s="82"/>
      <c r="J365" s="79"/>
      <c r="K365" s="79"/>
      <c r="L365" s="79"/>
      <c r="M365" s="82"/>
      <c r="N365" s="84"/>
      <c r="O365" s="85"/>
      <c r="P365" s="86"/>
      <c r="Q365" s="86"/>
      <c r="R365" s="83"/>
      <c r="S365" s="84"/>
    </row>
    <row r="366" spans="1:19" x14ac:dyDescent="0.25">
      <c r="A366" s="75"/>
      <c r="B366" s="79"/>
      <c r="C366" s="80"/>
      <c r="D366" s="81"/>
      <c r="E366" s="81"/>
      <c r="F366" s="82"/>
      <c r="G366" s="82"/>
      <c r="H366" s="83"/>
      <c r="I366" s="82"/>
      <c r="J366" s="79"/>
      <c r="K366" s="79"/>
      <c r="L366" s="79"/>
      <c r="M366" s="82"/>
      <c r="N366" s="84"/>
      <c r="O366" s="85"/>
      <c r="P366" s="86"/>
      <c r="Q366" s="86"/>
      <c r="R366" s="83"/>
      <c r="S366" s="84"/>
    </row>
    <row r="367" spans="1:19" x14ac:dyDescent="0.25">
      <c r="A367" s="75"/>
      <c r="B367" s="79"/>
      <c r="C367" s="80"/>
      <c r="D367" s="81"/>
      <c r="E367" s="81"/>
      <c r="F367" s="82"/>
      <c r="G367" s="82"/>
      <c r="H367" s="83"/>
      <c r="I367" s="82"/>
      <c r="J367" s="79"/>
      <c r="K367" s="79"/>
      <c r="L367" s="79"/>
      <c r="M367" s="82"/>
      <c r="N367" s="84"/>
      <c r="O367" s="85"/>
      <c r="P367" s="86"/>
      <c r="Q367" s="86"/>
      <c r="R367" s="83"/>
      <c r="S367" s="84"/>
    </row>
    <row r="368" spans="1:19" x14ac:dyDescent="0.25">
      <c r="A368" s="75"/>
      <c r="B368" s="79"/>
      <c r="C368" s="80"/>
      <c r="D368" s="81"/>
      <c r="E368" s="81"/>
      <c r="F368" s="82"/>
      <c r="G368" s="82"/>
      <c r="H368" s="83"/>
      <c r="I368" s="82"/>
      <c r="J368" s="79"/>
      <c r="K368" s="79"/>
      <c r="L368" s="79"/>
      <c r="M368" s="82"/>
      <c r="N368" s="84"/>
      <c r="O368" s="85"/>
      <c r="P368" s="86"/>
      <c r="Q368" s="86"/>
      <c r="R368" s="83"/>
      <c r="S368" s="84"/>
    </row>
    <row r="369" spans="1:19" x14ac:dyDescent="0.25">
      <c r="A369" s="75"/>
      <c r="B369" s="79"/>
      <c r="C369" s="80"/>
      <c r="D369" s="81"/>
      <c r="E369" s="81"/>
      <c r="F369" s="82"/>
      <c r="G369" s="82"/>
      <c r="H369" s="83"/>
      <c r="I369" s="82"/>
      <c r="J369" s="79"/>
      <c r="K369" s="79"/>
      <c r="L369" s="79"/>
      <c r="M369" s="82"/>
      <c r="N369" s="84"/>
      <c r="O369" s="85"/>
      <c r="P369" s="86"/>
      <c r="Q369" s="86"/>
      <c r="R369" s="83"/>
      <c r="S369" s="84"/>
    </row>
    <row r="370" spans="1:19" x14ac:dyDescent="0.25">
      <c r="A370" s="75"/>
      <c r="B370" s="79"/>
      <c r="C370" s="80"/>
      <c r="D370" s="81"/>
      <c r="E370" s="81"/>
      <c r="F370" s="82"/>
      <c r="G370" s="82"/>
      <c r="H370" s="83"/>
      <c r="I370" s="82"/>
      <c r="J370" s="79"/>
      <c r="K370" s="79"/>
      <c r="L370" s="79"/>
      <c r="M370" s="82"/>
      <c r="N370" s="84"/>
      <c r="O370" s="85"/>
      <c r="P370" s="86"/>
      <c r="Q370" s="86"/>
      <c r="R370" s="83"/>
      <c r="S370" s="84"/>
    </row>
    <row r="371" spans="1:19" x14ac:dyDescent="0.25">
      <c r="A371" s="75"/>
      <c r="B371" s="79"/>
      <c r="C371" s="80"/>
      <c r="D371" s="81"/>
      <c r="E371" s="81"/>
      <c r="F371" s="82"/>
      <c r="G371" s="82"/>
      <c r="H371" s="83"/>
      <c r="I371" s="82"/>
      <c r="J371" s="79"/>
      <c r="K371" s="79"/>
      <c r="L371" s="79"/>
      <c r="M371" s="82"/>
      <c r="N371" s="84"/>
      <c r="O371" s="85"/>
      <c r="P371" s="86"/>
      <c r="Q371" s="86"/>
      <c r="R371" s="83"/>
      <c r="S371" s="84"/>
    </row>
    <row r="372" spans="1:19" x14ac:dyDescent="0.25">
      <c r="A372" s="75"/>
      <c r="B372" s="79"/>
      <c r="C372" s="80"/>
      <c r="D372" s="81"/>
      <c r="E372" s="81"/>
      <c r="F372" s="82"/>
      <c r="G372" s="82"/>
      <c r="H372" s="83"/>
      <c r="I372" s="82"/>
      <c r="J372" s="79"/>
      <c r="K372" s="79"/>
      <c r="L372" s="79"/>
      <c r="M372" s="82"/>
      <c r="N372" s="84"/>
      <c r="O372" s="85"/>
      <c r="P372" s="86"/>
      <c r="Q372" s="86"/>
      <c r="R372" s="83"/>
      <c r="S372" s="84"/>
    </row>
    <row r="373" spans="1:19" x14ac:dyDescent="0.25">
      <c r="A373" s="75"/>
      <c r="B373" s="79"/>
      <c r="C373" s="80"/>
      <c r="D373" s="81"/>
      <c r="E373" s="81"/>
      <c r="F373" s="82"/>
      <c r="G373" s="82"/>
      <c r="H373" s="83"/>
      <c r="I373" s="82"/>
      <c r="J373" s="79"/>
      <c r="K373" s="79"/>
      <c r="L373" s="79"/>
      <c r="M373" s="82"/>
      <c r="N373" s="84"/>
      <c r="O373" s="85"/>
      <c r="P373" s="86"/>
      <c r="Q373" s="86"/>
      <c r="R373" s="83"/>
      <c r="S373" s="84"/>
    </row>
    <row r="374" spans="1:19" x14ac:dyDescent="0.25">
      <c r="A374" s="75"/>
      <c r="B374" s="79"/>
      <c r="C374" s="80"/>
      <c r="D374" s="81"/>
      <c r="E374" s="81"/>
      <c r="F374" s="82"/>
      <c r="G374" s="82"/>
      <c r="H374" s="83"/>
      <c r="I374" s="82"/>
      <c r="J374" s="79"/>
      <c r="K374" s="79"/>
      <c r="L374" s="79"/>
      <c r="M374" s="82"/>
      <c r="N374" s="84"/>
      <c r="O374" s="85"/>
      <c r="P374" s="86"/>
      <c r="Q374" s="86"/>
      <c r="R374" s="83"/>
      <c r="S374" s="84"/>
    </row>
    <row r="375" spans="1:19" x14ac:dyDescent="0.25">
      <c r="A375" s="75"/>
      <c r="B375" s="79"/>
      <c r="C375" s="80"/>
      <c r="D375" s="81"/>
      <c r="E375" s="81"/>
      <c r="F375" s="82"/>
      <c r="G375" s="82"/>
      <c r="H375" s="83"/>
      <c r="I375" s="82"/>
      <c r="J375" s="79"/>
      <c r="K375" s="79"/>
      <c r="L375" s="79"/>
      <c r="M375" s="82"/>
      <c r="N375" s="84"/>
      <c r="O375" s="85"/>
      <c r="P375" s="86"/>
      <c r="Q375" s="86"/>
      <c r="R375" s="83"/>
      <c r="S375" s="84"/>
    </row>
    <row r="376" spans="1:19" x14ac:dyDescent="0.25">
      <c r="A376" s="75"/>
      <c r="B376" s="79"/>
      <c r="C376" s="80"/>
      <c r="D376" s="81"/>
      <c r="E376" s="81"/>
      <c r="F376" s="82"/>
      <c r="G376" s="82"/>
      <c r="H376" s="83"/>
      <c r="I376" s="82"/>
      <c r="J376" s="79"/>
      <c r="K376" s="79"/>
      <c r="L376" s="79"/>
      <c r="M376" s="82"/>
      <c r="N376" s="84"/>
      <c r="O376" s="85"/>
      <c r="P376" s="86"/>
      <c r="Q376" s="86"/>
      <c r="R376" s="83"/>
      <c r="S376" s="84"/>
    </row>
    <row r="377" spans="1:19" x14ac:dyDescent="0.25">
      <c r="A377" s="75"/>
      <c r="B377" s="79"/>
      <c r="C377" s="80"/>
      <c r="D377" s="81"/>
      <c r="E377" s="81"/>
      <c r="F377" s="82"/>
      <c r="G377" s="82"/>
      <c r="H377" s="83"/>
      <c r="I377" s="82"/>
      <c r="J377" s="79"/>
      <c r="K377" s="79"/>
      <c r="L377" s="79"/>
      <c r="M377" s="82"/>
      <c r="N377" s="84"/>
      <c r="O377" s="85"/>
      <c r="P377" s="86"/>
      <c r="Q377" s="86"/>
      <c r="R377" s="83"/>
      <c r="S377" s="84"/>
    </row>
    <row r="378" spans="1:19" x14ac:dyDescent="0.25">
      <c r="A378" s="75"/>
      <c r="B378" s="79"/>
      <c r="C378" s="80"/>
      <c r="D378" s="81"/>
      <c r="E378" s="81"/>
      <c r="F378" s="82"/>
      <c r="G378" s="82"/>
      <c r="H378" s="83"/>
      <c r="I378" s="82"/>
      <c r="J378" s="79"/>
      <c r="K378" s="79"/>
      <c r="L378" s="79"/>
      <c r="M378" s="82"/>
      <c r="N378" s="84"/>
      <c r="O378" s="85"/>
      <c r="P378" s="86"/>
      <c r="Q378" s="86"/>
      <c r="R378" s="83"/>
      <c r="S378" s="84"/>
    </row>
    <row r="379" spans="1:19" x14ac:dyDescent="0.25">
      <c r="A379" s="75"/>
      <c r="B379" s="79"/>
      <c r="C379" s="80"/>
      <c r="D379" s="81"/>
      <c r="E379" s="81"/>
      <c r="F379" s="82"/>
      <c r="G379" s="82"/>
      <c r="H379" s="83"/>
      <c r="I379" s="82"/>
      <c r="J379" s="79"/>
      <c r="K379" s="79"/>
      <c r="L379" s="79"/>
      <c r="M379" s="82"/>
      <c r="N379" s="84"/>
      <c r="O379" s="85"/>
      <c r="P379" s="86"/>
      <c r="Q379" s="86"/>
      <c r="R379" s="83"/>
      <c r="S379" s="84"/>
    </row>
    <row r="380" spans="1:19" x14ac:dyDescent="0.25">
      <c r="A380" s="75"/>
      <c r="B380" s="79"/>
      <c r="C380" s="80"/>
      <c r="D380" s="81"/>
      <c r="E380" s="81"/>
      <c r="F380" s="82"/>
      <c r="G380" s="82"/>
      <c r="H380" s="83"/>
      <c r="I380" s="82"/>
      <c r="J380" s="79"/>
      <c r="K380" s="79"/>
      <c r="L380" s="79"/>
      <c r="M380" s="82"/>
      <c r="N380" s="84"/>
      <c r="O380" s="85"/>
      <c r="P380" s="86"/>
      <c r="Q380" s="86"/>
      <c r="R380" s="83"/>
      <c r="S380" s="84"/>
    </row>
    <row r="381" spans="1:19" x14ac:dyDescent="0.25">
      <c r="A381" s="75"/>
      <c r="B381" s="79"/>
      <c r="C381" s="80"/>
      <c r="D381" s="81"/>
      <c r="E381" s="81"/>
      <c r="F381" s="82"/>
      <c r="G381" s="82"/>
      <c r="H381" s="83"/>
      <c r="I381" s="82"/>
      <c r="J381" s="79"/>
      <c r="K381" s="79"/>
      <c r="L381" s="79"/>
      <c r="M381" s="82"/>
      <c r="N381" s="84"/>
      <c r="O381" s="85"/>
      <c r="P381" s="86"/>
      <c r="Q381" s="86"/>
      <c r="R381" s="83"/>
      <c r="S381" s="84"/>
    </row>
    <row r="382" spans="1:19" x14ac:dyDescent="0.25">
      <c r="A382" s="75"/>
      <c r="B382" s="79"/>
      <c r="C382" s="80"/>
      <c r="D382" s="81"/>
      <c r="E382" s="81"/>
      <c r="F382" s="82"/>
      <c r="G382" s="82"/>
      <c r="H382" s="83"/>
      <c r="I382" s="82"/>
      <c r="J382" s="79"/>
      <c r="K382" s="79"/>
      <c r="L382" s="79"/>
      <c r="M382" s="82"/>
      <c r="N382" s="84"/>
      <c r="O382" s="85"/>
      <c r="P382" s="86"/>
      <c r="Q382" s="86"/>
      <c r="R382" s="83"/>
      <c r="S382" s="84"/>
    </row>
    <row r="383" spans="1:19" x14ac:dyDescent="0.25">
      <c r="A383" s="75"/>
      <c r="B383" s="79"/>
      <c r="C383" s="80"/>
      <c r="D383" s="81"/>
      <c r="E383" s="81"/>
      <c r="F383" s="82"/>
      <c r="G383" s="82"/>
      <c r="H383" s="83"/>
      <c r="I383" s="82"/>
      <c r="J383" s="79"/>
      <c r="K383" s="79"/>
      <c r="L383" s="79"/>
      <c r="M383" s="82"/>
      <c r="N383" s="84"/>
      <c r="O383" s="85"/>
      <c r="P383" s="86"/>
      <c r="Q383" s="86"/>
      <c r="R383" s="83"/>
      <c r="S383" s="84"/>
    </row>
    <row r="384" spans="1:19" x14ac:dyDescent="0.25">
      <c r="A384" s="75"/>
      <c r="B384" s="79"/>
      <c r="C384" s="80"/>
      <c r="D384" s="81"/>
      <c r="E384" s="81"/>
      <c r="F384" s="82"/>
      <c r="G384" s="82"/>
      <c r="H384" s="83"/>
      <c r="I384" s="82"/>
      <c r="J384" s="79"/>
      <c r="K384" s="79"/>
      <c r="L384" s="79"/>
      <c r="M384" s="82"/>
      <c r="N384" s="84"/>
      <c r="O384" s="85"/>
      <c r="P384" s="86"/>
      <c r="Q384" s="86"/>
      <c r="R384" s="83"/>
      <c r="S384" s="84"/>
    </row>
    <row r="385" spans="1:19" x14ac:dyDescent="0.25">
      <c r="A385" s="75"/>
      <c r="B385" s="79"/>
      <c r="C385" s="80"/>
      <c r="D385" s="81"/>
      <c r="E385" s="81"/>
      <c r="F385" s="82"/>
      <c r="G385" s="82"/>
      <c r="H385" s="83"/>
      <c r="I385" s="82"/>
      <c r="J385" s="79"/>
      <c r="K385" s="79"/>
      <c r="L385" s="79"/>
      <c r="M385" s="82"/>
      <c r="N385" s="84"/>
      <c r="O385" s="85"/>
      <c r="P385" s="86"/>
      <c r="Q385" s="86"/>
      <c r="R385" s="83"/>
      <c r="S385" s="84"/>
    </row>
    <row r="386" spans="1:19" x14ac:dyDescent="0.25">
      <c r="A386" s="75"/>
      <c r="B386" s="79"/>
      <c r="C386" s="80"/>
      <c r="D386" s="81"/>
      <c r="E386" s="81"/>
      <c r="F386" s="82"/>
      <c r="G386" s="82"/>
      <c r="H386" s="83"/>
      <c r="I386" s="82"/>
      <c r="J386" s="79"/>
      <c r="K386" s="79"/>
      <c r="L386" s="79"/>
      <c r="M386" s="82"/>
      <c r="N386" s="84"/>
      <c r="O386" s="85"/>
      <c r="P386" s="86"/>
      <c r="Q386" s="86"/>
      <c r="R386" s="83"/>
      <c r="S386" s="84"/>
    </row>
    <row r="387" spans="1:19" x14ac:dyDescent="0.25">
      <c r="A387" s="75"/>
      <c r="B387" s="79"/>
      <c r="C387" s="80"/>
      <c r="D387" s="81"/>
      <c r="E387" s="81"/>
      <c r="F387" s="82"/>
      <c r="G387" s="82"/>
      <c r="H387" s="83"/>
      <c r="I387" s="82"/>
      <c r="J387" s="79"/>
      <c r="K387" s="79"/>
      <c r="L387" s="79"/>
      <c r="M387" s="82"/>
      <c r="N387" s="84"/>
      <c r="O387" s="85"/>
      <c r="P387" s="86"/>
      <c r="Q387" s="86"/>
      <c r="R387" s="83"/>
      <c r="S387" s="84"/>
    </row>
    <row r="388" spans="1:19" x14ac:dyDescent="0.25">
      <c r="A388" s="75"/>
      <c r="B388" s="79"/>
      <c r="C388" s="80"/>
      <c r="D388" s="81"/>
      <c r="E388" s="81"/>
      <c r="F388" s="82"/>
      <c r="G388" s="82"/>
      <c r="H388" s="83"/>
      <c r="I388" s="82"/>
      <c r="J388" s="79"/>
      <c r="K388" s="79"/>
      <c r="L388" s="79"/>
      <c r="M388" s="82"/>
      <c r="N388" s="84"/>
      <c r="O388" s="85"/>
      <c r="P388" s="86"/>
      <c r="Q388" s="86"/>
      <c r="R388" s="83"/>
      <c r="S388" s="84"/>
    </row>
    <row r="389" spans="1:19" x14ac:dyDescent="0.25">
      <c r="A389" s="75"/>
      <c r="B389" s="79"/>
      <c r="C389" s="80"/>
      <c r="D389" s="81"/>
      <c r="E389" s="81"/>
      <c r="F389" s="82"/>
      <c r="G389" s="82"/>
      <c r="H389" s="83"/>
      <c r="I389" s="82"/>
      <c r="J389" s="79"/>
      <c r="K389" s="79"/>
      <c r="L389" s="79"/>
      <c r="M389" s="82"/>
      <c r="N389" s="84"/>
      <c r="O389" s="85"/>
      <c r="P389" s="86"/>
      <c r="Q389" s="86"/>
      <c r="R389" s="83"/>
      <c r="S389" s="84"/>
    </row>
    <row r="390" spans="1:19" x14ac:dyDescent="0.25">
      <c r="A390" s="75"/>
      <c r="B390" s="79"/>
      <c r="C390" s="80"/>
      <c r="D390" s="81"/>
      <c r="E390" s="81"/>
      <c r="F390" s="82"/>
      <c r="G390" s="82"/>
      <c r="H390" s="83"/>
      <c r="I390" s="82"/>
      <c r="J390" s="79"/>
      <c r="K390" s="79"/>
      <c r="L390" s="79"/>
      <c r="M390" s="82"/>
      <c r="N390" s="84"/>
      <c r="O390" s="85"/>
      <c r="P390" s="86"/>
      <c r="Q390" s="86"/>
      <c r="R390" s="83"/>
      <c r="S390" s="84"/>
    </row>
    <row r="391" spans="1:19" x14ac:dyDescent="0.25">
      <c r="A391" s="75"/>
      <c r="B391" s="79"/>
      <c r="C391" s="80"/>
      <c r="D391" s="81"/>
      <c r="E391" s="81"/>
      <c r="F391" s="82"/>
      <c r="G391" s="82"/>
      <c r="H391" s="83"/>
      <c r="I391" s="82"/>
      <c r="J391" s="79"/>
      <c r="K391" s="79"/>
      <c r="L391" s="79"/>
      <c r="M391" s="82"/>
      <c r="N391" s="84"/>
      <c r="O391" s="85"/>
      <c r="P391" s="86"/>
      <c r="Q391" s="86"/>
      <c r="R391" s="83"/>
      <c r="S391" s="84"/>
    </row>
    <row r="392" spans="1:19" x14ac:dyDescent="0.25">
      <c r="A392" s="75"/>
      <c r="B392" s="79"/>
      <c r="C392" s="80"/>
      <c r="D392" s="81"/>
      <c r="E392" s="81"/>
      <c r="F392" s="82"/>
      <c r="G392" s="82"/>
      <c r="H392" s="83"/>
      <c r="I392" s="82"/>
      <c r="J392" s="79"/>
      <c r="K392" s="79"/>
      <c r="L392" s="79"/>
      <c r="M392" s="82"/>
      <c r="N392" s="84"/>
      <c r="O392" s="85"/>
      <c r="P392" s="86"/>
      <c r="Q392" s="86"/>
      <c r="R392" s="83"/>
      <c r="S392" s="84"/>
    </row>
    <row r="393" spans="1:19" x14ac:dyDescent="0.25">
      <c r="A393" s="75"/>
      <c r="B393" s="79"/>
      <c r="C393" s="80"/>
      <c r="D393" s="81"/>
      <c r="E393" s="81"/>
      <c r="F393" s="82"/>
      <c r="G393" s="82"/>
      <c r="H393" s="83"/>
      <c r="I393" s="82"/>
      <c r="J393" s="79"/>
      <c r="K393" s="79"/>
      <c r="L393" s="79"/>
      <c r="M393" s="82"/>
      <c r="N393" s="84"/>
      <c r="O393" s="85"/>
      <c r="P393" s="86"/>
      <c r="Q393" s="86"/>
      <c r="R393" s="83"/>
      <c r="S393" s="84"/>
    </row>
    <row r="394" spans="1:19" x14ac:dyDescent="0.25">
      <c r="A394" s="75"/>
      <c r="B394" s="79"/>
      <c r="C394" s="80"/>
      <c r="D394" s="81"/>
      <c r="E394" s="81"/>
      <c r="F394" s="82"/>
      <c r="G394" s="82"/>
      <c r="H394" s="83"/>
      <c r="I394" s="82"/>
      <c r="J394" s="79"/>
      <c r="K394" s="79"/>
      <c r="L394" s="79"/>
      <c r="M394" s="82"/>
      <c r="N394" s="84"/>
      <c r="O394" s="85"/>
      <c r="P394" s="86"/>
      <c r="Q394" s="86"/>
      <c r="R394" s="83"/>
      <c r="S394" s="84"/>
    </row>
    <row r="395" spans="1:19" x14ac:dyDescent="0.25">
      <c r="A395" s="75"/>
      <c r="B395" s="79"/>
      <c r="C395" s="80"/>
      <c r="D395" s="81"/>
      <c r="E395" s="81"/>
      <c r="F395" s="82"/>
      <c r="G395" s="82"/>
      <c r="H395" s="83"/>
      <c r="I395" s="82"/>
      <c r="J395" s="79"/>
      <c r="K395" s="79"/>
      <c r="L395" s="79"/>
      <c r="M395" s="82"/>
      <c r="N395" s="84"/>
      <c r="O395" s="85"/>
      <c r="P395" s="86"/>
      <c r="Q395" s="86"/>
      <c r="R395" s="83"/>
      <c r="S395" s="84"/>
    </row>
    <row r="396" spans="1:19" x14ac:dyDescent="0.25">
      <c r="A396" s="75"/>
      <c r="B396" s="79"/>
      <c r="C396" s="80"/>
      <c r="D396" s="81"/>
      <c r="E396" s="81"/>
      <c r="F396" s="82"/>
      <c r="G396" s="82"/>
      <c r="H396" s="83"/>
      <c r="I396" s="82"/>
      <c r="J396" s="79"/>
      <c r="K396" s="79"/>
      <c r="L396" s="79"/>
      <c r="M396" s="82"/>
      <c r="N396" s="84"/>
      <c r="O396" s="85"/>
      <c r="P396" s="86"/>
      <c r="Q396" s="86"/>
      <c r="R396" s="83"/>
      <c r="S396" s="84"/>
    </row>
    <row r="397" spans="1:19" x14ac:dyDescent="0.25">
      <c r="A397" s="75"/>
      <c r="B397" s="79"/>
      <c r="C397" s="80"/>
      <c r="D397" s="81"/>
      <c r="E397" s="81"/>
      <c r="F397" s="82"/>
      <c r="G397" s="82"/>
      <c r="H397" s="83"/>
      <c r="I397" s="82"/>
      <c r="J397" s="79"/>
      <c r="K397" s="79"/>
      <c r="L397" s="79"/>
      <c r="M397" s="82"/>
      <c r="N397" s="84"/>
      <c r="O397" s="85"/>
      <c r="P397" s="86"/>
      <c r="Q397" s="86"/>
      <c r="R397" s="83"/>
      <c r="S397" s="84"/>
    </row>
    <row r="398" spans="1:19" x14ac:dyDescent="0.25">
      <c r="A398" s="75"/>
      <c r="B398" s="79"/>
      <c r="C398" s="80"/>
      <c r="D398" s="81"/>
      <c r="E398" s="81"/>
      <c r="F398" s="82"/>
      <c r="G398" s="82"/>
      <c r="H398" s="83"/>
      <c r="I398" s="82"/>
      <c r="J398" s="79"/>
      <c r="K398" s="79"/>
      <c r="L398" s="79"/>
      <c r="M398" s="82"/>
      <c r="N398" s="84"/>
      <c r="O398" s="85"/>
      <c r="P398" s="86"/>
      <c r="Q398" s="86"/>
      <c r="R398" s="83"/>
      <c r="S398" s="84"/>
    </row>
    <row r="399" spans="1:19" x14ac:dyDescent="0.25">
      <c r="A399" s="75"/>
      <c r="B399" s="79"/>
      <c r="C399" s="80"/>
      <c r="D399" s="81"/>
      <c r="E399" s="81"/>
      <c r="F399" s="82"/>
      <c r="G399" s="82"/>
      <c r="H399" s="83"/>
      <c r="I399" s="82"/>
      <c r="J399" s="79"/>
      <c r="K399" s="79"/>
      <c r="L399" s="79"/>
      <c r="M399" s="82"/>
      <c r="N399" s="84"/>
      <c r="O399" s="85"/>
      <c r="P399" s="86"/>
      <c r="Q399" s="86"/>
      <c r="R399" s="83"/>
      <c r="S399" s="84"/>
    </row>
    <row r="400" spans="1:19" x14ac:dyDescent="0.25">
      <c r="A400" s="75"/>
      <c r="B400" s="79"/>
      <c r="C400" s="80"/>
      <c r="D400" s="81"/>
      <c r="E400" s="81"/>
      <c r="F400" s="82"/>
      <c r="G400" s="82"/>
      <c r="H400" s="83"/>
      <c r="I400" s="82"/>
      <c r="J400" s="79"/>
      <c r="K400" s="79"/>
      <c r="L400" s="79"/>
      <c r="M400" s="82"/>
      <c r="N400" s="84"/>
      <c r="O400" s="85"/>
      <c r="P400" s="86"/>
      <c r="Q400" s="86"/>
      <c r="R400" s="83"/>
      <c r="S400" s="84"/>
    </row>
    <row r="401" spans="1:19" x14ac:dyDescent="0.25">
      <c r="A401" s="75"/>
      <c r="B401" s="79"/>
      <c r="C401" s="80"/>
      <c r="D401" s="81"/>
      <c r="E401" s="81"/>
      <c r="F401" s="82"/>
      <c r="G401" s="82"/>
      <c r="H401" s="83"/>
      <c r="I401" s="82"/>
      <c r="J401" s="79"/>
      <c r="K401" s="79"/>
      <c r="L401" s="79"/>
      <c r="M401" s="82"/>
      <c r="N401" s="84"/>
      <c r="O401" s="85"/>
      <c r="P401" s="86"/>
      <c r="Q401" s="86"/>
      <c r="R401" s="83"/>
      <c r="S401" s="84"/>
    </row>
    <row r="402" spans="1:19" x14ac:dyDescent="0.25">
      <c r="A402" s="75"/>
      <c r="B402" s="79"/>
      <c r="C402" s="80"/>
      <c r="D402" s="81"/>
      <c r="E402" s="81"/>
      <c r="F402" s="82"/>
      <c r="G402" s="82"/>
      <c r="H402" s="83"/>
      <c r="I402" s="82"/>
      <c r="J402" s="79"/>
      <c r="K402" s="79"/>
      <c r="L402" s="79"/>
      <c r="M402" s="82"/>
      <c r="N402" s="84"/>
      <c r="O402" s="85"/>
      <c r="P402" s="86"/>
      <c r="Q402" s="86"/>
      <c r="R402" s="83"/>
      <c r="S402" s="84"/>
    </row>
    <row r="403" spans="1:19" x14ac:dyDescent="0.25">
      <c r="A403" s="75"/>
      <c r="B403" s="79"/>
      <c r="C403" s="80"/>
      <c r="D403" s="81"/>
      <c r="E403" s="81"/>
      <c r="F403" s="82"/>
      <c r="G403" s="82"/>
      <c r="H403" s="83"/>
      <c r="I403" s="82"/>
      <c r="J403" s="79"/>
      <c r="K403" s="79"/>
      <c r="L403" s="79"/>
      <c r="M403" s="82"/>
      <c r="N403" s="84"/>
      <c r="O403" s="85"/>
      <c r="P403" s="86"/>
      <c r="Q403" s="86"/>
      <c r="R403" s="83"/>
      <c r="S403" s="84"/>
    </row>
    <row r="404" spans="1:19" x14ac:dyDescent="0.25">
      <c r="A404" s="75"/>
      <c r="B404" s="79"/>
      <c r="C404" s="80"/>
      <c r="D404" s="81"/>
      <c r="E404" s="81"/>
      <c r="F404" s="82"/>
      <c r="G404" s="82"/>
      <c r="H404" s="83"/>
      <c r="I404" s="82"/>
      <c r="J404" s="79"/>
      <c r="K404" s="79"/>
      <c r="L404" s="79"/>
      <c r="M404" s="82"/>
      <c r="N404" s="84"/>
      <c r="O404" s="85"/>
      <c r="P404" s="86"/>
      <c r="Q404" s="86"/>
      <c r="R404" s="83"/>
      <c r="S404" s="84"/>
    </row>
    <row r="405" spans="1:19" x14ac:dyDescent="0.25">
      <c r="A405" s="75"/>
      <c r="B405" s="79"/>
      <c r="C405" s="80"/>
      <c r="D405" s="81"/>
      <c r="E405" s="81"/>
      <c r="F405" s="82"/>
      <c r="G405" s="82"/>
      <c r="H405" s="83"/>
      <c r="I405" s="82"/>
      <c r="J405" s="79"/>
      <c r="K405" s="79"/>
      <c r="L405" s="79"/>
      <c r="M405" s="82"/>
      <c r="N405" s="84"/>
      <c r="O405" s="85"/>
      <c r="P405" s="86"/>
      <c r="Q405" s="86"/>
      <c r="R405" s="83"/>
      <c r="S405" s="84"/>
    </row>
    <row r="406" spans="1:19" x14ac:dyDescent="0.25">
      <c r="A406" s="75"/>
      <c r="B406" s="79"/>
      <c r="C406" s="80"/>
      <c r="D406" s="81"/>
      <c r="E406" s="81"/>
      <c r="F406" s="82"/>
      <c r="G406" s="82"/>
      <c r="H406" s="83"/>
      <c r="I406" s="82"/>
      <c r="J406" s="79"/>
      <c r="K406" s="79"/>
      <c r="L406" s="79"/>
      <c r="M406" s="82"/>
      <c r="N406" s="84"/>
      <c r="O406" s="85"/>
      <c r="P406" s="86"/>
      <c r="Q406" s="86"/>
      <c r="R406" s="83"/>
      <c r="S406" s="84"/>
    </row>
    <row r="407" spans="1:19" x14ac:dyDescent="0.25">
      <c r="A407" s="75"/>
      <c r="B407" s="79"/>
      <c r="C407" s="80"/>
      <c r="D407" s="81"/>
      <c r="E407" s="81"/>
      <c r="F407" s="82"/>
      <c r="G407" s="82"/>
      <c r="H407" s="83"/>
      <c r="I407" s="82"/>
      <c r="J407" s="79"/>
      <c r="K407" s="79"/>
      <c r="L407" s="79"/>
      <c r="M407" s="82"/>
      <c r="N407" s="84"/>
      <c r="O407" s="85"/>
      <c r="P407" s="86"/>
      <c r="Q407" s="86"/>
      <c r="R407" s="83"/>
      <c r="S407" s="84"/>
    </row>
    <row r="408" spans="1:19" x14ac:dyDescent="0.25">
      <c r="A408" s="75"/>
      <c r="B408" s="79"/>
      <c r="C408" s="80"/>
      <c r="D408" s="81"/>
      <c r="E408" s="81"/>
      <c r="F408" s="82"/>
      <c r="G408" s="82"/>
      <c r="H408" s="83"/>
      <c r="I408" s="82"/>
      <c r="J408" s="79"/>
      <c r="K408" s="79"/>
      <c r="L408" s="79"/>
      <c r="M408" s="82"/>
      <c r="N408" s="84"/>
      <c r="O408" s="85"/>
      <c r="P408" s="86"/>
      <c r="Q408" s="86"/>
      <c r="R408" s="83"/>
      <c r="S408" s="84"/>
    </row>
    <row r="409" spans="1:19" x14ac:dyDescent="0.25">
      <c r="A409" s="75"/>
      <c r="B409" s="79"/>
      <c r="C409" s="80"/>
      <c r="D409" s="81"/>
      <c r="E409" s="81"/>
      <c r="F409" s="82"/>
      <c r="G409" s="82"/>
      <c r="H409" s="83"/>
      <c r="I409" s="82"/>
      <c r="J409" s="79"/>
      <c r="K409" s="79"/>
      <c r="L409" s="79"/>
      <c r="M409" s="82"/>
      <c r="N409" s="84"/>
      <c r="O409" s="85"/>
      <c r="P409" s="86"/>
      <c r="Q409" s="86"/>
      <c r="R409" s="83"/>
      <c r="S409" s="84"/>
    </row>
    <row r="410" spans="1:19" x14ac:dyDescent="0.25">
      <c r="A410" s="75"/>
      <c r="B410" s="79"/>
      <c r="C410" s="80"/>
      <c r="D410" s="81"/>
      <c r="E410" s="81"/>
      <c r="F410" s="82"/>
      <c r="G410" s="82"/>
      <c r="H410" s="83"/>
      <c r="I410" s="82"/>
      <c r="J410" s="79"/>
      <c r="K410" s="79"/>
      <c r="L410" s="79"/>
      <c r="M410" s="82"/>
      <c r="N410" s="84"/>
      <c r="O410" s="85"/>
      <c r="P410" s="86"/>
      <c r="Q410" s="86"/>
      <c r="R410" s="83"/>
      <c r="S410" s="84"/>
    </row>
    <row r="411" spans="1:19" x14ac:dyDescent="0.25">
      <c r="A411" s="75"/>
      <c r="B411" s="79"/>
      <c r="C411" s="80"/>
      <c r="D411" s="81"/>
      <c r="E411" s="81"/>
      <c r="F411" s="82"/>
      <c r="G411" s="82"/>
      <c r="H411" s="83"/>
      <c r="I411" s="82"/>
      <c r="J411" s="79"/>
      <c r="K411" s="79"/>
      <c r="L411" s="79"/>
      <c r="M411" s="82"/>
      <c r="N411" s="84"/>
      <c r="O411" s="85"/>
      <c r="P411" s="86"/>
      <c r="Q411" s="86"/>
      <c r="R411" s="83"/>
      <c r="S411" s="84"/>
    </row>
    <row r="412" spans="1:19" x14ac:dyDescent="0.25">
      <c r="A412" s="75"/>
      <c r="B412" s="79"/>
      <c r="C412" s="80"/>
      <c r="D412" s="81"/>
      <c r="E412" s="81"/>
      <c r="F412" s="82"/>
      <c r="G412" s="82"/>
      <c r="H412" s="83"/>
      <c r="I412" s="82"/>
      <c r="J412" s="79"/>
      <c r="K412" s="79"/>
      <c r="L412" s="79"/>
      <c r="M412" s="82"/>
      <c r="N412" s="84"/>
      <c r="O412" s="85"/>
      <c r="P412" s="86"/>
      <c r="Q412" s="86"/>
      <c r="R412" s="83"/>
      <c r="S412" s="84"/>
    </row>
    <row r="413" spans="1:19" x14ac:dyDescent="0.25">
      <c r="A413" s="75"/>
      <c r="B413" s="79"/>
      <c r="C413" s="80"/>
      <c r="D413" s="81"/>
      <c r="E413" s="81"/>
      <c r="F413" s="82"/>
      <c r="G413" s="82"/>
      <c r="H413" s="83"/>
      <c r="I413" s="82"/>
      <c r="J413" s="79"/>
      <c r="K413" s="79"/>
      <c r="L413" s="79"/>
      <c r="M413" s="82"/>
      <c r="N413" s="84"/>
      <c r="O413" s="85"/>
      <c r="P413" s="86"/>
      <c r="Q413" s="86"/>
      <c r="R413" s="83"/>
      <c r="S413" s="84"/>
    </row>
    <row r="414" spans="1:19" x14ac:dyDescent="0.25">
      <c r="A414" s="75"/>
      <c r="B414" s="79"/>
      <c r="C414" s="80"/>
      <c r="D414" s="81"/>
      <c r="E414" s="81"/>
      <c r="F414" s="82"/>
      <c r="G414" s="82"/>
      <c r="H414" s="83"/>
      <c r="I414" s="82"/>
      <c r="J414" s="79"/>
      <c r="K414" s="79"/>
      <c r="L414" s="79"/>
      <c r="M414" s="82"/>
      <c r="N414" s="84"/>
      <c r="O414" s="85"/>
      <c r="P414" s="86"/>
      <c r="Q414" s="86"/>
      <c r="R414" s="83"/>
      <c r="S414" s="84"/>
    </row>
    <row r="415" spans="1:19" x14ac:dyDescent="0.25">
      <c r="A415" s="75"/>
      <c r="B415" s="79"/>
      <c r="C415" s="80"/>
      <c r="D415" s="81"/>
      <c r="E415" s="81"/>
      <c r="F415" s="82"/>
      <c r="G415" s="82"/>
      <c r="H415" s="83"/>
      <c r="I415" s="82"/>
      <c r="J415" s="79"/>
      <c r="K415" s="79"/>
      <c r="L415" s="79"/>
      <c r="M415" s="82"/>
      <c r="N415" s="84"/>
      <c r="O415" s="85"/>
      <c r="P415" s="86"/>
      <c r="Q415" s="86"/>
      <c r="R415" s="83"/>
      <c r="S415" s="84"/>
    </row>
    <row r="416" spans="1:19" x14ac:dyDescent="0.25">
      <c r="A416" s="75"/>
      <c r="B416" s="79"/>
      <c r="C416" s="80"/>
      <c r="D416" s="81"/>
      <c r="E416" s="81"/>
      <c r="F416" s="82"/>
      <c r="G416" s="82"/>
      <c r="H416" s="83"/>
      <c r="I416" s="82"/>
      <c r="J416" s="79"/>
      <c r="K416" s="79"/>
      <c r="L416" s="79"/>
      <c r="M416" s="82"/>
      <c r="N416" s="84"/>
      <c r="O416" s="85"/>
      <c r="P416" s="86"/>
      <c r="Q416" s="86"/>
      <c r="R416" s="83"/>
      <c r="S416" s="84"/>
    </row>
    <row r="417" spans="1:19" x14ac:dyDescent="0.25">
      <c r="A417" s="75"/>
      <c r="B417" s="79"/>
      <c r="C417" s="80"/>
      <c r="D417" s="81"/>
      <c r="E417" s="81"/>
      <c r="F417" s="82"/>
      <c r="G417" s="82"/>
      <c r="H417" s="83"/>
      <c r="I417" s="82"/>
      <c r="J417" s="79"/>
      <c r="K417" s="79"/>
      <c r="L417" s="79"/>
      <c r="M417" s="82"/>
      <c r="N417" s="84"/>
      <c r="O417" s="85"/>
      <c r="P417" s="86"/>
      <c r="Q417" s="86"/>
      <c r="R417" s="83"/>
      <c r="S417" s="84"/>
    </row>
    <row r="418" spans="1:19" x14ac:dyDescent="0.25">
      <c r="A418" s="75"/>
      <c r="B418" s="79"/>
      <c r="C418" s="80"/>
      <c r="D418" s="81"/>
      <c r="E418" s="81"/>
      <c r="F418" s="82"/>
      <c r="G418" s="82"/>
      <c r="H418" s="83"/>
      <c r="I418" s="82"/>
      <c r="J418" s="79"/>
      <c r="K418" s="79"/>
      <c r="L418" s="79"/>
      <c r="M418" s="82"/>
      <c r="N418" s="84"/>
      <c r="O418" s="85"/>
      <c r="P418" s="86"/>
      <c r="Q418" s="86"/>
      <c r="R418" s="83"/>
      <c r="S418" s="84"/>
    </row>
    <row r="419" spans="1:19" x14ac:dyDescent="0.25">
      <c r="A419" s="75"/>
      <c r="B419" s="79"/>
      <c r="C419" s="80"/>
      <c r="D419" s="81"/>
      <c r="E419" s="81"/>
      <c r="F419" s="82"/>
      <c r="G419" s="82"/>
      <c r="H419" s="83"/>
      <c r="I419" s="82"/>
      <c r="J419" s="79"/>
      <c r="K419" s="79"/>
      <c r="L419" s="79"/>
      <c r="M419" s="82"/>
      <c r="N419" s="84"/>
      <c r="O419" s="85"/>
      <c r="P419" s="86"/>
      <c r="Q419" s="86"/>
      <c r="R419" s="83"/>
      <c r="S419" s="84"/>
    </row>
    <row r="420" spans="1:19" x14ac:dyDescent="0.25">
      <c r="A420" s="75"/>
      <c r="B420" s="79"/>
      <c r="C420" s="80"/>
      <c r="D420" s="81"/>
      <c r="E420" s="81"/>
      <c r="F420" s="82"/>
      <c r="G420" s="82"/>
      <c r="H420" s="83"/>
      <c r="I420" s="82"/>
      <c r="J420" s="79"/>
      <c r="K420" s="79"/>
      <c r="L420" s="79"/>
      <c r="M420" s="82"/>
      <c r="N420" s="84"/>
      <c r="O420" s="85"/>
      <c r="P420" s="86"/>
      <c r="Q420" s="86"/>
      <c r="R420" s="83"/>
      <c r="S420" s="84"/>
    </row>
    <row r="421" spans="1:19" x14ac:dyDescent="0.25">
      <c r="A421" s="75"/>
      <c r="B421" s="79"/>
      <c r="C421" s="80"/>
      <c r="D421" s="81"/>
      <c r="E421" s="81"/>
      <c r="F421" s="82"/>
      <c r="G421" s="82"/>
      <c r="H421" s="83"/>
      <c r="I421" s="82"/>
      <c r="J421" s="79"/>
      <c r="K421" s="79"/>
      <c r="L421" s="79"/>
      <c r="M421" s="82"/>
      <c r="N421" s="84"/>
      <c r="O421" s="85"/>
      <c r="P421" s="86"/>
      <c r="Q421" s="86"/>
      <c r="R421" s="83"/>
      <c r="S421" s="84"/>
    </row>
    <row r="422" spans="1:19" x14ac:dyDescent="0.25">
      <c r="A422" s="75"/>
      <c r="B422" s="79"/>
      <c r="C422" s="80"/>
      <c r="D422" s="81"/>
      <c r="E422" s="81"/>
      <c r="F422" s="82"/>
      <c r="G422" s="82"/>
      <c r="H422" s="83"/>
      <c r="I422" s="82"/>
      <c r="J422" s="79"/>
      <c r="K422" s="79"/>
      <c r="L422" s="79"/>
      <c r="M422" s="82"/>
      <c r="N422" s="84"/>
      <c r="O422" s="85"/>
      <c r="P422" s="86"/>
      <c r="Q422" s="86"/>
      <c r="R422" s="83"/>
      <c r="S422" s="84"/>
    </row>
    <row r="423" spans="1:19" x14ac:dyDescent="0.25">
      <c r="A423" s="75"/>
      <c r="B423" s="79"/>
      <c r="C423" s="80"/>
      <c r="D423" s="81"/>
      <c r="E423" s="81"/>
      <c r="F423" s="82"/>
      <c r="G423" s="82"/>
      <c r="H423" s="83"/>
      <c r="I423" s="82"/>
      <c r="J423" s="79"/>
      <c r="K423" s="79"/>
      <c r="L423" s="79"/>
      <c r="M423" s="82"/>
      <c r="N423" s="84"/>
      <c r="O423" s="85"/>
      <c r="P423" s="86"/>
      <c r="Q423" s="86"/>
      <c r="R423" s="83"/>
      <c r="S423" s="84"/>
    </row>
    <row r="424" spans="1:19" x14ac:dyDescent="0.25">
      <c r="A424" s="75"/>
      <c r="B424" s="79"/>
      <c r="C424" s="80"/>
      <c r="D424" s="81"/>
      <c r="E424" s="81"/>
      <c r="F424" s="82"/>
      <c r="G424" s="82"/>
      <c r="H424" s="83"/>
      <c r="I424" s="82"/>
      <c r="J424" s="79"/>
      <c r="K424" s="79"/>
      <c r="L424" s="79"/>
      <c r="M424" s="82"/>
      <c r="N424" s="84"/>
      <c r="O424" s="85"/>
      <c r="P424" s="86"/>
      <c r="Q424" s="86"/>
      <c r="R424" s="83"/>
      <c r="S424" s="84"/>
    </row>
    <row r="425" spans="1:19" x14ac:dyDescent="0.25">
      <c r="A425" s="75"/>
      <c r="B425" s="79"/>
      <c r="C425" s="80"/>
      <c r="D425" s="81"/>
      <c r="E425" s="81"/>
      <c r="F425" s="82"/>
      <c r="G425" s="82"/>
      <c r="H425" s="83"/>
      <c r="I425" s="82"/>
      <c r="J425" s="79"/>
      <c r="K425" s="79"/>
      <c r="L425" s="79"/>
      <c r="M425" s="82"/>
      <c r="N425" s="84"/>
      <c r="O425" s="85"/>
      <c r="P425" s="86"/>
      <c r="Q425" s="86"/>
      <c r="R425" s="83"/>
      <c r="S425" s="84"/>
    </row>
    <row r="426" spans="1:19" x14ac:dyDescent="0.25">
      <c r="A426" s="75"/>
      <c r="B426" s="79"/>
      <c r="C426" s="80"/>
      <c r="D426" s="81"/>
      <c r="E426" s="81"/>
      <c r="F426" s="82"/>
      <c r="G426" s="82"/>
      <c r="H426" s="83"/>
      <c r="I426" s="82"/>
      <c r="J426" s="79"/>
      <c r="K426" s="79"/>
      <c r="L426" s="79"/>
      <c r="M426" s="82"/>
      <c r="N426" s="84"/>
      <c r="O426" s="85"/>
      <c r="P426" s="86"/>
      <c r="Q426" s="86"/>
      <c r="R426" s="83"/>
      <c r="S426" s="84"/>
    </row>
    <row r="427" spans="1:19" x14ac:dyDescent="0.25">
      <c r="A427" s="75"/>
      <c r="B427" s="79"/>
      <c r="C427" s="80"/>
      <c r="D427" s="81"/>
      <c r="E427" s="81"/>
      <c r="F427" s="82"/>
      <c r="G427" s="82"/>
      <c r="H427" s="83"/>
      <c r="I427" s="82"/>
      <c r="J427" s="79"/>
      <c r="K427" s="79"/>
      <c r="L427" s="79"/>
      <c r="M427" s="82"/>
      <c r="N427" s="84"/>
      <c r="O427" s="85"/>
      <c r="P427" s="86"/>
      <c r="Q427" s="86"/>
      <c r="R427" s="83"/>
      <c r="S427" s="84"/>
    </row>
    <row r="428" spans="1:19" x14ac:dyDescent="0.25">
      <c r="A428" s="75"/>
      <c r="B428" s="79"/>
      <c r="C428" s="80"/>
      <c r="D428" s="81"/>
      <c r="E428" s="81"/>
      <c r="F428" s="82"/>
      <c r="G428" s="82"/>
      <c r="H428" s="83"/>
      <c r="I428" s="82"/>
      <c r="J428" s="79"/>
      <c r="K428" s="79"/>
      <c r="L428" s="79"/>
      <c r="M428" s="82"/>
      <c r="N428" s="84"/>
      <c r="O428" s="85"/>
      <c r="P428" s="86"/>
      <c r="Q428" s="86"/>
      <c r="R428" s="83"/>
      <c r="S428" s="84"/>
    </row>
    <row r="429" spans="1:19" x14ac:dyDescent="0.25">
      <c r="A429" s="75"/>
      <c r="B429" s="79"/>
      <c r="C429" s="80"/>
      <c r="D429" s="81"/>
      <c r="E429" s="81"/>
      <c r="F429" s="82"/>
      <c r="G429" s="82"/>
      <c r="H429" s="83"/>
      <c r="I429" s="82"/>
      <c r="J429" s="79"/>
      <c r="K429" s="79"/>
      <c r="L429" s="79"/>
      <c r="M429" s="82"/>
      <c r="N429" s="84"/>
      <c r="O429" s="85"/>
      <c r="P429" s="86"/>
      <c r="Q429" s="86"/>
      <c r="R429" s="83"/>
      <c r="S429" s="84"/>
    </row>
    <row r="430" spans="1:19" x14ac:dyDescent="0.25">
      <c r="A430" s="75"/>
      <c r="B430" s="79"/>
      <c r="C430" s="80"/>
      <c r="D430" s="81"/>
      <c r="E430" s="81"/>
      <c r="F430" s="82"/>
      <c r="G430" s="82"/>
      <c r="H430" s="83"/>
      <c r="I430" s="82"/>
      <c r="J430" s="79"/>
      <c r="K430" s="79"/>
      <c r="L430" s="79"/>
      <c r="M430" s="82"/>
      <c r="N430" s="84"/>
      <c r="O430" s="85"/>
      <c r="P430" s="86"/>
      <c r="Q430" s="86"/>
      <c r="R430" s="83"/>
      <c r="S430" s="84"/>
    </row>
    <row r="431" spans="1:19" x14ac:dyDescent="0.25">
      <c r="A431" s="75"/>
      <c r="B431" s="79"/>
      <c r="C431" s="80"/>
      <c r="D431" s="81"/>
      <c r="E431" s="81"/>
      <c r="F431" s="82"/>
      <c r="G431" s="82"/>
      <c r="H431" s="83"/>
      <c r="I431" s="82"/>
      <c r="J431" s="79"/>
      <c r="K431" s="79"/>
      <c r="L431" s="79"/>
      <c r="M431" s="82"/>
      <c r="N431" s="84"/>
      <c r="O431" s="85"/>
      <c r="P431" s="86"/>
      <c r="Q431" s="86"/>
      <c r="R431" s="83"/>
      <c r="S431" s="84"/>
    </row>
    <row r="432" spans="1:19" x14ac:dyDescent="0.25">
      <c r="A432" s="75"/>
      <c r="B432" s="79"/>
      <c r="C432" s="80"/>
      <c r="D432" s="81"/>
      <c r="E432" s="81"/>
      <c r="F432" s="82"/>
      <c r="G432" s="82"/>
      <c r="H432" s="83"/>
      <c r="I432" s="82"/>
      <c r="J432" s="79"/>
      <c r="K432" s="79"/>
      <c r="L432" s="79"/>
      <c r="M432" s="82"/>
      <c r="N432" s="84"/>
      <c r="O432" s="85"/>
      <c r="P432" s="86"/>
      <c r="Q432" s="86"/>
      <c r="R432" s="83"/>
      <c r="S432" s="84"/>
    </row>
    <row r="433" spans="1:19" x14ac:dyDescent="0.25">
      <c r="A433" s="75"/>
      <c r="B433" s="79"/>
      <c r="C433" s="80"/>
      <c r="D433" s="81"/>
      <c r="E433" s="81"/>
      <c r="F433" s="82"/>
      <c r="G433" s="82"/>
      <c r="H433" s="83"/>
      <c r="I433" s="82"/>
      <c r="J433" s="79"/>
      <c r="K433" s="79"/>
      <c r="L433" s="79"/>
      <c r="M433" s="82"/>
      <c r="N433" s="84"/>
      <c r="O433" s="85"/>
      <c r="P433" s="86"/>
      <c r="Q433" s="86"/>
      <c r="R433" s="83"/>
      <c r="S433" s="84"/>
    </row>
    <row r="434" spans="1:19" x14ac:dyDescent="0.25">
      <c r="A434" s="75"/>
      <c r="B434" s="79"/>
      <c r="C434" s="80"/>
      <c r="D434" s="81"/>
      <c r="E434" s="81"/>
      <c r="F434" s="82"/>
      <c r="G434" s="82"/>
      <c r="H434" s="83"/>
      <c r="I434" s="82"/>
      <c r="J434" s="79"/>
      <c r="K434" s="79"/>
      <c r="L434" s="79"/>
      <c r="M434" s="82"/>
      <c r="N434" s="84"/>
      <c r="O434" s="85"/>
      <c r="P434" s="86"/>
      <c r="Q434" s="86"/>
      <c r="R434" s="83"/>
      <c r="S434" s="84"/>
    </row>
    <row r="435" spans="1:19" x14ac:dyDescent="0.25">
      <c r="A435" s="75"/>
      <c r="B435" s="79"/>
      <c r="C435" s="80"/>
      <c r="D435" s="81"/>
      <c r="E435" s="81"/>
      <c r="F435" s="82"/>
      <c r="G435" s="82"/>
      <c r="H435" s="83"/>
      <c r="I435" s="82"/>
      <c r="J435" s="79"/>
      <c r="K435" s="79"/>
      <c r="L435" s="79"/>
      <c r="M435" s="82"/>
      <c r="N435" s="84"/>
      <c r="O435" s="85"/>
      <c r="P435" s="86"/>
      <c r="Q435" s="86"/>
      <c r="R435" s="83"/>
      <c r="S435" s="84"/>
    </row>
    <row r="436" spans="1:19" x14ac:dyDescent="0.25">
      <c r="A436" s="75"/>
      <c r="B436" s="79"/>
      <c r="C436" s="80"/>
      <c r="D436" s="81"/>
      <c r="E436" s="81"/>
      <c r="F436" s="82"/>
      <c r="G436" s="82"/>
      <c r="H436" s="83"/>
      <c r="I436" s="82"/>
      <c r="J436" s="79"/>
      <c r="K436" s="79"/>
      <c r="L436" s="79"/>
      <c r="M436" s="82"/>
      <c r="N436" s="84"/>
      <c r="O436" s="85"/>
      <c r="P436" s="86"/>
      <c r="Q436" s="86"/>
      <c r="R436" s="83"/>
      <c r="S436" s="84"/>
    </row>
    <row r="437" spans="1:19" x14ac:dyDescent="0.25">
      <c r="A437" s="75"/>
      <c r="B437" s="79"/>
      <c r="C437" s="80"/>
      <c r="D437" s="81"/>
      <c r="E437" s="81"/>
      <c r="F437" s="82"/>
      <c r="G437" s="82"/>
      <c r="H437" s="83"/>
      <c r="I437" s="82"/>
      <c r="J437" s="79"/>
      <c r="K437" s="79"/>
      <c r="L437" s="79"/>
      <c r="M437" s="82"/>
      <c r="N437" s="84"/>
      <c r="O437" s="85"/>
      <c r="P437" s="86"/>
      <c r="Q437" s="86"/>
      <c r="R437" s="83"/>
      <c r="S437" s="84"/>
    </row>
    <row r="438" spans="1:19" x14ac:dyDescent="0.25">
      <c r="A438" s="75"/>
      <c r="B438" s="79"/>
      <c r="C438" s="80"/>
      <c r="D438" s="81"/>
      <c r="E438" s="81"/>
      <c r="F438" s="82"/>
      <c r="G438" s="82"/>
      <c r="H438" s="83"/>
      <c r="I438" s="82"/>
      <c r="J438" s="79"/>
      <c r="K438" s="79"/>
      <c r="L438" s="79"/>
      <c r="M438" s="82"/>
      <c r="N438" s="84"/>
      <c r="O438" s="85"/>
      <c r="P438" s="86"/>
      <c r="Q438" s="86"/>
      <c r="R438" s="83"/>
      <c r="S438" s="84"/>
    </row>
    <row r="439" spans="1:19" x14ac:dyDescent="0.25">
      <c r="A439" s="75"/>
      <c r="B439" s="79"/>
      <c r="C439" s="80"/>
      <c r="D439" s="81"/>
      <c r="E439" s="81"/>
      <c r="F439" s="82"/>
      <c r="G439" s="82"/>
      <c r="H439" s="83"/>
      <c r="I439" s="82"/>
      <c r="J439" s="79"/>
      <c r="K439" s="79"/>
      <c r="L439" s="79"/>
      <c r="M439" s="82"/>
      <c r="N439" s="84"/>
      <c r="O439" s="85"/>
      <c r="P439" s="86"/>
      <c r="Q439" s="86"/>
      <c r="R439" s="83"/>
      <c r="S439" s="84"/>
    </row>
    <row r="440" spans="1:19" x14ac:dyDescent="0.25">
      <c r="A440" s="75"/>
      <c r="B440" s="79"/>
      <c r="C440" s="80"/>
      <c r="D440" s="81"/>
      <c r="E440" s="81"/>
      <c r="F440" s="82"/>
      <c r="G440" s="82"/>
      <c r="H440" s="83"/>
      <c r="I440" s="82"/>
      <c r="J440" s="79"/>
      <c r="K440" s="79"/>
      <c r="L440" s="79"/>
      <c r="M440" s="82"/>
      <c r="N440" s="84"/>
      <c r="O440" s="85"/>
      <c r="P440" s="86"/>
      <c r="Q440" s="86"/>
      <c r="R440" s="83"/>
      <c r="S440" s="84"/>
    </row>
    <row r="441" spans="1:19" x14ac:dyDescent="0.25">
      <c r="A441" s="75"/>
      <c r="B441" s="79"/>
      <c r="C441" s="80"/>
      <c r="D441" s="81"/>
      <c r="E441" s="81"/>
      <c r="F441" s="82"/>
      <c r="G441" s="82"/>
      <c r="H441" s="83"/>
      <c r="I441" s="82"/>
      <c r="J441" s="79"/>
      <c r="K441" s="79"/>
      <c r="L441" s="79"/>
      <c r="M441" s="82"/>
      <c r="N441" s="84"/>
      <c r="O441" s="85"/>
      <c r="P441" s="86"/>
      <c r="Q441" s="86"/>
      <c r="R441" s="83"/>
      <c r="S441" s="84"/>
    </row>
    <row r="442" spans="1:19" x14ac:dyDescent="0.25">
      <c r="A442" s="75"/>
      <c r="B442" s="79"/>
      <c r="C442" s="80"/>
      <c r="D442" s="81"/>
      <c r="E442" s="81"/>
      <c r="F442" s="82"/>
      <c r="G442" s="82"/>
      <c r="H442" s="83"/>
      <c r="I442" s="82"/>
      <c r="J442" s="79"/>
      <c r="K442" s="79"/>
      <c r="L442" s="79"/>
      <c r="M442" s="82"/>
      <c r="N442" s="84"/>
      <c r="O442" s="85"/>
      <c r="P442" s="86"/>
      <c r="Q442" s="86"/>
      <c r="R442" s="83"/>
      <c r="S442" s="84"/>
    </row>
    <row r="443" spans="1:19" x14ac:dyDescent="0.25">
      <c r="A443" s="75"/>
      <c r="B443" s="79"/>
      <c r="C443" s="80"/>
      <c r="D443" s="81"/>
      <c r="E443" s="81"/>
      <c r="F443" s="82"/>
      <c r="G443" s="82"/>
      <c r="H443" s="83"/>
      <c r="I443" s="82"/>
      <c r="J443" s="79"/>
      <c r="K443" s="79"/>
      <c r="L443" s="79"/>
      <c r="M443" s="82"/>
      <c r="N443" s="84"/>
      <c r="O443" s="85"/>
      <c r="P443" s="86"/>
      <c r="Q443" s="86"/>
      <c r="R443" s="83"/>
      <c r="S443" s="84"/>
    </row>
    <row r="444" spans="1:19" x14ac:dyDescent="0.25">
      <c r="A444" s="75"/>
      <c r="B444" s="79"/>
      <c r="C444" s="80"/>
      <c r="D444" s="81"/>
      <c r="E444" s="81"/>
      <c r="F444" s="82"/>
      <c r="G444" s="82"/>
      <c r="H444" s="83"/>
      <c r="I444" s="82"/>
      <c r="J444" s="79"/>
      <c r="K444" s="79"/>
      <c r="L444" s="79"/>
      <c r="M444" s="82"/>
      <c r="N444" s="84"/>
      <c r="O444" s="85"/>
      <c r="P444" s="86"/>
      <c r="Q444" s="86"/>
      <c r="R444" s="83"/>
      <c r="S444" s="84"/>
    </row>
    <row r="445" spans="1:19" x14ac:dyDescent="0.25">
      <c r="A445" s="75"/>
      <c r="B445" s="79"/>
      <c r="C445" s="80"/>
      <c r="D445" s="81"/>
      <c r="E445" s="81"/>
      <c r="F445" s="82"/>
      <c r="G445" s="82"/>
      <c r="H445" s="83"/>
      <c r="I445" s="82"/>
      <c r="J445" s="79"/>
      <c r="K445" s="79"/>
      <c r="L445" s="79"/>
      <c r="M445" s="82"/>
      <c r="N445" s="84"/>
      <c r="O445" s="85"/>
      <c r="P445" s="86"/>
      <c r="Q445" s="86"/>
      <c r="R445" s="83"/>
      <c r="S445" s="84"/>
    </row>
    <row r="446" spans="1:19" x14ac:dyDescent="0.25">
      <c r="A446" s="75"/>
      <c r="B446" s="79"/>
      <c r="C446" s="80"/>
      <c r="D446" s="81"/>
      <c r="E446" s="81"/>
      <c r="F446" s="82"/>
      <c r="G446" s="82"/>
      <c r="H446" s="83"/>
      <c r="I446" s="82"/>
      <c r="J446" s="79"/>
      <c r="K446" s="79"/>
      <c r="L446" s="79"/>
      <c r="M446" s="82"/>
      <c r="N446" s="84"/>
      <c r="O446" s="85"/>
      <c r="P446" s="86"/>
      <c r="Q446" s="86"/>
      <c r="R446" s="83"/>
      <c r="S446" s="84"/>
    </row>
    <row r="447" spans="1:19" x14ac:dyDescent="0.25">
      <c r="A447" s="75"/>
      <c r="B447" s="79"/>
      <c r="C447" s="80"/>
      <c r="D447" s="81"/>
      <c r="E447" s="81"/>
      <c r="F447" s="82"/>
      <c r="G447" s="82"/>
      <c r="H447" s="83"/>
      <c r="I447" s="82"/>
      <c r="J447" s="79"/>
      <c r="K447" s="79"/>
      <c r="L447" s="79"/>
      <c r="M447" s="82"/>
      <c r="N447" s="84"/>
      <c r="O447" s="85"/>
      <c r="P447" s="86"/>
      <c r="Q447" s="86"/>
      <c r="R447" s="83"/>
      <c r="S447" s="84"/>
    </row>
    <row r="448" spans="1:19" x14ac:dyDescent="0.25">
      <c r="A448" s="75"/>
      <c r="B448" s="79"/>
      <c r="C448" s="80"/>
      <c r="D448" s="81"/>
      <c r="E448" s="81"/>
      <c r="F448" s="82"/>
      <c r="G448" s="82"/>
      <c r="H448" s="83"/>
      <c r="I448" s="82"/>
      <c r="J448" s="79"/>
      <c r="K448" s="79"/>
      <c r="L448" s="79"/>
      <c r="M448" s="82"/>
      <c r="N448" s="84"/>
      <c r="O448" s="85"/>
      <c r="P448" s="86"/>
      <c r="Q448" s="86"/>
      <c r="R448" s="83"/>
      <c r="S448" s="84"/>
    </row>
    <row r="449" spans="1:19" x14ac:dyDescent="0.25">
      <c r="A449" s="75"/>
      <c r="B449" s="79"/>
      <c r="C449" s="80"/>
      <c r="D449" s="81"/>
      <c r="E449" s="81"/>
      <c r="F449" s="82"/>
      <c r="G449" s="82"/>
      <c r="H449" s="83"/>
      <c r="I449" s="82"/>
      <c r="J449" s="79"/>
      <c r="K449" s="79"/>
      <c r="L449" s="79"/>
      <c r="M449" s="82"/>
      <c r="N449" s="84"/>
      <c r="O449" s="85"/>
      <c r="P449" s="86"/>
      <c r="Q449" s="86"/>
      <c r="R449" s="83"/>
      <c r="S449" s="84"/>
    </row>
    <row r="450" spans="1:19" x14ac:dyDescent="0.25">
      <c r="A450" s="75"/>
      <c r="B450" s="79"/>
      <c r="C450" s="80"/>
      <c r="D450" s="81"/>
      <c r="E450" s="81"/>
      <c r="F450" s="82"/>
      <c r="G450" s="82"/>
      <c r="H450" s="83"/>
      <c r="I450" s="82"/>
      <c r="J450" s="79"/>
      <c r="K450" s="79"/>
      <c r="L450" s="79"/>
      <c r="M450" s="82"/>
      <c r="N450" s="84"/>
      <c r="O450" s="85"/>
      <c r="P450" s="86"/>
      <c r="Q450" s="86"/>
      <c r="R450" s="83"/>
      <c r="S450" s="84"/>
    </row>
    <row r="451" spans="1:19" x14ac:dyDescent="0.25">
      <c r="A451" s="75"/>
      <c r="B451" s="79"/>
      <c r="C451" s="80"/>
      <c r="D451" s="81"/>
      <c r="E451" s="81"/>
      <c r="F451" s="82"/>
      <c r="G451" s="82"/>
      <c r="H451" s="83"/>
      <c r="I451" s="82"/>
      <c r="J451" s="79"/>
      <c r="K451" s="79"/>
      <c r="L451" s="79"/>
      <c r="M451" s="82"/>
      <c r="N451" s="84"/>
      <c r="O451" s="85"/>
      <c r="P451" s="86"/>
      <c r="Q451" s="86"/>
      <c r="R451" s="83"/>
      <c r="S451" s="84"/>
    </row>
    <row r="452" spans="1:19" x14ac:dyDescent="0.25">
      <c r="A452" s="75"/>
      <c r="B452" s="79"/>
      <c r="C452" s="80"/>
      <c r="D452" s="81"/>
      <c r="E452" s="81"/>
      <c r="F452" s="82"/>
      <c r="G452" s="82"/>
      <c r="H452" s="83"/>
      <c r="I452" s="82"/>
      <c r="J452" s="79"/>
      <c r="K452" s="79"/>
      <c r="L452" s="79"/>
      <c r="M452" s="82"/>
      <c r="N452" s="84"/>
      <c r="O452" s="85"/>
      <c r="P452" s="86"/>
      <c r="Q452" s="86"/>
      <c r="R452" s="83"/>
      <c r="S452" s="84"/>
    </row>
    <row r="453" spans="1:19" x14ac:dyDescent="0.25">
      <c r="A453" s="75"/>
      <c r="B453" s="79"/>
      <c r="C453" s="80"/>
      <c r="D453" s="81"/>
      <c r="E453" s="81"/>
      <c r="F453" s="82"/>
      <c r="G453" s="82"/>
      <c r="H453" s="83"/>
      <c r="I453" s="82"/>
      <c r="J453" s="79"/>
      <c r="K453" s="79"/>
      <c r="L453" s="79"/>
      <c r="M453" s="82"/>
      <c r="N453" s="84"/>
      <c r="O453" s="85"/>
      <c r="P453" s="86"/>
      <c r="Q453" s="86"/>
      <c r="R453" s="83"/>
      <c r="S453" s="84"/>
    </row>
    <row r="454" spans="1:19" x14ac:dyDescent="0.25">
      <c r="A454" s="75"/>
      <c r="B454" s="79"/>
      <c r="C454" s="80"/>
      <c r="D454" s="81"/>
      <c r="E454" s="81"/>
      <c r="F454" s="82"/>
      <c r="G454" s="82"/>
      <c r="H454" s="83"/>
      <c r="I454" s="82"/>
      <c r="J454" s="79"/>
      <c r="K454" s="79"/>
      <c r="L454" s="79"/>
      <c r="M454" s="82"/>
      <c r="N454" s="84"/>
      <c r="O454" s="85"/>
      <c r="P454" s="86"/>
      <c r="Q454" s="86"/>
      <c r="R454" s="83"/>
      <c r="S454" s="84"/>
    </row>
    <row r="455" spans="1:19" x14ac:dyDescent="0.25">
      <c r="A455" s="75"/>
      <c r="B455" s="79"/>
      <c r="C455" s="80"/>
      <c r="D455" s="81"/>
      <c r="E455" s="81"/>
      <c r="F455" s="82"/>
      <c r="G455" s="82"/>
      <c r="H455" s="83"/>
      <c r="I455" s="82"/>
      <c r="J455" s="79"/>
      <c r="K455" s="79"/>
      <c r="L455" s="79"/>
      <c r="M455" s="82"/>
      <c r="N455" s="84"/>
      <c r="O455" s="85"/>
      <c r="P455" s="86"/>
      <c r="Q455" s="86"/>
      <c r="R455" s="83"/>
      <c r="S455" s="84"/>
    </row>
    <row r="456" spans="1:19" x14ac:dyDescent="0.25">
      <c r="A456" s="75"/>
      <c r="B456" s="79"/>
      <c r="C456" s="80"/>
      <c r="D456" s="81"/>
      <c r="E456" s="81"/>
      <c r="F456" s="82"/>
      <c r="G456" s="82"/>
      <c r="H456" s="83"/>
      <c r="I456" s="82"/>
      <c r="J456" s="79"/>
      <c r="K456" s="79"/>
      <c r="L456" s="79"/>
      <c r="M456" s="82"/>
      <c r="N456" s="84"/>
      <c r="O456" s="85"/>
      <c r="P456" s="86"/>
      <c r="Q456" s="86"/>
      <c r="R456" s="83"/>
      <c r="S456" s="84"/>
    </row>
    <row r="457" spans="1:19" x14ac:dyDescent="0.25">
      <c r="A457" s="75"/>
      <c r="B457" s="79"/>
      <c r="C457" s="80"/>
      <c r="D457" s="81"/>
      <c r="E457" s="81"/>
      <c r="F457" s="82"/>
      <c r="G457" s="82"/>
      <c r="H457" s="83"/>
      <c r="I457" s="82"/>
      <c r="J457" s="79"/>
      <c r="K457" s="79"/>
      <c r="L457" s="79"/>
      <c r="M457" s="82"/>
      <c r="N457" s="84"/>
      <c r="O457" s="85"/>
      <c r="P457" s="86"/>
      <c r="Q457" s="86"/>
      <c r="R457" s="83"/>
      <c r="S457" s="84"/>
    </row>
    <row r="458" spans="1:19" x14ac:dyDescent="0.25">
      <c r="A458" s="75"/>
      <c r="B458" s="79"/>
      <c r="C458" s="80"/>
      <c r="D458" s="81"/>
      <c r="E458" s="81"/>
      <c r="F458" s="82"/>
      <c r="G458" s="82"/>
      <c r="H458" s="83"/>
      <c r="I458" s="82"/>
      <c r="J458" s="79"/>
      <c r="K458" s="79"/>
      <c r="L458" s="79"/>
      <c r="M458" s="82"/>
      <c r="N458" s="84"/>
      <c r="O458" s="85"/>
      <c r="P458" s="86"/>
      <c r="Q458" s="86"/>
      <c r="R458" s="83"/>
      <c r="S458" s="84"/>
    </row>
    <row r="459" spans="1:19" x14ac:dyDescent="0.25">
      <c r="A459" s="75"/>
      <c r="B459" s="79"/>
      <c r="C459" s="80"/>
      <c r="D459" s="81"/>
      <c r="E459" s="81"/>
      <c r="F459" s="82"/>
      <c r="G459" s="82"/>
      <c r="H459" s="83"/>
      <c r="I459" s="82"/>
      <c r="J459" s="79"/>
      <c r="K459" s="79"/>
      <c r="L459" s="79"/>
      <c r="M459" s="82"/>
      <c r="N459" s="84"/>
      <c r="O459" s="85"/>
      <c r="P459" s="86"/>
      <c r="Q459" s="86"/>
      <c r="R459" s="83"/>
      <c r="S459" s="84"/>
    </row>
    <row r="460" spans="1:19" x14ac:dyDescent="0.25">
      <c r="A460" s="75"/>
      <c r="B460" s="79"/>
      <c r="C460" s="80"/>
      <c r="D460" s="81"/>
      <c r="E460" s="81"/>
      <c r="F460" s="82"/>
      <c r="G460" s="82"/>
      <c r="H460" s="83"/>
      <c r="I460" s="82"/>
      <c r="J460" s="79"/>
      <c r="K460" s="79"/>
      <c r="L460" s="79"/>
      <c r="M460" s="82"/>
      <c r="N460" s="84"/>
      <c r="O460" s="85"/>
      <c r="P460" s="86"/>
      <c r="Q460" s="86"/>
      <c r="R460" s="83"/>
      <c r="S460" s="84"/>
    </row>
    <row r="461" spans="1:19" x14ac:dyDescent="0.25">
      <c r="A461" s="75"/>
      <c r="B461" s="79"/>
      <c r="C461" s="80"/>
      <c r="D461" s="81"/>
      <c r="E461" s="81"/>
      <c r="F461" s="82"/>
      <c r="G461" s="82"/>
      <c r="H461" s="83"/>
      <c r="I461" s="82"/>
      <c r="J461" s="79"/>
      <c r="K461" s="79"/>
      <c r="L461" s="79"/>
      <c r="M461" s="82"/>
      <c r="N461" s="84"/>
      <c r="O461" s="85"/>
      <c r="P461" s="86"/>
      <c r="Q461" s="86"/>
      <c r="R461" s="83"/>
      <c r="S461" s="84"/>
    </row>
    <row r="462" spans="1:19" x14ac:dyDescent="0.25">
      <c r="A462" s="75"/>
      <c r="B462" s="79"/>
      <c r="C462" s="80"/>
      <c r="D462" s="81"/>
      <c r="E462" s="81"/>
      <c r="F462" s="82"/>
      <c r="G462" s="82"/>
      <c r="H462" s="83"/>
      <c r="I462" s="82"/>
      <c r="J462" s="79"/>
      <c r="K462" s="79"/>
      <c r="L462" s="79"/>
      <c r="M462" s="82"/>
      <c r="N462" s="84"/>
      <c r="O462" s="85"/>
      <c r="P462" s="86"/>
      <c r="Q462" s="86"/>
      <c r="R462" s="83"/>
      <c r="S462" s="84"/>
    </row>
    <row r="463" spans="1:19" x14ac:dyDescent="0.25">
      <c r="A463" s="75"/>
      <c r="B463" s="79"/>
      <c r="C463" s="80"/>
      <c r="D463" s="81"/>
      <c r="E463" s="81"/>
      <c r="F463" s="82"/>
      <c r="G463" s="82"/>
      <c r="H463" s="83"/>
      <c r="I463" s="82"/>
      <c r="J463" s="79"/>
      <c r="K463" s="79"/>
      <c r="L463" s="79"/>
      <c r="M463" s="82"/>
      <c r="N463" s="84"/>
      <c r="O463" s="85"/>
      <c r="P463" s="86"/>
      <c r="Q463" s="86"/>
      <c r="R463" s="83"/>
      <c r="S463" s="84"/>
    </row>
    <row r="464" spans="1:19" x14ac:dyDescent="0.25">
      <c r="A464" s="75"/>
      <c r="B464" s="79"/>
      <c r="C464" s="80"/>
      <c r="D464" s="81"/>
      <c r="E464" s="81"/>
      <c r="F464" s="82"/>
      <c r="G464" s="82"/>
      <c r="H464" s="83"/>
      <c r="I464" s="82"/>
      <c r="J464" s="79"/>
      <c r="K464" s="79"/>
      <c r="L464" s="79"/>
      <c r="M464" s="82"/>
      <c r="N464" s="84"/>
      <c r="O464" s="85"/>
      <c r="P464" s="86"/>
      <c r="Q464" s="86"/>
      <c r="R464" s="83"/>
      <c r="S464" s="84"/>
    </row>
    <row r="465" spans="1:19" x14ac:dyDescent="0.25">
      <c r="A465" s="75"/>
      <c r="B465" s="79"/>
      <c r="C465" s="80"/>
      <c r="D465" s="81"/>
      <c r="E465" s="81"/>
      <c r="F465" s="82"/>
      <c r="G465" s="82"/>
      <c r="H465" s="83"/>
      <c r="I465" s="82"/>
      <c r="J465" s="79"/>
      <c r="K465" s="79"/>
      <c r="L465" s="79"/>
      <c r="M465" s="82"/>
      <c r="N465" s="84"/>
      <c r="O465" s="85"/>
      <c r="P465" s="86"/>
      <c r="Q465" s="86"/>
      <c r="R465" s="83"/>
      <c r="S465" s="84"/>
    </row>
    <row r="466" spans="1:19" x14ac:dyDescent="0.25">
      <c r="A466" s="75"/>
      <c r="B466" s="79"/>
      <c r="C466" s="80"/>
      <c r="D466" s="81"/>
      <c r="E466" s="81"/>
      <c r="F466" s="82"/>
      <c r="G466" s="82"/>
      <c r="H466" s="83"/>
      <c r="I466" s="82"/>
      <c r="J466" s="79"/>
      <c r="K466" s="79"/>
      <c r="L466" s="79"/>
      <c r="M466" s="82"/>
      <c r="N466" s="84"/>
      <c r="O466" s="85"/>
      <c r="P466" s="86"/>
      <c r="Q466" s="86"/>
      <c r="R466" s="83"/>
      <c r="S466" s="84"/>
    </row>
    <row r="467" spans="1:19" x14ac:dyDescent="0.25">
      <c r="A467" s="75"/>
      <c r="B467" s="79"/>
      <c r="C467" s="80"/>
      <c r="D467" s="81"/>
      <c r="E467" s="81"/>
      <c r="F467" s="82"/>
      <c r="G467" s="82"/>
      <c r="H467" s="83"/>
      <c r="I467" s="82"/>
      <c r="J467" s="79"/>
      <c r="K467" s="79"/>
      <c r="L467" s="79"/>
      <c r="M467" s="82"/>
      <c r="N467" s="84"/>
      <c r="O467" s="85"/>
      <c r="P467" s="86"/>
      <c r="Q467" s="86"/>
      <c r="R467" s="83"/>
      <c r="S467" s="84"/>
    </row>
    <row r="468" spans="1:19" x14ac:dyDescent="0.25">
      <c r="A468" s="75"/>
      <c r="B468" s="79"/>
      <c r="C468" s="80"/>
      <c r="D468" s="81"/>
      <c r="E468" s="81"/>
      <c r="F468" s="82"/>
      <c r="G468" s="82"/>
      <c r="H468" s="83"/>
      <c r="I468" s="82"/>
      <c r="J468" s="79"/>
      <c r="K468" s="79"/>
      <c r="L468" s="79"/>
      <c r="M468" s="82"/>
      <c r="N468" s="84"/>
      <c r="O468" s="85"/>
      <c r="P468" s="86"/>
      <c r="Q468" s="86"/>
      <c r="R468" s="83"/>
      <c r="S468" s="84"/>
    </row>
    <row r="469" spans="1:19" x14ac:dyDescent="0.25">
      <c r="A469" s="75"/>
      <c r="B469" s="79"/>
      <c r="C469" s="80"/>
      <c r="D469" s="81"/>
      <c r="E469" s="81"/>
      <c r="F469" s="82"/>
      <c r="G469" s="82"/>
      <c r="H469" s="83"/>
      <c r="I469" s="82"/>
      <c r="J469" s="79"/>
      <c r="K469" s="79"/>
      <c r="L469" s="79"/>
      <c r="M469" s="82"/>
      <c r="N469" s="84"/>
      <c r="O469" s="85"/>
      <c r="P469" s="86"/>
      <c r="Q469" s="86"/>
      <c r="R469" s="83"/>
      <c r="S469" s="84"/>
    </row>
    <row r="470" spans="1:19" x14ac:dyDescent="0.25">
      <c r="A470" s="75"/>
      <c r="B470" s="79"/>
      <c r="C470" s="80"/>
      <c r="D470" s="81"/>
      <c r="E470" s="81"/>
      <c r="F470" s="82"/>
      <c r="G470" s="82"/>
      <c r="H470" s="83"/>
      <c r="I470" s="82"/>
      <c r="J470" s="79"/>
      <c r="K470" s="79"/>
      <c r="L470" s="79"/>
      <c r="M470" s="82"/>
      <c r="N470" s="84"/>
      <c r="O470" s="85"/>
      <c r="P470" s="86"/>
      <c r="Q470" s="86"/>
      <c r="R470" s="83"/>
      <c r="S470" s="84"/>
    </row>
    <row r="471" spans="1:19" x14ac:dyDescent="0.25">
      <c r="A471" s="75"/>
      <c r="B471" s="79"/>
      <c r="C471" s="80"/>
      <c r="D471" s="81"/>
      <c r="E471" s="81"/>
      <c r="F471" s="82"/>
      <c r="G471" s="82"/>
      <c r="H471" s="83"/>
      <c r="I471" s="82"/>
      <c r="J471" s="79"/>
      <c r="K471" s="79"/>
      <c r="L471" s="79"/>
      <c r="M471" s="82"/>
      <c r="N471" s="84"/>
      <c r="O471" s="85"/>
      <c r="P471" s="86"/>
      <c r="Q471" s="86"/>
      <c r="R471" s="83"/>
      <c r="S471" s="84"/>
    </row>
    <row r="472" spans="1:19" x14ac:dyDescent="0.25">
      <c r="A472" s="75"/>
      <c r="B472" s="79"/>
      <c r="C472" s="80"/>
      <c r="D472" s="81"/>
      <c r="E472" s="81"/>
      <c r="F472" s="82"/>
      <c r="G472" s="82"/>
      <c r="H472" s="83"/>
      <c r="I472" s="82"/>
      <c r="J472" s="79"/>
      <c r="K472" s="79"/>
      <c r="L472" s="79"/>
      <c r="M472" s="82"/>
      <c r="N472" s="84"/>
      <c r="O472" s="85"/>
      <c r="P472" s="86"/>
      <c r="Q472" s="86"/>
      <c r="R472" s="83"/>
      <c r="S472" s="84"/>
    </row>
    <row r="473" spans="1:19" x14ac:dyDescent="0.25">
      <c r="A473" s="75"/>
      <c r="B473" s="79"/>
      <c r="C473" s="80"/>
      <c r="D473" s="81"/>
      <c r="E473" s="81"/>
      <c r="F473" s="82"/>
      <c r="G473" s="82"/>
      <c r="H473" s="83"/>
      <c r="I473" s="82"/>
      <c r="J473" s="79"/>
      <c r="K473" s="79"/>
      <c r="L473" s="79"/>
      <c r="M473" s="82"/>
      <c r="N473" s="84"/>
      <c r="O473" s="85"/>
      <c r="P473" s="86"/>
      <c r="Q473" s="86"/>
      <c r="R473" s="83"/>
      <c r="S473" s="84"/>
    </row>
    <row r="474" spans="1:19" x14ac:dyDescent="0.25">
      <c r="A474" s="75"/>
      <c r="B474" s="79"/>
      <c r="C474" s="80"/>
      <c r="D474" s="81"/>
      <c r="E474" s="81"/>
      <c r="F474" s="82"/>
      <c r="G474" s="82"/>
      <c r="H474" s="83"/>
      <c r="I474" s="82"/>
      <c r="J474" s="79"/>
      <c r="K474" s="79"/>
      <c r="L474" s="79"/>
      <c r="M474" s="82"/>
      <c r="N474" s="84"/>
      <c r="O474" s="85"/>
      <c r="P474" s="86"/>
      <c r="Q474" s="86"/>
      <c r="R474" s="83"/>
      <c r="S474" s="84"/>
    </row>
    <row r="475" spans="1:19" x14ac:dyDescent="0.25">
      <c r="A475" s="75"/>
      <c r="B475" s="79"/>
      <c r="C475" s="80"/>
      <c r="D475" s="81"/>
      <c r="E475" s="81"/>
      <c r="F475" s="82"/>
      <c r="G475" s="82"/>
      <c r="H475" s="83"/>
      <c r="I475" s="82"/>
      <c r="J475" s="79"/>
      <c r="K475" s="79"/>
      <c r="L475" s="79"/>
      <c r="M475" s="82"/>
      <c r="N475" s="84"/>
      <c r="O475" s="85"/>
      <c r="P475" s="86"/>
      <c r="Q475" s="86"/>
      <c r="R475" s="83"/>
      <c r="S475" s="84"/>
    </row>
    <row r="476" spans="1:19" x14ac:dyDescent="0.25">
      <c r="A476" s="75"/>
      <c r="B476" s="79"/>
      <c r="C476" s="80"/>
      <c r="D476" s="81"/>
      <c r="E476" s="81"/>
      <c r="F476" s="82"/>
      <c r="G476" s="82"/>
      <c r="H476" s="83"/>
      <c r="I476" s="82"/>
      <c r="J476" s="79"/>
      <c r="K476" s="79"/>
      <c r="L476" s="79"/>
      <c r="M476" s="82"/>
      <c r="N476" s="84"/>
      <c r="O476" s="85"/>
      <c r="P476" s="86"/>
      <c r="Q476" s="86"/>
      <c r="R476" s="83"/>
      <c r="S476" s="84"/>
    </row>
    <row r="477" spans="1:19" x14ac:dyDescent="0.25">
      <c r="A477" s="75"/>
      <c r="B477" s="79"/>
      <c r="C477" s="80"/>
      <c r="D477" s="81"/>
      <c r="E477" s="81"/>
      <c r="F477" s="82"/>
      <c r="G477" s="82"/>
      <c r="H477" s="83"/>
      <c r="I477" s="82"/>
      <c r="J477" s="79"/>
      <c r="K477" s="79"/>
      <c r="L477" s="79"/>
      <c r="M477" s="82"/>
      <c r="N477" s="84"/>
      <c r="O477" s="85"/>
      <c r="P477" s="86"/>
      <c r="Q477" s="86"/>
      <c r="R477" s="83"/>
      <c r="S477" s="84"/>
    </row>
    <row r="478" spans="1:19" x14ac:dyDescent="0.25">
      <c r="A478" s="75"/>
      <c r="B478" s="79"/>
      <c r="C478" s="80"/>
      <c r="D478" s="81"/>
      <c r="E478" s="81"/>
      <c r="F478" s="82"/>
      <c r="G478" s="82"/>
      <c r="H478" s="83"/>
      <c r="I478" s="82"/>
      <c r="J478" s="79"/>
      <c r="K478" s="79"/>
      <c r="L478" s="79"/>
      <c r="M478" s="82"/>
      <c r="N478" s="84"/>
      <c r="O478" s="85"/>
      <c r="P478" s="86"/>
      <c r="Q478" s="86"/>
      <c r="R478" s="83"/>
      <c r="S478" s="84"/>
    </row>
    <row r="479" spans="1:19" x14ac:dyDescent="0.25">
      <c r="A479" s="75"/>
      <c r="B479" s="79"/>
      <c r="C479" s="80"/>
      <c r="D479" s="81"/>
      <c r="E479" s="81"/>
      <c r="F479" s="82"/>
      <c r="G479" s="82"/>
      <c r="H479" s="83"/>
      <c r="I479" s="82"/>
      <c r="J479" s="79"/>
      <c r="K479" s="79"/>
      <c r="L479" s="79"/>
      <c r="M479" s="82"/>
      <c r="N479" s="84"/>
      <c r="O479" s="85"/>
      <c r="P479" s="86"/>
      <c r="Q479" s="86"/>
      <c r="R479" s="83"/>
      <c r="S479" s="84"/>
    </row>
    <row r="480" spans="1:19" x14ac:dyDescent="0.25">
      <c r="A480" s="75"/>
      <c r="B480" s="79"/>
      <c r="C480" s="80"/>
      <c r="D480" s="81"/>
      <c r="E480" s="81"/>
      <c r="F480" s="82"/>
      <c r="G480" s="82"/>
      <c r="H480" s="83"/>
      <c r="I480" s="82"/>
      <c r="J480" s="79"/>
      <c r="K480" s="79"/>
      <c r="L480" s="79"/>
      <c r="M480" s="82"/>
      <c r="N480" s="84"/>
      <c r="O480" s="85"/>
      <c r="P480" s="86"/>
      <c r="Q480" s="86"/>
      <c r="R480" s="83"/>
      <c r="S480" s="84"/>
    </row>
    <row r="481" spans="1:19" x14ac:dyDescent="0.25">
      <c r="A481" s="75"/>
      <c r="B481" s="79"/>
      <c r="C481" s="80"/>
      <c r="D481" s="81"/>
      <c r="E481" s="81"/>
      <c r="F481" s="82"/>
      <c r="G481" s="82"/>
      <c r="H481" s="83"/>
      <c r="I481" s="82"/>
      <c r="J481" s="79"/>
      <c r="K481" s="79"/>
      <c r="L481" s="79"/>
      <c r="M481" s="82"/>
      <c r="N481" s="84"/>
      <c r="O481" s="85"/>
      <c r="P481" s="86"/>
      <c r="Q481" s="86"/>
      <c r="R481" s="83"/>
      <c r="S481" s="84"/>
    </row>
    <row r="482" spans="1:19" x14ac:dyDescent="0.25">
      <c r="A482" s="75"/>
      <c r="B482" s="79"/>
      <c r="C482" s="80"/>
      <c r="D482" s="81"/>
      <c r="E482" s="81"/>
      <c r="F482" s="82"/>
      <c r="G482" s="82"/>
      <c r="H482" s="83"/>
      <c r="I482" s="82"/>
      <c r="J482" s="79"/>
      <c r="K482" s="79"/>
      <c r="L482" s="79"/>
      <c r="M482" s="82"/>
      <c r="N482" s="84"/>
      <c r="O482" s="85"/>
      <c r="P482" s="86"/>
      <c r="Q482" s="86"/>
      <c r="R482" s="83"/>
      <c r="S482" s="84"/>
    </row>
    <row r="483" spans="1:19" x14ac:dyDescent="0.25">
      <c r="A483" s="75"/>
      <c r="B483" s="79"/>
      <c r="C483" s="80"/>
      <c r="D483" s="81"/>
      <c r="E483" s="81"/>
      <c r="F483" s="82"/>
      <c r="G483" s="82"/>
      <c r="H483" s="83"/>
      <c r="I483" s="82"/>
      <c r="J483" s="79"/>
      <c r="K483" s="79"/>
      <c r="L483" s="79"/>
      <c r="M483" s="82"/>
      <c r="N483" s="84"/>
      <c r="O483" s="85"/>
      <c r="P483" s="86"/>
      <c r="Q483" s="86"/>
      <c r="R483" s="83"/>
      <c r="S483" s="84"/>
    </row>
    <row r="484" spans="1:19" x14ac:dyDescent="0.25">
      <c r="A484" s="75"/>
      <c r="B484" s="79"/>
      <c r="C484" s="80"/>
      <c r="D484" s="81"/>
      <c r="E484" s="81"/>
      <c r="F484" s="82"/>
      <c r="G484" s="82"/>
      <c r="H484" s="83"/>
      <c r="I484" s="82"/>
      <c r="J484" s="79"/>
      <c r="K484" s="79"/>
      <c r="L484" s="79"/>
      <c r="M484" s="82"/>
      <c r="N484" s="84"/>
      <c r="O484" s="85"/>
      <c r="P484" s="86"/>
      <c r="Q484" s="86"/>
      <c r="R484" s="83"/>
      <c r="S484" s="84"/>
    </row>
    <row r="485" spans="1:19" x14ac:dyDescent="0.25">
      <c r="A485" s="75"/>
      <c r="B485" s="79"/>
      <c r="C485" s="80"/>
      <c r="D485" s="81"/>
      <c r="E485" s="81"/>
      <c r="F485" s="82"/>
      <c r="G485" s="82"/>
      <c r="H485" s="83"/>
      <c r="I485" s="82"/>
      <c r="J485" s="79"/>
      <c r="K485" s="79"/>
      <c r="L485" s="79"/>
      <c r="M485" s="82"/>
      <c r="N485" s="84"/>
      <c r="O485" s="85"/>
      <c r="P485" s="86"/>
      <c r="Q485" s="86"/>
      <c r="R485" s="83"/>
      <c r="S485" s="84"/>
    </row>
    <row r="486" spans="1:19" x14ac:dyDescent="0.25">
      <c r="A486" s="75"/>
      <c r="B486" s="79"/>
      <c r="C486" s="80"/>
      <c r="D486" s="81"/>
      <c r="E486" s="81"/>
      <c r="F486" s="82"/>
      <c r="G486" s="82"/>
      <c r="H486" s="83"/>
      <c r="I486" s="82"/>
      <c r="J486" s="79"/>
      <c r="K486" s="79"/>
      <c r="L486" s="79"/>
      <c r="M486" s="82"/>
      <c r="N486" s="84"/>
      <c r="O486" s="85"/>
      <c r="P486" s="86"/>
      <c r="Q486" s="86"/>
      <c r="R486" s="83"/>
      <c r="S486" s="84"/>
    </row>
    <row r="487" spans="1:19" x14ac:dyDescent="0.25">
      <c r="A487" s="75"/>
      <c r="B487" s="79"/>
      <c r="C487" s="80"/>
      <c r="D487" s="81"/>
      <c r="E487" s="81"/>
      <c r="F487" s="82"/>
      <c r="G487" s="82"/>
      <c r="H487" s="83"/>
      <c r="I487" s="82"/>
      <c r="J487" s="79"/>
      <c r="K487" s="79"/>
      <c r="L487" s="79"/>
      <c r="M487" s="82"/>
      <c r="N487" s="84"/>
      <c r="O487" s="85"/>
      <c r="P487" s="86"/>
      <c r="Q487" s="86"/>
      <c r="R487" s="83"/>
      <c r="S487" s="84"/>
    </row>
    <row r="488" spans="1:19" x14ac:dyDescent="0.25">
      <c r="A488" s="75"/>
      <c r="B488" s="79"/>
      <c r="C488" s="80"/>
      <c r="D488" s="81"/>
      <c r="E488" s="81"/>
      <c r="F488" s="82"/>
      <c r="G488" s="82"/>
      <c r="H488" s="83"/>
      <c r="I488" s="82"/>
      <c r="J488" s="79"/>
      <c r="K488" s="79"/>
      <c r="L488" s="79"/>
      <c r="M488" s="82"/>
      <c r="N488" s="84"/>
      <c r="O488" s="85"/>
      <c r="P488" s="86"/>
      <c r="Q488" s="86"/>
      <c r="R488" s="83"/>
      <c r="S488" s="84"/>
    </row>
    <row r="489" spans="1:19" x14ac:dyDescent="0.25">
      <c r="A489" s="75"/>
      <c r="B489" s="79"/>
      <c r="C489" s="80"/>
      <c r="D489" s="81"/>
      <c r="E489" s="81"/>
      <c r="F489" s="82"/>
      <c r="G489" s="82"/>
      <c r="H489" s="83"/>
      <c r="I489" s="82"/>
      <c r="J489" s="79"/>
      <c r="K489" s="79"/>
      <c r="L489" s="79"/>
      <c r="M489" s="82"/>
      <c r="N489" s="84"/>
      <c r="O489" s="85"/>
      <c r="P489" s="86"/>
      <c r="Q489" s="86"/>
      <c r="R489" s="83"/>
      <c r="S489" s="84"/>
    </row>
    <row r="490" spans="1:19" x14ac:dyDescent="0.25">
      <c r="A490" s="75"/>
      <c r="B490" s="79"/>
      <c r="C490" s="80"/>
      <c r="D490" s="81"/>
      <c r="E490" s="81"/>
      <c r="F490" s="82"/>
      <c r="G490" s="82"/>
      <c r="H490" s="83"/>
      <c r="I490" s="82"/>
      <c r="J490" s="79"/>
      <c r="K490" s="79"/>
      <c r="L490" s="79"/>
      <c r="M490" s="82"/>
      <c r="N490" s="84"/>
      <c r="O490" s="85"/>
      <c r="P490" s="86"/>
      <c r="Q490" s="86"/>
      <c r="R490" s="83"/>
      <c r="S490" s="84"/>
    </row>
    <row r="491" spans="1:19" x14ac:dyDescent="0.25">
      <c r="A491" s="75"/>
      <c r="B491" s="79"/>
      <c r="C491" s="80"/>
      <c r="D491" s="81"/>
      <c r="E491" s="81"/>
      <c r="F491" s="82"/>
      <c r="G491" s="82"/>
      <c r="H491" s="83"/>
      <c r="I491" s="82"/>
      <c r="J491" s="79"/>
      <c r="K491" s="79"/>
      <c r="L491" s="79"/>
      <c r="M491" s="82"/>
      <c r="N491" s="84"/>
      <c r="O491" s="85"/>
      <c r="P491" s="86"/>
      <c r="Q491" s="86"/>
      <c r="R491" s="83"/>
      <c r="S491" s="84"/>
    </row>
    <row r="492" spans="1:19" x14ac:dyDescent="0.25">
      <c r="A492" s="75"/>
      <c r="B492" s="79"/>
      <c r="C492" s="80"/>
      <c r="D492" s="81"/>
      <c r="E492" s="81"/>
      <c r="F492" s="82"/>
      <c r="G492" s="82"/>
      <c r="H492" s="83"/>
      <c r="I492" s="82"/>
      <c r="J492" s="79"/>
      <c r="K492" s="79"/>
      <c r="L492" s="79"/>
      <c r="M492" s="82"/>
      <c r="N492" s="84"/>
      <c r="O492" s="85"/>
      <c r="P492" s="86"/>
      <c r="Q492" s="86"/>
      <c r="R492" s="83"/>
      <c r="S492" s="84"/>
    </row>
    <row r="493" spans="1:19" x14ac:dyDescent="0.25">
      <c r="A493" s="75"/>
      <c r="B493" s="79"/>
      <c r="C493" s="80"/>
      <c r="D493" s="81"/>
      <c r="E493" s="81"/>
      <c r="F493" s="82"/>
      <c r="G493" s="82"/>
      <c r="H493" s="83"/>
      <c r="I493" s="82"/>
      <c r="J493" s="79"/>
      <c r="K493" s="79"/>
      <c r="L493" s="79"/>
      <c r="M493" s="82"/>
      <c r="N493" s="84"/>
      <c r="O493" s="85"/>
      <c r="P493" s="86"/>
      <c r="Q493" s="86"/>
      <c r="R493" s="83"/>
      <c r="S493" s="84"/>
    </row>
    <row r="494" spans="1:19" x14ac:dyDescent="0.25">
      <c r="A494" s="75"/>
      <c r="B494" s="79"/>
      <c r="C494" s="80"/>
      <c r="D494" s="81"/>
      <c r="E494" s="81"/>
      <c r="F494" s="82"/>
      <c r="G494" s="82"/>
      <c r="H494" s="83"/>
      <c r="I494" s="82"/>
      <c r="J494" s="79"/>
      <c r="K494" s="79"/>
      <c r="L494" s="79"/>
      <c r="M494" s="82"/>
      <c r="N494" s="84"/>
      <c r="O494" s="85"/>
      <c r="P494" s="86"/>
      <c r="Q494" s="86"/>
      <c r="R494" s="83"/>
      <c r="S494" s="84"/>
    </row>
    <row r="495" spans="1:19" x14ac:dyDescent="0.25">
      <c r="A495" s="75"/>
      <c r="B495" s="79"/>
      <c r="C495" s="80"/>
      <c r="D495" s="81"/>
      <c r="E495" s="81"/>
      <c r="F495" s="82"/>
      <c r="G495" s="82"/>
      <c r="H495" s="83"/>
      <c r="I495" s="82"/>
      <c r="J495" s="79"/>
      <c r="K495" s="79"/>
      <c r="L495" s="79"/>
      <c r="M495" s="82"/>
      <c r="N495" s="84"/>
      <c r="O495" s="85"/>
      <c r="P495" s="86"/>
      <c r="Q495" s="86"/>
      <c r="R495" s="83"/>
      <c r="S495" s="84"/>
    </row>
    <row r="496" spans="1:19" x14ac:dyDescent="0.25">
      <c r="A496" s="75"/>
      <c r="B496" s="79"/>
      <c r="C496" s="80"/>
      <c r="D496" s="81"/>
      <c r="E496" s="81"/>
      <c r="F496" s="82"/>
      <c r="G496" s="82"/>
      <c r="H496" s="83"/>
      <c r="I496" s="82"/>
      <c r="J496" s="79"/>
      <c r="K496" s="79"/>
      <c r="L496" s="79"/>
      <c r="M496" s="82"/>
      <c r="N496" s="84"/>
      <c r="O496" s="85"/>
      <c r="P496" s="86"/>
      <c r="Q496" s="86"/>
      <c r="R496" s="83"/>
      <c r="S496" s="84"/>
    </row>
    <row r="497" spans="1:19" x14ac:dyDescent="0.25">
      <c r="A497" s="75"/>
      <c r="B497" s="79"/>
      <c r="C497" s="80"/>
      <c r="D497" s="81"/>
      <c r="E497" s="81"/>
      <c r="F497" s="82"/>
      <c r="G497" s="82"/>
      <c r="H497" s="83"/>
      <c r="I497" s="82"/>
      <c r="J497" s="79"/>
      <c r="K497" s="79"/>
      <c r="L497" s="79"/>
      <c r="M497" s="82"/>
      <c r="N497" s="84"/>
      <c r="O497" s="85"/>
      <c r="P497" s="86"/>
      <c r="Q497" s="86"/>
      <c r="R497" s="83"/>
      <c r="S497" s="84"/>
    </row>
    <row r="498" spans="1:19" x14ac:dyDescent="0.25">
      <c r="A498" s="75"/>
      <c r="B498" s="79"/>
      <c r="C498" s="80"/>
      <c r="D498" s="81"/>
      <c r="E498" s="81"/>
      <c r="F498" s="82"/>
      <c r="G498" s="82"/>
      <c r="H498" s="83"/>
      <c r="I498" s="82"/>
      <c r="J498" s="79"/>
      <c r="K498" s="79"/>
      <c r="L498" s="79"/>
      <c r="M498" s="82"/>
      <c r="N498" s="84"/>
      <c r="O498" s="85"/>
      <c r="P498" s="86"/>
      <c r="Q498" s="86"/>
      <c r="R498" s="83"/>
      <c r="S498" s="84"/>
    </row>
    <row r="499" spans="1:19" x14ac:dyDescent="0.25">
      <c r="A499" s="75"/>
      <c r="B499" s="79"/>
      <c r="C499" s="80"/>
      <c r="D499" s="81"/>
      <c r="E499" s="81"/>
      <c r="F499" s="82"/>
      <c r="G499" s="82"/>
      <c r="H499" s="83"/>
      <c r="I499" s="82"/>
      <c r="J499" s="79"/>
      <c r="K499" s="79"/>
      <c r="L499" s="79"/>
      <c r="M499" s="82"/>
      <c r="N499" s="84"/>
      <c r="O499" s="85"/>
      <c r="P499" s="86"/>
      <c r="Q499" s="86"/>
      <c r="R499" s="83"/>
      <c r="S499" s="84"/>
    </row>
    <row r="500" spans="1:19" x14ac:dyDescent="0.25">
      <c r="A500" s="75"/>
      <c r="B500" s="79"/>
      <c r="C500" s="80"/>
      <c r="D500" s="81"/>
      <c r="E500" s="81"/>
      <c r="F500" s="82"/>
      <c r="G500" s="82"/>
      <c r="H500" s="83"/>
      <c r="I500" s="82"/>
      <c r="J500" s="79"/>
      <c r="K500" s="79"/>
      <c r="L500" s="79"/>
      <c r="M500" s="82"/>
      <c r="N500" s="84"/>
      <c r="O500" s="85"/>
      <c r="P500" s="86"/>
      <c r="Q500" s="86"/>
      <c r="R500" s="83"/>
      <c r="S500" s="84"/>
    </row>
    <row r="501" spans="1:19" x14ac:dyDescent="0.25">
      <c r="A501" s="75"/>
      <c r="B501" s="79"/>
      <c r="C501" s="80"/>
      <c r="D501" s="81"/>
      <c r="E501" s="81"/>
      <c r="F501" s="82"/>
      <c r="G501" s="82"/>
      <c r="H501" s="83"/>
      <c r="I501" s="82"/>
      <c r="J501" s="79"/>
      <c r="K501" s="79"/>
      <c r="L501" s="79"/>
      <c r="M501" s="82"/>
      <c r="N501" s="84"/>
      <c r="O501" s="85"/>
      <c r="P501" s="86"/>
      <c r="Q501" s="86"/>
      <c r="R501" s="83"/>
      <c r="S501" s="84"/>
    </row>
    <row r="502" spans="1:19" x14ac:dyDescent="0.25">
      <c r="A502" s="75"/>
      <c r="B502" s="79"/>
      <c r="C502" s="80"/>
      <c r="D502" s="81"/>
      <c r="E502" s="81"/>
      <c r="F502" s="82"/>
      <c r="G502" s="82"/>
      <c r="H502" s="83"/>
      <c r="I502" s="82"/>
      <c r="J502" s="79"/>
      <c r="K502" s="79"/>
      <c r="L502" s="79"/>
      <c r="M502" s="82"/>
      <c r="N502" s="84"/>
      <c r="O502" s="85"/>
      <c r="P502" s="86"/>
      <c r="Q502" s="86"/>
      <c r="R502" s="83"/>
      <c r="S502" s="84"/>
    </row>
    <row r="503" spans="1:19" x14ac:dyDescent="0.25">
      <c r="A503" s="75"/>
      <c r="B503" s="79"/>
      <c r="C503" s="80"/>
      <c r="D503" s="81"/>
      <c r="E503" s="81"/>
      <c r="F503" s="82"/>
      <c r="G503" s="82"/>
      <c r="H503" s="83"/>
      <c r="I503" s="82"/>
      <c r="J503" s="79"/>
      <c r="K503" s="79"/>
      <c r="L503" s="79"/>
      <c r="M503" s="82"/>
      <c r="N503" s="84"/>
      <c r="O503" s="85"/>
      <c r="P503" s="86"/>
      <c r="Q503" s="86"/>
      <c r="R503" s="83"/>
      <c r="S503" s="84"/>
    </row>
    <row r="504" spans="1:19" x14ac:dyDescent="0.25">
      <c r="A504" s="75"/>
      <c r="B504" s="79"/>
      <c r="C504" s="80"/>
      <c r="D504" s="81"/>
      <c r="E504" s="81"/>
      <c r="F504" s="82"/>
      <c r="G504" s="82"/>
      <c r="H504" s="83"/>
      <c r="I504" s="82"/>
      <c r="J504" s="79"/>
      <c r="K504" s="79"/>
      <c r="L504" s="79"/>
      <c r="M504" s="82"/>
      <c r="N504" s="84"/>
      <c r="O504" s="85"/>
      <c r="P504" s="86"/>
      <c r="Q504" s="86"/>
      <c r="R504" s="83"/>
      <c r="S504" s="84"/>
    </row>
    <row r="505" spans="1:19" x14ac:dyDescent="0.25">
      <c r="A505" s="75"/>
      <c r="B505" s="79"/>
      <c r="C505" s="80"/>
      <c r="D505" s="81"/>
      <c r="E505" s="81"/>
      <c r="F505" s="82"/>
      <c r="G505" s="82"/>
      <c r="H505" s="83"/>
      <c r="I505" s="82"/>
      <c r="J505" s="79"/>
      <c r="K505" s="79"/>
      <c r="L505" s="79"/>
      <c r="M505" s="82"/>
      <c r="N505" s="84"/>
      <c r="O505" s="85"/>
      <c r="P505" s="86"/>
      <c r="Q505" s="86"/>
      <c r="R505" s="83"/>
      <c r="S505" s="84"/>
    </row>
    <row r="506" spans="1:19" x14ac:dyDescent="0.25">
      <c r="A506" s="75"/>
      <c r="B506" s="79"/>
      <c r="C506" s="80"/>
      <c r="D506" s="81"/>
      <c r="E506" s="81"/>
      <c r="F506" s="82"/>
      <c r="G506" s="82"/>
      <c r="H506" s="83"/>
      <c r="I506" s="82"/>
      <c r="J506" s="79"/>
      <c r="K506" s="79"/>
      <c r="L506" s="79"/>
      <c r="M506" s="82"/>
      <c r="N506" s="84"/>
      <c r="O506" s="85"/>
      <c r="P506" s="86"/>
      <c r="Q506" s="86"/>
      <c r="R506" s="83"/>
      <c r="S506" s="84"/>
    </row>
    <row r="507" spans="1:19" x14ac:dyDescent="0.25">
      <c r="A507" s="75"/>
      <c r="B507" s="79"/>
      <c r="C507" s="80"/>
      <c r="D507" s="81"/>
      <c r="E507" s="81"/>
      <c r="F507" s="82"/>
      <c r="G507" s="82"/>
      <c r="H507" s="83"/>
      <c r="I507" s="82"/>
      <c r="J507" s="79"/>
      <c r="K507" s="79"/>
      <c r="L507" s="79"/>
      <c r="M507" s="82"/>
      <c r="N507" s="84"/>
      <c r="O507" s="85"/>
      <c r="P507" s="86"/>
      <c r="Q507" s="86"/>
      <c r="R507" s="83"/>
      <c r="S507" s="84"/>
    </row>
    <row r="508" spans="1:19" x14ac:dyDescent="0.25">
      <c r="A508" s="75"/>
      <c r="B508" s="79"/>
      <c r="C508" s="80"/>
      <c r="D508" s="81"/>
      <c r="E508" s="81"/>
      <c r="F508" s="82"/>
      <c r="G508" s="82"/>
      <c r="H508" s="83"/>
      <c r="I508" s="82"/>
      <c r="J508" s="79"/>
      <c r="K508" s="79"/>
      <c r="L508" s="79"/>
      <c r="M508" s="82"/>
      <c r="N508" s="84"/>
      <c r="O508" s="85"/>
      <c r="P508" s="86"/>
      <c r="Q508" s="86"/>
      <c r="R508" s="83"/>
      <c r="S508" s="84"/>
    </row>
    <row r="509" spans="1:19" x14ac:dyDescent="0.25">
      <c r="A509" s="75"/>
      <c r="B509" s="79"/>
      <c r="C509" s="80"/>
      <c r="D509" s="81"/>
      <c r="E509" s="81"/>
      <c r="F509" s="82"/>
      <c r="G509" s="82"/>
      <c r="H509" s="83"/>
      <c r="I509" s="82"/>
      <c r="J509" s="79"/>
      <c r="K509" s="79"/>
      <c r="L509" s="79"/>
      <c r="M509" s="82"/>
      <c r="N509" s="84"/>
      <c r="O509" s="85"/>
      <c r="P509" s="86"/>
      <c r="Q509" s="86"/>
      <c r="R509" s="83"/>
      <c r="S509" s="84"/>
    </row>
    <row r="510" spans="1:19" x14ac:dyDescent="0.25">
      <c r="A510" s="75"/>
      <c r="B510" s="79"/>
      <c r="C510" s="80"/>
      <c r="D510" s="81"/>
      <c r="E510" s="81"/>
      <c r="F510" s="82"/>
      <c r="G510" s="82"/>
      <c r="H510" s="83"/>
      <c r="I510" s="82"/>
      <c r="J510" s="79"/>
      <c r="K510" s="79"/>
      <c r="L510" s="79"/>
      <c r="M510" s="82"/>
      <c r="N510" s="84"/>
      <c r="O510" s="85"/>
      <c r="P510" s="86"/>
      <c r="Q510" s="86"/>
      <c r="R510" s="83"/>
      <c r="S510" s="84"/>
    </row>
    <row r="511" spans="1:19" x14ac:dyDescent="0.25">
      <c r="A511" s="75"/>
      <c r="B511" s="79"/>
      <c r="C511" s="80"/>
      <c r="D511" s="81"/>
      <c r="E511" s="81"/>
      <c r="F511" s="82"/>
      <c r="G511" s="82"/>
      <c r="H511" s="83"/>
      <c r="I511" s="82"/>
      <c r="J511" s="79"/>
      <c r="K511" s="79"/>
      <c r="L511" s="79"/>
      <c r="M511" s="82"/>
      <c r="N511" s="84"/>
      <c r="O511" s="85"/>
      <c r="P511" s="86"/>
      <c r="Q511" s="86"/>
      <c r="R511" s="83"/>
      <c r="S511" s="84"/>
    </row>
    <row r="512" spans="1:19" x14ac:dyDescent="0.25">
      <c r="A512" s="75"/>
      <c r="B512" s="79"/>
      <c r="C512" s="80"/>
      <c r="D512" s="81"/>
      <c r="E512" s="81"/>
      <c r="F512" s="82"/>
      <c r="G512" s="82"/>
      <c r="H512" s="83"/>
      <c r="I512" s="82"/>
      <c r="J512" s="79"/>
      <c r="K512" s="79"/>
      <c r="L512" s="79"/>
      <c r="M512" s="82"/>
      <c r="N512" s="84"/>
      <c r="O512" s="85"/>
      <c r="P512" s="86"/>
      <c r="Q512" s="86"/>
      <c r="R512" s="83"/>
      <c r="S512" s="84"/>
    </row>
    <row r="513" spans="1:19" x14ac:dyDescent="0.25">
      <c r="A513" s="75"/>
      <c r="B513" s="79"/>
      <c r="C513" s="80"/>
      <c r="D513" s="81"/>
      <c r="E513" s="81"/>
      <c r="F513" s="82"/>
      <c r="G513" s="82"/>
      <c r="H513" s="83"/>
      <c r="I513" s="82"/>
      <c r="J513" s="79"/>
      <c r="K513" s="79"/>
      <c r="L513" s="79"/>
      <c r="M513" s="82"/>
      <c r="N513" s="84"/>
      <c r="O513" s="85"/>
      <c r="P513" s="86"/>
      <c r="Q513" s="86"/>
      <c r="R513" s="83"/>
      <c r="S513" s="84"/>
    </row>
    <row r="514" spans="1:19" x14ac:dyDescent="0.25">
      <c r="A514" s="75"/>
      <c r="B514" s="79"/>
      <c r="C514" s="80"/>
      <c r="D514" s="81"/>
      <c r="E514" s="81"/>
      <c r="F514" s="82"/>
      <c r="G514" s="82"/>
      <c r="H514" s="83"/>
      <c r="I514" s="82"/>
      <c r="J514" s="79"/>
      <c r="K514" s="79"/>
      <c r="L514" s="79"/>
      <c r="M514" s="82"/>
      <c r="N514" s="84"/>
      <c r="O514" s="85"/>
      <c r="P514" s="86"/>
      <c r="Q514" s="86"/>
      <c r="R514" s="83"/>
      <c r="S514" s="84"/>
    </row>
    <row r="515" spans="1:19" x14ac:dyDescent="0.25">
      <c r="A515" s="75"/>
      <c r="B515" s="79"/>
      <c r="C515" s="80"/>
      <c r="D515" s="81"/>
      <c r="E515" s="81"/>
      <c r="F515" s="82"/>
      <c r="G515" s="82"/>
      <c r="H515" s="83"/>
      <c r="I515" s="82"/>
      <c r="J515" s="79"/>
      <c r="K515" s="79"/>
      <c r="L515" s="79"/>
      <c r="M515" s="82"/>
      <c r="N515" s="84"/>
      <c r="O515" s="85"/>
      <c r="P515" s="86"/>
      <c r="Q515" s="86"/>
      <c r="R515" s="83"/>
      <c r="S515" s="84"/>
    </row>
    <row r="516" spans="1:19" x14ac:dyDescent="0.25">
      <c r="A516" s="75"/>
      <c r="B516" s="79"/>
      <c r="C516" s="80"/>
      <c r="D516" s="81"/>
      <c r="E516" s="81"/>
      <c r="F516" s="82"/>
      <c r="G516" s="82"/>
      <c r="H516" s="83"/>
      <c r="I516" s="82"/>
      <c r="J516" s="79"/>
      <c r="K516" s="79"/>
      <c r="L516" s="79"/>
      <c r="M516" s="82"/>
      <c r="N516" s="84"/>
      <c r="O516" s="85"/>
      <c r="P516" s="86"/>
      <c r="Q516" s="86"/>
      <c r="R516" s="83"/>
      <c r="S516" s="84"/>
    </row>
    <row r="517" spans="1:19" x14ac:dyDescent="0.25">
      <c r="A517" s="75"/>
      <c r="B517" s="79"/>
      <c r="C517" s="80"/>
      <c r="D517" s="81"/>
      <c r="E517" s="81"/>
      <c r="F517" s="82"/>
      <c r="G517" s="82"/>
      <c r="H517" s="83"/>
      <c r="I517" s="82"/>
      <c r="J517" s="79"/>
      <c r="K517" s="79"/>
      <c r="L517" s="79"/>
      <c r="M517" s="82"/>
      <c r="N517" s="84"/>
      <c r="O517" s="85"/>
      <c r="P517" s="86"/>
      <c r="Q517" s="86"/>
      <c r="R517" s="83"/>
      <c r="S517" s="84"/>
    </row>
    <row r="518" spans="1:19" x14ac:dyDescent="0.25">
      <c r="A518" s="75"/>
      <c r="B518" s="79"/>
      <c r="C518" s="80"/>
      <c r="D518" s="81"/>
      <c r="E518" s="81"/>
      <c r="F518" s="82"/>
      <c r="G518" s="82"/>
      <c r="H518" s="83"/>
      <c r="I518" s="82"/>
      <c r="J518" s="79"/>
      <c r="K518" s="79"/>
      <c r="L518" s="79"/>
      <c r="M518" s="82"/>
      <c r="N518" s="84"/>
      <c r="O518" s="85"/>
      <c r="P518" s="86"/>
      <c r="Q518" s="86"/>
      <c r="R518" s="83"/>
      <c r="S518" s="84"/>
    </row>
    <row r="519" spans="1:19" x14ac:dyDescent="0.25">
      <c r="A519" s="75"/>
      <c r="B519" s="79"/>
      <c r="C519" s="80"/>
      <c r="D519" s="81"/>
      <c r="E519" s="81"/>
      <c r="F519" s="82"/>
      <c r="G519" s="82"/>
      <c r="H519" s="83"/>
      <c r="I519" s="82"/>
      <c r="J519" s="79"/>
      <c r="K519" s="79"/>
      <c r="L519" s="79"/>
      <c r="M519" s="82"/>
      <c r="N519" s="84"/>
      <c r="O519" s="85"/>
      <c r="P519" s="86"/>
      <c r="Q519" s="86"/>
      <c r="R519" s="83"/>
      <c r="S519" s="84"/>
    </row>
    <row r="520" spans="1:19" x14ac:dyDescent="0.25">
      <c r="A520" s="75"/>
      <c r="B520" s="79"/>
      <c r="C520" s="80"/>
      <c r="D520" s="81"/>
      <c r="E520" s="81"/>
      <c r="F520" s="82"/>
      <c r="G520" s="82"/>
      <c r="H520" s="83"/>
      <c r="I520" s="82"/>
      <c r="J520" s="79"/>
      <c r="K520" s="79"/>
      <c r="L520" s="79"/>
      <c r="M520" s="82"/>
      <c r="N520" s="84"/>
      <c r="O520" s="85"/>
      <c r="P520" s="86"/>
      <c r="Q520" s="86"/>
      <c r="R520" s="83"/>
      <c r="S520" s="84"/>
    </row>
    <row r="521" spans="1:19" x14ac:dyDescent="0.25">
      <c r="A521" s="75"/>
      <c r="B521" s="79"/>
      <c r="C521" s="80"/>
      <c r="D521" s="81"/>
      <c r="E521" s="81"/>
      <c r="F521" s="82"/>
      <c r="G521" s="82"/>
      <c r="H521" s="83"/>
      <c r="I521" s="82"/>
      <c r="J521" s="79"/>
      <c r="K521" s="79"/>
      <c r="L521" s="79"/>
      <c r="M521" s="82"/>
      <c r="N521" s="84"/>
      <c r="O521" s="85"/>
      <c r="P521" s="86"/>
      <c r="Q521" s="86"/>
      <c r="R521" s="83"/>
      <c r="S521" s="84"/>
    </row>
    <row r="522" spans="1:19" x14ac:dyDescent="0.25">
      <c r="A522" s="75"/>
      <c r="B522" s="79"/>
      <c r="C522" s="80"/>
      <c r="D522" s="81"/>
      <c r="E522" s="81"/>
      <c r="F522" s="82"/>
      <c r="G522" s="82"/>
      <c r="H522" s="83"/>
      <c r="I522" s="82"/>
      <c r="J522" s="79"/>
      <c r="K522" s="79"/>
      <c r="L522" s="79"/>
      <c r="M522" s="82"/>
      <c r="N522" s="84"/>
      <c r="O522" s="85"/>
      <c r="P522" s="86"/>
      <c r="Q522" s="86"/>
      <c r="R522" s="83"/>
      <c r="S522" s="84"/>
    </row>
    <row r="523" spans="1:19" x14ac:dyDescent="0.25">
      <c r="A523" s="75"/>
      <c r="B523" s="79"/>
      <c r="C523" s="80"/>
      <c r="D523" s="81"/>
      <c r="E523" s="81"/>
      <c r="F523" s="82"/>
      <c r="G523" s="82"/>
      <c r="H523" s="83"/>
      <c r="I523" s="82"/>
      <c r="J523" s="79"/>
      <c r="K523" s="79"/>
      <c r="L523" s="79"/>
      <c r="M523" s="82"/>
      <c r="N523" s="84"/>
      <c r="O523" s="85"/>
      <c r="P523" s="86"/>
      <c r="Q523" s="86"/>
      <c r="R523" s="83"/>
      <c r="S523" s="84"/>
    </row>
    <row r="524" spans="1:19" x14ac:dyDescent="0.25">
      <c r="A524" s="75"/>
      <c r="B524" s="79"/>
      <c r="C524" s="80"/>
      <c r="D524" s="81"/>
      <c r="E524" s="81"/>
      <c r="F524" s="82"/>
      <c r="G524" s="82"/>
      <c r="H524" s="83"/>
      <c r="I524" s="82"/>
      <c r="J524" s="79"/>
      <c r="K524" s="79"/>
      <c r="L524" s="79"/>
      <c r="M524" s="82"/>
      <c r="N524" s="84"/>
      <c r="O524" s="85"/>
      <c r="P524" s="86"/>
      <c r="Q524" s="86"/>
      <c r="R524" s="83"/>
      <c r="S524" s="84"/>
    </row>
    <row r="525" spans="1:19" x14ac:dyDescent="0.25">
      <c r="A525" s="75"/>
      <c r="B525" s="79"/>
      <c r="C525" s="80"/>
      <c r="D525" s="81"/>
      <c r="E525" s="81"/>
      <c r="F525" s="82"/>
      <c r="G525" s="82"/>
      <c r="H525" s="83"/>
      <c r="I525" s="82"/>
      <c r="J525" s="79"/>
      <c r="K525" s="79"/>
      <c r="L525" s="79"/>
      <c r="M525" s="82"/>
      <c r="N525" s="84"/>
      <c r="O525" s="85"/>
      <c r="P525" s="86"/>
      <c r="Q525" s="86"/>
      <c r="R525" s="83"/>
      <c r="S525" s="84"/>
    </row>
    <row r="526" spans="1:19" x14ac:dyDescent="0.25">
      <c r="A526" s="75"/>
      <c r="B526" s="79"/>
      <c r="C526" s="80"/>
      <c r="D526" s="81"/>
      <c r="E526" s="81"/>
      <c r="F526" s="82"/>
      <c r="G526" s="82"/>
      <c r="H526" s="83"/>
      <c r="I526" s="82"/>
      <c r="J526" s="79"/>
      <c r="K526" s="79"/>
      <c r="L526" s="79"/>
      <c r="M526" s="82"/>
      <c r="N526" s="84"/>
      <c r="O526" s="85"/>
      <c r="P526" s="86"/>
      <c r="Q526" s="86"/>
      <c r="R526" s="83"/>
      <c r="S526" s="84"/>
    </row>
    <row r="527" spans="1:19" x14ac:dyDescent="0.25">
      <c r="A527" s="75"/>
      <c r="B527" s="79"/>
      <c r="C527" s="80"/>
      <c r="D527" s="81"/>
      <c r="E527" s="81"/>
      <c r="F527" s="82"/>
      <c r="G527" s="82"/>
      <c r="H527" s="83"/>
      <c r="I527" s="82"/>
      <c r="J527" s="79"/>
      <c r="K527" s="79"/>
      <c r="L527" s="79"/>
      <c r="M527" s="82"/>
      <c r="N527" s="84"/>
      <c r="O527" s="85"/>
      <c r="P527" s="86"/>
      <c r="Q527" s="86"/>
      <c r="R527" s="83"/>
      <c r="S527" s="84"/>
    </row>
    <row r="528" spans="1:19" x14ac:dyDescent="0.25">
      <c r="A528" s="75"/>
      <c r="B528" s="79"/>
      <c r="C528" s="80"/>
      <c r="D528" s="81"/>
      <c r="E528" s="81"/>
      <c r="F528" s="82"/>
      <c r="G528" s="82"/>
      <c r="H528" s="83"/>
      <c r="I528" s="82"/>
      <c r="J528" s="79"/>
      <c r="K528" s="79"/>
      <c r="L528" s="79"/>
      <c r="M528" s="82"/>
      <c r="N528" s="84"/>
      <c r="O528" s="85"/>
      <c r="P528" s="86"/>
      <c r="Q528" s="86"/>
      <c r="R528" s="83"/>
      <c r="S528" s="84"/>
    </row>
    <row r="529" spans="1:19" x14ac:dyDescent="0.25">
      <c r="A529" s="75"/>
      <c r="B529" s="79"/>
      <c r="C529" s="80"/>
      <c r="D529" s="81"/>
      <c r="E529" s="81"/>
      <c r="F529" s="82"/>
      <c r="G529" s="82"/>
      <c r="H529" s="83"/>
      <c r="I529" s="82"/>
      <c r="J529" s="79"/>
      <c r="K529" s="79"/>
      <c r="L529" s="79"/>
      <c r="M529" s="82"/>
      <c r="N529" s="84"/>
      <c r="O529" s="85"/>
      <c r="P529" s="86"/>
      <c r="Q529" s="86"/>
      <c r="R529" s="83"/>
      <c r="S529" s="84"/>
    </row>
    <row r="530" spans="1:19" x14ac:dyDescent="0.25">
      <c r="A530" s="75"/>
      <c r="B530" s="79"/>
      <c r="C530" s="80"/>
      <c r="D530" s="81"/>
      <c r="E530" s="81"/>
      <c r="F530" s="82"/>
      <c r="G530" s="82"/>
      <c r="H530" s="83"/>
      <c r="I530" s="82"/>
      <c r="J530" s="79"/>
      <c r="K530" s="79"/>
      <c r="L530" s="79"/>
      <c r="M530" s="82"/>
      <c r="N530" s="84"/>
      <c r="O530" s="85"/>
      <c r="P530" s="86"/>
      <c r="Q530" s="86"/>
      <c r="R530" s="83"/>
      <c r="S530" s="84"/>
    </row>
    <row r="531" spans="1:19" x14ac:dyDescent="0.25">
      <c r="A531" s="75"/>
      <c r="B531" s="79"/>
      <c r="C531" s="80"/>
      <c r="D531" s="81"/>
      <c r="E531" s="81"/>
      <c r="F531" s="82"/>
      <c r="G531" s="82"/>
      <c r="H531" s="83"/>
      <c r="I531" s="82"/>
      <c r="J531" s="79"/>
      <c r="K531" s="79"/>
      <c r="L531" s="79"/>
      <c r="M531" s="82"/>
      <c r="N531" s="84"/>
      <c r="O531" s="85"/>
      <c r="P531" s="86"/>
      <c r="Q531" s="86"/>
      <c r="R531" s="83"/>
      <c r="S531" s="84"/>
    </row>
    <row r="532" spans="1:19" x14ac:dyDescent="0.25">
      <c r="A532" s="75"/>
      <c r="B532" s="79"/>
      <c r="C532" s="80"/>
      <c r="D532" s="81"/>
      <c r="E532" s="81"/>
      <c r="F532" s="82"/>
      <c r="G532" s="82"/>
      <c r="H532" s="83"/>
      <c r="I532" s="82"/>
      <c r="J532" s="79"/>
      <c r="K532" s="79"/>
      <c r="L532" s="79"/>
      <c r="M532" s="82"/>
      <c r="N532" s="84"/>
      <c r="O532" s="85"/>
      <c r="P532" s="86"/>
      <c r="Q532" s="86"/>
      <c r="R532" s="83"/>
      <c r="S532" s="84"/>
    </row>
    <row r="533" spans="1:19" x14ac:dyDescent="0.25">
      <c r="A533" s="75"/>
      <c r="B533" s="79"/>
      <c r="C533" s="80"/>
      <c r="D533" s="81"/>
      <c r="E533" s="81"/>
      <c r="F533" s="82"/>
      <c r="G533" s="82"/>
      <c r="H533" s="83"/>
      <c r="I533" s="82"/>
      <c r="J533" s="79"/>
      <c r="K533" s="79"/>
      <c r="L533" s="79"/>
      <c r="M533" s="82"/>
      <c r="N533" s="84"/>
      <c r="O533" s="85"/>
      <c r="P533" s="86"/>
      <c r="Q533" s="86"/>
      <c r="R533" s="83"/>
      <c r="S533" s="84"/>
    </row>
    <row r="534" spans="1:19" x14ac:dyDescent="0.25">
      <c r="A534" s="75"/>
      <c r="B534" s="79"/>
      <c r="C534" s="80"/>
      <c r="D534" s="81"/>
      <c r="E534" s="81"/>
      <c r="F534" s="82"/>
      <c r="G534" s="82"/>
      <c r="H534" s="83"/>
      <c r="I534" s="82"/>
      <c r="J534" s="79"/>
      <c r="K534" s="79"/>
      <c r="L534" s="79"/>
      <c r="M534" s="82"/>
      <c r="N534" s="84"/>
      <c r="O534" s="85"/>
      <c r="P534" s="86"/>
      <c r="Q534" s="86"/>
      <c r="R534" s="83"/>
      <c r="S534" s="84"/>
    </row>
    <row r="535" spans="1:19" x14ac:dyDescent="0.25">
      <c r="A535" s="75"/>
      <c r="B535" s="79"/>
      <c r="C535" s="80"/>
      <c r="D535" s="81"/>
      <c r="E535" s="81"/>
      <c r="F535" s="82"/>
      <c r="G535" s="82"/>
      <c r="H535" s="83"/>
      <c r="I535" s="82"/>
      <c r="J535" s="79"/>
      <c r="K535" s="79"/>
      <c r="L535" s="79"/>
      <c r="M535" s="82"/>
      <c r="N535" s="84"/>
      <c r="O535" s="85"/>
      <c r="P535" s="86"/>
      <c r="Q535" s="86"/>
      <c r="R535" s="83"/>
      <c r="S535" s="84"/>
    </row>
    <row r="536" spans="1:19" x14ac:dyDescent="0.25">
      <c r="A536" s="75"/>
      <c r="B536" s="79"/>
      <c r="C536" s="80"/>
      <c r="D536" s="81"/>
      <c r="E536" s="81"/>
      <c r="F536" s="82"/>
      <c r="G536" s="82"/>
      <c r="H536" s="83"/>
      <c r="I536" s="82"/>
      <c r="J536" s="79"/>
      <c r="K536" s="79"/>
      <c r="L536" s="79"/>
      <c r="M536" s="82"/>
      <c r="N536" s="84"/>
      <c r="O536" s="85"/>
      <c r="P536" s="86"/>
      <c r="Q536" s="86"/>
      <c r="R536" s="83"/>
      <c r="S536" s="84"/>
    </row>
    <row r="537" spans="1:19" x14ac:dyDescent="0.25">
      <c r="A537" s="75"/>
      <c r="B537" s="79"/>
      <c r="C537" s="80"/>
      <c r="D537" s="81"/>
      <c r="E537" s="81"/>
      <c r="F537" s="82"/>
      <c r="G537" s="82"/>
      <c r="H537" s="83"/>
      <c r="I537" s="82"/>
      <c r="J537" s="79"/>
      <c r="K537" s="79"/>
      <c r="L537" s="79"/>
      <c r="M537" s="82"/>
      <c r="N537" s="84"/>
      <c r="O537" s="85"/>
      <c r="P537" s="86"/>
      <c r="Q537" s="86"/>
      <c r="R537" s="83"/>
      <c r="S537" s="84"/>
    </row>
    <row r="538" spans="1:19" x14ac:dyDescent="0.25">
      <c r="A538" s="75"/>
      <c r="B538" s="79"/>
      <c r="C538" s="80"/>
      <c r="D538" s="81"/>
      <c r="E538" s="81"/>
      <c r="F538" s="82"/>
      <c r="G538" s="82"/>
      <c r="H538" s="83"/>
      <c r="I538" s="82"/>
      <c r="J538" s="79"/>
      <c r="K538" s="79"/>
      <c r="L538" s="79"/>
      <c r="M538" s="82"/>
      <c r="N538" s="84"/>
      <c r="O538" s="85"/>
      <c r="P538" s="86"/>
      <c r="Q538" s="86"/>
      <c r="R538" s="83"/>
      <c r="S538" s="84"/>
    </row>
    <row r="539" spans="1:19" x14ac:dyDescent="0.25">
      <c r="A539" s="75"/>
      <c r="B539" s="79"/>
      <c r="C539" s="80"/>
      <c r="D539" s="81"/>
      <c r="E539" s="81"/>
      <c r="F539" s="82"/>
      <c r="G539" s="82"/>
      <c r="H539" s="83"/>
      <c r="I539" s="82"/>
      <c r="J539" s="79"/>
      <c r="K539" s="79"/>
      <c r="L539" s="79"/>
      <c r="M539" s="82"/>
      <c r="N539" s="84"/>
      <c r="O539" s="85"/>
      <c r="P539" s="86"/>
      <c r="Q539" s="86"/>
      <c r="R539" s="83"/>
      <c r="S539" s="84"/>
    </row>
    <row r="540" spans="1:19" x14ac:dyDescent="0.25">
      <c r="A540" s="75"/>
      <c r="B540" s="79"/>
      <c r="C540" s="80"/>
      <c r="D540" s="81"/>
      <c r="E540" s="81"/>
      <c r="F540" s="82"/>
      <c r="G540" s="82"/>
      <c r="H540" s="83"/>
      <c r="I540" s="82"/>
      <c r="J540" s="79"/>
      <c r="K540" s="79"/>
      <c r="L540" s="79"/>
      <c r="M540" s="82"/>
      <c r="N540" s="84"/>
      <c r="O540" s="85"/>
      <c r="P540" s="86"/>
      <c r="Q540" s="86"/>
      <c r="R540" s="83"/>
      <c r="S540" s="84"/>
    </row>
    <row r="541" spans="1:19" x14ac:dyDescent="0.25">
      <c r="A541" s="75"/>
      <c r="B541" s="79"/>
      <c r="C541" s="80"/>
      <c r="D541" s="81"/>
      <c r="E541" s="81"/>
      <c r="F541" s="82"/>
      <c r="G541" s="82"/>
      <c r="H541" s="83"/>
      <c r="I541" s="82"/>
      <c r="J541" s="79"/>
      <c r="K541" s="79"/>
      <c r="L541" s="79"/>
      <c r="M541" s="82"/>
      <c r="N541" s="84"/>
      <c r="O541" s="85"/>
      <c r="P541" s="86"/>
      <c r="Q541" s="86"/>
      <c r="R541" s="83"/>
      <c r="S541" s="84"/>
    </row>
    <row r="542" spans="1:19" x14ac:dyDescent="0.25">
      <c r="A542" s="75"/>
      <c r="B542" s="79"/>
      <c r="C542" s="80"/>
      <c r="D542" s="81"/>
      <c r="E542" s="81"/>
      <c r="F542" s="82"/>
      <c r="G542" s="82"/>
      <c r="H542" s="83"/>
      <c r="I542" s="82"/>
      <c r="J542" s="79"/>
      <c r="K542" s="79"/>
      <c r="L542" s="79"/>
      <c r="M542" s="82"/>
      <c r="N542" s="84"/>
      <c r="O542" s="85"/>
      <c r="P542" s="86"/>
      <c r="Q542" s="86"/>
      <c r="R542" s="83"/>
      <c r="S542" s="84"/>
    </row>
    <row r="543" spans="1:19" x14ac:dyDescent="0.25">
      <c r="A543" s="75"/>
      <c r="B543" s="79"/>
      <c r="C543" s="80"/>
      <c r="D543" s="81"/>
      <c r="E543" s="81"/>
      <c r="F543" s="82"/>
      <c r="G543" s="82"/>
      <c r="H543" s="83"/>
      <c r="I543" s="82"/>
      <c r="J543" s="79"/>
      <c r="K543" s="79"/>
      <c r="L543" s="79"/>
      <c r="M543" s="82"/>
      <c r="N543" s="84"/>
      <c r="O543" s="85"/>
      <c r="P543" s="86"/>
      <c r="Q543" s="86"/>
      <c r="R543" s="83"/>
      <c r="S543" s="84"/>
    </row>
    <row r="544" spans="1:19" x14ac:dyDescent="0.25">
      <c r="A544" s="75"/>
      <c r="B544" s="79"/>
      <c r="C544" s="80"/>
      <c r="D544" s="81"/>
      <c r="E544" s="81"/>
      <c r="F544" s="82"/>
      <c r="G544" s="82"/>
      <c r="H544" s="83"/>
      <c r="I544" s="82"/>
      <c r="J544" s="79"/>
      <c r="K544" s="79"/>
      <c r="L544" s="79"/>
      <c r="M544" s="82"/>
      <c r="N544" s="84"/>
      <c r="O544" s="85"/>
      <c r="P544" s="86"/>
      <c r="Q544" s="86"/>
      <c r="R544" s="83"/>
      <c r="S544" s="84"/>
    </row>
    <row r="545" spans="1:19" x14ac:dyDescent="0.25">
      <c r="A545" s="75"/>
      <c r="B545" s="79"/>
      <c r="C545" s="80"/>
      <c r="D545" s="81"/>
      <c r="E545" s="81"/>
      <c r="F545" s="82"/>
      <c r="G545" s="82"/>
      <c r="H545" s="83"/>
      <c r="I545" s="82"/>
      <c r="J545" s="79"/>
      <c r="K545" s="79"/>
      <c r="L545" s="79"/>
      <c r="M545" s="82"/>
      <c r="N545" s="84"/>
      <c r="O545" s="85"/>
      <c r="P545" s="86"/>
      <c r="Q545" s="86"/>
      <c r="R545" s="83"/>
      <c r="S545" s="84"/>
    </row>
    <row r="546" spans="1:19" x14ac:dyDescent="0.25">
      <c r="A546" s="75"/>
      <c r="B546" s="79"/>
      <c r="C546" s="80"/>
      <c r="D546" s="81"/>
      <c r="E546" s="81"/>
      <c r="F546" s="82"/>
      <c r="G546" s="82"/>
      <c r="H546" s="83"/>
      <c r="I546" s="82"/>
      <c r="J546" s="79"/>
      <c r="K546" s="79"/>
      <c r="L546" s="79"/>
      <c r="M546" s="82"/>
      <c r="N546" s="84"/>
      <c r="O546" s="85"/>
      <c r="P546" s="86"/>
      <c r="Q546" s="86"/>
      <c r="R546" s="83"/>
      <c r="S546" s="84"/>
    </row>
    <row r="547" spans="1:19" x14ac:dyDescent="0.25">
      <c r="A547" s="75"/>
      <c r="B547" s="79"/>
      <c r="C547" s="80"/>
      <c r="D547" s="81"/>
      <c r="E547" s="81"/>
      <c r="F547" s="82"/>
      <c r="G547" s="82"/>
      <c r="H547" s="83"/>
      <c r="I547" s="82"/>
      <c r="J547" s="79"/>
      <c r="K547" s="79"/>
      <c r="L547" s="79"/>
      <c r="M547" s="82"/>
      <c r="N547" s="84"/>
      <c r="O547" s="85"/>
      <c r="P547" s="86"/>
      <c r="Q547" s="86"/>
      <c r="R547" s="83"/>
      <c r="S547" s="84"/>
    </row>
    <row r="548" spans="1:19" x14ac:dyDescent="0.25">
      <c r="A548" s="75"/>
      <c r="B548" s="79"/>
      <c r="C548" s="80"/>
      <c r="D548" s="81"/>
      <c r="E548" s="81"/>
      <c r="F548" s="82"/>
      <c r="G548" s="82"/>
      <c r="H548" s="83"/>
      <c r="I548" s="82"/>
      <c r="J548" s="79"/>
      <c r="K548" s="79"/>
      <c r="L548" s="79"/>
      <c r="M548" s="82"/>
      <c r="N548" s="84"/>
      <c r="O548" s="85"/>
      <c r="P548" s="86"/>
      <c r="Q548" s="86"/>
      <c r="R548" s="83"/>
      <c r="S548" s="84"/>
    </row>
    <row r="549" spans="1:19" x14ac:dyDescent="0.25">
      <c r="A549" s="75"/>
      <c r="B549" s="79"/>
      <c r="C549" s="80"/>
      <c r="D549" s="81"/>
      <c r="E549" s="81"/>
      <c r="F549" s="82"/>
      <c r="G549" s="82"/>
      <c r="H549" s="83"/>
      <c r="I549" s="82"/>
      <c r="J549" s="79"/>
      <c r="K549" s="79"/>
      <c r="L549" s="79"/>
      <c r="M549" s="82"/>
      <c r="N549" s="84"/>
      <c r="O549" s="85"/>
      <c r="P549" s="86"/>
      <c r="Q549" s="86"/>
      <c r="R549" s="83"/>
      <c r="S549" s="84"/>
    </row>
    <row r="550" spans="1:19" x14ac:dyDescent="0.25">
      <c r="A550" s="75"/>
      <c r="B550" s="79"/>
      <c r="C550" s="80"/>
      <c r="D550" s="81"/>
      <c r="E550" s="81"/>
      <c r="F550" s="82"/>
      <c r="G550" s="82"/>
      <c r="H550" s="83"/>
      <c r="I550" s="82"/>
      <c r="J550" s="79"/>
      <c r="K550" s="79"/>
      <c r="L550" s="79"/>
      <c r="M550" s="82"/>
      <c r="N550" s="84"/>
      <c r="O550" s="85"/>
      <c r="P550" s="86"/>
      <c r="Q550" s="86"/>
      <c r="R550" s="83"/>
      <c r="S550" s="84"/>
    </row>
    <row r="551" spans="1:19" x14ac:dyDescent="0.25">
      <c r="A551" s="75"/>
      <c r="B551" s="79"/>
      <c r="C551" s="80"/>
      <c r="D551" s="81"/>
      <c r="E551" s="81"/>
      <c r="F551" s="82"/>
      <c r="G551" s="82"/>
      <c r="H551" s="83"/>
      <c r="I551" s="82"/>
      <c r="J551" s="79"/>
      <c r="K551" s="79"/>
      <c r="L551" s="79"/>
      <c r="M551" s="82"/>
      <c r="N551" s="84"/>
      <c r="O551" s="85"/>
      <c r="P551" s="86"/>
      <c r="Q551" s="86"/>
      <c r="R551" s="83"/>
      <c r="S551" s="84"/>
    </row>
    <row r="552" spans="1:19" x14ac:dyDescent="0.25">
      <c r="A552" s="75"/>
      <c r="B552" s="79"/>
      <c r="C552" s="80"/>
      <c r="D552" s="81"/>
      <c r="E552" s="81"/>
      <c r="F552" s="82"/>
      <c r="G552" s="82"/>
      <c r="H552" s="83"/>
      <c r="I552" s="82"/>
      <c r="J552" s="79"/>
      <c r="K552" s="79"/>
      <c r="L552" s="79"/>
      <c r="M552" s="82"/>
      <c r="N552" s="84"/>
      <c r="O552" s="85"/>
      <c r="P552" s="86"/>
      <c r="Q552" s="86"/>
      <c r="R552" s="83"/>
      <c r="S552" s="84"/>
    </row>
    <row r="553" spans="1:19" x14ac:dyDescent="0.25">
      <c r="A553" s="75"/>
      <c r="B553" s="79"/>
      <c r="C553" s="80"/>
      <c r="D553" s="81"/>
      <c r="E553" s="81"/>
      <c r="F553" s="82"/>
      <c r="G553" s="82"/>
      <c r="H553" s="83"/>
      <c r="I553" s="82"/>
      <c r="J553" s="79"/>
      <c r="K553" s="79"/>
      <c r="L553" s="79"/>
      <c r="M553" s="82"/>
      <c r="N553" s="84"/>
      <c r="O553" s="85"/>
      <c r="P553" s="86"/>
      <c r="Q553" s="86"/>
      <c r="R553" s="83"/>
      <c r="S553" s="84"/>
    </row>
    <row r="554" spans="1:19" x14ac:dyDescent="0.25">
      <c r="A554" s="75"/>
      <c r="B554" s="79"/>
      <c r="C554" s="80"/>
      <c r="D554" s="81"/>
      <c r="E554" s="81"/>
      <c r="F554" s="82"/>
      <c r="G554" s="82"/>
      <c r="H554" s="83"/>
      <c r="I554" s="82"/>
      <c r="J554" s="79"/>
      <c r="K554" s="79"/>
      <c r="L554" s="79"/>
      <c r="M554" s="82"/>
      <c r="N554" s="84"/>
      <c r="O554" s="85"/>
      <c r="P554" s="86"/>
      <c r="Q554" s="86"/>
      <c r="R554" s="83"/>
      <c r="S554" s="84"/>
    </row>
    <row r="555" spans="1:19" x14ac:dyDescent="0.25">
      <c r="A555" s="75"/>
      <c r="B555" s="79"/>
      <c r="C555" s="80"/>
      <c r="D555" s="81"/>
      <c r="E555" s="81"/>
      <c r="F555" s="82"/>
      <c r="G555" s="82"/>
      <c r="H555" s="83"/>
      <c r="I555" s="82"/>
      <c r="J555" s="79"/>
      <c r="K555" s="79"/>
      <c r="L555" s="79"/>
      <c r="M555" s="82"/>
      <c r="N555" s="84"/>
      <c r="O555" s="85"/>
      <c r="P555" s="86"/>
      <c r="Q555" s="86"/>
      <c r="R555" s="83"/>
      <c r="S555" s="84"/>
    </row>
    <row r="556" spans="1:19" x14ac:dyDescent="0.25">
      <c r="A556" s="75"/>
      <c r="B556" s="79"/>
      <c r="C556" s="80"/>
      <c r="D556" s="81"/>
      <c r="E556" s="81"/>
      <c r="F556" s="82"/>
      <c r="G556" s="82"/>
      <c r="H556" s="83"/>
      <c r="I556" s="82"/>
      <c r="J556" s="79"/>
      <c r="K556" s="79"/>
      <c r="L556" s="79"/>
      <c r="M556" s="82"/>
      <c r="N556" s="84"/>
      <c r="O556" s="85"/>
      <c r="P556" s="86"/>
      <c r="Q556" s="86"/>
      <c r="R556" s="83"/>
      <c r="S556" s="84"/>
    </row>
    <row r="557" spans="1:19" x14ac:dyDescent="0.25">
      <c r="A557" s="75"/>
      <c r="B557" s="79"/>
      <c r="C557" s="80"/>
      <c r="D557" s="81"/>
      <c r="E557" s="81"/>
      <c r="F557" s="82"/>
      <c r="G557" s="82"/>
      <c r="H557" s="83"/>
      <c r="I557" s="82"/>
      <c r="J557" s="79"/>
      <c r="K557" s="79"/>
      <c r="L557" s="79"/>
      <c r="M557" s="82"/>
      <c r="N557" s="84"/>
      <c r="O557" s="85"/>
      <c r="P557" s="86"/>
      <c r="Q557" s="86"/>
      <c r="R557" s="83"/>
      <c r="S557" s="84"/>
    </row>
    <row r="558" spans="1:19" x14ac:dyDescent="0.25">
      <c r="A558" s="75"/>
      <c r="B558" s="79"/>
      <c r="C558" s="80"/>
      <c r="D558" s="81"/>
      <c r="E558" s="81"/>
      <c r="F558" s="82"/>
      <c r="G558" s="82"/>
      <c r="H558" s="83"/>
      <c r="I558" s="82"/>
      <c r="J558" s="79"/>
      <c r="K558" s="79"/>
      <c r="L558" s="79"/>
      <c r="M558" s="82"/>
      <c r="N558" s="84"/>
      <c r="O558" s="85"/>
      <c r="P558" s="86"/>
      <c r="Q558" s="86"/>
      <c r="R558" s="83"/>
      <c r="S558" s="84"/>
    </row>
    <row r="559" spans="1:19" x14ac:dyDescent="0.25">
      <c r="A559" s="75"/>
      <c r="B559" s="79"/>
      <c r="C559" s="80"/>
      <c r="D559" s="81"/>
      <c r="E559" s="81"/>
      <c r="F559" s="82"/>
      <c r="G559" s="82"/>
      <c r="H559" s="83"/>
      <c r="I559" s="82"/>
      <c r="J559" s="79"/>
      <c r="K559" s="79"/>
      <c r="L559" s="79"/>
      <c r="M559" s="82"/>
      <c r="N559" s="84"/>
      <c r="O559" s="85"/>
      <c r="P559" s="86"/>
      <c r="Q559" s="86"/>
      <c r="R559" s="83"/>
      <c r="S559" s="84"/>
    </row>
    <row r="560" spans="1:19" x14ac:dyDescent="0.25">
      <c r="A560" s="75"/>
      <c r="B560" s="79"/>
      <c r="C560" s="80"/>
      <c r="D560" s="81"/>
      <c r="E560" s="81"/>
      <c r="F560" s="82"/>
      <c r="G560" s="82"/>
      <c r="H560" s="83"/>
      <c r="I560" s="82"/>
      <c r="J560" s="79"/>
      <c r="K560" s="79"/>
      <c r="L560" s="79"/>
      <c r="M560" s="82"/>
      <c r="N560" s="84"/>
      <c r="O560" s="85"/>
      <c r="P560" s="86"/>
      <c r="Q560" s="86"/>
      <c r="R560" s="83"/>
      <c r="S560" s="84"/>
    </row>
    <row r="561" spans="1:19" x14ac:dyDescent="0.25">
      <c r="A561" s="75"/>
      <c r="B561" s="79"/>
      <c r="C561" s="80"/>
      <c r="D561" s="81"/>
      <c r="E561" s="81"/>
      <c r="F561" s="82"/>
      <c r="G561" s="82"/>
      <c r="H561" s="83"/>
      <c r="I561" s="82"/>
      <c r="J561" s="79"/>
      <c r="K561" s="79"/>
      <c r="L561" s="79"/>
      <c r="M561" s="82"/>
      <c r="N561" s="84"/>
      <c r="O561" s="85"/>
      <c r="P561" s="86"/>
      <c r="Q561" s="86"/>
      <c r="R561" s="83"/>
      <c r="S561" s="84"/>
    </row>
    <row r="562" spans="1:19" x14ac:dyDescent="0.25">
      <c r="A562" s="75"/>
      <c r="B562" s="79"/>
      <c r="C562" s="80"/>
      <c r="D562" s="81"/>
      <c r="E562" s="81"/>
      <c r="F562" s="82"/>
      <c r="G562" s="82"/>
      <c r="H562" s="83"/>
      <c r="I562" s="82"/>
      <c r="J562" s="79"/>
      <c r="K562" s="79"/>
      <c r="L562" s="79"/>
      <c r="M562" s="82"/>
      <c r="N562" s="84"/>
      <c r="O562" s="85"/>
      <c r="P562" s="86"/>
      <c r="Q562" s="86"/>
      <c r="R562" s="83"/>
      <c r="S562" s="84"/>
    </row>
    <row r="563" spans="1:19" x14ac:dyDescent="0.25">
      <c r="A563" s="75"/>
      <c r="B563" s="79"/>
      <c r="C563" s="80"/>
      <c r="D563" s="81"/>
      <c r="E563" s="81"/>
      <c r="F563" s="82"/>
      <c r="G563" s="82"/>
      <c r="H563" s="83"/>
      <c r="I563" s="82"/>
      <c r="J563" s="79"/>
      <c r="K563" s="79"/>
      <c r="L563" s="79"/>
      <c r="M563" s="82"/>
      <c r="N563" s="84"/>
      <c r="O563" s="85"/>
      <c r="P563" s="86"/>
      <c r="Q563" s="86"/>
      <c r="R563" s="83"/>
      <c r="S563" s="84"/>
    </row>
    <row r="564" spans="1:19" x14ac:dyDescent="0.25">
      <c r="A564" s="75"/>
      <c r="B564" s="79"/>
      <c r="C564" s="80"/>
      <c r="D564" s="81"/>
      <c r="E564" s="81"/>
      <c r="F564" s="82"/>
      <c r="G564" s="82"/>
      <c r="H564" s="83"/>
      <c r="I564" s="82"/>
      <c r="J564" s="79"/>
      <c r="K564" s="79"/>
      <c r="L564" s="79"/>
      <c r="M564" s="82"/>
      <c r="N564" s="84"/>
      <c r="O564" s="85"/>
      <c r="P564" s="86"/>
      <c r="Q564" s="86"/>
      <c r="R564" s="83"/>
      <c r="S564" s="84"/>
    </row>
    <row r="565" spans="1:19" x14ac:dyDescent="0.25">
      <c r="A565" s="75"/>
      <c r="B565" s="79"/>
      <c r="C565" s="80"/>
      <c r="D565" s="81"/>
      <c r="E565" s="81"/>
      <c r="F565" s="82"/>
      <c r="G565" s="82"/>
      <c r="H565" s="83"/>
      <c r="I565" s="82"/>
      <c r="J565" s="79"/>
      <c r="K565" s="79"/>
      <c r="L565" s="79"/>
      <c r="M565" s="82"/>
      <c r="N565" s="84"/>
      <c r="O565" s="85"/>
      <c r="P565" s="86"/>
      <c r="Q565" s="86"/>
      <c r="R565" s="83"/>
      <c r="S565" s="84"/>
    </row>
    <row r="566" spans="1:19" x14ac:dyDescent="0.25">
      <c r="A566" s="75"/>
      <c r="B566" s="79"/>
      <c r="C566" s="80"/>
      <c r="D566" s="81"/>
      <c r="E566" s="81"/>
      <c r="F566" s="82"/>
      <c r="G566" s="82"/>
      <c r="H566" s="83"/>
      <c r="I566" s="82"/>
      <c r="J566" s="79"/>
      <c r="K566" s="79"/>
      <c r="L566" s="79"/>
      <c r="M566" s="82"/>
      <c r="N566" s="84"/>
      <c r="O566" s="85"/>
      <c r="P566" s="86"/>
      <c r="Q566" s="86"/>
      <c r="R566" s="83"/>
      <c r="S566" s="84"/>
    </row>
    <row r="567" spans="1:19" x14ac:dyDescent="0.25">
      <c r="A567" s="75"/>
      <c r="B567" s="79"/>
      <c r="C567" s="80"/>
      <c r="D567" s="81"/>
      <c r="E567" s="81"/>
      <c r="F567" s="82"/>
      <c r="G567" s="82"/>
      <c r="H567" s="83"/>
      <c r="I567" s="82"/>
      <c r="J567" s="79"/>
      <c r="K567" s="79"/>
      <c r="L567" s="79"/>
      <c r="M567" s="82"/>
      <c r="N567" s="84"/>
      <c r="O567" s="85"/>
      <c r="P567" s="86"/>
      <c r="Q567" s="86"/>
      <c r="R567" s="83"/>
      <c r="S567" s="84"/>
    </row>
    <row r="568" spans="1:19" x14ac:dyDescent="0.25">
      <c r="A568" s="75"/>
      <c r="B568" s="79"/>
      <c r="C568" s="80"/>
      <c r="D568" s="81"/>
      <c r="E568" s="81"/>
      <c r="F568" s="82"/>
      <c r="G568" s="82"/>
      <c r="H568" s="83"/>
      <c r="I568" s="82"/>
      <c r="J568" s="79"/>
      <c r="K568" s="79"/>
      <c r="L568" s="79"/>
      <c r="M568" s="82"/>
      <c r="N568" s="84"/>
      <c r="O568" s="85"/>
      <c r="P568" s="86"/>
      <c r="Q568" s="86"/>
      <c r="R568" s="83"/>
      <c r="S568" s="84"/>
    </row>
    <row r="569" spans="1:19" x14ac:dyDescent="0.25">
      <c r="A569" s="75"/>
      <c r="B569" s="79"/>
      <c r="C569" s="80"/>
      <c r="D569" s="81"/>
      <c r="E569" s="81"/>
      <c r="F569" s="82"/>
      <c r="G569" s="82"/>
      <c r="H569" s="83"/>
      <c r="I569" s="82"/>
      <c r="J569" s="79"/>
      <c r="K569" s="79"/>
      <c r="L569" s="79"/>
      <c r="M569" s="82"/>
      <c r="N569" s="84"/>
      <c r="O569" s="85"/>
      <c r="P569" s="86"/>
      <c r="Q569" s="86"/>
      <c r="R569" s="83"/>
      <c r="S569" s="84"/>
    </row>
    <row r="570" spans="1:19" x14ac:dyDescent="0.25">
      <c r="A570" s="75"/>
      <c r="B570" s="79"/>
      <c r="C570" s="80"/>
      <c r="D570" s="81"/>
      <c r="E570" s="81"/>
      <c r="F570" s="82"/>
      <c r="G570" s="82"/>
      <c r="H570" s="83"/>
      <c r="I570" s="82"/>
      <c r="J570" s="79"/>
      <c r="K570" s="79"/>
      <c r="L570" s="79"/>
      <c r="M570" s="82"/>
      <c r="N570" s="84"/>
      <c r="O570" s="85"/>
      <c r="P570" s="86"/>
      <c r="Q570" s="86"/>
      <c r="R570" s="83"/>
      <c r="S570" s="84"/>
    </row>
    <row r="571" spans="1:19" x14ac:dyDescent="0.25">
      <c r="A571" s="75"/>
      <c r="B571" s="79"/>
      <c r="C571" s="80"/>
      <c r="D571" s="81"/>
      <c r="E571" s="81"/>
      <c r="F571" s="82"/>
      <c r="G571" s="82"/>
      <c r="H571" s="83"/>
      <c r="I571" s="82"/>
      <c r="J571" s="79"/>
      <c r="K571" s="79"/>
      <c r="L571" s="79"/>
      <c r="M571" s="82"/>
      <c r="N571" s="84"/>
      <c r="O571" s="85"/>
      <c r="P571" s="86"/>
      <c r="Q571" s="86"/>
      <c r="R571" s="83"/>
      <c r="S571" s="84"/>
    </row>
    <row r="572" spans="1:19" x14ac:dyDescent="0.25">
      <c r="A572" s="75"/>
      <c r="B572" s="79"/>
      <c r="C572" s="80"/>
      <c r="D572" s="81"/>
      <c r="E572" s="81"/>
      <c r="F572" s="82"/>
      <c r="G572" s="82"/>
      <c r="H572" s="83"/>
      <c r="I572" s="82"/>
      <c r="J572" s="79"/>
      <c r="K572" s="79"/>
      <c r="L572" s="79"/>
      <c r="M572" s="82"/>
      <c r="N572" s="84"/>
      <c r="O572" s="85"/>
      <c r="P572" s="86"/>
      <c r="Q572" s="86"/>
      <c r="R572" s="83"/>
      <c r="S572" s="84"/>
    </row>
    <row r="573" spans="1:19" x14ac:dyDescent="0.25">
      <c r="A573" s="75"/>
      <c r="B573" s="79"/>
      <c r="C573" s="80"/>
      <c r="D573" s="81"/>
      <c r="E573" s="81"/>
      <c r="F573" s="82"/>
      <c r="G573" s="82"/>
      <c r="H573" s="83"/>
      <c r="I573" s="82"/>
      <c r="J573" s="79"/>
      <c r="K573" s="79"/>
      <c r="L573" s="79"/>
      <c r="M573" s="82"/>
      <c r="N573" s="84"/>
      <c r="O573" s="85"/>
      <c r="P573" s="86"/>
      <c r="Q573" s="86"/>
      <c r="R573" s="83"/>
      <c r="S573" s="84"/>
    </row>
    <row r="574" spans="1:19" x14ac:dyDescent="0.25">
      <c r="A574" s="75"/>
      <c r="B574" s="79"/>
      <c r="C574" s="80"/>
      <c r="D574" s="81"/>
      <c r="E574" s="81"/>
      <c r="F574" s="82"/>
      <c r="G574" s="82"/>
      <c r="H574" s="83"/>
      <c r="I574" s="82"/>
      <c r="J574" s="79"/>
      <c r="K574" s="79"/>
      <c r="L574" s="79"/>
      <c r="M574" s="82"/>
      <c r="N574" s="84"/>
      <c r="O574" s="85"/>
      <c r="P574" s="86"/>
      <c r="Q574" s="86"/>
      <c r="R574" s="83"/>
      <c r="S574" s="84"/>
    </row>
    <row r="575" spans="1:19" x14ac:dyDescent="0.25">
      <c r="A575" s="75"/>
      <c r="B575" s="79"/>
      <c r="C575" s="80"/>
      <c r="D575" s="81"/>
      <c r="E575" s="81"/>
      <c r="F575" s="82"/>
      <c r="G575" s="82"/>
      <c r="H575" s="83"/>
      <c r="I575" s="82"/>
      <c r="J575" s="79"/>
      <c r="K575" s="79"/>
      <c r="L575" s="79"/>
      <c r="M575" s="82"/>
      <c r="N575" s="84"/>
      <c r="O575" s="85"/>
      <c r="P575" s="86"/>
      <c r="Q575" s="86"/>
      <c r="R575" s="83"/>
      <c r="S575" s="84"/>
    </row>
    <row r="576" spans="1:19" x14ac:dyDescent="0.25">
      <c r="A576" s="75"/>
      <c r="B576" s="79"/>
      <c r="C576" s="80"/>
      <c r="D576" s="81"/>
      <c r="E576" s="81"/>
      <c r="F576" s="82"/>
      <c r="G576" s="82"/>
      <c r="H576" s="83"/>
      <c r="I576" s="82"/>
      <c r="J576" s="79"/>
      <c r="K576" s="79"/>
      <c r="L576" s="79"/>
      <c r="M576" s="82"/>
      <c r="N576" s="84"/>
      <c r="O576" s="85"/>
      <c r="P576" s="86"/>
      <c r="Q576" s="86"/>
      <c r="R576" s="83"/>
      <c r="S576" s="84"/>
    </row>
    <row r="577" spans="1:19" x14ac:dyDescent="0.25">
      <c r="A577" s="75"/>
      <c r="B577" s="79"/>
      <c r="C577" s="80"/>
      <c r="D577" s="81"/>
      <c r="E577" s="81"/>
      <c r="F577" s="82"/>
      <c r="G577" s="82"/>
      <c r="H577" s="83"/>
      <c r="I577" s="82"/>
      <c r="J577" s="79"/>
      <c r="K577" s="79"/>
      <c r="L577" s="79"/>
      <c r="M577" s="82"/>
      <c r="N577" s="84"/>
      <c r="O577" s="85"/>
      <c r="P577" s="86"/>
      <c r="Q577" s="86"/>
      <c r="R577" s="83"/>
      <c r="S577" s="84"/>
    </row>
    <row r="578" spans="1:19" x14ac:dyDescent="0.25">
      <c r="A578" s="75"/>
      <c r="B578" s="79"/>
      <c r="C578" s="80"/>
      <c r="D578" s="81"/>
      <c r="E578" s="81"/>
      <c r="F578" s="82"/>
      <c r="G578" s="82"/>
      <c r="H578" s="83"/>
      <c r="I578" s="82"/>
      <c r="J578" s="79"/>
      <c r="K578" s="79"/>
      <c r="L578" s="79"/>
      <c r="M578" s="82"/>
      <c r="N578" s="84"/>
      <c r="O578" s="85"/>
      <c r="P578" s="86"/>
      <c r="Q578" s="86"/>
      <c r="R578" s="83"/>
      <c r="S578" s="84"/>
    </row>
    <row r="579" spans="1:19" x14ac:dyDescent="0.25">
      <c r="A579" s="75"/>
      <c r="B579" s="79"/>
      <c r="C579" s="80"/>
      <c r="D579" s="81"/>
      <c r="E579" s="81"/>
      <c r="F579" s="82"/>
      <c r="G579" s="82"/>
      <c r="H579" s="83"/>
      <c r="I579" s="82"/>
      <c r="J579" s="79"/>
      <c r="K579" s="79"/>
      <c r="L579" s="79"/>
      <c r="M579" s="82"/>
      <c r="N579" s="84"/>
      <c r="O579" s="85"/>
      <c r="P579" s="86"/>
      <c r="Q579" s="86"/>
      <c r="R579" s="83"/>
      <c r="S579" s="84"/>
    </row>
    <row r="580" spans="1:19" x14ac:dyDescent="0.25">
      <c r="A580" s="75"/>
      <c r="B580" s="79"/>
      <c r="C580" s="80"/>
      <c r="D580" s="81"/>
      <c r="E580" s="81"/>
      <c r="F580" s="82"/>
      <c r="G580" s="82"/>
      <c r="H580" s="83"/>
      <c r="I580" s="82"/>
      <c r="J580" s="79"/>
      <c r="K580" s="79"/>
      <c r="L580" s="79"/>
      <c r="M580" s="82"/>
      <c r="N580" s="84"/>
      <c r="O580" s="85"/>
      <c r="P580" s="86"/>
      <c r="Q580" s="86"/>
      <c r="R580" s="83"/>
      <c r="S580" s="84"/>
    </row>
    <row r="581" spans="1:19" x14ac:dyDescent="0.25">
      <c r="A581" s="75"/>
      <c r="B581" s="79"/>
      <c r="C581" s="80"/>
      <c r="D581" s="81"/>
      <c r="E581" s="81"/>
      <c r="F581" s="82"/>
      <c r="G581" s="82"/>
      <c r="H581" s="83"/>
      <c r="I581" s="82"/>
      <c r="J581" s="79"/>
      <c r="K581" s="79"/>
      <c r="L581" s="79"/>
      <c r="M581" s="82"/>
      <c r="N581" s="84"/>
      <c r="O581" s="85"/>
      <c r="P581" s="86"/>
      <c r="Q581" s="86"/>
      <c r="R581" s="83"/>
      <c r="S581" s="84"/>
    </row>
    <row r="582" spans="1:19" x14ac:dyDescent="0.25">
      <c r="A582" s="75"/>
      <c r="B582" s="79"/>
      <c r="C582" s="80"/>
      <c r="D582" s="81"/>
      <c r="E582" s="81"/>
      <c r="F582" s="82"/>
      <c r="G582" s="82"/>
      <c r="H582" s="83"/>
      <c r="I582" s="82"/>
      <c r="J582" s="79"/>
      <c r="K582" s="79"/>
      <c r="L582" s="79"/>
      <c r="M582" s="82"/>
      <c r="N582" s="84"/>
      <c r="O582" s="85"/>
      <c r="P582" s="86"/>
      <c r="Q582" s="86"/>
      <c r="R582" s="83"/>
      <c r="S582" s="84"/>
    </row>
    <row r="583" spans="1:19" x14ac:dyDescent="0.25">
      <c r="A583" s="75"/>
      <c r="B583" s="79"/>
      <c r="C583" s="80"/>
      <c r="D583" s="81"/>
      <c r="E583" s="81"/>
      <c r="F583" s="82"/>
      <c r="G583" s="82"/>
      <c r="H583" s="83"/>
      <c r="I583" s="82"/>
      <c r="J583" s="79"/>
      <c r="K583" s="79"/>
      <c r="L583" s="79"/>
      <c r="M583" s="82"/>
      <c r="N583" s="84"/>
      <c r="O583" s="85"/>
      <c r="P583" s="86"/>
      <c r="Q583" s="86"/>
      <c r="R583" s="83"/>
      <c r="S583" s="84"/>
    </row>
    <row r="584" spans="1:19" x14ac:dyDescent="0.25">
      <c r="A584" s="75"/>
      <c r="B584" s="79"/>
      <c r="C584" s="80"/>
      <c r="D584" s="81"/>
      <c r="E584" s="81"/>
      <c r="F584" s="82"/>
      <c r="G584" s="82"/>
      <c r="H584" s="83"/>
      <c r="I584" s="82"/>
      <c r="J584" s="79"/>
      <c r="K584" s="79"/>
      <c r="L584" s="79"/>
      <c r="M584" s="82"/>
      <c r="N584" s="84"/>
      <c r="O584" s="85"/>
      <c r="P584" s="86"/>
      <c r="Q584" s="86"/>
      <c r="R584" s="83"/>
      <c r="S584" s="84"/>
    </row>
    <row r="585" spans="1:19" x14ac:dyDescent="0.25">
      <c r="A585" s="75"/>
      <c r="B585" s="79"/>
      <c r="C585" s="80"/>
      <c r="D585" s="81"/>
      <c r="E585" s="81"/>
      <c r="F585" s="82"/>
      <c r="G585" s="82"/>
      <c r="H585" s="83"/>
      <c r="I585" s="82"/>
      <c r="J585" s="79"/>
      <c r="K585" s="79"/>
      <c r="L585" s="79"/>
      <c r="M585" s="82"/>
      <c r="N585" s="84"/>
      <c r="O585" s="85"/>
      <c r="P585" s="86"/>
      <c r="Q585" s="86"/>
      <c r="R585" s="83"/>
      <c r="S585" s="84"/>
    </row>
    <row r="586" spans="1:19" x14ac:dyDescent="0.25">
      <c r="A586" s="75"/>
      <c r="B586" s="79"/>
      <c r="C586" s="80"/>
      <c r="D586" s="81"/>
      <c r="E586" s="81"/>
      <c r="F586" s="82"/>
      <c r="G586" s="82"/>
      <c r="H586" s="83"/>
      <c r="I586" s="82"/>
      <c r="J586" s="79"/>
      <c r="K586" s="79"/>
      <c r="L586" s="79"/>
      <c r="M586" s="82"/>
      <c r="N586" s="84"/>
      <c r="O586" s="85"/>
      <c r="P586" s="86"/>
      <c r="Q586" s="86"/>
      <c r="R586" s="83"/>
      <c r="S586" s="84"/>
    </row>
    <row r="587" spans="1:19" x14ac:dyDescent="0.25">
      <c r="A587" s="75"/>
      <c r="B587" s="79"/>
      <c r="C587" s="80"/>
      <c r="D587" s="81"/>
      <c r="E587" s="81"/>
      <c r="F587" s="82"/>
      <c r="G587" s="82"/>
      <c r="H587" s="83"/>
      <c r="I587" s="82"/>
      <c r="J587" s="79"/>
      <c r="K587" s="79"/>
      <c r="L587" s="79"/>
      <c r="M587" s="82"/>
      <c r="N587" s="84"/>
      <c r="O587" s="85"/>
      <c r="P587" s="86"/>
      <c r="Q587" s="86"/>
      <c r="R587" s="83"/>
      <c r="S587" s="84"/>
    </row>
    <row r="588" spans="1:19" x14ac:dyDescent="0.25">
      <c r="A588" s="75"/>
      <c r="B588" s="79"/>
      <c r="C588" s="80"/>
      <c r="D588" s="81"/>
      <c r="E588" s="81"/>
      <c r="F588" s="82"/>
      <c r="G588" s="82"/>
      <c r="H588" s="83"/>
      <c r="I588" s="82"/>
      <c r="J588" s="79"/>
      <c r="K588" s="79"/>
      <c r="L588" s="79"/>
      <c r="M588" s="82"/>
      <c r="N588" s="84"/>
      <c r="O588" s="85"/>
      <c r="P588" s="86"/>
      <c r="Q588" s="86"/>
      <c r="R588" s="83"/>
      <c r="S588" s="84"/>
    </row>
    <row r="589" spans="1:19" x14ac:dyDescent="0.25">
      <c r="A589" s="75"/>
      <c r="B589" s="79"/>
      <c r="C589" s="80"/>
      <c r="D589" s="81"/>
      <c r="E589" s="81"/>
      <c r="F589" s="82"/>
      <c r="G589" s="82"/>
      <c r="H589" s="83"/>
      <c r="I589" s="82"/>
      <c r="J589" s="79"/>
      <c r="K589" s="79"/>
      <c r="L589" s="79"/>
      <c r="M589" s="82"/>
      <c r="N589" s="84"/>
      <c r="O589" s="85"/>
      <c r="P589" s="86"/>
      <c r="Q589" s="86"/>
      <c r="R589" s="83"/>
      <c r="S589" s="84"/>
    </row>
    <row r="590" spans="1:19" x14ac:dyDescent="0.25">
      <c r="A590" s="75"/>
      <c r="B590" s="79"/>
      <c r="C590" s="80"/>
      <c r="D590" s="81"/>
      <c r="E590" s="81"/>
      <c r="F590" s="82"/>
      <c r="G590" s="82"/>
      <c r="H590" s="83"/>
      <c r="I590" s="82"/>
      <c r="J590" s="79"/>
      <c r="K590" s="79"/>
      <c r="L590" s="79"/>
      <c r="M590" s="82"/>
      <c r="N590" s="84"/>
      <c r="O590" s="85"/>
      <c r="P590" s="86"/>
      <c r="Q590" s="86"/>
      <c r="R590" s="83"/>
      <c r="S590" s="84"/>
    </row>
    <row r="591" spans="1:19" x14ac:dyDescent="0.25">
      <c r="A591" s="75"/>
      <c r="B591" s="79"/>
      <c r="C591" s="80"/>
      <c r="D591" s="81"/>
      <c r="E591" s="81"/>
      <c r="F591" s="82"/>
      <c r="G591" s="82"/>
      <c r="H591" s="83"/>
      <c r="I591" s="82"/>
      <c r="J591" s="79"/>
      <c r="K591" s="79"/>
      <c r="L591" s="79"/>
      <c r="M591" s="82"/>
      <c r="N591" s="84"/>
      <c r="O591" s="85"/>
      <c r="P591" s="86"/>
      <c r="Q591" s="86"/>
      <c r="R591" s="83"/>
      <c r="S591" s="84"/>
    </row>
    <row r="592" spans="1:19" x14ac:dyDescent="0.25">
      <c r="A592" s="75"/>
      <c r="B592" s="79"/>
      <c r="C592" s="80"/>
      <c r="D592" s="81"/>
      <c r="E592" s="81"/>
      <c r="F592" s="82"/>
      <c r="G592" s="82"/>
      <c r="H592" s="83"/>
      <c r="I592" s="82"/>
      <c r="J592" s="79"/>
      <c r="K592" s="79"/>
      <c r="L592" s="79"/>
      <c r="M592" s="82"/>
      <c r="N592" s="84"/>
      <c r="O592" s="85"/>
      <c r="P592" s="86"/>
      <c r="Q592" s="86"/>
      <c r="R592" s="83"/>
      <c r="S592" s="84"/>
    </row>
    <row r="593" spans="1:19" x14ac:dyDescent="0.25">
      <c r="A593" s="75"/>
      <c r="B593" s="79"/>
      <c r="C593" s="80"/>
      <c r="D593" s="81"/>
      <c r="E593" s="81"/>
      <c r="F593" s="82"/>
      <c r="G593" s="82"/>
      <c r="H593" s="83"/>
      <c r="I593" s="82"/>
      <c r="J593" s="79"/>
      <c r="K593" s="79"/>
      <c r="L593" s="79"/>
      <c r="M593" s="82"/>
      <c r="N593" s="84"/>
      <c r="O593" s="85"/>
      <c r="P593" s="86"/>
      <c r="Q593" s="86"/>
      <c r="R593" s="83"/>
      <c r="S593" s="84"/>
    </row>
    <row r="594" spans="1:19" x14ac:dyDescent="0.25">
      <c r="A594" s="75"/>
      <c r="B594" s="79"/>
      <c r="C594" s="80"/>
      <c r="D594" s="81"/>
      <c r="E594" s="81"/>
      <c r="F594" s="82"/>
      <c r="G594" s="82"/>
      <c r="H594" s="83"/>
      <c r="I594" s="82"/>
      <c r="J594" s="79"/>
      <c r="K594" s="79"/>
      <c r="L594" s="79"/>
      <c r="M594" s="82"/>
      <c r="N594" s="84"/>
      <c r="O594" s="85"/>
      <c r="P594" s="86"/>
      <c r="Q594" s="86"/>
      <c r="R594" s="83"/>
      <c r="S594" s="84"/>
    </row>
    <row r="595" spans="1:19" x14ac:dyDescent="0.25">
      <c r="A595" s="75"/>
      <c r="B595" s="79"/>
      <c r="C595" s="80"/>
      <c r="D595" s="81"/>
      <c r="E595" s="81"/>
      <c r="F595" s="82"/>
      <c r="G595" s="82"/>
      <c r="H595" s="83"/>
      <c r="I595" s="82"/>
      <c r="J595" s="79"/>
      <c r="K595" s="79"/>
      <c r="L595" s="79"/>
      <c r="M595" s="82"/>
      <c r="N595" s="84"/>
      <c r="O595" s="85"/>
      <c r="P595" s="86"/>
      <c r="Q595" s="86"/>
      <c r="R595" s="83"/>
      <c r="S595" s="84"/>
    </row>
    <row r="596" spans="1:19" x14ac:dyDescent="0.25">
      <c r="A596" s="75"/>
      <c r="B596" s="79"/>
      <c r="C596" s="80"/>
      <c r="D596" s="81"/>
      <c r="E596" s="81"/>
      <c r="F596" s="82"/>
      <c r="G596" s="82"/>
      <c r="H596" s="83"/>
      <c r="I596" s="82"/>
      <c r="J596" s="79"/>
      <c r="K596" s="79"/>
      <c r="L596" s="79"/>
      <c r="M596" s="82"/>
      <c r="N596" s="84"/>
      <c r="O596" s="85"/>
      <c r="P596" s="86"/>
      <c r="Q596" s="86"/>
      <c r="R596" s="83"/>
      <c r="S596" s="84"/>
    </row>
    <row r="597" spans="1:19" x14ac:dyDescent="0.25">
      <c r="A597" s="75"/>
      <c r="B597" s="79"/>
      <c r="C597" s="80"/>
      <c r="D597" s="81"/>
      <c r="E597" s="81"/>
      <c r="F597" s="82"/>
      <c r="G597" s="82"/>
      <c r="H597" s="83"/>
      <c r="I597" s="82"/>
      <c r="J597" s="79"/>
      <c r="K597" s="79"/>
      <c r="L597" s="79"/>
      <c r="M597" s="82"/>
      <c r="N597" s="84"/>
      <c r="O597" s="85"/>
      <c r="P597" s="86"/>
      <c r="Q597" s="86"/>
      <c r="R597" s="83"/>
      <c r="S597" s="84"/>
    </row>
    <row r="598" spans="1:19" x14ac:dyDescent="0.25">
      <c r="A598" s="75"/>
      <c r="B598" s="75"/>
      <c r="C598" s="75"/>
      <c r="D598" s="75"/>
      <c r="E598" s="75"/>
      <c r="F598" s="75"/>
      <c r="G598" s="75"/>
      <c r="H598" s="75"/>
      <c r="I598" s="75"/>
      <c r="J598" s="75"/>
      <c r="K598" s="75"/>
      <c r="L598" s="75"/>
      <c r="M598" s="75"/>
      <c r="N598" s="75"/>
      <c r="O598" s="75"/>
      <c r="P598" s="75"/>
      <c r="Q598" s="75"/>
      <c r="R598" s="75"/>
      <c r="S598" s="75"/>
    </row>
    <row r="599" spans="1:19" x14ac:dyDescent="0.25">
      <c r="A599" s="75"/>
      <c r="B599" s="75"/>
      <c r="C599" s="75"/>
      <c r="D599" s="75"/>
      <c r="E599" s="75"/>
      <c r="F599" s="75"/>
      <c r="G599" s="75"/>
      <c r="H599" s="75"/>
      <c r="I599" s="75"/>
      <c r="J599" s="75"/>
      <c r="K599" s="75"/>
      <c r="L599" s="75"/>
      <c r="M599" s="75"/>
      <c r="N599" s="75"/>
      <c r="O599" s="75"/>
      <c r="P599" s="75"/>
      <c r="Q599" s="75"/>
      <c r="R599" s="75"/>
      <c r="S599" s="75"/>
    </row>
    <row r="600" spans="1:19" x14ac:dyDescent="0.25">
      <c r="A600" s="75"/>
      <c r="B600" s="75"/>
      <c r="C600" s="75"/>
      <c r="D600" s="75"/>
      <c r="E600" s="75"/>
      <c r="F600" s="75"/>
      <c r="G600" s="75"/>
      <c r="H600" s="75"/>
      <c r="I600" s="75"/>
      <c r="J600" s="75"/>
      <c r="K600" s="75"/>
      <c r="L600" s="75"/>
      <c r="M600" s="75"/>
      <c r="N600" s="75"/>
      <c r="O600" s="75"/>
      <c r="P600" s="75"/>
      <c r="Q600" s="75"/>
      <c r="R600" s="75"/>
      <c r="S600" s="75"/>
    </row>
    <row r="601" spans="1:19" x14ac:dyDescent="0.25">
      <c r="A601" s="75"/>
      <c r="B601" s="75"/>
      <c r="C601" s="75"/>
      <c r="D601" s="75"/>
      <c r="E601" s="75"/>
      <c r="F601" s="75"/>
      <c r="G601" s="75"/>
      <c r="H601" s="75"/>
      <c r="I601" s="75"/>
      <c r="J601" s="75"/>
      <c r="K601" s="75"/>
      <c r="L601" s="75"/>
      <c r="M601" s="75"/>
      <c r="N601" s="75"/>
      <c r="O601" s="75"/>
      <c r="P601" s="75"/>
      <c r="Q601" s="75"/>
      <c r="R601" s="75"/>
      <c r="S601" s="75"/>
    </row>
    <row r="602" spans="1:19" x14ac:dyDescent="0.25">
      <c r="A602" s="75"/>
      <c r="B602" s="75"/>
      <c r="C602" s="75"/>
      <c r="D602" s="75"/>
      <c r="E602" s="75"/>
      <c r="F602" s="75"/>
      <c r="G602" s="75"/>
      <c r="H602" s="75"/>
      <c r="I602" s="75"/>
      <c r="J602" s="75"/>
      <c r="K602" s="75"/>
      <c r="L602" s="75"/>
      <c r="M602" s="75"/>
      <c r="N602" s="75"/>
      <c r="O602" s="75"/>
      <c r="P602" s="75"/>
      <c r="Q602" s="75"/>
      <c r="R602" s="75"/>
      <c r="S602" s="75"/>
    </row>
    <row r="603" spans="1:19" x14ac:dyDescent="0.25">
      <c r="A603" s="75"/>
      <c r="B603" s="75"/>
      <c r="C603" s="75"/>
      <c r="D603" s="75"/>
      <c r="E603" s="75"/>
      <c r="F603" s="75"/>
      <c r="G603" s="75"/>
      <c r="H603" s="75"/>
      <c r="I603" s="75"/>
      <c r="J603" s="75"/>
      <c r="K603" s="75"/>
      <c r="L603" s="75"/>
      <c r="M603" s="75"/>
      <c r="N603" s="75"/>
      <c r="O603" s="75"/>
      <c r="P603" s="75"/>
      <c r="Q603" s="75"/>
      <c r="R603" s="75"/>
      <c r="S603" s="75"/>
    </row>
  </sheetData>
  <mergeCells count="2">
    <mergeCell ref="A1:N1"/>
    <mergeCell ref="O1:S1"/>
  </mergeCells>
  <phoneticPr fontId="3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3</vt:i4>
      </vt:variant>
      <vt:variant>
        <vt:lpstr>Zakresy nazwane</vt:lpstr>
      </vt:variant>
      <vt:variant>
        <vt:i4>1</vt:i4>
      </vt:variant>
    </vt:vector>
  </HeadingPairs>
  <TitlesOfParts>
    <vt:vector size="4" baseType="lpstr">
      <vt:lpstr>POMOC</vt:lpstr>
      <vt:lpstr>Handlówka</vt:lpstr>
      <vt:lpstr>Profile</vt:lpstr>
      <vt:lpstr>Handlówka!Obszar_wydruku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AAA</dc:creator>
  <cp:lastModifiedBy>Krzysztof Wróblewski</cp:lastModifiedBy>
  <cp:lastPrinted>2018-12-03T12:08:08Z</cp:lastPrinted>
  <dcterms:created xsi:type="dcterms:W3CDTF">2015-02-11T06:44:04Z</dcterms:created>
  <dcterms:modified xsi:type="dcterms:W3CDTF">2023-07-10T11:41:35Z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ta zatwierdzenia">
    <vt:filetime>2022-02-04T23:00:00Z</vt:filetime>
  </property>
  <property fmtid="{D5CDD505-2E9C-101B-9397-08002B2CF9AE}" pid="3" name="data edytowania">
    <vt:filetime>2022-02-04T23:00:00Z</vt:filetime>
  </property>
  <property fmtid="{D5CDD505-2E9C-101B-9397-08002B2CF9AE}" pid="4" name="edytowal">
    <vt:lpwstr>Krzysztof Wróblewski</vt:lpwstr>
  </property>
  <property fmtid="{D5CDD505-2E9C-101B-9397-08002B2CF9AE}" pid="5" name="archiwum">
    <vt:i4>0</vt:i4>
  </property>
</Properties>
</file>