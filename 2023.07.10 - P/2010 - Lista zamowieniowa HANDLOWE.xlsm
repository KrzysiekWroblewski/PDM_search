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Z:\3. MS\2010 - VW 336,3 G\"/>
    </mc:Choice>
  </mc:AlternateContent>
  <xr:revisionPtr revIDLastSave="0" documentId="13_ncr:1_{9399A604-64D2-42C8-A988-0CFDE1FDAC0C}" xr6:coauthVersionLast="45" xr6:coauthVersionMax="45" xr10:uidLastSave="{00000000-0000-0000-0000-000000000000}"/>
  <bookViews>
    <workbookView xWindow="-4095" yWindow="-21720" windowWidth="38640" windowHeight="21840" tabRatio="297" activeTab="1" xr2:uid="{00000000-000D-0000-FFFF-FFFF00000000}"/>
  </bookViews>
  <sheets>
    <sheet name="POMOC" sheetId="1" r:id="rId1"/>
    <sheet name="HANDLOWE" sheetId="4" r:id="rId2"/>
    <sheet name="Arkusz1" sheetId="9" r:id="rId3"/>
    <sheet name="Profile" sheetId="8" r:id="rId4"/>
    <sheet name="PARAMETRY" sheetId="7" r:id="rId5"/>
  </sheets>
  <definedNames>
    <definedName name="_xlnm._FilterDatabase" localSheetId="1" hidden="1">HANDLOWE!$A$5:$AS$5</definedName>
    <definedName name="_xlnm.Print_Area" localSheetId="1">HANDLOWE!$A$1:$AS$5</definedName>
  </definedNames>
  <calcPr calcId="18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57" i="4" l="1"/>
  <c r="U157" i="4"/>
  <c r="T157" i="4"/>
  <c r="S157" i="4"/>
  <c r="U156" i="4"/>
  <c r="T156" i="4"/>
  <c r="S156" i="4"/>
  <c r="U155" i="4"/>
  <c r="T155" i="4"/>
  <c r="S155" i="4"/>
  <c r="U154" i="4"/>
  <c r="T154" i="4"/>
  <c r="S154" i="4"/>
  <c r="U153" i="4"/>
  <c r="T153" i="4"/>
  <c r="S153" i="4"/>
  <c r="AD157" i="4"/>
  <c r="AC157" i="4"/>
  <c r="AB157" i="4"/>
  <c r="AA157" i="4"/>
  <c r="Z157" i="4"/>
  <c r="Y157" i="4"/>
  <c r="AD156" i="4"/>
  <c r="AC156" i="4"/>
  <c r="AB156" i="4"/>
  <c r="AA156" i="4"/>
  <c r="Z156" i="4"/>
  <c r="Y156" i="4"/>
  <c r="AD155" i="4"/>
  <c r="AC155" i="4"/>
  <c r="AB155" i="4"/>
  <c r="AA155" i="4"/>
  <c r="Z155" i="4"/>
  <c r="Y155" i="4"/>
  <c r="AD154" i="4"/>
  <c r="AC154" i="4"/>
  <c r="AB154" i="4"/>
  <c r="AA154" i="4"/>
  <c r="Z154" i="4"/>
  <c r="Y154" i="4"/>
  <c r="AD153" i="4"/>
  <c r="AC153" i="4"/>
  <c r="AB153" i="4"/>
  <c r="AA153" i="4"/>
  <c r="Z153" i="4"/>
  <c r="Y153" i="4"/>
  <c r="AD151" i="4"/>
  <c r="AC151" i="4"/>
  <c r="AB151" i="4"/>
  <c r="AA151" i="4"/>
  <c r="Z151" i="4"/>
  <c r="Y151" i="4"/>
  <c r="AD150" i="4"/>
  <c r="AC150" i="4"/>
  <c r="AB150" i="4"/>
  <c r="AA150" i="4"/>
  <c r="Z150" i="4"/>
  <c r="Y150" i="4"/>
  <c r="AD149" i="4"/>
  <c r="AC149" i="4"/>
  <c r="AB149" i="4"/>
  <c r="AA149" i="4"/>
  <c r="Z149" i="4"/>
  <c r="Y149" i="4"/>
  <c r="AD148" i="4"/>
  <c r="AC148" i="4"/>
  <c r="AB148" i="4"/>
  <c r="AA148" i="4"/>
  <c r="Z148" i="4"/>
  <c r="Y148" i="4"/>
  <c r="AD146" i="4"/>
  <c r="AC146" i="4"/>
  <c r="AB146" i="4"/>
  <c r="AA146" i="4"/>
  <c r="Z146" i="4"/>
  <c r="Y146" i="4"/>
  <c r="AD144" i="4"/>
  <c r="AC144" i="4"/>
  <c r="AB144" i="4"/>
  <c r="AA144" i="4"/>
  <c r="Z144" i="4"/>
  <c r="Y144" i="4"/>
  <c r="AD139" i="4"/>
  <c r="AC139" i="4"/>
  <c r="AB139" i="4"/>
  <c r="AA139" i="4"/>
  <c r="Z139" i="4"/>
  <c r="Y139" i="4"/>
  <c r="AD138" i="4"/>
  <c r="AC138" i="4"/>
  <c r="AB138" i="4"/>
  <c r="AA138" i="4"/>
  <c r="Z138" i="4"/>
  <c r="Y138" i="4"/>
  <c r="AD137" i="4"/>
  <c r="AC137" i="4"/>
  <c r="AB137" i="4"/>
  <c r="AA137" i="4"/>
  <c r="Z137" i="4"/>
  <c r="Y137" i="4"/>
  <c r="AD120" i="4"/>
  <c r="AC120" i="4"/>
  <c r="AB120" i="4"/>
  <c r="AA120" i="4"/>
  <c r="Z120" i="4"/>
  <c r="Y120" i="4"/>
  <c r="X157" i="4"/>
  <c r="W157" i="4"/>
  <c r="V157" i="4"/>
  <c r="X156" i="4"/>
  <c r="W156" i="4"/>
  <c r="V156" i="4"/>
  <c r="X155" i="4"/>
  <c r="W155" i="4"/>
  <c r="V155" i="4"/>
  <c r="X154" i="4"/>
  <c r="W154" i="4"/>
  <c r="V154" i="4"/>
  <c r="X153" i="4"/>
  <c r="W153" i="4"/>
  <c r="V153" i="4"/>
  <c r="X151" i="4"/>
  <c r="W151" i="4"/>
  <c r="V151" i="4"/>
  <c r="U151" i="4"/>
  <c r="T151" i="4"/>
  <c r="S151" i="4"/>
  <c r="X150" i="4"/>
  <c r="W150" i="4"/>
  <c r="V150" i="4"/>
  <c r="U150" i="4"/>
  <c r="T150" i="4"/>
  <c r="S150" i="4"/>
  <c r="X149" i="4"/>
  <c r="W149" i="4"/>
  <c r="V149" i="4"/>
  <c r="U149" i="4"/>
  <c r="T149" i="4"/>
  <c r="S149" i="4"/>
  <c r="X148" i="4"/>
  <c r="W148" i="4"/>
  <c r="V148" i="4"/>
  <c r="U148" i="4"/>
  <c r="T148" i="4"/>
  <c r="S148" i="4"/>
  <c r="X146" i="4"/>
  <c r="W146" i="4"/>
  <c r="V146" i="4"/>
  <c r="U146" i="4"/>
  <c r="T146" i="4"/>
  <c r="S146" i="4"/>
  <c r="X144" i="4"/>
  <c r="W144" i="4"/>
  <c r="V144" i="4"/>
  <c r="U144" i="4"/>
  <c r="T144" i="4"/>
  <c r="S144" i="4"/>
  <c r="X139" i="4"/>
  <c r="W139" i="4"/>
  <c r="V139" i="4"/>
  <c r="U139" i="4"/>
  <c r="T139" i="4"/>
  <c r="S139" i="4"/>
  <c r="X138" i="4"/>
  <c r="W138" i="4"/>
  <c r="V138" i="4"/>
  <c r="U138" i="4"/>
  <c r="T138" i="4"/>
  <c r="S138" i="4"/>
  <c r="X137" i="4"/>
  <c r="W137" i="4"/>
  <c r="V137" i="4"/>
  <c r="U137" i="4"/>
  <c r="T137" i="4"/>
  <c r="S137" i="4"/>
  <c r="X120" i="4"/>
  <c r="W120" i="4"/>
  <c r="V120" i="4"/>
  <c r="U120" i="4"/>
  <c r="T120" i="4"/>
  <c r="S120" i="4"/>
  <c r="AE153" i="4"/>
  <c r="AE154" i="4"/>
  <c r="AE155" i="4"/>
  <c r="AE156" i="4"/>
  <c r="AG156" i="4" s="1"/>
  <c r="AE157" i="4"/>
  <c r="AF153" i="4"/>
  <c r="AG153" i="4"/>
  <c r="AF154" i="4"/>
  <c r="AG154" i="4"/>
  <c r="AF155" i="4"/>
  <c r="AG155" i="4"/>
  <c r="AF156" i="4"/>
  <c r="AF157" i="4"/>
  <c r="AG157" i="4"/>
  <c r="AH153" i="4"/>
  <c r="AH154" i="4"/>
  <c r="AH155" i="4"/>
  <c r="AH156" i="4"/>
  <c r="AH157" i="4"/>
  <c r="AI153" i="4"/>
  <c r="AI154" i="4"/>
  <c r="AI155" i="4"/>
  <c r="AI156" i="4"/>
  <c r="AI157" i="4"/>
  <c r="AJ153" i="4"/>
  <c r="AJ154" i="4"/>
  <c r="AJ155" i="4"/>
  <c r="AJ156" i="4"/>
  <c r="AJ157" i="4"/>
  <c r="AK153" i="4"/>
  <c r="AK154" i="4"/>
  <c r="AK155" i="4"/>
  <c r="AK156" i="4"/>
  <c r="AK157" i="4"/>
  <c r="AD152" i="4"/>
  <c r="AC152" i="4"/>
  <c r="AB152" i="4"/>
  <c r="AA152" i="4"/>
  <c r="Z152" i="4"/>
  <c r="Y152" i="4"/>
  <c r="X152" i="4"/>
  <c r="W152" i="4"/>
  <c r="S152" i="4"/>
  <c r="AE152" i="4"/>
  <c r="AF152" i="4"/>
  <c r="AG152" i="4"/>
  <c r="AH152" i="4"/>
  <c r="AI152" i="4"/>
  <c r="AJ152" i="4"/>
  <c r="AK152" i="4"/>
  <c r="AD113" i="4"/>
  <c r="AC113" i="4"/>
  <c r="AB113" i="4"/>
  <c r="AA113" i="4"/>
  <c r="Z113" i="4"/>
  <c r="AD112" i="4"/>
  <c r="AC112" i="4"/>
  <c r="AB112" i="4"/>
  <c r="AA112" i="4"/>
  <c r="Z112" i="4"/>
  <c r="AD111" i="4"/>
  <c r="AC111" i="4"/>
  <c r="AB111" i="4"/>
  <c r="AA111" i="4"/>
  <c r="Z111" i="4"/>
  <c r="AD110" i="4"/>
  <c r="AC110" i="4"/>
  <c r="AB110" i="4"/>
  <c r="AA110" i="4"/>
  <c r="Z110" i="4"/>
  <c r="AD109" i="4"/>
  <c r="AC109" i="4"/>
  <c r="AB109" i="4"/>
  <c r="AA109" i="4"/>
  <c r="Z109" i="4"/>
  <c r="AD108" i="4"/>
  <c r="AC108" i="4"/>
  <c r="AB108" i="4"/>
  <c r="AA108" i="4"/>
  <c r="Z108" i="4"/>
  <c r="AD107" i="4"/>
  <c r="AC107" i="4"/>
  <c r="AB107" i="4"/>
  <c r="AA107" i="4"/>
  <c r="Z107" i="4"/>
  <c r="AD106" i="4"/>
  <c r="AC106" i="4"/>
  <c r="AB106" i="4"/>
  <c r="AA106" i="4"/>
  <c r="Z106" i="4"/>
  <c r="AD105" i="4"/>
  <c r="AC105" i="4"/>
  <c r="AB105" i="4"/>
  <c r="AA105" i="4"/>
  <c r="Z105" i="4"/>
  <c r="AD104" i="4"/>
  <c r="AC104" i="4"/>
  <c r="AB104" i="4"/>
  <c r="AA104" i="4"/>
  <c r="Z104" i="4"/>
  <c r="AD103" i="4"/>
  <c r="AC103" i="4"/>
  <c r="AB103" i="4"/>
  <c r="AA103" i="4"/>
  <c r="Z103" i="4"/>
  <c r="AD102" i="4"/>
  <c r="AC102" i="4"/>
  <c r="AB102" i="4"/>
  <c r="AA102" i="4"/>
  <c r="Z102" i="4"/>
  <c r="AD101" i="4"/>
  <c r="AC101" i="4"/>
  <c r="AB101" i="4"/>
  <c r="AA101" i="4"/>
  <c r="Z101" i="4"/>
  <c r="AE115" i="4"/>
  <c r="AE116" i="4"/>
  <c r="AG116" i="4" s="1"/>
  <c r="AL116" i="4" s="1"/>
  <c r="AN116" i="4" s="1"/>
  <c r="AE117" i="4"/>
  <c r="AG117" i="4"/>
  <c r="AE118" i="4"/>
  <c r="AE119" i="4"/>
  <c r="AE120" i="4"/>
  <c r="AE121" i="4"/>
  <c r="AG121" i="4" s="1"/>
  <c r="AL121" i="4" s="1"/>
  <c r="AN121" i="4" s="1"/>
  <c r="AE122" i="4"/>
  <c r="AG122" i="4" s="1"/>
  <c r="AE123" i="4"/>
  <c r="AE124" i="4"/>
  <c r="AG124" i="4" s="1"/>
  <c r="AL124" i="4" s="1"/>
  <c r="AN124" i="4" s="1"/>
  <c r="AE125" i="4"/>
  <c r="AG125" i="4"/>
  <c r="AE126" i="4"/>
  <c r="AG126" i="4"/>
  <c r="AL126" i="4" s="1"/>
  <c r="AN126" i="4" s="1"/>
  <c r="AE127" i="4"/>
  <c r="AE128" i="4"/>
  <c r="AG128" i="4" s="1"/>
  <c r="AE129" i="4"/>
  <c r="AG129" i="4" s="1"/>
  <c r="AE130" i="4"/>
  <c r="AE131" i="4"/>
  <c r="AG131" i="4" s="1"/>
  <c r="AL131" i="4" s="1"/>
  <c r="AN131" i="4" s="1"/>
  <c r="AE132" i="4"/>
  <c r="AE133" i="4"/>
  <c r="AE134" i="4"/>
  <c r="AE135" i="4"/>
  <c r="AE136" i="4"/>
  <c r="AE137" i="4"/>
  <c r="AG137" i="4" s="1"/>
  <c r="AE138" i="4"/>
  <c r="AG138" i="4" s="1"/>
  <c r="AE139" i="4"/>
  <c r="AE140" i="4"/>
  <c r="AE141" i="4"/>
  <c r="AE142" i="4"/>
  <c r="AE143" i="4"/>
  <c r="AE144" i="4"/>
  <c r="AE145" i="4"/>
  <c r="AG145" i="4"/>
  <c r="AE146" i="4"/>
  <c r="AE147" i="4"/>
  <c r="AE148" i="4"/>
  <c r="AE149" i="4"/>
  <c r="AE150" i="4"/>
  <c r="AE151" i="4"/>
  <c r="AF115" i="4"/>
  <c r="AF116" i="4"/>
  <c r="AF117" i="4"/>
  <c r="AF118" i="4"/>
  <c r="AF119" i="4"/>
  <c r="AF120" i="4"/>
  <c r="AG120" i="4" s="1"/>
  <c r="AL120" i="4" s="1"/>
  <c r="AN120" i="4" s="1"/>
  <c r="AF121" i="4"/>
  <c r="AF122" i="4"/>
  <c r="AF123" i="4"/>
  <c r="AG123" i="4"/>
  <c r="AL123" i="4" s="1"/>
  <c r="AN123" i="4" s="1"/>
  <c r="AF124" i="4"/>
  <c r="AF125" i="4"/>
  <c r="AF126" i="4"/>
  <c r="AF127" i="4"/>
  <c r="AG127" i="4" s="1"/>
  <c r="AL127" i="4" s="1"/>
  <c r="AN127" i="4" s="1"/>
  <c r="AF128" i="4"/>
  <c r="AF129" i="4"/>
  <c r="AF130" i="4"/>
  <c r="AG130" i="4"/>
  <c r="AL130" i="4" s="1"/>
  <c r="AN130" i="4" s="1"/>
  <c r="AF131" i="4"/>
  <c r="AF132" i="4"/>
  <c r="AF133" i="4"/>
  <c r="AF134" i="4"/>
  <c r="AG134" i="4" s="1"/>
  <c r="AL134" i="4" s="1"/>
  <c r="AN134" i="4" s="1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G146" i="4" s="1"/>
  <c r="AF147" i="4"/>
  <c r="AF148" i="4"/>
  <c r="AG148" i="4" s="1"/>
  <c r="AF149" i="4"/>
  <c r="AF150" i="4"/>
  <c r="AG150" i="4" s="1"/>
  <c r="AF151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I115" i="4"/>
  <c r="AI116" i="4"/>
  <c r="AI117" i="4"/>
  <c r="AI118" i="4"/>
  <c r="AI119" i="4"/>
  <c r="AI120" i="4"/>
  <c r="AI121" i="4"/>
  <c r="AI122" i="4"/>
  <c r="AI123" i="4"/>
  <c r="AI124" i="4"/>
  <c r="AI125" i="4"/>
  <c r="AI126" i="4"/>
  <c r="AI127" i="4"/>
  <c r="AI128" i="4"/>
  <c r="AI129" i="4"/>
  <c r="AI130" i="4"/>
  <c r="AI131" i="4"/>
  <c r="AI132" i="4"/>
  <c r="AI133" i="4"/>
  <c r="AI134" i="4"/>
  <c r="AI135" i="4"/>
  <c r="AI136" i="4"/>
  <c r="AI137" i="4"/>
  <c r="AI138" i="4"/>
  <c r="AI139" i="4"/>
  <c r="AI140" i="4"/>
  <c r="AI141" i="4"/>
  <c r="AI142" i="4"/>
  <c r="AI143" i="4"/>
  <c r="AI144" i="4"/>
  <c r="AI145" i="4"/>
  <c r="AI146" i="4"/>
  <c r="AI147" i="4"/>
  <c r="AI148" i="4"/>
  <c r="AI149" i="4"/>
  <c r="AI150" i="4"/>
  <c r="AI151" i="4"/>
  <c r="AJ115" i="4"/>
  <c r="AJ116" i="4"/>
  <c r="AJ117" i="4"/>
  <c r="AJ118" i="4"/>
  <c r="AJ119" i="4"/>
  <c r="AJ120" i="4"/>
  <c r="AJ121" i="4"/>
  <c r="AJ122" i="4"/>
  <c r="AJ123" i="4"/>
  <c r="AJ124" i="4"/>
  <c r="AJ125" i="4"/>
  <c r="AJ126" i="4"/>
  <c r="AJ127" i="4"/>
  <c r="AJ128" i="4"/>
  <c r="AJ129" i="4"/>
  <c r="AJ130" i="4"/>
  <c r="AJ131" i="4"/>
  <c r="AJ132" i="4"/>
  <c r="AJ133" i="4"/>
  <c r="AJ134" i="4"/>
  <c r="AJ135" i="4"/>
  <c r="AJ136" i="4"/>
  <c r="AJ137" i="4"/>
  <c r="AJ138" i="4"/>
  <c r="AJ139" i="4"/>
  <c r="AJ140" i="4"/>
  <c r="AJ141" i="4"/>
  <c r="AJ142" i="4"/>
  <c r="AJ143" i="4"/>
  <c r="AJ144" i="4"/>
  <c r="AJ145" i="4"/>
  <c r="AJ146" i="4"/>
  <c r="AJ147" i="4"/>
  <c r="AJ148" i="4"/>
  <c r="AJ149" i="4"/>
  <c r="AJ150" i="4"/>
  <c r="AJ151" i="4"/>
  <c r="AK115" i="4"/>
  <c r="AK116" i="4"/>
  <c r="AK117" i="4"/>
  <c r="AK118" i="4"/>
  <c r="AK119" i="4"/>
  <c r="AK120" i="4"/>
  <c r="AK121" i="4"/>
  <c r="AK122" i="4"/>
  <c r="AK123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E114" i="4"/>
  <c r="AF114" i="4"/>
  <c r="AH114" i="4"/>
  <c r="AI114" i="4"/>
  <c r="AJ114" i="4"/>
  <c r="AK114" i="4"/>
  <c r="U111" i="4"/>
  <c r="U112" i="4"/>
  <c r="U113" i="4"/>
  <c r="V108" i="4"/>
  <c r="V109" i="4"/>
  <c r="V110" i="4"/>
  <c r="V111" i="4"/>
  <c r="V112" i="4"/>
  <c r="V113" i="4"/>
  <c r="W104" i="4"/>
  <c r="X104" i="4"/>
  <c r="Y104" i="4"/>
  <c r="W105" i="4"/>
  <c r="X105" i="4"/>
  <c r="Y105" i="4"/>
  <c r="W106" i="4"/>
  <c r="X106" i="4"/>
  <c r="Y106" i="4"/>
  <c r="W107" i="4"/>
  <c r="X107" i="4"/>
  <c r="Y107" i="4"/>
  <c r="W108" i="4"/>
  <c r="X108" i="4"/>
  <c r="Y108" i="4"/>
  <c r="W109" i="4"/>
  <c r="X109" i="4"/>
  <c r="Y109" i="4"/>
  <c r="W110" i="4"/>
  <c r="X110" i="4"/>
  <c r="Y110" i="4"/>
  <c r="W111" i="4"/>
  <c r="X111" i="4"/>
  <c r="Y111" i="4"/>
  <c r="W112" i="4"/>
  <c r="X112" i="4"/>
  <c r="Y112" i="4"/>
  <c r="W113" i="4"/>
  <c r="X113" i="4"/>
  <c r="Y113" i="4"/>
  <c r="T108" i="4"/>
  <c r="T109" i="4"/>
  <c r="T110" i="4"/>
  <c r="T105" i="4"/>
  <c r="U105" i="4"/>
  <c r="T106" i="4"/>
  <c r="U106" i="4"/>
  <c r="T107" i="4"/>
  <c r="U107" i="4"/>
  <c r="W101" i="4"/>
  <c r="W102" i="4"/>
  <c r="W103" i="4"/>
  <c r="Y101" i="4"/>
  <c r="Y102" i="4"/>
  <c r="Y103" i="4"/>
  <c r="X103" i="4"/>
  <c r="X102" i="4"/>
  <c r="X101" i="4"/>
  <c r="T101" i="4"/>
  <c r="U101" i="4"/>
  <c r="T102" i="4"/>
  <c r="U102" i="4"/>
  <c r="T103" i="4"/>
  <c r="U103" i="4"/>
  <c r="T104" i="4"/>
  <c r="U104" i="4"/>
  <c r="R101" i="4"/>
  <c r="S101" i="4"/>
  <c r="R102" i="4"/>
  <c r="S102" i="4"/>
  <c r="R103" i="4"/>
  <c r="S103" i="4"/>
  <c r="R104" i="4"/>
  <c r="S104" i="4"/>
  <c r="R105" i="4"/>
  <c r="S105" i="4"/>
  <c r="R106" i="4"/>
  <c r="S106" i="4"/>
  <c r="R107" i="4"/>
  <c r="S107" i="4"/>
  <c r="R108" i="4"/>
  <c r="S108" i="4"/>
  <c r="R109" i="4"/>
  <c r="S109" i="4"/>
  <c r="R110" i="4"/>
  <c r="S110" i="4"/>
  <c r="R111" i="4"/>
  <c r="S111" i="4"/>
  <c r="R112" i="4"/>
  <c r="S112" i="4"/>
  <c r="R113" i="4"/>
  <c r="S113" i="4"/>
  <c r="AE111" i="4"/>
  <c r="AE112" i="4"/>
  <c r="AG112" i="4"/>
  <c r="AE113" i="4"/>
  <c r="AF111" i="4"/>
  <c r="AF112" i="4"/>
  <c r="AF113" i="4"/>
  <c r="AH111" i="4"/>
  <c r="AH112" i="4"/>
  <c r="AH113" i="4"/>
  <c r="AI111" i="4"/>
  <c r="AI112" i="4"/>
  <c r="AI113" i="4"/>
  <c r="AJ111" i="4"/>
  <c r="AJ112" i="4"/>
  <c r="AJ113" i="4"/>
  <c r="AK111" i="4"/>
  <c r="AK112" i="4"/>
  <c r="AK113" i="4"/>
  <c r="AE108" i="4"/>
  <c r="AE109" i="4"/>
  <c r="AE110" i="4"/>
  <c r="AF108" i="4"/>
  <c r="AG108" i="4"/>
  <c r="AF109" i="4"/>
  <c r="AF110" i="4"/>
  <c r="AH108" i="4"/>
  <c r="AH109" i="4"/>
  <c r="AH110" i="4"/>
  <c r="AI108" i="4"/>
  <c r="AI109" i="4"/>
  <c r="AI110" i="4"/>
  <c r="AJ108" i="4"/>
  <c r="AJ109" i="4"/>
  <c r="AJ110" i="4"/>
  <c r="AK108" i="4"/>
  <c r="AK109" i="4"/>
  <c r="AK110" i="4"/>
  <c r="AE105" i="4"/>
  <c r="AG105" i="4" s="1"/>
  <c r="AE106" i="4"/>
  <c r="AE107" i="4"/>
  <c r="AF105" i="4"/>
  <c r="AF106" i="4"/>
  <c r="AG106" i="4"/>
  <c r="AL106" i="4" s="1"/>
  <c r="AN106" i="4" s="1"/>
  <c r="AF107" i="4"/>
  <c r="AG107" i="4"/>
  <c r="AH105" i="4"/>
  <c r="AH106" i="4"/>
  <c r="AH107" i="4"/>
  <c r="AI105" i="4"/>
  <c r="AI106" i="4"/>
  <c r="AI107" i="4"/>
  <c r="AJ105" i="4"/>
  <c r="AJ106" i="4"/>
  <c r="AJ107" i="4"/>
  <c r="AK105" i="4"/>
  <c r="AK106" i="4"/>
  <c r="AK107" i="4"/>
  <c r="AE101" i="4"/>
  <c r="AE102" i="4"/>
  <c r="AE103" i="4"/>
  <c r="AG103" i="4" s="1"/>
  <c r="AE104" i="4"/>
  <c r="AF101" i="4"/>
  <c r="AF102" i="4"/>
  <c r="AF103" i="4"/>
  <c r="AF104" i="4"/>
  <c r="AH101" i="4"/>
  <c r="AH102" i="4"/>
  <c r="AH103" i="4"/>
  <c r="AH104" i="4"/>
  <c r="AI101" i="4"/>
  <c r="AI102" i="4"/>
  <c r="AI103" i="4"/>
  <c r="AI104" i="4"/>
  <c r="AJ101" i="4"/>
  <c r="AJ102" i="4"/>
  <c r="AJ103" i="4"/>
  <c r="AJ104" i="4"/>
  <c r="AK101" i="4"/>
  <c r="AK102" i="4"/>
  <c r="AK103" i="4"/>
  <c r="AK104" i="4"/>
  <c r="AM16" i="4"/>
  <c r="AM15" i="4"/>
  <c r="AE15" i="4"/>
  <c r="AF15" i="4"/>
  <c r="AH15" i="4"/>
  <c r="AI15" i="4"/>
  <c r="AJ15" i="4"/>
  <c r="AK15" i="4"/>
  <c r="AE16" i="4"/>
  <c r="AG16" i="4" s="1"/>
  <c r="AL16" i="4" s="1"/>
  <c r="AN16" i="4" s="1"/>
  <c r="AF16" i="4"/>
  <c r="AH16" i="4"/>
  <c r="AI16" i="4"/>
  <c r="AJ16" i="4"/>
  <c r="AK16" i="4"/>
  <c r="Y79" i="4"/>
  <c r="Z79" i="4"/>
  <c r="AA79" i="4"/>
  <c r="AB79" i="4"/>
  <c r="AC79" i="4"/>
  <c r="AD79" i="4"/>
  <c r="Z80" i="4"/>
  <c r="AA80" i="4"/>
  <c r="AB80" i="4"/>
  <c r="AC80" i="4"/>
  <c r="AD80" i="4"/>
  <c r="Z81" i="4"/>
  <c r="AA81" i="4"/>
  <c r="AB81" i="4"/>
  <c r="AC81" i="4"/>
  <c r="AD81" i="4"/>
  <c r="Z82" i="4"/>
  <c r="AA82" i="4"/>
  <c r="AB82" i="4"/>
  <c r="AC82" i="4"/>
  <c r="AD82" i="4"/>
  <c r="Z83" i="4"/>
  <c r="AA83" i="4"/>
  <c r="AB83" i="4"/>
  <c r="AC83" i="4"/>
  <c r="AD83" i="4"/>
  <c r="Z84" i="4"/>
  <c r="AA84" i="4"/>
  <c r="AB84" i="4"/>
  <c r="AC84" i="4"/>
  <c r="AD84" i="4"/>
  <c r="Z85" i="4"/>
  <c r="AA85" i="4"/>
  <c r="AB85" i="4"/>
  <c r="AC85" i="4"/>
  <c r="AD85" i="4"/>
  <c r="Z86" i="4"/>
  <c r="AA86" i="4"/>
  <c r="AB86" i="4"/>
  <c r="AC86" i="4"/>
  <c r="AD86" i="4"/>
  <c r="Z87" i="4"/>
  <c r="AA87" i="4"/>
  <c r="AB87" i="4"/>
  <c r="AC87" i="4"/>
  <c r="AD87" i="4"/>
  <c r="Z88" i="4"/>
  <c r="AA88" i="4"/>
  <c r="AB88" i="4"/>
  <c r="AC88" i="4"/>
  <c r="AD88" i="4"/>
  <c r="Z89" i="4"/>
  <c r="AA89" i="4"/>
  <c r="AB89" i="4"/>
  <c r="AC89" i="4"/>
  <c r="AD89" i="4"/>
  <c r="Z90" i="4"/>
  <c r="AA90" i="4"/>
  <c r="AB90" i="4"/>
  <c r="AC90" i="4"/>
  <c r="AD90" i="4"/>
  <c r="Z91" i="4"/>
  <c r="AA91" i="4"/>
  <c r="AB91" i="4"/>
  <c r="AC91" i="4"/>
  <c r="AD91" i="4"/>
  <c r="Z92" i="4"/>
  <c r="AA92" i="4"/>
  <c r="AB92" i="4"/>
  <c r="AC92" i="4"/>
  <c r="AD92" i="4"/>
  <c r="Z93" i="4"/>
  <c r="AA93" i="4"/>
  <c r="AB93" i="4"/>
  <c r="AC93" i="4"/>
  <c r="AD93" i="4"/>
  <c r="Z94" i="4"/>
  <c r="AA94" i="4"/>
  <c r="AB94" i="4"/>
  <c r="AC94" i="4"/>
  <c r="AD94" i="4"/>
  <c r="Z95" i="4"/>
  <c r="AA95" i="4"/>
  <c r="AB95" i="4"/>
  <c r="AC95" i="4"/>
  <c r="AD95" i="4"/>
  <c r="Z96" i="4"/>
  <c r="AA96" i="4"/>
  <c r="AB96" i="4"/>
  <c r="AC96" i="4"/>
  <c r="AD96" i="4"/>
  <c r="Z97" i="4"/>
  <c r="AA97" i="4"/>
  <c r="AB97" i="4"/>
  <c r="AC97" i="4"/>
  <c r="AD97" i="4"/>
  <c r="Z98" i="4"/>
  <c r="AA98" i="4"/>
  <c r="AB98" i="4"/>
  <c r="AC98" i="4"/>
  <c r="AD98" i="4"/>
  <c r="Z99" i="4"/>
  <c r="AA99" i="4"/>
  <c r="AB99" i="4"/>
  <c r="AC99" i="4"/>
  <c r="AD99" i="4"/>
  <c r="Z100" i="4"/>
  <c r="AA100" i="4"/>
  <c r="AB100" i="4"/>
  <c r="AC100" i="4"/>
  <c r="AD100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W80" i="4"/>
  <c r="U79" i="4"/>
  <c r="V79" i="4"/>
  <c r="W79" i="4"/>
  <c r="U80" i="4"/>
  <c r="V80" i="4"/>
  <c r="U81" i="4"/>
  <c r="V81" i="4"/>
  <c r="W81" i="4"/>
  <c r="U82" i="4"/>
  <c r="V82" i="4"/>
  <c r="W82" i="4"/>
  <c r="U83" i="4"/>
  <c r="V83" i="4"/>
  <c r="W83" i="4"/>
  <c r="U84" i="4"/>
  <c r="V84" i="4"/>
  <c r="W84" i="4"/>
  <c r="U85" i="4"/>
  <c r="V85" i="4"/>
  <c r="W85" i="4"/>
  <c r="U86" i="4"/>
  <c r="V86" i="4"/>
  <c r="W86" i="4"/>
  <c r="U87" i="4"/>
  <c r="V87" i="4"/>
  <c r="W87" i="4"/>
  <c r="U88" i="4"/>
  <c r="V88" i="4"/>
  <c r="W88" i="4"/>
  <c r="U89" i="4"/>
  <c r="V89" i="4"/>
  <c r="W89" i="4"/>
  <c r="U90" i="4"/>
  <c r="V90" i="4"/>
  <c r="W90" i="4"/>
  <c r="U91" i="4"/>
  <c r="V91" i="4"/>
  <c r="W91" i="4"/>
  <c r="U92" i="4"/>
  <c r="V92" i="4"/>
  <c r="W92" i="4"/>
  <c r="U93" i="4"/>
  <c r="V93" i="4"/>
  <c r="W93" i="4"/>
  <c r="U94" i="4"/>
  <c r="V94" i="4"/>
  <c r="W94" i="4"/>
  <c r="U95" i="4"/>
  <c r="V95" i="4"/>
  <c r="W95" i="4"/>
  <c r="U96" i="4"/>
  <c r="V96" i="4"/>
  <c r="W96" i="4"/>
  <c r="U97" i="4"/>
  <c r="V97" i="4"/>
  <c r="W97" i="4"/>
  <c r="U98" i="4"/>
  <c r="V98" i="4"/>
  <c r="W98" i="4"/>
  <c r="U99" i="4"/>
  <c r="V99" i="4"/>
  <c r="W99" i="4"/>
  <c r="U100" i="4"/>
  <c r="V100" i="4"/>
  <c r="W100" i="4"/>
  <c r="S79" i="4"/>
  <c r="T79" i="4"/>
  <c r="S80" i="4"/>
  <c r="T80" i="4"/>
  <c r="S81" i="4"/>
  <c r="T81" i="4"/>
  <c r="S82" i="4"/>
  <c r="T82" i="4"/>
  <c r="S83" i="4"/>
  <c r="T83" i="4"/>
  <c r="S84" i="4"/>
  <c r="T84" i="4"/>
  <c r="S85" i="4"/>
  <c r="T85" i="4"/>
  <c r="S86" i="4"/>
  <c r="T86" i="4"/>
  <c r="S87" i="4"/>
  <c r="T87" i="4"/>
  <c r="S88" i="4"/>
  <c r="T88" i="4"/>
  <c r="S89" i="4"/>
  <c r="T89" i="4"/>
  <c r="S90" i="4"/>
  <c r="T90" i="4"/>
  <c r="S91" i="4"/>
  <c r="T91" i="4"/>
  <c r="S92" i="4"/>
  <c r="T92" i="4"/>
  <c r="S93" i="4"/>
  <c r="T93" i="4"/>
  <c r="S94" i="4"/>
  <c r="T94" i="4"/>
  <c r="S95" i="4"/>
  <c r="T95" i="4"/>
  <c r="S96" i="4"/>
  <c r="T96" i="4"/>
  <c r="S97" i="4"/>
  <c r="T97" i="4"/>
  <c r="S98" i="4"/>
  <c r="T98" i="4"/>
  <c r="S99" i="4"/>
  <c r="T99" i="4"/>
  <c r="S100" i="4"/>
  <c r="T10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Y26" i="4"/>
  <c r="Z26" i="4"/>
  <c r="AA26" i="4"/>
  <c r="AB26" i="4"/>
  <c r="AC26" i="4"/>
  <c r="AD26" i="4"/>
  <c r="Y27" i="4"/>
  <c r="Z27" i="4"/>
  <c r="AA27" i="4"/>
  <c r="AB27" i="4"/>
  <c r="AC27" i="4"/>
  <c r="AD27" i="4"/>
  <c r="Y28" i="4"/>
  <c r="Z28" i="4"/>
  <c r="AA28" i="4"/>
  <c r="AB28" i="4"/>
  <c r="AC28" i="4"/>
  <c r="AD28" i="4"/>
  <c r="Y29" i="4"/>
  <c r="Z29" i="4"/>
  <c r="AA29" i="4"/>
  <c r="AB29" i="4"/>
  <c r="AC29" i="4"/>
  <c r="AD29" i="4"/>
  <c r="Y30" i="4"/>
  <c r="Z30" i="4"/>
  <c r="AA30" i="4"/>
  <c r="AB30" i="4"/>
  <c r="AC30" i="4"/>
  <c r="AD30" i="4"/>
  <c r="Y31" i="4"/>
  <c r="Z31" i="4"/>
  <c r="AA31" i="4"/>
  <c r="AB31" i="4"/>
  <c r="AC31" i="4"/>
  <c r="AD31" i="4"/>
  <c r="Y32" i="4"/>
  <c r="Z32" i="4"/>
  <c r="AA32" i="4"/>
  <c r="AB32" i="4"/>
  <c r="AC32" i="4"/>
  <c r="AD32" i="4"/>
  <c r="Y33" i="4"/>
  <c r="Z33" i="4"/>
  <c r="AA33" i="4"/>
  <c r="AB33" i="4"/>
  <c r="AC33" i="4"/>
  <c r="AD33" i="4"/>
  <c r="Y34" i="4"/>
  <c r="Z34" i="4"/>
  <c r="AA34" i="4"/>
  <c r="AB34" i="4"/>
  <c r="AC34" i="4"/>
  <c r="AD34" i="4"/>
  <c r="Y35" i="4"/>
  <c r="Z35" i="4"/>
  <c r="AA35" i="4"/>
  <c r="AB35" i="4"/>
  <c r="AC35" i="4"/>
  <c r="AD35" i="4"/>
  <c r="Y36" i="4"/>
  <c r="Z36" i="4"/>
  <c r="AA36" i="4"/>
  <c r="AB36" i="4"/>
  <c r="AC36" i="4"/>
  <c r="AD36" i="4"/>
  <c r="Y37" i="4"/>
  <c r="Z37" i="4"/>
  <c r="AA37" i="4"/>
  <c r="AB37" i="4"/>
  <c r="AC37" i="4"/>
  <c r="AD37" i="4"/>
  <c r="Y38" i="4"/>
  <c r="Z38" i="4"/>
  <c r="AA38" i="4"/>
  <c r="AB38" i="4"/>
  <c r="AC38" i="4"/>
  <c r="AD38" i="4"/>
  <c r="U26" i="4"/>
  <c r="V26" i="4"/>
  <c r="W26" i="4"/>
  <c r="U27" i="4"/>
  <c r="V27" i="4"/>
  <c r="W27" i="4"/>
  <c r="U28" i="4"/>
  <c r="V28" i="4"/>
  <c r="W28" i="4"/>
  <c r="U29" i="4"/>
  <c r="V29" i="4"/>
  <c r="W29" i="4"/>
  <c r="U30" i="4"/>
  <c r="V30" i="4"/>
  <c r="W30" i="4"/>
  <c r="U31" i="4"/>
  <c r="V31" i="4"/>
  <c r="W31" i="4"/>
  <c r="U32" i="4"/>
  <c r="V32" i="4"/>
  <c r="W32" i="4"/>
  <c r="U33" i="4"/>
  <c r="V33" i="4"/>
  <c r="W33" i="4"/>
  <c r="U34" i="4"/>
  <c r="V34" i="4"/>
  <c r="W34" i="4"/>
  <c r="U35" i="4"/>
  <c r="V35" i="4"/>
  <c r="W35" i="4"/>
  <c r="U36" i="4"/>
  <c r="V36" i="4"/>
  <c r="W36" i="4"/>
  <c r="U37" i="4"/>
  <c r="V37" i="4"/>
  <c r="W37" i="4"/>
  <c r="U38" i="4"/>
  <c r="V38" i="4"/>
  <c r="W38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19" i="4"/>
  <c r="U19" i="4"/>
  <c r="V19" i="4"/>
  <c r="W19" i="4"/>
  <c r="X19" i="4"/>
  <c r="Y19" i="4"/>
  <c r="Z19" i="4"/>
  <c r="AA19" i="4"/>
  <c r="AB19" i="4"/>
  <c r="AC19" i="4"/>
  <c r="AD19" i="4"/>
  <c r="T20" i="4"/>
  <c r="U20" i="4"/>
  <c r="V20" i="4"/>
  <c r="W20" i="4"/>
  <c r="X20" i="4"/>
  <c r="Y20" i="4"/>
  <c r="Z20" i="4"/>
  <c r="AA20" i="4"/>
  <c r="AB20" i="4"/>
  <c r="AC20" i="4"/>
  <c r="AD20" i="4"/>
  <c r="T21" i="4"/>
  <c r="U21" i="4"/>
  <c r="V21" i="4"/>
  <c r="W21" i="4"/>
  <c r="X21" i="4"/>
  <c r="Y21" i="4"/>
  <c r="Z21" i="4"/>
  <c r="AA21" i="4"/>
  <c r="AB21" i="4"/>
  <c r="AC21" i="4"/>
  <c r="AD21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AE81" i="4"/>
  <c r="AE82" i="4"/>
  <c r="AE83" i="4"/>
  <c r="AE84" i="4"/>
  <c r="AE85" i="4"/>
  <c r="AE86" i="4"/>
  <c r="AG86" i="4"/>
  <c r="AE87" i="4"/>
  <c r="AE88" i="4"/>
  <c r="AE89" i="4"/>
  <c r="AG89" i="4" s="1"/>
  <c r="AE90" i="4"/>
  <c r="AE91" i="4"/>
  <c r="AG91" i="4" s="1"/>
  <c r="AL91" i="4" s="1"/>
  <c r="AN91" i="4" s="1"/>
  <c r="AE92" i="4"/>
  <c r="AE93" i="4"/>
  <c r="AE94" i="4"/>
  <c r="AG94" i="4" s="1"/>
  <c r="AL94" i="4" s="1"/>
  <c r="AN94" i="4" s="1"/>
  <c r="AE95" i="4"/>
  <c r="AE96" i="4"/>
  <c r="AE97" i="4"/>
  <c r="AE98" i="4"/>
  <c r="AG98" i="4"/>
  <c r="AL98" i="4" s="1"/>
  <c r="AN98" i="4" s="1"/>
  <c r="AE99" i="4"/>
  <c r="AG99" i="4" s="1"/>
  <c r="AE100" i="4"/>
  <c r="AF81" i="4"/>
  <c r="AG81" i="4"/>
  <c r="AF82" i="4"/>
  <c r="AF83" i="4"/>
  <c r="AG83" i="4"/>
  <c r="AL83" i="4" s="1"/>
  <c r="AN83" i="4" s="1"/>
  <c r="AF84" i="4"/>
  <c r="AF85" i="4"/>
  <c r="AF86" i="4"/>
  <c r="AF87" i="4"/>
  <c r="AF88" i="4"/>
  <c r="AG88" i="4"/>
  <c r="AF89" i="4"/>
  <c r="AF90" i="4"/>
  <c r="AG90" i="4" s="1"/>
  <c r="AL90" i="4" s="1"/>
  <c r="AN90" i="4" s="1"/>
  <c r="AF91" i="4"/>
  <c r="AF92" i="4"/>
  <c r="AF93" i="4"/>
  <c r="AF94" i="4"/>
  <c r="AF95" i="4"/>
  <c r="AF96" i="4"/>
  <c r="AF97" i="4"/>
  <c r="AF98" i="4"/>
  <c r="AF99" i="4"/>
  <c r="AL99" i="4"/>
  <c r="AN99" i="4" s="1"/>
  <c r="AF100" i="4"/>
  <c r="AG100" i="4"/>
  <c r="AH81" i="4"/>
  <c r="AH82" i="4"/>
  <c r="AH83" i="4"/>
  <c r="AH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I93" i="4"/>
  <c r="AI94" i="4"/>
  <c r="AI95" i="4"/>
  <c r="AI96" i="4"/>
  <c r="AI97" i="4"/>
  <c r="AI98" i="4"/>
  <c r="AI99" i="4"/>
  <c r="AI10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J93" i="4"/>
  <c r="AJ94" i="4"/>
  <c r="AJ95" i="4"/>
  <c r="AJ96" i="4"/>
  <c r="AJ97" i="4"/>
  <c r="AJ98" i="4"/>
  <c r="AJ99" i="4"/>
  <c r="AJ10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E80" i="4"/>
  <c r="AF80" i="4"/>
  <c r="AG80" i="4" s="1"/>
  <c r="AH80" i="4"/>
  <c r="AI80" i="4"/>
  <c r="AJ80" i="4"/>
  <c r="AK80" i="4"/>
  <c r="AE79" i="4"/>
  <c r="AG79" i="4" s="1"/>
  <c r="AF79" i="4"/>
  <c r="AH79" i="4"/>
  <c r="AI79" i="4"/>
  <c r="AJ79" i="4"/>
  <c r="AK79" i="4"/>
  <c r="Z62" i="4"/>
  <c r="AA62" i="4"/>
  <c r="AB62" i="4"/>
  <c r="AC62" i="4"/>
  <c r="AD62" i="4"/>
  <c r="AE62" i="4"/>
  <c r="AG62" i="4" s="1"/>
  <c r="AF62" i="4"/>
  <c r="Z63" i="4"/>
  <c r="AA63" i="4"/>
  <c r="AB63" i="4"/>
  <c r="AC63" i="4"/>
  <c r="AD63" i="4"/>
  <c r="AE63" i="4"/>
  <c r="AF63" i="4"/>
  <c r="Z64" i="4"/>
  <c r="AA64" i="4"/>
  <c r="AB64" i="4"/>
  <c r="AC64" i="4"/>
  <c r="AD64" i="4"/>
  <c r="AE64" i="4"/>
  <c r="AG64" i="4" s="1"/>
  <c r="AF64" i="4"/>
  <c r="Z65" i="4"/>
  <c r="AA65" i="4"/>
  <c r="AB65" i="4"/>
  <c r="AC65" i="4"/>
  <c r="AD65" i="4"/>
  <c r="AE65" i="4"/>
  <c r="AF65" i="4"/>
  <c r="Z66" i="4"/>
  <c r="AA66" i="4"/>
  <c r="AB66" i="4"/>
  <c r="AC66" i="4"/>
  <c r="AD66" i="4"/>
  <c r="AE66" i="4"/>
  <c r="AG66" i="4" s="1"/>
  <c r="AF66" i="4"/>
  <c r="Z67" i="4"/>
  <c r="AA67" i="4"/>
  <c r="AB67" i="4"/>
  <c r="AC67" i="4"/>
  <c r="AD67" i="4"/>
  <c r="AE67" i="4"/>
  <c r="AG67" i="4" s="1"/>
  <c r="AF67" i="4"/>
  <c r="Z68" i="4"/>
  <c r="AA68" i="4"/>
  <c r="AB68" i="4"/>
  <c r="AC68" i="4"/>
  <c r="AD68" i="4"/>
  <c r="AE68" i="4"/>
  <c r="AF68" i="4"/>
  <c r="AG68" i="4" s="1"/>
  <c r="AL68" i="4" s="1"/>
  <c r="AN68" i="4" s="1"/>
  <c r="Z69" i="4"/>
  <c r="AA69" i="4"/>
  <c r="AB69" i="4"/>
  <c r="AC69" i="4"/>
  <c r="AD69" i="4"/>
  <c r="AE69" i="4"/>
  <c r="AG69" i="4" s="1"/>
  <c r="AF69" i="4"/>
  <c r="Z70" i="4"/>
  <c r="AA70" i="4"/>
  <c r="AB70" i="4"/>
  <c r="AC70" i="4"/>
  <c r="AD70" i="4"/>
  <c r="AE70" i="4"/>
  <c r="AG70" i="4" s="1"/>
  <c r="AF70" i="4"/>
  <c r="Z71" i="4"/>
  <c r="AA71" i="4"/>
  <c r="AB71" i="4"/>
  <c r="AC71" i="4"/>
  <c r="AD71" i="4"/>
  <c r="AE71" i="4"/>
  <c r="AG71" i="4" s="1"/>
  <c r="AF71" i="4"/>
  <c r="Z72" i="4"/>
  <c r="AA72" i="4"/>
  <c r="AB72" i="4"/>
  <c r="AC72" i="4"/>
  <c r="AD72" i="4"/>
  <c r="AE72" i="4"/>
  <c r="AF72" i="4"/>
  <c r="AG72" i="4"/>
  <c r="Z73" i="4"/>
  <c r="AA73" i="4"/>
  <c r="AB73" i="4"/>
  <c r="AC73" i="4"/>
  <c r="AD73" i="4"/>
  <c r="AE73" i="4"/>
  <c r="AF73" i="4"/>
  <c r="Z74" i="4"/>
  <c r="AA74" i="4"/>
  <c r="AB74" i="4"/>
  <c r="AC74" i="4"/>
  <c r="AD74" i="4"/>
  <c r="AE74" i="4"/>
  <c r="AF74" i="4"/>
  <c r="Z75" i="4"/>
  <c r="AA75" i="4"/>
  <c r="AB75" i="4"/>
  <c r="AC75" i="4"/>
  <c r="AD75" i="4"/>
  <c r="AE75" i="4"/>
  <c r="AF75" i="4"/>
  <c r="Z76" i="4"/>
  <c r="AA76" i="4"/>
  <c r="AB76" i="4"/>
  <c r="AC76" i="4"/>
  <c r="AD76" i="4"/>
  <c r="AE76" i="4"/>
  <c r="AF76" i="4"/>
  <c r="Z77" i="4"/>
  <c r="AA77" i="4"/>
  <c r="AB77" i="4"/>
  <c r="AC77" i="4"/>
  <c r="AD77" i="4"/>
  <c r="AE77" i="4"/>
  <c r="AG77" i="4" s="1"/>
  <c r="AL77" i="4" s="1"/>
  <c r="AN77" i="4" s="1"/>
  <c r="AF77" i="4"/>
  <c r="Y78" i="4"/>
  <c r="Z78" i="4"/>
  <c r="AA78" i="4"/>
  <c r="AB78" i="4"/>
  <c r="AC78" i="4"/>
  <c r="AD78" i="4"/>
  <c r="AE78" i="4"/>
  <c r="AG78" i="4"/>
  <c r="AF78" i="4"/>
  <c r="Z61" i="4"/>
  <c r="AA61" i="4"/>
  <c r="AB61" i="4"/>
  <c r="AC61" i="4"/>
  <c r="AD61" i="4"/>
  <c r="AE61" i="4"/>
  <c r="AF61" i="4"/>
  <c r="AG61" i="4" s="1"/>
  <c r="T62" i="4"/>
  <c r="U62" i="4"/>
  <c r="V62" i="4"/>
  <c r="W62" i="4"/>
  <c r="T63" i="4"/>
  <c r="U63" i="4"/>
  <c r="V63" i="4"/>
  <c r="W63" i="4"/>
  <c r="T64" i="4"/>
  <c r="U64" i="4"/>
  <c r="V64" i="4"/>
  <c r="W64" i="4"/>
  <c r="T65" i="4"/>
  <c r="U65" i="4"/>
  <c r="V65" i="4"/>
  <c r="W65" i="4"/>
  <c r="T66" i="4"/>
  <c r="U66" i="4"/>
  <c r="V66" i="4"/>
  <c r="W66" i="4"/>
  <c r="T67" i="4"/>
  <c r="U67" i="4"/>
  <c r="V67" i="4"/>
  <c r="W67" i="4"/>
  <c r="T68" i="4"/>
  <c r="U68" i="4"/>
  <c r="V68" i="4"/>
  <c r="W68" i="4"/>
  <c r="T69" i="4"/>
  <c r="U69" i="4"/>
  <c r="V69" i="4"/>
  <c r="W69" i="4"/>
  <c r="T70" i="4"/>
  <c r="U70" i="4"/>
  <c r="V70" i="4"/>
  <c r="W70" i="4"/>
  <c r="T71" i="4"/>
  <c r="U71" i="4"/>
  <c r="V71" i="4"/>
  <c r="W71" i="4"/>
  <c r="T72" i="4"/>
  <c r="AL72" i="4" s="1"/>
  <c r="AN72" i="4" s="1"/>
  <c r="U72" i="4"/>
  <c r="V72" i="4"/>
  <c r="W72" i="4"/>
  <c r="T73" i="4"/>
  <c r="U73" i="4"/>
  <c r="V73" i="4"/>
  <c r="W73" i="4"/>
  <c r="T74" i="4"/>
  <c r="U74" i="4"/>
  <c r="V74" i="4"/>
  <c r="W74" i="4"/>
  <c r="T75" i="4"/>
  <c r="U75" i="4"/>
  <c r="V75" i="4"/>
  <c r="W75" i="4"/>
  <c r="T76" i="4"/>
  <c r="U76" i="4"/>
  <c r="V76" i="4"/>
  <c r="W76" i="4"/>
  <c r="T77" i="4"/>
  <c r="U77" i="4"/>
  <c r="V77" i="4"/>
  <c r="W77" i="4"/>
  <c r="T78" i="4"/>
  <c r="U78" i="4"/>
  <c r="V78" i="4"/>
  <c r="W78" i="4"/>
  <c r="W61" i="4"/>
  <c r="V61" i="4"/>
  <c r="U61" i="4"/>
  <c r="T61" i="4"/>
  <c r="S62" i="4"/>
  <c r="S63" i="4"/>
  <c r="S64" i="4"/>
  <c r="AL64" i="4" s="1"/>
  <c r="AN64" i="4" s="1"/>
  <c r="S65" i="4"/>
  <c r="AK78" i="4"/>
  <c r="AJ78" i="4"/>
  <c r="AI78" i="4"/>
  <c r="AH78" i="4"/>
  <c r="S78" i="4"/>
  <c r="AK77" i="4"/>
  <c r="AJ77" i="4"/>
  <c r="AI77" i="4"/>
  <c r="AH77" i="4"/>
  <c r="S77" i="4"/>
  <c r="AK76" i="4"/>
  <c r="AJ76" i="4"/>
  <c r="AI76" i="4"/>
  <c r="AH76" i="4"/>
  <c r="S76" i="4"/>
  <c r="AK75" i="4"/>
  <c r="AJ75" i="4"/>
  <c r="AI75" i="4"/>
  <c r="AH75" i="4"/>
  <c r="S75" i="4"/>
  <c r="AK74" i="4"/>
  <c r="AJ74" i="4"/>
  <c r="AI74" i="4"/>
  <c r="AH74" i="4"/>
  <c r="S74" i="4"/>
  <c r="AK73" i="4"/>
  <c r="AJ73" i="4"/>
  <c r="AI73" i="4"/>
  <c r="AH73" i="4"/>
  <c r="S73" i="4"/>
  <c r="AK72" i="4"/>
  <c r="AJ72" i="4"/>
  <c r="AI72" i="4"/>
  <c r="AH72" i="4"/>
  <c r="S72" i="4"/>
  <c r="AK71" i="4"/>
  <c r="AJ71" i="4"/>
  <c r="AI71" i="4"/>
  <c r="AH71" i="4"/>
  <c r="S71" i="4"/>
  <c r="AK70" i="4"/>
  <c r="AJ70" i="4"/>
  <c r="AI70" i="4"/>
  <c r="AH70" i="4"/>
  <c r="S70" i="4"/>
  <c r="AK69" i="4"/>
  <c r="AJ69" i="4"/>
  <c r="AI69" i="4"/>
  <c r="AH69" i="4"/>
  <c r="S69" i="4"/>
  <c r="AK68" i="4"/>
  <c r="AJ68" i="4"/>
  <c r="AI68" i="4"/>
  <c r="AH68" i="4"/>
  <c r="S68" i="4"/>
  <c r="AK67" i="4"/>
  <c r="AJ67" i="4"/>
  <c r="AI67" i="4"/>
  <c r="AH67" i="4"/>
  <c r="S67" i="4"/>
  <c r="AK66" i="4"/>
  <c r="AJ66" i="4"/>
  <c r="AI66" i="4"/>
  <c r="AH66" i="4"/>
  <c r="S66" i="4"/>
  <c r="AK65" i="4"/>
  <c r="AJ65" i="4"/>
  <c r="AI65" i="4"/>
  <c r="AH65" i="4"/>
  <c r="AK64" i="4"/>
  <c r="AJ64" i="4"/>
  <c r="AI64" i="4"/>
  <c r="AH64" i="4"/>
  <c r="AK63" i="4"/>
  <c r="AJ63" i="4"/>
  <c r="AI63" i="4"/>
  <c r="AH63" i="4"/>
  <c r="AK62" i="4"/>
  <c r="AJ62" i="4"/>
  <c r="AI62" i="4"/>
  <c r="AH62" i="4"/>
  <c r="AK61" i="4"/>
  <c r="AJ61" i="4"/>
  <c r="AI61" i="4"/>
  <c r="AH61" i="4"/>
  <c r="S61" i="4"/>
  <c r="W55" i="4"/>
  <c r="W56" i="4"/>
  <c r="W57" i="4"/>
  <c r="W58" i="4"/>
  <c r="W59" i="4"/>
  <c r="W48" i="4"/>
  <c r="W49" i="4"/>
  <c r="W50" i="4"/>
  <c r="W51" i="4"/>
  <c r="W52" i="4"/>
  <c r="W53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Y46" i="4"/>
  <c r="Z46" i="4"/>
  <c r="AA46" i="4"/>
  <c r="AB46" i="4"/>
  <c r="AC46" i="4"/>
  <c r="AD46" i="4"/>
  <c r="Y47" i="4"/>
  <c r="Z47" i="4"/>
  <c r="AA47" i="4"/>
  <c r="AB47" i="4"/>
  <c r="AC47" i="4"/>
  <c r="AD47" i="4"/>
  <c r="Y48" i="4"/>
  <c r="Z48" i="4"/>
  <c r="AA48" i="4"/>
  <c r="AB48" i="4"/>
  <c r="AC48" i="4"/>
  <c r="AD48" i="4"/>
  <c r="Y49" i="4"/>
  <c r="Z49" i="4"/>
  <c r="AA49" i="4"/>
  <c r="AB49" i="4"/>
  <c r="AC49" i="4"/>
  <c r="AD49" i="4"/>
  <c r="Y50" i="4"/>
  <c r="Z50" i="4"/>
  <c r="AA50" i="4"/>
  <c r="AB50" i="4"/>
  <c r="AC50" i="4"/>
  <c r="AD50" i="4"/>
  <c r="Y51" i="4"/>
  <c r="Z51" i="4"/>
  <c r="AA51" i="4"/>
  <c r="AB51" i="4"/>
  <c r="AC51" i="4"/>
  <c r="AD51" i="4"/>
  <c r="Y52" i="4"/>
  <c r="Z52" i="4"/>
  <c r="AA52" i="4"/>
  <c r="AB52" i="4"/>
  <c r="AC52" i="4"/>
  <c r="AD52" i="4"/>
  <c r="Y53" i="4"/>
  <c r="Z53" i="4"/>
  <c r="AA53" i="4"/>
  <c r="AB53" i="4"/>
  <c r="AC53" i="4"/>
  <c r="AD53" i="4"/>
  <c r="Y54" i="4"/>
  <c r="Z54" i="4"/>
  <c r="AA54" i="4"/>
  <c r="AB54" i="4"/>
  <c r="AC54" i="4"/>
  <c r="AD54" i="4"/>
  <c r="Y55" i="4"/>
  <c r="Z55" i="4"/>
  <c r="AA55" i="4"/>
  <c r="AB55" i="4"/>
  <c r="AC55" i="4"/>
  <c r="AD55" i="4"/>
  <c r="Y56" i="4"/>
  <c r="Z56" i="4"/>
  <c r="AA56" i="4"/>
  <c r="AB56" i="4"/>
  <c r="AC56" i="4"/>
  <c r="AD56" i="4"/>
  <c r="Y57" i="4"/>
  <c r="Z57" i="4"/>
  <c r="AA57" i="4"/>
  <c r="AB57" i="4"/>
  <c r="AC57" i="4"/>
  <c r="AD57" i="4"/>
  <c r="Y58" i="4"/>
  <c r="Z58" i="4"/>
  <c r="AA58" i="4"/>
  <c r="AB58" i="4"/>
  <c r="AC58" i="4"/>
  <c r="AD58" i="4"/>
  <c r="Y59" i="4"/>
  <c r="Z59" i="4"/>
  <c r="AA59" i="4"/>
  <c r="AB59" i="4"/>
  <c r="AC59" i="4"/>
  <c r="AD59" i="4"/>
  <c r="Y60" i="4"/>
  <c r="Z60" i="4"/>
  <c r="AA60" i="4"/>
  <c r="AB60" i="4"/>
  <c r="AC60" i="4"/>
  <c r="AD60" i="4"/>
  <c r="T46" i="4"/>
  <c r="U46" i="4"/>
  <c r="V46" i="4"/>
  <c r="W46" i="4"/>
  <c r="W44" i="4"/>
  <c r="W45" i="4"/>
  <c r="X43" i="4"/>
  <c r="Y43" i="4"/>
  <c r="Z43" i="4"/>
  <c r="AA43" i="4"/>
  <c r="AB43" i="4"/>
  <c r="AC43" i="4"/>
  <c r="AD43" i="4"/>
  <c r="X44" i="4"/>
  <c r="Y44" i="4"/>
  <c r="Z44" i="4"/>
  <c r="AA44" i="4"/>
  <c r="AB44" i="4"/>
  <c r="AC44" i="4"/>
  <c r="AD44" i="4"/>
  <c r="X45" i="4"/>
  <c r="Y45" i="4"/>
  <c r="Z45" i="4"/>
  <c r="AA45" i="4"/>
  <c r="AB45" i="4"/>
  <c r="AC45" i="4"/>
  <c r="AD45" i="4"/>
  <c r="AB42" i="4"/>
  <c r="AC42" i="4"/>
  <c r="AD42" i="4"/>
  <c r="W40" i="4"/>
  <c r="X40" i="4"/>
  <c r="Y40" i="4"/>
  <c r="Z40" i="4"/>
  <c r="AA40" i="4"/>
  <c r="AB40" i="4"/>
  <c r="AC40" i="4"/>
  <c r="AD40" i="4"/>
  <c r="W41" i="4"/>
  <c r="X41" i="4"/>
  <c r="Y41" i="4"/>
  <c r="Z41" i="4"/>
  <c r="AA41" i="4"/>
  <c r="AB41" i="4"/>
  <c r="AC41" i="4"/>
  <c r="AD41" i="4"/>
  <c r="W42" i="4"/>
  <c r="X42" i="4"/>
  <c r="Y42" i="4"/>
  <c r="Z42" i="4"/>
  <c r="AA42" i="4"/>
  <c r="W39" i="4"/>
  <c r="X39" i="4"/>
  <c r="Y39" i="4"/>
  <c r="Z39" i="4"/>
  <c r="AA39" i="4"/>
  <c r="AB39" i="4"/>
  <c r="AC39" i="4"/>
  <c r="AD39" i="4"/>
  <c r="AE60" i="4"/>
  <c r="AF60" i="4"/>
  <c r="AH60" i="4"/>
  <c r="AI60" i="4"/>
  <c r="AJ60" i="4"/>
  <c r="AK60" i="4"/>
  <c r="S44" i="4"/>
  <c r="S45" i="4"/>
  <c r="S46" i="4"/>
  <c r="S47" i="4"/>
  <c r="S48" i="4"/>
  <c r="S49" i="4"/>
  <c r="S50" i="4"/>
  <c r="S51" i="4"/>
  <c r="S52" i="4"/>
  <c r="S53" i="4"/>
  <c r="S55" i="4"/>
  <c r="S56" i="4"/>
  <c r="S57" i="4"/>
  <c r="S58" i="4"/>
  <c r="S59" i="4"/>
  <c r="AE43" i="4"/>
  <c r="AE44" i="4"/>
  <c r="AG44" i="4"/>
  <c r="AE45" i="4"/>
  <c r="AE46" i="4"/>
  <c r="AE47" i="4"/>
  <c r="AE48" i="4"/>
  <c r="AE49" i="4"/>
  <c r="AE50" i="4"/>
  <c r="AG50" i="4" s="1"/>
  <c r="AE51" i="4"/>
  <c r="AE52" i="4"/>
  <c r="AE53" i="4"/>
  <c r="AE54" i="4"/>
  <c r="AE55" i="4"/>
  <c r="AE56" i="4"/>
  <c r="AG56" i="4" s="1"/>
  <c r="AE57" i="4"/>
  <c r="AE58" i="4"/>
  <c r="AE59" i="4"/>
  <c r="AF43" i="4"/>
  <c r="AF44" i="4"/>
  <c r="AF45" i="4"/>
  <c r="AF46" i="4"/>
  <c r="AF47" i="4"/>
  <c r="AF48" i="4"/>
  <c r="AF49" i="4"/>
  <c r="AG49" i="4" s="1"/>
  <c r="AF50" i="4"/>
  <c r="AF51" i="4"/>
  <c r="AG51" i="4" s="1"/>
  <c r="AF52" i="4"/>
  <c r="AF53" i="4"/>
  <c r="AF54" i="4"/>
  <c r="AF55" i="4"/>
  <c r="AG55" i="4" s="1"/>
  <c r="AF56" i="4"/>
  <c r="AF57" i="4"/>
  <c r="AF58" i="4"/>
  <c r="AG58" i="4"/>
  <c r="AF59" i="4"/>
  <c r="AG59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S42" i="4"/>
  <c r="AE42" i="4"/>
  <c r="AF42" i="4"/>
  <c r="AG42" i="4"/>
  <c r="AH42" i="4"/>
  <c r="AI42" i="4"/>
  <c r="AJ42" i="4"/>
  <c r="AK42" i="4"/>
  <c r="S39" i="4"/>
  <c r="S40" i="4"/>
  <c r="S41" i="4"/>
  <c r="AE39" i="4"/>
  <c r="AG39" i="4" s="1"/>
  <c r="AL39" i="4" s="1"/>
  <c r="AN39" i="4" s="1"/>
  <c r="AE40" i="4"/>
  <c r="AE41" i="4"/>
  <c r="AG41" i="4" s="1"/>
  <c r="AF39" i="4"/>
  <c r="AF40" i="4"/>
  <c r="AF41" i="4"/>
  <c r="AH39" i="4"/>
  <c r="AH40" i="4"/>
  <c r="AH41" i="4"/>
  <c r="AI39" i="4"/>
  <c r="AI40" i="4"/>
  <c r="AI41" i="4"/>
  <c r="AJ39" i="4"/>
  <c r="AJ40" i="4"/>
  <c r="AJ41" i="4"/>
  <c r="AK39" i="4"/>
  <c r="AK40" i="4"/>
  <c r="AK41" i="4"/>
  <c r="S38" i="4"/>
  <c r="AE38" i="4"/>
  <c r="AG38" i="4"/>
  <c r="AF38" i="4"/>
  <c r="AH38" i="4"/>
  <c r="AI38" i="4"/>
  <c r="AJ38" i="4"/>
  <c r="AK38" i="4"/>
  <c r="S37" i="4"/>
  <c r="AE37" i="4"/>
  <c r="AG37" i="4" s="1"/>
  <c r="AL37" i="4" s="1"/>
  <c r="AN37" i="4" s="1"/>
  <c r="AF37" i="4"/>
  <c r="AH37" i="4"/>
  <c r="AI37" i="4"/>
  <c r="AJ37" i="4"/>
  <c r="AK37" i="4"/>
  <c r="S36" i="4"/>
  <c r="AE36" i="4"/>
  <c r="AG36" i="4" s="1"/>
  <c r="AF36" i="4"/>
  <c r="AH36" i="4"/>
  <c r="AI36" i="4"/>
  <c r="AJ36" i="4"/>
  <c r="AK36" i="4"/>
  <c r="S35" i="4"/>
  <c r="AE35" i="4"/>
  <c r="AF35" i="4"/>
  <c r="AH35" i="4"/>
  <c r="AI35" i="4"/>
  <c r="AJ35" i="4"/>
  <c r="AK35" i="4"/>
  <c r="S34" i="4"/>
  <c r="AE34" i="4"/>
  <c r="AF34" i="4"/>
  <c r="AH34" i="4"/>
  <c r="AI34" i="4"/>
  <c r="AJ34" i="4"/>
  <c r="AK34" i="4"/>
  <c r="S33" i="4"/>
  <c r="AE33" i="4"/>
  <c r="AG33" i="4"/>
  <c r="AL33" i="4" s="1"/>
  <c r="AN33" i="4" s="1"/>
  <c r="AF33" i="4"/>
  <c r="AH33" i="4"/>
  <c r="AI33" i="4"/>
  <c r="AJ33" i="4"/>
  <c r="AK33" i="4"/>
  <c r="S32" i="4"/>
  <c r="AE32" i="4"/>
  <c r="AG32" i="4"/>
  <c r="AF32" i="4"/>
  <c r="AH32" i="4"/>
  <c r="AI32" i="4"/>
  <c r="AJ32" i="4"/>
  <c r="AK32" i="4"/>
  <c r="S27" i="4"/>
  <c r="S28" i="4"/>
  <c r="S29" i="4"/>
  <c r="S30" i="4"/>
  <c r="S31" i="4"/>
  <c r="AE27" i="4"/>
  <c r="AE28" i="4"/>
  <c r="AG28" i="4" s="1"/>
  <c r="AE29" i="4"/>
  <c r="AE30" i="4"/>
  <c r="AG30" i="4" s="1"/>
  <c r="AL30" i="4" s="1"/>
  <c r="AN30" i="4" s="1"/>
  <c r="AE31" i="4"/>
  <c r="AF27" i="4"/>
  <c r="AF28" i="4"/>
  <c r="AF29" i="4"/>
  <c r="AF30" i="4"/>
  <c r="AF31" i="4"/>
  <c r="AH27" i="4"/>
  <c r="AH28" i="4"/>
  <c r="AH29" i="4"/>
  <c r="AH30" i="4"/>
  <c r="AH31" i="4"/>
  <c r="AI27" i="4"/>
  <c r="AI28" i="4"/>
  <c r="AI29" i="4"/>
  <c r="AI30" i="4"/>
  <c r="AI31" i="4"/>
  <c r="AJ27" i="4"/>
  <c r="AJ28" i="4"/>
  <c r="AJ29" i="4"/>
  <c r="AJ30" i="4"/>
  <c r="AJ31" i="4"/>
  <c r="AK27" i="4"/>
  <c r="AK28" i="4"/>
  <c r="AK29" i="4"/>
  <c r="AK30" i="4"/>
  <c r="AK31" i="4"/>
  <c r="S26" i="4"/>
  <c r="AE26" i="4"/>
  <c r="AF26" i="4"/>
  <c r="AG26" i="4" s="1"/>
  <c r="AL26" i="4" s="1"/>
  <c r="AN26" i="4" s="1"/>
  <c r="AH26" i="4"/>
  <c r="AI26" i="4"/>
  <c r="AJ26" i="4"/>
  <c r="AK26" i="4"/>
  <c r="X24" i="4"/>
  <c r="Y24" i="4"/>
  <c r="Z24" i="4"/>
  <c r="AA24" i="4"/>
  <c r="AB24" i="4"/>
  <c r="AC24" i="4"/>
  <c r="AD24" i="4"/>
  <c r="X25" i="4"/>
  <c r="Y25" i="4"/>
  <c r="Z25" i="4"/>
  <c r="AA25" i="4"/>
  <c r="AB25" i="4"/>
  <c r="AC25" i="4"/>
  <c r="AD25" i="4"/>
  <c r="R24" i="4"/>
  <c r="S24" i="4"/>
  <c r="T24" i="4"/>
  <c r="R25" i="4"/>
  <c r="S25" i="4"/>
  <c r="T25" i="4"/>
  <c r="AE24" i="4"/>
  <c r="AE25" i="4"/>
  <c r="AG25" i="4" s="1"/>
  <c r="AL25" i="4" s="1"/>
  <c r="AN25" i="4" s="1"/>
  <c r="AF24" i="4"/>
  <c r="AG24" i="4" s="1"/>
  <c r="AF25" i="4"/>
  <c r="AH24" i="4"/>
  <c r="AH25" i="4"/>
  <c r="AI24" i="4"/>
  <c r="AI25" i="4"/>
  <c r="AJ24" i="4"/>
  <c r="AJ25" i="4"/>
  <c r="AK24" i="4"/>
  <c r="AK25" i="4"/>
  <c r="T23" i="4"/>
  <c r="T22" i="4"/>
  <c r="R23" i="4"/>
  <c r="R22" i="4"/>
  <c r="AD23" i="4"/>
  <c r="AC23" i="4"/>
  <c r="AB23" i="4"/>
  <c r="AA23" i="4"/>
  <c r="Z23" i="4"/>
  <c r="Y23" i="4"/>
  <c r="X23" i="4"/>
  <c r="AD22" i="4"/>
  <c r="AC22" i="4"/>
  <c r="AB22" i="4"/>
  <c r="AA22" i="4"/>
  <c r="Z22" i="4"/>
  <c r="Y22" i="4"/>
  <c r="X22" i="4"/>
  <c r="S22" i="4"/>
  <c r="S23" i="4"/>
  <c r="AE22" i="4"/>
  <c r="AG22" i="4" s="1"/>
  <c r="AE23" i="4"/>
  <c r="AF22" i="4"/>
  <c r="AF23" i="4"/>
  <c r="AG23" i="4"/>
  <c r="AH22" i="4"/>
  <c r="AH23" i="4"/>
  <c r="AI22" i="4"/>
  <c r="AI23" i="4"/>
  <c r="AJ22" i="4"/>
  <c r="AJ23" i="4"/>
  <c r="AK22" i="4"/>
  <c r="AK23" i="4"/>
  <c r="S21" i="4"/>
  <c r="AE21" i="4"/>
  <c r="AF21" i="4"/>
  <c r="AG21" i="4"/>
  <c r="AL21" i="4" s="1"/>
  <c r="AN21" i="4" s="1"/>
  <c r="AH21" i="4"/>
  <c r="AI21" i="4"/>
  <c r="AJ21" i="4"/>
  <c r="AK21" i="4"/>
  <c r="S20" i="4"/>
  <c r="AE20" i="4"/>
  <c r="AF20" i="4"/>
  <c r="AH20" i="4"/>
  <c r="AI20" i="4"/>
  <c r="AJ20" i="4"/>
  <c r="AK20" i="4"/>
  <c r="S19" i="4"/>
  <c r="AE19" i="4"/>
  <c r="AF19" i="4"/>
  <c r="AG19" i="4" s="1"/>
  <c r="AH19" i="4"/>
  <c r="AI19" i="4"/>
  <c r="AJ19" i="4"/>
  <c r="AK19" i="4"/>
  <c r="AM12" i="4"/>
  <c r="AM13" i="4"/>
  <c r="AM14" i="4"/>
  <c r="AM17" i="4"/>
  <c r="AM18" i="4"/>
  <c r="X18" i="4"/>
  <c r="Y18" i="4"/>
  <c r="Z18" i="4"/>
  <c r="AA18" i="4"/>
  <c r="AB18" i="4"/>
  <c r="AC18" i="4"/>
  <c r="AD18" i="4"/>
  <c r="W18" i="4"/>
  <c r="R18" i="4"/>
  <c r="S18" i="4"/>
  <c r="AE18" i="4"/>
  <c r="AF18" i="4"/>
  <c r="AH18" i="4"/>
  <c r="AI18" i="4"/>
  <c r="AJ18" i="4"/>
  <c r="AK18" i="4"/>
  <c r="T17" i="4"/>
  <c r="U17" i="4"/>
  <c r="V17" i="4"/>
  <c r="W17" i="4"/>
  <c r="Y17" i="4"/>
  <c r="Z17" i="4"/>
  <c r="AA17" i="4"/>
  <c r="AB17" i="4"/>
  <c r="AC17" i="4"/>
  <c r="AD17" i="4"/>
  <c r="R17" i="4"/>
  <c r="S17" i="4"/>
  <c r="AE17" i="4"/>
  <c r="AF17" i="4"/>
  <c r="AG17" i="4" s="1"/>
  <c r="AH17" i="4"/>
  <c r="AI17" i="4"/>
  <c r="AJ17" i="4"/>
  <c r="AK17" i="4"/>
  <c r="R14" i="4"/>
  <c r="S14" i="4"/>
  <c r="AE14" i="4"/>
  <c r="AG14" i="4"/>
  <c r="AF14" i="4"/>
  <c r="AH14" i="4"/>
  <c r="AI14" i="4"/>
  <c r="AJ14" i="4"/>
  <c r="AK14" i="4"/>
  <c r="Z13" i="4"/>
  <c r="AA13" i="4"/>
  <c r="AB13" i="4"/>
  <c r="AD13" i="4"/>
  <c r="R13" i="4"/>
  <c r="S13" i="4"/>
  <c r="T13" i="4"/>
  <c r="U13" i="4"/>
  <c r="V13" i="4"/>
  <c r="AE13" i="4"/>
  <c r="AF13" i="4"/>
  <c r="AH13" i="4"/>
  <c r="AI13" i="4"/>
  <c r="AJ13" i="4"/>
  <c r="AK13" i="4"/>
  <c r="R6" i="4"/>
  <c r="S6" i="4"/>
  <c r="T6" i="4"/>
  <c r="U6" i="4"/>
  <c r="R7" i="4"/>
  <c r="S7" i="4"/>
  <c r="T7" i="4"/>
  <c r="U7" i="4"/>
  <c r="R8" i="4"/>
  <c r="S8" i="4"/>
  <c r="T8" i="4"/>
  <c r="U8" i="4"/>
  <c r="R9" i="4"/>
  <c r="S9" i="4"/>
  <c r="T9" i="4"/>
  <c r="U9" i="4"/>
  <c r="R10" i="4"/>
  <c r="S10" i="4"/>
  <c r="T10" i="4"/>
  <c r="U10" i="4"/>
  <c r="R11" i="4"/>
  <c r="S11" i="4"/>
  <c r="T11" i="4"/>
  <c r="U11" i="4"/>
  <c r="R12" i="4"/>
  <c r="S12" i="4"/>
  <c r="T12" i="4"/>
  <c r="U12" i="4"/>
  <c r="AB6" i="4"/>
  <c r="AC6" i="4"/>
  <c r="AD6" i="4"/>
  <c r="AE6" i="4"/>
  <c r="AF6" i="4"/>
  <c r="AG6" i="4" s="1"/>
  <c r="AM11" i="4"/>
  <c r="AM10" i="4"/>
  <c r="AM6" i="4"/>
  <c r="AD12" i="4"/>
  <c r="AB12" i="4"/>
  <c r="AA12" i="4"/>
  <c r="Z12" i="4"/>
  <c r="X12" i="4"/>
  <c r="W12" i="4"/>
  <c r="V12" i="4"/>
  <c r="AD11" i="4"/>
  <c r="AB11" i="4"/>
  <c r="AA11" i="4"/>
  <c r="Z11" i="4"/>
  <c r="X11" i="4"/>
  <c r="W11" i="4"/>
  <c r="V11" i="4"/>
  <c r="AD10" i="4"/>
  <c r="AB10" i="4"/>
  <c r="AA10" i="4"/>
  <c r="Z10" i="4"/>
  <c r="X10" i="4"/>
  <c r="W10" i="4"/>
  <c r="V10" i="4"/>
  <c r="AD9" i="4"/>
  <c r="AB9" i="4"/>
  <c r="AA9" i="4"/>
  <c r="Z9" i="4"/>
  <c r="X9" i="4"/>
  <c r="W9" i="4"/>
  <c r="V9" i="4"/>
  <c r="AD8" i="4"/>
  <c r="AB8" i="4"/>
  <c r="AA8" i="4"/>
  <c r="Z8" i="4"/>
  <c r="X8" i="4"/>
  <c r="W8" i="4"/>
  <c r="V8" i="4"/>
  <c r="AD7" i="4"/>
  <c r="AB7" i="4"/>
  <c r="AA7" i="4"/>
  <c r="Z7" i="4"/>
  <c r="X7" i="4"/>
  <c r="W7" i="4"/>
  <c r="V7" i="4"/>
  <c r="AA6" i="4"/>
  <c r="Z6" i="4"/>
  <c r="X6" i="4"/>
  <c r="W6" i="4"/>
  <c r="V6" i="4"/>
  <c r="AK12" i="4"/>
  <c r="AJ12" i="4"/>
  <c r="AI12" i="4"/>
  <c r="AH12" i="4"/>
  <c r="AF12" i="4"/>
  <c r="AE12" i="4"/>
  <c r="AG12" i="4" s="1"/>
  <c r="AL12" i="4" s="1"/>
  <c r="AN12" i="4" s="1"/>
  <c r="AK11" i="4"/>
  <c r="AJ11" i="4"/>
  <c r="AI11" i="4"/>
  <c r="AH11" i="4"/>
  <c r="AF11" i="4"/>
  <c r="AE11" i="4"/>
  <c r="AG11" i="4"/>
  <c r="AK10" i="4"/>
  <c r="AJ10" i="4"/>
  <c r="AI10" i="4"/>
  <c r="AH10" i="4"/>
  <c r="AF10" i="4"/>
  <c r="AE10" i="4"/>
  <c r="AK9" i="4"/>
  <c r="AJ9" i="4"/>
  <c r="AI9" i="4"/>
  <c r="AH9" i="4"/>
  <c r="AF9" i="4"/>
  <c r="AE9" i="4"/>
  <c r="AG9" i="4" s="1"/>
  <c r="AK8" i="4"/>
  <c r="AJ8" i="4"/>
  <c r="AI8" i="4"/>
  <c r="AH8" i="4"/>
  <c r="AF8" i="4"/>
  <c r="AG8" i="4" s="1"/>
  <c r="AL8" i="4" s="1"/>
  <c r="AN8" i="4" s="1"/>
  <c r="AE8" i="4"/>
  <c r="AK7" i="4"/>
  <c r="AJ7" i="4"/>
  <c r="AI7" i="4"/>
  <c r="AH7" i="4"/>
  <c r="AF7" i="4"/>
  <c r="AE7" i="4"/>
  <c r="AG7" i="4" s="1"/>
  <c r="AK6" i="4"/>
  <c r="AJ6" i="4"/>
  <c r="AI6" i="4"/>
  <c r="AH6" i="4"/>
  <c r="A2" i="4"/>
  <c r="AG54" i="4"/>
  <c r="AL54" i="4" s="1"/>
  <c r="AN54" i="4" s="1"/>
  <c r="AG63" i="4"/>
  <c r="AL63" i="4" s="1"/>
  <c r="AN63" i="4" s="1"/>
  <c r="AG92" i="4"/>
  <c r="AL92" i="4" s="1"/>
  <c r="AN92" i="4" s="1"/>
  <c r="AG109" i="4"/>
  <c r="AG114" i="4"/>
  <c r="AL114" i="4" s="1"/>
  <c r="AN114" i="4" s="1"/>
  <c r="AG95" i="4"/>
  <c r="AG115" i="4"/>
  <c r="AG46" i="4"/>
  <c r="AL46" i="4" s="1"/>
  <c r="AN46" i="4" s="1"/>
  <c r="AG34" i="4"/>
  <c r="AL34" i="4" s="1"/>
  <c r="AN34" i="4" s="1"/>
  <c r="AG73" i="4"/>
  <c r="AL73" i="4" s="1"/>
  <c r="AN73" i="4" s="1"/>
  <c r="AG85" i="4"/>
  <c r="AL85" i="4" s="1"/>
  <c r="AN85" i="4" s="1"/>
  <c r="AG60" i="4"/>
  <c r="AL60" i="4" s="1"/>
  <c r="AN60" i="4" s="1"/>
  <c r="AG151" i="4"/>
  <c r="AG135" i="4"/>
  <c r="AL135" i="4" s="1"/>
  <c r="AN135" i="4" s="1"/>
  <c r="AG96" i="4"/>
  <c r="AL96" i="4" s="1"/>
  <c r="AN96" i="4" s="1"/>
  <c r="AG149" i="4"/>
  <c r="AG47" i="4"/>
  <c r="AL47" i="4" s="1"/>
  <c r="AN47" i="4" s="1"/>
  <c r="AG65" i="4"/>
  <c r="AG84" i="4"/>
  <c r="AL84" i="4" s="1"/>
  <c r="AN84" i="4" s="1"/>
  <c r="AG29" i="4"/>
  <c r="AL29" i="4" s="1"/>
  <c r="AN29" i="4" s="1"/>
  <c r="AG35" i="4"/>
  <c r="AG102" i="4"/>
  <c r="AL102" i="4" s="1"/>
  <c r="AN102" i="4" s="1"/>
  <c r="AG53" i="4"/>
  <c r="AG87" i="4"/>
  <c r="AL87" i="4" s="1"/>
  <c r="AN87" i="4" s="1"/>
  <c r="AG111" i="4"/>
  <c r="AG132" i="4"/>
  <c r="AL132" i="4" s="1"/>
  <c r="AN132" i="4" s="1"/>
  <c r="AG141" i="4"/>
  <c r="AL141" i="4" s="1"/>
  <c r="AN141" i="4" s="1"/>
  <c r="AL122" i="4"/>
  <c r="AN122" i="4" s="1"/>
  <c r="AG118" i="4"/>
  <c r="AG15" i="4"/>
  <c r="AL15" i="4" s="1"/>
  <c r="AN15" i="4" s="1"/>
  <c r="AG142" i="4"/>
  <c r="AL142" i="4" s="1"/>
  <c r="AN142" i="4" s="1"/>
  <c r="AG40" i="4"/>
  <c r="AG45" i="4"/>
  <c r="AL45" i="4" s="1"/>
  <c r="AN45" i="4" s="1"/>
  <c r="AG82" i="4"/>
  <c r="AL82" i="4" s="1"/>
  <c r="AN82" i="4" s="1"/>
  <c r="AG27" i="4"/>
  <c r="AG52" i="4"/>
  <c r="AL52" i="4" s="1"/>
  <c r="AN52" i="4" s="1"/>
  <c r="AG48" i="4"/>
  <c r="AG13" i="4"/>
  <c r="AG31" i="4"/>
  <c r="AL31" i="4" s="1"/>
  <c r="AN31" i="4" s="1"/>
  <c r="AG43" i="4"/>
  <c r="AG104" i="4"/>
  <c r="AL104" i="4" s="1"/>
  <c r="AN104" i="4" s="1"/>
  <c r="AG113" i="4"/>
  <c r="AL113" i="4" s="1"/>
  <c r="AN113" i="4" s="1"/>
  <c r="AG139" i="4"/>
  <c r="AG119" i="4"/>
  <c r="AL119" i="4" s="1"/>
  <c r="AN119" i="4" s="1"/>
  <c r="AL41" i="4" l="1"/>
  <c r="AN41" i="4" s="1"/>
  <c r="AL112" i="4"/>
  <c r="AN112" i="4" s="1"/>
  <c r="AL71" i="4"/>
  <c r="AN71" i="4" s="1"/>
  <c r="AL95" i="4"/>
  <c r="AN95" i="4" s="1"/>
  <c r="AL146" i="4"/>
  <c r="AN146" i="4" s="1"/>
  <c r="AL17" i="4"/>
  <c r="AN17" i="4" s="1"/>
  <c r="AL22" i="4"/>
  <c r="AN22" i="4" s="1"/>
  <c r="AL86" i="4"/>
  <c r="AN86" i="4" s="1"/>
  <c r="AL9" i="4"/>
  <c r="AN9" i="4" s="1"/>
  <c r="AL14" i="4"/>
  <c r="AN14" i="4" s="1"/>
  <c r="AL23" i="4"/>
  <c r="AN23" i="4" s="1"/>
  <c r="AL32" i="4"/>
  <c r="AN32" i="4" s="1"/>
  <c r="AG143" i="4"/>
  <c r="AL143" i="4" s="1"/>
  <c r="AN143" i="4" s="1"/>
  <c r="AL13" i="4"/>
  <c r="AN13" i="4" s="1"/>
  <c r="AL149" i="4"/>
  <c r="AN149" i="4" s="1"/>
  <c r="AL151" i="4"/>
  <c r="AN151" i="4" s="1"/>
  <c r="AL11" i="4"/>
  <c r="AN11" i="4" s="1"/>
  <c r="AL6" i="4"/>
  <c r="AN6" i="4" s="1"/>
  <c r="AL7" i="4"/>
  <c r="AN7" i="4" s="1"/>
  <c r="AL42" i="4"/>
  <c r="AN42" i="4" s="1"/>
  <c r="AL59" i="4"/>
  <c r="AL50" i="4"/>
  <c r="AN50" i="4" s="1"/>
  <c r="AG74" i="4"/>
  <c r="AL74" i="4" s="1"/>
  <c r="AN74" i="4" s="1"/>
  <c r="AL148" i="4"/>
  <c r="AN148" i="4" s="1"/>
  <c r="AL138" i="4"/>
  <c r="AN138" i="4" s="1"/>
  <c r="AL152" i="4"/>
  <c r="AN152" i="4" s="1"/>
  <c r="AL48" i="4"/>
  <c r="AN48" i="4" s="1"/>
  <c r="AG18" i="4"/>
  <c r="AL18" i="4" s="1"/>
  <c r="AN18" i="4" s="1"/>
  <c r="AL19" i="4"/>
  <c r="AN19" i="4" s="1"/>
  <c r="AG20" i="4"/>
  <c r="AL20" i="4" s="1"/>
  <c r="AN20" i="4" s="1"/>
  <c r="AL24" i="4"/>
  <c r="AN24" i="4" s="1"/>
  <c r="AL36" i="4"/>
  <c r="AN36" i="4" s="1"/>
  <c r="AG57" i="4"/>
  <c r="AL57" i="4" s="1"/>
  <c r="AN57" i="4" s="1"/>
  <c r="AG75" i="4"/>
  <c r="AL75" i="4" s="1"/>
  <c r="AN75" i="4" s="1"/>
  <c r="AL79" i="4"/>
  <c r="AN79" i="4" s="1"/>
  <c r="AG97" i="4"/>
  <c r="AL97" i="4" s="1"/>
  <c r="AN97" i="4" s="1"/>
  <c r="AG93" i="4"/>
  <c r="AL93" i="4" s="1"/>
  <c r="AN93" i="4" s="1"/>
  <c r="AG101" i="4"/>
  <c r="AL105" i="4"/>
  <c r="AN105" i="4" s="1"/>
  <c r="AL107" i="4"/>
  <c r="AN107" i="4" s="1"/>
  <c r="AL103" i="4"/>
  <c r="AN103" i="4" s="1"/>
  <c r="AL101" i="4"/>
  <c r="AN101" i="4" s="1"/>
  <c r="AG136" i="4"/>
  <c r="AL136" i="4" s="1"/>
  <c r="AN136" i="4" s="1"/>
  <c r="AL125" i="4"/>
  <c r="AN125" i="4" s="1"/>
  <c r="AL118" i="4"/>
  <c r="AN118" i="4" s="1"/>
  <c r="AL137" i="4"/>
  <c r="AN137" i="4" s="1"/>
  <c r="AG133" i="4"/>
  <c r="AL133" i="4" s="1"/>
  <c r="AN133" i="4" s="1"/>
  <c r="AL129" i="4"/>
  <c r="AN129" i="4" s="1"/>
  <c r="AL139" i="4"/>
  <c r="AN139" i="4" s="1"/>
  <c r="AL43" i="4"/>
  <c r="AN43" i="4" s="1"/>
  <c r="AL111" i="4"/>
  <c r="AN111" i="4" s="1"/>
  <c r="AL35" i="4"/>
  <c r="AN35" i="4" s="1"/>
  <c r="AG10" i="4"/>
  <c r="AL10" i="4" s="1"/>
  <c r="AN10" i="4" s="1"/>
  <c r="AL51" i="4"/>
  <c r="AN51" i="4" s="1"/>
  <c r="AL56" i="4"/>
  <c r="AN56" i="4" s="1"/>
  <c r="AL44" i="4"/>
  <c r="AN44" i="4" s="1"/>
  <c r="AL55" i="4"/>
  <c r="AN55" i="4" s="1"/>
  <c r="AL67" i="4"/>
  <c r="AN67" i="4" s="1"/>
  <c r="AL61" i="4"/>
  <c r="AN61" i="4" s="1"/>
  <c r="AL78" i="4"/>
  <c r="AN78" i="4" s="1"/>
  <c r="AG76" i="4"/>
  <c r="AL76" i="4" s="1"/>
  <c r="AN76" i="4" s="1"/>
  <c r="AL70" i="4"/>
  <c r="AN70" i="4" s="1"/>
  <c r="AL66" i="4"/>
  <c r="AN66" i="4" s="1"/>
  <c r="AL62" i="4"/>
  <c r="AN62" i="4" s="1"/>
  <c r="AL89" i="4"/>
  <c r="AN89" i="4" s="1"/>
  <c r="AL81" i="4"/>
  <c r="AN81" i="4" s="1"/>
  <c r="AL69" i="4"/>
  <c r="AN69" i="4" s="1"/>
  <c r="AL49" i="4"/>
  <c r="AN49" i="4" s="1"/>
  <c r="AL28" i="4"/>
  <c r="AN28" i="4" s="1"/>
  <c r="AL80" i="4"/>
  <c r="AN80" i="4" s="1"/>
  <c r="AG110" i="4"/>
  <c r="AL110" i="4" s="1"/>
  <c r="AN110" i="4" s="1"/>
  <c r="AL150" i="4"/>
  <c r="AN150" i="4" s="1"/>
  <c r="AG147" i="4"/>
  <c r="AL147" i="4" s="1"/>
  <c r="AN147" i="4" s="1"/>
  <c r="AG144" i="4"/>
  <c r="AL144" i="4" s="1"/>
  <c r="AN144" i="4" s="1"/>
  <c r="AG140" i="4"/>
  <c r="AL140" i="4" s="1"/>
  <c r="AN140" i="4" s="1"/>
  <c r="AL128" i="4"/>
  <c r="AN128" i="4" s="1"/>
  <c r="AL27" i="4"/>
  <c r="AN27" i="4" s="1"/>
  <c r="AL40" i="4"/>
  <c r="AN40" i="4" s="1"/>
  <c r="AL53" i="4"/>
  <c r="AN53" i="4" s="1"/>
  <c r="AL65" i="4"/>
  <c r="AN65" i="4" s="1"/>
  <c r="AL115" i="4"/>
  <c r="AN115" i="4" s="1"/>
  <c r="AL109" i="4"/>
  <c r="AN109" i="4" s="1"/>
  <c r="AL38" i="4"/>
  <c r="AN38" i="4" s="1"/>
  <c r="AL58" i="4"/>
  <c r="AN58" i="4" s="1"/>
  <c r="AL100" i="4"/>
  <c r="AN100" i="4" s="1"/>
  <c r="AL88" i="4"/>
  <c r="AN88" i="4" s="1"/>
  <c r="AL108" i="4"/>
  <c r="AN108" i="4" s="1"/>
  <c r="AL145" i="4"/>
  <c r="AN145" i="4" s="1"/>
  <c r="AL117" i="4"/>
  <c r="AN117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P2" authorId="0" shapeId="0" xr:uid="{00000000-0006-0000-0300-000001000000}">
      <text>
        <r>
          <rPr>
            <b/>
            <sz val="9"/>
            <color indexed="8"/>
            <rFont val="Times New Roman"/>
            <family val="1"/>
            <charset val="238"/>
          </rPr>
          <t>Osoby ku</t>
        </r>
      </text>
    </comment>
    <comment ref="Q2" authorId="0" shapeId="0" xr:uid="{00000000-0006-0000-0300-000002000000}">
      <text>
        <r>
          <rPr>
            <b/>
            <sz val="9"/>
            <color indexed="8"/>
            <rFont val="Times New Roman"/>
            <family val="1"/>
            <charset val="238"/>
          </rPr>
          <t>Osoby ku</t>
        </r>
      </text>
    </comment>
  </commentList>
</comments>
</file>

<file path=xl/sharedStrings.xml><?xml version="1.0" encoding="utf-8"?>
<sst xmlns="http://schemas.openxmlformats.org/spreadsheetml/2006/main" count="1653" uniqueCount="600">
  <si>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</si>
  <si>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</si>
  <si>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</si>
  <si>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</si>
  <si>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</si>
  <si>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</si>
  <si>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</si>
  <si>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</si>
  <si>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</si>
  <si>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</si>
  <si>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</si>
  <si>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</si>
  <si>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</si>
  <si>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</si>
  <si>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</si>
  <si>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</si>
  <si>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</si>
  <si>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Numer zamówienia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</si>
  <si>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</si>
  <si>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</si>
  <si>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</si>
  <si>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</si>
  <si>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</si>
  <si>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</si>
  <si>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</si>
  <si>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</si>
  <si>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</si>
  <si>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</si>
  <si>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</si>
  <si>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</si>
  <si>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</si>
  <si>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</si>
  <si>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</si>
  <si>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Materiał</t>
  </si>
  <si>
    <t>Uwagi: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</si>
  <si>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</si>
  <si>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</si>
  <si>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</si>
  <si>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</si>
  <si>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</si>
  <si>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</si>
  <si>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</si>
  <si>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</si>
  <si>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</si>
  <si>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</si>
  <si>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</si>
  <si>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</si>
  <si>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</si>
  <si>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</si>
  <si>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MAGAZYN</t>
  </si>
  <si>
    <t>Do Zamówienia</t>
  </si>
  <si>
    <t>ID. Części</t>
  </si>
  <si>
    <t>Rewizja</t>
  </si>
  <si>
    <t>Braki</t>
  </si>
  <si>
    <t>Notatki</t>
  </si>
  <si>
    <t>Data wpisania
dd-mm-yyyy</t>
  </si>
  <si>
    <t>14</t>
  </si>
  <si>
    <t>15</t>
  </si>
  <si>
    <t>16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</si>
  <si>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</si>
  <si>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</si>
  <si>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</si>
  <si>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</si>
  <si>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</si>
  <si>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</si>
  <si>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</si>
  <si>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</si>
  <si>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</si>
  <si>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</si>
  <si>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</si>
  <si>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</si>
  <si>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</si>
  <si>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</si>
  <si>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kolor błędu</t>
  </si>
  <si>
    <t>nazwisko</t>
  </si>
  <si>
    <t>id części</t>
  </si>
  <si>
    <t>rewizja</t>
  </si>
  <si>
    <t>opis</t>
  </si>
  <si>
    <t>obróbka</t>
  </si>
  <si>
    <t>index</t>
  </si>
  <si>
    <t>-</t>
  </si>
  <si>
    <t>obróbka cieplna</t>
  </si>
  <si>
    <t>powłoka</t>
  </si>
  <si>
    <t>ilość suma</t>
  </si>
  <si>
    <t>ilość start</t>
  </si>
  <si>
    <t>numer zamówienia</t>
  </si>
  <si>
    <t>uwagi</t>
  </si>
  <si>
    <t>ANULOWANO</t>
  </si>
  <si>
    <t>WSTRZYMANO</t>
  </si>
  <si>
    <t>pusty</t>
  </si>
  <si>
    <t>pusty lub -</t>
  </si>
  <si>
    <t>niepusty</t>
  </si>
  <si>
    <t>ile kolumn</t>
  </si>
  <si>
    <t>sprawdzaj wiersze
od (min 6)
do (0 jeśli do końca)</t>
  </si>
  <si>
    <t>BŁĄD</t>
  </si>
  <si>
    <t>&gt; 0</t>
  </si>
  <si>
    <t>&lt; 0</t>
  </si>
  <si>
    <t>wyróżnij</t>
  </si>
  <si>
    <t>data czas</t>
  </si>
  <si>
    <t>magazyn</t>
  </si>
  <si>
    <t>do zamówienia</t>
  </si>
  <si>
    <t>= 0</t>
  </si>
  <si>
    <t>= 0, artykuł istnieje</t>
  </si>
  <si>
    <t>= 0, artykuj nie istnieje</t>
  </si>
  <si>
    <t>wymagana data dostawy</t>
  </si>
  <si>
    <t>dostawca</t>
  </si>
  <si>
    <t>Nr. Części  
/ TYP ALFANUMERYCZNIE</t>
  </si>
  <si>
    <t>Nr. Kat. 
/ TYP NUMERYCZNIE</t>
  </si>
  <si>
    <t>Materiał 
/ PRODUCENT</t>
  </si>
  <si>
    <t>Uzupełnia konstruktor</t>
  </si>
  <si>
    <t>Uzupełnia zamawiający</t>
  </si>
  <si>
    <t>Data wpisania 
yyyy-mm-dd</t>
  </si>
  <si>
    <t>x</t>
  </si>
  <si>
    <t>Długość [mm]</t>
  </si>
  <si>
    <t>x2</t>
  </si>
  <si>
    <t>Nr katalogowy</t>
  </si>
  <si>
    <t>xx</t>
  </si>
  <si>
    <t>xxxx</t>
  </si>
  <si>
    <t>Ilość</t>
  </si>
  <si>
    <t>Zespół</t>
  </si>
  <si>
    <t>Wymagana data dostawy 
yyyy-mm-dd.</t>
  </si>
  <si>
    <t>`</t>
  </si>
  <si>
    <t>9</t>
  </si>
  <si>
    <t>10</t>
  </si>
  <si>
    <t>11</t>
  </si>
  <si>
    <t>12</t>
  </si>
  <si>
    <t>13</t>
  </si>
  <si>
    <t>CDQ2WA16-20DMZ</t>
  </si>
  <si>
    <t>000 - Elementy Wspólne</t>
  </si>
  <si>
    <t>OP705 - Paletka mechaniczna</t>
  </si>
  <si>
    <t>OP710 - Skręcanie</t>
  </si>
  <si>
    <t>OP720.1 - Skręcanie</t>
  </si>
  <si>
    <t>OP720.2  - Skręcanie</t>
  </si>
  <si>
    <t>OP723 - Paletka Mechaniczna</t>
  </si>
  <si>
    <t>OP725 - Skręcanie</t>
  </si>
  <si>
    <t>OP750 - Test Szczelności</t>
  </si>
  <si>
    <t>K. Pyzik</t>
  </si>
  <si>
    <t>Siłownik</t>
  </si>
  <si>
    <t>SMC</t>
  </si>
  <si>
    <t>Podzespół</t>
  </si>
  <si>
    <t>Siłownik blokady</t>
  </si>
  <si>
    <t>A</t>
  </si>
  <si>
    <t>CDQ2A32TF-40DZ</t>
  </si>
  <si>
    <t>Siłownik znakowania</t>
  </si>
  <si>
    <t>brak</t>
  </si>
  <si>
    <t>CDQ2B50TF-10DZ</t>
  </si>
  <si>
    <t>Siłownik podnoszenia lampy</t>
  </si>
  <si>
    <t>ISE30A-01-B-G</t>
  </si>
  <si>
    <t>AR10-M5-A</t>
  </si>
  <si>
    <t>Zawór redukcyjny</t>
  </si>
  <si>
    <t>Cyfrowy przekaźnik ciśnienia</t>
  </si>
  <si>
    <t>Zawory narzędzie górne</t>
  </si>
  <si>
    <t>Schunk</t>
  </si>
  <si>
    <t>MPG-plus 40</t>
  </si>
  <si>
    <t>Chwytak</t>
  </si>
  <si>
    <t>Pin mocujący</t>
  </si>
  <si>
    <t>SPA 40</t>
  </si>
  <si>
    <t>MPG-plus 40-305521</t>
  </si>
  <si>
    <t>SPA 40 - 0471151</t>
  </si>
  <si>
    <t>Bazowanie narzędzia</t>
  </si>
  <si>
    <t>K. Wróblewski</t>
  </si>
  <si>
    <t>GX150</t>
  </si>
  <si>
    <t>GX220</t>
  </si>
  <si>
    <t>Wkrętarka</t>
  </si>
  <si>
    <t>DOGA</t>
  </si>
  <si>
    <t>Wkrętarka na adapterze portalu</t>
  </si>
  <si>
    <t>Wkrętarka na balanserze</t>
  </si>
  <si>
    <t>Zawór 5/3 w środkowym położeniu odpowietrzone</t>
  </si>
  <si>
    <t>Zawory d blokad - Linia</t>
  </si>
  <si>
    <t>Chwytaki Lampy</t>
  </si>
  <si>
    <t>SS5Y3-10-2304131340011243</t>
  </si>
  <si>
    <t>Wyspa zaworowa</t>
  </si>
  <si>
    <t>MS</t>
  </si>
  <si>
    <t>zakup interenetowy 9 sztuk ( 3 SZTUKI 1943, 6 SZTUK 2010 )</t>
  </si>
  <si>
    <t>Kabel ETHERNET czytnika kodów SR-1000 5m   MS: zamieniony na 10 m</t>
  </si>
  <si>
    <t>OP-87231  MS: zamieniony na OP-87232</t>
  </si>
  <si>
    <t>KEYENCE</t>
  </si>
  <si>
    <t>SR-1000</t>
  </si>
  <si>
    <t>control</t>
  </si>
  <si>
    <t>network</t>
  </si>
  <si>
    <t>2m</t>
  </si>
  <si>
    <t>OP-87224</t>
  </si>
  <si>
    <t>OP-87230</t>
  </si>
  <si>
    <t>5m</t>
  </si>
  <si>
    <t>OP-87225</t>
  </si>
  <si>
    <t>OP-87231</t>
  </si>
  <si>
    <t>10m</t>
  </si>
  <si>
    <t>OP-87226</t>
  </si>
  <si>
    <t>OP-87232</t>
  </si>
  <si>
    <t>OP-87225  MS: zamieniony na OP-87226</t>
  </si>
  <si>
    <t>K0142.11203</t>
  </si>
  <si>
    <t>B</t>
  </si>
  <si>
    <t>Pokrętło radełkowe</t>
  </si>
  <si>
    <t>KIPP</t>
  </si>
  <si>
    <t>H. Mech.</t>
  </si>
  <si>
    <t>Mocowanie monitora</t>
  </si>
  <si>
    <t>K. Rowiński</t>
  </si>
  <si>
    <t>IE-FCM-RJ45-C</t>
  </si>
  <si>
    <t>Złącze Ethernet</t>
  </si>
  <si>
    <t>0--IE-FCM-RJ45-C-B-Złącze Ethernet</t>
  </si>
  <si>
    <t>KTP700 Basic</t>
  </si>
  <si>
    <t>Panel HMI</t>
  </si>
  <si>
    <t>--KTP700 Basic-B-Panel HMI</t>
  </si>
  <si>
    <t>SIEMENS</t>
  </si>
  <si>
    <t>H. Elek.</t>
  </si>
  <si>
    <t>uwaga ddo sprawdzenia rzez elektryka</t>
  </si>
  <si>
    <t>SME16LOP</t>
  </si>
  <si>
    <t>Łożysko w obudowie przedłużanej otwartej</t>
  </si>
  <si>
    <t>SA 16</t>
  </si>
  <si>
    <t>Prowadnica wałek z podporą L=659mm</t>
  </si>
  <si>
    <t>Wymiana na nowe u klienta</t>
  </si>
  <si>
    <t>K. Lak</t>
  </si>
  <si>
    <t>CDQ2A12-20M</t>
  </si>
  <si>
    <r>
      <t>CDQ2A12-</t>
    </r>
    <r>
      <rPr>
        <i/>
        <sz val="7"/>
        <color indexed="8"/>
        <rFont val="SWGDT"/>
      </rPr>
      <t xml:space="preserve">
</t>
    </r>
    <r>
      <rPr>
        <i/>
        <sz val="7"/>
        <color indexed="8"/>
        <rFont val="Verdana"/>
        <family val="2"/>
        <charset val="238"/>
      </rPr>
      <t>20DMZ</t>
    </r>
  </si>
  <si>
    <t>K0103.04032</t>
  </si>
  <si>
    <t>Uchwyt</t>
  </si>
  <si>
    <t>FATH</t>
  </si>
  <si>
    <t>Profil 40x40l</t>
  </si>
  <si>
    <t>Bosch Rexroth</t>
  </si>
  <si>
    <t>Profil 40x80L</t>
  </si>
  <si>
    <t>3 842 536 436</t>
  </si>
  <si>
    <t>Zaślepka 40x80</t>
  </si>
  <si>
    <t>REXROTH</t>
  </si>
  <si>
    <t>3 842 529 005</t>
  </si>
  <si>
    <t xml:space="preserve">Kątownik 40-80 </t>
  </si>
  <si>
    <t>K0736.42105</t>
  </si>
  <si>
    <t>Trzpień ustalający</t>
  </si>
  <si>
    <t>M10x1 11380.100.100</t>
  </si>
  <si>
    <t>11380.100.100</t>
  </si>
  <si>
    <t>FABORY</t>
  </si>
  <si>
    <t>K0630.21105</t>
  </si>
  <si>
    <t>K0573.02002555</t>
  </si>
  <si>
    <t>walcowy z gwintem 6x18</t>
  </si>
  <si>
    <t>Kołek</t>
  </si>
  <si>
    <t>ISO 7979D</t>
  </si>
  <si>
    <t>2 sztuki pojbrać z prjektu 1912</t>
  </si>
  <si>
    <r>
      <rPr>
        <sz val="14"/>
        <color indexed="8"/>
        <rFont val="Calibri"/>
        <family val="2"/>
        <charset val="238"/>
      </rPr>
      <t>CDQ2A12-</t>
    </r>
    <r>
      <rPr>
        <i/>
        <sz val="14"/>
        <color indexed="8"/>
        <rFont val="Verdana"/>
        <family val="2"/>
        <charset val="238"/>
      </rPr>
      <t>20DMZ</t>
    </r>
  </si>
  <si>
    <t>RBC1007S</t>
  </si>
  <si>
    <t>Amortyzator</t>
  </si>
  <si>
    <t>CDQ2B20-20DZ</t>
  </si>
  <si>
    <t>W 638_8-2Z</t>
  </si>
  <si>
    <t>Łożysko</t>
  </si>
  <si>
    <t>SKF</t>
  </si>
  <si>
    <t>Śruba dociskowa</t>
  </si>
  <si>
    <t>K0103.05038</t>
  </si>
  <si>
    <t>Śruba dociskowa 
K0103.05038</t>
  </si>
  <si>
    <t>K1065.10</t>
  </si>
  <si>
    <t>K0726.081</t>
  </si>
  <si>
    <t>C</t>
  </si>
  <si>
    <t>Rekojeść</t>
  </si>
  <si>
    <t>K0373.1202006</t>
  </si>
  <si>
    <t>Sworzeń sprężysty</t>
  </si>
  <si>
    <t>K0364.3110040</t>
  </si>
  <si>
    <t>K0364.3110030</t>
  </si>
  <si>
    <t>K0201.120053</t>
  </si>
  <si>
    <t>K0105.16</t>
  </si>
  <si>
    <t>Nakładka ochronna</t>
  </si>
  <si>
    <t>K0102.06050</t>
  </si>
  <si>
    <t>K</t>
  </si>
  <si>
    <t>Szyna</t>
  </si>
  <si>
    <t>HGR15R</t>
  </si>
  <si>
    <t>HIWIN</t>
  </si>
  <si>
    <t>HGH15CAZOH</t>
  </si>
  <si>
    <t>E</t>
  </si>
  <si>
    <t>Wózek</t>
  </si>
  <si>
    <t>09 30 024 0307</t>
  </si>
  <si>
    <t>Obudowa gniazda</t>
  </si>
  <si>
    <t>HARTING</t>
  </si>
  <si>
    <t>Φ8x40</t>
  </si>
  <si>
    <t>I</t>
  </si>
  <si>
    <t>Śruba pasowana</t>
  </si>
  <si>
    <t>Φ8-M6-40</t>
  </si>
  <si>
    <t>walcowy 5x16</t>
  </si>
  <si>
    <t>G</t>
  </si>
  <si>
    <t>DIN 6325</t>
  </si>
  <si>
    <t>bez łba, koniec płaski M6x20</t>
  </si>
  <si>
    <t>D</t>
  </si>
  <si>
    <t>Śruba</t>
  </si>
  <si>
    <t>DIN 913</t>
  </si>
  <si>
    <t>bez łba, koniec płaski M5x50</t>
  </si>
  <si>
    <t>bez łba, koniec płaski M5x25</t>
  </si>
  <si>
    <r>
      <t xml:space="preserve">Uchwyt pałąkowy </t>
    </r>
    <r>
      <rPr>
        <sz val="10"/>
        <rFont val="SWGDT"/>
      </rPr>
      <t xml:space="preserve">
</t>
    </r>
    <r>
      <rPr>
        <sz val="10"/>
        <rFont val="Arial"/>
        <family val="2"/>
        <charset val="238"/>
      </rPr>
      <t>okrągły</t>
    </r>
  </si>
  <si>
    <t>HGR15R L=115mm 2 otw. 
sym.</t>
  </si>
  <si>
    <t>Tabliczka L35 KST 54x37</t>
  </si>
  <si>
    <t>Tabliczka 74x37</t>
  </si>
  <si>
    <t>M.Szcześniak</t>
  </si>
  <si>
    <t>Profil 45x45 L=326</t>
  </si>
  <si>
    <t>3 842 992 425</t>
  </si>
  <si>
    <t>K.Pyzik</t>
  </si>
  <si>
    <t>ISE30A-01-B-L</t>
  </si>
  <si>
    <t>Przekaźnik ciśnienia</t>
  </si>
  <si>
    <t>ISE30A-01-B-L-B-Przekaźnik ciśnienia</t>
  </si>
  <si>
    <t>YU-05</t>
  </si>
  <si>
    <t>Łącznik</t>
  </si>
  <si>
    <t>YU-05-0-Łącznik</t>
  </si>
  <si>
    <t>YA-05_CQ2</t>
  </si>
  <si>
    <t>Wspornik Typu A  pod 
tłoczysko 50, 63mm</t>
  </si>
  <si>
    <t>YA-05_CQ2-0-Wspornik Typu A  pod tłoczysko 50, 63mm</t>
  </si>
  <si>
    <t>3 842 532 812</t>
  </si>
  <si>
    <t>Dowel pin</t>
  </si>
  <si>
    <t>3 842 532 812-A-Dowel pin</t>
  </si>
  <si>
    <t>3 842 524 614</t>
  </si>
  <si>
    <t>Positioning busching</t>
  </si>
  <si>
    <t>3 842 524 614-A-Positioning busching</t>
  </si>
  <si>
    <t>3 842 523 525</t>
  </si>
  <si>
    <t xml:space="preserve">Kątownik 30-30 </t>
  </si>
  <si>
    <t xml:space="preserve">3 842 523 525-B-Kątownik 30-30 </t>
  </si>
  <si>
    <t>3 842 513 458</t>
  </si>
  <si>
    <t>Extension module</t>
  </si>
  <si>
    <t>3 842 513 458-A-Extension module</t>
  </si>
  <si>
    <t>3 842 174 304</t>
  </si>
  <si>
    <t>Corner Module</t>
  </si>
  <si>
    <t>3 842 174 304-B-Corner Module</t>
  </si>
  <si>
    <t>3 842 174 301</t>
  </si>
  <si>
    <t>Corner module</t>
  </si>
  <si>
    <t>3 842 174 301-A-Corner module</t>
  </si>
  <si>
    <t>Rectus-Wtyk szybkozłącza 
21sfaw13mxn</t>
  </si>
  <si>
    <t>Rectus-Wtyk szybkozłącza 21sfaw13mxn</t>
  </si>
  <si>
    <t>Rectus-Wtyk szybkozłącza 21sfaw13mxn-0-Rectus-Wtyk 
szybkozłącza 21sfaw13mxn</t>
  </si>
  <si>
    <t>21sfaw13mxn</t>
  </si>
  <si>
    <t>RECTUS</t>
  </si>
  <si>
    <t>LM10LUU</t>
  </si>
  <si>
    <r>
      <t xml:space="preserve">Łożysko liniowe </t>
    </r>
    <r>
      <rPr>
        <sz val="10"/>
        <color indexed="8"/>
        <rFont val="Arial"/>
        <family val="2"/>
        <charset val="238"/>
      </rPr>
      <t xml:space="preserve">przedłużane </t>
    </r>
    <r>
      <rPr>
        <sz val="10"/>
        <color indexed="8"/>
        <rFont val="Arial"/>
        <family val="2"/>
        <charset val="238"/>
      </rPr>
      <t>zamknięte</t>
    </r>
  </si>
  <si>
    <t>LM10LUU-0-Łożysko liniowe przedłużane zamknięte</t>
  </si>
  <si>
    <t>Poltech</t>
  </si>
  <si>
    <r>
      <t xml:space="preserve">Złączka kątowa </t>
    </r>
    <r>
      <rPr>
        <sz val="10"/>
        <color indexed="8"/>
        <rFont val="Arial"/>
        <family val="2"/>
        <charset val="238"/>
      </rPr>
      <t>zakręcana G1/8 6/4</t>
    </r>
  </si>
  <si>
    <t>3050618-B-Złączka kątowa zakręcana G1/8 6/4</t>
  </si>
  <si>
    <t>PNEUMAX</t>
  </si>
  <si>
    <t>CHI 24</t>
  </si>
  <si>
    <t>Obudowa złącza</t>
  </si>
  <si>
    <t>CHI 24-0-Obudowa złącza</t>
  </si>
  <si>
    <t>ILME</t>
  </si>
  <si>
    <t>HGW15CCZOH</t>
  </si>
  <si>
    <t>F</t>
  </si>
  <si>
    <t>0--HGW15CCZOH-F-Wózek</t>
  </si>
  <si>
    <t>HGW15CCZ0H</t>
  </si>
  <si>
    <t>HGR15R L=80mm 2 otw. 
sym.</t>
  </si>
  <si>
    <t>HGR15R-K-Szyna</t>
  </si>
  <si>
    <t>5150 1_8</t>
  </si>
  <si>
    <t>Króciec szybkozłącza 
DN5 GZ 1/8" Camozzi</t>
  </si>
  <si>
    <t>5150 1_8-0-Króciec szybkozłącza DN5 GZ 1/8" Camozzi</t>
  </si>
  <si>
    <t>Camozzi</t>
  </si>
  <si>
    <t>5051 1_8</t>
  </si>
  <si>
    <t>5051 1/8 
Szybkozłącze DN 5 GZ 
1/8" Camozzi</t>
  </si>
  <si>
    <t>5051 1_8-0-5051 1/8 Szybkozłącze DN 5 GZ 1/8" Camozzi</t>
  </si>
  <si>
    <t>Tabliczka L35 KST 54x37-A-Tabliczka 74x37</t>
  </si>
  <si>
    <t>GRLARQS M54</t>
  </si>
  <si>
    <t>RQS</t>
  </si>
  <si>
    <t>093W404N10</t>
  </si>
  <si>
    <t>Kątownik 40x40</t>
  </si>
  <si>
    <t>Ł. Wcześniak</t>
  </si>
  <si>
    <t>Koncentrator 8xM8 z kablem L=5m</t>
  </si>
  <si>
    <t>BPI 8M303P-5K-B0-KPXA0-050</t>
  </si>
  <si>
    <t>BPI00CM</t>
  </si>
  <si>
    <t>Balluff</t>
  </si>
  <si>
    <t>Koncentrator 4xM8 4 PIN z kablem L=5m</t>
  </si>
  <si>
    <t>BPI00CE</t>
  </si>
  <si>
    <t>Czujnik pola magnetycznego (rowek C-SMC)</t>
  </si>
  <si>
    <t>BMF 214K-PS-C-2A-SA2-S49-00,3</t>
  </si>
  <si>
    <t>BMF00A2</t>
  </si>
  <si>
    <t>Czujnik pola magnetycznego</t>
  </si>
  <si>
    <t>BMF 235K-PS-C-2A-SA2-S49-00,3</t>
  </si>
  <si>
    <t>BMF00C4</t>
  </si>
  <si>
    <t>Opaska mont. do BMF 307</t>
  </si>
  <si>
    <t>BMF 307-HW-73-Z-115</t>
  </si>
  <si>
    <t>BAM02W1</t>
  </si>
  <si>
    <t>Czytnik kodów kreskowych</t>
  </si>
  <si>
    <t>DMR-280X-1121</t>
  </si>
  <si>
    <t>COGNEX</t>
  </si>
  <si>
    <t>Ramka 6B 4 moduły (wtyczka)</t>
  </si>
  <si>
    <t>Han 16 MOD</t>
  </si>
  <si>
    <t>09 14 016 0303</t>
  </si>
  <si>
    <t>Harting</t>
  </si>
  <si>
    <t>Wkładka do RJ45</t>
  </si>
  <si>
    <t>09 14 001 4623</t>
  </si>
  <si>
    <t>Adapter Han RJ45 Modul / RJ45 patchcable</t>
  </si>
  <si>
    <t>09 14 000 9966</t>
  </si>
  <si>
    <t>Obudowa gniazda 4 moduły</t>
  </si>
  <si>
    <t>Han 16B-asg2-QB-21</t>
  </si>
  <si>
    <t>HAR.09 30 016 0270</t>
  </si>
  <si>
    <t>Han MOD zaślepka</t>
  </si>
  <si>
    <t>09 14 000 9950</t>
  </si>
  <si>
    <t>Wkładka męska 24 pin+PE</t>
  </si>
  <si>
    <t>CTSEM 24 L</t>
  </si>
  <si>
    <t>Obudowa gniazda: do złącz HDC</t>
  </si>
  <si>
    <t>Lusterko czujnika odbiciowego</t>
  </si>
  <si>
    <t>R-3</t>
  </si>
  <si>
    <t>OP-96436</t>
  </si>
  <si>
    <t>Keyence</t>
  </si>
  <si>
    <t>Wzmacniacz czujnika laserowego</t>
  </si>
  <si>
    <t>LV-N11CP</t>
  </si>
  <si>
    <t>Czujnik laserowy - głowica</t>
  </si>
  <si>
    <t>LV-NH32</t>
  </si>
  <si>
    <t>Czujnik laserowy</t>
  </si>
  <si>
    <t>LR-ZB250C3P</t>
  </si>
  <si>
    <t>Kabel profinet M12X1/RJ45 5m X-coded</t>
  </si>
  <si>
    <t>MURR.7000-51101-7900500</t>
  </si>
  <si>
    <t>Murrelektronik</t>
  </si>
  <si>
    <t>Czujnik refleksyjny laserowy</t>
  </si>
  <si>
    <t>E3Z-LR86</t>
  </si>
  <si>
    <t>OMRON</t>
  </si>
  <si>
    <t>Czujnik pola magetycznego</t>
  </si>
  <si>
    <t>MMS-P 22-S-M8-PNP</t>
  </si>
  <si>
    <t>0301370</t>
  </si>
  <si>
    <t>SCHUNK</t>
  </si>
  <si>
    <t>Wyłącznik ciśnieniowy</t>
  </si>
  <si>
    <t>anulowano, na liście elektrycznej</t>
  </si>
  <si>
    <t>Z:\3. MS\2010 - VW 336,3 G\6 - Rysunki</t>
  </si>
  <si>
    <t>2 mag</t>
  </si>
  <si>
    <t>2023-05-30 MK</t>
  </si>
  <si>
    <t>JP</t>
  </si>
  <si>
    <t>2023-06-01 JP</t>
  </si>
  <si>
    <t>09 30 016 0270</t>
  </si>
  <si>
    <t>Kontroler</t>
  </si>
  <si>
    <t>Pierścień</t>
  </si>
  <si>
    <r>
      <t>Zawór dławiąco-</t>
    </r>
    <r>
      <rPr>
        <sz val="16"/>
        <color indexed="8"/>
        <rFont val="SWGDT"/>
      </rPr>
      <t xml:space="preserve">
</t>
    </r>
    <r>
      <rPr>
        <sz val="16"/>
        <color indexed="8"/>
        <rFont val="Verdana"/>
        <family val="2"/>
        <charset val="238"/>
      </rPr>
      <t>zwrotny</t>
    </r>
  </si>
  <si>
    <r>
      <t xml:space="preserve">Śruby dociskowe ze </t>
    </r>
    <r>
      <rPr>
        <sz val="16"/>
        <color indexed="8"/>
        <rFont val="Verdana"/>
        <family val="2"/>
        <charset val="238"/>
      </rPr>
      <t>stopką neoprenową</t>
    </r>
  </si>
  <si>
    <r>
      <t xml:space="preserve">Trzpienie ustalające z </t>
    </r>
    <r>
      <rPr>
        <sz val="16"/>
        <color indexed="8"/>
        <rFont val="Verdana"/>
        <family val="2"/>
        <charset val="238"/>
      </rPr>
      <t>przedłużonym trzpieniem</t>
    </r>
  </si>
  <si>
    <r>
      <t xml:space="preserve">Amortyzator gumowy </t>
    </r>
    <r>
      <rPr>
        <sz val="16"/>
        <color indexed="8"/>
        <rFont val="SWGDT"/>
      </rPr>
      <t xml:space="preserve">
</t>
    </r>
    <r>
      <rPr>
        <sz val="16"/>
        <color indexed="8"/>
        <rFont val="Verdana"/>
        <family val="2"/>
        <charset val="238"/>
      </rPr>
      <t>typ E</t>
    </r>
  </si>
  <si>
    <r>
      <t xml:space="preserve">Nakrętka niska, </t>
    </r>
    <r>
      <rPr>
        <sz val="16"/>
        <color indexed="8"/>
        <rFont val="Verdana"/>
        <family val="2"/>
        <charset val="238"/>
      </rPr>
      <t>drobnozwojowa</t>
    </r>
  </si>
  <si>
    <r>
      <t xml:space="preserve">Tuleje mocujące do </t>
    </r>
    <r>
      <rPr>
        <sz val="16"/>
        <rFont val="SWGDT"/>
      </rPr>
      <t xml:space="preserve">
</t>
    </r>
    <r>
      <rPr>
        <sz val="16"/>
        <rFont val="Arial"/>
        <family val="2"/>
        <charset val="238"/>
      </rPr>
      <t>trzpieni montażowych</t>
    </r>
  </si>
  <si>
    <r>
      <t xml:space="preserve">Trzpień montażowy </t>
    </r>
    <r>
      <rPr>
        <sz val="16"/>
        <rFont val="SWGDT"/>
      </rPr>
      <t xml:space="preserve">
</t>
    </r>
    <r>
      <rPr>
        <sz val="16"/>
        <rFont val="Arial"/>
        <family val="2"/>
        <charset val="238"/>
      </rPr>
      <t>D=10mm</t>
    </r>
  </si>
  <si>
    <r>
      <t xml:space="preserve">Trzpień montażowy </t>
    </r>
    <r>
      <rPr>
        <sz val="16"/>
        <rFont val="SWGDT"/>
      </rPr>
      <t xml:space="preserve">
</t>
    </r>
    <r>
      <rPr>
        <sz val="16"/>
        <rFont val="Arial"/>
        <family val="2"/>
        <charset val="238"/>
      </rPr>
      <t>D=10</t>
    </r>
  </si>
  <si>
    <t>promatik/ murr plastik</t>
  </si>
  <si>
    <t>WEIDMULLER / PIEKARZ</t>
  </si>
  <si>
    <t>JP/MS</t>
  </si>
  <si>
    <t>ZAKUPIONE NA BIURKU L.KASPRZYK</t>
  </si>
  <si>
    <t>REXROTH / FATH</t>
  </si>
  <si>
    <t>JP ???</t>
  </si>
  <si>
    <t>Hama  LUB PODOBNY</t>
  </si>
  <si>
    <t>REXROTH /FATH</t>
  </si>
  <si>
    <t>D5032</t>
  </si>
  <si>
    <t>Wspornik montażowy</t>
  </si>
  <si>
    <t>--D5032-A-Wspornik montażowy</t>
  </si>
  <si>
    <t>C5032</t>
  </si>
  <si>
    <t>--C5032-A-Wspornik montażowy</t>
  </si>
  <si>
    <t>CD85N25-200C-B</t>
  </si>
  <si>
    <t>--CD85N25-200C-B-A-Siłownik</t>
  </si>
  <si>
    <t>CP96SDB32-250C</t>
  </si>
  <si>
    <t>---CP96SDB32-250C-0-Siłownik</t>
  </si>
  <si>
    <r>
      <t>CP96SDB32-</t>
    </r>
    <r>
      <rPr>
        <sz val="10"/>
        <rFont val="SWGDT"/>
      </rPr>
      <t xml:space="preserve">
</t>
    </r>
    <r>
      <rPr>
        <sz val="10"/>
        <rFont val="Arial"/>
        <family val="2"/>
        <charset val="238"/>
      </rPr>
      <t>250C</t>
    </r>
  </si>
  <si>
    <t>PRT-A0071166</t>
  </si>
  <si>
    <t>M-400 II</t>
  </si>
  <si>
    <t>Trilogiq</t>
  </si>
  <si>
    <t>CM638</t>
  </si>
  <si>
    <t>Rolka prowadząca</t>
  </si>
  <si>
    <t>0--CM638-C-Rolka prowadząca</t>
  </si>
  <si>
    <t>Balancer 9313</t>
  </si>
  <si>
    <t>Balanser</t>
  </si>
  <si>
    <t>0--Balancer 9313-B-Balanser</t>
  </si>
  <si>
    <t>Tecna</t>
  </si>
  <si>
    <t>BES008F</t>
  </si>
  <si>
    <r>
      <t xml:space="preserve">Listwa prowadząca </t>
    </r>
    <r>
      <rPr>
        <sz val="10"/>
        <rFont val="SWGDT"/>
      </rPr>
      <t xml:space="preserve">
</t>
    </r>
    <r>
      <rPr>
        <sz val="10"/>
        <rFont val="Arial"/>
        <family val="2"/>
        <charset val="238"/>
      </rPr>
      <t>M400-II (990)</t>
    </r>
  </si>
  <si>
    <t>2010-720-PRT-A0071166-0-Listwa prowadząca M400-II 
(990)</t>
  </si>
  <si>
    <t>PRT-A0071149</t>
  </si>
  <si>
    <r>
      <t xml:space="preserve">Listwa prowadząca </t>
    </r>
    <r>
      <rPr>
        <sz val="10"/>
        <rFont val="SWGDT"/>
      </rPr>
      <t xml:space="preserve">
</t>
    </r>
    <r>
      <rPr>
        <sz val="10"/>
        <rFont val="Arial"/>
        <family val="2"/>
        <charset val="238"/>
      </rPr>
      <t>M400-II (1410)</t>
    </r>
  </si>
  <si>
    <t>2010-720-PRT-A0071149-0-Listwa prowadząca M400-II 
(1410)</t>
  </si>
  <si>
    <t>PRT-A0070656</t>
  </si>
  <si>
    <r>
      <t xml:space="preserve">Listwa prowadząca </t>
    </r>
    <r>
      <rPr>
        <sz val="10"/>
        <color indexed="8"/>
        <rFont val="SWGDT"/>
      </rPr>
      <t xml:space="preserve">
</t>
    </r>
    <r>
      <rPr>
        <sz val="10"/>
        <color indexed="8"/>
        <rFont val="Arial"/>
        <family val="2"/>
        <charset val="238"/>
      </rPr>
      <t>M400-II (1870)</t>
    </r>
  </si>
  <si>
    <t>2010-000-PRT-A0070656-0-Listwa prowadząca M400-II 
(1870)</t>
  </si>
  <si>
    <t>Rozdzielacz aktywny IO-link 16in</t>
  </si>
  <si>
    <t>BNI IOL-104-000-K006</t>
  </si>
  <si>
    <t>BNI0006</t>
  </si>
  <si>
    <t>Czujnik indukcyjny M8</t>
  </si>
  <si>
    <t>BES M08MI-PSC20B-S49G</t>
  </si>
  <si>
    <t>BES003P</t>
  </si>
  <si>
    <t>Czujnik indukcyjny L=0,3m, M8</t>
  </si>
  <si>
    <t>BES R04KC-PSC15B-EP00,3-GS49</t>
  </si>
  <si>
    <t>BES01YE</t>
  </si>
  <si>
    <t>Czujnik indukcyjny M18 z kablem L=3m</t>
  </si>
  <si>
    <t>BES M18MI-PSC80B-BV03</t>
  </si>
  <si>
    <t>Ramka 6 modułów ozn. a...f</t>
  </si>
  <si>
    <t>Han-Modular</t>
  </si>
  <si>
    <t>09 14 024 0371</t>
  </si>
  <si>
    <t>Wkładka 17 pin (żeńska)</t>
  </si>
  <si>
    <t>09 14 017 3101</t>
  </si>
  <si>
    <t>Kontakty posrebrzany - zaciskany (0,75mm²), żeński</t>
  </si>
  <si>
    <t>Han D F Crimp Contact Ag</t>
  </si>
  <si>
    <t>09 15 000 6205</t>
  </si>
  <si>
    <t>Wkładka pneumatyczna 3-pola</t>
  </si>
  <si>
    <t>Han 3 MOD STI/BU pneumatyka</t>
  </si>
  <si>
    <t>09 14 003 4501</t>
  </si>
  <si>
    <t>Styk pneumatyczny tulejowy ID 3 (żeński) z odcięciem</t>
  </si>
  <si>
    <t>Styk pneumatyczny tulejowy ID 3</t>
  </si>
  <si>
    <t>09 14 000 6257</t>
  </si>
  <si>
    <t>Obudowa złączy (gniazdo)</t>
  </si>
  <si>
    <t>Han 24B-asg2-LB-K-M32</t>
  </si>
  <si>
    <t>19 30 024 0297</t>
  </si>
  <si>
    <t>Han 1Mod-F RJ45 module,</t>
  </si>
  <si>
    <t>09 14 001 4721</t>
  </si>
  <si>
    <t>Ramka 6 modułów ozn. A...F</t>
  </si>
  <si>
    <t>09 14 024 0361</t>
  </si>
  <si>
    <t>Wkładka 17 pin (męska)</t>
  </si>
  <si>
    <t>Han 17 Mod Sti-c 10A</t>
  </si>
  <si>
    <t>09 14 017 3001</t>
  </si>
  <si>
    <t>Kontakty posrebrzany - zaciskany, męski - 0,75 mm²</t>
  </si>
  <si>
    <t>Han D R15 stift-c 0,75 mm Ag</t>
  </si>
  <si>
    <t>09 15 000 6105</t>
  </si>
  <si>
    <t>Styk pneumatyczny tulejowy ID 3 (męski)</t>
  </si>
  <si>
    <t>09 14 000 6152</t>
  </si>
  <si>
    <t>Obudowa złączy (wtyczka)</t>
  </si>
  <si>
    <t>Han 24B-gs-R-M32</t>
  </si>
  <si>
    <t>19 30 024 0547</t>
  </si>
  <si>
    <t>Obudowa gniazda 6 modułów</t>
  </si>
  <si>
    <t>Han 24B-Base Panel 1 Lever</t>
  </si>
  <si>
    <t>Czujnik koloru</t>
  </si>
  <si>
    <t>LR-W500C</t>
  </si>
  <si>
    <t>Czytnk kodów 1D, 2D</t>
  </si>
  <si>
    <t>Kabel sterujący czytnika kodów SR-750 (L=5000)</t>
  </si>
  <si>
    <t>Switch - 8 portów</t>
  </si>
  <si>
    <t>TREE 8TX</t>
  </si>
  <si>
    <t>Moduł MVP12 DI8 DO8 IOL IO-Link 1.1</t>
  </si>
  <si>
    <t>MVP12 DI8 DO8 IOL</t>
  </si>
  <si>
    <t>59402</t>
  </si>
  <si>
    <t>Kabel profinet M12X1/RJ45 5m D-coded</t>
  </si>
  <si>
    <t>7000-44711-7940500</t>
  </si>
  <si>
    <t>Kabel Ethernet CAT6A M12 - RJ45, 8-piny 1m</t>
  </si>
  <si>
    <t>MURR.7000-51101-7900100</t>
  </si>
  <si>
    <t>BRAMKA OPTYCZNA</t>
  </si>
  <si>
    <t>E3T-FT14-M5J</t>
  </si>
  <si>
    <t>Przysłonka bramki E3T-FT14</t>
  </si>
  <si>
    <t>E39-S64</t>
  </si>
  <si>
    <t>Przekaźnik 1PDT; 24VDC</t>
  </si>
  <si>
    <t>G2RV-SL700 DC24</t>
  </si>
  <si>
    <t>Switch PoE ULTIPOWER 0054af 802.3af 5xFE (4xPoE)</t>
  </si>
  <si>
    <t>0054af</t>
  </si>
  <si>
    <t>ULTIPOWER</t>
  </si>
  <si>
    <t>Konwerter RS2323/485 na Ethernet</t>
  </si>
  <si>
    <t>KON_RS232/485TOETH</t>
  </si>
  <si>
    <t>WAVESHARE</t>
  </si>
  <si>
    <t>Skaner kodu ; interface RS-232</t>
  </si>
  <si>
    <t>DS457-RS232</t>
  </si>
  <si>
    <t>ZEBRA Technologies</t>
  </si>
  <si>
    <t>Zasilacz 5VDC/850mA</t>
  </si>
  <si>
    <t>PWRS-14000-256R</t>
  </si>
  <si>
    <t>Kabel z konwerterem RS-232 TTL / RS-232C</t>
  </si>
  <si>
    <t>25-62186-03R</t>
  </si>
  <si>
    <t>D12320</t>
  </si>
  <si>
    <t>TEVEMA</t>
  </si>
  <si>
    <t>Sprężyna</t>
  </si>
  <si>
    <t>SY3400-5U1</t>
  </si>
  <si>
    <t>Profil 40x40L</t>
  </si>
  <si>
    <t>MK</t>
  </si>
  <si>
    <t>Z/PREMA/2010/223/JP</t>
  </si>
  <si>
    <t>12 SZT MAGAZYN
Z/PREMA/2010/223/JP</t>
  </si>
  <si>
    <t>Z/HARTING/2010/222/JP</t>
  </si>
  <si>
    <t>2 SZT MAGAZYN
Z/HARTING/2010/222/JP</t>
  </si>
  <si>
    <t>Z/KIPP/2010/221/JP</t>
  </si>
  <si>
    <t>Z/ANDRZEJEWSKI/2010/226/JP</t>
  </si>
  <si>
    <t>Z/CONPROD/2010/224/JP</t>
  </si>
  <si>
    <t>1 SZT MAGAZYN
Z/HARTING/2010/222/JP</t>
  </si>
  <si>
    <t>Z/NEOSYSTEME/1936/2005/2010/942/MK</t>
  </si>
  <si>
    <t>2023-06-13 JP</t>
  </si>
  <si>
    <t>Z/SMC/2010/248/JP</t>
  </si>
  <si>
    <t>Z/TEVEMA/2010/251/JP</t>
  </si>
  <si>
    <t>1 SZT MAGAZYN
KOSZYK POLTECH</t>
  </si>
  <si>
    <t>KOSZYK POLTECH</t>
  </si>
  <si>
    <r>
      <t>CD85N25-200C-</t>
    </r>
    <r>
      <rPr>
        <sz val="10"/>
        <rFont val="Arial"/>
        <family val="2"/>
        <charset val="238"/>
      </rPr>
      <t>B</t>
    </r>
  </si>
  <si>
    <t>YA-05CQ2</t>
  </si>
  <si>
    <t>58171 zamiana na58812</t>
  </si>
  <si>
    <t>Z/MURR/2010/252/JP</t>
  </si>
  <si>
    <t>2023-06-01 JP
2023-06-13 JP</t>
  </si>
  <si>
    <t>29/2023</t>
  </si>
  <si>
    <t>2023-06-14 JP</t>
  </si>
  <si>
    <t>2023-06-15 JP</t>
  </si>
  <si>
    <t>2023-06-16 JP</t>
  </si>
  <si>
    <t>zap: Z/TRILOGIQ/2010/257/JP</t>
  </si>
  <si>
    <t>Z/BALLUFF/2010/247/JP</t>
  </si>
  <si>
    <t>Z/JAG-MAR/2010/250/JP</t>
  </si>
  <si>
    <t>Z/USIGNOLO/2010/225/JP</t>
  </si>
  <si>
    <t>K1060.1120061</t>
  </si>
  <si>
    <t>Uchwut pałąkowy</t>
  </si>
  <si>
    <t>0---K1060.1120061-0-Uchwut pałąkowy</t>
  </si>
  <si>
    <t>K0630.23308</t>
  </si>
  <si>
    <t>0---K0630.23308-0-Trzpień montazowy M16x1.5</t>
  </si>
  <si>
    <t>093W403N10</t>
  </si>
  <si>
    <t>Kątownik 40x80</t>
  </si>
  <si>
    <t>--093W403N10-C-Kątownik 40x80</t>
  </si>
  <si>
    <t>BPPG 0805 1000</t>
  </si>
  <si>
    <t>--BPPG 0805 1000-A-Zestaw kołowy z hamulcem</t>
  </si>
  <si>
    <t>COLSON</t>
  </si>
  <si>
    <t>K.Rowiński</t>
  </si>
  <si>
    <t>Profil 45x45L</t>
  </si>
  <si>
    <t>Trzpień montazowy 
M16x1.5</t>
  </si>
  <si>
    <t>Zestaw kołowy z 
hamulcem</t>
  </si>
  <si>
    <t>Z/OMRON/2010/249/JP - zamówiono 20szt</t>
  </si>
  <si>
    <t>ZAP: Z/OMRON/2010/249/JP
zapytanie w TME przez MS</t>
  </si>
  <si>
    <t>dostawa 9 tygodni od zamówienia</t>
  </si>
  <si>
    <t>2023-06-22 JP</t>
  </si>
  <si>
    <t>2023-06-01 JP
2023-06-22 JP</t>
  </si>
  <si>
    <t>magazyn od Pana Marka</t>
  </si>
  <si>
    <t>3 mag</t>
  </si>
  <si>
    <t>2023-06-27 MK od Pana Marka DS457-SR20009</t>
  </si>
  <si>
    <t>2023-06-27 MK od Pana Marka 25-58926-04R</t>
  </si>
  <si>
    <t>2023-06-28 JP</t>
  </si>
  <si>
    <t>2023-07-03 JP</t>
  </si>
  <si>
    <t>2023-06-30 JP</t>
  </si>
  <si>
    <t>2023-07-04 JP</t>
  </si>
  <si>
    <t>1
5</t>
  </si>
  <si>
    <t>2023-07-03 JP
2023-07-06 JP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</si>
</sst>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_z_ł_-;\-* #,##0.00\ _z_ł_-;_-* &quot;-&quot;??\ _z_ł_-;_-@_-"/>
    <numFmt numFmtId="165" formatCode="d/mm/yyyy"/>
    <numFmt numFmtId="166" formatCode="yyyy\-mm\-dd"/>
    <numFmt numFmtId="167" formatCode="yyyy/mm/dd;@"/>
    <numFmt numFmtId="168" formatCode="_-* #,##0.00\ _z_ł_-;\-* #,##0.00\ _z_ł_-;_-* \-??\ _z_ł_-;_-@_-"/>
  </numFmts>
  <fonts count="120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b/>
      <sz val="11"/>
      <name val="Calibri"/>
      <family val="2"/>
      <charset val="238"/>
    </font>
    <font>
      <sz val="16"/>
      <name val="Arial"/>
      <family val="2"/>
      <charset val="238"/>
    </font>
    <font>
      <sz val="16"/>
      <name val="Calibri"/>
      <family val="2"/>
      <charset val="238"/>
    </font>
    <font>
      <sz val="8"/>
      <name val="Times New Roman"/>
      <family val="1"/>
      <charset val="238"/>
    </font>
    <font>
      <b/>
      <sz val="9"/>
      <color indexed="8"/>
      <name val="Times New Roman"/>
      <family val="1"/>
      <charset val="238"/>
    </font>
    <font>
      <b/>
      <sz val="26"/>
      <name val="Arial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sz val="16"/>
      <name val="Calibri"/>
      <family val="2"/>
      <charset val="238"/>
    </font>
    <font>
      <b/>
      <u/>
      <sz val="11"/>
      <name val="Calibri"/>
      <family val="2"/>
      <charset val="238"/>
    </font>
    <font>
      <sz val="16"/>
      <name val="Arial"/>
      <family val="2"/>
      <charset val="238"/>
    </font>
    <font>
      <b/>
      <sz val="16"/>
      <name val="Arial"/>
      <family val="2"/>
      <charset val="238"/>
    </font>
    <font>
      <sz val="16"/>
      <name val="Calibri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i/>
      <sz val="7"/>
      <color indexed="8"/>
      <name val="Verdana"/>
      <family val="2"/>
      <charset val="238"/>
    </font>
    <font>
      <i/>
      <sz val="7"/>
      <color indexed="8"/>
      <name val="SWGDT"/>
    </font>
    <font>
      <sz val="10"/>
      <name val="SWGDT"/>
    </font>
    <font>
      <sz val="14"/>
      <color indexed="8"/>
      <name val="Calibri"/>
      <family val="2"/>
      <charset val="238"/>
    </font>
    <font>
      <i/>
      <sz val="14"/>
      <color indexed="8"/>
      <name val="Verdana"/>
      <family val="2"/>
      <charset val="238"/>
    </font>
    <font>
      <sz val="10"/>
      <color indexed="8"/>
      <name val="Arial"/>
      <family val="2"/>
      <charset val="238"/>
    </font>
    <font>
      <b/>
      <sz val="16"/>
      <name val="Arial"/>
      <family val="2"/>
      <charset val="238"/>
    </font>
    <font>
      <sz val="16"/>
      <name val="Calibri"/>
      <family val="2"/>
      <charset val="238"/>
    </font>
    <font>
      <b/>
      <u/>
      <sz val="11"/>
      <name val="Calibri"/>
      <family val="2"/>
      <charset val="238"/>
    </font>
    <font>
      <sz val="16"/>
      <name val="Arial"/>
      <family val="2"/>
      <charset val="238"/>
    </font>
    <font>
      <sz val="16"/>
      <color indexed="8"/>
      <name val="SWGDT"/>
    </font>
    <font>
      <sz val="16"/>
      <color indexed="8"/>
      <name val="Verdana"/>
      <family val="2"/>
      <charset val="238"/>
    </font>
    <font>
      <sz val="16"/>
      <name val="SWGDT"/>
    </font>
    <font>
      <strike/>
      <sz val="16"/>
      <name val="Calibri"/>
      <family val="2"/>
      <charset val="238"/>
    </font>
    <font>
      <strike/>
      <sz val="16"/>
      <name val="Arial"/>
      <family val="2"/>
      <charset val="238"/>
    </font>
    <font>
      <b/>
      <strike/>
      <sz val="14"/>
      <name val="Arial"/>
      <family val="2"/>
      <charset val="238"/>
    </font>
    <font>
      <b/>
      <strike/>
      <sz val="16"/>
      <name val="Arial"/>
      <family val="2"/>
      <charset val="238"/>
    </font>
    <font>
      <b/>
      <u/>
      <sz val="11"/>
      <name val="Calibri"/>
      <family val="2"/>
      <charset val="238"/>
    </font>
    <font>
      <sz val="16"/>
      <name val="Arial"/>
      <family val="2"/>
    </font>
    <font>
      <b/>
      <sz val="14"/>
      <name val="Arial"/>
      <family val="2"/>
      <charset val="238"/>
    </font>
    <font>
      <b/>
      <sz val="16"/>
      <name val="Arial"/>
      <family val="2"/>
      <charset val="238"/>
    </font>
    <font>
      <sz val="10"/>
      <color indexed="8"/>
      <name val="SWGDT"/>
    </font>
    <font>
      <sz val="12"/>
      <name val="Times New Roman"/>
      <family val="1"/>
      <charset val="238"/>
    </font>
    <font>
      <sz val="8"/>
      <name val="Calibri"/>
      <family val="2"/>
      <charset val="238"/>
    </font>
    <font>
      <i/>
      <sz val="14"/>
      <color indexed="8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b/>
      <sz val="12"/>
      <color theme="1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6"/>
      <color theme="1"/>
      <name val="Calibri"/>
      <family val="2"/>
      <charset val="238"/>
      <scheme val="minor"/>
    </font>
    <font>
      <i/>
      <sz val="16"/>
      <color theme="1"/>
      <name val="Calibri"/>
      <family val="2"/>
      <charset val="238"/>
      <scheme val="minor"/>
    </font>
    <font>
      <sz val="16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i/>
      <sz val="13"/>
      <color theme="1"/>
      <name val="Verdana"/>
      <family val="2"/>
      <charset val="238"/>
    </font>
    <font>
      <sz val="8"/>
      <color theme="1"/>
      <name val="Times New Roman"/>
      <family val="1"/>
      <charset val="238"/>
    </font>
    <font>
      <b/>
      <sz val="26"/>
      <color theme="1"/>
      <name val="Arial"/>
      <family val="2"/>
      <charset val="238"/>
    </font>
    <font>
      <b/>
      <sz val="26"/>
      <color rgb="FF000000"/>
      <name val="Arial"/>
      <family val="2"/>
      <charset val="238"/>
    </font>
    <font>
      <sz val="18"/>
      <color rgb="FFA6A6A6"/>
      <name val="Arial"/>
      <family val="2"/>
      <charset val="238"/>
    </font>
    <font>
      <sz val="16"/>
      <color rgb="FF000000"/>
      <name val="Calibri"/>
      <family val="2"/>
      <charset val="238"/>
    </font>
    <font>
      <sz val="16"/>
      <color rgb="FF000000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6"/>
      <color theme="1"/>
      <name val="Calibri"/>
      <family val="2"/>
      <charset val="238"/>
    </font>
    <font>
      <b/>
      <sz val="18"/>
      <color rgb="FF000000"/>
      <name val="Arial"/>
      <family val="2"/>
      <charset val="238"/>
    </font>
    <font>
      <b/>
      <sz val="16"/>
      <color theme="1"/>
      <name val="Arial"/>
      <family val="2"/>
      <charset val="238"/>
    </font>
    <font>
      <sz val="9"/>
      <color theme="1"/>
      <name val="Arial"/>
      <family val="2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</font>
    <font>
      <b/>
      <sz val="16"/>
      <color theme="1"/>
      <name val="Arial"/>
      <family val="2"/>
    </font>
    <font>
      <b/>
      <sz val="18"/>
      <color rgb="FFA6A6A6"/>
      <name val="Arial"/>
      <family val="2"/>
      <charset val="238"/>
    </font>
    <font>
      <sz val="16"/>
      <name val="Calibri"/>
      <family val="2"/>
      <charset val="238"/>
      <scheme val="minor"/>
    </font>
    <font>
      <strike/>
      <sz val="16"/>
      <color theme="1"/>
      <name val="Arial"/>
      <family val="2"/>
      <charset val="238"/>
    </font>
    <font>
      <strike/>
      <sz val="16"/>
      <color theme="1"/>
      <name val="Calibri"/>
      <family val="2"/>
      <charset val="238"/>
      <scheme val="minor"/>
    </font>
    <font>
      <strike/>
      <sz val="16"/>
      <color theme="1"/>
      <name val="Calibri"/>
      <family val="2"/>
      <charset val="238"/>
    </font>
    <font>
      <i/>
      <strike/>
      <sz val="16"/>
      <color theme="1"/>
      <name val="Calibri"/>
      <family val="2"/>
      <charset val="238"/>
      <scheme val="minor"/>
    </font>
    <font>
      <strike/>
      <sz val="16"/>
      <name val="Calibri"/>
      <family val="2"/>
      <charset val="238"/>
      <scheme val="minor"/>
    </font>
    <font>
      <strike/>
      <sz val="18"/>
      <color rgb="FFA6A6A6"/>
      <name val="Arial"/>
      <family val="2"/>
      <charset val="238"/>
    </font>
    <font>
      <b/>
      <strike/>
      <sz val="18"/>
      <color rgb="FF000000"/>
      <name val="Arial"/>
      <family val="2"/>
      <charset val="238"/>
    </font>
    <font>
      <b/>
      <strike/>
      <sz val="14"/>
      <color rgb="FF000000"/>
      <name val="Arial"/>
      <family val="2"/>
      <charset val="238"/>
    </font>
    <font>
      <b/>
      <strike/>
      <sz val="26"/>
      <color rgb="FF000000"/>
      <name val="Arial"/>
      <family val="2"/>
      <charset val="238"/>
    </font>
    <font>
      <b/>
      <strike/>
      <sz val="16"/>
      <color theme="1"/>
      <name val="Arial"/>
      <family val="2"/>
      <charset val="238"/>
    </font>
    <font>
      <strike/>
      <sz val="10"/>
      <color theme="1" tint="4.9989318521683403E-2"/>
      <name val="Arial"/>
      <family val="2"/>
      <charset val="238"/>
    </font>
    <font>
      <strike/>
      <sz val="16"/>
      <color rgb="FFFF0000"/>
      <name val="Arial"/>
      <family val="2"/>
      <charset val="238"/>
    </font>
    <font>
      <sz val="16"/>
      <color rgb="FFFF0000"/>
      <name val="Arial"/>
      <family val="2"/>
      <charset val="238"/>
    </font>
    <font>
      <sz val="13"/>
      <color theme="1"/>
      <name val="Times New Roman"/>
      <family val="1"/>
      <charset val="238"/>
    </font>
    <font>
      <i/>
      <sz val="8"/>
      <color theme="1"/>
      <name val="Verdana"/>
      <family val="2"/>
      <charset val="238"/>
    </font>
    <font>
      <b/>
      <sz val="12"/>
      <color theme="1" tint="4.9989318521683403E-2"/>
      <name val="Arial"/>
      <family val="2"/>
      <charset val="238"/>
    </font>
  </fonts>
  <fills count="56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2">
    <xf numFmtId="0" fontId="0" fillId="0" borderId="0"/>
    <xf numFmtId="0" fontId="60" fillId="4" borderId="0" applyNumberFormat="0" applyBorder="0" applyAlignment="0" applyProtection="0"/>
    <xf numFmtId="0" fontId="60" fillId="5" borderId="0" applyNumberFormat="0" applyBorder="0" applyAlignment="0" applyProtection="0"/>
    <xf numFmtId="0" fontId="60" fillId="6" borderId="0" applyNumberFormat="0" applyBorder="0" applyAlignment="0" applyProtection="0"/>
    <xf numFmtId="0" fontId="60" fillId="7" borderId="0" applyNumberFormat="0" applyBorder="0" applyAlignment="0" applyProtection="0"/>
    <xf numFmtId="0" fontId="60" fillId="8" borderId="0" applyNumberFormat="0" applyBorder="0" applyAlignment="0" applyProtection="0"/>
    <xf numFmtId="0" fontId="60" fillId="9" borderId="0" applyNumberFormat="0" applyBorder="0" applyAlignment="0" applyProtection="0"/>
    <xf numFmtId="0" fontId="60" fillId="10" borderId="0" applyNumberFormat="0" applyBorder="0" applyAlignment="0" applyProtection="0"/>
    <xf numFmtId="0" fontId="60" fillId="11" borderId="0" applyNumberFormat="0" applyBorder="0" applyAlignment="0" applyProtection="0"/>
    <xf numFmtId="0" fontId="60" fillId="12" borderId="0" applyNumberFormat="0" applyBorder="0" applyAlignment="0" applyProtection="0"/>
    <xf numFmtId="0" fontId="60" fillId="13" borderId="0" applyNumberFormat="0" applyBorder="0" applyAlignment="0" applyProtection="0"/>
    <xf numFmtId="0" fontId="60" fillId="14" borderId="0" applyNumberFormat="0" applyBorder="0" applyAlignment="0" applyProtection="0"/>
    <xf numFmtId="0" fontId="60" fillId="15" borderId="0" applyNumberFormat="0" applyBorder="0" applyAlignment="0" applyProtection="0"/>
    <xf numFmtId="0" fontId="61" fillId="16" borderId="0" applyNumberFormat="0" applyBorder="0" applyAlignment="0" applyProtection="0"/>
    <xf numFmtId="0" fontId="61" fillId="17" borderId="0" applyNumberFormat="0" applyBorder="0" applyAlignment="0" applyProtection="0"/>
    <xf numFmtId="0" fontId="61" fillId="18" borderId="0" applyNumberFormat="0" applyBorder="0" applyAlignment="0" applyProtection="0"/>
    <xf numFmtId="0" fontId="61" fillId="19" borderId="0" applyNumberFormat="0" applyBorder="0" applyAlignment="0" applyProtection="0"/>
    <xf numFmtId="0" fontId="61" fillId="20" borderId="0" applyNumberFormat="0" applyBorder="0" applyAlignment="0" applyProtection="0"/>
    <xf numFmtId="0" fontId="61" fillId="21" borderId="0" applyNumberFormat="0" applyBorder="0" applyAlignment="0" applyProtection="0"/>
    <xf numFmtId="0" fontId="61" fillId="22" borderId="0" applyNumberFormat="0" applyBorder="0" applyAlignment="0" applyProtection="0"/>
    <xf numFmtId="0" fontId="61" fillId="23" borderId="0" applyNumberFormat="0" applyBorder="0" applyAlignment="0" applyProtection="0"/>
    <xf numFmtId="0" fontId="61" fillId="24" borderId="0" applyNumberFormat="0" applyBorder="0" applyAlignment="0" applyProtection="0"/>
    <xf numFmtId="0" fontId="61" fillId="25" borderId="0" applyNumberFormat="0" applyBorder="0" applyAlignment="0" applyProtection="0"/>
    <xf numFmtId="0" fontId="61" fillId="26" borderId="0" applyNumberFormat="0" applyBorder="0" applyAlignment="0" applyProtection="0"/>
    <xf numFmtId="0" fontId="61" fillId="27" borderId="0" applyNumberFormat="0" applyBorder="0" applyAlignment="0" applyProtection="0"/>
    <xf numFmtId="0" fontId="60" fillId="0" borderId="1"/>
    <xf numFmtId="0" fontId="60" fillId="0" borderId="1"/>
    <xf numFmtId="0" fontId="60" fillId="0" borderId="1"/>
    <xf numFmtId="0" fontId="60" fillId="0" borderId="1"/>
    <xf numFmtId="0" fontId="60" fillId="0" borderId="1"/>
    <xf numFmtId="0" fontId="60" fillId="0" borderId="1"/>
    <xf numFmtId="0" fontId="60" fillId="0" borderId="1"/>
    <xf numFmtId="0" fontId="60" fillId="0" borderId="1"/>
    <xf numFmtId="0" fontId="60" fillId="0" borderId="1">
      <alignment horizontal="center"/>
    </xf>
    <xf numFmtId="0" fontId="60" fillId="0" borderId="1"/>
    <xf numFmtId="0" fontId="60" fillId="0" borderId="1">
      <alignment horizontal="center"/>
    </xf>
    <xf numFmtId="0" fontId="60" fillId="0" borderId="1">
      <alignment horizontal="center"/>
    </xf>
    <xf numFmtId="0" fontId="62" fillId="28" borderId="76" applyNumberFormat="0" applyAlignment="0" applyProtection="0"/>
    <xf numFmtId="0" fontId="63" fillId="29" borderId="77" applyNumberFormat="0" applyAlignment="0" applyProtection="0"/>
    <xf numFmtId="0" fontId="64" fillId="30" borderId="0" applyNumberFormat="0" applyBorder="0" applyAlignment="0" applyProtection="0"/>
    <xf numFmtId="168" fontId="8" fillId="0" borderId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0" fontId="13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65" fillId="0" borderId="78" applyNumberFormat="0" applyFill="0" applyAlignment="0" applyProtection="0"/>
    <xf numFmtId="0" fontId="66" fillId="31" borderId="79" applyNumberFormat="0" applyAlignment="0" applyProtection="0"/>
    <xf numFmtId="0" fontId="67" fillId="0" borderId="80" applyNumberFormat="0" applyFill="0" applyAlignment="0" applyProtection="0"/>
    <xf numFmtId="0" fontId="68" fillId="0" borderId="81" applyNumberFormat="0" applyFill="0" applyAlignment="0" applyProtection="0"/>
    <xf numFmtId="0" fontId="69" fillId="0" borderId="82" applyNumberFormat="0" applyFill="0" applyAlignment="0" applyProtection="0"/>
    <xf numFmtId="0" fontId="69" fillId="0" borderId="0" applyNumberFormat="0" applyFill="0" applyBorder="0" applyAlignment="0" applyProtection="0"/>
    <xf numFmtId="0" fontId="70" fillId="32" borderId="0" applyNumberFormat="0" applyBorder="0" applyAlignment="0" applyProtection="0"/>
    <xf numFmtId="0" fontId="60" fillId="0" borderId="0"/>
    <xf numFmtId="0" fontId="60" fillId="0" borderId="0"/>
    <xf numFmtId="0" fontId="71" fillId="29" borderId="76" applyNumberFormat="0" applyAlignment="0" applyProtection="0"/>
    <xf numFmtId="0" fontId="72" fillId="0" borderId="83" applyNumberFormat="0" applyFill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60" fillId="33" borderId="84" applyNumberFormat="0" applyFont="0" applyAlignment="0" applyProtection="0"/>
    <xf numFmtId="0" fontId="76" fillId="34" borderId="0" applyNumberFormat="0" applyBorder="0" applyAlignment="0" applyProtection="0"/>
  </cellStyleXfs>
  <cellXfs count="463">
    <xf numFmtId="0" fontId="0" fillId="0" borderId="0" xfId="0"/>
    <xf numFmtId="0" fontId="0" fillId="3" borderId="0" xfId="0" applyFont="1" applyFill="1"/>
    <xf numFmtId="0" fontId="1" fillId="0" borderId="0" xfId="0" applyFont="1" applyProtection="1">
      <protection locked="0"/>
    </xf>
    <xf numFmtId="165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2" fillId="0" borderId="0" xfId="0" applyFont="1"/>
    <xf numFmtId="0" fontId="77" fillId="0" borderId="0" xfId="0" applyNumberFormat="1" applyFont="1" applyFill="1" applyBorder="1" applyProtection="1">
      <protection locked="0"/>
    </xf>
    <xf numFmtId="0" fontId="78" fillId="35" borderId="4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5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6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7" xfId="0" applyNumberFormat="1" applyFont="1" applyFill="1" applyBorder="1" applyAlignment="1" applyProtection="1">
      <alignment horizontal="center" vertical="center" wrapText="1"/>
      <protection locked="0"/>
    </xf>
    <xf numFmtId="0" fontId="79" fillId="35" borderId="4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NumberFormat="1" applyFont="1" applyFill="1" applyBorder="1" applyAlignment="1" applyProtection="1">
      <alignment horizontal="left" vertical="center"/>
      <protection locked="0"/>
    </xf>
    <xf numFmtId="0" fontId="6" fillId="0" borderId="0" xfId="0" applyNumberFormat="1" applyFont="1" applyFill="1" applyBorder="1" applyAlignment="1" applyProtection="1">
      <alignment vertical="top"/>
      <protection locked="0"/>
    </xf>
    <xf numFmtId="0" fontId="16" fillId="0" borderId="0" xfId="0" applyNumberFormat="1" applyFont="1" applyFill="1" applyBorder="1" applyAlignment="1" applyProtection="1">
      <alignment horizontal="center" vertical="top"/>
      <protection locked="0"/>
    </xf>
    <xf numFmtId="0" fontId="9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NumberFormat="1" applyFont="1" applyFill="1" applyBorder="1" applyAlignment="1" applyProtection="1">
      <alignment horizontal="center" vertical="center"/>
      <protection locked="0"/>
    </xf>
    <xf numFmtId="0" fontId="78" fillId="35" borderId="8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9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1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NumberFormat="1" applyFont="1" applyFill="1" applyBorder="1" applyAlignment="1" applyProtection="1">
      <alignment horizontal="center" vertical="center"/>
      <protection locked="0"/>
    </xf>
    <xf numFmtId="0" fontId="80" fillId="0" borderId="0" xfId="0" applyNumberFormat="1" applyFont="1" applyFill="1" applyBorder="1" applyProtection="1">
      <protection locked="0"/>
    </xf>
    <xf numFmtId="0" fontId="0" fillId="0" borderId="0" xfId="0" applyNumberFormat="1" applyFont="1" applyFill="1" applyBorder="1" applyAlignment="1" applyProtection="1">
      <alignment horizontal="center"/>
      <protection locked="0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78" fillId="35" borderId="11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12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13" xfId="0" applyNumberFormat="1" applyFont="1" applyFill="1" applyBorder="1" applyAlignment="1" applyProtection="1">
      <alignment horizontal="center" vertical="center" wrapText="1"/>
      <protection locked="0"/>
    </xf>
    <xf numFmtId="0" fontId="81" fillId="36" borderId="14" xfId="0" applyNumberFormat="1" applyFont="1" applyFill="1" applyBorder="1" applyAlignment="1" applyProtection="1">
      <alignment horizontal="center" vertical="center" wrapText="1"/>
      <protection locked="0"/>
    </xf>
    <xf numFmtId="0" fontId="78" fillId="36" borderId="15" xfId="0" applyNumberFormat="1" applyFont="1" applyFill="1" applyBorder="1" applyAlignment="1" applyProtection="1">
      <alignment horizontal="center" vertical="center" wrapText="1"/>
      <protection locked="0"/>
    </xf>
    <xf numFmtId="0" fontId="78" fillId="36" borderId="16" xfId="0" applyNumberFormat="1" applyFont="1" applyFill="1" applyBorder="1" applyAlignment="1" applyProtection="1">
      <alignment horizontal="center" vertical="center" wrapText="1"/>
      <protection locked="0"/>
    </xf>
    <xf numFmtId="0" fontId="81" fillId="36" borderId="17" xfId="0" applyNumberFormat="1" applyFont="1" applyFill="1" applyBorder="1" applyAlignment="1" applyProtection="1">
      <alignment horizontal="center" vertical="center" wrapText="1"/>
      <protection locked="0"/>
    </xf>
    <xf numFmtId="0" fontId="17" fillId="35" borderId="14" xfId="0" applyNumberFormat="1" applyFont="1" applyFill="1" applyBorder="1" applyAlignment="1" applyProtection="1">
      <alignment horizontal="center" vertical="center" wrapText="1"/>
    </xf>
    <xf numFmtId="0" fontId="78" fillId="35" borderId="14" xfId="0" applyNumberFormat="1" applyFont="1" applyFill="1" applyBorder="1" applyAlignment="1" applyProtection="1">
      <alignment horizontal="center" vertical="center" wrapText="1"/>
      <protection locked="0"/>
    </xf>
    <xf numFmtId="0" fontId="79" fillId="35" borderId="18" xfId="0" applyNumberFormat="1" applyFont="1" applyFill="1" applyBorder="1" applyAlignment="1" applyProtection="1">
      <alignment horizontal="center" vertical="center" wrapText="1"/>
      <protection locked="0"/>
    </xf>
    <xf numFmtId="0" fontId="79" fillId="35" borderId="19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45" applyNumberFormat="1" applyFill="1" applyBorder="1" applyAlignment="1" applyProtection="1">
      <alignment horizontal="center" vertical="center"/>
      <protection locked="0"/>
    </xf>
    <xf numFmtId="0" fontId="78" fillId="35" borderId="20" xfId="0" applyNumberFormat="1" applyFont="1" applyFill="1" applyBorder="1" applyAlignment="1" applyProtection="1">
      <alignment horizontal="center" vertical="center" wrapText="1"/>
      <protection locked="0"/>
    </xf>
    <xf numFmtId="0" fontId="81" fillId="36" borderId="21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22" xfId="39" applyNumberFormat="1" applyFont="1" applyFill="1" applyBorder="1" applyAlignment="1" applyProtection="1">
      <alignment horizontal="center" vertical="center" wrapText="1"/>
    </xf>
    <xf numFmtId="0" fontId="5" fillId="0" borderId="23" xfId="0" applyNumberFormat="1" applyFont="1" applyFill="1" applyBorder="1" applyAlignment="1" applyProtection="1">
      <alignment horizontal="center" vertical="center"/>
      <protection locked="0"/>
    </xf>
    <xf numFmtId="0" fontId="0" fillId="0" borderId="23" xfId="0" applyFill="1" applyBorder="1" applyAlignment="1">
      <alignment vertical="center" wrapText="1"/>
    </xf>
    <xf numFmtId="0" fontId="16" fillId="0" borderId="23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21" xfId="0" applyNumberFormat="1" applyFont="1" applyFill="1" applyBorder="1" applyAlignment="1" applyProtection="1">
      <alignment horizontal="center" vertical="center" wrapText="1"/>
    </xf>
    <xf numFmtId="0" fontId="78" fillId="35" borderId="24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25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26" xfId="0" applyNumberFormat="1" applyFont="1" applyFill="1" applyBorder="1" applyAlignment="1" applyProtection="1">
      <alignment horizontal="center" vertical="center" wrapText="1"/>
    </xf>
    <xf numFmtId="0" fontId="17" fillId="35" borderId="27" xfId="0" applyNumberFormat="1" applyFont="1" applyFill="1" applyBorder="1" applyAlignment="1" applyProtection="1">
      <alignment horizontal="center" vertical="center" wrapText="1"/>
    </xf>
    <xf numFmtId="0" fontId="78" fillId="35" borderId="27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28" xfId="0" applyNumberFormat="1" applyFont="1" applyFill="1" applyBorder="1" applyAlignment="1" applyProtection="1">
      <alignment horizontal="center" vertical="center" wrapText="1"/>
      <protection locked="0"/>
    </xf>
    <xf numFmtId="0" fontId="78" fillId="36" borderId="29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30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31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32" xfId="0" applyNumberFormat="1" applyFont="1" applyFill="1" applyBorder="1" applyAlignment="1" applyProtection="1">
      <alignment horizontal="center" vertical="center" wrapText="1"/>
      <protection locked="0"/>
    </xf>
    <xf numFmtId="0" fontId="79" fillId="35" borderId="33" xfId="0" applyNumberFormat="1" applyFont="1" applyFill="1" applyBorder="1" applyAlignment="1" applyProtection="1">
      <alignment horizontal="center" vertical="center" wrapText="1"/>
      <protection locked="0"/>
    </xf>
    <xf numFmtId="0" fontId="79" fillId="35" borderId="34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35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33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/>
    <xf numFmtId="0" fontId="79" fillId="35" borderId="1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NumberFormat="1" applyFont="1" applyFill="1" applyBorder="1" applyAlignment="1" applyProtection="1">
      <alignment horizontal="left" vertical="center"/>
    </xf>
    <xf numFmtId="0" fontId="78" fillId="35" borderId="36" xfId="0" applyNumberFormat="1" applyFont="1" applyFill="1" applyBorder="1" applyAlignment="1" applyProtection="1">
      <alignment horizontal="center" vertical="center" wrapText="1"/>
    </xf>
    <xf numFmtId="0" fontId="17" fillId="35" borderId="37" xfId="0" applyNumberFormat="1" applyFont="1" applyFill="1" applyBorder="1" applyAlignment="1" applyProtection="1">
      <alignment horizontal="center" vertical="center" wrapText="1"/>
    </xf>
    <xf numFmtId="0" fontId="78" fillId="35" borderId="37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38" xfId="0" applyNumberFormat="1" applyFont="1" applyFill="1" applyBorder="1" applyAlignment="1" applyProtection="1">
      <alignment horizontal="center" vertical="center" wrapText="1"/>
      <protection locked="0"/>
    </xf>
    <xf numFmtId="0" fontId="78" fillId="36" borderId="39" xfId="0" applyNumberFormat="1" applyFont="1" applyFill="1" applyBorder="1" applyAlignment="1" applyProtection="1">
      <alignment horizontal="center" vertical="center" wrapText="1"/>
      <protection locked="0"/>
    </xf>
    <xf numFmtId="0" fontId="78" fillId="36" borderId="40" xfId="0" applyNumberFormat="1" applyFont="1" applyFill="1" applyBorder="1" applyAlignment="1" applyProtection="1">
      <alignment horizontal="center" vertical="center" wrapText="1"/>
      <protection locked="0"/>
    </xf>
    <xf numFmtId="0" fontId="78" fillId="35" borderId="41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42" xfId="0" applyNumberFormat="1" applyFont="1" applyFill="1" applyBorder="1" applyAlignment="1" applyProtection="1">
      <alignment vertical="center" wrapText="1"/>
    </xf>
    <xf numFmtId="0" fontId="1" fillId="0" borderId="43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43" xfId="0" applyNumberFormat="1" applyFont="1" applyFill="1" applyBorder="1" applyAlignment="1" applyProtection="1">
      <alignment vertical="center" wrapText="1"/>
      <protection locked="0"/>
    </xf>
    <xf numFmtId="0" fontId="15" fillId="0" borderId="43" xfId="0" applyNumberFormat="1" applyFont="1" applyFill="1" applyBorder="1" applyAlignment="1" applyProtection="1">
      <alignment vertical="center" wrapText="1"/>
      <protection locked="0"/>
    </xf>
    <xf numFmtId="0" fontId="15" fillId="37" borderId="44" xfId="0" applyNumberFormat="1" applyFont="1" applyFill="1" applyBorder="1" applyAlignment="1" applyProtection="1">
      <alignment vertical="center" wrapText="1"/>
      <protection locked="0"/>
    </xf>
    <xf numFmtId="0" fontId="81" fillId="36" borderId="45" xfId="0" applyNumberFormat="1" applyFont="1" applyFill="1" applyBorder="1" applyAlignment="1" applyProtection="1">
      <alignment horizontal="center" vertical="center" wrapText="1"/>
      <protection locked="0"/>
    </xf>
    <xf numFmtId="0" fontId="81" fillId="36" borderId="8" xfId="0" applyNumberFormat="1" applyFont="1" applyFill="1" applyBorder="1" applyAlignment="1" applyProtection="1">
      <alignment horizontal="center" vertical="center" wrapText="1"/>
      <protection locked="0"/>
    </xf>
    <xf numFmtId="0" fontId="81" fillId="36" borderId="24" xfId="0" applyNumberFormat="1" applyFont="1" applyFill="1" applyBorder="1" applyAlignment="1" applyProtection="1">
      <alignment horizontal="center" vertical="center" wrapText="1"/>
      <protection locked="0"/>
    </xf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19" fillId="0" borderId="0" xfId="0" applyNumberFormat="1" applyFont="1" applyFill="1" applyBorder="1" applyAlignment="1" applyProtection="1">
      <alignment horizontal="center" vertical="center"/>
      <protection locked="0"/>
    </xf>
    <xf numFmtId="0" fontId="0" fillId="42" borderId="0" xfId="0" applyFill="1"/>
    <xf numFmtId="0" fontId="17" fillId="43" borderId="0" xfId="0" applyFont="1" applyFill="1"/>
    <xf numFmtId="0" fontId="17" fillId="44" borderId="0" xfId="0" applyFont="1" applyFill="1"/>
    <xf numFmtId="0" fontId="82" fillId="0" borderId="0" xfId="0" quotePrefix="1" applyFont="1"/>
    <xf numFmtId="0" fontId="17" fillId="39" borderId="0" xfId="0" quotePrefix="1" applyFont="1" applyFill="1"/>
    <xf numFmtId="0" fontId="5" fillId="0" borderId="23" xfId="0" applyFont="1" applyFill="1" applyBorder="1" applyAlignment="1">
      <alignment horizontal="left" vertical="center" wrapText="1"/>
    </xf>
    <xf numFmtId="0" fontId="77" fillId="45" borderId="0" xfId="0" applyNumberFormat="1" applyFont="1" applyFill="1" applyBorder="1" applyProtection="1">
      <protection locked="0"/>
    </xf>
    <xf numFmtId="0" fontId="0" fillId="46" borderId="0" xfId="0" quotePrefix="1" applyFont="1" applyFill="1"/>
    <xf numFmtId="14" fontId="8" fillId="39" borderId="14" xfId="45" applyNumberFormat="1" applyFont="1" applyFill="1" applyBorder="1" applyAlignment="1" applyProtection="1">
      <alignment horizontal="center" vertical="center" wrapText="1"/>
      <protection locked="0"/>
    </xf>
    <xf numFmtId="14" fontId="20" fillId="39" borderId="14" xfId="0" applyNumberFormat="1" applyFont="1" applyFill="1" applyBorder="1" applyAlignment="1">
      <alignment horizontal="center" vertical="center"/>
    </xf>
    <xf numFmtId="0" fontId="83" fillId="0" borderId="8" xfId="0" applyFont="1" applyFill="1" applyBorder="1" applyAlignment="1" applyProtection="1">
      <alignment horizontal="center" vertical="center" wrapText="1"/>
      <protection locked="0"/>
    </xf>
    <xf numFmtId="0" fontId="83" fillId="0" borderId="11" xfId="0" applyFont="1" applyFill="1" applyBorder="1" applyAlignment="1" applyProtection="1">
      <alignment horizontal="center" vertical="center" wrapText="1"/>
      <protection locked="0"/>
    </xf>
    <xf numFmtId="0" fontId="17" fillId="0" borderId="0" xfId="0" quotePrefix="1" applyFont="1" applyFill="1"/>
    <xf numFmtId="0" fontId="0" fillId="47" borderId="0" xfId="0" applyFill="1"/>
    <xf numFmtId="0" fontId="84" fillId="0" borderId="8" xfId="0" applyFont="1" applyFill="1" applyBorder="1" applyAlignment="1" applyProtection="1">
      <alignment horizontal="center" vertical="center" wrapText="1"/>
      <protection locked="0"/>
    </xf>
    <xf numFmtId="0" fontId="21" fillId="0" borderId="8" xfId="0" applyFont="1" applyFill="1" applyBorder="1" applyAlignment="1" applyProtection="1">
      <alignment horizontal="center" vertical="center" wrapText="1"/>
      <protection locked="0"/>
    </xf>
    <xf numFmtId="0" fontId="85" fillId="0" borderId="8" xfId="39" applyNumberFormat="1" applyFont="1" applyFill="1" applyBorder="1" applyAlignment="1" applyProtection="1">
      <alignment horizontal="center" vertical="center" wrapText="1"/>
      <protection locked="0"/>
    </xf>
    <xf numFmtId="0" fontId="21" fillId="0" borderId="8" xfId="39" applyNumberFormat="1" applyFont="1" applyFill="1" applyBorder="1" applyAlignment="1" applyProtection="1">
      <alignment horizontal="center" vertical="center" wrapText="1"/>
      <protection locked="0"/>
    </xf>
    <xf numFmtId="0" fontId="21" fillId="0" borderId="46" xfId="39" applyNumberFormat="1" applyFont="1" applyFill="1" applyBorder="1" applyAlignment="1" applyProtection="1">
      <alignment horizontal="center" vertical="center" wrapText="1"/>
      <protection locked="0"/>
    </xf>
    <xf numFmtId="0" fontId="21" fillId="0" borderId="11" xfId="0" applyFont="1" applyFill="1" applyBorder="1" applyAlignment="1" applyProtection="1">
      <alignment horizontal="center" vertical="center" wrapText="1"/>
      <protection locked="0"/>
    </xf>
    <xf numFmtId="0" fontId="85" fillId="0" borderId="14" xfId="0" applyFont="1" applyFill="1" applyBorder="1" applyAlignment="1" applyProtection="1">
      <alignment horizontal="left" vertical="center" wrapText="1"/>
      <protection locked="0"/>
    </xf>
    <xf numFmtId="14" fontId="85" fillId="0" borderId="8" xfId="39" applyNumberFormat="1" applyFont="1" applyFill="1" applyBorder="1" applyAlignment="1" applyProtection="1">
      <alignment horizontal="center" vertical="center" wrapText="1"/>
      <protection locked="0"/>
    </xf>
    <xf numFmtId="0" fontId="85" fillId="0" borderId="8" xfId="0" applyFont="1" applyFill="1" applyBorder="1" applyAlignment="1" applyProtection="1">
      <alignment horizontal="center" vertical="center" wrapText="1"/>
      <protection locked="0"/>
    </xf>
    <xf numFmtId="0" fontId="19" fillId="48" borderId="42" xfId="0" applyFont="1" applyFill="1" applyBorder="1" applyAlignment="1">
      <alignment horizontal="left" vertical="center"/>
    </xf>
    <xf numFmtId="0" fontId="78" fillId="35" borderId="37" xfId="0" applyNumberFormat="1" applyFont="1" applyFill="1" applyBorder="1" applyAlignment="1" applyProtection="1">
      <alignment horizontal="left" vertical="center" wrapText="1"/>
      <protection locked="0"/>
    </xf>
    <xf numFmtId="0" fontId="78" fillId="35" borderId="14" xfId="0" applyNumberFormat="1" applyFont="1" applyFill="1" applyBorder="1" applyAlignment="1" applyProtection="1">
      <alignment horizontal="left" vertical="center" wrapText="1"/>
      <protection locked="0"/>
    </xf>
    <xf numFmtId="0" fontId="78" fillId="35" borderId="27" xfId="0" applyNumberFormat="1" applyFont="1" applyFill="1" applyBorder="1" applyAlignment="1" applyProtection="1">
      <alignment horizontal="left" vertical="center" wrapText="1"/>
      <protection locked="0"/>
    </xf>
    <xf numFmtId="0" fontId="0" fillId="48" borderId="23" xfId="0" applyFill="1" applyBorder="1" applyAlignment="1">
      <alignment horizontal="center" vertical="center" wrapText="1"/>
    </xf>
    <xf numFmtId="0" fontId="86" fillId="49" borderId="14" xfId="0" applyFont="1" applyFill="1" applyBorder="1" applyAlignment="1">
      <alignment horizontal="center" vertical="center" wrapText="1"/>
    </xf>
    <xf numFmtId="0" fontId="78" fillId="50" borderId="14" xfId="0" applyFont="1" applyFill="1" applyBorder="1" applyAlignment="1" applyProtection="1">
      <alignment horizontal="center" vertical="center" wrapText="1"/>
      <protection locked="0"/>
    </xf>
    <xf numFmtId="0" fontId="0" fillId="51" borderId="14" xfId="0" applyFill="1" applyBorder="1" applyAlignment="1">
      <alignment horizontal="center" vertical="center" wrapText="1"/>
    </xf>
    <xf numFmtId="49" fontId="0" fillId="51" borderId="14" xfId="0" applyNumberFormat="1" applyFill="1" applyBorder="1" applyAlignment="1">
      <alignment horizontal="center" vertical="center" wrapText="1"/>
    </xf>
    <xf numFmtId="0" fontId="87" fillId="51" borderId="14" xfId="0" applyFont="1" applyFill="1" applyBorder="1" applyAlignment="1">
      <alignment horizontal="center" vertical="center"/>
    </xf>
    <xf numFmtId="0" fontId="87" fillId="51" borderId="14" xfId="0" applyFont="1" applyFill="1" applyBorder="1" applyAlignment="1">
      <alignment horizontal="center" vertical="center" wrapText="1"/>
    </xf>
    <xf numFmtId="0" fontId="0" fillId="51" borderId="14" xfId="0" applyFill="1" applyBorder="1" applyAlignment="1">
      <alignment horizontal="center"/>
    </xf>
    <xf numFmtId="0" fontId="0" fillId="51" borderId="14" xfId="0" applyFill="1" applyBorder="1" applyAlignment="1">
      <alignment horizontal="center" vertical="center"/>
    </xf>
    <xf numFmtId="14" fontId="87" fillId="51" borderId="14" xfId="0" applyNumberFormat="1" applyFont="1" applyFill="1" applyBorder="1" applyAlignment="1" applyProtection="1">
      <alignment horizontal="left" vertical="center" wrapText="1"/>
      <protection locked="0"/>
    </xf>
    <xf numFmtId="0" fontId="87" fillId="51" borderId="14" xfId="0" applyFont="1" applyFill="1" applyBorder="1" applyAlignment="1" applyProtection="1">
      <alignment horizontal="center" vertical="center" wrapText="1"/>
      <protection locked="0"/>
    </xf>
    <xf numFmtId="0" fontId="0" fillId="51" borderId="14" xfId="0" applyFill="1" applyBorder="1" applyAlignment="1" applyProtection="1">
      <alignment horizontal="center" vertical="center"/>
      <protection locked="0"/>
    </xf>
    <xf numFmtId="0" fontId="8" fillId="0" borderId="14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14" fontId="23" fillId="0" borderId="14" xfId="0" applyNumberFormat="1" applyFont="1" applyBorder="1" applyAlignment="1">
      <alignment horizontal="center"/>
    </xf>
    <xf numFmtId="0" fontId="88" fillId="0" borderId="14" xfId="0" applyFont="1" applyBorder="1" applyAlignment="1">
      <alignment horizontal="left" vertical="center" wrapText="1"/>
    </xf>
    <xf numFmtId="0" fontId="88" fillId="0" borderId="14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/>
    </xf>
    <xf numFmtId="14" fontId="88" fillId="0" borderId="14" xfId="0" applyNumberFormat="1" applyFont="1" applyBorder="1" applyAlignment="1" applyProtection="1">
      <alignment horizontal="center" vertical="center" wrapText="1"/>
      <protection locked="0"/>
    </xf>
    <xf numFmtId="0" fontId="88" fillId="0" borderId="14" xfId="0" applyFont="1" applyBorder="1" applyAlignment="1" applyProtection="1">
      <alignment horizontal="center" vertical="center" wrapText="1"/>
      <protection locked="0"/>
    </xf>
    <xf numFmtId="0" fontId="8" fillId="0" borderId="47" xfId="0" applyFont="1" applyBorder="1" applyAlignment="1">
      <alignment horizontal="center"/>
    </xf>
    <xf numFmtId="0" fontId="88" fillId="0" borderId="47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/>
    </xf>
    <xf numFmtId="0" fontId="88" fillId="0" borderId="47" xfId="0" applyFont="1" applyBorder="1" applyAlignment="1" applyProtection="1">
      <alignment horizontal="center" vertical="center" wrapText="1"/>
      <protection locked="0"/>
    </xf>
    <xf numFmtId="0" fontId="23" fillId="0" borderId="0" xfId="0" applyFont="1" applyAlignment="1">
      <alignment horizontal="center"/>
    </xf>
    <xf numFmtId="14" fontId="23" fillId="0" borderId="0" xfId="0" applyNumberFormat="1" applyFont="1" applyAlignment="1">
      <alignment horizontal="center"/>
    </xf>
    <xf numFmtId="0" fontId="88" fillId="0" borderId="0" xfId="0" applyFont="1" applyAlignment="1">
      <alignment horizontal="left" vertical="center" wrapText="1"/>
    </xf>
    <xf numFmtId="0" fontId="88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14" fontId="88" fillId="0" borderId="0" xfId="0" applyNumberFormat="1" applyFont="1" applyAlignment="1" applyProtection="1">
      <alignment horizontal="center" vertical="center" wrapText="1"/>
      <protection locked="0"/>
    </xf>
    <xf numFmtId="0" fontId="88" fillId="0" borderId="0" xfId="0" applyFont="1" applyAlignment="1" applyProtection="1">
      <alignment horizontal="center" vertical="center" wrapText="1"/>
      <protection locked="0"/>
    </xf>
    <xf numFmtId="0" fontId="81" fillId="35" borderId="48" xfId="0" applyFont="1" applyFill="1" applyBorder="1" applyAlignment="1" applyProtection="1">
      <alignment horizontal="center" vertical="center" textRotation="90" wrapText="1"/>
      <protection locked="0"/>
    </xf>
    <xf numFmtId="0" fontId="81" fillId="35" borderId="47" xfId="0" applyFont="1" applyFill="1" applyBorder="1" applyAlignment="1" applyProtection="1">
      <alignment horizontal="center" vertical="center" textRotation="90" wrapText="1"/>
      <protection locked="0"/>
    </xf>
    <xf numFmtId="0" fontId="25" fillId="0" borderId="23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0" xfId="0" applyNumberFormat="1" applyFont="1" applyFill="1" applyBorder="1" applyAlignment="1" applyProtection="1">
      <alignment horizontal="center" vertical="center"/>
      <protection locked="0"/>
    </xf>
    <xf numFmtId="0" fontId="89" fillId="36" borderId="40" xfId="0" applyNumberFormat="1" applyFont="1" applyFill="1" applyBorder="1" applyAlignment="1" applyProtection="1">
      <alignment horizontal="center" vertical="center" wrapText="1"/>
      <protection locked="0"/>
    </xf>
    <xf numFmtId="0" fontId="89" fillId="36" borderId="15" xfId="0" applyNumberFormat="1" applyFont="1" applyFill="1" applyBorder="1" applyAlignment="1" applyProtection="1">
      <alignment horizontal="center" vertical="center" wrapText="1"/>
      <protection locked="0"/>
    </xf>
    <xf numFmtId="0" fontId="90" fillId="52" borderId="49" xfId="39" applyNumberFormat="1" applyFont="1" applyFill="1" applyBorder="1" applyAlignment="1" applyProtection="1">
      <alignment horizontal="center" vertical="center" wrapText="1"/>
    </xf>
    <xf numFmtId="0" fontId="25" fillId="0" borderId="0" xfId="0" applyNumberFormat="1" applyFont="1" applyFill="1" applyBorder="1" applyAlignment="1" applyProtection="1">
      <alignment vertical="top"/>
      <protection locked="0"/>
    </xf>
    <xf numFmtId="0" fontId="91" fillId="52" borderId="50" xfId="0" applyFont="1" applyFill="1" applyBorder="1" applyAlignment="1" applyProtection="1">
      <alignment horizontal="center" vertical="center" wrapText="1"/>
      <protection locked="0"/>
    </xf>
    <xf numFmtId="0" fontId="91" fillId="52" borderId="14" xfId="0" applyFont="1" applyFill="1" applyBorder="1" applyAlignment="1" applyProtection="1">
      <alignment horizontal="center" vertical="center" wrapText="1"/>
      <protection locked="0"/>
    </xf>
    <xf numFmtId="0" fontId="86" fillId="35" borderId="14" xfId="0" applyNumberFormat="1" applyFont="1" applyFill="1" applyBorder="1" applyAlignment="1">
      <alignment horizontal="left" vertical="center"/>
    </xf>
    <xf numFmtId="0" fontId="85" fillId="0" borderId="8" xfId="0" applyFont="1" applyFill="1" applyBorder="1" applyAlignment="1">
      <alignment horizontal="center" vertical="center" wrapText="1"/>
    </xf>
    <xf numFmtId="0" fontId="21" fillId="0" borderId="8" xfId="45" applyNumberFormat="1" applyFont="1" applyFill="1" applyBorder="1" applyAlignment="1" applyProtection="1">
      <alignment horizontal="center" vertical="center" wrapText="1"/>
      <protection locked="0"/>
    </xf>
    <xf numFmtId="0" fontId="92" fillId="0" borderId="8" xfId="0" applyFont="1" applyFill="1" applyBorder="1" applyAlignment="1" applyProtection="1">
      <alignment horizontal="center" vertical="center"/>
      <protection locked="0"/>
    </xf>
    <xf numFmtId="0" fontId="93" fillId="0" borderId="8" xfId="39" applyNumberFormat="1" applyFont="1" applyFill="1" applyBorder="1" applyAlignment="1" applyProtection="1">
      <alignment horizontal="center" vertical="center" wrapText="1"/>
      <protection locked="0"/>
    </xf>
    <xf numFmtId="0" fontId="85" fillId="0" borderId="8" xfId="0" applyFont="1" applyFill="1" applyBorder="1" applyAlignment="1" applyProtection="1">
      <alignment horizontal="left" vertical="center" wrapText="1"/>
      <protection locked="0"/>
    </xf>
    <xf numFmtId="14" fontId="22" fillId="0" borderId="0" xfId="0" applyNumberFormat="1" applyFont="1" applyFill="1" applyAlignment="1">
      <alignment horizontal="center" vertical="center"/>
    </xf>
    <xf numFmtId="0" fontId="83" fillId="0" borderId="8" xfId="0" applyFont="1" applyFill="1" applyBorder="1" applyAlignment="1" applyProtection="1">
      <alignment horizontal="center" vertical="center"/>
      <protection locked="0"/>
    </xf>
    <xf numFmtId="14" fontId="21" fillId="0" borderId="8" xfId="39" applyNumberFormat="1" applyFont="1" applyFill="1" applyBorder="1" applyAlignment="1" applyProtection="1">
      <alignment horizontal="center" vertical="center" wrapText="1"/>
      <protection locked="0"/>
    </xf>
    <xf numFmtId="0" fontId="91" fillId="52" borderId="51" xfId="0" applyFont="1" applyFill="1" applyBorder="1" applyAlignment="1" applyProtection="1">
      <alignment horizontal="center" vertical="center" wrapText="1"/>
      <protection locked="0"/>
    </xf>
    <xf numFmtId="0" fontId="91" fillId="52" borderId="21" xfId="0" applyFont="1" applyFill="1" applyBorder="1" applyAlignment="1" applyProtection="1">
      <alignment horizontal="center" vertical="center" wrapText="1"/>
      <protection locked="0"/>
    </xf>
    <xf numFmtId="0" fontId="81" fillId="35" borderId="52" xfId="0" applyFont="1" applyFill="1" applyBorder="1" applyAlignment="1" applyProtection="1">
      <alignment horizontal="center" vertical="center" textRotation="90" wrapText="1"/>
      <protection locked="0"/>
    </xf>
    <xf numFmtId="0" fontId="91" fillId="52" borderId="53" xfId="0" applyFont="1" applyFill="1" applyBorder="1" applyAlignment="1" applyProtection="1">
      <alignment horizontal="center" vertical="center" wrapText="1"/>
      <protection locked="0"/>
    </xf>
    <xf numFmtId="0" fontId="91" fillId="52" borderId="20" xfId="0" applyFont="1" applyFill="1" applyBorder="1" applyAlignment="1" applyProtection="1">
      <alignment horizontal="center" vertical="center" wrapText="1"/>
      <protection locked="0"/>
    </xf>
    <xf numFmtId="0" fontId="78" fillId="36" borderId="54" xfId="0" applyNumberFormat="1" applyFont="1" applyFill="1" applyBorder="1" applyAlignment="1" applyProtection="1">
      <alignment horizontal="center" vertical="center" wrapText="1"/>
      <protection locked="0"/>
    </xf>
    <xf numFmtId="0" fontId="94" fillId="43" borderId="55" xfId="39" applyNumberFormat="1" applyFont="1" applyFill="1" applyBorder="1" applyAlignment="1" applyProtection="1">
      <alignment horizontal="center" vertical="center" wrapText="1"/>
    </xf>
    <xf numFmtId="14" fontId="21" fillId="0" borderId="8" xfId="45" applyNumberFormat="1" applyFont="1" applyFill="1" applyBorder="1" applyAlignment="1" applyProtection="1">
      <alignment horizontal="center" vertical="center" wrapText="1"/>
      <protection locked="0"/>
    </xf>
    <xf numFmtId="0" fontId="95" fillId="0" borderId="8" xfId="0" applyFont="1" applyFill="1" applyBorder="1" applyAlignment="1">
      <alignment horizontal="center" vertical="center" wrapText="1"/>
    </xf>
    <xf numFmtId="0" fontId="83" fillId="0" borderId="8" xfId="0" applyFont="1" applyFill="1" applyBorder="1" applyAlignment="1" applyProtection="1">
      <alignment horizontal="left" vertical="center" wrapText="1"/>
      <protection locked="0"/>
    </xf>
    <xf numFmtId="0" fontId="96" fillId="44" borderId="50" xfId="0" applyFont="1" applyFill="1" applyBorder="1" applyAlignment="1" applyProtection="1">
      <alignment horizontal="center" vertical="center" wrapText="1"/>
      <protection locked="0"/>
    </xf>
    <xf numFmtId="14" fontId="21" fillId="0" borderId="14" xfId="45" applyNumberFormat="1" applyFont="1" applyFill="1" applyBorder="1" applyAlignment="1" applyProtection="1">
      <alignment horizontal="center" vertical="center" wrapText="1"/>
      <protection locked="0"/>
    </xf>
    <xf numFmtId="0" fontId="83" fillId="0" borderId="56" xfId="45" applyNumberFormat="1" applyFont="1" applyFill="1" applyBorder="1" applyAlignment="1" applyProtection="1">
      <alignment horizontal="center" vertical="center" wrapText="1"/>
      <protection locked="0"/>
    </xf>
    <xf numFmtId="0" fontId="84" fillId="0" borderId="8" xfId="0" applyFont="1" applyFill="1" applyBorder="1" applyAlignment="1" applyProtection="1">
      <alignment horizontal="left" vertical="center" wrapText="1"/>
      <protection locked="0"/>
    </xf>
    <xf numFmtId="0" fontId="96" fillId="44" borderId="14" xfId="0" applyFont="1" applyFill="1" applyBorder="1" applyAlignment="1" applyProtection="1">
      <alignment horizontal="center" vertical="center" wrapText="1"/>
      <protection locked="0"/>
    </xf>
    <xf numFmtId="49" fontId="0" fillId="48" borderId="57" xfId="0" applyNumberFormat="1" applyFill="1" applyBorder="1" applyAlignment="1">
      <alignment horizontal="center" vertical="center" wrapText="1"/>
    </xf>
    <xf numFmtId="49" fontId="5" fillId="0" borderId="0" xfId="0" applyNumberFormat="1" applyFont="1" applyFill="1" applyBorder="1" applyAlignment="1" applyProtection="1">
      <alignment horizontal="center" vertical="center"/>
      <protection locked="0"/>
    </xf>
    <xf numFmtId="49" fontId="78" fillId="35" borderId="37" xfId="0" applyNumberFormat="1" applyFont="1" applyFill="1" applyBorder="1" applyAlignment="1" applyProtection="1">
      <alignment horizontal="center" vertical="center"/>
      <protection locked="0"/>
    </xf>
    <xf numFmtId="49" fontId="78" fillId="35" borderId="14" xfId="0" applyNumberFormat="1" applyFont="1" applyFill="1" applyBorder="1" applyAlignment="1" applyProtection="1">
      <alignment horizontal="center" vertical="center"/>
      <protection locked="0"/>
    </xf>
    <xf numFmtId="49" fontId="78" fillId="35" borderId="27" xfId="0" applyNumberFormat="1" applyFont="1" applyFill="1" applyBorder="1" applyAlignment="1" applyProtection="1">
      <alignment horizontal="center" vertical="center" wrapText="1"/>
      <protection locked="0"/>
    </xf>
    <xf numFmtId="0" fontId="95" fillId="0" borderId="56" xfId="45" applyNumberFormat="1" applyFont="1" applyFill="1" applyBorder="1" applyAlignment="1" applyProtection="1">
      <alignment horizontal="center" vertical="center" wrapText="1"/>
      <protection locked="0"/>
    </xf>
    <xf numFmtId="0" fontId="27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27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84" fillId="0" borderId="56" xfId="0" applyNumberFormat="1" applyFont="1" applyFill="1" applyBorder="1" applyAlignment="1" applyProtection="1">
      <alignment horizontal="left" vertical="center" wrapText="1"/>
      <protection locked="0"/>
    </xf>
    <xf numFmtId="0" fontId="84" fillId="0" borderId="56" xfId="0" applyNumberFormat="1" applyFont="1" applyFill="1" applyBorder="1" applyAlignment="1" applyProtection="1">
      <alignment horizontal="center" vertical="center" wrapText="1"/>
      <protection locked="0"/>
    </xf>
    <xf numFmtId="14" fontId="26" fillId="39" borderId="14" xfId="45" applyNumberFormat="1" applyFont="1" applyFill="1" applyBorder="1" applyAlignment="1" applyProtection="1">
      <alignment horizontal="center" vertical="center"/>
      <protection locked="0"/>
    </xf>
    <xf numFmtId="14" fontId="29" fillId="39" borderId="14" xfId="45" applyNumberFormat="1" applyFont="1" applyFill="1" applyBorder="1" applyAlignment="1" applyProtection="1">
      <alignment horizontal="center" vertical="center"/>
      <protection locked="0"/>
    </xf>
    <xf numFmtId="0" fontId="30" fillId="0" borderId="56" xfId="45" applyNumberFormat="1" applyFont="1" applyFill="1" applyBorder="1" applyAlignment="1" applyProtection="1">
      <alignment horizontal="center" vertical="center" wrapText="1"/>
      <protection locked="0"/>
    </xf>
    <xf numFmtId="0" fontId="83" fillId="0" borderId="0" xfId="0" applyNumberFormat="1" applyFont="1" applyFill="1" applyBorder="1" applyAlignment="1" applyProtection="1">
      <alignment horizontal="center" vertical="center"/>
      <protection locked="0"/>
    </xf>
    <xf numFmtId="14" fontId="97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97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31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31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97" fillId="0" borderId="58" xfId="0" applyNumberFormat="1" applyFont="1" applyFill="1" applyBorder="1" applyAlignment="1" applyProtection="1">
      <alignment horizontal="left" vertical="center" wrapText="1"/>
      <protection locked="0"/>
    </xf>
    <xf numFmtId="0" fontId="85" fillId="0" borderId="59" xfId="0" applyNumberFormat="1" applyFont="1" applyFill="1" applyBorder="1" applyAlignment="1" applyProtection="1">
      <alignment horizontal="center" vertical="center" wrapText="1"/>
    </xf>
    <xf numFmtId="14" fontId="28" fillId="0" borderId="60" xfId="45" applyNumberFormat="1" applyFont="1" applyFill="1" applyBorder="1" applyAlignment="1" applyProtection="1">
      <alignment horizontal="center" vertical="center" wrapText="1"/>
      <protection locked="0"/>
    </xf>
    <xf numFmtId="0" fontId="83" fillId="0" borderId="59" xfId="0" applyNumberFormat="1" applyFont="1" applyFill="1" applyBorder="1" applyAlignment="1" applyProtection="1">
      <alignment horizontal="center" vertical="center" wrapText="1"/>
      <protection locked="0"/>
    </xf>
    <xf numFmtId="0" fontId="83" fillId="47" borderId="56" xfId="0" applyNumberFormat="1" applyFont="1" applyFill="1" applyBorder="1" applyAlignment="1" applyProtection="1">
      <alignment horizontal="center" vertical="center" wrapText="1"/>
      <protection locked="0"/>
    </xf>
    <xf numFmtId="0" fontId="83" fillId="47" borderId="59" xfId="0" applyNumberFormat="1" applyFont="1" applyFill="1" applyBorder="1" applyAlignment="1" applyProtection="1">
      <alignment horizontal="center" vertical="center" wrapText="1"/>
      <protection locked="0"/>
    </xf>
    <xf numFmtId="167" fontId="98" fillId="47" borderId="61" xfId="39" applyNumberFormat="1" applyFont="1" applyFill="1" applyBorder="1" applyAlignment="1" applyProtection="1">
      <alignment horizontal="center" vertical="center" wrapText="1"/>
      <protection locked="0"/>
    </xf>
    <xf numFmtId="166" fontId="98" fillId="47" borderId="14" xfId="39" applyNumberFormat="1" applyFont="1" applyFill="1" applyBorder="1" applyAlignment="1" applyProtection="1">
      <alignment horizontal="center" vertical="center" wrapText="1"/>
      <protection locked="0"/>
    </xf>
    <xf numFmtId="0" fontId="98" fillId="47" borderId="14" xfId="0" applyFont="1" applyFill="1" applyBorder="1" applyAlignment="1">
      <alignment horizontal="center" vertical="center" wrapText="1"/>
    </xf>
    <xf numFmtId="0" fontId="99" fillId="39" borderId="0" xfId="0" applyFont="1" applyFill="1"/>
    <xf numFmtId="0" fontId="10" fillId="0" borderId="14" xfId="0" applyFont="1" applyBorder="1"/>
    <xf numFmtId="0" fontId="10" fillId="0" borderId="14" xfId="0" applyFont="1" applyBorder="1" applyAlignment="1">
      <alignment horizontal="center"/>
    </xf>
    <xf numFmtId="0" fontId="10" fillId="0" borderId="14" xfId="0" applyFont="1" applyBorder="1" applyAlignment="1">
      <alignment horizontal="right"/>
    </xf>
    <xf numFmtId="0" fontId="99" fillId="0" borderId="14" xfId="0" applyFont="1" applyBorder="1" applyAlignment="1">
      <alignment horizontal="center"/>
    </xf>
    <xf numFmtId="0" fontId="99" fillId="51" borderId="14" xfId="0" applyFont="1" applyFill="1" applyBorder="1" applyAlignment="1">
      <alignment horizontal="center"/>
    </xf>
    <xf numFmtId="0" fontId="99" fillId="47" borderId="14" xfId="0" applyFont="1" applyFill="1" applyBorder="1" applyAlignment="1">
      <alignment horizontal="center"/>
    </xf>
    <xf numFmtId="0" fontId="21" fillId="47" borderId="56" xfId="45" applyNumberFormat="1" applyFont="1" applyFill="1" applyBorder="1" applyAlignment="1" applyProtection="1">
      <alignment horizontal="center" vertical="center" wrapText="1"/>
      <protection locked="0"/>
    </xf>
    <xf numFmtId="0" fontId="83" fillId="47" borderId="56" xfId="45" applyNumberFormat="1" applyFont="1" applyFill="1" applyBorder="1" applyAlignment="1" applyProtection="1">
      <alignment horizontal="center" vertical="center" wrapText="1"/>
      <protection locked="0"/>
    </xf>
    <xf numFmtId="0" fontId="95" fillId="47" borderId="56" xfId="45" applyNumberFormat="1" applyFont="1" applyFill="1" applyBorder="1" applyAlignment="1" applyProtection="1">
      <alignment horizontal="center" vertical="center" wrapText="1"/>
      <protection locked="0"/>
    </xf>
    <xf numFmtId="0" fontId="83" fillId="47" borderId="0" xfId="0" applyNumberFormat="1" applyFont="1" applyFill="1" applyBorder="1" applyAlignment="1" applyProtection="1">
      <alignment horizontal="center" vertical="center"/>
      <protection locked="0"/>
    </xf>
    <xf numFmtId="0" fontId="97" fillId="47" borderId="0" xfId="39" applyNumberFormat="1" applyFont="1" applyFill="1" applyBorder="1" applyAlignment="1" applyProtection="1">
      <alignment horizontal="center" vertical="center" wrapText="1"/>
      <protection locked="0"/>
    </xf>
    <xf numFmtId="0" fontId="27" fillId="47" borderId="0" xfId="39" applyNumberFormat="1" applyFont="1" applyFill="1" applyBorder="1" applyAlignment="1" applyProtection="1">
      <alignment horizontal="center" vertical="center" wrapText="1"/>
      <protection locked="0"/>
    </xf>
    <xf numFmtId="0" fontId="27" fillId="47" borderId="0" xfId="0" applyNumberFormat="1" applyFont="1" applyFill="1" applyBorder="1" applyAlignment="1" applyProtection="1">
      <alignment horizontal="center" vertical="center" wrapText="1"/>
      <protection locked="0"/>
    </xf>
    <xf numFmtId="0" fontId="97" fillId="47" borderId="58" xfId="0" applyNumberFormat="1" applyFont="1" applyFill="1" applyBorder="1" applyAlignment="1" applyProtection="1">
      <alignment horizontal="left" vertical="center" wrapText="1"/>
      <protection locked="0"/>
    </xf>
    <xf numFmtId="0" fontId="77" fillId="47" borderId="0" xfId="0" applyNumberFormat="1" applyFont="1" applyFill="1" applyBorder="1" applyProtection="1">
      <protection locked="0"/>
    </xf>
    <xf numFmtId="14" fontId="26" fillId="39" borderId="61" xfId="45" applyNumberFormat="1" applyFont="1" applyFill="1" applyBorder="1" applyAlignment="1" applyProtection="1">
      <alignment horizontal="center" vertical="center"/>
      <protection locked="0"/>
    </xf>
    <xf numFmtId="0" fontId="21" fillId="0" borderId="56" xfId="45" applyNumberFormat="1" applyFont="1" applyFill="1" applyBorder="1" applyAlignment="1" applyProtection="1">
      <alignment horizontal="center" vertical="center" wrapText="1"/>
      <protection locked="0"/>
    </xf>
    <xf numFmtId="14" fontId="26" fillId="39" borderId="58" xfId="45" applyNumberFormat="1" applyFont="1" applyFill="1" applyBorder="1" applyAlignment="1" applyProtection="1">
      <alignment horizontal="center" vertical="center"/>
      <protection locked="0"/>
    </xf>
    <xf numFmtId="14" fontId="26" fillId="39" borderId="47" xfId="45" applyNumberFormat="1" applyFont="1" applyFill="1" applyBorder="1" applyAlignment="1" applyProtection="1">
      <alignment horizontal="center" vertical="center"/>
      <protection locked="0"/>
    </xf>
    <xf numFmtId="14" fontId="22" fillId="0" borderId="60" xfId="45" applyNumberFormat="1" applyFont="1" applyFill="1" applyBorder="1" applyAlignment="1" applyProtection="1">
      <alignment horizontal="center" vertical="center" wrapText="1"/>
      <protection locked="0"/>
    </xf>
    <xf numFmtId="0" fontId="83" fillId="0" borderId="56" xfId="0" applyNumberFormat="1" applyFont="1" applyFill="1" applyBorder="1" applyAlignment="1" applyProtection="1">
      <alignment horizontal="center" vertical="center" wrapText="1"/>
      <protection locked="0"/>
    </xf>
    <xf numFmtId="167" fontId="98" fillId="0" borderId="61" xfId="39" applyNumberFormat="1" applyFont="1" applyFill="1" applyBorder="1" applyAlignment="1" applyProtection="1">
      <alignment horizontal="center" vertical="center" wrapText="1"/>
      <protection locked="0"/>
    </xf>
    <xf numFmtId="166" fontId="98" fillId="0" borderId="14" xfId="39" applyNumberFormat="1" applyFont="1" applyFill="1" applyBorder="1" applyAlignment="1" applyProtection="1">
      <alignment horizontal="center" vertical="center" wrapText="1"/>
      <protection locked="0"/>
    </xf>
    <xf numFmtId="0" fontId="83" fillId="38" borderId="56" xfId="45" applyNumberFormat="1" applyFont="1" applyFill="1" applyBorder="1" applyAlignment="1" applyProtection="1">
      <alignment horizontal="center" vertical="center" wrapText="1"/>
      <protection locked="0"/>
    </xf>
    <xf numFmtId="0" fontId="95" fillId="38" borderId="56" xfId="45" applyNumberFormat="1" applyFont="1" applyFill="1" applyBorder="1" applyAlignment="1" applyProtection="1">
      <alignment horizontal="center" vertical="center" wrapText="1"/>
      <protection locked="0"/>
    </xf>
    <xf numFmtId="0" fontId="83" fillId="38" borderId="56" xfId="0" applyNumberFormat="1" applyFont="1" applyFill="1" applyBorder="1" applyAlignment="1" applyProtection="1">
      <alignment horizontal="center" vertical="center" wrapText="1"/>
      <protection locked="0"/>
    </xf>
    <xf numFmtId="0" fontId="93" fillId="38" borderId="0" xfId="39" applyNumberFormat="1" applyFont="1" applyFill="1" applyBorder="1" applyAlignment="1" applyProtection="1">
      <alignment horizontal="center" vertical="center" wrapText="1"/>
      <protection locked="0"/>
    </xf>
    <xf numFmtId="0" fontId="92" fillId="38" borderId="0" xfId="0" applyNumberFormat="1" applyFont="1" applyFill="1" applyBorder="1" applyAlignment="1" applyProtection="1">
      <alignment horizontal="center" vertical="center"/>
      <protection locked="0"/>
    </xf>
    <xf numFmtId="0" fontId="83" fillId="39" borderId="56" xfId="45" applyNumberFormat="1" applyFont="1" applyFill="1" applyBorder="1" applyAlignment="1" applyProtection="1">
      <alignment horizontal="center" vertical="center" wrapText="1"/>
      <protection locked="0"/>
    </xf>
    <xf numFmtId="0" fontId="95" fillId="39" borderId="56" xfId="45" applyNumberFormat="1" applyFont="1" applyFill="1" applyBorder="1" applyAlignment="1" applyProtection="1">
      <alignment horizontal="center" vertical="center" wrapText="1"/>
      <protection locked="0"/>
    </xf>
    <xf numFmtId="0" fontId="84" fillId="39" borderId="56" xfId="0" applyNumberFormat="1" applyFont="1" applyFill="1" applyBorder="1" applyAlignment="1" applyProtection="1">
      <alignment horizontal="left" vertical="center" wrapText="1"/>
      <protection locked="0"/>
    </xf>
    <xf numFmtId="0" fontId="84" fillId="39" borderId="56" xfId="0" applyNumberFormat="1" applyFont="1" applyFill="1" applyBorder="1" applyAlignment="1" applyProtection="1">
      <alignment horizontal="center" vertical="center" wrapText="1"/>
      <protection locked="0"/>
    </xf>
    <xf numFmtId="0" fontId="83" fillId="39" borderId="56" xfId="0" applyNumberFormat="1" applyFont="1" applyFill="1" applyBorder="1" applyAlignment="1" applyProtection="1">
      <alignment horizontal="center" vertical="center" wrapText="1"/>
      <protection locked="0"/>
    </xf>
    <xf numFmtId="0" fontId="83" fillId="39" borderId="59" xfId="0" applyNumberFormat="1" applyFont="1" applyFill="1" applyBorder="1" applyAlignment="1" applyProtection="1">
      <alignment horizontal="center" vertical="center" wrapText="1"/>
      <protection locked="0"/>
    </xf>
    <xf numFmtId="0" fontId="83" fillId="39" borderId="0" xfId="0" applyNumberFormat="1" applyFont="1" applyFill="1" applyBorder="1" applyAlignment="1" applyProtection="1">
      <alignment horizontal="center" vertical="center"/>
      <protection locked="0"/>
    </xf>
    <xf numFmtId="0" fontId="83" fillId="0" borderId="56" xfId="45" applyNumberFormat="1" applyFont="1" applyFill="1" applyBorder="1" applyAlignment="1" applyProtection="1">
      <alignment horizontal="center" vertical="center" wrapText="1"/>
      <protection locked="0"/>
    </xf>
    <xf numFmtId="0" fontId="95" fillId="0" borderId="56" xfId="45" applyNumberFormat="1" applyFont="1" applyFill="1" applyBorder="1" applyAlignment="1" applyProtection="1">
      <alignment horizontal="center" vertical="center" wrapText="1"/>
      <protection locked="0"/>
    </xf>
    <xf numFmtId="0" fontId="83" fillId="0" borderId="0" xfId="0" applyNumberFormat="1" applyFont="1" applyFill="1" applyBorder="1" applyAlignment="1" applyProtection="1">
      <alignment horizontal="center" vertical="center"/>
      <protection locked="0"/>
    </xf>
    <xf numFmtId="14" fontId="97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97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100" fillId="0" borderId="0" xfId="0" applyNumberFormat="1" applyFont="1" applyFill="1" applyBorder="1" applyAlignment="1" applyProtection="1">
      <alignment horizontal="center" vertical="center"/>
      <protection locked="0"/>
    </xf>
    <xf numFmtId="0" fontId="34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34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97" fillId="0" borderId="61" xfId="0" applyNumberFormat="1" applyFont="1" applyFill="1" applyBorder="1" applyAlignment="1" applyProtection="1">
      <alignment horizontal="left" vertical="center" wrapText="1"/>
      <protection locked="0"/>
    </xf>
    <xf numFmtId="0" fontId="97" fillId="0" borderId="58" xfId="0" applyNumberFormat="1" applyFont="1" applyFill="1" applyBorder="1" applyAlignment="1" applyProtection="1">
      <alignment horizontal="left" vertical="center" wrapText="1"/>
      <protection locked="0"/>
    </xf>
    <xf numFmtId="14" fontId="26" fillId="0" borderId="14" xfId="45" applyNumberFormat="1" applyFont="1" applyFill="1" applyBorder="1" applyAlignment="1" applyProtection="1">
      <alignment horizontal="center" vertical="center"/>
      <protection locked="0"/>
    </xf>
    <xf numFmtId="0" fontId="85" fillId="47" borderId="59" xfId="0" applyNumberFormat="1" applyFont="1" applyFill="1" applyBorder="1" applyAlignment="1" applyProtection="1">
      <alignment horizontal="center" vertical="center" wrapText="1"/>
    </xf>
    <xf numFmtId="14" fontId="28" fillId="47" borderId="60" xfId="45" applyNumberFormat="1" applyFont="1" applyFill="1" applyBorder="1" applyAlignment="1" applyProtection="1">
      <alignment horizontal="center" vertical="center" wrapText="1"/>
      <protection locked="0"/>
    </xf>
    <xf numFmtId="14" fontId="26" fillId="0" borderId="58" xfId="45" applyNumberFormat="1" applyFont="1" applyFill="1" applyBorder="1" applyAlignment="1" applyProtection="1">
      <alignment horizontal="center" vertical="center"/>
      <protection locked="0"/>
    </xf>
    <xf numFmtId="14" fontId="26" fillId="0" borderId="47" xfId="45" applyNumberFormat="1" applyFont="1" applyFill="1" applyBorder="1" applyAlignment="1" applyProtection="1">
      <alignment horizontal="center" vertical="center"/>
      <protection locked="0"/>
    </xf>
    <xf numFmtId="3" fontId="88" fillId="0" borderId="14" xfId="0" applyNumberFormat="1" applyFont="1" applyBorder="1" applyAlignment="1">
      <alignment horizontal="center" vertical="center" wrapText="1"/>
    </xf>
    <xf numFmtId="0" fontId="83" fillId="0" borderId="14" xfId="45" applyNumberFormat="1" applyFont="1" applyFill="1" applyBorder="1" applyAlignment="1" applyProtection="1">
      <alignment horizontal="center" vertical="center" wrapText="1"/>
      <protection locked="0"/>
    </xf>
    <xf numFmtId="0" fontId="95" fillId="0" borderId="14" xfId="45" applyNumberFormat="1" applyFont="1" applyFill="1" applyBorder="1" applyAlignment="1" applyProtection="1">
      <alignment horizontal="center" vertical="center" wrapText="1"/>
      <protection locked="0"/>
    </xf>
    <xf numFmtId="0" fontId="83" fillId="0" borderId="14" xfId="0" applyNumberFormat="1" applyFont="1" applyFill="1" applyBorder="1" applyAlignment="1" applyProtection="1">
      <alignment horizontal="center" vertical="center"/>
      <protection locked="0"/>
    </xf>
    <xf numFmtId="0" fontId="97" fillId="0" borderId="14" xfId="39" applyNumberFormat="1" applyFont="1" applyFill="1" applyBorder="1" applyAlignment="1" applyProtection="1">
      <alignment horizontal="center" vertical="center" wrapText="1"/>
      <protection locked="0"/>
    </xf>
    <xf numFmtId="0" fontId="85" fillId="0" borderId="14" xfId="0" applyNumberFormat="1" applyFont="1" applyFill="1" applyBorder="1" applyAlignment="1" applyProtection="1">
      <alignment horizontal="center" vertical="center" wrapText="1"/>
    </xf>
    <xf numFmtId="14" fontId="32" fillId="0" borderId="60" xfId="45" applyNumberFormat="1" applyFont="1" applyFill="1" applyBorder="1" applyAlignment="1" applyProtection="1">
      <alignment horizontal="center" vertical="center" wrapText="1"/>
      <protection locked="0"/>
    </xf>
    <xf numFmtId="14" fontId="33" fillId="0" borderId="58" xfId="45" applyNumberFormat="1" applyFont="1" applyFill="1" applyBorder="1" applyAlignment="1" applyProtection="1">
      <alignment horizontal="center" vertical="center"/>
      <protection locked="0"/>
    </xf>
    <xf numFmtId="14" fontId="33" fillId="0" borderId="47" xfId="45" applyNumberFormat="1" applyFont="1" applyFill="1" applyBorder="1" applyAlignment="1" applyProtection="1">
      <alignment horizontal="center" vertical="center"/>
      <protection locked="0"/>
    </xf>
    <xf numFmtId="0" fontId="84" fillId="0" borderId="56" xfId="0" applyNumberFormat="1" applyFont="1" applyFill="1" applyBorder="1" applyAlignment="1" applyProtection="1">
      <alignment horizontal="left" vertical="center" wrapText="1"/>
      <protection locked="0"/>
    </xf>
    <xf numFmtId="0" fontId="84" fillId="0" borderId="56" xfId="0" applyNumberFormat="1" applyFont="1" applyFill="1" applyBorder="1" applyAlignment="1" applyProtection="1">
      <alignment horizontal="center" vertical="center" wrapText="1"/>
      <protection locked="0"/>
    </xf>
    <xf numFmtId="0" fontId="83" fillId="0" borderId="56" xfId="0" applyNumberFormat="1" applyFont="1" applyFill="1" applyBorder="1" applyAlignment="1" applyProtection="1">
      <alignment horizontal="center" vertical="center" wrapText="1"/>
      <protection locked="0"/>
    </xf>
    <xf numFmtId="0" fontId="83" fillId="0" borderId="59" xfId="0" applyNumberFormat="1" applyFont="1" applyFill="1" applyBorder="1" applyAlignment="1" applyProtection="1">
      <alignment horizontal="center" vertical="center" wrapText="1"/>
      <protection locked="0"/>
    </xf>
    <xf numFmtId="0" fontId="97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84" fillId="0" borderId="14" xfId="0" applyNumberFormat="1" applyFont="1" applyFill="1" applyBorder="1" applyAlignment="1" applyProtection="1">
      <alignment horizontal="left" vertical="center" wrapText="1"/>
      <protection locked="0"/>
    </xf>
    <xf numFmtId="0" fontId="83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97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97" fillId="47" borderId="0" xfId="0" applyNumberFormat="1" applyFont="1" applyFill="1" applyBorder="1" applyAlignment="1" applyProtection="1">
      <alignment horizontal="center" vertical="center" wrapText="1"/>
      <protection locked="0"/>
    </xf>
    <xf numFmtId="0" fontId="84" fillId="47" borderId="56" xfId="0" applyNumberFormat="1" applyFont="1" applyFill="1" applyBorder="1" applyAlignment="1" applyProtection="1">
      <alignment horizontal="center" vertical="center" wrapText="1"/>
      <protection locked="0"/>
    </xf>
    <xf numFmtId="14" fontId="97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97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97" fillId="47" borderId="0" xfId="0" applyNumberFormat="1" applyFont="1" applyFill="1" applyBorder="1" applyAlignment="1" applyProtection="1">
      <alignment horizontal="center" vertical="center" wrapText="1"/>
      <protection locked="0"/>
    </xf>
    <xf numFmtId="0" fontId="100" fillId="0" borderId="0" xfId="0" applyNumberFormat="1" applyFont="1" applyFill="1" applyBorder="1" applyAlignment="1" applyProtection="1">
      <alignment horizontal="center" vertical="center"/>
      <protection locked="0"/>
    </xf>
    <xf numFmtId="0" fontId="41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41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97" fillId="0" borderId="61" xfId="0" applyNumberFormat="1" applyFont="1" applyFill="1" applyBorder="1" applyAlignment="1" applyProtection="1">
      <alignment horizontal="left" vertical="center" wrapText="1"/>
      <protection locked="0"/>
    </xf>
    <xf numFmtId="0" fontId="97" fillId="0" borderId="58" xfId="0" applyNumberFormat="1" applyFont="1" applyFill="1" applyBorder="1" applyAlignment="1" applyProtection="1">
      <alignment horizontal="left" vertical="center" wrapText="1"/>
      <protection locked="0"/>
    </xf>
    <xf numFmtId="0" fontId="96" fillId="44" borderId="21" xfId="0" applyFont="1" applyFill="1" applyBorder="1" applyAlignment="1" applyProtection="1">
      <alignment horizontal="center" vertical="center" wrapText="1"/>
      <protection locked="0"/>
    </xf>
    <xf numFmtId="0" fontId="101" fillId="47" borderId="0" xfId="0" applyNumberFormat="1" applyFont="1" applyFill="1" applyBorder="1" applyAlignment="1" applyProtection="1">
      <alignment horizontal="center" vertical="center" wrapText="1"/>
      <protection locked="0"/>
    </xf>
    <xf numFmtId="14" fontId="32" fillId="39" borderId="60" xfId="45" applyNumberFormat="1" applyFont="1" applyFill="1" applyBorder="1" applyAlignment="1" applyProtection="1">
      <alignment horizontal="center" vertical="center" wrapText="1"/>
      <protection locked="0"/>
    </xf>
    <xf numFmtId="0" fontId="21" fillId="39" borderId="56" xfId="45" applyNumberFormat="1" applyFont="1" applyFill="1" applyBorder="1" applyAlignment="1" applyProtection="1">
      <alignment horizontal="center" vertical="center" wrapText="1"/>
      <protection locked="0"/>
    </xf>
    <xf numFmtId="0" fontId="91" fillId="39" borderId="21" xfId="0" applyFont="1" applyFill="1" applyBorder="1" applyAlignment="1" applyProtection="1">
      <alignment horizontal="center" vertical="center" wrapText="1"/>
      <protection locked="0"/>
    </xf>
    <xf numFmtId="0" fontId="91" fillId="39" borderId="14" xfId="0" applyFont="1" applyFill="1" applyBorder="1" applyAlignment="1" applyProtection="1">
      <alignment horizontal="center" vertical="center" wrapText="1"/>
      <protection locked="0"/>
    </xf>
    <xf numFmtId="0" fontId="96" fillId="39" borderId="14" xfId="0" applyFont="1" applyFill="1" applyBorder="1" applyAlignment="1" applyProtection="1">
      <alignment horizontal="center" vertical="center" wrapText="1"/>
      <protection locked="0"/>
    </xf>
    <xf numFmtId="0" fontId="94" fillId="39" borderId="55" xfId="39" applyNumberFormat="1" applyFont="1" applyFill="1" applyBorder="1" applyAlignment="1" applyProtection="1">
      <alignment horizontal="center" vertical="center" wrapText="1"/>
    </xf>
    <xf numFmtId="0" fontId="18" fillId="39" borderId="22" xfId="39" applyNumberFormat="1" applyFont="1" applyFill="1" applyBorder="1" applyAlignment="1" applyProtection="1">
      <alignment horizontal="center" vertical="center" wrapText="1"/>
    </xf>
    <xf numFmtId="0" fontId="90" fillId="39" borderId="49" xfId="39" applyNumberFormat="1" applyFont="1" applyFill="1" applyBorder="1" applyAlignment="1" applyProtection="1">
      <alignment horizontal="center" vertical="center" wrapText="1"/>
    </xf>
    <xf numFmtId="0" fontId="83" fillId="39" borderId="14" xfId="45" applyNumberFormat="1" applyFont="1" applyFill="1" applyBorder="1" applyAlignment="1" applyProtection="1">
      <alignment horizontal="center" vertical="center" wrapText="1"/>
      <protection locked="0"/>
    </xf>
    <xf numFmtId="0" fontId="95" fillId="39" borderId="14" xfId="45" applyNumberFormat="1" applyFont="1" applyFill="1" applyBorder="1" applyAlignment="1" applyProtection="1">
      <alignment horizontal="center" vertical="center" wrapText="1"/>
      <protection locked="0"/>
    </xf>
    <xf numFmtId="0" fontId="97" fillId="39" borderId="0" xfId="39" applyNumberFormat="1" applyFont="1" applyFill="1" applyBorder="1" applyAlignment="1" applyProtection="1">
      <alignment horizontal="center" vertical="center" wrapText="1"/>
      <protection locked="0"/>
    </xf>
    <xf numFmtId="0" fontId="34" fillId="39" borderId="0" xfId="39" applyNumberFormat="1" applyFont="1" applyFill="1" applyBorder="1" applyAlignment="1" applyProtection="1">
      <alignment horizontal="center" vertical="center" wrapText="1"/>
      <protection locked="0"/>
    </xf>
    <xf numFmtId="0" fontId="34" fillId="39" borderId="0" xfId="0" applyNumberFormat="1" applyFont="1" applyFill="1" applyBorder="1" applyAlignment="1" applyProtection="1">
      <alignment horizontal="center" vertical="center" wrapText="1"/>
      <protection locked="0"/>
    </xf>
    <xf numFmtId="0" fontId="97" fillId="39" borderId="61" xfId="0" applyNumberFormat="1" applyFont="1" applyFill="1" applyBorder="1" applyAlignment="1" applyProtection="1">
      <alignment horizontal="left" vertical="center" wrapText="1"/>
      <protection locked="0"/>
    </xf>
    <xf numFmtId="0" fontId="77" fillId="39" borderId="0" xfId="0" applyNumberFormat="1" applyFont="1" applyFill="1" applyBorder="1" applyProtection="1">
      <protection locked="0"/>
    </xf>
    <xf numFmtId="14" fontId="43" fillId="39" borderId="61" xfId="45" applyNumberFormat="1" applyFont="1" applyFill="1" applyBorder="1" applyAlignment="1" applyProtection="1">
      <alignment horizontal="center" vertical="center"/>
      <protection locked="0"/>
    </xf>
    <xf numFmtId="14" fontId="43" fillId="39" borderId="14" xfId="45" applyNumberFormat="1" applyFont="1" applyFill="1" applyBorder="1" applyAlignment="1" applyProtection="1">
      <alignment horizontal="center" vertical="center"/>
      <protection locked="0"/>
    </xf>
    <xf numFmtId="0" fontId="83" fillId="47" borderId="56" xfId="0" applyNumberFormat="1" applyFont="1" applyFill="1" applyBorder="1" applyAlignment="1" applyProtection="1">
      <alignment horizontal="center" vertical="center" wrapText="1"/>
      <protection locked="0"/>
    </xf>
    <xf numFmtId="0" fontId="83" fillId="47" borderId="59" xfId="0" applyNumberFormat="1" applyFont="1" applyFill="1" applyBorder="1" applyAlignment="1" applyProtection="1">
      <alignment horizontal="center" vertical="center" wrapText="1"/>
      <protection locked="0"/>
    </xf>
    <xf numFmtId="0" fontId="102" fillId="52" borderId="16" xfId="0" applyNumberFormat="1" applyFont="1" applyFill="1" applyBorder="1" applyAlignment="1" applyProtection="1">
      <alignment horizontal="center" vertical="center" wrapText="1"/>
      <protection locked="0"/>
    </xf>
    <xf numFmtId="0" fontId="102" fillId="52" borderId="17" xfId="0" applyNumberFormat="1" applyFont="1" applyFill="1" applyBorder="1" applyAlignment="1" applyProtection="1">
      <alignment horizontal="center" vertical="center" wrapText="1"/>
      <protection locked="0"/>
    </xf>
    <xf numFmtId="0" fontId="85" fillId="39" borderId="11" xfId="0" applyNumberFormat="1" applyFont="1" applyFill="1" applyBorder="1" applyAlignment="1" applyProtection="1">
      <alignment horizontal="center" vertical="center" wrapText="1"/>
    </xf>
    <xf numFmtId="14" fontId="42" fillId="39" borderId="60" xfId="45" applyNumberFormat="1" applyFont="1" applyFill="1" applyBorder="1" applyAlignment="1" applyProtection="1">
      <alignment horizontal="center" vertical="center" wrapText="1"/>
      <protection locked="0"/>
    </xf>
    <xf numFmtId="0" fontId="44" fillId="39" borderId="56" xfId="45" applyNumberFormat="1" applyFont="1" applyFill="1" applyBorder="1" applyAlignment="1" applyProtection="1">
      <alignment horizontal="center" vertical="center" wrapText="1"/>
      <protection locked="0"/>
    </xf>
    <xf numFmtId="0" fontId="83" fillId="39" borderId="56" xfId="45" applyNumberFormat="1" applyFont="1" applyFill="1" applyBorder="1" applyAlignment="1" applyProtection="1">
      <alignment horizontal="center" vertical="center" wrapText="1"/>
      <protection locked="0"/>
    </xf>
    <xf numFmtId="0" fontId="95" fillId="39" borderId="56" xfId="45" applyNumberFormat="1" applyFont="1" applyFill="1" applyBorder="1" applyAlignment="1" applyProtection="1">
      <alignment horizontal="center" vertical="center" wrapText="1"/>
      <protection locked="0"/>
    </xf>
    <xf numFmtId="0" fontId="84" fillId="39" borderId="56" xfId="0" applyNumberFormat="1" applyFont="1" applyFill="1" applyBorder="1" applyAlignment="1" applyProtection="1">
      <alignment horizontal="left" vertical="center" wrapText="1"/>
      <protection locked="0"/>
    </xf>
    <xf numFmtId="0" fontId="84" fillId="39" borderId="56" xfId="45" applyNumberFormat="1" applyFont="1" applyFill="1" applyBorder="1" applyAlignment="1" applyProtection="1">
      <alignment horizontal="center" vertical="center" wrapText="1"/>
      <protection locked="0"/>
    </xf>
    <xf numFmtId="0" fontId="83" fillId="39" borderId="0" xfId="0" applyNumberFormat="1" applyFont="1" applyFill="1" applyBorder="1" applyAlignment="1" applyProtection="1">
      <alignment horizontal="center" vertical="center"/>
      <protection locked="0"/>
    </xf>
    <xf numFmtId="0" fontId="96" fillId="39" borderId="21" xfId="0" applyNumberFormat="1" applyFont="1" applyFill="1" applyBorder="1" applyAlignment="1" applyProtection="1">
      <alignment horizontal="center" vertical="center" wrapText="1"/>
      <protection locked="0"/>
    </xf>
    <xf numFmtId="0" fontId="102" fillId="39" borderId="16" xfId="0" applyNumberFormat="1" applyFont="1" applyFill="1" applyBorder="1" applyAlignment="1" applyProtection="1">
      <alignment horizontal="center" vertical="center" wrapText="1"/>
      <protection locked="0"/>
    </xf>
    <xf numFmtId="14" fontId="97" fillId="39" borderId="0" xfId="39" applyNumberFormat="1" applyFont="1" applyFill="1" applyBorder="1" applyAlignment="1" applyProtection="1">
      <alignment horizontal="center" vertical="center" wrapText="1"/>
      <protection locked="0"/>
    </xf>
    <xf numFmtId="0" fontId="97" fillId="39" borderId="0" xfId="0" applyNumberFormat="1" applyFont="1" applyFill="1" applyBorder="1" applyAlignment="1" applyProtection="1">
      <alignment horizontal="center" vertical="center" wrapText="1"/>
      <protection locked="0"/>
    </xf>
    <xf numFmtId="0" fontId="100" fillId="39" borderId="0" xfId="0" applyNumberFormat="1" applyFont="1" applyFill="1" applyBorder="1" applyAlignment="1" applyProtection="1">
      <alignment horizontal="center" vertical="center"/>
      <protection locked="0"/>
    </xf>
    <xf numFmtId="0" fontId="97" fillId="39" borderId="0" xfId="39" applyNumberFormat="1" applyFont="1" applyFill="1" applyBorder="1" applyAlignment="1" applyProtection="1">
      <alignment horizontal="center" vertical="center" wrapText="1"/>
      <protection locked="0"/>
    </xf>
    <xf numFmtId="0" fontId="41" fillId="39" borderId="0" xfId="39" applyNumberFormat="1" applyFont="1" applyFill="1" applyBorder="1" applyAlignment="1" applyProtection="1">
      <alignment horizontal="center" vertical="center" wrapText="1"/>
      <protection locked="0"/>
    </xf>
    <xf numFmtId="0" fontId="41" fillId="39" borderId="0" xfId="0" applyNumberFormat="1" applyFont="1" applyFill="1" applyBorder="1" applyAlignment="1" applyProtection="1">
      <alignment horizontal="center" vertical="center" wrapText="1"/>
      <protection locked="0"/>
    </xf>
    <xf numFmtId="0" fontId="97" fillId="39" borderId="61" xfId="0" applyNumberFormat="1" applyFont="1" applyFill="1" applyBorder="1" applyAlignment="1" applyProtection="1">
      <alignment horizontal="left" vertical="center" wrapText="1"/>
      <protection locked="0"/>
    </xf>
    <xf numFmtId="0" fontId="83" fillId="0" borderId="56" xfId="45" applyNumberFormat="1" applyFont="1" applyFill="1" applyBorder="1" applyAlignment="1" applyProtection="1">
      <alignment horizontal="left" vertical="center" wrapText="1"/>
      <protection locked="0"/>
    </xf>
    <xf numFmtId="0" fontId="85" fillId="47" borderId="14" xfId="0" applyNumberFormat="1" applyFont="1" applyFill="1" applyBorder="1" applyAlignment="1" applyProtection="1">
      <alignment horizontal="center" vertical="center" wrapText="1"/>
    </xf>
    <xf numFmtId="14" fontId="32" fillId="47" borderId="60" xfId="45" applyNumberFormat="1" applyFont="1" applyFill="1" applyBorder="1" applyAlignment="1" applyProtection="1">
      <alignment horizontal="center" vertical="center" wrapText="1"/>
      <protection locked="0"/>
    </xf>
    <xf numFmtId="0" fontId="95" fillId="47" borderId="14" xfId="45" applyNumberFormat="1" applyFont="1" applyFill="1" applyBorder="1" applyAlignment="1" applyProtection="1">
      <alignment horizontal="center" vertical="center" wrapText="1"/>
      <protection locked="0"/>
    </xf>
    <xf numFmtId="0" fontId="84" fillId="47" borderId="56" xfId="0" applyNumberFormat="1" applyFont="1" applyFill="1" applyBorder="1" applyAlignment="1" applyProtection="1">
      <alignment horizontal="left" vertical="center" wrapText="1"/>
      <protection locked="0"/>
    </xf>
    <xf numFmtId="0" fontId="84" fillId="47" borderId="14" xfId="0" applyNumberFormat="1" applyFont="1" applyFill="1" applyBorder="1" applyAlignment="1" applyProtection="1">
      <alignment horizontal="left" vertical="center" wrapText="1"/>
      <protection locked="0"/>
    </xf>
    <xf numFmtId="0" fontId="91" fillId="47" borderId="21" xfId="0" applyFont="1" applyFill="1" applyBorder="1" applyAlignment="1" applyProtection="1">
      <alignment horizontal="center" vertical="center" wrapText="1"/>
      <protection locked="0"/>
    </xf>
    <xf numFmtId="0" fontId="91" fillId="47" borderId="14" xfId="0" applyFont="1" applyFill="1" applyBorder="1" applyAlignment="1" applyProtection="1">
      <alignment horizontal="center" vertical="center" wrapText="1"/>
      <protection locked="0"/>
    </xf>
    <xf numFmtId="0" fontId="96" fillId="47" borderId="14" xfId="0" applyFont="1" applyFill="1" applyBorder="1" applyAlignment="1" applyProtection="1">
      <alignment horizontal="center" vertical="center" wrapText="1"/>
      <protection locked="0"/>
    </xf>
    <xf numFmtId="0" fontId="83" fillId="47" borderId="14" xfId="0" applyNumberFormat="1" applyFont="1" applyFill="1" applyBorder="1" applyAlignment="1" applyProtection="1">
      <alignment horizontal="center" vertical="center"/>
      <protection locked="0"/>
    </xf>
    <xf numFmtId="0" fontId="94" fillId="47" borderId="55" xfId="39" applyNumberFormat="1" applyFont="1" applyFill="1" applyBorder="1" applyAlignment="1" applyProtection="1">
      <alignment horizontal="center" vertical="center" wrapText="1"/>
    </xf>
    <xf numFmtId="0" fontId="18" fillId="47" borderId="22" xfId="39" applyNumberFormat="1" applyFont="1" applyFill="1" applyBorder="1" applyAlignment="1" applyProtection="1">
      <alignment horizontal="center" vertical="center" wrapText="1"/>
    </xf>
    <xf numFmtId="0" fontId="90" fillId="47" borderId="49" xfId="39" applyNumberFormat="1" applyFont="1" applyFill="1" applyBorder="1" applyAlignment="1" applyProtection="1">
      <alignment horizontal="center" vertical="center" wrapText="1"/>
    </xf>
    <xf numFmtId="14" fontId="97" fillId="47" borderId="0" xfId="39" applyNumberFormat="1" applyFont="1" applyFill="1" applyBorder="1" applyAlignment="1" applyProtection="1">
      <alignment horizontal="center" vertical="center" wrapText="1"/>
      <protection locked="0"/>
    </xf>
    <xf numFmtId="0" fontId="97" fillId="47" borderId="0" xfId="39" applyNumberFormat="1" applyFont="1" applyFill="1" applyBorder="1" applyAlignment="1" applyProtection="1">
      <alignment horizontal="center" vertical="center" wrapText="1"/>
      <protection locked="0"/>
    </xf>
    <xf numFmtId="0" fontId="100" fillId="47" borderId="0" xfId="0" applyNumberFormat="1" applyFont="1" applyFill="1" applyBorder="1" applyAlignment="1" applyProtection="1">
      <alignment horizontal="center" vertical="center"/>
      <protection locked="0"/>
    </xf>
    <xf numFmtId="0" fontId="41" fillId="47" borderId="0" xfId="39" applyNumberFormat="1" applyFont="1" applyFill="1" applyBorder="1" applyAlignment="1" applyProtection="1">
      <alignment horizontal="center" vertical="center" wrapText="1"/>
      <protection locked="0"/>
    </xf>
    <xf numFmtId="0" fontId="41" fillId="47" borderId="0" xfId="0" applyNumberFormat="1" applyFont="1" applyFill="1" applyBorder="1" applyAlignment="1" applyProtection="1">
      <alignment horizontal="center" vertical="center" wrapText="1"/>
      <protection locked="0"/>
    </xf>
    <xf numFmtId="0" fontId="97" fillId="47" borderId="61" xfId="0" applyNumberFormat="1" applyFont="1" applyFill="1" applyBorder="1" applyAlignment="1" applyProtection="1">
      <alignment horizontal="left" vertical="center" wrapText="1"/>
      <protection locked="0"/>
    </xf>
    <xf numFmtId="14" fontId="22" fillId="47" borderId="60" xfId="45" applyNumberFormat="1" applyFont="1" applyFill="1" applyBorder="1" applyAlignment="1" applyProtection="1">
      <alignment horizontal="center" vertical="center" wrapText="1"/>
      <protection locked="0"/>
    </xf>
    <xf numFmtId="14" fontId="97" fillId="47" borderId="0" xfId="39" applyNumberFormat="1" applyFont="1" applyFill="1" applyBorder="1" applyAlignment="1" applyProtection="1">
      <alignment horizontal="center" vertical="center" wrapText="1"/>
      <protection locked="0"/>
    </xf>
    <xf numFmtId="0" fontId="85" fillId="39" borderId="14" xfId="0" applyNumberFormat="1" applyFont="1" applyFill="1" applyBorder="1" applyAlignment="1" applyProtection="1">
      <alignment horizontal="center" vertical="center" wrapText="1"/>
    </xf>
    <xf numFmtId="0" fontId="84" fillId="39" borderId="14" xfId="0" applyNumberFormat="1" applyFont="1" applyFill="1" applyBorder="1" applyAlignment="1" applyProtection="1">
      <alignment horizontal="left" vertical="center" wrapText="1"/>
      <protection locked="0"/>
    </xf>
    <xf numFmtId="0" fontId="103" fillId="39" borderId="14" xfId="0" applyNumberFormat="1" applyFont="1" applyFill="1" applyBorder="1" applyAlignment="1" applyProtection="1">
      <alignment horizontal="center" vertical="center"/>
      <protection locked="0"/>
    </xf>
    <xf numFmtId="3" fontId="84" fillId="0" borderId="56" xfId="0" applyNumberFormat="1" applyFont="1" applyFill="1" applyBorder="1" applyAlignment="1" applyProtection="1">
      <alignment horizontal="center" vertical="center" wrapText="1"/>
      <protection locked="0"/>
    </xf>
    <xf numFmtId="0" fontId="104" fillId="39" borderId="59" xfId="0" applyNumberFormat="1" applyFont="1" applyFill="1" applyBorder="1" applyAlignment="1" applyProtection="1">
      <alignment horizontal="center" vertical="center" wrapText="1"/>
    </xf>
    <xf numFmtId="14" fontId="48" fillId="39" borderId="60" xfId="45" applyNumberFormat="1" applyFont="1" applyFill="1" applyBorder="1" applyAlignment="1" applyProtection="1">
      <alignment horizontal="center" vertical="center" wrapText="1"/>
      <protection locked="0"/>
    </xf>
    <xf numFmtId="0" fontId="49" fillId="39" borderId="56" xfId="45" applyNumberFormat="1" applyFont="1" applyFill="1" applyBorder="1" applyAlignment="1" applyProtection="1">
      <alignment horizontal="center" vertical="center" wrapText="1"/>
      <protection locked="0"/>
    </xf>
    <xf numFmtId="0" fontId="105" fillId="39" borderId="56" xfId="45" applyNumberFormat="1" applyFont="1" applyFill="1" applyBorder="1" applyAlignment="1" applyProtection="1">
      <alignment horizontal="center" vertical="center" wrapText="1"/>
      <protection locked="0"/>
    </xf>
    <xf numFmtId="0" fontId="106" fillId="39" borderId="56" xfId="45" applyNumberFormat="1" applyFont="1" applyFill="1" applyBorder="1" applyAlignment="1" applyProtection="1">
      <alignment horizontal="center" vertical="center" wrapText="1"/>
      <protection locked="0"/>
    </xf>
    <xf numFmtId="0" fontId="107" fillId="39" borderId="56" xfId="0" applyNumberFormat="1" applyFont="1" applyFill="1" applyBorder="1" applyAlignment="1" applyProtection="1">
      <alignment horizontal="left" vertical="center" wrapText="1"/>
      <protection locked="0"/>
    </xf>
    <xf numFmtId="0" fontId="107" fillId="39" borderId="56" xfId="0" applyNumberFormat="1" applyFont="1" applyFill="1" applyBorder="1" applyAlignment="1" applyProtection="1">
      <alignment horizontal="center" vertical="center" wrapText="1"/>
      <protection locked="0"/>
    </xf>
    <xf numFmtId="0" fontId="108" fillId="39" borderId="14" xfId="0" applyNumberFormat="1" applyFont="1" applyFill="1" applyBorder="1" applyAlignment="1" applyProtection="1">
      <alignment horizontal="center" vertical="center"/>
      <protection locked="0"/>
    </xf>
    <xf numFmtId="0" fontId="109" fillId="39" borderId="21" xfId="0" applyFont="1" applyFill="1" applyBorder="1" applyAlignment="1" applyProtection="1">
      <alignment horizontal="center" vertical="center" wrapText="1"/>
      <protection locked="0"/>
    </xf>
    <xf numFmtId="0" fontId="109" fillId="39" borderId="14" xfId="0" applyFont="1" applyFill="1" applyBorder="1" applyAlignment="1" applyProtection="1">
      <alignment horizontal="center" vertical="center" wrapText="1"/>
      <protection locked="0"/>
    </xf>
    <xf numFmtId="0" fontId="110" fillId="39" borderId="14" xfId="0" applyFont="1" applyFill="1" applyBorder="1" applyAlignment="1" applyProtection="1">
      <alignment horizontal="center" vertical="center" wrapText="1"/>
      <protection locked="0"/>
    </xf>
    <xf numFmtId="0" fontId="111" fillId="39" borderId="55" xfId="39" applyNumberFormat="1" applyFont="1" applyFill="1" applyBorder="1" applyAlignment="1" applyProtection="1">
      <alignment horizontal="center" vertical="center" wrapText="1"/>
    </xf>
    <xf numFmtId="0" fontId="50" fillId="39" borderId="22" xfId="39" applyNumberFormat="1" applyFont="1" applyFill="1" applyBorder="1" applyAlignment="1" applyProtection="1">
      <alignment horizontal="center" vertical="center" wrapText="1"/>
    </xf>
    <xf numFmtId="0" fontId="112" fillId="39" borderId="49" xfId="39" applyNumberFormat="1" applyFont="1" applyFill="1" applyBorder="1" applyAlignment="1" applyProtection="1">
      <alignment horizontal="center" vertical="center" wrapText="1"/>
    </xf>
    <xf numFmtId="0" fontId="106" fillId="39" borderId="14" xfId="45" applyNumberFormat="1" applyFont="1" applyFill="1" applyBorder="1" applyAlignment="1" applyProtection="1">
      <alignment horizontal="center" vertical="center" wrapText="1"/>
      <protection locked="0"/>
    </xf>
    <xf numFmtId="0" fontId="113" fillId="39" borderId="0" xfId="39" applyNumberFormat="1" applyFont="1" applyFill="1" applyBorder="1" applyAlignment="1" applyProtection="1">
      <alignment horizontal="center" vertical="center" wrapText="1"/>
      <protection locked="0"/>
    </xf>
    <xf numFmtId="0" fontId="51" fillId="39" borderId="0" xfId="39" applyNumberFormat="1" applyFont="1" applyFill="1" applyBorder="1" applyAlignment="1" applyProtection="1">
      <alignment horizontal="center" vertical="center" wrapText="1"/>
      <protection locked="0"/>
    </xf>
    <xf numFmtId="0" fontId="51" fillId="39" borderId="0" xfId="0" applyNumberFormat="1" applyFont="1" applyFill="1" applyBorder="1" applyAlignment="1" applyProtection="1">
      <alignment horizontal="center" vertical="center" wrapText="1"/>
      <protection locked="0"/>
    </xf>
    <xf numFmtId="0" fontId="113" fillId="39" borderId="61" xfId="0" applyNumberFormat="1" applyFont="1" applyFill="1" applyBorder="1" applyAlignment="1" applyProtection="1">
      <alignment horizontal="left" vertical="center" wrapText="1"/>
      <protection locked="0"/>
    </xf>
    <xf numFmtId="0" fontId="114" fillId="39" borderId="0" xfId="0" applyNumberFormat="1" applyFont="1" applyFill="1" applyBorder="1" applyProtection="1">
      <protection locked="0"/>
    </xf>
    <xf numFmtId="0" fontId="91" fillId="0" borderId="21" xfId="0" applyFont="1" applyFill="1" applyBorder="1" applyAlignment="1" applyProtection="1">
      <alignment horizontal="center" vertical="center" wrapText="1"/>
      <protection locked="0"/>
    </xf>
    <xf numFmtId="0" fontId="91" fillId="0" borderId="14" xfId="0" applyFont="1" applyFill="1" applyBorder="1" applyAlignment="1" applyProtection="1">
      <alignment horizontal="center" vertical="center" wrapText="1"/>
      <protection locked="0"/>
    </xf>
    <xf numFmtId="0" fontId="96" fillId="0" borderId="14" xfId="0" applyFont="1" applyFill="1" applyBorder="1" applyAlignment="1" applyProtection="1">
      <alignment horizontal="center" vertical="center" wrapText="1"/>
      <protection locked="0"/>
    </xf>
    <xf numFmtId="0" fontId="91" fillId="0" borderId="20" xfId="0" applyFont="1" applyFill="1" applyBorder="1" applyAlignment="1" applyProtection="1">
      <alignment horizontal="center" vertical="center" wrapText="1"/>
      <protection locked="0"/>
    </xf>
    <xf numFmtId="0" fontId="94" fillId="0" borderId="55" xfId="39" applyNumberFormat="1" applyFont="1" applyFill="1" applyBorder="1" applyAlignment="1" applyProtection="1">
      <alignment horizontal="center" vertical="center" wrapText="1"/>
    </xf>
    <xf numFmtId="0" fontId="90" fillId="0" borderId="49" xfId="39" applyNumberFormat="1" applyFont="1" applyFill="1" applyBorder="1" applyAlignment="1" applyProtection="1">
      <alignment horizontal="center" vertical="center" wrapText="1"/>
    </xf>
    <xf numFmtId="14" fontId="20" fillId="0" borderId="14" xfId="0" applyNumberFormat="1" applyFont="1" applyFill="1" applyBorder="1" applyAlignment="1">
      <alignment horizontal="center" vertical="center"/>
    </xf>
    <xf numFmtId="14" fontId="52" fillId="39" borderId="61" xfId="45" applyNumberFormat="1" applyFont="1" applyFill="1" applyBorder="1" applyAlignment="1" applyProtection="1">
      <alignment horizontal="center" vertical="center"/>
      <protection locked="0"/>
    </xf>
    <xf numFmtId="14" fontId="52" fillId="39" borderId="14" xfId="45" applyNumberFormat="1" applyFont="1" applyFill="1" applyBorder="1" applyAlignment="1" applyProtection="1">
      <alignment horizontal="center" vertical="center"/>
      <protection locked="0"/>
    </xf>
    <xf numFmtId="0" fontId="83" fillId="0" borderId="56" xfId="45" applyNumberFormat="1" applyFont="1" applyFill="1" applyBorder="1" applyAlignment="1" applyProtection="1">
      <alignment horizontal="center" vertical="center" wrapText="1"/>
      <protection locked="0"/>
    </xf>
    <xf numFmtId="0" fontId="95" fillId="0" borderId="56" xfId="45" applyNumberFormat="1" applyFont="1" applyFill="1" applyBorder="1" applyAlignment="1" applyProtection="1">
      <alignment horizontal="center" vertical="center" wrapText="1"/>
      <protection locked="0"/>
    </xf>
    <xf numFmtId="0" fontId="83" fillId="47" borderId="56" xfId="0" applyNumberFormat="1" applyFont="1" applyFill="1" applyBorder="1" applyAlignment="1" applyProtection="1">
      <alignment horizontal="center" vertical="center" wrapText="1"/>
      <protection locked="0"/>
    </xf>
    <xf numFmtId="0" fontId="83" fillId="47" borderId="59" xfId="0" applyNumberFormat="1" applyFont="1" applyFill="1" applyBorder="1" applyAlignment="1" applyProtection="1">
      <alignment horizontal="center" vertical="center" wrapText="1"/>
      <protection locked="0"/>
    </xf>
    <xf numFmtId="0" fontId="83" fillId="0" borderId="0" xfId="0" applyNumberFormat="1" applyFont="1" applyFill="1" applyAlignment="1" applyProtection="1">
      <alignment horizontal="center" vertical="center"/>
      <protection locked="0"/>
    </xf>
    <xf numFmtId="0" fontId="102" fillId="52" borderId="16" xfId="0" applyNumberFormat="1" applyFont="1" applyFill="1" applyBorder="1" applyAlignment="1" applyProtection="1">
      <alignment horizontal="center" vertical="center" wrapText="1"/>
      <protection locked="0"/>
    </xf>
    <xf numFmtId="0" fontId="102" fillId="52" borderId="17" xfId="0" applyNumberFormat="1" applyFont="1" applyFill="1" applyBorder="1" applyAlignment="1" applyProtection="1">
      <alignment horizontal="center" vertical="center" wrapText="1"/>
      <protection locked="0"/>
    </xf>
    <xf numFmtId="0" fontId="54" fillId="0" borderId="62" xfId="39" applyNumberFormat="1" applyFont="1" applyFill="1" applyBorder="1" applyAlignment="1" applyProtection="1">
      <alignment horizontal="center" vertical="center" wrapText="1"/>
    </xf>
    <xf numFmtId="14" fontId="97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97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97" fillId="47" borderId="0" xfId="0" applyNumberFormat="1" applyFont="1" applyFill="1" applyBorder="1" applyAlignment="1" applyProtection="1">
      <alignment horizontal="center" vertical="center" wrapText="1"/>
      <protection locked="0"/>
    </xf>
    <xf numFmtId="0" fontId="100" fillId="0" borderId="0" xfId="0" applyNumberFormat="1" applyFont="1" applyFill="1" applyBorder="1" applyAlignment="1" applyProtection="1">
      <alignment horizontal="center" vertical="center"/>
      <protection locked="0"/>
    </xf>
    <xf numFmtId="0" fontId="55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55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97" fillId="0" borderId="61" xfId="0" applyNumberFormat="1" applyFont="1" applyFill="1" applyBorder="1" applyAlignment="1" applyProtection="1">
      <alignment horizontal="left" vertical="center" wrapText="1"/>
      <protection locked="0"/>
    </xf>
    <xf numFmtId="14" fontId="52" fillId="39" borderId="58" xfId="45" applyNumberFormat="1" applyFont="1" applyFill="1" applyBorder="1" applyAlignment="1" applyProtection="1">
      <alignment horizontal="center" vertical="center"/>
      <protection locked="0"/>
    </xf>
    <xf numFmtId="14" fontId="52" fillId="39" borderId="47" xfId="45" applyNumberFormat="1" applyFont="1" applyFill="1" applyBorder="1" applyAlignment="1" applyProtection="1">
      <alignment horizontal="center" vertical="center"/>
      <protection locked="0"/>
    </xf>
    <xf numFmtId="0" fontId="83" fillId="0" borderId="0" xfId="0" applyNumberFormat="1" applyFont="1" applyFill="1" applyBorder="1" applyAlignment="1" applyProtection="1">
      <alignment horizontal="center" vertical="center"/>
      <protection locked="0"/>
    </xf>
    <xf numFmtId="0" fontId="102" fillId="52" borderId="63" xfId="0" applyNumberFormat="1" applyFont="1" applyFill="1" applyBorder="1" applyAlignment="1" applyProtection="1">
      <alignment horizontal="center" vertical="center" wrapText="1"/>
      <protection locked="0"/>
    </xf>
    <xf numFmtId="0" fontId="102" fillId="52" borderId="64" xfId="0" applyNumberFormat="1" applyFont="1" applyFill="1" applyBorder="1" applyAlignment="1" applyProtection="1">
      <alignment horizontal="center" vertical="center" wrapText="1"/>
      <protection locked="0"/>
    </xf>
    <xf numFmtId="0" fontId="97" fillId="0" borderId="58" xfId="0" applyNumberFormat="1" applyFont="1" applyFill="1" applyBorder="1" applyAlignment="1" applyProtection="1">
      <alignment horizontal="left" vertical="center" wrapText="1"/>
      <protection locked="0"/>
    </xf>
    <xf numFmtId="0" fontId="53" fillId="0" borderId="56" xfId="45" applyNumberFormat="1" applyFont="1" applyFill="1" applyBorder="1" applyAlignment="1" applyProtection="1">
      <alignment horizontal="center" vertical="center" wrapText="1"/>
      <protection locked="0"/>
    </xf>
    <xf numFmtId="0" fontId="84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57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9" fillId="0" borderId="56" xfId="0" applyNumberFormat="1" applyFont="1" applyFill="1" applyBorder="1" applyAlignment="1" applyProtection="1">
      <alignment horizontal="center" vertical="center" wrapText="1"/>
      <protection locked="0"/>
    </xf>
    <xf numFmtId="0" fontId="83" fillId="47" borderId="14" xfId="45" applyNumberFormat="1" applyFont="1" applyFill="1" applyBorder="1" applyAlignment="1" applyProtection="1">
      <alignment horizontal="center" vertical="center" wrapText="1"/>
      <protection locked="0"/>
    </xf>
    <xf numFmtId="0" fontId="83" fillId="47" borderId="14" xfId="0" applyNumberFormat="1" applyFont="1" applyFill="1" applyBorder="1" applyAlignment="1" applyProtection="1">
      <alignment horizontal="center" vertical="center" wrapText="1"/>
      <protection locked="0"/>
    </xf>
    <xf numFmtId="0" fontId="91" fillId="47" borderId="20" xfId="0" applyFont="1" applyFill="1" applyBorder="1" applyAlignment="1" applyProtection="1">
      <alignment horizontal="center" vertical="center" wrapText="1"/>
      <protection locked="0"/>
    </xf>
    <xf numFmtId="0" fontId="34" fillId="47" borderId="0" xfId="39" applyNumberFormat="1" applyFont="1" applyFill="1" applyBorder="1" applyAlignment="1" applyProtection="1">
      <alignment horizontal="center" vertical="center" wrapText="1"/>
      <protection locked="0"/>
    </xf>
    <xf numFmtId="0" fontId="34" fillId="47" borderId="0" xfId="0" applyNumberFormat="1" applyFont="1" applyFill="1" applyBorder="1" applyAlignment="1" applyProtection="1">
      <alignment horizontal="center" vertical="center" wrapText="1"/>
      <protection locked="0"/>
    </xf>
    <xf numFmtId="0" fontId="53" fillId="47" borderId="56" xfId="45" applyNumberFormat="1" applyFont="1" applyFill="1" applyBorder="1" applyAlignment="1" applyProtection="1">
      <alignment horizontal="center" vertical="center" wrapText="1"/>
      <protection locked="0"/>
    </xf>
    <xf numFmtId="0" fontId="84" fillId="47" borderId="14" xfId="0" applyNumberFormat="1" applyFont="1" applyFill="1" applyBorder="1" applyAlignment="1" applyProtection="1">
      <alignment horizontal="center" vertical="center" wrapText="1"/>
      <protection locked="0"/>
    </xf>
    <xf numFmtId="0" fontId="83" fillId="47" borderId="0" xfId="0" applyNumberFormat="1" applyFont="1" applyFill="1" applyAlignment="1" applyProtection="1">
      <alignment horizontal="center" vertical="center"/>
      <protection locked="0"/>
    </xf>
    <xf numFmtId="0" fontId="102" fillId="47" borderId="16" xfId="0" applyNumberFormat="1" applyFont="1" applyFill="1" applyBorder="1" applyAlignment="1" applyProtection="1">
      <alignment horizontal="center" vertical="center" wrapText="1"/>
      <protection locked="0"/>
    </xf>
    <xf numFmtId="0" fontId="102" fillId="47" borderId="17" xfId="0" applyNumberFormat="1" applyFont="1" applyFill="1" applyBorder="1" applyAlignment="1" applyProtection="1">
      <alignment horizontal="center" vertical="center" wrapText="1"/>
      <protection locked="0"/>
    </xf>
    <xf numFmtId="0" fontId="54" fillId="47" borderId="62" xfId="39" applyNumberFormat="1" applyFont="1" applyFill="1" applyBorder="1" applyAlignment="1" applyProtection="1">
      <alignment horizontal="center" vertical="center" wrapText="1"/>
    </xf>
    <xf numFmtId="0" fontId="55" fillId="47" borderId="0" xfId="39" applyNumberFormat="1" applyFont="1" applyFill="1" applyBorder="1" applyAlignment="1" applyProtection="1">
      <alignment horizontal="center" vertical="center" wrapText="1"/>
      <protection locked="0"/>
    </xf>
    <xf numFmtId="0" fontId="55" fillId="47" borderId="0" xfId="0" applyNumberFormat="1" applyFont="1" applyFill="1" applyBorder="1" applyAlignment="1" applyProtection="1">
      <alignment horizontal="center" vertical="center" wrapText="1"/>
      <protection locked="0"/>
    </xf>
    <xf numFmtId="0" fontId="115" fillId="39" borderId="8" xfId="39" applyNumberFormat="1" applyFont="1" applyFill="1" applyBorder="1" applyAlignment="1" applyProtection="1">
      <alignment horizontal="center" vertical="center" wrapText="1"/>
      <protection locked="0"/>
    </xf>
    <xf numFmtId="14" fontId="116" fillId="39" borderId="8" xfId="39" applyNumberFormat="1" applyFont="1" applyFill="1" applyBorder="1" applyAlignment="1" applyProtection="1">
      <alignment horizontal="center" vertical="center" wrapText="1"/>
      <protection locked="0"/>
    </xf>
    <xf numFmtId="0" fontId="116" fillId="39" borderId="8" xfId="0" applyFont="1" applyFill="1" applyBorder="1" applyAlignment="1" applyProtection="1">
      <alignment horizontal="center" vertical="center" wrapText="1"/>
      <protection locked="0"/>
    </xf>
    <xf numFmtId="0" fontId="93" fillId="39" borderId="8" xfId="39" applyNumberFormat="1" applyFont="1" applyFill="1" applyBorder="1" applyAlignment="1" applyProtection="1">
      <alignment horizontal="center" vertical="center" wrapText="1"/>
      <protection locked="0"/>
    </xf>
    <xf numFmtId="14" fontId="27" fillId="47" borderId="0" xfId="39" applyNumberFormat="1" applyFont="1" applyFill="1" applyBorder="1" applyAlignment="1" applyProtection="1">
      <alignment horizontal="center" vertical="center" wrapText="1"/>
      <protection locked="0"/>
    </xf>
    <xf numFmtId="0" fontId="18" fillId="0" borderId="62" xfId="39" applyNumberFormat="1" applyFont="1" applyFill="1" applyBorder="1" applyAlignment="1" applyProtection="1">
      <alignment horizontal="center" vertical="center" wrapText="1"/>
    </xf>
    <xf numFmtId="0" fontId="25" fillId="0" borderId="0" xfId="39" applyNumberFormat="1" applyFont="1" applyFill="1" applyBorder="1" applyAlignment="1" applyProtection="1">
      <alignment horizontal="center" vertical="center" wrapText="1"/>
    </xf>
    <xf numFmtId="0" fontId="94" fillId="43" borderId="65" xfId="39" applyNumberFormat="1" applyFont="1" applyFill="1" applyBorder="1" applyAlignment="1" applyProtection="1">
      <alignment horizontal="center" vertical="center" wrapText="1"/>
    </xf>
    <xf numFmtId="0" fontId="18" fillId="0" borderId="66" xfId="39" applyNumberFormat="1" applyFont="1" applyFill="1" applyBorder="1" applyAlignment="1" applyProtection="1">
      <alignment horizontal="center" vertical="center" wrapText="1"/>
    </xf>
    <xf numFmtId="0" fontId="18" fillId="0" borderId="67" xfId="39" applyNumberFormat="1" applyFont="1" applyFill="1" applyBorder="1" applyAlignment="1" applyProtection="1">
      <alignment horizontal="center" vertical="center" wrapText="1"/>
    </xf>
    <xf numFmtId="0" fontId="87" fillId="0" borderId="14" xfId="0" applyFont="1" applyFill="1" applyBorder="1" applyAlignment="1" applyProtection="1">
      <alignment horizontal="center" vertical="center" wrapText="1"/>
      <protection locked="0"/>
    </xf>
    <xf numFmtId="0" fontId="87" fillId="0" borderId="14" xfId="0" applyFont="1" applyFill="1" applyBorder="1" applyAlignment="1">
      <alignment horizontal="center" vertical="center" wrapText="1"/>
    </xf>
    <xf numFmtId="0" fontId="0" fillId="0" borderId="14" xfId="0" applyFont="1" applyFill="1" applyBorder="1" applyAlignment="1">
      <alignment horizontal="center" vertical="center"/>
    </xf>
    <xf numFmtId="0" fontId="117" fillId="0" borderId="14" xfId="0" applyFont="1" applyBorder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0" fontId="84" fillId="0" borderId="0" xfId="0" applyFont="1" applyAlignment="1">
      <alignment horizontal="center" vertical="center" wrapText="1"/>
    </xf>
    <xf numFmtId="0" fontId="83" fillId="0" borderId="0" xfId="0" applyFont="1" applyAlignment="1">
      <alignment horizontal="left" vertical="center" wrapText="1"/>
    </xf>
    <xf numFmtId="0" fontId="118" fillId="0" borderId="14" xfId="0" applyFont="1" applyBorder="1" applyAlignment="1">
      <alignment horizontal="center" vertical="center" wrapText="1"/>
    </xf>
    <xf numFmtId="0" fontId="102" fillId="47" borderId="63" xfId="0" applyNumberFormat="1" applyFont="1" applyFill="1" applyBorder="1" applyAlignment="1" applyProtection="1">
      <alignment horizontal="center" vertical="center" wrapText="1"/>
      <protection locked="0"/>
    </xf>
    <xf numFmtId="0" fontId="102" fillId="47" borderId="64" xfId="0" applyNumberFormat="1" applyFont="1" applyFill="1" applyBorder="1" applyAlignment="1" applyProtection="1">
      <alignment horizontal="center" vertical="center" wrapText="1"/>
      <protection locked="0"/>
    </xf>
    <xf numFmtId="0" fontId="119" fillId="53" borderId="68" xfId="0" applyNumberFormat="1" applyFont="1" applyFill="1" applyBorder="1" applyAlignment="1" applyProtection="1">
      <alignment horizontal="center" vertical="center" shrinkToFit="1"/>
      <protection locked="0"/>
    </xf>
    <xf numFmtId="0" fontId="119" fillId="53" borderId="69" xfId="0" applyNumberFormat="1" applyFont="1" applyFill="1" applyBorder="1" applyAlignment="1" applyProtection="1">
      <alignment horizontal="center" vertical="center" shrinkToFit="1"/>
      <protection locked="0"/>
    </xf>
    <xf numFmtId="0" fontId="10" fillId="54" borderId="70" xfId="0" applyNumberFormat="1" applyFont="1" applyFill="1" applyBorder="1" applyAlignment="1" applyProtection="1">
      <alignment horizontal="center" vertical="center" wrapText="1"/>
      <protection locked="0"/>
    </xf>
    <xf numFmtId="0" fontId="10" fillId="54" borderId="71" xfId="0" applyNumberFormat="1" applyFont="1" applyFill="1" applyBorder="1" applyAlignment="1" applyProtection="1">
      <alignment horizontal="center" vertical="center" wrapText="1"/>
      <protection locked="0"/>
    </xf>
    <xf numFmtId="0" fontId="10" fillId="54" borderId="72" xfId="0" applyNumberFormat="1" applyFont="1" applyFill="1" applyBorder="1" applyAlignment="1" applyProtection="1">
      <alignment horizontal="center" vertical="center" wrapText="1"/>
      <protection locked="0"/>
    </xf>
    <xf numFmtId="0" fontId="10" fillId="54" borderId="73" xfId="0" applyNumberFormat="1" applyFont="1" applyFill="1" applyBorder="1" applyAlignment="1" applyProtection="1">
      <alignment horizontal="center" vertical="center" wrapText="1"/>
      <protection locked="0"/>
    </xf>
    <xf numFmtId="0" fontId="10" fillId="54" borderId="74" xfId="0" applyNumberFormat="1" applyFont="1" applyFill="1" applyBorder="1" applyAlignment="1" applyProtection="1">
      <alignment horizontal="center" vertical="center" wrapText="1"/>
      <protection locked="0"/>
    </xf>
    <xf numFmtId="0" fontId="10" fillId="54" borderId="75" xfId="0" applyNumberFormat="1" applyFont="1" applyFill="1" applyBorder="1" applyAlignment="1" applyProtection="1">
      <alignment horizontal="center" vertical="center" wrapText="1"/>
      <protection locked="0"/>
    </xf>
    <xf numFmtId="0" fontId="11" fillId="55" borderId="70" xfId="0" applyNumberFormat="1" applyFont="1" applyFill="1" applyBorder="1" applyAlignment="1" applyProtection="1">
      <alignment horizontal="center" vertical="center" wrapText="1"/>
      <protection locked="0"/>
    </xf>
    <xf numFmtId="0" fontId="11" fillId="55" borderId="71" xfId="0" applyNumberFormat="1" applyFont="1" applyFill="1" applyBorder="1" applyAlignment="1" applyProtection="1">
      <alignment horizontal="center" vertical="center" wrapText="1"/>
      <protection locked="0"/>
    </xf>
    <xf numFmtId="0" fontId="11" fillId="55" borderId="72" xfId="0" applyNumberFormat="1" applyFont="1" applyFill="1" applyBorder="1" applyAlignment="1" applyProtection="1">
      <alignment horizontal="center" vertical="center" wrapText="1"/>
      <protection locked="0"/>
    </xf>
    <xf numFmtId="0" fontId="11" fillId="55" borderId="73" xfId="0" applyNumberFormat="1" applyFont="1" applyFill="1" applyBorder="1" applyAlignment="1" applyProtection="1">
      <alignment horizontal="center" vertical="center" wrapText="1"/>
      <protection locked="0"/>
    </xf>
    <xf numFmtId="0" fontId="11" fillId="55" borderId="74" xfId="0" applyNumberFormat="1" applyFont="1" applyFill="1" applyBorder="1" applyAlignment="1" applyProtection="1">
      <alignment horizontal="center" vertical="center" wrapText="1"/>
      <protection locked="0"/>
    </xf>
    <xf numFmtId="0" fontId="11" fillId="55" borderId="75" xfId="0" applyNumberFormat="1" applyFont="1" applyFill="1" applyBorder="1" applyAlignment="1" applyProtection="1">
      <alignment horizontal="center" vertical="center" wrapText="1"/>
      <protection locked="0"/>
    </xf>
    <xf numFmtId="0" fontId="119" fillId="53" borderId="70" xfId="0" applyNumberFormat="1" applyFont="1" applyFill="1" applyBorder="1" applyAlignment="1" applyProtection="1">
      <alignment horizontal="center" vertical="center" shrinkToFit="1"/>
      <protection locked="0"/>
    </xf>
    <xf numFmtId="0" fontId="119" fillId="53" borderId="72" xfId="0" applyNumberFormat="1" applyFont="1" applyFill="1" applyBorder="1" applyAlignment="1" applyProtection="1">
      <alignment horizontal="center" vertical="center" shrinkToFit="1"/>
      <protection locked="0"/>
    </xf>
    <xf numFmtId="0" fontId="119" fillId="53" borderId="73" xfId="0" applyNumberFormat="1" applyFont="1" applyFill="1" applyBorder="1" applyAlignment="1" applyProtection="1">
      <alignment horizontal="center" vertical="center" shrinkToFit="1"/>
      <protection locked="0"/>
    </xf>
    <xf numFmtId="0" fontId="119" fillId="53" borderId="75" xfId="0" applyNumberFormat="1" applyFont="1" applyFill="1" applyBorder="1" applyAlignment="1" applyProtection="1">
      <alignment horizontal="center" vertical="center" shrinkToFit="1"/>
      <protection locked="0"/>
    </xf>
    <xf numFmtId="0" fontId="14" fillId="0" borderId="70" xfId="0" applyFont="1" applyFill="1" applyBorder="1" applyAlignment="1">
      <alignment horizontal="center" vertical="center" wrapText="1"/>
    </xf>
    <xf numFmtId="0" fontId="14" fillId="0" borderId="71" xfId="0" applyFont="1" applyFill="1" applyBorder="1" applyAlignment="1">
      <alignment horizontal="center" vertical="center" wrapText="1"/>
    </xf>
    <xf numFmtId="0" fontId="14" fillId="0" borderId="72" xfId="0" applyFont="1" applyFill="1" applyBorder="1" applyAlignment="1">
      <alignment horizontal="center" vertical="center" wrapText="1"/>
    </xf>
    <xf numFmtId="0" fontId="14" fillId="0" borderId="73" xfId="0" applyFont="1" applyFill="1" applyBorder="1" applyAlignment="1">
      <alignment horizontal="center" vertical="center" wrapText="1"/>
    </xf>
    <xf numFmtId="0" fontId="14" fillId="0" borderId="74" xfId="0" applyFont="1" applyFill="1" applyBorder="1" applyAlignment="1">
      <alignment horizontal="center" vertical="center" wrapText="1"/>
    </xf>
    <xf numFmtId="0" fontId="14" fillId="0" borderId="75" xfId="0" applyFont="1" applyFill="1" applyBorder="1" applyAlignment="1">
      <alignment horizontal="center" vertical="center" wrapText="1"/>
    </xf>
    <xf numFmtId="0" fontId="11" fillId="49" borderId="14" xfId="0" applyFont="1" applyFill="1" applyBorder="1" applyAlignment="1">
      <alignment horizontal="center"/>
    </xf>
    <xf numFmtId="0" fontId="11" fillId="50" borderId="14" xfId="0" applyFont="1" applyFill="1" applyBorder="1" applyAlignment="1">
      <alignment horizontal="center" vertical="center"/>
    </xf>
  </cellXfs>
  <cellStyles count="62">
    <cellStyle name="20% — akcent 1" xfId="1" builtinId="30" customBuiltin="1"/>
    <cellStyle name="20% — akcent 2" xfId="2" builtinId="34" customBuiltin="1"/>
    <cellStyle name="20% — akcent 3" xfId="3" builtinId="38" customBuiltin="1"/>
    <cellStyle name="20% — akcent 4" xfId="4" builtinId="42" customBuiltin="1"/>
    <cellStyle name="20% — akcent 5" xfId="5" builtinId="46" customBuiltin="1"/>
    <cellStyle name="20% — akcent 6" xfId="6" builtinId="50" customBuiltin="1"/>
    <cellStyle name="40% — akcent 1" xfId="7" builtinId="31" customBuiltin="1"/>
    <cellStyle name="40% — akcent 2" xfId="8" builtinId="35" customBuiltin="1"/>
    <cellStyle name="40% — akcent 3" xfId="9" builtinId="39" customBuiltin="1"/>
    <cellStyle name="40% — akcent 4" xfId="10" builtinId="43" customBuiltin="1"/>
    <cellStyle name="40% — akcent 5" xfId="11" builtinId="47" customBuiltin="1"/>
    <cellStyle name="40% — akcent 6" xfId="12" builtinId="51" customBuiltin="1"/>
    <cellStyle name="60% — akcent 1" xfId="13" builtinId="32" customBuiltin="1"/>
    <cellStyle name="60% — akcent 2" xfId="14" builtinId="36" customBuiltin="1"/>
    <cellStyle name="60% — akcent 3" xfId="15" builtinId="40" customBuiltin="1"/>
    <cellStyle name="60% — akcent 4" xfId="16" builtinId="44" customBuiltin="1"/>
    <cellStyle name="60% — akcent 5" xfId="17" builtinId="48" customBuiltin="1"/>
    <cellStyle name="60% —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 xr:uid="{00000000-0005-0000-0000-000018000000}"/>
    <cellStyle name="ColStyle1 2" xfId="26" xr:uid="{00000000-0005-0000-0000-000019000000}"/>
    <cellStyle name="ColStyle2" xfId="27" xr:uid="{00000000-0005-0000-0000-00001A000000}"/>
    <cellStyle name="ColStyle2 2" xfId="28" xr:uid="{00000000-0005-0000-0000-00001B000000}"/>
    <cellStyle name="ColStyle3" xfId="29" xr:uid="{00000000-0005-0000-0000-00001C000000}"/>
    <cellStyle name="ColStyle3 2" xfId="30" xr:uid="{00000000-0005-0000-0000-00001D000000}"/>
    <cellStyle name="ColStyle4" xfId="31" xr:uid="{00000000-0005-0000-0000-00001E000000}"/>
    <cellStyle name="ColStyle4 2" xfId="32" xr:uid="{00000000-0005-0000-0000-00001F000000}"/>
    <cellStyle name="ColStyle5" xfId="33" xr:uid="{00000000-0005-0000-0000-000020000000}"/>
    <cellStyle name="ColStyle5 2" xfId="34" xr:uid="{00000000-0005-0000-0000-000021000000}"/>
    <cellStyle name="ColStyle6" xfId="35" xr:uid="{00000000-0005-0000-0000-000022000000}"/>
    <cellStyle name="ColStyle6 2" xfId="36" xr:uid="{00000000-0005-0000-0000-000023000000}"/>
    <cellStyle name="Dane wejściowe" xfId="37" builtinId="20" customBuiltin="1"/>
    <cellStyle name="Dane wyjściowe" xfId="38" builtinId="21" customBuiltin="1"/>
    <cellStyle name="Dobry" xfId="39" builtinId="26" customBuiltin="1"/>
    <cellStyle name="Dziesiętny 2" xfId="40" xr:uid="{00000000-0005-0000-0000-000027000000}"/>
    <cellStyle name="Dziesiętny 3" xfId="41" xr:uid="{00000000-0005-0000-0000-000028000000}"/>
    <cellStyle name="Dziesiętny 3 2" xfId="42" xr:uid="{00000000-0005-0000-0000-000029000000}"/>
    <cellStyle name="Excel Built-in Normal" xfId="43" xr:uid="{00000000-0005-0000-0000-00002A000000}"/>
    <cellStyle name="Excel_BuiltIn_Dane wejściowe 1" xfId="44" xr:uid="{00000000-0005-0000-0000-00002B000000}"/>
    <cellStyle name="Hiperłącze" xfId="45" builtinId="8"/>
    <cellStyle name="Komórka połączona" xfId="46" builtinId="24" customBuiltin="1"/>
    <cellStyle name="Komórka zaznaczona" xfId="47" builtinId="23" customBuiltin="1"/>
    <cellStyle name="Nagłówek 1" xfId="48" builtinId="16" customBuiltin="1"/>
    <cellStyle name="Nagłówek 2" xfId="49" builtinId="17" customBuiltin="1"/>
    <cellStyle name="Nagłówek 3" xfId="50" builtinId="18" customBuiltin="1"/>
    <cellStyle name="Nagłówek 4" xfId="51" builtinId="19" customBuiltin="1"/>
    <cellStyle name="Neutralny" xfId="52" builtinId="28" customBuiltin="1"/>
    <cellStyle name="Normalny" xfId="0" builtinId="0"/>
    <cellStyle name="Normalny 2" xfId="53" xr:uid="{00000000-0005-0000-0000-000035000000}"/>
    <cellStyle name="Normalny 2 2" xfId="54" xr:uid="{00000000-0005-0000-0000-000036000000}"/>
    <cellStyle name="Obliczenia" xfId="55" builtinId="22" customBuiltin="1"/>
    <cellStyle name="Suma" xfId="56" builtinId="25" customBuiltin="1"/>
    <cellStyle name="Tekst objaśnienia" xfId="57" builtinId="53" customBuiltin="1"/>
    <cellStyle name="Tekst ostrzeżenia" xfId="58" builtinId="11" customBuiltin="1"/>
    <cellStyle name="Tytuł" xfId="59" builtinId="15" customBuiltin="1"/>
    <cellStyle name="Uwaga 2" xfId="60" xr:uid="{00000000-0005-0000-0000-00003C000000}"/>
    <cellStyle name="Zły" xfId="61" builtinId="27" customBuiltin="1"/>
  </cellStyles>
  <dxfs count="1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</border>
    </dxf>
    <dxf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border outline="0">
        <bottom style="hair">
          <color indexed="8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16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 style="medium">
          <color indexed="64"/>
        </right>
        <top style="thick">
          <color indexed="0"/>
        </top>
        <bottom style="thick">
          <color indexed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Arial"/>
        <scheme val="none"/>
      </font>
      <numFmt numFmtId="0" formatCode="General"/>
      <fill>
        <patternFill patternType="solid">
          <fgColor indexed="64"/>
          <bgColor rgb="FFFFFF66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.5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strike val="0"/>
        <outline val="0"/>
        <shadow val="0"/>
        <u/>
        <vertAlign val="baseline"/>
        <sz val="11"/>
        <color auto="1"/>
        <name val="Calibri"/>
        <scheme val="none"/>
      </font>
      <numFmt numFmtId="169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.5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1" hidden="0"/>
    </dxf>
    <dxf>
      <font>
        <b/>
        <strike val="0"/>
        <outline val="0"/>
        <shadow val="0"/>
        <vertAlign val="baseline"/>
        <sz val="11"/>
        <color auto="1"/>
        <name val="Calibri"/>
        <scheme val="none"/>
      </font>
      <numFmt numFmtId="169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vertAlign val="baseline"/>
        <sz val="11"/>
        <color auto="1"/>
        <name val="Calibri"/>
        <scheme val="none"/>
      </font>
      <numFmt numFmtId="169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none"/>
      </font>
      <numFmt numFmtId="169" formatCode="dd/mm/yyyy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CCFF"/>
        </patternFill>
      </fill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1</xdr:row>
      <xdr:rowOff>117475</xdr:rowOff>
    </xdr:from>
    <xdr:to>
      <xdr:col>21</xdr:col>
      <xdr:colOff>333375</xdr:colOff>
      <xdr:row>27</xdr:row>
      <xdr:rowOff>76205</xdr:rowOff>
    </xdr:to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239000" y="285750"/>
          <a:ext cx="9315450" cy="4162425"/>
        </a:xfrm>
        <a:prstGeom prst="rect">
          <a:avLst/>
        </a:prstGeom>
        <a:solidFill>
          <a:schemeClr val="lt1"/>
        </a:solidFill>
        <a:ln w="25400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Instrukcja:</a:t>
          </a:r>
        </a:p>
        <a:p>
          <a:r>
            <a:rPr lang="pl-PL" sz="1100"/>
            <a:t>Zakładka z</a:t>
          </a:r>
          <a:r>
            <a:rPr lang="pl-PL" sz="1100" baseline="0"/>
            <a:t> parametrami.</a:t>
          </a:r>
        </a:p>
        <a:p>
          <a:r>
            <a:rPr lang="pl-PL" sz="1100" baseline="0"/>
            <a:t>Kolumna A - nazwa kolumny z zakładki DETALE, nazwy pomagają w identyfikacji kolumnien.</a:t>
          </a:r>
        </a:p>
        <a:p>
          <a:r>
            <a:rPr lang="pl-PL" sz="1100" baseline="0"/>
            <a:t>Kolumna B - numer kolumny z zakładki DETALE, indeksy muszą odpowiadać kolejności kolumn.</a:t>
          </a:r>
        </a:p>
        <a:p>
          <a:r>
            <a:rPr lang="pl-PL" sz="1100" baseline="0"/>
            <a:t>Kolumna C-E - format komórki, który zostanie zastosowany do komórki z zakładki DETALE, jeśli zostaną spełnione warunki</a:t>
          </a:r>
        </a:p>
        <a:p>
          <a:endParaRPr lang="pl-PL" sz="1100" baseline="0"/>
        </a:p>
        <a:p>
          <a:r>
            <a:rPr lang="pl-PL" sz="1100" baseline="0"/>
            <a:t>Przykład:</a:t>
          </a:r>
        </a:p>
        <a:p>
          <a:r>
            <a:rPr lang="pl-PL" sz="1100" baseline="0"/>
            <a:t>jeśli w zakładce DETALE pole NAZWISKO będzie puste zostanie zakolorowane zgodnie z formatem komórki C2 z zakładki PARAMETRY</a:t>
          </a:r>
        </a:p>
        <a:p>
          <a:endParaRPr lang="pl-PL" sz="1100" baseline="0"/>
        </a:p>
        <a:p>
          <a:r>
            <a:rPr lang="pl-PL" sz="1100" baseline="0"/>
            <a:t>W zakładce PARAMETRY</a:t>
          </a:r>
        </a:p>
        <a:p>
          <a:r>
            <a:rPr lang="pl-PL" sz="1100" baseline="0"/>
            <a:t>Dozwolone jest:</a:t>
          </a:r>
        </a:p>
        <a:p>
          <a:r>
            <a:rPr lang="pl-PL" sz="1100" baseline="0"/>
            <a:t>-zmiana kolorów z kolumn C-E w komórkach z kolorem</a:t>
          </a:r>
        </a:p>
        <a:p>
          <a:r>
            <a:rPr lang="pl-PL" sz="1100" baseline="0"/>
            <a:t>Nie można:</a:t>
          </a:r>
        </a:p>
        <a:p>
          <a:r>
            <a:rPr lang="pl-PL" sz="1100" baseline="0"/>
            <a:t>-zmieniać kolejności wierszy</a:t>
          </a:r>
        </a:p>
        <a:p>
          <a:r>
            <a:rPr lang="pl-PL" sz="1100" baseline="0"/>
            <a:t>-usuwać/modyfikować danych</a:t>
          </a:r>
        </a:p>
        <a:p>
          <a:r>
            <a:rPr lang="pl-PL" sz="1100"/>
            <a:t>Nie ma sensu:</a:t>
          </a:r>
        </a:p>
        <a:p>
          <a:r>
            <a:rPr lang="pl-PL" sz="1100"/>
            <a:t>-zmiana zawartości z kolumn C-E,</a:t>
          </a:r>
          <a:r>
            <a:rPr lang="pl-PL" sz="1100" baseline="0"/>
            <a:t> ponieważ opisują zachowanie skryptu</a:t>
          </a:r>
        </a:p>
        <a:p>
          <a:r>
            <a:rPr lang="pl-PL" sz="1100"/>
            <a:t>-dodawać treści,</a:t>
          </a:r>
          <a:r>
            <a:rPr lang="pl-PL" sz="1100" baseline="0"/>
            <a:t> poniewać zaciemnią czytelność zakładki</a:t>
          </a:r>
        </a:p>
        <a:p>
          <a:r>
            <a:rPr lang="pl-PL" sz="1100" baseline="0"/>
            <a:t>-zmieniać kolory pól bez tła</a:t>
          </a:r>
        </a:p>
        <a:p>
          <a:r>
            <a:rPr lang="pl-PL" sz="1100" baseline="0"/>
            <a:t>-zmieniać nazwy kolumn</a:t>
          </a:r>
        </a:p>
        <a:p>
          <a:r>
            <a:rPr lang="pl-PL" sz="1100" baseline="0"/>
            <a:t>-cokolwiek zmieniać jeśli nie jesteś pewien zmian</a:t>
          </a:r>
          <a:endParaRPr lang="pl-PL" sz="1100"/>
        </a:p>
      </xdr:txBody>
    </xdr:sp>
    <xdr:clientData/>
  </xdr:twoCellAnchor>
  <xdr:oneCellAnchor>
    <xdr:from>
      <xdr:col>0</xdr:col>
      <xdr:colOff>1142373</xdr:colOff>
      <xdr:row>14</xdr:row>
      <xdr:rowOff>57581</xdr:rowOff>
    </xdr:from>
    <xdr:ext cx="13231542" cy="2631270"/>
    <xdr:sp macro="" textlink="">
      <xdr:nvSpPr>
        <xdr:cNvPr id="2" name="Prostoką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rot="21055921">
          <a:off x="1088398" y="2337231"/>
          <a:ext cx="13276404" cy="262478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uprzejma prośba :-)</a:t>
          </a:r>
        </a:p>
        <a:p>
          <a:pPr algn="ctr">
            <a:lnSpc>
              <a:spcPts val="6500"/>
            </a:lnSpc>
          </a:pPr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NIE ZMIENIAJ TEGO JESLI NIE WIESZ DO</a:t>
          </a:r>
          <a:r>
            <a:rPr lang="pl-PL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CZEGO SŁUŻY </a:t>
          </a:r>
          <a:endParaRPr lang="pl-PL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00000000}" name="Tabela399" displayName="Tabela399" ref="A5:AZ157" headerRowDxfId="109" headerRowBorderDxfId="108" tableBorderDxfId="107" totalsRowBorderDxfId="106">
  <autoFilter ref="A5:AZ157" xr:uid="{00000000-0009-0000-0100-000062000000}">
    <filterColumn colId="10">
      <filters>
        <filter val="BES01YE"/>
      </filters>
    </filterColumn>
  </autoFilter>
  <tableColumns count="52">
    <tableColumn id="1" xr3:uid="{00000000-0010-0000-0000-000001000000}" name="Lp" totalsRowLabel="Suma" dataDxfId="105"/>
    <tableColumn id="26" xr3:uid="{00000000-0010-0000-0000-00001A000000}" name="Data wpisania_x000a_dd-mm-yyyy" dataDxfId="104" dataCellStyle="Hiperłącze"/>
    <tableColumn id="63" xr3:uid="{00000000-0010-0000-0000-00003F000000}" name=".PDF" dataDxfId="103" dataCellStyle="Hiperłącze"/>
    <tableColumn id="64" xr3:uid="{00000000-0010-0000-0000-000040000000}" name=".DXF" dataDxfId="102" totalsRowDxfId="101" dataCellStyle="Hiperłącze"/>
    <tableColumn id="65" xr3:uid="{00000000-0010-0000-0000-000041000000}" name=".STEP" dataDxfId="100" totalsRowDxfId="99" dataCellStyle="Hiperłącze"/>
    <tableColumn id="8" xr3:uid="{00000000-0010-0000-0000-000008000000}" name="Konstruktor" dataDxfId="98" totalsRowDxfId="97" dataCellStyle="Hiperłącze"/>
    <tableColumn id="117" xr3:uid="{00000000-0010-0000-0000-000075000000}" name="ID. Części" dataDxfId="96" totalsRowDxfId="95" dataCellStyle="Hiperłącze"/>
    <tableColumn id="118" xr3:uid="{00000000-0010-0000-0000-000076000000}" name="Rewizja" dataDxfId="94" totalsRowDxfId="93" dataCellStyle="Hiperłącze"/>
    <tableColumn id="73" xr3:uid="{00000000-0010-0000-0000-000049000000}" name="Opis" dataDxfId="92"/>
    <tableColumn id="115" xr3:uid="{00000000-0010-0000-0000-000073000000}" name="Nr. Części  _x000a__x000a_/ TYP ALFANUMERYCZNIE" dataDxfId="91" dataCellStyle="Hiperłącze"/>
    <tableColumn id="96" xr3:uid="{00000000-0010-0000-0000-000060000000}" name="Nr. Kat. _x000a__x000a_/ TYP NUMERYCZNIE" dataDxfId="90"/>
    <tableColumn id="4" xr3:uid="{00000000-0010-0000-0000-000004000000}" name="Materiał _x000a__x000a_/ PRODUCENT" dataDxfId="89"/>
    <tableColumn id="5" xr3:uid="{00000000-0010-0000-0000-000005000000}" name="Obróbka" dataDxfId="88"/>
    <tableColumn id="66" xr3:uid="{00000000-0010-0000-0000-000042000000}" name="Obróbka cieplna" dataDxfId="87"/>
    <tableColumn id="67" xr3:uid="{00000000-0010-0000-0000-000043000000}" name="Powłoka" dataDxfId="86"/>
    <tableColumn id="105" xr3:uid="{00000000-0010-0000-0000-000069000000}" name="Podzespół" dataDxfId="85"/>
    <tableColumn id="28" xr3:uid="{00000000-0010-0000-0000-00001C000000}" name="Uwagi:" dataDxfId="84"/>
    <tableColumn id="119" xr3:uid="{00000000-0010-0000-0000-000077000000}" name="000 - Elementy Wspólne" dataDxfId="83"/>
    <tableColumn id="90" xr3:uid="{00000000-0010-0000-0000-00005A000000}" name="OP705 - Paletka mechaniczna" dataDxfId="82"/>
    <tableColumn id="91" xr3:uid="{00000000-0010-0000-0000-00005B000000}" name="OP710 - Skręcanie" dataDxfId="81" totalsRowDxfId="80"/>
    <tableColumn id="110" xr3:uid="{00000000-0010-0000-0000-00006E000000}" name="OP720.1 - Skręcanie" dataDxfId="79" totalsRowDxfId="78"/>
    <tableColumn id="111" xr3:uid="{00000000-0010-0000-0000-00006F000000}" name="OP720.2  - Skręcanie" dataDxfId="77" totalsRowDxfId="76"/>
    <tableColumn id="112" xr3:uid="{00000000-0010-0000-0000-000070000000}" name="OP723 - Paletka Mechaniczna" dataDxfId="75" totalsRowDxfId="74"/>
    <tableColumn id="107" xr3:uid="{00000000-0010-0000-0000-00006B000000}" name="OP725 - Skręcanie" dataDxfId="73" totalsRowDxfId="72"/>
    <tableColumn id="108" xr3:uid="{00000000-0010-0000-0000-00006C000000}" name="OP750 - Test Szczelności" dataDxfId="71" totalsRowDxfId="70"/>
    <tableColumn id="99" xr3:uid="{00000000-0010-0000-0000-000063000000}" name="9" dataDxfId="69" totalsRowDxfId="68"/>
    <tableColumn id="130" xr3:uid="{00000000-0010-0000-0000-000082000000}" name="10" dataDxfId="67" totalsRowDxfId="66"/>
    <tableColumn id="100" xr3:uid="{00000000-0010-0000-0000-000064000000}" name="11" dataDxfId="65" totalsRowDxfId="64"/>
    <tableColumn id="123" xr3:uid="{00000000-0010-0000-0000-00007B000000}" name="12" dataDxfId="63" totalsRowDxfId="62"/>
    <tableColumn id="128" xr3:uid="{00000000-0010-0000-0000-000080000000}" name="13" dataDxfId="61" totalsRowDxfId="60"/>
    <tableColumn id="127" xr3:uid="{00000000-0010-0000-0000-00007F000000}" name="14" dataDxfId="59" totalsRowDxfId="58">
      <calculatedColumnFormula>0</calculatedColumnFormula>
    </tableColumn>
    <tableColumn id="126" xr3:uid="{00000000-0010-0000-0000-00007E000000}" name="15" dataDxfId="57" totalsRowDxfId="56">
      <calculatedColumnFormula>0</calculatedColumnFormula>
    </tableColumn>
    <tableColumn id="129" xr3:uid="{00000000-0010-0000-0000-000081000000}" name="16" dataDxfId="55" totalsRowDxfId="54">
      <calculatedColumnFormula>AE6-AF6</calculatedColumnFormula>
    </tableColumn>
    <tableColumn id="125" xr3:uid="{00000000-0010-0000-0000-00007D000000}" name="17" dataDxfId="53" totalsRowDxfId="52">
      <calculatedColumnFormula>0</calculatedColumnFormula>
    </tableColumn>
    <tableColumn id="122" xr3:uid="{00000000-0010-0000-0000-00007A000000}" name="18" dataDxfId="51" totalsRowDxfId="50">
      <calculatedColumnFormula>0</calculatedColumnFormula>
    </tableColumn>
    <tableColumn id="101" xr3:uid="{00000000-0010-0000-0000-000065000000}" name="19" dataDxfId="49" totalsRowDxfId="48">
      <calculatedColumnFormula>0</calculatedColumnFormula>
    </tableColumn>
    <tableColumn id="102" xr3:uid="{00000000-0010-0000-0000-000066000000}" name="20" dataDxfId="47" totalsRowDxfId="46">
      <calculatedColumnFormula>0</calculatedColumnFormula>
    </tableColumn>
    <tableColumn id="16" xr3:uid="{00000000-0010-0000-0000-000010000000}" name="ilość sztuk_x000a_SUMA" dataDxfId="45" totalsRowDxfId="44" dataCellStyle="Dobry"/>
    <tableColumn id="103" xr3:uid="{00000000-0010-0000-0000-000067000000}" name="MAGAZYN" dataDxfId="43" totalsRowDxfId="42" dataCellStyle="Dobry"/>
    <tableColumn id="104" xr3:uid="{00000000-0010-0000-0000-000068000000}" name="Do Zamówienia" dataDxfId="41" totalsRowDxfId="40" dataCellStyle="Dobry"/>
    <tableColumn id="19" xr3:uid="{00000000-0010-0000-0000-000013000000}" name="Data zamówienia:_x000a_yyyy-mm-dd" dataDxfId="39" totalsRowDxfId="38" dataCellStyle="Dobry"/>
    <tableColumn id="20" xr3:uid="{00000000-0010-0000-0000-000014000000}" name="Osoba kupująca" dataDxfId="37" totalsRowDxfId="36" dataCellStyle="Dobry"/>
    <tableColumn id="21" xr3:uid="{00000000-0010-0000-0000-000015000000}" name="Numer zamówienia" dataDxfId="35" totalsRowDxfId="34"/>
    <tableColumn id="58" xr3:uid="{00000000-0010-0000-0000-00003A000000}" name="DOSTAWCA" dataDxfId="33" totalsRowDxfId="32"/>
    <tableColumn id="22" xr3:uid="{00000000-0010-0000-0000-000016000000}" name="Wymagana data dostawy _x000a_" dataDxfId="31" totalsRowDxfId="30" dataCellStyle="Dobry"/>
    <tableColumn id="23" xr3:uid="{00000000-0010-0000-0000-000017000000}" name="Uwagi do zamówienia" dataDxfId="29" totalsRowDxfId="28" dataCellStyle="Dobry"/>
    <tableColumn id="24" xr3:uid="{00000000-0010-0000-0000-000018000000}" name="Ilość dostarczona" dataDxfId="27" totalsRowDxfId="26" dataCellStyle="Dobry"/>
    <tableColumn id="120" xr3:uid="{00000000-0010-0000-0000-000078000000}" name="Braki" dataDxfId="25" totalsRowDxfId="24" dataCellStyle="Dobry"/>
    <tableColumn id="25" xr3:uid="{00000000-0010-0000-0000-000019000000}" name="Uwagi" dataDxfId="23" dataCellStyle="Dobry"/>
    <tableColumn id="57" xr3:uid="{00000000-0010-0000-0000-000039000000}" name="Data inspekcji" dataDxfId="22"/>
    <tableColumn id="74" xr3:uid="{00000000-0010-0000-0000-00004A000000}" name="Uwagi Inspektora" dataDxfId="21"/>
    <tableColumn id="121" xr3:uid="{00000000-0010-0000-0000-000079000000}" name="Notatki" totalsRowFunction="count" dataDxfId="2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5" xr:uid="{00000000-000C-0000-FFFF-FFFF01000000}" name="Tabela7" displayName="Tabela7" ref="A2:S37" totalsRowShown="0" headerRowDxfId="19" dataDxfId="17" headerRowBorderDxfId="18" tableBorderDxfId="16">
  <autoFilter ref="A2:S37" xr:uid="{00000000-0009-0000-0100-00003B060000}"/>
  <tableColumns count="19">
    <tableColumn id="1" xr3:uid="{00000000-0010-0000-0100-000001000000}" name="Lp" dataDxfId="15"/>
    <tableColumn id="7" xr3:uid="{00000000-0010-0000-0100-000007000000}" name="Data wpisania _x000a_yyyy-mm-dd" dataDxfId="14"/>
    <tableColumn id="8" xr3:uid="{00000000-0010-0000-0100-000008000000}" name="Konstruktor" dataDxfId="13"/>
    <tableColumn id="2" xr3:uid="{00000000-0010-0000-0100-000002000000}" name="Opis" dataDxfId="12"/>
    <tableColumn id="15" xr3:uid="{00000000-0010-0000-0100-00000F000000}" name="x"/>
    <tableColumn id="3" xr3:uid="{00000000-0010-0000-0100-000003000000}" name="Długość [mm]" dataDxfId="11"/>
    <tableColumn id="19" xr3:uid="{00000000-0010-0000-0100-000013000000}" name="x2" dataDxfId="10"/>
    <tableColumn id="4" xr3:uid="{00000000-0010-0000-0100-000004000000}" name="Nr katalogowy" dataDxfId="9"/>
    <tableColumn id="13" xr3:uid="{00000000-0010-0000-0100-00000D000000}" name="Materiał" dataDxfId="8"/>
    <tableColumn id="14" xr3:uid="{00000000-0010-0000-0100-00000E000000}" name="xx" dataDxfId="7"/>
    <tableColumn id="17" xr3:uid="{00000000-0010-0000-0100-000011000000}" name="xxx"/>
    <tableColumn id="16" xr3:uid="{00000000-0010-0000-0100-000010000000}" name="xxxx"/>
    <tableColumn id="18" xr3:uid="{00000000-0010-0000-0100-000012000000}" name="Ilość" dataDxfId="6"/>
    <tableColumn id="5" xr3:uid="{00000000-0010-0000-0100-000005000000}" name="Zespół" dataDxfId="5"/>
    <tableColumn id="11" xr3:uid="{00000000-0010-0000-0100-00000B000000}" name="Data zamówienia:_x000a_yyyy-mm-dd" dataDxfId="4"/>
    <tableColumn id="10" xr3:uid="{00000000-0010-0000-0100-00000A000000}" name="Osoba kupująca" dataDxfId="3"/>
    <tableColumn id="9" xr3:uid="{00000000-0010-0000-0100-000009000000}" name="Numer zamówienia" dataDxfId="2"/>
    <tableColumn id="6" xr3:uid="{00000000-0010-0000-0100-000006000000}" name="Wymagana data dostawy _x000a_yyyy-mm-dd." dataDxfId="1"/>
    <tableColumn id="12" xr3:uid="{00000000-0010-0000-0100-00000C000000}" name="Uwagi do zamówieni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E49"/>
  <sheetViews>
    <sheetView zoomScale="130" zoomScaleNormal="130" workbookViewId="0">
      <selection activeCell="B46" sqref="B46"/>
    </sheetView>
  </sheetViews>
  <sheetFormatPr defaultRowHeight="12.75"/>
  <cols>
    <col min="1" max="1" width="4.5703125" customWidth="1"/>
    <col min="2" max="2" width="106.140625" customWidth="1"/>
  </cols>
  <sheetData>
    <row r="1" spans="2:5">
      <c r="D1" s="64"/>
      <c r="E1" s="64"/>
    </row>
    <row r="2" spans="2:5">
      <c r="B2" s="1" t="s">
        <v>0</v>
      </c>
      <c r="D2" s="64"/>
      <c r="E2" s="64"/>
    </row>
    <row r="3" spans="2:5" ht="26.25">
      <c r="B3" s="2" t="s">
        <v>46</v>
      </c>
    </row>
    <row r="5" spans="2:5">
      <c r="B5" s="1" t="s">
        <v>1</v>
      </c>
    </row>
    <row r="6" spans="2:5" ht="26.25">
      <c r="B6" s="2" t="s">
        <v>46</v>
      </c>
    </row>
    <row r="8" spans="2:5">
      <c r="B8" s="1" t="s">
        <v>2</v>
      </c>
    </row>
    <row r="9" spans="2:5" ht="26.25">
      <c r="B9" s="3" t="s">
        <v>46</v>
      </c>
    </row>
    <row r="16" spans="2:5" ht="14.25">
      <c r="B16" s="9" t="s">
        <v>3</v>
      </c>
    </row>
    <row r="17" spans="2:2">
      <c r="B17" s="6"/>
    </row>
    <row r="18" spans="2:2">
      <c r="B18" s="4"/>
    </row>
    <row r="19" spans="2:2">
      <c r="B19" s="5" t="s">
        <v>4</v>
      </c>
    </row>
    <row r="20" spans="2:2">
      <c r="B20" s="6" t="s">
        <v>25</v>
      </c>
    </row>
    <row r="21" spans="2:2">
      <c r="B21" s="4" t="s">
        <v>24</v>
      </c>
    </row>
    <row r="22" spans="2:2">
      <c r="B22" s="4" t="s">
        <v>26</v>
      </c>
    </row>
    <row r="23" spans="2:2">
      <c r="B23" s="4"/>
    </row>
    <row r="24" spans="2:2">
      <c r="B24" s="5" t="s">
        <v>30</v>
      </c>
    </row>
    <row r="25" spans="2:2">
      <c r="B25" s="6" t="s">
        <v>31</v>
      </c>
    </row>
    <row r="26" spans="2:2">
      <c r="B26" s="4" t="s">
        <v>32</v>
      </c>
    </row>
    <row r="27" spans="2:2">
      <c r="B27" s="4"/>
    </row>
    <row r="28" spans="2:2">
      <c r="B28" s="5" t="s">
        <v>5</v>
      </c>
    </row>
    <row r="29" spans="2:2">
      <c r="B29" s="6" t="s">
        <v>6</v>
      </c>
    </row>
    <row r="30" spans="2:2">
      <c r="B30" s="8" t="s">
        <v>27</v>
      </c>
    </row>
    <row r="31" spans="2:2">
      <c r="B31" s="4"/>
    </row>
    <row r="32" spans="2:2">
      <c r="B32" s="4" t="s">
        <v>7</v>
      </c>
    </row>
    <row r="33" spans="1:2">
      <c r="B33" s="4" t="s">
        <v>29</v>
      </c>
    </row>
    <row r="34" spans="1:2">
      <c r="B34" s="4" t="s">
        <v>28</v>
      </c>
    </row>
    <row r="35" spans="1:2">
      <c r="B35" s="7"/>
    </row>
    <row r="36" spans="1:2">
      <c r="B36" s="5" t="s">
        <v>8</v>
      </c>
    </row>
    <row r="37" spans="1:2">
      <c r="B37" s="6" t="s">
        <v>9</v>
      </c>
    </row>
    <row r="38" spans="1:2">
      <c r="B38" s="6" t="s">
        <v>10</v>
      </c>
    </row>
    <row r="40" spans="1:2">
      <c r="B40" s="5" t="s">
        <v>11</v>
      </c>
    </row>
    <row r="41" spans="1:2">
      <c r="B41" s="6" t="s">
        <v>12</v>
      </c>
    </row>
    <row r="45" spans="1:2">
      <c r="B45" t="s">
        <v>64</v>
      </c>
    </row>
    <row r="46" spans="1:2">
      <c r="A46" t="s">
        <v>69</v>
      </c>
      <c r="B46" t="s">
        <v>65</v>
      </c>
    </row>
    <row r="47" spans="1:2">
      <c r="A47" t="s">
        <v>70</v>
      </c>
      <c r="B47" t="s">
        <v>66</v>
      </c>
    </row>
    <row r="48" spans="1:2">
      <c r="A48" t="s">
        <v>71</v>
      </c>
      <c r="B48" t="s">
        <v>67</v>
      </c>
    </row>
    <row r="49" spans="1:2">
      <c r="A49" t="s">
        <v>72</v>
      </c>
      <c r="B49" t="s">
        <v>68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tabColor rgb="FFFF0000"/>
    <pageSetUpPr fitToPage="1"/>
  </sheetPr>
  <dimension ref="A1:BD157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W158" sqref="AW158"/>
    </sheetView>
  </sheetViews>
  <sheetFormatPr defaultColWidth="9.140625" defaultRowHeight="27.95" customHeight="1"/>
  <cols>
    <col min="1" max="1" width="6.7109375" style="30" customWidth="1"/>
    <col min="2" max="2" width="18.7109375" style="29" customWidth="1"/>
    <col min="3" max="3" width="5.7109375" style="17" hidden="1" customWidth="1"/>
    <col min="4" max="5" width="5.7109375" style="16" hidden="1" customWidth="1"/>
    <col min="6" max="6" width="22.140625" style="16" customWidth="1"/>
    <col min="7" max="7" width="43" style="16" bestFit="1" customWidth="1"/>
    <col min="8" max="8" width="14.28515625" style="16" customWidth="1"/>
    <col min="9" max="9" width="77" style="18" customWidth="1"/>
    <col min="10" max="10" width="61" style="180" customWidth="1"/>
    <col min="11" max="11" width="31" style="16" customWidth="1"/>
    <col min="12" max="12" width="34.140625" style="16" customWidth="1"/>
    <col min="13" max="13" width="24.85546875" style="17" customWidth="1"/>
    <col min="14" max="14" width="15.28515625" style="18" customWidth="1"/>
    <col min="15" max="15" width="25" style="18" customWidth="1"/>
    <col min="16" max="16" width="35.85546875" style="16" customWidth="1"/>
    <col min="17" max="17" width="32.7109375" style="16" customWidth="1"/>
    <col min="18" max="36" width="6" style="16" customWidth="1"/>
    <col min="37" max="37" width="0.7109375" style="16" customWidth="1"/>
    <col min="38" max="38" width="16.42578125" style="19" customWidth="1"/>
    <col min="39" max="39" width="11.5703125" style="19" customWidth="1"/>
    <col min="40" max="40" width="16.28515625" style="152" customWidth="1"/>
    <col min="41" max="41" width="21.42578125" style="19" customWidth="1"/>
    <col min="42" max="42" width="10.7109375" style="20" customWidth="1"/>
    <col min="43" max="43" width="77.42578125" style="16" customWidth="1"/>
    <col min="44" max="44" width="42.28515625" style="17" customWidth="1"/>
    <col min="45" max="45" width="24.85546875" style="16" customWidth="1"/>
    <col min="46" max="46" width="13.42578125" style="16" customWidth="1"/>
    <col min="47" max="48" width="13.42578125" style="17" customWidth="1"/>
    <col min="49" max="49" width="53" style="17" customWidth="1"/>
    <col min="50" max="50" width="10" style="21" customWidth="1"/>
    <col min="51" max="51" width="45" style="22" bestFit="1" customWidth="1"/>
    <col min="52" max="52" width="27" style="10" customWidth="1"/>
    <col min="53" max="16384" width="9.140625" style="10"/>
  </cols>
  <sheetData>
    <row r="1" spans="1:56" ht="69" customHeight="1" thickTop="1" thickBot="1">
      <c r="A1" s="74"/>
      <c r="B1" s="75"/>
      <c r="C1" s="76"/>
      <c r="D1" s="76"/>
      <c r="E1" s="76"/>
      <c r="F1" s="77"/>
      <c r="G1" s="77"/>
      <c r="H1" s="78" t="s">
        <v>45</v>
      </c>
      <c r="I1" s="110" t="s">
        <v>407</v>
      </c>
      <c r="J1" s="179"/>
      <c r="K1" s="114"/>
      <c r="L1" s="92" t="s">
        <v>93</v>
      </c>
      <c r="M1" s="86">
        <v>6</v>
      </c>
      <c r="N1" s="86">
        <v>0</v>
      </c>
      <c r="P1" s="47"/>
      <c r="Q1" s="46"/>
      <c r="R1" s="455" t="s">
        <v>63</v>
      </c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7"/>
      <c r="AL1" s="48"/>
      <c r="AM1" s="48"/>
      <c r="AN1" s="147"/>
      <c r="AO1" s="439" t="s">
        <v>13</v>
      </c>
      <c r="AP1" s="440"/>
      <c r="AQ1" s="440"/>
      <c r="AR1" s="440"/>
      <c r="AS1" s="440"/>
      <c r="AT1" s="441"/>
      <c r="AU1" s="445" t="s">
        <v>23</v>
      </c>
      <c r="AV1" s="446"/>
      <c r="AW1" s="447"/>
      <c r="AX1" s="451" t="s">
        <v>35</v>
      </c>
      <c r="AY1" s="452"/>
      <c r="AZ1" s="437" t="s">
        <v>54</v>
      </c>
    </row>
    <row r="2" spans="1:56" ht="23.25" customHeight="1" thickBot="1">
      <c r="A2" s="66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17"/>
      <c r="H2" s="17"/>
      <c r="K2" s="26"/>
      <c r="L2" s="42"/>
      <c r="M2" s="26"/>
      <c r="N2" s="26"/>
      <c r="O2" s="26"/>
      <c r="P2" s="26"/>
      <c r="Q2" s="26"/>
      <c r="R2" s="458"/>
      <c r="S2" s="459"/>
      <c r="T2" s="459"/>
      <c r="U2" s="459"/>
      <c r="V2" s="459"/>
      <c r="W2" s="459"/>
      <c r="X2" s="459"/>
      <c r="Y2" s="459"/>
      <c r="Z2" s="459"/>
      <c r="AA2" s="459"/>
      <c r="AB2" s="459"/>
      <c r="AC2" s="459"/>
      <c r="AD2" s="459"/>
      <c r="AE2" s="459"/>
      <c r="AF2" s="459"/>
      <c r="AG2" s="459"/>
      <c r="AH2" s="459"/>
      <c r="AI2" s="459"/>
      <c r="AJ2" s="459"/>
      <c r="AK2" s="460"/>
      <c r="AL2" s="27"/>
      <c r="AM2" s="27"/>
      <c r="AN2" s="148"/>
      <c r="AO2" s="442"/>
      <c r="AP2" s="443"/>
      <c r="AQ2" s="443"/>
      <c r="AR2" s="443"/>
      <c r="AS2" s="443"/>
      <c r="AT2" s="444"/>
      <c r="AU2" s="448"/>
      <c r="AV2" s="449"/>
      <c r="AW2" s="450"/>
      <c r="AX2" s="453"/>
      <c r="AY2" s="454"/>
      <c r="AZ2" s="438"/>
    </row>
    <row r="3" spans="1:56" ht="27.95" customHeight="1" thickTop="1">
      <c r="A3" s="67"/>
      <c r="B3" s="68"/>
      <c r="C3" s="69">
        <v>6</v>
      </c>
      <c r="D3" s="69">
        <v>0</v>
      </c>
      <c r="E3" s="69"/>
      <c r="F3" s="69"/>
      <c r="G3" s="69"/>
      <c r="H3" s="69"/>
      <c r="I3" s="111"/>
      <c r="J3" s="181"/>
      <c r="K3" s="69"/>
      <c r="L3" s="69"/>
      <c r="M3" s="69"/>
      <c r="N3" s="69"/>
      <c r="O3" s="69"/>
      <c r="P3" s="69"/>
      <c r="Q3" s="70"/>
      <c r="R3" s="79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1"/>
      <c r="AL3" s="71"/>
      <c r="AM3" s="72"/>
      <c r="AN3" s="149"/>
      <c r="AO3" s="33"/>
      <c r="AP3" s="23"/>
      <c r="AQ3" s="23"/>
      <c r="AR3" s="23"/>
      <c r="AS3" s="23"/>
      <c r="AT3" s="31"/>
      <c r="AU3" s="65"/>
      <c r="AV3" s="40"/>
      <c r="AW3" s="24"/>
      <c r="AX3" s="25"/>
      <c r="AY3" s="24"/>
      <c r="AZ3" s="50"/>
    </row>
    <row r="4" spans="1:56" ht="27.95" customHeight="1" thickBot="1">
      <c r="A4" s="49"/>
      <c r="B4" s="38"/>
      <c r="C4" s="39"/>
      <c r="D4" s="39"/>
      <c r="E4" s="39"/>
      <c r="F4" s="39"/>
      <c r="G4" s="39"/>
      <c r="H4" s="39"/>
      <c r="I4" s="112"/>
      <c r="J4" s="182"/>
      <c r="K4" s="39"/>
      <c r="L4" s="39"/>
      <c r="M4" s="39"/>
      <c r="N4" s="39"/>
      <c r="O4" s="39"/>
      <c r="P4" s="39"/>
      <c r="Q4" s="43"/>
      <c r="R4" s="4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7"/>
      <c r="AL4" s="36"/>
      <c r="AM4" s="35"/>
      <c r="AN4" s="150"/>
      <c r="AO4" s="14"/>
      <c r="AP4" s="12"/>
      <c r="AQ4" s="12"/>
      <c r="AR4" s="12"/>
      <c r="AS4" s="12"/>
      <c r="AT4" s="32"/>
      <c r="AU4" s="15"/>
      <c r="AV4" s="41"/>
      <c r="AW4" s="13"/>
      <c r="AX4" s="11"/>
      <c r="AY4" s="13"/>
      <c r="AZ4" s="51"/>
    </row>
    <row r="5" spans="1:56" s="28" customFormat="1" ht="104.25" customHeight="1" thickBot="1">
      <c r="A5" s="52" t="s">
        <v>14</v>
      </c>
      <c r="B5" s="53" t="s">
        <v>55</v>
      </c>
      <c r="C5" s="54" t="s">
        <v>37</v>
      </c>
      <c r="D5" s="54" t="s">
        <v>38</v>
      </c>
      <c r="E5" s="54" t="s">
        <v>39</v>
      </c>
      <c r="F5" s="54" t="s">
        <v>22</v>
      </c>
      <c r="G5" s="54" t="s">
        <v>51</v>
      </c>
      <c r="H5" s="54" t="s">
        <v>52</v>
      </c>
      <c r="I5" s="113" t="s">
        <v>44</v>
      </c>
      <c r="J5" s="183" t="s">
        <v>106</v>
      </c>
      <c r="K5" s="113" t="s">
        <v>107</v>
      </c>
      <c r="L5" s="113" t="s">
        <v>108</v>
      </c>
      <c r="M5" s="54" t="s">
        <v>40</v>
      </c>
      <c r="N5" s="54" t="s">
        <v>41</v>
      </c>
      <c r="O5" s="54" t="s">
        <v>42</v>
      </c>
      <c r="P5" s="54" t="s">
        <v>139</v>
      </c>
      <c r="Q5" s="55" t="s">
        <v>34</v>
      </c>
      <c r="R5" s="145" t="s">
        <v>128</v>
      </c>
      <c r="S5" s="146" t="s">
        <v>129</v>
      </c>
      <c r="T5" s="146" t="s">
        <v>130</v>
      </c>
      <c r="U5" s="146" t="s">
        <v>131</v>
      </c>
      <c r="V5" s="146" t="s">
        <v>132</v>
      </c>
      <c r="W5" s="146" t="s">
        <v>133</v>
      </c>
      <c r="X5" s="146" t="s">
        <v>134</v>
      </c>
      <c r="Y5" s="146" t="s">
        <v>135</v>
      </c>
      <c r="Z5" s="146" t="s">
        <v>122</v>
      </c>
      <c r="AA5" s="146" t="s">
        <v>123</v>
      </c>
      <c r="AB5" s="146" t="s">
        <v>124</v>
      </c>
      <c r="AC5" s="146" t="s">
        <v>125</v>
      </c>
      <c r="AD5" s="146" t="s">
        <v>126</v>
      </c>
      <c r="AE5" s="146" t="s">
        <v>56</v>
      </c>
      <c r="AF5" s="146" t="s">
        <v>57</v>
      </c>
      <c r="AG5" s="146" t="s">
        <v>58</v>
      </c>
      <c r="AH5" s="146" t="s">
        <v>59</v>
      </c>
      <c r="AI5" s="146" t="s">
        <v>60</v>
      </c>
      <c r="AJ5" s="146" t="s">
        <v>61</v>
      </c>
      <c r="AK5" s="166" t="s">
        <v>62</v>
      </c>
      <c r="AL5" s="169" t="s">
        <v>15</v>
      </c>
      <c r="AM5" s="56" t="s">
        <v>49</v>
      </c>
      <c r="AN5" s="57" t="s">
        <v>50</v>
      </c>
      <c r="AO5" s="57" t="s">
        <v>18</v>
      </c>
      <c r="AP5" s="58" t="s">
        <v>16</v>
      </c>
      <c r="AQ5" s="58" t="s">
        <v>17</v>
      </c>
      <c r="AR5" s="58" t="s">
        <v>36</v>
      </c>
      <c r="AS5" s="58" t="s">
        <v>43</v>
      </c>
      <c r="AT5" s="59" t="s">
        <v>20</v>
      </c>
      <c r="AU5" s="60" t="s">
        <v>21</v>
      </c>
      <c r="AV5" s="61" t="s">
        <v>53</v>
      </c>
      <c r="AW5" s="62" t="s">
        <v>19</v>
      </c>
      <c r="AX5" s="63" t="s">
        <v>48</v>
      </c>
      <c r="AY5" s="62" t="s">
        <v>47</v>
      </c>
      <c r="AZ5" s="73" t="s">
        <v>54</v>
      </c>
    </row>
    <row r="6" spans="1:56" ht="27.95" hidden="1" customHeight="1" thickTop="1">
      <c r="A6" s="156">
        <v>1</v>
      </c>
      <c r="B6" s="171">
        <v>45016</v>
      </c>
      <c r="C6" s="95"/>
      <c r="D6" s="95"/>
      <c r="E6" s="95"/>
      <c r="F6" s="157" t="s">
        <v>136</v>
      </c>
      <c r="G6" s="97" t="s">
        <v>127</v>
      </c>
      <c r="H6" s="172" t="s">
        <v>141</v>
      </c>
      <c r="I6" s="173" t="s">
        <v>137</v>
      </c>
      <c r="J6" s="97" t="s">
        <v>127</v>
      </c>
      <c r="K6" s="97" t="s">
        <v>127</v>
      </c>
      <c r="L6" s="101" t="s">
        <v>138</v>
      </c>
      <c r="M6" s="97" t="s">
        <v>80</v>
      </c>
      <c r="N6" s="97" t="s">
        <v>80</v>
      </c>
      <c r="O6" s="97" t="s">
        <v>144</v>
      </c>
      <c r="P6" s="98" t="s">
        <v>140</v>
      </c>
      <c r="Q6" s="244"/>
      <c r="R6" s="164">
        <f>0</f>
        <v>0</v>
      </c>
      <c r="S6" s="153">
        <f>0</f>
        <v>0</v>
      </c>
      <c r="T6" s="153">
        <f>0</f>
        <v>0</v>
      </c>
      <c r="U6" s="153">
        <f>0</f>
        <v>0</v>
      </c>
      <c r="V6" s="153">
        <f>0</f>
        <v>0</v>
      </c>
      <c r="W6" s="153">
        <f>0</f>
        <v>0</v>
      </c>
      <c r="X6" s="153">
        <f>0</f>
        <v>0</v>
      </c>
      <c r="Y6" s="174">
        <v>4</v>
      </c>
      <c r="Z6" s="153">
        <f>0</f>
        <v>0</v>
      </c>
      <c r="AA6" s="153">
        <f>0</f>
        <v>0</v>
      </c>
      <c r="AB6" s="153">
        <f>0</f>
        <v>0</v>
      </c>
      <c r="AC6" s="153">
        <f>0</f>
        <v>0</v>
      </c>
      <c r="AD6" s="153">
        <f>0</f>
        <v>0</v>
      </c>
      <c r="AE6" s="153">
        <f>0</f>
        <v>0</v>
      </c>
      <c r="AF6" s="153">
        <f>0</f>
        <v>0</v>
      </c>
      <c r="AG6" s="153">
        <f t="shared" ref="AG6:AG12" si="0">AE6-AF6</f>
        <v>0</v>
      </c>
      <c r="AH6" s="153">
        <f>0</f>
        <v>0</v>
      </c>
      <c r="AI6" s="153">
        <f>0</f>
        <v>0</v>
      </c>
      <c r="AJ6" s="153">
        <f>0</f>
        <v>0</v>
      </c>
      <c r="AK6" s="167">
        <f>0</f>
        <v>0</v>
      </c>
      <c r="AL6" s="170">
        <f>SUM(R6:AK6)</f>
        <v>4</v>
      </c>
      <c r="AM6" s="45">
        <f>0</f>
        <v>0</v>
      </c>
      <c r="AN6" s="151">
        <f t="shared" ref="AN6:AN12" si="1">AL6-AM6</f>
        <v>4</v>
      </c>
      <c r="AO6" s="108">
        <v>45090</v>
      </c>
      <c r="AP6" s="103" t="s">
        <v>410</v>
      </c>
      <c r="AQ6" s="109" t="s">
        <v>553</v>
      </c>
      <c r="AR6" s="158"/>
      <c r="AS6" s="159" t="s">
        <v>562</v>
      </c>
      <c r="AT6" s="104"/>
      <c r="AU6" s="105"/>
      <c r="AV6" s="103"/>
      <c r="AW6" s="104"/>
      <c r="AX6" s="102"/>
      <c r="AY6" s="106"/>
      <c r="AZ6" s="160"/>
    </row>
    <row r="7" spans="1:56" ht="27.95" hidden="1" customHeight="1">
      <c r="A7" s="156">
        <v>2</v>
      </c>
      <c r="B7" s="175">
        <v>45016</v>
      </c>
      <c r="C7" s="95"/>
      <c r="D7" s="95"/>
      <c r="E7" s="95"/>
      <c r="F7" s="157" t="s">
        <v>136</v>
      </c>
      <c r="G7" s="101" t="s">
        <v>142</v>
      </c>
      <c r="H7" s="172" t="s">
        <v>141</v>
      </c>
      <c r="I7" s="173" t="s">
        <v>137</v>
      </c>
      <c r="J7" s="101" t="s">
        <v>142</v>
      </c>
      <c r="K7" s="101" t="s">
        <v>142</v>
      </c>
      <c r="L7" s="101" t="s">
        <v>138</v>
      </c>
      <c r="M7" s="97" t="s">
        <v>80</v>
      </c>
      <c r="N7" s="97" t="s">
        <v>80</v>
      </c>
      <c r="O7" s="97" t="s">
        <v>144</v>
      </c>
      <c r="P7" s="98" t="s">
        <v>143</v>
      </c>
      <c r="Q7" s="244" t="s">
        <v>88</v>
      </c>
      <c r="R7" s="165">
        <f>0</f>
        <v>0</v>
      </c>
      <c r="S7" s="154">
        <f>0</f>
        <v>0</v>
      </c>
      <c r="T7" s="154">
        <f>0</f>
        <v>0</v>
      </c>
      <c r="U7" s="154">
        <f>0</f>
        <v>0</v>
      </c>
      <c r="V7" s="154">
        <f>0</f>
        <v>0</v>
      </c>
      <c r="W7" s="154">
        <f>0</f>
        <v>0</v>
      </c>
      <c r="X7" s="154">
        <f>0</f>
        <v>0</v>
      </c>
      <c r="Y7" s="178">
        <v>2</v>
      </c>
      <c r="Z7" s="154">
        <f>0</f>
        <v>0</v>
      </c>
      <c r="AA7" s="154">
        <f>0</f>
        <v>0</v>
      </c>
      <c r="AB7" s="154">
        <f>0</f>
        <v>0</v>
      </c>
      <c r="AC7" s="154">
        <v>0</v>
      </c>
      <c r="AD7" s="154">
        <f>0</f>
        <v>0</v>
      </c>
      <c r="AE7" s="154">
        <f>0</f>
        <v>0</v>
      </c>
      <c r="AF7" s="154">
        <f>0</f>
        <v>0</v>
      </c>
      <c r="AG7" s="154">
        <f t="shared" si="0"/>
        <v>0</v>
      </c>
      <c r="AH7" s="154">
        <f>0</f>
        <v>0</v>
      </c>
      <c r="AI7" s="154">
        <f>0</f>
        <v>0</v>
      </c>
      <c r="AJ7" s="154">
        <f>0</f>
        <v>0</v>
      </c>
      <c r="AK7" s="168">
        <f>0</f>
        <v>0</v>
      </c>
      <c r="AL7" s="170">
        <f>SUM(R7:AK7)</f>
        <v>2</v>
      </c>
      <c r="AM7" s="45">
        <v>0</v>
      </c>
      <c r="AN7" s="151">
        <f t="shared" si="1"/>
        <v>2</v>
      </c>
      <c r="AO7" s="108">
        <v>45090</v>
      </c>
      <c r="AP7" s="103" t="s">
        <v>410</v>
      </c>
      <c r="AQ7" s="109" t="s">
        <v>553</v>
      </c>
      <c r="AR7" s="158"/>
      <c r="AS7" s="159" t="s">
        <v>562</v>
      </c>
      <c r="AT7" s="104"/>
      <c r="AU7" s="105"/>
      <c r="AV7" s="103"/>
      <c r="AW7" s="104"/>
      <c r="AX7" s="102"/>
      <c r="AY7" s="106"/>
      <c r="AZ7" s="107"/>
      <c r="BD7" s="93"/>
    </row>
    <row r="8" spans="1:56" ht="27.95" hidden="1" customHeight="1">
      <c r="A8" s="156">
        <v>3</v>
      </c>
      <c r="B8" s="175">
        <v>45016</v>
      </c>
      <c r="C8" s="95"/>
      <c r="D8" s="95"/>
      <c r="E8" s="95"/>
      <c r="F8" s="157" t="s">
        <v>136</v>
      </c>
      <c r="G8" s="101" t="s">
        <v>145</v>
      </c>
      <c r="H8" s="172" t="s">
        <v>141</v>
      </c>
      <c r="I8" s="173" t="s">
        <v>137</v>
      </c>
      <c r="J8" s="101" t="s">
        <v>145</v>
      </c>
      <c r="K8" s="101" t="s">
        <v>145</v>
      </c>
      <c r="L8" s="101" t="s">
        <v>138</v>
      </c>
      <c r="M8" s="97" t="s">
        <v>80</v>
      </c>
      <c r="N8" s="97" t="s">
        <v>80</v>
      </c>
      <c r="O8" s="97" t="s">
        <v>144</v>
      </c>
      <c r="P8" s="98" t="s">
        <v>146</v>
      </c>
      <c r="Q8" s="244"/>
      <c r="R8" s="165">
        <f>0</f>
        <v>0</v>
      </c>
      <c r="S8" s="154">
        <f>0</f>
        <v>0</v>
      </c>
      <c r="T8" s="154">
        <f>0</f>
        <v>0</v>
      </c>
      <c r="U8" s="154">
        <f>0</f>
        <v>0</v>
      </c>
      <c r="V8" s="154">
        <f>0</f>
        <v>0</v>
      </c>
      <c r="W8" s="154">
        <f>0</f>
        <v>0</v>
      </c>
      <c r="X8" s="154">
        <f>0</f>
        <v>0</v>
      </c>
      <c r="Y8" s="178">
        <v>2</v>
      </c>
      <c r="Z8" s="154">
        <f>0</f>
        <v>0</v>
      </c>
      <c r="AA8" s="154">
        <f>0</f>
        <v>0</v>
      </c>
      <c r="AB8" s="154">
        <f>0</f>
        <v>0</v>
      </c>
      <c r="AC8" s="154">
        <v>0</v>
      </c>
      <c r="AD8" s="154">
        <f>0</f>
        <v>0</v>
      </c>
      <c r="AE8" s="154">
        <f>0</f>
        <v>0</v>
      </c>
      <c r="AF8" s="154">
        <f>0</f>
        <v>0</v>
      </c>
      <c r="AG8" s="154">
        <f t="shared" si="0"/>
        <v>0</v>
      </c>
      <c r="AH8" s="154">
        <f>0</f>
        <v>0</v>
      </c>
      <c r="AI8" s="154">
        <f>0</f>
        <v>0</v>
      </c>
      <c r="AJ8" s="154">
        <f>0</f>
        <v>0</v>
      </c>
      <c r="AK8" s="168">
        <f>0</f>
        <v>0</v>
      </c>
      <c r="AL8" s="170">
        <f t="shared" ref="AL8:AL73" si="2">SUM(R8:AK8)</f>
        <v>2</v>
      </c>
      <c r="AM8" s="45">
        <v>0</v>
      </c>
      <c r="AN8" s="151">
        <f t="shared" si="1"/>
        <v>2</v>
      </c>
      <c r="AO8" s="108">
        <v>45090</v>
      </c>
      <c r="AP8" s="103" t="s">
        <v>410</v>
      </c>
      <c r="AQ8" s="109" t="s">
        <v>553</v>
      </c>
      <c r="AR8" s="158"/>
      <c r="AS8" s="159" t="s">
        <v>562</v>
      </c>
      <c r="AT8" s="104"/>
      <c r="AU8" s="105"/>
      <c r="AV8" s="103"/>
      <c r="AW8" s="104"/>
      <c r="AX8" s="102"/>
      <c r="AY8" s="106"/>
      <c r="AZ8" s="107"/>
    </row>
    <row r="9" spans="1:56" ht="27.95" hidden="1" customHeight="1">
      <c r="A9" s="156">
        <v>4</v>
      </c>
      <c r="B9" s="175">
        <v>45016</v>
      </c>
      <c r="C9" s="95"/>
      <c r="D9" s="95"/>
      <c r="E9" s="95"/>
      <c r="F9" s="157" t="s">
        <v>136</v>
      </c>
      <c r="G9" s="101" t="s">
        <v>147</v>
      </c>
      <c r="H9" s="172" t="s">
        <v>141</v>
      </c>
      <c r="I9" s="173" t="s">
        <v>150</v>
      </c>
      <c r="J9" s="101" t="s">
        <v>147</v>
      </c>
      <c r="K9" s="101" t="s">
        <v>147</v>
      </c>
      <c r="L9" s="101" t="s">
        <v>138</v>
      </c>
      <c r="M9" s="97" t="s">
        <v>80</v>
      </c>
      <c r="N9" s="97" t="s">
        <v>80</v>
      </c>
      <c r="O9" s="97" t="s">
        <v>144</v>
      </c>
      <c r="P9" s="98" t="s">
        <v>143</v>
      </c>
      <c r="Q9" s="244"/>
      <c r="R9" s="165">
        <f>0</f>
        <v>0</v>
      </c>
      <c r="S9" s="154">
        <f>0</f>
        <v>0</v>
      </c>
      <c r="T9" s="154">
        <f>0</f>
        <v>0</v>
      </c>
      <c r="U9" s="154">
        <f>0</f>
        <v>0</v>
      </c>
      <c r="V9" s="154">
        <f>0</f>
        <v>0</v>
      </c>
      <c r="W9" s="154">
        <f>0</f>
        <v>0</v>
      </c>
      <c r="X9" s="154">
        <f>0</f>
        <v>0</v>
      </c>
      <c r="Y9" s="178">
        <v>2</v>
      </c>
      <c r="Z9" s="154">
        <f>0</f>
        <v>0</v>
      </c>
      <c r="AA9" s="154">
        <f>0</f>
        <v>0</v>
      </c>
      <c r="AB9" s="154">
        <f>0</f>
        <v>0</v>
      </c>
      <c r="AC9" s="154">
        <v>0</v>
      </c>
      <c r="AD9" s="154">
        <f>0</f>
        <v>0</v>
      </c>
      <c r="AE9" s="154">
        <f>0</f>
        <v>0</v>
      </c>
      <c r="AF9" s="154">
        <f>0</f>
        <v>0</v>
      </c>
      <c r="AG9" s="154">
        <f t="shared" si="0"/>
        <v>0</v>
      </c>
      <c r="AH9" s="154">
        <f>0</f>
        <v>0</v>
      </c>
      <c r="AI9" s="154">
        <f>0</f>
        <v>0</v>
      </c>
      <c r="AJ9" s="154">
        <f>0</f>
        <v>0</v>
      </c>
      <c r="AK9" s="168">
        <f>0</f>
        <v>0</v>
      </c>
      <c r="AL9" s="170">
        <f t="shared" si="2"/>
        <v>2</v>
      </c>
      <c r="AM9" s="45">
        <v>0</v>
      </c>
      <c r="AN9" s="151">
        <f t="shared" si="1"/>
        <v>2</v>
      </c>
      <c r="AO9" s="108">
        <v>45090</v>
      </c>
      <c r="AP9" s="103" t="s">
        <v>410</v>
      </c>
      <c r="AQ9" s="109" t="s">
        <v>553</v>
      </c>
      <c r="AR9" s="158"/>
      <c r="AS9" s="159" t="s">
        <v>562</v>
      </c>
      <c r="AT9" s="104"/>
      <c r="AU9" s="105"/>
      <c r="AV9" s="103"/>
      <c r="AW9" s="104"/>
      <c r="AX9" s="102"/>
      <c r="AY9" s="106"/>
      <c r="AZ9" s="107"/>
    </row>
    <row r="10" spans="1:56" ht="27.95" hidden="1" customHeight="1">
      <c r="A10" s="156">
        <v>5</v>
      </c>
      <c r="B10" s="175">
        <v>45016</v>
      </c>
      <c r="C10" s="375"/>
      <c r="D10" s="375"/>
      <c r="E10" s="375"/>
      <c r="F10" s="157" t="s">
        <v>136</v>
      </c>
      <c r="G10" s="242" t="s">
        <v>148</v>
      </c>
      <c r="H10" s="172" t="s">
        <v>141</v>
      </c>
      <c r="I10" s="177" t="s">
        <v>149</v>
      </c>
      <c r="J10" s="242" t="s">
        <v>148</v>
      </c>
      <c r="K10" s="242" t="s">
        <v>148</v>
      </c>
      <c r="L10" s="101" t="s">
        <v>138</v>
      </c>
      <c r="M10" s="97" t="s">
        <v>80</v>
      </c>
      <c r="N10" s="97" t="s">
        <v>80</v>
      </c>
      <c r="O10" s="97" t="s">
        <v>144</v>
      </c>
      <c r="P10" s="98" t="s">
        <v>143</v>
      </c>
      <c r="Q10" s="244"/>
      <c r="R10" s="369">
        <f>0</f>
        <v>0</v>
      </c>
      <c r="S10" s="370">
        <f>0</f>
        <v>0</v>
      </c>
      <c r="T10" s="370">
        <f>0</f>
        <v>0</v>
      </c>
      <c r="U10" s="370">
        <f>0</f>
        <v>0</v>
      </c>
      <c r="V10" s="370">
        <f>0</f>
        <v>0</v>
      </c>
      <c r="W10" s="370">
        <f>0</f>
        <v>0</v>
      </c>
      <c r="X10" s="370">
        <f>0</f>
        <v>0</v>
      </c>
      <c r="Y10" s="371">
        <v>2</v>
      </c>
      <c r="Z10" s="370">
        <f>0</f>
        <v>0</v>
      </c>
      <c r="AA10" s="370">
        <f>0</f>
        <v>0</v>
      </c>
      <c r="AB10" s="370">
        <f>0</f>
        <v>0</v>
      </c>
      <c r="AC10" s="370">
        <v>0</v>
      </c>
      <c r="AD10" s="370">
        <f>0</f>
        <v>0</v>
      </c>
      <c r="AE10" s="370">
        <f>0</f>
        <v>0</v>
      </c>
      <c r="AF10" s="370">
        <f>0</f>
        <v>0</v>
      </c>
      <c r="AG10" s="370">
        <f t="shared" si="0"/>
        <v>0</v>
      </c>
      <c r="AH10" s="370">
        <f>0</f>
        <v>0</v>
      </c>
      <c r="AI10" s="370">
        <f>0</f>
        <v>0</v>
      </c>
      <c r="AJ10" s="370">
        <f>0</f>
        <v>0</v>
      </c>
      <c r="AK10" s="372">
        <f>0</f>
        <v>0</v>
      </c>
      <c r="AL10" s="373">
        <f t="shared" si="2"/>
        <v>2</v>
      </c>
      <c r="AM10" s="45">
        <f>0</f>
        <v>0</v>
      </c>
      <c r="AN10" s="374">
        <f t="shared" si="1"/>
        <v>2</v>
      </c>
      <c r="AO10" s="108">
        <v>45090</v>
      </c>
      <c r="AP10" s="103" t="s">
        <v>410</v>
      </c>
      <c r="AQ10" s="109" t="s">
        <v>553</v>
      </c>
      <c r="AR10" s="158"/>
      <c r="AS10" s="159" t="s">
        <v>562</v>
      </c>
      <c r="AT10" s="104"/>
      <c r="AU10" s="105"/>
      <c r="AV10" s="103"/>
      <c r="AW10" s="104"/>
      <c r="AX10" s="102"/>
      <c r="AY10" s="106"/>
      <c r="AZ10" s="107"/>
    </row>
    <row r="11" spans="1:56" ht="27.95" hidden="1" customHeight="1">
      <c r="A11" s="156">
        <v>9</v>
      </c>
      <c r="B11" s="175">
        <v>45016</v>
      </c>
      <c r="C11" s="96"/>
      <c r="D11" s="96"/>
      <c r="E11" s="96"/>
      <c r="F11" s="157" t="s">
        <v>136</v>
      </c>
      <c r="G11" s="242" t="s">
        <v>170</v>
      </c>
      <c r="H11" s="172" t="s">
        <v>141</v>
      </c>
      <c r="I11" s="177" t="s">
        <v>171</v>
      </c>
      <c r="J11" s="242" t="s">
        <v>170</v>
      </c>
      <c r="K11" s="242" t="s">
        <v>170</v>
      </c>
      <c r="L11" s="101" t="s">
        <v>138</v>
      </c>
      <c r="M11" s="97" t="s">
        <v>80</v>
      </c>
      <c r="N11" s="97" t="s">
        <v>80</v>
      </c>
      <c r="O11" s="97" t="s">
        <v>144</v>
      </c>
      <c r="P11" s="98" t="s">
        <v>151</v>
      </c>
      <c r="Q11" s="244"/>
      <c r="R11" s="165">
        <f>0</f>
        <v>0</v>
      </c>
      <c r="S11" s="154">
        <f>0</f>
        <v>0</v>
      </c>
      <c r="T11" s="154">
        <f>0</f>
        <v>0</v>
      </c>
      <c r="U11" s="154">
        <f>0</f>
        <v>0</v>
      </c>
      <c r="V11" s="154">
        <f>0</f>
        <v>0</v>
      </c>
      <c r="W11" s="154">
        <f>0</f>
        <v>0</v>
      </c>
      <c r="X11" s="154">
        <f>0</f>
        <v>0</v>
      </c>
      <c r="Y11" s="178">
        <v>2</v>
      </c>
      <c r="Z11" s="154">
        <f>0</f>
        <v>0</v>
      </c>
      <c r="AA11" s="154">
        <f>0</f>
        <v>0</v>
      </c>
      <c r="AB11" s="154">
        <f>0</f>
        <v>0</v>
      </c>
      <c r="AC11" s="154">
        <v>0</v>
      </c>
      <c r="AD11" s="154">
        <f>0</f>
        <v>0</v>
      </c>
      <c r="AE11" s="154">
        <f>0</f>
        <v>0</v>
      </c>
      <c r="AF11" s="154">
        <f>0</f>
        <v>0</v>
      </c>
      <c r="AG11" s="154">
        <f t="shared" si="0"/>
        <v>0</v>
      </c>
      <c r="AH11" s="154">
        <f>0</f>
        <v>0</v>
      </c>
      <c r="AI11" s="154">
        <f>0</f>
        <v>0</v>
      </c>
      <c r="AJ11" s="154">
        <f>0</f>
        <v>0</v>
      </c>
      <c r="AK11" s="168">
        <f>0</f>
        <v>0</v>
      </c>
      <c r="AL11" s="170">
        <f t="shared" si="2"/>
        <v>2</v>
      </c>
      <c r="AM11" s="45">
        <f>0</f>
        <v>0</v>
      </c>
      <c r="AN11" s="151">
        <f t="shared" si="1"/>
        <v>2</v>
      </c>
      <c r="AO11" s="108">
        <v>45090</v>
      </c>
      <c r="AP11" s="103" t="s">
        <v>410</v>
      </c>
      <c r="AQ11" s="109" t="s">
        <v>553</v>
      </c>
      <c r="AR11" s="158"/>
      <c r="AS11" s="159" t="s">
        <v>562</v>
      </c>
      <c r="AT11" s="104"/>
      <c r="AU11" s="105"/>
      <c r="AV11" s="103"/>
      <c r="AW11" s="163"/>
      <c r="AX11" s="102"/>
      <c r="AY11" s="106"/>
      <c r="AZ11" s="107"/>
    </row>
    <row r="12" spans="1:56" ht="27.95" hidden="1" customHeight="1">
      <c r="A12" s="156">
        <v>10</v>
      </c>
      <c r="B12" s="161">
        <v>45022</v>
      </c>
      <c r="C12" s="96"/>
      <c r="D12" s="96"/>
      <c r="E12" s="96"/>
      <c r="F12" s="157" t="s">
        <v>136</v>
      </c>
      <c r="G12" s="242" t="s">
        <v>153</v>
      </c>
      <c r="H12" s="172" t="s">
        <v>141</v>
      </c>
      <c r="I12" s="177" t="s">
        <v>154</v>
      </c>
      <c r="J12" s="162" t="s">
        <v>157</v>
      </c>
      <c r="K12" s="162">
        <v>305521</v>
      </c>
      <c r="L12" s="101" t="s">
        <v>152</v>
      </c>
      <c r="M12" s="97" t="s">
        <v>80</v>
      </c>
      <c r="N12" s="97" t="s">
        <v>80</v>
      </c>
      <c r="O12" s="97" t="s">
        <v>144</v>
      </c>
      <c r="P12" s="98" t="s">
        <v>169</v>
      </c>
      <c r="Q12" s="244"/>
      <c r="R12" s="165">
        <f>0</f>
        <v>0</v>
      </c>
      <c r="S12" s="154">
        <f>0</f>
        <v>0</v>
      </c>
      <c r="T12" s="154">
        <f>0</f>
        <v>0</v>
      </c>
      <c r="U12" s="154">
        <f>0</f>
        <v>0</v>
      </c>
      <c r="V12" s="154">
        <f>0</f>
        <v>0</v>
      </c>
      <c r="W12" s="154">
        <f>0</f>
        <v>0</v>
      </c>
      <c r="X12" s="154">
        <f>0</f>
        <v>0</v>
      </c>
      <c r="Y12" s="178">
        <v>8</v>
      </c>
      <c r="Z12" s="154">
        <f>0</f>
        <v>0</v>
      </c>
      <c r="AA12" s="154">
        <f>0</f>
        <v>0</v>
      </c>
      <c r="AB12" s="154">
        <f>0</f>
        <v>0</v>
      </c>
      <c r="AC12" s="154">
        <v>0</v>
      </c>
      <c r="AD12" s="154">
        <f>0</f>
        <v>0</v>
      </c>
      <c r="AE12" s="154">
        <f>0</f>
        <v>0</v>
      </c>
      <c r="AF12" s="154">
        <f>0</f>
        <v>0</v>
      </c>
      <c r="AG12" s="154">
        <f t="shared" si="0"/>
        <v>0</v>
      </c>
      <c r="AH12" s="154">
        <f>0</f>
        <v>0</v>
      </c>
      <c r="AI12" s="154">
        <f>0</f>
        <v>0</v>
      </c>
      <c r="AJ12" s="154">
        <f>0</f>
        <v>0</v>
      </c>
      <c r="AK12" s="168">
        <f>0</f>
        <v>0</v>
      </c>
      <c r="AL12" s="170">
        <f t="shared" si="2"/>
        <v>8</v>
      </c>
      <c r="AM12" s="45">
        <f>0</f>
        <v>0</v>
      </c>
      <c r="AN12" s="151">
        <f t="shared" si="1"/>
        <v>8</v>
      </c>
      <c r="AO12" s="161"/>
      <c r="AP12" s="157" t="s">
        <v>172</v>
      </c>
      <c r="AQ12" s="109"/>
      <c r="AR12" s="158"/>
      <c r="AS12" s="159"/>
      <c r="AT12" s="104"/>
      <c r="AU12" s="105"/>
      <c r="AV12" s="103"/>
      <c r="AW12" s="104"/>
      <c r="AX12" s="102"/>
      <c r="AY12" s="106"/>
      <c r="AZ12" s="107"/>
    </row>
    <row r="13" spans="1:56" ht="27.95" hidden="1" customHeight="1">
      <c r="A13" s="198">
        <v>11</v>
      </c>
      <c r="B13" s="161">
        <v>45022</v>
      </c>
      <c r="C13" s="189"/>
      <c r="D13" s="189"/>
      <c r="E13" s="189"/>
      <c r="F13" s="157" t="s">
        <v>136</v>
      </c>
      <c r="G13" s="242" t="s">
        <v>156</v>
      </c>
      <c r="H13" s="243" t="s">
        <v>141</v>
      </c>
      <c r="I13" s="266" t="s">
        <v>155</v>
      </c>
      <c r="J13" s="242" t="s">
        <v>158</v>
      </c>
      <c r="K13" s="267">
        <v>471151</v>
      </c>
      <c r="L13" s="101" t="s">
        <v>152</v>
      </c>
      <c r="M13" s="97" t="s">
        <v>80</v>
      </c>
      <c r="N13" s="97" t="s">
        <v>80</v>
      </c>
      <c r="O13" s="97" t="s">
        <v>144</v>
      </c>
      <c r="P13" s="98" t="s">
        <v>159</v>
      </c>
      <c r="Q13" s="244"/>
      <c r="R13" s="165">
        <f>0</f>
        <v>0</v>
      </c>
      <c r="S13" s="154">
        <f>0</f>
        <v>0</v>
      </c>
      <c r="T13" s="154">
        <f>0</f>
        <v>0</v>
      </c>
      <c r="U13" s="154">
        <f>0</f>
        <v>0</v>
      </c>
      <c r="V13" s="154">
        <f>0</f>
        <v>0</v>
      </c>
      <c r="W13" s="154">
        <v>0</v>
      </c>
      <c r="X13" s="154">
        <v>0</v>
      </c>
      <c r="Y13" s="178">
        <v>1</v>
      </c>
      <c r="Z13" s="154">
        <f>0</f>
        <v>0</v>
      </c>
      <c r="AA13" s="154">
        <f>0</f>
        <v>0</v>
      </c>
      <c r="AB13" s="154">
        <f>0</f>
        <v>0</v>
      </c>
      <c r="AC13" s="154">
        <v>0</v>
      </c>
      <c r="AD13" s="154">
        <f>0</f>
        <v>0</v>
      </c>
      <c r="AE13" s="154">
        <f>0</f>
        <v>0</v>
      </c>
      <c r="AF13" s="154">
        <f>0</f>
        <v>0</v>
      </c>
      <c r="AG13" s="154">
        <f t="shared" ref="AG13:AG21" si="3">AE13-AF13</f>
        <v>0</v>
      </c>
      <c r="AH13" s="154">
        <f>0</f>
        <v>0</v>
      </c>
      <c r="AI13" s="154">
        <f>0</f>
        <v>0</v>
      </c>
      <c r="AJ13" s="154">
        <f>0</f>
        <v>0</v>
      </c>
      <c r="AK13" s="168">
        <f>0</f>
        <v>0</v>
      </c>
      <c r="AL13" s="170">
        <f t="shared" si="2"/>
        <v>1</v>
      </c>
      <c r="AM13" s="45">
        <f>0</f>
        <v>0</v>
      </c>
      <c r="AN13" s="151">
        <f t="shared" ref="AN13:AN21" si="4">AL13-AM13</f>
        <v>1</v>
      </c>
      <c r="AO13" s="245"/>
      <c r="AP13" s="157" t="s">
        <v>172</v>
      </c>
      <c r="AQ13" s="270"/>
      <c r="AR13" s="247"/>
      <c r="AS13" s="246"/>
      <c r="AT13" s="185"/>
      <c r="AU13" s="185"/>
      <c r="AV13" s="246"/>
      <c r="AW13" s="185"/>
      <c r="AX13" s="186"/>
      <c r="AY13" s="186"/>
      <c r="AZ13" s="251"/>
    </row>
    <row r="14" spans="1:56" ht="27.95" hidden="1" customHeight="1">
      <c r="A14" s="198">
        <v>12</v>
      </c>
      <c r="B14" s="199">
        <v>45022</v>
      </c>
      <c r="C14" s="190"/>
      <c r="D14" s="190"/>
      <c r="E14" s="190"/>
      <c r="F14" s="191" t="s">
        <v>160</v>
      </c>
      <c r="G14" s="242" t="s">
        <v>161</v>
      </c>
      <c r="H14" s="243" t="s">
        <v>141</v>
      </c>
      <c r="I14" s="266" t="s">
        <v>163</v>
      </c>
      <c r="J14" s="242" t="s">
        <v>161</v>
      </c>
      <c r="K14" s="242" t="s">
        <v>161</v>
      </c>
      <c r="L14" s="267" t="s">
        <v>164</v>
      </c>
      <c r="M14" s="97" t="s">
        <v>80</v>
      </c>
      <c r="N14" s="97" t="s">
        <v>80</v>
      </c>
      <c r="O14" s="97" t="s">
        <v>144</v>
      </c>
      <c r="P14" s="269" t="s">
        <v>166</v>
      </c>
      <c r="Q14" s="244"/>
      <c r="R14" s="165">
        <f>0</f>
        <v>0</v>
      </c>
      <c r="S14" s="154">
        <f>0</f>
        <v>0</v>
      </c>
      <c r="T14" s="178">
        <v>1</v>
      </c>
      <c r="U14" s="178">
        <v>1</v>
      </c>
      <c r="V14" s="178">
        <v>1</v>
      </c>
      <c r="W14" s="154">
        <v>0</v>
      </c>
      <c r="X14" s="154">
        <v>0</v>
      </c>
      <c r="Y14" s="154">
        <v>0</v>
      </c>
      <c r="Z14" s="154">
        <v>0</v>
      </c>
      <c r="AA14" s="154">
        <v>0</v>
      </c>
      <c r="AB14" s="154">
        <v>0</v>
      </c>
      <c r="AC14" s="154">
        <v>0</v>
      </c>
      <c r="AD14" s="154">
        <v>0</v>
      </c>
      <c r="AE14" s="154">
        <f>0</f>
        <v>0</v>
      </c>
      <c r="AF14" s="154">
        <f>0</f>
        <v>0</v>
      </c>
      <c r="AG14" s="154">
        <f t="shared" si="3"/>
        <v>0</v>
      </c>
      <c r="AH14" s="154">
        <f>0</f>
        <v>0</v>
      </c>
      <c r="AI14" s="154">
        <f>0</f>
        <v>0</v>
      </c>
      <c r="AJ14" s="154">
        <f>0</f>
        <v>0</v>
      </c>
      <c r="AK14" s="168">
        <f>0</f>
        <v>0</v>
      </c>
      <c r="AL14" s="170">
        <f t="shared" si="2"/>
        <v>3</v>
      </c>
      <c r="AM14" s="45">
        <f>0</f>
        <v>0</v>
      </c>
      <c r="AN14" s="151">
        <f t="shared" si="4"/>
        <v>3</v>
      </c>
      <c r="AO14" s="245"/>
      <c r="AP14" s="246" t="s">
        <v>172</v>
      </c>
      <c r="AQ14" s="270"/>
      <c r="AR14" s="247"/>
      <c r="AS14" s="246"/>
      <c r="AT14" s="195"/>
      <c r="AU14" s="195"/>
      <c r="AV14" s="246"/>
      <c r="AW14" s="195"/>
      <c r="AX14" s="196"/>
      <c r="AY14" s="196"/>
      <c r="AZ14" s="251"/>
    </row>
    <row r="15" spans="1:56" s="300" customFormat="1" ht="27.95" hidden="1" customHeight="1">
      <c r="A15" s="307"/>
      <c r="B15" s="308"/>
      <c r="C15" s="301"/>
      <c r="D15" s="302"/>
      <c r="E15" s="302"/>
      <c r="F15" s="309"/>
      <c r="G15" s="310"/>
      <c r="H15" s="311"/>
      <c r="I15" s="312" t="s">
        <v>413</v>
      </c>
      <c r="J15" s="310"/>
      <c r="K15" s="313"/>
      <c r="L15" s="267" t="s">
        <v>164</v>
      </c>
      <c r="M15" s="303"/>
      <c r="N15" s="303"/>
      <c r="O15" s="303"/>
      <c r="P15" s="304"/>
      <c r="Q15" s="314"/>
      <c r="R15" s="315"/>
      <c r="S15" s="316"/>
      <c r="T15" s="290">
        <v>1</v>
      </c>
      <c r="U15" s="290">
        <v>1</v>
      </c>
      <c r="V15" s="290">
        <v>1</v>
      </c>
      <c r="W15" s="316"/>
      <c r="X15" s="316">
        <v>1</v>
      </c>
      <c r="Y15" s="316"/>
      <c r="Z15" s="305"/>
      <c r="AA15" s="305"/>
      <c r="AB15" s="305"/>
      <c r="AC15" s="305"/>
      <c r="AD15" s="305"/>
      <c r="AE15" s="305">
        <f>0</f>
        <v>0</v>
      </c>
      <c r="AF15" s="305">
        <f>0</f>
        <v>0</v>
      </c>
      <c r="AG15" s="305">
        <f>AE15-AF15</f>
        <v>0</v>
      </c>
      <c r="AH15" s="305">
        <f>0</f>
        <v>0</v>
      </c>
      <c r="AI15" s="305">
        <f>0</f>
        <v>0</v>
      </c>
      <c r="AJ15" s="305">
        <f>0</f>
        <v>0</v>
      </c>
      <c r="AK15" s="306">
        <f>0</f>
        <v>0</v>
      </c>
      <c r="AL15" s="291">
        <f>SUM(R15:AK15)</f>
        <v>4</v>
      </c>
      <c r="AM15" s="292">
        <f>0</f>
        <v>0</v>
      </c>
      <c r="AN15" s="293">
        <f>AL15-AM15</f>
        <v>4</v>
      </c>
      <c r="AO15" s="317"/>
      <c r="AP15" s="296" t="s">
        <v>172</v>
      </c>
      <c r="AQ15" s="318"/>
      <c r="AR15" s="319"/>
      <c r="AS15" s="320"/>
      <c r="AT15" s="321"/>
      <c r="AU15" s="321"/>
      <c r="AV15" s="320"/>
      <c r="AW15" s="321"/>
      <c r="AX15" s="322"/>
      <c r="AY15" s="322"/>
      <c r="AZ15" s="323"/>
    </row>
    <row r="16" spans="1:56" s="300" customFormat="1" ht="27.95" hidden="1" customHeight="1">
      <c r="A16" s="307"/>
      <c r="B16" s="308"/>
      <c r="C16" s="301"/>
      <c r="D16" s="302"/>
      <c r="E16" s="302"/>
      <c r="F16" s="309"/>
      <c r="G16" s="310"/>
      <c r="H16" s="311"/>
      <c r="I16" s="312" t="s">
        <v>414</v>
      </c>
      <c r="J16" s="310"/>
      <c r="K16" s="313"/>
      <c r="L16" s="267" t="s">
        <v>164</v>
      </c>
      <c r="M16" s="303"/>
      <c r="N16" s="303"/>
      <c r="O16" s="303"/>
      <c r="P16" s="304"/>
      <c r="Q16" s="314"/>
      <c r="R16" s="315"/>
      <c r="S16" s="316"/>
      <c r="T16" s="290">
        <v>1</v>
      </c>
      <c r="U16" s="290">
        <v>1</v>
      </c>
      <c r="V16" s="290">
        <v>1</v>
      </c>
      <c r="W16" s="316"/>
      <c r="X16" s="316">
        <v>1</v>
      </c>
      <c r="Y16" s="316"/>
      <c r="Z16" s="305"/>
      <c r="AA16" s="305"/>
      <c r="AB16" s="305"/>
      <c r="AC16" s="305"/>
      <c r="AD16" s="305"/>
      <c r="AE16" s="305">
        <f>0</f>
        <v>0</v>
      </c>
      <c r="AF16" s="305">
        <f>0</f>
        <v>0</v>
      </c>
      <c r="AG16" s="305">
        <f>AE16-AF16</f>
        <v>0</v>
      </c>
      <c r="AH16" s="305">
        <f>0</f>
        <v>0</v>
      </c>
      <c r="AI16" s="305">
        <f>0</f>
        <v>0</v>
      </c>
      <c r="AJ16" s="305">
        <f>0</f>
        <v>0</v>
      </c>
      <c r="AK16" s="306">
        <f>0</f>
        <v>0</v>
      </c>
      <c r="AL16" s="291">
        <f>SUM(R16:AK16)</f>
        <v>4</v>
      </c>
      <c r="AM16" s="292">
        <f>0</f>
        <v>0</v>
      </c>
      <c r="AN16" s="293">
        <f>AL16-AM16</f>
        <v>4</v>
      </c>
      <c r="AO16" s="317"/>
      <c r="AP16" s="296" t="s">
        <v>172</v>
      </c>
      <c r="AQ16" s="318"/>
      <c r="AR16" s="319"/>
      <c r="AS16" s="320"/>
      <c r="AT16" s="321"/>
      <c r="AU16" s="321"/>
      <c r="AV16" s="320"/>
      <c r="AW16" s="321"/>
      <c r="AX16" s="322"/>
      <c r="AY16" s="322"/>
      <c r="AZ16" s="323"/>
    </row>
    <row r="17" spans="1:55" ht="27.95" hidden="1" customHeight="1">
      <c r="A17" s="198">
        <v>13</v>
      </c>
      <c r="B17" s="199">
        <v>45022</v>
      </c>
      <c r="C17" s="190"/>
      <c r="D17" s="190"/>
      <c r="E17" s="190"/>
      <c r="F17" s="191" t="s">
        <v>160</v>
      </c>
      <c r="G17" s="242" t="s">
        <v>162</v>
      </c>
      <c r="H17" s="243" t="s">
        <v>141</v>
      </c>
      <c r="I17" s="266" t="s">
        <v>163</v>
      </c>
      <c r="J17" s="242" t="s">
        <v>162</v>
      </c>
      <c r="K17" s="242" t="s">
        <v>162</v>
      </c>
      <c r="L17" s="267" t="s">
        <v>164</v>
      </c>
      <c r="M17" s="97" t="s">
        <v>80</v>
      </c>
      <c r="N17" s="97" t="s">
        <v>80</v>
      </c>
      <c r="O17" s="97" t="s">
        <v>144</v>
      </c>
      <c r="P17" s="269" t="s">
        <v>165</v>
      </c>
      <c r="Q17" s="244"/>
      <c r="R17" s="165">
        <f>0</f>
        <v>0</v>
      </c>
      <c r="S17" s="154">
        <f>0</f>
        <v>0</v>
      </c>
      <c r="T17" s="154">
        <f>0</f>
        <v>0</v>
      </c>
      <c r="U17" s="154">
        <f>0</f>
        <v>0</v>
      </c>
      <c r="V17" s="154">
        <f>0</f>
        <v>0</v>
      </c>
      <c r="W17" s="154">
        <f>0</f>
        <v>0</v>
      </c>
      <c r="X17" s="178">
        <v>1</v>
      </c>
      <c r="Y17" s="154">
        <f>0</f>
        <v>0</v>
      </c>
      <c r="Z17" s="154">
        <f>0</f>
        <v>0</v>
      </c>
      <c r="AA17" s="154">
        <f>0</f>
        <v>0</v>
      </c>
      <c r="AB17" s="154">
        <f>0</f>
        <v>0</v>
      </c>
      <c r="AC17" s="154">
        <f>0</f>
        <v>0</v>
      </c>
      <c r="AD17" s="154">
        <f>0</f>
        <v>0</v>
      </c>
      <c r="AE17" s="154">
        <f>0</f>
        <v>0</v>
      </c>
      <c r="AF17" s="154">
        <f>0</f>
        <v>0</v>
      </c>
      <c r="AG17" s="154">
        <f t="shared" si="3"/>
        <v>0</v>
      </c>
      <c r="AH17" s="154">
        <f>0</f>
        <v>0</v>
      </c>
      <c r="AI17" s="154">
        <f>0</f>
        <v>0</v>
      </c>
      <c r="AJ17" s="154">
        <f>0</f>
        <v>0</v>
      </c>
      <c r="AK17" s="168">
        <f>0</f>
        <v>0</v>
      </c>
      <c r="AL17" s="170">
        <f t="shared" si="2"/>
        <v>1</v>
      </c>
      <c r="AM17" s="45">
        <f>0</f>
        <v>0</v>
      </c>
      <c r="AN17" s="151">
        <f t="shared" si="4"/>
        <v>1</v>
      </c>
      <c r="AO17" s="245"/>
      <c r="AP17" s="246" t="s">
        <v>172</v>
      </c>
      <c r="AQ17" s="270"/>
      <c r="AR17" s="247"/>
      <c r="AS17" s="246"/>
      <c r="AT17" s="195"/>
      <c r="AU17" s="195"/>
      <c r="AV17" s="246"/>
      <c r="AW17" s="195"/>
      <c r="AX17" s="196"/>
      <c r="AY17" s="196"/>
      <c r="AZ17" s="251"/>
    </row>
    <row r="18" spans="1:55" ht="27.95" hidden="1" customHeight="1">
      <c r="A18" s="198">
        <v>14</v>
      </c>
      <c r="B18" s="199">
        <v>45022</v>
      </c>
      <c r="C18" s="252"/>
      <c r="D18" s="252"/>
      <c r="E18" s="252"/>
      <c r="F18" s="191" t="s">
        <v>160</v>
      </c>
      <c r="G18" s="401" t="s">
        <v>540</v>
      </c>
      <c r="H18" s="243" t="s">
        <v>141</v>
      </c>
      <c r="I18" s="177" t="s">
        <v>167</v>
      </c>
      <c r="J18" s="242" t="s">
        <v>540</v>
      </c>
      <c r="K18" s="242" t="s">
        <v>540</v>
      </c>
      <c r="L18" s="101" t="s">
        <v>138</v>
      </c>
      <c r="M18" s="97" t="s">
        <v>80</v>
      </c>
      <c r="N18" s="97" t="s">
        <v>80</v>
      </c>
      <c r="O18" s="97" t="s">
        <v>144</v>
      </c>
      <c r="P18" s="98" t="s">
        <v>168</v>
      </c>
      <c r="Q18" s="244"/>
      <c r="R18" s="369">
        <f>0</f>
        <v>0</v>
      </c>
      <c r="S18" s="370">
        <f>0</f>
        <v>0</v>
      </c>
      <c r="T18" s="371">
        <v>2</v>
      </c>
      <c r="U18" s="371">
        <v>2</v>
      </c>
      <c r="V18" s="371">
        <v>2</v>
      </c>
      <c r="W18" s="370">
        <f>0</f>
        <v>0</v>
      </c>
      <c r="X18" s="370">
        <f>0</f>
        <v>0</v>
      </c>
      <c r="Y18" s="370">
        <f>0</f>
        <v>0</v>
      </c>
      <c r="Z18" s="370">
        <f>0</f>
        <v>0</v>
      </c>
      <c r="AA18" s="370">
        <f>0</f>
        <v>0</v>
      </c>
      <c r="AB18" s="370">
        <f>0</f>
        <v>0</v>
      </c>
      <c r="AC18" s="370">
        <f>0</f>
        <v>0</v>
      </c>
      <c r="AD18" s="370">
        <f>0</f>
        <v>0</v>
      </c>
      <c r="AE18" s="370">
        <f>0</f>
        <v>0</v>
      </c>
      <c r="AF18" s="370">
        <f>0</f>
        <v>0</v>
      </c>
      <c r="AG18" s="370">
        <f t="shared" si="3"/>
        <v>0</v>
      </c>
      <c r="AH18" s="370">
        <f>0</f>
        <v>0</v>
      </c>
      <c r="AI18" s="370">
        <f>0</f>
        <v>0</v>
      </c>
      <c r="AJ18" s="370">
        <f>0</f>
        <v>0</v>
      </c>
      <c r="AK18" s="372">
        <f>0</f>
        <v>0</v>
      </c>
      <c r="AL18" s="373">
        <f t="shared" si="2"/>
        <v>6</v>
      </c>
      <c r="AM18" s="45">
        <f>0</f>
        <v>0</v>
      </c>
      <c r="AN18" s="374">
        <f t="shared" si="4"/>
        <v>6</v>
      </c>
      <c r="AO18" s="108">
        <v>45090</v>
      </c>
      <c r="AP18" s="103" t="s">
        <v>410</v>
      </c>
      <c r="AQ18" s="109" t="s">
        <v>553</v>
      </c>
      <c r="AR18" s="279"/>
      <c r="AS18" s="159" t="s">
        <v>562</v>
      </c>
      <c r="AT18" s="185"/>
      <c r="AU18" s="185"/>
      <c r="AV18" s="277"/>
      <c r="AW18" s="185"/>
      <c r="AX18" s="186"/>
      <c r="AY18" s="186"/>
      <c r="AZ18" s="283"/>
    </row>
    <row r="19" spans="1:55" s="221" customFormat="1" ht="27.95" hidden="1" customHeight="1">
      <c r="A19" s="198">
        <v>15</v>
      </c>
      <c r="B19" s="226">
        <v>45039</v>
      </c>
      <c r="C19" s="189"/>
      <c r="D19" s="189"/>
      <c r="E19" s="189"/>
      <c r="F19" s="223" t="s">
        <v>172</v>
      </c>
      <c r="G19" s="230"/>
      <c r="H19" s="231"/>
      <c r="I19" s="268" t="s">
        <v>177</v>
      </c>
      <c r="J19" s="232"/>
      <c r="K19" s="268"/>
      <c r="L19" s="232"/>
      <c r="M19" s="232"/>
      <c r="N19" s="268"/>
      <c r="O19" s="268" t="s">
        <v>176</v>
      </c>
      <c r="P19" s="269"/>
      <c r="Q19" s="244"/>
      <c r="R19" s="284">
        <v>8</v>
      </c>
      <c r="S19" s="154">
        <f>0</f>
        <v>0</v>
      </c>
      <c r="T19" s="154">
        <f>0</f>
        <v>0</v>
      </c>
      <c r="U19" s="154">
        <f>0</f>
        <v>0</v>
      </c>
      <c r="V19" s="154">
        <f>0</f>
        <v>0</v>
      </c>
      <c r="W19" s="154">
        <f>0</f>
        <v>0</v>
      </c>
      <c r="X19" s="154">
        <f>0</f>
        <v>0</v>
      </c>
      <c r="Y19" s="154">
        <f>0</f>
        <v>0</v>
      </c>
      <c r="Z19" s="154">
        <f>0</f>
        <v>0</v>
      </c>
      <c r="AA19" s="154">
        <f>0</f>
        <v>0</v>
      </c>
      <c r="AB19" s="154">
        <f>0</f>
        <v>0</v>
      </c>
      <c r="AC19" s="154">
        <f>0</f>
        <v>0</v>
      </c>
      <c r="AD19" s="154">
        <f>0</f>
        <v>0</v>
      </c>
      <c r="AE19" s="154">
        <f>0</f>
        <v>0</v>
      </c>
      <c r="AF19" s="154">
        <f>0</f>
        <v>0</v>
      </c>
      <c r="AG19" s="154">
        <f t="shared" si="3"/>
        <v>0</v>
      </c>
      <c r="AH19" s="154">
        <f>0</f>
        <v>0</v>
      </c>
      <c r="AI19" s="154">
        <f>0</f>
        <v>0</v>
      </c>
      <c r="AJ19" s="154">
        <f>0</f>
        <v>0</v>
      </c>
      <c r="AK19" s="168">
        <f>0</f>
        <v>0</v>
      </c>
      <c r="AL19" s="170">
        <f t="shared" si="2"/>
        <v>8</v>
      </c>
      <c r="AM19" s="45"/>
      <c r="AN19" s="151">
        <f t="shared" si="4"/>
        <v>8</v>
      </c>
      <c r="AO19" s="228">
        <v>44996</v>
      </c>
      <c r="AP19" s="229" t="s">
        <v>172</v>
      </c>
      <c r="AQ19" s="270"/>
      <c r="AR19" s="247"/>
      <c r="AS19" s="246"/>
      <c r="AT19" s="185"/>
      <c r="AU19" s="185"/>
      <c r="AV19" s="246"/>
      <c r="AW19" s="185"/>
      <c r="AX19" s="186"/>
      <c r="AY19" s="186"/>
      <c r="AZ19" s="251"/>
      <c r="BA19" s="10"/>
      <c r="BB19" s="10"/>
      <c r="BC19" s="10"/>
    </row>
    <row r="20" spans="1:55" s="221" customFormat="1" ht="27.95" hidden="1" customHeight="1">
      <c r="A20" s="198">
        <v>16</v>
      </c>
      <c r="B20" s="226">
        <v>45039</v>
      </c>
      <c r="C20" s="189"/>
      <c r="D20" s="189"/>
      <c r="E20" s="189"/>
      <c r="F20" s="223" t="s">
        <v>172</v>
      </c>
      <c r="G20" s="230"/>
      <c r="H20" s="231"/>
      <c r="I20" s="268" t="s">
        <v>174</v>
      </c>
      <c r="J20" s="268" t="s">
        <v>175</v>
      </c>
      <c r="K20" s="268"/>
      <c r="L20" s="232"/>
      <c r="M20" s="232"/>
      <c r="N20" s="268"/>
      <c r="O20" s="268" t="s">
        <v>176</v>
      </c>
      <c r="P20" s="269"/>
      <c r="Q20" s="244"/>
      <c r="R20" s="284">
        <v>8</v>
      </c>
      <c r="S20" s="154">
        <f>0</f>
        <v>0</v>
      </c>
      <c r="T20" s="154">
        <f>0</f>
        <v>0</v>
      </c>
      <c r="U20" s="154">
        <f>0</f>
        <v>0</v>
      </c>
      <c r="V20" s="154">
        <f>0</f>
        <v>0</v>
      </c>
      <c r="W20" s="154">
        <f>0</f>
        <v>0</v>
      </c>
      <c r="X20" s="154">
        <f>0</f>
        <v>0</v>
      </c>
      <c r="Y20" s="154">
        <f>0</f>
        <v>0</v>
      </c>
      <c r="Z20" s="154">
        <f>0</f>
        <v>0</v>
      </c>
      <c r="AA20" s="154">
        <f>0</f>
        <v>0</v>
      </c>
      <c r="AB20" s="154">
        <f>0</f>
        <v>0</v>
      </c>
      <c r="AC20" s="154">
        <f>0</f>
        <v>0</v>
      </c>
      <c r="AD20" s="154">
        <f>0</f>
        <v>0</v>
      </c>
      <c r="AE20" s="154">
        <f>0</f>
        <v>0</v>
      </c>
      <c r="AF20" s="154">
        <f>0</f>
        <v>0</v>
      </c>
      <c r="AG20" s="154">
        <f t="shared" si="3"/>
        <v>0</v>
      </c>
      <c r="AH20" s="154">
        <f>0</f>
        <v>0</v>
      </c>
      <c r="AI20" s="154">
        <f>0</f>
        <v>0</v>
      </c>
      <c r="AJ20" s="154">
        <f>0</f>
        <v>0</v>
      </c>
      <c r="AK20" s="168">
        <f>0</f>
        <v>0</v>
      </c>
      <c r="AL20" s="170">
        <f t="shared" si="2"/>
        <v>8</v>
      </c>
      <c r="AM20" s="45"/>
      <c r="AN20" s="151">
        <f t="shared" si="4"/>
        <v>8</v>
      </c>
      <c r="AO20" s="228">
        <v>44996</v>
      </c>
      <c r="AP20" s="229" t="s">
        <v>172</v>
      </c>
      <c r="AQ20" s="270"/>
      <c r="AR20" s="247"/>
      <c r="AS20" s="246"/>
      <c r="AT20" s="185"/>
      <c r="AU20" s="185"/>
      <c r="AV20" s="246"/>
      <c r="AW20" s="185"/>
      <c r="AX20" s="186"/>
      <c r="AY20" s="186"/>
      <c r="AZ20" s="251"/>
      <c r="BA20" s="10"/>
      <c r="BB20" s="10"/>
      <c r="BC20" s="10"/>
    </row>
    <row r="21" spans="1:55" s="221" customFormat="1" ht="27.95" hidden="1" customHeight="1">
      <c r="A21" s="253">
        <v>17</v>
      </c>
      <c r="B21" s="254">
        <v>45039</v>
      </c>
      <c r="C21" s="189"/>
      <c r="D21" s="189"/>
      <c r="E21" s="189"/>
      <c r="F21" s="213" t="s">
        <v>172</v>
      </c>
      <c r="G21" s="214"/>
      <c r="H21" s="215"/>
      <c r="I21" s="201" t="s">
        <v>174</v>
      </c>
      <c r="J21" s="201" t="s">
        <v>189</v>
      </c>
      <c r="K21" s="201"/>
      <c r="L21" s="201"/>
      <c r="M21" s="201"/>
      <c r="N21" s="201"/>
      <c r="O21" s="201" t="s">
        <v>176</v>
      </c>
      <c r="P21" s="202"/>
      <c r="Q21" s="216"/>
      <c r="R21" s="284">
        <v>8</v>
      </c>
      <c r="S21" s="154">
        <f>0</f>
        <v>0</v>
      </c>
      <c r="T21" s="154">
        <f>0</f>
        <v>0</v>
      </c>
      <c r="U21" s="154">
        <f>0</f>
        <v>0</v>
      </c>
      <c r="V21" s="154">
        <f>0</f>
        <v>0</v>
      </c>
      <c r="W21" s="154">
        <f>0</f>
        <v>0</v>
      </c>
      <c r="X21" s="154">
        <f>0</f>
        <v>0</v>
      </c>
      <c r="Y21" s="154">
        <f>0</f>
        <v>0</v>
      </c>
      <c r="Z21" s="154">
        <f>0</f>
        <v>0</v>
      </c>
      <c r="AA21" s="154">
        <f>0</f>
        <v>0</v>
      </c>
      <c r="AB21" s="154">
        <f>0</f>
        <v>0</v>
      </c>
      <c r="AC21" s="154">
        <f>0</f>
        <v>0</v>
      </c>
      <c r="AD21" s="154">
        <f>0</f>
        <v>0</v>
      </c>
      <c r="AE21" s="154">
        <f>0</f>
        <v>0</v>
      </c>
      <c r="AF21" s="154">
        <f>0</f>
        <v>0</v>
      </c>
      <c r="AG21" s="154">
        <f t="shared" si="3"/>
        <v>0</v>
      </c>
      <c r="AH21" s="154">
        <f>0</f>
        <v>0</v>
      </c>
      <c r="AI21" s="154">
        <f>0</f>
        <v>0</v>
      </c>
      <c r="AJ21" s="154">
        <f>0</f>
        <v>0</v>
      </c>
      <c r="AK21" s="168">
        <f>0</f>
        <v>0</v>
      </c>
      <c r="AL21" s="170">
        <f t="shared" si="2"/>
        <v>8</v>
      </c>
      <c r="AM21" s="45">
        <v>6</v>
      </c>
      <c r="AN21" s="151">
        <f t="shared" si="4"/>
        <v>2</v>
      </c>
      <c r="AO21" s="203">
        <v>44996</v>
      </c>
      <c r="AP21" s="204" t="s">
        <v>172</v>
      </c>
      <c r="AQ21" s="205" t="s">
        <v>173</v>
      </c>
      <c r="AR21" s="234"/>
      <c r="AS21" s="233"/>
      <c r="AT21" s="218"/>
      <c r="AU21" s="218"/>
      <c r="AV21" s="217"/>
      <c r="AW21" s="218"/>
      <c r="AX21" s="219"/>
      <c r="AY21" s="219"/>
      <c r="AZ21" s="220"/>
    </row>
    <row r="22" spans="1:55" ht="27.95" hidden="1" customHeight="1">
      <c r="A22" s="198">
        <v>18</v>
      </c>
      <c r="B22" s="226">
        <v>45055</v>
      </c>
      <c r="C22" s="189"/>
      <c r="D22" s="189"/>
      <c r="E22" s="189"/>
      <c r="F22" s="223" t="s">
        <v>196</v>
      </c>
      <c r="G22" s="263" t="s">
        <v>190</v>
      </c>
      <c r="H22" s="242" t="s">
        <v>191</v>
      </c>
      <c r="I22" s="324" t="s">
        <v>192</v>
      </c>
      <c r="J22" s="242" t="s">
        <v>190</v>
      </c>
      <c r="K22" s="242" t="s">
        <v>190</v>
      </c>
      <c r="L22" s="242" t="s">
        <v>193</v>
      </c>
      <c r="M22" s="242" t="s">
        <v>194</v>
      </c>
      <c r="N22" s="242" t="s">
        <v>80</v>
      </c>
      <c r="O22" s="230" t="s">
        <v>80</v>
      </c>
      <c r="P22" s="242" t="s">
        <v>80</v>
      </c>
      <c r="Q22" s="242" t="s">
        <v>80</v>
      </c>
      <c r="R22" s="165">
        <f>0</f>
        <v>0</v>
      </c>
      <c r="S22" s="154">
        <f>0</f>
        <v>0</v>
      </c>
      <c r="T22" s="154">
        <f>0</f>
        <v>0</v>
      </c>
      <c r="U22" s="178">
        <v>3</v>
      </c>
      <c r="V22" s="178">
        <v>3</v>
      </c>
      <c r="W22" s="178">
        <v>3</v>
      </c>
      <c r="X22" s="154">
        <f>0</f>
        <v>0</v>
      </c>
      <c r="Y22" s="154">
        <f>0</f>
        <v>0</v>
      </c>
      <c r="Z22" s="154">
        <f>0</f>
        <v>0</v>
      </c>
      <c r="AA22" s="154">
        <f>0</f>
        <v>0</v>
      </c>
      <c r="AB22" s="154">
        <f>0</f>
        <v>0</v>
      </c>
      <c r="AC22" s="154">
        <f>0</f>
        <v>0</v>
      </c>
      <c r="AD22" s="154">
        <f>0</f>
        <v>0</v>
      </c>
      <c r="AE22" s="154">
        <f>0</f>
        <v>0</v>
      </c>
      <c r="AF22" s="154">
        <f>0</f>
        <v>0</v>
      </c>
      <c r="AG22" s="154">
        <f t="shared" ref="AG22:AG38" si="5">AE22-AF22</f>
        <v>0</v>
      </c>
      <c r="AH22" s="154">
        <f>0</f>
        <v>0</v>
      </c>
      <c r="AI22" s="154">
        <f>0</f>
        <v>0</v>
      </c>
      <c r="AJ22" s="154">
        <f>0</f>
        <v>0</v>
      </c>
      <c r="AK22" s="168">
        <f>0</f>
        <v>0</v>
      </c>
      <c r="AL22" s="170">
        <f t="shared" si="2"/>
        <v>9</v>
      </c>
      <c r="AM22" s="45"/>
      <c r="AN22" s="151">
        <f t="shared" ref="AN22:AN38" si="6">AL22-AM22</f>
        <v>9</v>
      </c>
      <c r="AO22" s="245">
        <v>45079</v>
      </c>
      <c r="AP22" s="245" t="s">
        <v>410</v>
      </c>
      <c r="AQ22" s="245" t="s">
        <v>547</v>
      </c>
      <c r="AR22" s="245"/>
      <c r="AS22" s="245"/>
      <c r="AT22" s="245"/>
      <c r="AU22" s="245"/>
      <c r="AV22" s="245"/>
      <c r="AW22" s="245"/>
      <c r="AX22" s="245"/>
      <c r="AY22" s="245"/>
      <c r="AZ22" s="245"/>
    </row>
    <row r="23" spans="1:55" s="221" customFormat="1" ht="27.95" hidden="1" customHeight="1">
      <c r="A23" s="253">
        <v>19</v>
      </c>
      <c r="B23" s="343">
        <v>45055</v>
      </c>
      <c r="C23" s="255"/>
      <c r="D23" s="256"/>
      <c r="E23" s="256"/>
      <c r="F23" s="213" t="s">
        <v>196</v>
      </c>
      <c r="G23" s="214">
        <v>108723</v>
      </c>
      <c r="H23" s="214" t="s">
        <v>191</v>
      </c>
      <c r="I23" s="214" t="s">
        <v>195</v>
      </c>
      <c r="J23" s="214">
        <v>108723</v>
      </c>
      <c r="K23" s="214">
        <v>108723</v>
      </c>
      <c r="L23" s="214" t="s">
        <v>429</v>
      </c>
      <c r="M23" s="242" t="s">
        <v>194</v>
      </c>
      <c r="N23" s="242" t="s">
        <v>80</v>
      </c>
      <c r="O23" s="230" t="s">
        <v>80</v>
      </c>
      <c r="P23" s="242" t="s">
        <v>80</v>
      </c>
      <c r="Q23" s="214" t="s">
        <v>80</v>
      </c>
      <c r="R23" s="330">
        <f>0</f>
        <v>0</v>
      </c>
      <c r="S23" s="331">
        <f>0</f>
        <v>0</v>
      </c>
      <c r="T23" s="331">
        <f>0</f>
        <v>0</v>
      </c>
      <c r="U23" s="332">
        <v>1</v>
      </c>
      <c r="V23" s="332">
        <v>1</v>
      </c>
      <c r="W23" s="332">
        <v>1</v>
      </c>
      <c r="X23" s="331">
        <f>0</f>
        <v>0</v>
      </c>
      <c r="Y23" s="331">
        <f>0</f>
        <v>0</v>
      </c>
      <c r="Z23" s="154">
        <f>0</f>
        <v>0</v>
      </c>
      <c r="AA23" s="154">
        <f>0</f>
        <v>0</v>
      </c>
      <c r="AB23" s="154">
        <f>0</f>
        <v>0</v>
      </c>
      <c r="AC23" s="154">
        <f>0</f>
        <v>0</v>
      </c>
      <c r="AD23" s="154">
        <f>0</f>
        <v>0</v>
      </c>
      <c r="AE23" s="154">
        <f>0</f>
        <v>0</v>
      </c>
      <c r="AF23" s="154">
        <f>0</f>
        <v>0</v>
      </c>
      <c r="AG23" s="154">
        <f t="shared" si="5"/>
        <v>0</v>
      </c>
      <c r="AH23" s="154">
        <f>0</f>
        <v>0</v>
      </c>
      <c r="AI23" s="154">
        <f>0</f>
        <v>0</v>
      </c>
      <c r="AJ23" s="154">
        <f>0</f>
        <v>0</v>
      </c>
      <c r="AK23" s="168">
        <f>0</f>
        <v>0</v>
      </c>
      <c r="AL23" s="334">
        <f t="shared" si="2"/>
        <v>3</v>
      </c>
      <c r="AM23" s="335"/>
      <c r="AN23" s="336">
        <f t="shared" si="6"/>
        <v>3</v>
      </c>
      <c r="AO23" s="344"/>
      <c r="AP23" s="217" t="s">
        <v>410</v>
      </c>
      <c r="AQ23" s="285" t="s">
        <v>99</v>
      </c>
      <c r="AR23" s="344"/>
      <c r="AS23" s="344"/>
      <c r="AT23" s="344"/>
      <c r="AU23" s="344"/>
      <c r="AV23" s="344"/>
      <c r="AW23" s="344"/>
      <c r="AX23" s="344"/>
      <c r="AY23" s="344"/>
      <c r="AZ23" s="344"/>
    </row>
    <row r="24" spans="1:55" s="221" customFormat="1" ht="27.95" hidden="1" customHeight="1">
      <c r="A24" s="253">
        <v>20</v>
      </c>
      <c r="B24" s="343">
        <v>45055</v>
      </c>
      <c r="C24" s="222"/>
      <c r="D24" s="189"/>
      <c r="E24" s="189"/>
      <c r="F24" s="213" t="s">
        <v>196</v>
      </c>
      <c r="G24" s="214" t="s">
        <v>197</v>
      </c>
      <c r="H24" s="215" t="s">
        <v>191</v>
      </c>
      <c r="I24" s="328" t="s">
        <v>198</v>
      </c>
      <c r="J24" s="214" t="s">
        <v>199</v>
      </c>
      <c r="K24" s="275" t="s">
        <v>197</v>
      </c>
      <c r="L24" s="275" t="s">
        <v>424</v>
      </c>
      <c r="M24" s="239" t="s">
        <v>194</v>
      </c>
      <c r="N24" s="239" t="s">
        <v>80</v>
      </c>
      <c r="O24" s="239" t="s">
        <v>80</v>
      </c>
      <c r="P24" s="240" t="s">
        <v>80</v>
      </c>
      <c r="Q24" s="216" t="s">
        <v>205</v>
      </c>
      <c r="R24" s="330">
        <f>0</f>
        <v>0</v>
      </c>
      <c r="S24" s="331">
        <f>0</f>
        <v>0</v>
      </c>
      <c r="T24" s="331">
        <f>0</f>
        <v>0</v>
      </c>
      <c r="U24" s="331">
        <v>1</v>
      </c>
      <c r="V24" s="331">
        <v>1</v>
      </c>
      <c r="W24" s="331">
        <v>1</v>
      </c>
      <c r="X24" s="331">
        <f>0</f>
        <v>0</v>
      </c>
      <c r="Y24" s="332">
        <f>0</f>
        <v>0</v>
      </c>
      <c r="Z24" s="154">
        <f>0</f>
        <v>0</v>
      </c>
      <c r="AA24" s="154">
        <f>0</f>
        <v>0</v>
      </c>
      <c r="AB24" s="154">
        <f>0</f>
        <v>0</v>
      </c>
      <c r="AC24" s="154">
        <f>0</f>
        <v>0</v>
      </c>
      <c r="AD24" s="154">
        <f>0</f>
        <v>0</v>
      </c>
      <c r="AE24" s="154">
        <f>0</f>
        <v>0</v>
      </c>
      <c r="AF24" s="154">
        <f>0</f>
        <v>0</v>
      </c>
      <c r="AG24" s="154">
        <f t="shared" si="5"/>
        <v>0</v>
      </c>
      <c r="AH24" s="154">
        <f>0</f>
        <v>0</v>
      </c>
      <c r="AI24" s="154">
        <f>0</f>
        <v>0</v>
      </c>
      <c r="AJ24" s="154">
        <f>0</f>
        <v>0</v>
      </c>
      <c r="AK24" s="168">
        <f>0</f>
        <v>0</v>
      </c>
      <c r="AL24" s="334">
        <f t="shared" si="2"/>
        <v>3</v>
      </c>
      <c r="AM24" s="335">
        <v>3</v>
      </c>
      <c r="AN24" s="336">
        <f t="shared" si="6"/>
        <v>0</v>
      </c>
      <c r="AO24" s="344"/>
      <c r="AP24" s="344" t="s">
        <v>410</v>
      </c>
      <c r="AQ24" s="344" t="s">
        <v>49</v>
      </c>
      <c r="AR24" s="344"/>
      <c r="AS24" s="344"/>
      <c r="AT24" s="344"/>
      <c r="AU24" s="218"/>
      <c r="AV24" s="338"/>
      <c r="AW24" s="218" t="s">
        <v>411</v>
      </c>
      <c r="AX24" s="219"/>
      <c r="AY24" s="219"/>
      <c r="AZ24" s="342"/>
    </row>
    <row r="25" spans="1:55" ht="27.95" hidden="1" customHeight="1">
      <c r="A25" s="198">
        <v>21</v>
      </c>
      <c r="B25" s="226">
        <v>45055</v>
      </c>
      <c r="C25" s="224"/>
      <c r="D25" s="225"/>
      <c r="E25" s="225"/>
      <c r="F25" s="223" t="s">
        <v>196</v>
      </c>
      <c r="G25" s="235" t="s">
        <v>200</v>
      </c>
      <c r="H25" s="236" t="s">
        <v>191</v>
      </c>
      <c r="I25" s="237" t="s">
        <v>201</v>
      </c>
      <c r="J25" s="235" t="s">
        <v>202</v>
      </c>
      <c r="K25" s="238" t="s">
        <v>200</v>
      </c>
      <c r="L25" s="238" t="s">
        <v>203</v>
      </c>
      <c r="M25" s="239" t="s">
        <v>204</v>
      </c>
      <c r="N25" s="239" t="s">
        <v>80</v>
      </c>
      <c r="O25" s="239" t="s">
        <v>80</v>
      </c>
      <c r="P25" s="240" t="s">
        <v>80</v>
      </c>
      <c r="Q25" s="241" t="s">
        <v>205</v>
      </c>
      <c r="R25" s="165">
        <f>0</f>
        <v>0</v>
      </c>
      <c r="S25" s="154">
        <f>0</f>
        <v>0</v>
      </c>
      <c r="T25" s="154">
        <f>0</f>
        <v>0</v>
      </c>
      <c r="U25" s="154">
        <v>1</v>
      </c>
      <c r="V25" s="154">
        <v>1</v>
      </c>
      <c r="W25" s="154">
        <v>1</v>
      </c>
      <c r="X25" s="154">
        <f>0</f>
        <v>0</v>
      </c>
      <c r="Y25" s="178">
        <f>0</f>
        <v>0</v>
      </c>
      <c r="Z25" s="154">
        <f>0</f>
        <v>0</v>
      </c>
      <c r="AA25" s="154">
        <f>0</f>
        <v>0</v>
      </c>
      <c r="AB25" s="154">
        <f>0</f>
        <v>0</v>
      </c>
      <c r="AC25" s="154">
        <f>0</f>
        <v>0</v>
      </c>
      <c r="AD25" s="154">
        <f>0</f>
        <v>0</v>
      </c>
      <c r="AE25" s="154">
        <f>0</f>
        <v>0</v>
      </c>
      <c r="AF25" s="154">
        <f>0</f>
        <v>0</v>
      </c>
      <c r="AG25" s="154">
        <f t="shared" si="5"/>
        <v>0</v>
      </c>
      <c r="AH25" s="154">
        <f>0</f>
        <v>0</v>
      </c>
      <c r="AI25" s="154">
        <f>0</f>
        <v>0</v>
      </c>
      <c r="AJ25" s="154">
        <f>0</f>
        <v>0</v>
      </c>
      <c r="AK25" s="168">
        <f>0</f>
        <v>0</v>
      </c>
      <c r="AL25" s="170">
        <f t="shared" si="2"/>
        <v>3</v>
      </c>
      <c r="AM25" s="45"/>
      <c r="AN25" s="151">
        <f t="shared" si="6"/>
        <v>3</v>
      </c>
      <c r="AO25" s="193"/>
      <c r="AP25" s="193" t="s">
        <v>425</v>
      </c>
      <c r="AQ25" s="193" t="s">
        <v>426</v>
      </c>
      <c r="AR25" s="193"/>
      <c r="AS25" s="193"/>
      <c r="AT25" s="193"/>
      <c r="AU25" s="185"/>
      <c r="AV25" s="194"/>
      <c r="AW25" s="185"/>
      <c r="AX25" s="186"/>
      <c r="AY25" s="186"/>
      <c r="AZ25" s="197"/>
    </row>
    <row r="26" spans="1:55" ht="27.95" hidden="1" customHeight="1">
      <c r="A26" s="198">
        <v>22</v>
      </c>
      <c r="B26" s="263">
        <v>45058</v>
      </c>
      <c r="C26" s="264"/>
      <c r="D26" s="265"/>
      <c r="E26" s="265"/>
      <c r="F26" s="223" t="s">
        <v>211</v>
      </c>
      <c r="G26" s="242" t="s">
        <v>206</v>
      </c>
      <c r="H26" s="243"/>
      <c r="I26" s="266" t="s">
        <v>207</v>
      </c>
      <c r="J26" s="242" t="s">
        <v>206</v>
      </c>
      <c r="K26" s="267"/>
      <c r="L26" s="267"/>
      <c r="M26" s="268"/>
      <c r="N26" s="268"/>
      <c r="O26" s="268"/>
      <c r="P26" s="269"/>
      <c r="Q26" s="192" t="s">
        <v>210</v>
      </c>
      <c r="R26" s="165">
        <f>0</f>
        <v>0</v>
      </c>
      <c r="S26" s="154">
        <f>0</f>
        <v>0</v>
      </c>
      <c r="T26" s="154">
        <f>0</f>
        <v>0</v>
      </c>
      <c r="U26" s="154">
        <f>0</f>
        <v>0</v>
      </c>
      <c r="V26" s="154">
        <f>0</f>
        <v>0</v>
      </c>
      <c r="W26" s="154">
        <f>0</f>
        <v>0</v>
      </c>
      <c r="X26" s="154">
        <v>2</v>
      </c>
      <c r="Y26" s="178">
        <f>0</f>
        <v>0</v>
      </c>
      <c r="Z26" s="154">
        <f>0</f>
        <v>0</v>
      </c>
      <c r="AA26" s="154">
        <f>0</f>
        <v>0</v>
      </c>
      <c r="AB26" s="154">
        <f>0</f>
        <v>0</v>
      </c>
      <c r="AC26" s="154">
        <f>0</f>
        <v>0</v>
      </c>
      <c r="AD26" s="154">
        <f>0</f>
        <v>0</v>
      </c>
      <c r="AE26" s="154">
        <f>0</f>
        <v>0</v>
      </c>
      <c r="AF26" s="154">
        <f>0</f>
        <v>0</v>
      </c>
      <c r="AG26" s="154">
        <f t="shared" si="5"/>
        <v>0</v>
      </c>
      <c r="AH26" s="154">
        <f>0</f>
        <v>0</v>
      </c>
      <c r="AI26" s="154">
        <f>0</f>
        <v>0</v>
      </c>
      <c r="AJ26" s="154">
        <f>0</f>
        <v>0</v>
      </c>
      <c r="AK26" s="168">
        <f>0</f>
        <v>0</v>
      </c>
      <c r="AL26" s="170">
        <f t="shared" si="2"/>
        <v>2</v>
      </c>
      <c r="AM26" s="45">
        <v>1</v>
      </c>
      <c r="AN26" s="151">
        <f t="shared" si="6"/>
        <v>1</v>
      </c>
      <c r="AO26" s="245"/>
      <c r="AP26" s="246" t="s">
        <v>410</v>
      </c>
      <c r="AQ26" s="270" t="s">
        <v>555</v>
      </c>
      <c r="AR26" s="247"/>
      <c r="AS26" s="246"/>
      <c r="AT26" s="248"/>
      <c r="AU26" s="248"/>
      <c r="AV26" s="246"/>
      <c r="AW26" s="248"/>
      <c r="AX26" s="249"/>
      <c r="AY26" s="249"/>
      <c r="AZ26" s="251"/>
    </row>
    <row r="27" spans="1:55" ht="27.95" hidden="1" customHeight="1">
      <c r="A27" s="198">
        <v>23</v>
      </c>
      <c r="B27" s="263">
        <v>45058</v>
      </c>
      <c r="C27" s="255"/>
      <c r="D27" s="256"/>
      <c r="E27" s="256"/>
      <c r="F27" s="223" t="s">
        <v>211</v>
      </c>
      <c r="G27" s="242" t="s">
        <v>208</v>
      </c>
      <c r="H27" s="243"/>
      <c r="I27" s="266" t="s">
        <v>209</v>
      </c>
      <c r="J27" s="267" t="s">
        <v>208</v>
      </c>
      <c r="K27" s="267"/>
      <c r="L27" s="267"/>
      <c r="M27" s="268"/>
      <c r="N27" s="268"/>
      <c r="O27" s="268"/>
      <c r="P27" s="269"/>
      <c r="Q27" s="244" t="s">
        <v>210</v>
      </c>
      <c r="R27" s="165">
        <f>0</f>
        <v>0</v>
      </c>
      <c r="S27" s="154">
        <f>0</f>
        <v>0</v>
      </c>
      <c r="T27" s="154">
        <f>0</f>
        <v>0</v>
      </c>
      <c r="U27" s="154">
        <f>0</f>
        <v>0</v>
      </c>
      <c r="V27" s="154">
        <f>0</f>
        <v>0</v>
      </c>
      <c r="W27" s="154">
        <f>0</f>
        <v>0</v>
      </c>
      <c r="X27" s="154">
        <v>2</v>
      </c>
      <c r="Y27" s="178">
        <f>0</f>
        <v>0</v>
      </c>
      <c r="Z27" s="154">
        <f>0</f>
        <v>0</v>
      </c>
      <c r="AA27" s="154">
        <f>0</f>
        <v>0</v>
      </c>
      <c r="AB27" s="154">
        <f>0</f>
        <v>0</v>
      </c>
      <c r="AC27" s="154">
        <f>0</f>
        <v>0</v>
      </c>
      <c r="AD27" s="154">
        <f>0</f>
        <v>0</v>
      </c>
      <c r="AE27" s="154">
        <f>0</f>
        <v>0</v>
      </c>
      <c r="AF27" s="154">
        <f>0</f>
        <v>0</v>
      </c>
      <c r="AG27" s="154">
        <f t="shared" si="5"/>
        <v>0</v>
      </c>
      <c r="AH27" s="154">
        <f>0</f>
        <v>0</v>
      </c>
      <c r="AI27" s="154">
        <f>0</f>
        <v>0</v>
      </c>
      <c r="AJ27" s="154">
        <f>0</f>
        <v>0</v>
      </c>
      <c r="AK27" s="168">
        <f>0</f>
        <v>0</v>
      </c>
      <c r="AL27" s="170">
        <f t="shared" si="2"/>
        <v>2</v>
      </c>
      <c r="AM27" s="45"/>
      <c r="AN27" s="151">
        <f t="shared" si="6"/>
        <v>2</v>
      </c>
      <c r="AO27" s="245"/>
      <c r="AP27" s="246" t="s">
        <v>410</v>
      </c>
      <c r="AQ27" s="388" t="s">
        <v>556</v>
      </c>
      <c r="AR27" s="247"/>
      <c r="AS27" s="246"/>
      <c r="AT27" s="248"/>
      <c r="AU27" s="248"/>
      <c r="AV27" s="246"/>
      <c r="AW27" s="248"/>
      <c r="AX27" s="249"/>
      <c r="AY27" s="249"/>
      <c r="AZ27" s="250"/>
    </row>
    <row r="28" spans="1:55" ht="27.95" hidden="1" customHeight="1">
      <c r="A28" s="198">
        <v>24</v>
      </c>
      <c r="B28" s="263">
        <v>45058</v>
      </c>
      <c r="C28" s="255"/>
      <c r="D28" s="256"/>
      <c r="E28" s="256"/>
      <c r="F28" s="223" t="s">
        <v>211</v>
      </c>
      <c r="G28" s="242" t="s">
        <v>212</v>
      </c>
      <c r="H28" s="243" t="s">
        <v>141</v>
      </c>
      <c r="I28" s="266" t="s">
        <v>137</v>
      </c>
      <c r="J28" s="267" t="s">
        <v>213</v>
      </c>
      <c r="K28" s="403" t="s">
        <v>236</v>
      </c>
      <c r="L28" s="267" t="s">
        <v>138</v>
      </c>
      <c r="M28" s="268"/>
      <c r="N28" s="268"/>
      <c r="O28" s="268"/>
      <c r="P28" s="269"/>
      <c r="Q28" s="244" t="s">
        <v>235</v>
      </c>
      <c r="R28" s="165">
        <f>0</f>
        <v>0</v>
      </c>
      <c r="S28" s="154">
        <f>0</f>
        <v>0</v>
      </c>
      <c r="T28" s="154">
        <f>0</f>
        <v>0</v>
      </c>
      <c r="U28" s="154">
        <f>0</f>
        <v>0</v>
      </c>
      <c r="V28" s="154">
        <f>0</f>
        <v>0</v>
      </c>
      <c r="W28" s="154">
        <f>0</f>
        <v>0</v>
      </c>
      <c r="X28" s="154">
        <v>4</v>
      </c>
      <c r="Y28" s="178">
        <f>0</f>
        <v>0</v>
      </c>
      <c r="Z28" s="154">
        <f>0</f>
        <v>0</v>
      </c>
      <c r="AA28" s="154">
        <f>0</f>
        <v>0</v>
      </c>
      <c r="AB28" s="154">
        <f>0</f>
        <v>0</v>
      </c>
      <c r="AC28" s="154">
        <f>0</f>
        <v>0</v>
      </c>
      <c r="AD28" s="154">
        <f>0</f>
        <v>0</v>
      </c>
      <c r="AE28" s="154">
        <f>0</f>
        <v>0</v>
      </c>
      <c r="AF28" s="154">
        <f>0</f>
        <v>0</v>
      </c>
      <c r="AG28" s="154">
        <f t="shared" si="5"/>
        <v>0</v>
      </c>
      <c r="AH28" s="154">
        <f>0</f>
        <v>0</v>
      </c>
      <c r="AI28" s="154">
        <f>0</f>
        <v>0</v>
      </c>
      <c r="AJ28" s="154">
        <f>0</f>
        <v>0</v>
      </c>
      <c r="AK28" s="168">
        <f>0</f>
        <v>0</v>
      </c>
      <c r="AL28" s="170">
        <f t="shared" si="2"/>
        <v>4</v>
      </c>
      <c r="AM28" s="45">
        <v>2</v>
      </c>
      <c r="AN28" s="151">
        <f t="shared" si="6"/>
        <v>2</v>
      </c>
      <c r="AO28" s="108">
        <v>45090</v>
      </c>
      <c r="AP28" s="246" t="s">
        <v>410</v>
      </c>
      <c r="AQ28" s="109" t="s">
        <v>553</v>
      </c>
      <c r="AR28" s="247"/>
      <c r="AS28" s="159" t="s">
        <v>562</v>
      </c>
      <c r="AT28" s="248"/>
      <c r="AU28" s="248"/>
      <c r="AV28" s="246"/>
      <c r="AW28" s="248"/>
      <c r="AX28" s="249"/>
      <c r="AY28" s="249"/>
      <c r="AZ28" s="250"/>
    </row>
    <row r="29" spans="1:55" ht="27.95" hidden="1" customHeight="1">
      <c r="A29" s="198">
        <v>25</v>
      </c>
      <c r="B29" s="263">
        <v>45058</v>
      </c>
      <c r="C29" s="255"/>
      <c r="D29" s="256"/>
      <c r="E29" s="256"/>
      <c r="F29" s="223" t="s">
        <v>211</v>
      </c>
      <c r="G29" s="242" t="s">
        <v>225</v>
      </c>
      <c r="H29" s="243" t="s">
        <v>141</v>
      </c>
      <c r="I29" s="266" t="s">
        <v>226</v>
      </c>
      <c r="J29" s="267"/>
      <c r="K29" s="267" t="s">
        <v>225</v>
      </c>
      <c r="L29" s="267" t="s">
        <v>193</v>
      </c>
      <c r="M29" s="268"/>
      <c r="N29" s="268"/>
      <c r="O29" s="268"/>
      <c r="P29" s="269"/>
      <c r="Q29" s="244"/>
      <c r="R29" s="165">
        <f>0</f>
        <v>0</v>
      </c>
      <c r="S29" s="154">
        <f>0</f>
        <v>0</v>
      </c>
      <c r="T29" s="154">
        <f>0</f>
        <v>0</v>
      </c>
      <c r="U29" s="154">
        <f>0</f>
        <v>0</v>
      </c>
      <c r="V29" s="154">
        <f>0</f>
        <v>0</v>
      </c>
      <c r="W29" s="154">
        <f>0</f>
        <v>0</v>
      </c>
      <c r="X29" s="154">
        <v>4</v>
      </c>
      <c r="Y29" s="178">
        <f>0</f>
        <v>0</v>
      </c>
      <c r="Z29" s="154">
        <f>0</f>
        <v>0</v>
      </c>
      <c r="AA29" s="154">
        <f>0</f>
        <v>0</v>
      </c>
      <c r="AB29" s="154">
        <f>0</f>
        <v>0</v>
      </c>
      <c r="AC29" s="154">
        <f>0</f>
        <v>0</v>
      </c>
      <c r="AD29" s="154">
        <f>0</f>
        <v>0</v>
      </c>
      <c r="AE29" s="154">
        <f>0</f>
        <v>0</v>
      </c>
      <c r="AF29" s="154">
        <f>0</f>
        <v>0</v>
      </c>
      <c r="AG29" s="154">
        <f t="shared" si="5"/>
        <v>0</v>
      </c>
      <c r="AH29" s="154">
        <f>0</f>
        <v>0</v>
      </c>
      <c r="AI29" s="154">
        <f>0</f>
        <v>0</v>
      </c>
      <c r="AJ29" s="154">
        <f>0</f>
        <v>0</v>
      </c>
      <c r="AK29" s="168">
        <f>0</f>
        <v>0</v>
      </c>
      <c r="AL29" s="170">
        <f t="shared" si="2"/>
        <v>4</v>
      </c>
      <c r="AM29" s="45"/>
      <c r="AN29" s="151">
        <f t="shared" si="6"/>
        <v>4</v>
      </c>
      <c r="AO29" s="386">
        <v>45079</v>
      </c>
      <c r="AP29" s="245" t="s">
        <v>410</v>
      </c>
      <c r="AQ29" s="386" t="s">
        <v>547</v>
      </c>
      <c r="AR29" s="247"/>
      <c r="AS29" s="246"/>
      <c r="AT29" s="248"/>
      <c r="AU29" s="248"/>
      <c r="AV29" s="246"/>
      <c r="AW29" s="248"/>
      <c r="AX29" s="249"/>
      <c r="AY29" s="249"/>
      <c r="AZ29" s="250"/>
    </row>
    <row r="30" spans="1:55" ht="27.95" hidden="1" customHeight="1">
      <c r="A30" s="198">
        <v>26</v>
      </c>
      <c r="B30" s="263">
        <v>45058</v>
      </c>
      <c r="C30" s="255"/>
      <c r="D30" s="256"/>
      <c r="E30" s="256"/>
      <c r="F30" s="223" t="s">
        <v>211</v>
      </c>
      <c r="G30" s="242" t="s">
        <v>346</v>
      </c>
      <c r="H30" s="243">
        <v>0</v>
      </c>
      <c r="I30" s="266" t="s">
        <v>415</v>
      </c>
      <c r="J30" s="267"/>
      <c r="K30" s="267" t="s">
        <v>346</v>
      </c>
      <c r="L30" s="267" t="s">
        <v>347</v>
      </c>
      <c r="M30" s="268"/>
      <c r="N30" s="268"/>
      <c r="O30" s="268"/>
      <c r="P30" s="269"/>
      <c r="Q30" s="244"/>
      <c r="R30" s="165">
        <f>0</f>
        <v>0</v>
      </c>
      <c r="S30" s="154">
        <f>0</f>
        <v>0</v>
      </c>
      <c r="T30" s="154">
        <f>0</f>
        <v>0</v>
      </c>
      <c r="U30" s="154">
        <f>0</f>
        <v>0</v>
      </c>
      <c r="V30" s="154">
        <f>0</f>
        <v>0</v>
      </c>
      <c r="W30" s="154">
        <f>0</f>
        <v>0</v>
      </c>
      <c r="X30" s="154">
        <v>8</v>
      </c>
      <c r="Y30" s="178">
        <f>0</f>
        <v>0</v>
      </c>
      <c r="Z30" s="154">
        <f>0</f>
        <v>0</v>
      </c>
      <c r="AA30" s="154">
        <f>0</f>
        <v>0</v>
      </c>
      <c r="AB30" s="154">
        <f>0</f>
        <v>0</v>
      </c>
      <c r="AC30" s="154">
        <f>0</f>
        <v>0</v>
      </c>
      <c r="AD30" s="154">
        <f>0</f>
        <v>0</v>
      </c>
      <c r="AE30" s="154">
        <f>0</f>
        <v>0</v>
      </c>
      <c r="AF30" s="154">
        <f>0</f>
        <v>0</v>
      </c>
      <c r="AG30" s="154">
        <f t="shared" si="5"/>
        <v>0</v>
      </c>
      <c r="AH30" s="154">
        <f>0</f>
        <v>0</v>
      </c>
      <c r="AI30" s="154">
        <f>0</f>
        <v>0</v>
      </c>
      <c r="AJ30" s="154">
        <f>0</f>
        <v>0</v>
      </c>
      <c r="AK30" s="168">
        <f>0</f>
        <v>0</v>
      </c>
      <c r="AL30" s="170">
        <f t="shared" si="2"/>
        <v>8</v>
      </c>
      <c r="AM30" s="45"/>
      <c r="AN30" s="151">
        <f t="shared" si="6"/>
        <v>8</v>
      </c>
      <c r="AO30" s="245"/>
      <c r="AP30" s="246" t="s">
        <v>410</v>
      </c>
      <c r="AQ30" s="274" t="s">
        <v>49</v>
      </c>
      <c r="AR30" s="247"/>
      <c r="AS30" s="246"/>
      <c r="AT30" s="248"/>
      <c r="AU30" s="248"/>
      <c r="AV30" s="246"/>
      <c r="AW30" s="248"/>
      <c r="AX30" s="249"/>
      <c r="AY30" s="249"/>
      <c r="AZ30" s="250"/>
    </row>
    <row r="31" spans="1:55" ht="27.95" hidden="1" customHeight="1">
      <c r="A31" s="198">
        <v>27</v>
      </c>
      <c r="B31" s="263">
        <v>45058</v>
      </c>
      <c r="C31" s="255"/>
      <c r="D31" s="256"/>
      <c r="E31" s="256"/>
      <c r="F31" s="223" t="s">
        <v>211</v>
      </c>
      <c r="G31" s="242" t="s">
        <v>416</v>
      </c>
      <c r="H31" s="243" t="s">
        <v>141</v>
      </c>
      <c r="I31" s="266" t="s">
        <v>416</v>
      </c>
      <c r="J31" s="267"/>
      <c r="K31" s="267" t="s">
        <v>214</v>
      </c>
      <c r="L31" s="267" t="s">
        <v>193</v>
      </c>
      <c r="M31" s="268"/>
      <c r="N31" s="268"/>
      <c r="O31" s="268"/>
      <c r="P31" s="269"/>
      <c r="Q31" s="244"/>
      <c r="R31" s="165">
        <f>0</f>
        <v>0</v>
      </c>
      <c r="S31" s="154">
        <f>0</f>
        <v>0</v>
      </c>
      <c r="T31" s="154">
        <f>0</f>
        <v>0</v>
      </c>
      <c r="U31" s="154">
        <f>0</f>
        <v>0</v>
      </c>
      <c r="V31" s="154">
        <f>0</f>
        <v>0</v>
      </c>
      <c r="W31" s="154">
        <f>0</f>
        <v>0</v>
      </c>
      <c r="X31" s="154">
        <v>4</v>
      </c>
      <c r="Y31" s="178">
        <f>0</f>
        <v>0</v>
      </c>
      <c r="Z31" s="154">
        <f>0</f>
        <v>0</v>
      </c>
      <c r="AA31" s="154">
        <f>0</f>
        <v>0</v>
      </c>
      <c r="AB31" s="154">
        <f>0</f>
        <v>0</v>
      </c>
      <c r="AC31" s="154">
        <f>0</f>
        <v>0</v>
      </c>
      <c r="AD31" s="154">
        <f>0</f>
        <v>0</v>
      </c>
      <c r="AE31" s="154">
        <f>0</f>
        <v>0</v>
      </c>
      <c r="AF31" s="154">
        <f>0</f>
        <v>0</v>
      </c>
      <c r="AG31" s="154">
        <f t="shared" si="5"/>
        <v>0</v>
      </c>
      <c r="AH31" s="154">
        <f>0</f>
        <v>0</v>
      </c>
      <c r="AI31" s="154">
        <f>0</f>
        <v>0</v>
      </c>
      <c r="AJ31" s="154">
        <f>0</f>
        <v>0</v>
      </c>
      <c r="AK31" s="168">
        <f>0</f>
        <v>0</v>
      </c>
      <c r="AL31" s="170">
        <f t="shared" si="2"/>
        <v>4</v>
      </c>
      <c r="AM31" s="45"/>
      <c r="AN31" s="151">
        <f t="shared" si="6"/>
        <v>4</v>
      </c>
      <c r="AO31" s="386">
        <v>45079</v>
      </c>
      <c r="AP31" s="245" t="s">
        <v>410</v>
      </c>
      <c r="AQ31" s="386" t="s">
        <v>547</v>
      </c>
      <c r="AR31" s="247"/>
      <c r="AS31" s="246"/>
      <c r="AT31" s="248"/>
      <c r="AU31" s="248"/>
      <c r="AV31" s="246"/>
      <c r="AW31" s="248"/>
      <c r="AX31" s="249"/>
      <c r="AY31" s="249"/>
      <c r="AZ31" s="250"/>
    </row>
    <row r="32" spans="1:55" ht="27.95" hidden="1" customHeight="1">
      <c r="A32" s="198">
        <v>28</v>
      </c>
      <c r="B32" s="263">
        <v>45058</v>
      </c>
      <c r="C32" s="255"/>
      <c r="D32" s="256"/>
      <c r="E32" s="256"/>
      <c r="F32" s="223" t="s">
        <v>211</v>
      </c>
      <c r="G32" s="242" t="s">
        <v>220</v>
      </c>
      <c r="H32" s="243" t="s">
        <v>141</v>
      </c>
      <c r="I32" s="266" t="s">
        <v>221</v>
      </c>
      <c r="J32" s="267"/>
      <c r="K32" s="267" t="s">
        <v>220</v>
      </c>
      <c r="L32" s="267" t="s">
        <v>427</v>
      </c>
      <c r="M32" s="268"/>
      <c r="N32" s="268"/>
      <c r="O32" s="268"/>
      <c r="P32" s="269"/>
      <c r="Q32" s="244"/>
      <c r="R32" s="165">
        <f>0</f>
        <v>0</v>
      </c>
      <c r="S32" s="154">
        <f>0</f>
        <v>0</v>
      </c>
      <c r="T32" s="154">
        <f>0</f>
        <v>0</v>
      </c>
      <c r="U32" s="154">
        <f>0</f>
        <v>0</v>
      </c>
      <c r="V32" s="154">
        <f>0</f>
        <v>0</v>
      </c>
      <c r="W32" s="154">
        <f>0</f>
        <v>0</v>
      </c>
      <c r="X32" s="154">
        <v>2</v>
      </c>
      <c r="Y32" s="178">
        <f>0</f>
        <v>0</v>
      </c>
      <c r="Z32" s="154">
        <f>0</f>
        <v>0</v>
      </c>
      <c r="AA32" s="154">
        <f>0</f>
        <v>0</v>
      </c>
      <c r="AB32" s="154">
        <f>0</f>
        <v>0</v>
      </c>
      <c r="AC32" s="154">
        <f>0</f>
        <v>0</v>
      </c>
      <c r="AD32" s="154">
        <f>0</f>
        <v>0</v>
      </c>
      <c r="AE32" s="154">
        <f>0</f>
        <v>0</v>
      </c>
      <c r="AF32" s="154">
        <f>0</f>
        <v>0</v>
      </c>
      <c r="AG32" s="154">
        <f t="shared" si="5"/>
        <v>0</v>
      </c>
      <c r="AH32" s="154">
        <f>0</f>
        <v>0</v>
      </c>
      <c r="AI32" s="154">
        <f>0</f>
        <v>0</v>
      </c>
      <c r="AJ32" s="154">
        <f>0</f>
        <v>0</v>
      </c>
      <c r="AK32" s="168">
        <f>0</f>
        <v>0</v>
      </c>
      <c r="AL32" s="170">
        <f t="shared" si="2"/>
        <v>2</v>
      </c>
      <c r="AM32" s="45"/>
      <c r="AN32" s="151">
        <f t="shared" si="6"/>
        <v>2</v>
      </c>
      <c r="AO32" s="245"/>
      <c r="AP32" s="246" t="s">
        <v>410</v>
      </c>
      <c r="AQ32" s="274" t="s">
        <v>99</v>
      </c>
      <c r="AR32" s="247"/>
      <c r="AS32" s="246"/>
      <c r="AT32" s="248"/>
      <c r="AU32" s="248"/>
      <c r="AV32" s="246"/>
      <c r="AW32" s="248"/>
      <c r="AX32" s="249"/>
      <c r="AY32" s="249"/>
      <c r="AZ32" s="250"/>
    </row>
    <row r="33" spans="1:52" ht="27.95" hidden="1" customHeight="1">
      <c r="A33" s="198">
        <v>29</v>
      </c>
      <c r="B33" s="263">
        <v>45058</v>
      </c>
      <c r="C33" s="255"/>
      <c r="D33" s="256"/>
      <c r="E33" s="256"/>
      <c r="F33" s="223" t="s">
        <v>211</v>
      </c>
      <c r="G33" s="242" t="s">
        <v>223</v>
      </c>
      <c r="H33" s="243" t="s">
        <v>191</v>
      </c>
      <c r="I33" s="266" t="s">
        <v>224</v>
      </c>
      <c r="J33" s="267"/>
      <c r="K33" s="267" t="s">
        <v>223</v>
      </c>
      <c r="L33" s="267" t="s">
        <v>427</v>
      </c>
      <c r="M33" s="268"/>
      <c r="N33" s="268"/>
      <c r="O33" s="268"/>
      <c r="P33" s="269"/>
      <c r="Q33" s="244"/>
      <c r="R33" s="165">
        <f>0</f>
        <v>0</v>
      </c>
      <c r="S33" s="154">
        <f>0</f>
        <v>0</v>
      </c>
      <c r="T33" s="154">
        <f>0</f>
        <v>0</v>
      </c>
      <c r="U33" s="154">
        <f>0</f>
        <v>0</v>
      </c>
      <c r="V33" s="154">
        <f>0</f>
        <v>0</v>
      </c>
      <c r="W33" s="154">
        <f>0</f>
        <v>0</v>
      </c>
      <c r="X33" s="154">
        <v>3</v>
      </c>
      <c r="Y33" s="178">
        <f>0</f>
        <v>0</v>
      </c>
      <c r="Z33" s="154">
        <f>0</f>
        <v>0</v>
      </c>
      <c r="AA33" s="154">
        <f>0</f>
        <v>0</v>
      </c>
      <c r="AB33" s="154">
        <f>0</f>
        <v>0</v>
      </c>
      <c r="AC33" s="154">
        <f>0</f>
        <v>0</v>
      </c>
      <c r="AD33" s="154">
        <f>0</f>
        <v>0</v>
      </c>
      <c r="AE33" s="154">
        <f>0</f>
        <v>0</v>
      </c>
      <c r="AF33" s="154">
        <f>0</f>
        <v>0</v>
      </c>
      <c r="AG33" s="154">
        <f t="shared" si="5"/>
        <v>0</v>
      </c>
      <c r="AH33" s="154">
        <f>0</f>
        <v>0</v>
      </c>
      <c r="AI33" s="154">
        <f>0</f>
        <v>0</v>
      </c>
      <c r="AJ33" s="154">
        <f>0</f>
        <v>0</v>
      </c>
      <c r="AK33" s="168">
        <f>0</f>
        <v>0</v>
      </c>
      <c r="AL33" s="170">
        <f t="shared" si="2"/>
        <v>3</v>
      </c>
      <c r="AM33" s="45"/>
      <c r="AN33" s="151">
        <f t="shared" si="6"/>
        <v>3</v>
      </c>
      <c r="AO33" s="245"/>
      <c r="AP33" s="246" t="s">
        <v>410</v>
      </c>
      <c r="AQ33" s="274" t="s">
        <v>99</v>
      </c>
      <c r="AR33" s="247"/>
      <c r="AS33" s="246"/>
      <c r="AT33" s="248"/>
      <c r="AU33" s="248"/>
      <c r="AV33" s="246"/>
      <c r="AW33" s="248"/>
      <c r="AX33" s="249"/>
      <c r="AY33" s="249"/>
      <c r="AZ33" s="250"/>
    </row>
    <row r="34" spans="1:52" ht="27.95" hidden="1" customHeight="1">
      <c r="A34" s="198">
        <v>30</v>
      </c>
      <c r="B34" s="263">
        <v>45058</v>
      </c>
      <c r="C34" s="255"/>
      <c r="D34" s="256"/>
      <c r="E34" s="256"/>
      <c r="F34" s="223" t="s">
        <v>211</v>
      </c>
      <c r="G34" s="242" t="s">
        <v>230</v>
      </c>
      <c r="H34" s="243">
        <v>0</v>
      </c>
      <c r="I34" s="266" t="s">
        <v>417</v>
      </c>
      <c r="J34" s="267"/>
      <c r="K34" s="267" t="s">
        <v>230</v>
      </c>
      <c r="L34" s="267" t="s">
        <v>193</v>
      </c>
      <c r="M34" s="268"/>
      <c r="N34" s="268"/>
      <c r="O34" s="268"/>
      <c r="P34" s="269"/>
      <c r="Q34" s="244"/>
      <c r="R34" s="165">
        <f>0</f>
        <v>0</v>
      </c>
      <c r="S34" s="154">
        <f>0</f>
        <v>0</v>
      </c>
      <c r="T34" s="154">
        <f>0</f>
        <v>0</v>
      </c>
      <c r="U34" s="154">
        <f>0</f>
        <v>0</v>
      </c>
      <c r="V34" s="154">
        <f>0</f>
        <v>0</v>
      </c>
      <c r="W34" s="154">
        <f>0</f>
        <v>0</v>
      </c>
      <c r="X34" s="154">
        <v>3</v>
      </c>
      <c r="Y34" s="178">
        <f>0</f>
        <v>0</v>
      </c>
      <c r="Z34" s="154">
        <f>0</f>
        <v>0</v>
      </c>
      <c r="AA34" s="154">
        <f>0</f>
        <v>0</v>
      </c>
      <c r="AB34" s="154">
        <f>0</f>
        <v>0</v>
      </c>
      <c r="AC34" s="154">
        <f>0</f>
        <v>0</v>
      </c>
      <c r="AD34" s="154">
        <f>0</f>
        <v>0</v>
      </c>
      <c r="AE34" s="154">
        <f>0</f>
        <v>0</v>
      </c>
      <c r="AF34" s="154">
        <f>0</f>
        <v>0</v>
      </c>
      <c r="AG34" s="154">
        <f t="shared" si="5"/>
        <v>0</v>
      </c>
      <c r="AH34" s="154">
        <f>0</f>
        <v>0</v>
      </c>
      <c r="AI34" s="154">
        <f>0</f>
        <v>0</v>
      </c>
      <c r="AJ34" s="154">
        <f>0</f>
        <v>0</v>
      </c>
      <c r="AK34" s="168">
        <f>0</f>
        <v>0</v>
      </c>
      <c r="AL34" s="170">
        <f t="shared" si="2"/>
        <v>3</v>
      </c>
      <c r="AM34" s="45"/>
      <c r="AN34" s="151">
        <f t="shared" si="6"/>
        <v>3</v>
      </c>
      <c r="AO34" s="386">
        <v>45079</v>
      </c>
      <c r="AP34" s="245" t="s">
        <v>410</v>
      </c>
      <c r="AQ34" s="386" t="s">
        <v>547</v>
      </c>
      <c r="AR34" s="247"/>
      <c r="AS34" s="246"/>
      <c r="AT34" s="248"/>
      <c r="AU34" s="248"/>
      <c r="AV34" s="246"/>
      <c r="AW34" s="248"/>
      <c r="AX34" s="249"/>
      <c r="AY34" s="249"/>
      <c r="AZ34" s="250"/>
    </row>
    <row r="35" spans="1:52" ht="27.95" hidden="1" customHeight="1">
      <c r="A35" s="198">
        <v>31</v>
      </c>
      <c r="B35" s="263">
        <v>45058</v>
      </c>
      <c r="C35" s="255"/>
      <c r="D35" s="256"/>
      <c r="E35" s="256"/>
      <c r="F35" s="223" t="s">
        <v>211</v>
      </c>
      <c r="G35" s="242" t="s">
        <v>231</v>
      </c>
      <c r="H35" s="243" t="s">
        <v>141</v>
      </c>
      <c r="I35" s="266" t="s">
        <v>418</v>
      </c>
      <c r="J35" s="267"/>
      <c r="K35" s="267" t="s">
        <v>231</v>
      </c>
      <c r="L35" s="267" t="s">
        <v>193</v>
      </c>
      <c r="M35" s="268"/>
      <c r="N35" s="268"/>
      <c r="O35" s="268"/>
      <c r="P35" s="269"/>
      <c r="Q35" s="244"/>
      <c r="R35" s="165">
        <f>0</f>
        <v>0</v>
      </c>
      <c r="S35" s="154">
        <f>0</f>
        <v>0</v>
      </c>
      <c r="T35" s="154">
        <f>0</f>
        <v>0</v>
      </c>
      <c r="U35" s="154">
        <f>0</f>
        <v>0</v>
      </c>
      <c r="V35" s="154">
        <f>0</f>
        <v>0</v>
      </c>
      <c r="W35" s="154">
        <f>0</f>
        <v>0</v>
      </c>
      <c r="X35" s="154">
        <v>2</v>
      </c>
      <c r="Y35" s="178">
        <f>0</f>
        <v>0</v>
      </c>
      <c r="Z35" s="154">
        <f>0</f>
        <v>0</v>
      </c>
      <c r="AA35" s="154">
        <f>0</f>
        <v>0</v>
      </c>
      <c r="AB35" s="154">
        <f>0</f>
        <v>0</v>
      </c>
      <c r="AC35" s="154">
        <f>0</f>
        <v>0</v>
      </c>
      <c r="AD35" s="154">
        <f>0</f>
        <v>0</v>
      </c>
      <c r="AE35" s="154">
        <f>0</f>
        <v>0</v>
      </c>
      <c r="AF35" s="154">
        <f>0</f>
        <v>0</v>
      </c>
      <c r="AG35" s="154">
        <f t="shared" si="5"/>
        <v>0</v>
      </c>
      <c r="AH35" s="154">
        <f>0</f>
        <v>0</v>
      </c>
      <c r="AI35" s="154">
        <f>0</f>
        <v>0</v>
      </c>
      <c r="AJ35" s="154">
        <f>0</f>
        <v>0</v>
      </c>
      <c r="AK35" s="168">
        <f>0</f>
        <v>0</v>
      </c>
      <c r="AL35" s="170">
        <f t="shared" si="2"/>
        <v>2</v>
      </c>
      <c r="AM35" s="45"/>
      <c r="AN35" s="151">
        <f t="shared" si="6"/>
        <v>2</v>
      </c>
      <c r="AO35" s="386">
        <v>45079</v>
      </c>
      <c r="AP35" s="245" t="s">
        <v>410</v>
      </c>
      <c r="AQ35" s="386" t="s">
        <v>547</v>
      </c>
      <c r="AR35" s="247"/>
      <c r="AS35" s="246"/>
      <c r="AT35" s="248"/>
      <c r="AU35" s="248"/>
      <c r="AV35" s="246"/>
      <c r="AW35" s="248"/>
      <c r="AX35" s="249"/>
      <c r="AY35" s="249"/>
      <c r="AZ35" s="250"/>
    </row>
    <row r="36" spans="1:52" ht="27.95" hidden="1" customHeight="1">
      <c r="A36" s="198">
        <v>32</v>
      </c>
      <c r="B36" s="263">
        <v>45058</v>
      </c>
      <c r="C36" s="255"/>
      <c r="D36" s="256"/>
      <c r="E36" s="256"/>
      <c r="F36" s="223" t="s">
        <v>211</v>
      </c>
      <c r="G36" s="242">
        <v>92001</v>
      </c>
      <c r="H36" s="243" t="s">
        <v>191</v>
      </c>
      <c r="I36" s="266" t="s">
        <v>215</v>
      </c>
      <c r="J36" s="267"/>
      <c r="K36" s="267">
        <v>92001</v>
      </c>
      <c r="L36" s="267" t="s">
        <v>216</v>
      </c>
      <c r="M36" s="268"/>
      <c r="N36" s="268"/>
      <c r="O36" s="268"/>
      <c r="P36" s="269"/>
      <c r="Q36" s="244"/>
      <c r="R36" s="165">
        <f>0</f>
        <v>0</v>
      </c>
      <c r="S36" s="154">
        <f>0</f>
        <v>0</v>
      </c>
      <c r="T36" s="154">
        <f>0</f>
        <v>0</v>
      </c>
      <c r="U36" s="154">
        <f>0</f>
        <v>0</v>
      </c>
      <c r="V36" s="154">
        <f>0</f>
        <v>0</v>
      </c>
      <c r="W36" s="154">
        <f>0</f>
        <v>0</v>
      </c>
      <c r="X36" s="154">
        <v>2</v>
      </c>
      <c r="Y36" s="178">
        <f>0</f>
        <v>0</v>
      </c>
      <c r="Z36" s="154">
        <f>0</f>
        <v>0</v>
      </c>
      <c r="AA36" s="154">
        <f>0</f>
        <v>0</v>
      </c>
      <c r="AB36" s="154">
        <f>0</f>
        <v>0</v>
      </c>
      <c r="AC36" s="154">
        <f>0</f>
        <v>0</v>
      </c>
      <c r="AD36" s="154">
        <f>0</f>
        <v>0</v>
      </c>
      <c r="AE36" s="154">
        <f>0</f>
        <v>0</v>
      </c>
      <c r="AF36" s="154">
        <f>0</f>
        <v>0</v>
      </c>
      <c r="AG36" s="154">
        <f t="shared" si="5"/>
        <v>0</v>
      </c>
      <c r="AH36" s="154">
        <f>0</f>
        <v>0</v>
      </c>
      <c r="AI36" s="154">
        <f>0</f>
        <v>0</v>
      </c>
      <c r="AJ36" s="154">
        <f>0</f>
        <v>0</v>
      </c>
      <c r="AK36" s="168">
        <f>0</f>
        <v>0</v>
      </c>
      <c r="AL36" s="170">
        <f t="shared" si="2"/>
        <v>2</v>
      </c>
      <c r="AM36" s="45"/>
      <c r="AN36" s="151">
        <f t="shared" si="6"/>
        <v>2</v>
      </c>
      <c r="AO36" s="245"/>
      <c r="AP36" s="246" t="s">
        <v>410</v>
      </c>
      <c r="AQ36" s="274" t="s">
        <v>49</v>
      </c>
      <c r="AR36" s="247"/>
      <c r="AS36" s="246"/>
      <c r="AT36" s="248"/>
      <c r="AU36" s="248"/>
      <c r="AV36" s="246"/>
      <c r="AW36" s="248"/>
      <c r="AX36" s="249"/>
      <c r="AY36" s="249"/>
      <c r="AZ36" s="250"/>
    </row>
    <row r="37" spans="1:52" ht="27.95" hidden="1" customHeight="1">
      <c r="A37" s="198">
        <v>33</v>
      </c>
      <c r="B37" s="263">
        <v>45058</v>
      </c>
      <c r="C37" s="255"/>
      <c r="D37" s="256"/>
      <c r="E37" s="256"/>
      <c r="F37" s="223" t="s">
        <v>211</v>
      </c>
      <c r="G37" s="242" t="s">
        <v>232</v>
      </c>
      <c r="H37" s="243" t="s">
        <v>191</v>
      </c>
      <c r="I37" s="266" t="s">
        <v>233</v>
      </c>
      <c r="J37" s="267"/>
      <c r="K37" s="267" t="s">
        <v>234</v>
      </c>
      <c r="L37" s="267" t="s">
        <v>229</v>
      </c>
      <c r="M37" s="268"/>
      <c r="N37" s="268"/>
      <c r="O37" s="268"/>
      <c r="P37" s="269"/>
      <c r="Q37" s="244"/>
      <c r="R37" s="165">
        <f>0</f>
        <v>0</v>
      </c>
      <c r="S37" s="154">
        <f>0</f>
        <v>0</v>
      </c>
      <c r="T37" s="154">
        <f>0</f>
        <v>0</v>
      </c>
      <c r="U37" s="154">
        <f>0</f>
        <v>0</v>
      </c>
      <c r="V37" s="154">
        <f>0</f>
        <v>0</v>
      </c>
      <c r="W37" s="154">
        <f>0</f>
        <v>0</v>
      </c>
      <c r="X37" s="154">
        <v>2</v>
      </c>
      <c r="Y37" s="178">
        <f>0</f>
        <v>0</v>
      </c>
      <c r="Z37" s="154">
        <f>0</f>
        <v>0</v>
      </c>
      <c r="AA37" s="154">
        <f>0</f>
        <v>0</v>
      </c>
      <c r="AB37" s="154">
        <f>0</f>
        <v>0</v>
      </c>
      <c r="AC37" s="154">
        <f>0</f>
        <v>0</v>
      </c>
      <c r="AD37" s="154">
        <f>0</f>
        <v>0</v>
      </c>
      <c r="AE37" s="154">
        <f>0</f>
        <v>0</v>
      </c>
      <c r="AF37" s="154">
        <f>0</f>
        <v>0</v>
      </c>
      <c r="AG37" s="154">
        <f t="shared" si="5"/>
        <v>0</v>
      </c>
      <c r="AH37" s="154">
        <f>0</f>
        <v>0</v>
      </c>
      <c r="AI37" s="154">
        <f>0</f>
        <v>0</v>
      </c>
      <c r="AJ37" s="154">
        <f>0</f>
        <v>0</v>
      </c>
      <c r="AK37" s="168">
        <f>0</f>
        <v>0</v>
      </c>
      <c r="AL37" s="170">
        <f t="shared" si="2"/>
        <v>2</v>
      </c>
      <c r="AM37" s="45"/>
      <c r="AN37" s="151">
        <f t="shared" si="6"/>
        <v>2</v>
      </c>
      <c r="AO37" s="245"/>
      <c r="AP37" s="246" t="s">
        <v>410</v>
      </c>
      <c r="AQ37" s="274" t="s">
        <v>49</v>
      </c>
      <c r="AR37" s="247"/>
      <c r="AS37" s="246"/>
      <c r="AT37" s="248"/>
      <c r="AU37" s="248"/>
      <c r="AV37" s="246"/>
      <c r="AW37" s="248"/>
      <c r="AX37" s="249"/>
      <c r="AY37" s="249"/>
      <c r="AZ37" s="250"/>
    </row>
    <row r="38" spans="1:52" ht="27.95" hidden="1" customHeight="1">
      <c r="A38" s="198">
        <v>34</v>
      </c>
      <c r="B38" s="263">
        <v>45058</v>
      </c>
      <c r="C38" s="255"/>
      <c r="D38" s="256"/>
      <c r="E38" s="256"/>
      <c r="F38" s="223" t="s">
        <v>211</v>
      </c>
      <c r="G38" s="242" t="s">
        <v>227</v>
      </c>
      <c r="H38" s="243" t="s">
        <v>141</v>
      </c>
      <c r="I38" s="266" t="s">
        <v>419</v>
      </c>
      <c r="J38" s="267"/>
      <c r="K38" s="267" t="s">
        <v>228</v>
      </c>
      <c r="L38" s="267" t="s">
        <v>229</v>
      </c>
      <c r="M38" s="268"/>
      <c r="N38" s="268"/>
      <c r="O38" s="268"/>
      <c r="P38" s="269"/>
      <c r="Q38" s="244"/>
      <c r="R38" s="165">
        <f>0</f>
        <v>0</v>
      </c>
      <c r="S38" s="154">
        <f>0</f>
        <v>0</v>
      </c>
      <c r="T38" s="154">
        <f>0</f>
        <v>0</v>
      </c>
      <c r="U38" s="154">
        <f>0</f>
        <v>0</v>
      </c>
      <c r="V38" s="154">
        <f>0</f>
        <v>0</v>
      </c>
      <c r="W38" s="154">
        <f>0</f>
        <v>0</v>
      </c>
      <c r="X38" s="154">
        <v>3</v>
      </c>
      <c r="Y38" s="178">
        <f>0</f>
        <v>0</v>
      </c>
      <c r="Z38" s="154">
        <f>0</f>
        <v>0</v>
      </c>
      <c r="AA38" s="154">
        <f>0</f>
        <v>0</v>
      </c>
      <c r="AB38" s="154">
        <f>0</f>
        <v>0</v>
      </c>
      <c r="AC38" s="154">
        <f>0</f>
        <v>0</v>
      </c>
      <c r="AD38" s="154">
        <f>0</f>
        <v>0</v>
      </c>
      <c r="AE38" s="154">
        <f>0</f>
        <v>0</v>
      </c>
      <c r="AF38" s="154">
        <f>0</f>
        <v>0</v>
      </c>
      <c r="AG38" s="154">
        <f t="shared" si="5"/>
        <v>0</v>
      </c>
      <c r="AH38" s="154">
        <f>0</f>
        <v>0</v>
      </c>
      <c r="AI38" s="154">
        <f>0</f>
        <v>0</v>
      </c>
      <c r="AJ38" s="154">
        <f>0</f>
        <v>0</v>
      </c>
      <c r="AK38" s="168">
        <f>0</f>
        <v>0</v>
      </c>
      <c r="AL38" s="170">
        <f t="shared" si="2"/>
        <v>3</v>
      </c>
      <c r="AM38" s="45"/>
      <c r="AN38" s="151">
        <f t="shared" si="6"/>
        <v>3</v>
      </c>
      <c r="AO38" s="245"/>
      <c r="AP38" s="246" t="s">
        <v>410</v>
      </c>
      <c r="AQ38" s="274" t="s">
        <v>49</v>
      </c>
      <c r="AR38" s="247"/>
      <c r="AS38" s="246"/>
      <c r="AT38" s="248"/>
      <c r="AU38" s="248"/>
      <c r="AV38" s="246"/>
      <c r="AW38" s="248"/>
      <c r="AX38" s="249"/>
      <c r="AY38" s="249"/>
      <c r="AZ38" s="250"/>
    </row>
    <row r="39" spans="1:52" ht="27.95" hidden="1" customHeight="1">
      <c r="A39" s="198">
        <v>35</v>
      </c>
      <c r="B39" s="263">
        <v>45072</v>
      </c>
      <c r="C39" s="255"/>
      <c r="D39" s="256"/>
      <c r="E39" s="256"/>
      <c r="F39" s="223" t="s">
        <v>285</v>
      </c>
      <c r="G39" s="242" t="s">
        <v>237</v>
      </c>
      <c r="H39" s="243" t="s">
        <v>191</v>
      </c>
      <c r="I39" s="266" t="s">
        <v>238</v>
      </c>
      <c r="J39" s="267" t="s">
        <v>237</v>
      </c>
      <c r="K39" s="267" t="s">
        <v>237</v>
      </c>
      <c r="L39" s="267" t="s">
        <v>138</v>
      </c>
      <c r="M39" s="268"/>
      <c r="N39" s="268"/>
      <c r="O39" s="268"/>
      <c r="P39" s="269"/>
      <c r="Q39" s="244"/>
      <c r="R39" s="165">
        <f>0</f>
        <v>0</v>
      </c>
      <c r="S39" s="154">
        <f>0</f>
        <v>0</v>
      </c>
      <c r="T39" s="154">
        <v>2</v>
      </c>
      <c r="U39" s="154">
        <v>2</v>
      </c>
      <c r="V39" s="154">
        <v>1</v>
      </c>
      <c r="W39" s="154">
        <f>0</f>
        <v>0</v>
      </c>
      <c r="X39" s="154">
        <f>0</f>
        <v>0</v>
      </c>
      <c r="Y39" s="178">
        <f>0</f>
        <v>0</v>
      </c>
      <c r="Z39" s="154">
        <f>0</f>
        <v>0</v>
      </c>
      <c r="AA39" s="154">
        <f>0</f>
        <v>0</v>
      </c>
      <c r="AB39" s="154">
        <f>0</f>
        <v>0</v>
      </c>
      <c r="AC39" s="154">
        <f>0</f>
        <v>0</v>
      </c>
      <c r="AD39" s="154">
        <f>0</f>
        <v>0</v>
      </c>
      <c r="AE39" s="154">
        <f>0</f>
        <v>0</v>
      </c>
      <c r="AF39" s="154">
        <f>0</f>
        <v>0</v>
      </c>
      <c r="AG39" s="154">
        <f>AE39-AF39</f>
        <v>0</v>
      </c>
      <c r="AH39" s="154">
        <f>0</f>
        <v>0</v>
      </c>
      <c r="AI39" s="154">
        <f>0</f>
        <v>0</v>
      </c>
      <c r="AJ39" s="154">
        <f>0</f>
        <v>0</v>
      </c>
      <c r="AK39" s="168">
        <f>0</f>
        <v>0</v>
      </c>
      <c r="AL39" s="170">
        <f t="shared" si="2"/>
        <v>5</v>
      </c>
      <c r="AM39" s="45"/>
      <c r="AN39" s="151">
        <f>AL39-AM39</f>
        <v>5</v>
      </c>
      <c r="AO39" s="108">
        <v>45090</v>
      </c>
      <c r="AP39" s="246" t="s">
        <v>410</v>
      </c>
      <c r="AQ39" s="109" t="s">
        <v>553</v>
      </c>
      <c r="AR39" s="247"/>
      <c r="AS39" s="159" t="s">
        <v>562</v>
      </c>
      <c r="AT39" s="248"/>
      <c r="AU39" s="248"/>
      <c r="AV39" s="246"/>
      <c r="AW39" s="248"/>
      <c r="AX39" s="249"/>
      <c r="AY39" s="249"/>
      <c r="AZ39" s="250"/>
    </row>
    <row r="40" spans="1:52" ht="27.95" hidden="1" customHeight="1">
      <c r="A40" s="198">
        <v>36</v>
      </c>
      <c r="B40" s="263">
        <v>45072</v>
      </c>
      <c r="C40" s="255"/>
      <c r="D40" s="256"/>
      <c r="E40" s="256"/>
      <c r="F40" s="223" t="s">
        <v>285</v>
      </c>
      <c r="G40" s="242" t="s">
        <v>239</v>
      </c>
      <c r="H40" s="243" t="s">
        <v>191</v>
      </c>
      <c r="I40" s="266" t="s">
        <v>137</v>
      </c>
      <c r="J40" s="267" t="s">
        <v>239</v>
      </c>
      <c r="K40" s="267" t="s">
        <v>239</v>
      </c>
      <c r="L40" s="267" t="s">
        <v>138</v>
      </c>
      <c r="M40" s="268"/>
      <c r="N40" s="268"/>
      <c r="O40" s="268"/>
      <c r="P40" s="269"/>
      <c r="Q40" s="244"/>
      <c r="R40" s="165">
        <f>0</f>
        <v>0</v>
      </c>
      <c r="S40" s="154">
        <f>0</f>
        <v>0</v>
      </c>
      <c r="T40" s="154">
        <v>2</v>
      </c>
      <c r="U40" s="154">
        <v>2</v>
      </c>
      <c r="V40" s="154">
        <v>1</v>
      </c>
      <c r="W40" s="154">
        <f>0</f>
        <v>0</v>
      </c>
      <c r="X40" s="154">
        <f>0</f>
        <v>0</v>
      </c>
      <c r="Y40" s="178">
        <f>0</f>
        <v>0</v>
      </c>
      <c r="Z40" s="154">
        <f>0</f>
        <v>0</v>
      </c>
      <c r="AA40" s="154">
        <f>0</f>
        <v>0</v>
      </c>
      <c r="AB40" s="154">
        <f>0</f>
        <v>0</v>
      </c>
      <c r="AC40" s="154">
        <f>0</f>
        <v>0</v>
      </c>
      <c r="AD40" s="154">
        <f>0</f>
        <v>0</v>
      </c>
      <c r="AE40" s="154">
        <f>0</f>
        <v>0</v>
      </c>
      <c r="AF40" s="154">
        <f>0</f>
        <v>0</v>
      </c>
      <c r="AG40" s="154">
        <f>AE40-AF40</f>
        <v>0</v>
      </c>
      <c r="AH40" s="154">
        <f>0</f>
        <v>0</v>
      </c>
      <c r="AI40" s="154">
        <f>0</f>
        <v>0</v>
      </c>
      <c r="AJ40" s="154">
        <f>0</f>
        <v>0</v>
      </c>
      <c r="AK40" s="168">
        <f>0</f>
        <v>0</v>
      </c>
      <c r="AL40" s="170">
        <f t="shared" si="2"/>
        <v>5</v>
      </c>
      <c r="AM40" s="45"/>
      <c r="AN40" s="151">
        <f>AL40-AM40</f>
        <v>5</v>
      </c>
      <c r="AO40" s="108">
        <v>45090</v>
      </c>
      <c r="AP40" s="246" t="s">
        <v>410</v>
      </c>
      <c r="AQ40" s="109" t="s">
        <v>553</v>
      </c>
      <c r="AR40" s="247"/>
      <c r="AS40" s="159" t="s">
        <v>562</v>
      </c>
      <c r="AT40" s="248"/>
      <c r="AU40" s="248"/>
      <c r="AV40" s="246"/>
      <c r="AW40" s="248"/>
      <c r="AX40" s="249"/>
      <c r="AY40" s="249"/>
      <c r="AZ40" s="250"/>
    </row>
    <row r="41" spans="1:52" ht="27.95" hidden="1" customHeight="1">
      <c r="A41" s="198">
        <v>37</v>
      </c>
      <c r="B41" s="263">
        <v>45072</v>
      </c>
      <c r="C41" s="255"/>
      <c r="D41" s="256"/>
      <c r="E41" s="256"/>
      <c r="F41" s="223" t="s">
        <v>285</v>
      </c>
      <c r="G41" s="242" t="s">
        <v>240</v>
      </c>
      <c r="H41" s="243" t="s">
        <v>141</v>
      </c>
      <c r="I41" s="266" t="s">
        <v>241</v>
      </c>
      <c r="J41" s="267" t="s">
        <v>240</v>
      </c>
      <c r="K41" s="267" t="s">
        <v>240</v>
      </c>
      <c r="L41" s="267" t="s">
        <v>242</v>
      </c>
      <c r="M41" s="268"/>
      <c r="N41" s="268"/>
      <c r="O41" s="268"/>
      <c r="P41" s="269"/>
      <c r="Q41" s="244"/>
      <c r="R41" s="165">
        <f>0</f>
        <v>0</v>
      </c>
      <c r="S41" s="154">
        <f>0</f>
        <v>0</v>
      </c>
      <c r="T41" s="154">
        <v>16</v>
      </c>
      <c r="U41" s="154">
        <v>16</v>
      </c>
      <c r="V41" s="154">
        <v>8</v>
      </c>
      <c r="W41" s="154">
        <f>0</f>
        <v>0</v>
      </c>
      <c r="X41" s="154">
        <f>0</f>
        <v>0</v>
      </c>
      <c r="Y41" s="178">
        <f>0</f>
        <v>0</v>
      </c>
      <c r="Z41" s="154">
        <f>0</f>
        <v>0</v>
      </c>
      <c r="AA41" s="154">
        <f>0</f>
        <v>0</v>
      </c>
      <c r="AB41" s="154">
        <f>0</f>
        <v>0</v>
      </c>
      <c r="AC41" s="154">
        <f>0</f>
        <v>0</v>
      </c>
      <c r="AD41" s="154">
        <f>0</f>
        <v>0</v>
      </c>
      <c r="AE41" s="154">
        <f>0</f>
        <v>0</v>
      </c>
      <c r="AF41" s="154">
        <f>0</f>
        <v>0</v>
      </c>
      <c r="AG41" s="154">
        <f>AE41-AF41</f>
        <v>0</v>
      </c>
      <c r="AH41" s="154">
        <f>0</f>
        <v>0</v>
      </c>
      <c r="AI41" s="154">
        <f>0</f>
        <v>0</v>
      </c>
      <c r="AJ41" s="154">
        <f>0</f>
        <v>0</v>
      </c>
      <c r="AK41" s="168">
        <f>0</f>
        <v>0</v>
      </c>
      <c r="AL41" s="170">
        <f t="shared" si="2"/>
        <v>40</v>
      </c>
      <c r="AM41" s="45"/>
      <c r="AN41" s="151">
        <f>AL41-AM41</f>
        <v>40</v>
      </c>
      <c r="AO41" s="245"/>
      <c r="AP41" s="246" t="s">
        <v>410</v>
      </c>
      <c r="AQ41" s="388" t="s">
        <v>556</v>
      </c>
      <c r="AR41" s="247"/>
      <c r="AS41" s="246"/>
      <c r="AT41" s="248"/>
      <c r="AU41" s="248"/>
      <c r="AV41" s="246"/>
      <c r="AW41" s="248"/>
      <c r="AX41" s="249"/>
      <c r="AY41" s="249"/>
      <c r="AZ41" s="250"/>
    </row>
    <row r="42" spans="1:52" ht="27.95" hidden="1" customHeight="1">
      <c r="A42" s="198">
        <v>38</v>
      </c>
      <c r="B42" s="263">
        <v>45072</v>
      </c>
      <c r="C42" s="255"/>
      <c r="D42" s="256"/>
      <c r="E42" s="256"/>
      <c r="F42" s="223" t="s">
        <v>285</v>
      </c>
      <c r="G42" s="242" t="s">
        <v>245</v>
      </c>
      <c r="H42" s="243" t="s">
        <v>141</v>
      </c>
      <c r="I42" s="266" t="s">
        <v>243</v>
      </c>
      <c r="J42" s="267" t="s">
        <v>244</v>
      </c>
      <c r="K42" s="267" t="s">
        <v>244</v>
      </c>
      <c r="L42" s="267" t="s">
        <v>193</v>
      </c>
      <c r="M42" s="268"/>
      <c r="N42" s="268"/>
      <c r="O42" s="268"/>
      <c r="P42" s="269"/>
      <c r="Q42" s="244"/>
      <c r="R42" s="165">
        <f>0</f>
        <v>0</v>
      </c>
      <c r="S42" s="154">
        <f>0</f>
        <v>0</v>
      </c>
      <c r="T42" s="154">
        <v>2</v>
      </c>
      <c r="U42" s="154">
        <v>2</v>
      </c>
      <c r="V42" s="154">
        <v>1</v>
      </c>
      <c r="W42" s="154">
        <f>0</f>
        <v>0</v>
      </c>
      <c r="X42" s="154">
        <f>0</f>
        <v>0</v>
      </c>
      <c r="Y42" s="178">
        <f>0</f>
        <v>0</v>
      </c>
      <c r="Z42" s="154">
        <f>0</f>
        <v>0</v>
      </c>
      <c r="AA42" s="154">
        <f>0</f>
        <v>0</v>
      </c>
      <c r="AB42" s="154">
        <f>0</f>
        <v>0</v>
      </c>
      <c r="AC42" s="154">
        <f>0</f>
        <v>0</v>
      </c>
      <c r="AD42" s="154">
        <f>0</f>
        <v>0</v>
      </c>
      <c r="AE42" s="154">
        <f>0</f>
        <v>0</v>
      </c>
      <c r="AF42" s="154">
        <f>0</f>
        <v>0</v>
      </c>
      <c r="AG42" s="154">
        <f>AE42-AF42</f>
        <v>0</v>
      </c>
      <c r="AH42" s="154">
        <f>0</f>
        <v>0</v>
      </c>
      <c r="AI42" s="154">
        <f>0</f>
        <v>0</v>
      </c>
      <c r="AJ42" s="154">
        <f>0</f>
        <v>0</v>
      </c>
      <c r="AK42" s="168">
        <f>0</f>
        <v>0</v>
      </c>
      <c r="AL42" s="170">
        <f t="shared" si="2"/>
        <v>5</v>
      </c>
      <c r="AM42" s="45"/>
      <c r="AN42" s="151">
        <f>AL42-AM42</f>
        <v>5</v>
      </c>
      <c r="AO42" s="386">
        <v>45079</v>
      </c>
      <c r="AP42" s="245" t="s">
        <v>410</v>
      </c>
      <c r="AQ42" s="386" t="s">
        <v>547</v>
      </c>
      <c r="AR42" s="247"/>
      <c r="AS42" s="246"/>
      <c r="AT42" s="248"/>
      <c r="AU42" s="248"/>
      <c r="AV42" s="246"/>
      <c r="AW42" s="248"/>
      <c r="AX42" s="249"/>
      <c r="AY42" s="249"/>
      <c r="AZ42" s="250"/>
    </row>
    <row r="43" spans="1:52" ht="27.95" hidden="1" customHeight="1">
      <c r="A43" s="198">
        <v>39</v>
      </c>
      <c r="B43" s="263">
        <v>45072</v>
      </c>
      <c r="C43" s="255"/>
      <c r="D43" s="256"/>
      <c r="E43" s="256"/>
      <c r="F43" s="223" t="s">
        <v>285</v>
      </c>
      <c r="G43" s="242" t="s">
        <v>246</v>
      </c>
      <c r="H43" s="243">
        <v>0</v>
      </c>
      <c r="I43" s="266" t="s">
        <v>420</v>
      </c>
      <c r="J43" s="267" t="s">
        <v>246</v>
      </c>
      <c r="K43" s="267" t="s">
        <v>246</v>
      </c>
      <c r="L43" s="267" t="s">
        <v>193</v>
      </c>
      <c r="M43" s="268"/>
      <c r="N43" s="268"/>
      <c r="O43" s="268"/>
      <c r="P43" s="269"/>
      <c r="Q43" s="244"/>
      <c r="R43" s="165">
        <f>0</f>
        <v>0</v>
      </c>
      <c r="S43" s="154">
        <v>2</v>
      </c>
      <c r="T43" s="154">
        <v>2</v>
      </c>
      <c r="U43" s="154">
        <v>2</v>
      </c>
      <c r="V43" s="154">
        <v>2</v>
      </c>
      <c r="W43" s="154">
        <v>2</v>
      </c>
      <c r="X43" s="154">
        <f>0</f>
        <v>0</v>
      </c>
      <c r="Y43" s="178">
        <f>0</f>
        <v>0</v>
      </c>
      <c r="Z43" s="154">
        <f>0</f>
        <v>0</v>
      </c>
      <c r="AA43" s="154">
        <f>0</f>
        <v>0</v>
      </c>
      <c r="AB43" s="154">
        <f>0</f>
        <v>0</v>
      </c>
      <c r="AC43" s="154">
        <f>0</f>
        <v>0</v>
      </c>
      <c r="AD43" s="154">
        <f>0</f>
        <v>0</v>
      </c>
      <c r="AE43" s="154">
        <f>0</f>
        <v>0</v>
      </c>
      <c r="AF43" s="154">
        <f>0</f>
        <v>0</v>
      </c>
      <c r="AG43" s="154">
        <f t="shared" ref="AG43:AG59" si="7">AE43-AF43</f>
        <v>0</v>
      </c>
      <c r="AH43" s="154">
        <f>0</f>
        <v>0</v>
      </c>
      <c r="AI43" s="154">
        <f>0</f>
        <v>0</v>
      </c>
      <c r="AJ43" s="154">
        <f>0</f>
        <v>0</v>
      </c>
      <c r="AK43" s="168">
        <f>0</f>
        <v>0</v>
      </c>
      <c r="AL43" s="170">
        <f t="shared" si="2"/>
        <v>10</v>
      </c>
      <c r="AM43" s="45"/>
      <c r="AN43" s="151">
        <f t="shared" ref="AN43:AN58" si="8">AL43-AM43</f>
        <v>10</v>
      </c>
      <c r="AO43" s="386">
        <v>45079</v>
      </c>
      <c r="AP43" s="245" t="s">
        <v>410</v>
      </c>
      <c r="AQ43" s="386" t="s">
        <v>547</v>
      </c>
      <c r="AR43" s="247"/>
      <c r="AS43" s="246"/>
      <c r="AT43" s="248"/>
      <c r="AU43" s="248"/>
      <c r="AV43" s="246"/>
      <c r="AW43" s="248"/>
      <c r="AX43" s="249"/>
      <c r="AY43" s="249"/>
      <c r="AZ43" s="250"/>
    </row>
    <row r="44" spans="1:52" ht="27.95" hidden="1" customHeight="1">
      <c r="A44" s="198">
        <v>40</v>
      </c>
      <c r="B44" s="263">
        <v>45072</v>
      </c>
      <c r="C44" s="255"/>
      <c r="D44" s="256"/>
      <c r="E44" s="256"/>
      <c r="F44" s="223" t="s">
        <v>285</v>
      </c>
      <c r="G44" s="242" t="s">
        <v>247</v>
      </c>
      <c r="H44" s="243" t="s">
        <v>248</v>
      </c>
      <c r="I44" s="266" t="s">
        <v>249</v>
      </c>
      <c r="J44" s="188" t="s">
        <v>247</v>
      </c>
      <c r="K44" s="188" t="s">
        <v>247</v>
      </c>
      <c r="L44" s="188" t="s">
        <v>193</v>
      </c>
      <c r="M44" s="227"/>
      <c r="N44" s="227"/>
      <c r="O44" s="227"/>
      <c r="P44" s="200"/>
      <c r="Q44" s="192"/>
      <c r="R44" s="165">
        <f>0</f>
        <v>0</v>
      </c>
      <c r="S44" s="154">
        <f>0</f>
        <v>0</v>
      </c>
      <c r="T44" s="154">
        <v>2</v>
      </c>
      <c r="U44" s="154">
        <v>2</v>
      </c>
      <c r="V44" s="154">
        <v>1</v>
      </c>
      <c r="W44" s="154">
        <f>0</f>
        <v>0</v>
      </c>
      <c r="X44" s="154">
        <f>0</f>
        <v>0</v>
      </c>
      <c r="Y44" s="178">
        <f>0</f>
        <v>0</v>
      </c>
      <c r="Z44" s="154">
        <f>0</f>
        <v>0</v>
      </c>
      <c r="AA44" s="154">
        <f>0</f>
        <v>0</v>
      </c>
      <c r="AB44" s="154">
        <f>0</f>
        <v>0</v>
      </c>
      <c r="AC44" s="154">
        <f>0</f>
        <v>0</v>
      </c>
      <c r="AD44" s="154">
        <f>0</f>
        <v>0</v>
      </c>
      <c r="AE44" s="154">
        <f>0</f>
        <v>0</v>
      </c>
      <c r="AF44" s="154">
        <f>0</f>
        <v>0</v>
      </c>
      <c r="AG44" s="154">
        <f t="shared" si="7"/>
        <v>0</v>
      </c>
      <c r="AH44" s="154">
        <f>0</f>
        <v>0</v>
      </c>
      <c r="AI44" s="154">
        <f>0</f>
        <v>0</v>
      </c>
      <c r="AJ44" s="154">
        <f>0</f>
        <v>0</v>
      </c>
      <c r="AK44" s="168">
        <f>0</f>
        <v>0</v>
      </c>
      <c r="AL44" s="170">
        <f t="shared" si="2"/>
        <v>5</v>
      </c>
      <c r="AM44" s="45"/>
      <c r="AN44" s="151">
        <f t="shared" si="8"/>
        <v>5</v>
      </c>
      <c r="AO44" s="386">
        <v>45079</v>
      </c>
      <c r="AP44" s="245" t="s">
        <v>410</v>
      </c>
      <c r="AQ44" s="386" t="s">
        <v>547</v>
      </c>
      <c r="AR44" s="247"/>
      <c r="AS44" s="246"/>
      <c r="AT44" s="248"/>
      <c r="AU44" s="248"/>
      <c r="AV44" s="246"/>
      <c r="AW44" s="248"/>
      <c r="AX44" s="249"/>
      <c r="AY44" s="249"/>
      <c r="AZ44" s="250"/>
    </row>
    <row r="45" spans="1:52" ht="27.95" hidden="1" customHeight="1">
      <c r="A45" s="198">
        <v>41</v>
      </c>
      <c r="B45" s="263">
        <v>45072</v>
      </c>
      <c r="C45" s="255"/>
      <c r="D45" s="256"/>
      <c r="E45" s="256"/>
      <c r="F45" s="223" t="s">
        <v>285</v>
      </c>
      <c r="G45" s="242" t="s">
        <v>250</v>
      </c>
      <c r="H45" s="243">
        <v>0</v>
      </c>
      <c r="I45" s="266" t="s">
        <v>251</v>
      </c>
      <c r="J45" s="267" t="s">
        <v>250</v>
      </c>
      <c r="K45" s="267" t="s">
        <v>250</v>
      </c>
      <c r="L45" s="267" t="s">
        <v>193</v>
      </c>
      <c r="M45" s="268"/>
      <c r="N45" s="268"/>
      <c r="O45" s="268"/>
      <c r="P45" s="269"/>
      <c r="Q45" s="244"/>
      <c r="R45" s="165">
        <f>0</f>
        <v>0</v>
      </c>
      <c r="S45" s="154">
        <f>0</f>
        <v>0</v>
      </c>
      <c r="T45" s="154">
        <v>2</v>
      </c>
      <c r="U45" s="154">
        <v>2</v>
      </c>
      <c r="V45" s="154">
        <v>1</v>
      </c>
      <c r="W45" s="154">
        <f>0</f>
        <v>0</v>
      </c>
      <c r="X45" s="154">
        <f>0</f>
        <v>0</v>
      </c>
      <c r="Y45" s="178">
        <f>0</f>
        <v>0</v>
      </c>
      <c r="Z45" s="154">
        <f>0</f>
        <v>0</v>
      </c>
      <c r="AA45" s="154">
        <f>0</f>
        <v>0</v>
      </c>
      <c r="AB45" s="154">
        <f>0</f>
        <v>0</v>
      </c>
      <c r="AC45" s="154">
        <f>0</f>
        <v>0</v>
      </c>
      <c r="AD45" s="154">
        <f>0</f>
        <v>0</v>
      </c>
      <c r="AE45" s="154">
        <f>0</f>
        <v>0</v>
      </c>
      <c r="AF45" s="154">
        <f>0</f>
        <v>0</v>
      </c>
      <c r="AG45" s="154">
        <f t="shared" si="7"/>
        <v>0</v>
      </c>
      <c r="AH45" s="154">
        <f>0</f>
        <v>0</v>
      </c>
      <c r="AI45" s="154">
        <f>0</f>
        <v>0</v>
      </c>
      <c r="AJ45" s="154">
        <f>0</f>
        <v>0</v>
      </c>
      <c r="AK45" s="168">
        <f>0</f>
        <v>0</v>
      </c>
      <c r="AL45" s="170">
        <f t="shared" si="2"/>
        <v>5</v>
      </c>
      <c r="AM45" s="45"/>
      <c r="AN45" s="151">
        <f t="shared" si="8"/>
        <v>5</v>
      </c>
      <c r="AO45" s="386">
        <v>45079</v>
      </c>
      <c r="AP45" s="245" t="s">
        <v>410</v>
      </c>
      <c r="AQ45" s="386" t="s">
        <v>547</v>
      </c>
      <c r="AR45" s="247"/>
      <c r="AS45" s="246"/>
      <c r="AT45" s="248"/>
      <c r="AU45" s="248"/>
      <c r="AV45" s="246"/>
      <c r="AW45" s="248"/>
      <c r="AX45" s="249"/>
      <c r="AY45" s="249"/>
      <c r="AZ45" s="250"/>
    </row>
    <row r="46" spans="1:52" ht="27.95" hidden="1" customHeight="1">
      <c r="A46" s="198">
        <v>42</v>
      </c>
      <c r="B46" s="263">
        <v>45072</v>
      </c>
      <c r="C46" s="255"/>
      <c r="D46" s="256"/>
      <c r="E46" s="256"/>
      <c r="F46" s="223" t="s">
        <v>285</v>
      </c>
      <c r="G46" s="242" t="s">
        <v>252</v>
      </c>
      <c r="H46" s="243" t="s">
        <v>191</v>
      </c>
      <c r="I46" s="266" t="s">
        <v>421</v>
      </c>
      <c r="J46" s="267" t="s">
        <v>252</v>
      </c>
      <c r="K46" s="267" t="s">
        <v>252</v>
      </c>
      <c r="L46" s="267" t="s">
        <v>193</v>
      </c>
      <c r="M46" s="268"/>
      <c r="N46" s="268"/>
      <c r="O46" s="268"/>
      <c r="P46" s="269"/>
      <c r="Q46" s="244"/>
      <c r="R46" s="165">
        <f>0</f>
        <v>0</v>
      </c>
      <c r="S46" s="154">
        <f>0</f>
        <v>0</v>
      </c>
      <c r="T46" s="154">
        <f>0</f>
        <v>0</v>
      </c>
      <c r="U46" s="154">
        <f>0</f>
        <v>0</v>
      </c>
      <c r="V46" s="154">
        <f>0</f>
        <v>0</v>
      </c>
      <c r="W46" s="154">
        <f>0</f>
        <v>0</v>
      </c>
      <c r="X46" s="154">
        <v>2</v>
      </c>
      <c r="Y46" s="178">
        <f>0</f>
        <v>0</v>
      </c>
      <c r="Z46" s="154">
        <f>0</f>
        <v>0</v>
      </c>
      <c r="AA46" s="154">
        <f>0</f>
        <v>0</v>
      </c>
      <c r="AB46" s="154">
        <f>0</f>
        <v>0</v>
      </c>
      <c r="AC46" s="154">
        <f>0</f>
        <v>0</v>
      </c>
      <c r="AD46" s="154">
        <f>0</f>
        <v>0</v>
      </c>
      <c r="AE46" s="154">
        <f>0</f>
        <v>0</v>
      </c>
      <c r="AF46" s="154">
        <f>0</f>
        <v>0</v>
      </c>
      <c r="AG46" s="154">
        <f t="shared" si="7"/>
        <v>0</v>
      </c>
      <c r="AH46" s="154">
        <f>0</f>
        <v>0</v>
      </c>
      <c r="AI46" s="154">
        <f>0</f>
        <v>0</v>
      </c>
      <c r="AJ46" s="154">
        <f>0</f>
        <v>0</v>
      </c>
      <c r="AK46" s="168">
        <f>0</f>
        <v>0</v>
      </c>
      <c r="AL46" s="170">
        <f t="shared" si="2"/>
        <v>2</v>
      </c>
      <c r="AM46" s="45"/>
      <c r="AN46" s="151">
        <f t="shared" si="8"/>
        <v>2</v>
      </c>
      <c r="AO46" s="386">
        <v>45079</v>
      </c>
      <c r="AP46" s="245" t="s">
        <v>410</v>
      </c>
      <c r="AQ46" s="386" t="s">
        <v>547</v>
      </c>
      <c r="AR46" s="247"/>
      <c r="AS46" s="246"/>
      <c r="AT46" s="248"/>
      <c r="AU46" s="248"/>
      <c r="AV46" s="246"/>
      <c r="AW46" s="248"/>
      <c r="AX46" s="249"/>
      <c r="AY46" s="249"/>
      <c r="AZ46" s="250"/>
    </row>
    <row r="47" spans="1:52" ht="27.95" hidden="1" customHeight="1">
      <c r="A47" s="262">
        <v>43</v>
      </c>
      <c r="B47" s="263">
        <v>45072</v>
      </c>
      <c r="C47" s="252"/>
      <c r="D47" s="252"/>
      <c r="E47" s="252"/>
      <c r="F47" s="223" t="s">
        <v>285</v>
      </c>
      <c r="G47" s="258" t="s">
        <v>253</v>
      </c>
      <c r="H47" s="259" t="s">
        <v>191</v>
      </c>
      <c r="I47" s="271" t="s">
        <v>422</v>
      </c>
      <c r="J47" s="188" t="s">
        <v>253</v>
      </c>
      <c r="K47" s="188" t="s">
        <v>253</v>
      </c>
      <c r="L47" s="188" t="s">
        <v>193</v>
      </c>
      <c r="M47" s="272"/>
      <c r="N47" s="272"/>
      <c r="O47" s="272"/>
      <c r="P47" s="272"/>
      <c r="Q47" s="260"/>
      <c r="R47" s="165">
        <f>0</f>
        <v>0</v>
      </c>
      <c r="S47" s="154">
        <f>0</f>
        <v>0</v>
      </c>
      <c r="T47" s="154">
        <v>2</v>
      </c>
      <c r="U47" s="154">
        <v>2</v>
      </c>
      <c r="V47" s="154">
        <v>2</v>
      </c>
      <c r="W47" s="154">
        <v>2</v>
      </c>
      <c r="X47" s="154">
        <f>0</f>
        <v>0</v>
      </c>
      <c r="Y47" s="178">
        <f>0</f>
        <v>0</v>
      </c>
      <c r="Z47" s="154">
        <f>0</f>
        <v>0</v>
      </c>
      <c r="AA47" s="154">
        <f>0</f>
        <v>0</v>
      </c>
      <c r="AB47" s="154">
        <f>0</f>
        <v>0</v>
      </c>
      <c r="AC47" s="154">
        <f>0</f>
        <v>0</v>
      </c>
      <c r="AD47" s="154">
        <f>0</f>
        <v>0</v>
      </c>
      <c r="AE47" s="154">
        <f>0</f>
        <v>0</v>
      </c>
      <c r="AF47" s="154">
        <f>0</f>
        <v>0</v>
      </c>
      <c r="AG47" s="154">
        <f t="shared" si="7"/>
        <v>0</v>
      </c>
      <c r="AH47" s="154">
        <f>0</f>
        <v>0</v>
      </c>
      <c r="AI47" s="154">
        <f>0</f>
        <v>0</v>
      </c>
      <c r="AJ47" s="154">
        <f>0</f>
        <v>0</v>
      </c>
      <c r="AK47" s="168">
        <f>0</f>
        <v>0</v>
      </c>
      <c r="AL47" s="170">
        <f t="shared" si="2"/>
        <v>8</v>
      </c>
      <c r="AM47" s="45"/>
      <c r="AN47" s="151">
        <f t="shared" si="8"/>
        <v>8</v>
      </c>
      <c r="AO47" s="386">
        <v>45079</v>
      </c>
      <c r="AP47" s="245" t="s">
        <v>410</v>
      </c>
      <c r="AQ47" s="386" t="s">
        <v>547</v>
      </c>
      <c r="AR47" s="247"/>
      <c r="AS47" s="246"/>
      <c r="AT47" s="248"/>
      <c r="AU47" s="248"/>
      <c r="AV47" s="246"/>
      <c r="AW47" s="248"/>
      <c r="AX47" s="249"/>
      <c r="AY47" s="249"/>
      <c r="AZ47" s="250"/>
    </row>
    <row r="48" spans="1:52" ht="27.95" hidden="1" customHeight="1">
      <c r="A48" s="198">
        <v>44</v>
      </c>
      <c r="B48" s="263">
        <v>45072</v>
      </c>
      <c r="C48" s="255"/>
      <c r="D48" s="256"/>
      <c r="E48" s="256"/>
      <c r="F48" s="223" t="s">
        <v>285</v>
      </c>
      <c r="G48" s="176" t="s">
        <v>254</v>
      </c>
      <c r="H48" s="184" t="s">
        <v>141</v>
      </c>
      <c r="I48" s="187" t="s">
        <v>281</v>
      </c>
      <c r="J48" s="188" t="s">
        <v>254</v>
      </c>
      <c r="K48" s="188" t="s">
        <v>254</v>
      </c>
      <c r="L48" s="188" t="s">
        <v>193</v>
      </c>
      <c r="M48" s="227"/>
      <c r="N48" s="227"/>
      <c r="O48" s="227"/>
      <c r="P48" s="200"/>
      <c r="Q48" s="192"/>
      <c r="R48" s="165">
        <f>0</f>
        <v>0</v>
      </c>
      <c r="S48" s="154">
        <f>0</f>
        <v>0</v>
      </c>
      <c r="T48" s="154">
        <v>2</v>
      </c>
      <c r="U48" s="154">
        <v>2</v>
      </c>
      <c r="V48" s="154">
        <v>1</v>
      </c>
      <c r="W48" s="154">
        <f>0</f>
        <v>0</v>
      </c>
      <c r="X48" s="154">
        <f>0</f>
        <v>0</v>
      </c>
      <c r="Y48" s="178">
        <f>0</f>
        <v>0</v>
      </c>
      <c r="Z48" s="154">
        <f>0</f>
        <v>0</v>
      </c>
      <c r="AA48" s="154">
        <f>0</f>
        <v>0</v>
      </c>
      <c r="AB48" s="154">
        <f>0</f>
        <v>0</v>
      </c>
      <c r="AC48" s="154">
        <f>0</f>
        <v>0</v>
      </c>
      <c r="AD48" s="154">
        <f>0</f>
        <v>0</v>
      </c>
      <c r="AE48" s="154">
        <f>0</f>
        <v>0</v>
      </c>
      <c r="AF48" s="154">
        <f>0</f>
        <v>0</v>
      </c>
      <c r="AG48" s="154">
        <f t="shared" si="7"/>
        <v>0</v>
      </c>
      <c r="AH48" s="154">
        <f>0</f>
        <v>0</v>
      </c>
      <c r="AI48" s="154">
        <f>0</f>
        <v>0</v>
      </c>
      <c r="AJ48" s="154">
        <f>0</f>
        <v>0</v>
      </c>
      <c r="AK48" s="168">
        <f>0</f>
        <v>0</v>
      </c>
      <c r="AL48" s="170">
        <f t="shared" si="2"/>
        <v>5</v>
      </c>
      <c r="AM48" s="45"/>
      <c r="AN48" s="151">
        <f t="shared" si="8"/>
        <v>5</v>
      </c>
      <c r="AO48" s="386">
        <v>45079</v>
      </c>
      <c r="AP48" s="245" t="s">
        <v>410</v>
      </c>
      <c r="AQ48" s="386" t="s">
        <v>547</v>
      </c>
      <c r="AR48" s="247"/>
      <c r="AS48" s="246"/>
      <c r="AT48" s="248"/>
      <c r="AU48" s="248"/>
      <c r="AV48" s="246"/>
      <c r="AW48" s="248"/>
      <c r="AX48" s="249"/>
      <c r="AY48" s="249"/>
      <c r="AZ48" s="250"/>
    </row>
    <row r="49" spans="1:52" ht="27.95" hidden="1" customHeight="1">
      <c r="A49" s="262">
        <v>45</v>
      </c>
      <c r="B49" s="263">
        <v>45072</v>
      </c>
      <c r="C49" s="252"/>
      <c r="D49" s="252"/>
      <c r="E49" s="252"/>
      <c r="F49" s="223" t="s">
        <v>285</v>
      </c>
      <c r="G49" s="258" t="s">
        <v>255</v>
      </c>
      <c r="H49" s="259" t="s">
        <v>191</v>
      </c>
      <c r="I49" s="271" t="s">
        <v>256</v>
      </c>
      <c r="J49" s="188" t="s">
        <v>255</v>
      </c>
      <c r="K49" s="188" t="s">
        <v>255</v>
      </c>
      <c r="L49" s="188" t="s">
        <v>193</v>
      </c>
      <c r="M49" s="272"/>
      <c r="N49" s="272"/>
      <c r="O49" s="272"/>
      <c r="P49" s="272"/>
      <c r="Q49" s="260"/>
      <c r="R49" s="165">
        <f>0</f>
        <v>0</v>
      </c>
      <c r="S49" s="154">
        <f>0</f>
        <v>0</v>
      </c>
      <c r="T49" s="154">
        <v>2</v>
      </c>
      <c r="U49" s="154">
        <v>2</v>
      </c>
      <c r="V49" s="154">
        <v>1</v>
      </c>
      <c r="W49" s="154">
        <f>0</f>
        <v>0</v>
      </c>
      <c r="X49" s="154">
        <f>0</f>
        <v>0</v>
      </c>
      <c r="Y49" s="178">
        <f>0</f>
        <v>0</v>
      </c>
      <c r="Z49" s="154">
        <f>0</f>
        <v>0</v>
      </c>
      <c r="AA49" s="154">
        <f>0</f>
        <v>0</v>
      </c>
      <c r="AB49" s="154">
        <f>0</f>
        <v>0</v>
      </c>
      <c r="AC49" s="154">
        <f>0</f>
        <v>0</v>
      </c>
      <c r="AD49" s="154">
        <f>0</f>
        <v>0</v>
      </c>
      <c r="AE49" s="154">
        <f>0</f>
        <v>0</v>
      </c>
      <c r="AF49" s="154">
        <f>0</f>
        <v>0</v>
      </c>
      <c r="AG49" s="154">
        <f t="shared" si="7"/>
        <v>0</v>
      </c>
      <c r="AH49" s="154">
        <f>0</f>
        <v>0</v>
      </c>
      <c r="AI49" s="154">
        <f>0</f>
        <v>0</v>
      </c>
      <c r="AJ49" s="154">
        <f>0</f>
        <v>0</v>
      </c>
      <c r="AK49" s="168">
        <f>0</f>
        <v>0</v>
      </c>
      <c r="AL49" s="170">
        <f t="shared" si="2"/>
        <v>5</v>
      </c>
      <c r="AM49" s="45"/>
      <c r="AN49" s="151">
        <f t="shared" si="8"/>
        <v>5</v>
      </c>
      <c r="AO49" s="386">
        <v>45079</v>
      </c>
      <c r="AP49" s="245" t="s">
        <v>410</v>
      </c>
      <c r="AQ49" s="386" t="s">
        <v>547</v>
      </c>
      <c r="AR49" s="247"/>
      <c r="AS49" s="246"/>
      <c r="AT49" s="248"/>
      <c r="AU49" s="248"/>
      <c r="AV49" s="246"/>
      <c r="AW49" s="248"/>
      <c r="AX49" s="249"/>
      <c r="AY49" s="249"/>
      <c r="AZ49" s="250"/>
    </row>
    <row r="50" spans="1:52" ht="27.95" hidden="1" customHeight="1">
      <c r="A50" s="198">
        <v>46</v>
      </c>
      <c r="B50" s="263">
        <v>45072</v>
      </c>
      <c r="C50" s="255"/>
      <c r="D50" s="256"/>
      <c r="E50" s="256"/>
      <c r="F50" s="223" t="s">
        <v>285</v>
      </c>
      <c r="G50" s="176" t="s">
        <v>257</v>
      </c>
      <c r="H50" s="184" t="s">
        <v>191</v>
      </c>
      <c r="I50" s="187" t="s">
        <v>243</v>
      </c>
      <c r="J50" s="188" t="s">
        <v>257</v>
      </c>
      <c r="K50" s="188" t="s">
        <v>257</v>
      </c>
      <c r="L50" s="188" t="s">
        <v>193</v>
      </c>
      <c r="M50" s="227"/>
      <c r="N50" s="227"/>
      <c r="O50" s="227"/>
      <c r="P50" s="200"/>
      <c r="Q50" s="192"/>
      <c r="R50" s="165">
        <f>0</f>
        <v>0</v>
      </c>
      <c r="S50" s="154">
        <f>0</f>
        <v>0</v>
      </c>
      <c r="T50" s="154">
        <v>2</v>
      </c>
      <c r="U50" s="154">
        <v>2</v>
      </c>
      <c r="V50" s="154">
        <v>1</v>
      </c>
      <c r="W50" s="154">
        <f>0</f>
        <v>0</v>
      </c>
      <c r="X50" s="154">
        <f>0</f>
        <v>0</v>
      </c>
      <c r="Y50" s="178">
        <f>0</f>
        <v>0</v>
      </c>
      <c r="Z50" s="154">
        <f>0</f>
        <v>0</v>
      </c>
      <c r="AA50" s="154">
        <f>0</f>
        <v>0</v>
      </c>
      <c r="AB50" s="154">
        <f>0</f>
        <v>0</v>
      </c>
      <c r="AC50" s="154">
        <f>0</f>
        <v>0</v>
      </c>
      <c r="AD50" s="154">
        <f>0</f>
        <v>0</v>
      </c>
      <c r="AE50" s="154">
        <f>0</f>
        <v>0</v>
      </c>
      <c r="AF50" s="154">
        <f>0</f>
        <v>0</v>
      </c>
      <c r="AG50" s="154">
        <f t="shared" si="7"/>
        <v>0</v>
      </c>
      <c r="AH50" s="154">
        <f>0</f>
        <v>0</v>
      </c>
      <c r="AI50" s="154">
        <f>0</f>
        <v>0</v>
      </c>
      <c r="AJ50" s="154">
        <f>0</f>
        <v>0</v>
      </c>
      <c r="AK50" s="168">
        <f>0</f>
        <v>0</v>
      </c>
      <c r="AL50" s="170">
        <f t="shared" si="2"/>
        <v>5</v>
      </c>
      <c r="AM50" s="45"/>
      <c r="AN50" s="151">
        <f t="shared" si="8"/>
        <v>5</v>
      </c>
      <c r="AO50" s="386">
        <v>45079</v>
      </c>
      <c r="AP50" s="245" t="s">
        <v>410</v>
      </c>
      <c r="AQ50" s="386" t="s">
        <v>547</v>
      </c>
      <c r="AR50" s="247"/>
      <c r="AS50" s="246"/>
      <c r="AT50" s="248"/>
      <c r="AU50" s="248"/>
      <c r="AV50" s="246"/>
      <c r="AW50" s="248"/>
      <c r="AX50" s="249"/>
      <c r="AY50" s="249"/>
      <c r="AZ50" s="250"/>
    </row>
    <row r="51" spans="1:52" s="221" customFormat="1" ht="27.95" hidden="1" customHeight="1">
      <c r="A51" s="325">
        <v>47</v>
      </c>
      <c r="B51" s="326">
        <v>45072</v>
      </c>
      <c r="C51" s="252"/>
      <c r="D51" s="252"/>
      <c r="E51" s="252"/>
      <c r="F51" s="213" t="s">
        <v>285</v>
      </c>
      <c r="G51" s="404" t="s">
        <v>282</v>
      </c>
      <c r="H51" s="327" t="s">
        <v>258</v>
      </c>
      <c r="I51" s="329" t="s">
        <v>259</v>
      </c>
      <c r="J51" s="275" t="s">
        <v>260</v>
      </c>
      <c r="K51" s="275" t="s">
        <v>260</v>
      </c>
      <c r="L51" s="275" t="s">
        <v>261</v>
      </c>
      <c r="M51" s="405"/>
      <c r="N51" s="405"/>
      <c r="O51" s="405"/>
      <c r="P51" s="405"/>
      <c r="Q51" s="333"/>
      <c r="R51" s="330">
        <f>0</f>
        <v>0</v>
      </c>
      <c r="S51" s="331">
        <f>0</f>
        <v>0</v>
      </c>
      <c r="T51" s="331">
        <v>4</v>
      </c>
      <c r="U51" s="331">
        <v>4</v>
      </c>
      <c r="V51" s="331">
        <v>2</v>
      </c>
      <c r="W51" s="331">
        <f>0</f>
        <v>0</v>
      </c>
      <c r="X51" s="331">
        <f>0</f>
        <v>0</v>
      </c>
      <c r="Y51" s="332">
        <f>0</f>
        <v>0</v>
      </c>
      <c r="Z51" s="331">
        <f>0</f>
        <v>0</v>
      </c>
      <c r="AA51" s="331">
        <f>0</f>
        <v>0</v>
      </c>
      <c r="AB51" s="331">
        <f>0</f>
        <v>0</v>
      </c>
      <c r="AC51" s="331">
        <f>0</f>
        <v>0</v>
      </c>
      <c r="AD51" s="331">
        <f>0</f>
        <v>0</v>
      </c>
      <c r="AE51" s="331">
        <f>0</f>
        <v>0</v>
      </c>
      <c r="AF51" s="331">
        <f>0</f>
        <v>0</v>
      </c>
      <c r="AG51" s="331">
        <f t="shared" si="7"/>
        <v>0</v>
      </c>
      <c r="AH51" s="331">
        <f>0</f>
        <v>0</v>
      </c>
      <c r="AI51" s="331">
        <f>0</f>
        <v>0</v>
      </c>
      <c r="AJ51" s="331">
        <f>0</f>
        <v>0</v>
      </c>
      <c r="AK51" s="406">
        <f>0</f>
        <v>0</v>
      </c>
      <c r="AL51" s="334">
        <f t="shared" si="2"/>
        <v>10</v>
      </c>
      <c r="AM51" s="335"/>
      <c r="AN51" s="336">
        <f t="shared" si="8"/>
        <v>10</v>
      </c>
      <c r="AO51" s="344">
        <v>45084</v>
      </c>
      <c r="AP51" s="213" t="s">
        <v>410</v>
      </c>
      <c r="AQ51" s="388" t="s">
        <v>543</v>
      </c>
      <c r="AR51" s="339"/>
      <c r="AS51" s="338"/>
      <c r="AT51" s="407"/>
      <c r="AU51" s="407">
        <v>10</v>
      </c>
      <c r="AV51" s="338"/>
      <c r="AW51" s="218" t="s">
        <v>588</v>
      </c>
      <c r="AX51" s="408"/>
      <c r="AY51" s="408"/>
      <c r="AZ51" s="342"/>
    </row>
    <row r="52" spans="1:52" s="221" customFormat="1" ht="27.95" hidden="1" customHeight="1">
      <c r="A52" s="253">
        <v>48</v>
      </c>
      <c r="B52" s="326">
        <v>45072</v>
      </c>
      <c r="C52" s="255"/>
      <c r="D52" s="256"/>
      <c r="E52" s="256"/>
      <c r="F52" s="213" t="s">
        <v>285</v>
      </c>
      <c r="G52" s="214" t="s">
        <v>262</v>
      </c>
      <c r="H52" s="215" t="s">
        <v>263</v>
      </c>
      <c r="I52" s="328" t="s">
        <v>264</v>
      </c>
      <c r="J52" s="275" t="s">
        <v>262</v>
      </c>
      <c r="K52" s="275" t="s">
        <v>262</v>
      </c>
      <c r="L52" s="275" t="s">
        <v>261</v>
      </c>
      <c r="M52" s="380"/>
      <c r="N52" s="380"/>
      <c r="O52" s="380"/>
      <c r="P52" s="381"/>
      <c r="Q52" s="216"/>
      <c r="R52" s="330">
        <f>0</f>
        <v>0</v>
      </c>
      <c r="S52" s="331">
        <f>0</f>
        <v>0</v>
      </c>
      <c r="T52" s="331">
        <v>4</v>
      </c>
      <c r="U52" s="331">
        <v>4</v>
      </c>
      <c r="V52" s="331">
        <v>2</v>
      </c>
      <c r="W52" s="331">
        <f>0</f>
        <v>0</v>
      </c>
      <c r="X52" s="331">
        <f>0</f>
        <v>0</v>
      </c>
      <c r="Y52" s="332">
        <f>0</f>
        <v>0</v>
      </c>
      <c r="Z52" s="331">
        <f>0</f>
        <v>0</v>
      </c>
      <c r="AA52" s="331">
        <f>0</f>
        <v>0</v>
      </c>
      <c r="AB52" s="331">
        <f>0</f>
        <v>0</v>
      </c>
      <c r="AC52" s="331">
        <f>0</f>
        <v>0</v>
      </c>
      <c r="AD52" s="331">
        <f>0</f>
        <v>0</v>
      </c>
      <c r="AE52" s="331">
        <f>0</f>
        <v>0</v>
      </c>
      <c r="AF52" s="331">
        <f>0</f>
        <v>0</v>
      </c>
      <c r="AG52" s="331">
        <f t="shared" si="7"/>
        <v>0</v>
      </c>
      <c r="AH52" s="331">
        <f>0</f>
        <v>0</v>
      </c>
      <c r="AI52" s="331">
        <f>0</f>
        <v>0</v>
      </c>
      <c r="AJ52" s="331">
        <f>0</f>
        <v>0</v>
      </c>
      <c r="AK52" s="406">
        <f>0</f>
        <v>0</v>
      </c>
      <c r="AL52" s="334">
        <f t="shared" si="2"/>
        <v>10</v>
      </c>
      <c r="AM52" s="335"/>
      <c r="AN52" s="336">
        <f t="shared" si="8"/>
        <v>10</v>
      </c>
      <c r="AO52" s="344">
        <v>45084</v>
      </c>
      <c r="AP52" s="213" t="s">
        <v>410</v>
      </c>
      <c r="AQ52" s="388" t="s">
        <v>543</v>
      </c>
      <c r="AR52" s="339"/>
      <c r="AS52" s="338"/>
      <c r="AT52" s="407"/>
      <c r="AU52" s="407">
        <v>10</v>
      </c>
      <c r="AV52" s="338"/>
      <c r="AW52" s="218" t="s">
        <v>588</v>
      </c>
      <c r="AX52" s="408"/>
      <c r="AY52" s="408"/>
      <c r="AZ52" s="342"/>
    </row>
    <row r="53" spans="1:52" s="221" customFormat="1" ht="27.95" hidden="1" customHeight="1">
      <c r="A53" s="325">
        <v>49</v>
      </c>
      <c r="B53" s="326">
        <v>45072</v>
      </c>
      <c r="C53" s="252"/>
      <c r="D53" s="252"/>
      <c r="E53" s="252"/>
      <c r="F53" s="213" t="s">
        <v>285</v>
      </c>
      <c r="G53" s="404" t="s">
        <v>265</v>
      </c>
      <c r="H53" s="327" t="s">
        <v>191</v>
      </c>
      <c r="I53" s="329" t="s">
        <v>266</v>
      </c>
      <c r="J53" s="275" t="s">
        <v>265</v>
      </c>
      <c r="K53" s="275" t="s">
        <v>265</v>
      </c>
      <c r="L53" s="275" t="s">
        <v>267</v>
      </c>
      <c r="M53" s="405"/>
      <c r="N53" s="405"/>
      <c r="O53" s="405"/>
      <c r="P53" s="405"/>
      <c r="Q53" s="333"/>
      <c r="R53" s="330">
        <f>0</f>
        <v>0</v>
      </c>
      <c r="S53" s="331">
        <f>0</f>
        <v>0</v>
      </c>
      <c r="T53" s="331">
        <v>1</v>
      </c>
      <c r="U53" s="331">
        <v>1</v>
      </c>
      <c r="V53" s="331">
        <v>1</v>
      </c>
      <c r="W53" s="331">
        <f>0</f>
        <v>0</v>
      </c>
      <c r="X53" s="331">
        <f>0</f>
        <v>0</v>
      </c>
      <c r="Y53" s="332">
        <f>0</f>
        <v>0</v>
      </c>
      <c r="Z53" s="331">
        <f>0</f>
        <v>0</v>
      </c>
      <c r="AA53" s="331">
        <f>0</f>
        <v>0</v>
      </c>
      <c r="AB53" s="331">
        <f>0</f>
        <v>0</v>
      </c>
      <c r="AC53" s="331">
        <f>0</f>
        <v>0</v>
      </c>
      <c r="AD53" s="331">
        <f>0</f>
        <v>0</v>
      </c>
      <c r="AE53" s="331">
        <f>0</f>
        <v>0</v>
      </c>
      <c r="AF53" s="331">
        <f>0</f>
        <v>0</v>
      </c>
      <c r="AG53" s="331">
        <f t="shared" si="7"/>
        <v>0</v>
      </c>
      <c r="AH53" s="331">
        <f>0</f>
        <v>0</v>
      </c>
      <c r="AI53" s="331">
        <f>0</f>
        <v>0</v>
      </c>
      <c r="AJ53" s="331">
        <f>0</f>
        <v>0</v>
      </c>
      <c r="AK53" s="406">
        <f>0</f>
        <v>0</v>
      </c>
      <c r="AL53" s="334">
        <f t="shared" si="2"/>
        <v>3</v>
      </c>
      <c r="AM53" s="335">
        <v>1</v>
      </c>
      <c r="AN53" s="336">
        <f t="shared" si="8"/>
        <v>2</v>
      </c>
      <c r="AO53" s="344">
        <v>45084</v>
      </c>
      <c r="AP53" s="338" t="s">
        <v>410</v>
      </c>
      <c r="AQ53" s="388" t="s">
        <v>550</v>
      </c>
      <c r="AR53" s="339"/>
      <c r="AS53" s="338"/>
      <c r="AT53" s="407"/>
      <c r="AU53" s="407">
        <v>2</v>
      </c>
      <c r="AV53" s="338"/>
      <c r="AW53" s="218" t="s">
        <v>561</v>
      </c>
      <c r="AX53" s="408"/>
      <c r="AY53" s="408"/>
      <c r="AZ53" s="342"/>
    </row>
    <row r="54" spans="1:52" ht="27.95" hidden="1" customHeight="1">
      <c r="A54" s="198">
        <v>50</v>
      </c>
      <c r="B54" s="263">
        <v>45072</v>
      </c>
      <c r="C54" s="255"/>
      <c r="D54" s="256"/>
      <c r="E54" s="256"/>
      <c r="F54" s="223" t="s">
        <v>285</v>
      </c>
      <c r="G54" s="176">
        <v>92001</v>
      </c>
      <c r="H54" s="184" t="s">
        <v>191</v>
      </c>
      <c r="I54" s="187" t="s">
        <v>215</v>
      </c>
      <c r="J54" s="188">
        <v>92001</v>
      </c>
      <c r="K54" s="188">
        <v>92001</v>
      </c>
      <c r="L54" s="188" t="s">
        <v>216</v>
      </c>
      <c r="M54" s="227"/>
      <c r="N54" s="227"/>
      <c r="O54" s="227"/>
      <c r="P54" s="200"/>
      <c r="Q54" s="192"/>
      <c r="R54" s="165">
        <f>0</f>
        <v>0</v>
      </c>
      <c r="S54" s="154">
        <v>4</v>
      </c>
      <c r="T54" s="154">
        <v>4</v>
      </c>
      <c r="U54" s="154">
        <v>4</v>
      </c>
      <c r="V54" s="154">
        <v>4</v>
      </c>
      <c r="W54" s="154">
        <v>4</v>
      </c>
      <c r="X54" s="154">
        <f>0</f>
        <v>0</v>
      </c>
      <c r="Y54" s="178">
        <f>0</f>
        <v>0</v>
      </c>
      <c r="Z54" s="154">
        <f>0</f>
        <v>0</v>
      </c>
      <c r="AA54" s="154">
        <f>0</f>
        <v>0</v>
      </c>
      <c r="AB54" s="154">
        <f>0</f>
        <v>0</v>
      </c>
      <c r="AC54" s="154">
        <f>0</f>
        <v>0</v>
      </c>
      <c r="AD54" s="154">
        <f>0</f>
        <v>0</v>
      </c>
      <c r="AE54" s="154">
        <f>0</f>
        <v>0</v>
      </c>
      <c r="AF54" s="154">
        <f>0</f>
        <v>0</v>
      </c>
      <c r="AG54" s="154">
        <f t="shared" si="7"/>
        <v>0</v>
      </c>
      <c r="AH54" s="154">
        <f>0</f>
        <v>0</v>
      </c>
      <c r="AI54" s="154">
        <f>0</f>
        <v>0</v>
      </c>
      <c r="AJ54" s="154">
        <f>0</f>
        <v>0</v>
      </c>
      <c r="AK54" s="168">
        <f>0</f>
        <v>0</v>
      </c>
      <c r="AL54" s="170">
        <f t="shared" si="2"/>
        <v>20</v>
      </c>
      <c r="AM54" s="45"/>
      <c r="AN54" s="151">
        <f t="shared" si="8"/>
        <v>20</v>
      </c>
      <c r="AO54" s="245"/>
      <c r="AP54" s="246" t="s">
        <v>410</v>
      </c>
      <c r="AQ54" s="270" t="s">
        <v>49</v>
      </c>
      <c r="AR54" s="247"/>
      <c r="AS54" s="246"/>
      <c r="AT54" s="248"/>
      <c r="AU54" s="248"/>
      <c r="AV54" s="246"/>
      <c r="AW54" s="248"/>
      <c r="AX54" s="249"/>
      <c r="AY54" s="249"/>
      <c r="AZ54" s="250"/>
    </row>
    <row r="55" spans="1:52" ht="27.95" hidden="1" customHeight="1">
      <c r="A55" s="262">
        <v>51</v>
      </c>
      <c r="B55" s="263">
        <v>45072</v>
      </c>
      <c r="C55" s="252"/>
      <c r="D55" s="252"/>
      <c r="E55" s="252"/>
      <c r="F55" s="223" t="s">
        <v>285</v>
      </c>
      <c r="G55" s="258" t="s">
        <v>268</v>
      </c>
      <c r="H55" s="259" t="s">
        <v>269</v>
      </c>
      <c r="I55" s="271" t="s">
        <v>270</v>
      </c>
      <c r="J55" s="188" t="s">
        <v>271</v>
      </c>
      <c r="K55" s="188" t="s">
        <v>271</v>
      </c>
      <c r="L55" s="188" t="s">
        <v>229</v>
      </c>
      <c r="M55" s="272"/>
      <c r="N55" s="272"/>
      <c r="O55" s="272"/>
      <c r="P55" s="272"/>
      <c r="Q55" s="260"/>
      <c r="R55" s="165">
        <f>0</f>
        <v>0</v>
      </c>
      <c r="S55" s="154">
        <f>0</f>
        <v>0</v>
      </c>
      <c r="T55" s="154">
        <v>4</v>
      </c>
      <c r="U55" s="154">
        <v>4</v>
      </c>
      <c r="V55" s="154">
        <v>2</v>
      </c>
      <c r="W55" s="154">
        <f>0</f>
        <v>0</v>
      </c>
      <c r="X55" s="154">
        <f>0</f>
        <v>0</v>
      </c>
      <c r="Y55" s="178">
        <f>0</f>
        <v>0</v>
      </c>
      <c r="Z55" s="154">
        <f>0</f>
        <v>0</v>
      </c>
      <c r="AA55" s="154">
        <f>0</f>
        <v>0</v>
      </c>
      <c r="AB55" s="154">
        <f>0</f>
        <v>0</v>
      </c>
      <c r="AC55" s="154">
        <f>0</f>
        <v>0</v>
      </c>
      <c r="AD55" s="154">
        <f>0</f>
        <v>0</v>
      </c>
      <c r="AE55" s="154">
        <f>0</f>
        <v>0</v>
      </c>
      <c r="AF55" s="154">
        <f>0</f>
        <v>0</v>
      </c>
      <c r="AG55" s="154">
        <f t="shared" si="7"/>
        <v>0</v>
      </c>
      <c r="AH55" s="154">
        <f>0</f>
        <v>0</v>
      </c>
      <c r="AI55" s="154">
        <f>0</f>
        <v>0</v>
      </c>
      <c r="AJ55" s="154">
        <f>0</f>
        <v>0</v>
      </c>
      <c r="AK55" s="168">
        <f>0</f>
        <v>0</v>
      </c>
      <c r="AL55" s="170">
        <f t="shared" si="2"/>
        <v>10</v>
      </c>
      <c r="AM55" s="45"/>
      <c r="AN55" s="151">
        <f t="shared" si="8"/>
        <v>10</v>
      </c>
      <c r="AO55" s="245"/>
      <c r="AP55" s="261" t="s">
        <v>410</v>
      </c>
      <c r="AQ55" s="273" t="s">
        <v>49</v>
      </c>
      <c r="AR55" s="247"/>
      <c r="AS55" s="246"/>
      <c r="AT55" s="248"/>
      <c r="AU55" s="248"/>
      <c r="AV55" s="246"/>
      <c r="AW55" s="248"/>
      <c r="AX55" s="249"/>
      <c r="AY55" s="249"/>
      <c r="AZ55" s="250"/>
    </row>
    <row r="56" spans="1:52" ht="27.95" hidden="1" customHeight="1">
      <c r="A56" s="198">
        <v>52</v>
      </c>
      <c r="B56" s="263">
        <v>45072</v>
      </c>
      <c r="C56" s="255"/>
      <c r="D56" s="256"/>
      <c r="E56" s="256"/>
      <c r="F56" s="223" t="s">
        <v>285</v>
      </c>
      <c r="G56" s="176" t="s">
        <v>272</v>
      </c>
      <c r="H56" s="184" t="s">
        <v>273</v>
      </c>
      <c r="I56" s="187" t="s">
        <v>233</v>
      </c>
      <c r="J56" s="188" t="s">
        <v>274</v>
      </c>
      <c r="K56" s="188" t="s">
        <v>274</v>
      </c>
      <c r="L56" s="188" t="s">
        <v>229</v>
      </c>
      <c r="M56" s="227"/>
      <c r="N56" s="227"/>
      <c r="O56" s="227"/>
      <c r="P56" s="200"/>
      <c r="Q56" s="192"/>
      <c r="R56" s="165">
        <f>0</f>
        <v>0</v>
      </c>
      <c r="S56" s="154">
        <f>0</f>
        <v>0</v>
      </c>
      <c r="T56" s="154">
        <v>2</v>
      </c>
      <c r="U56" s="154">
        <v>2</v>
      </c>
      <c r="V56" s="154">
        <v>1</v>
      </c>
      <c r="W56" s="154">
        <f>0</f>
        <v>0</v>
      </c>
      <c r="X56" s="154">
        <f>0</f>
        <v>0</v>
      </c>
      <c r="Y56" s="178">
        <f>0</f>
        <v>0</v>
      </c>
      <c r="Z56" s="154">
        <f>0</f>
        <v>0</v>
      </c>
      <c r="AA56" s="154">
        <f>0</f>
        <v>0</v>
      </c>
      <c r="AB56" s="154">
        <f>0</f>
        <v>0</v>
      </c>
      <c r="AC56" s="154">
        <f>0</f>
        <v>0</v>
      </c>
      <c r="AD56" s="154">
        <f>0</f>
        <v>0</v>
      </c>
      <c r="AE56" s="154">
        <f>0</f>
        <v>0</v>
      </c>
      <c r="AF56" s="154">
        <f>0</f>
        <v>0</v>
      </c>
      <c r="AG56" s="154">
        <f t="shared" si="7"/>
        <v>0</v>
      </c>
      <c r="AH56" s="154">
        <f>0</f>
        <v>0</v>
      </c>
      <c r="AI56" s="154">
        <f>0</f>
        <v>0</v>
      </c>
      <c r="AJ56" s="154">
        <f>0</f>
        <v>0</v>
      </c>
      <c r="AK56" s="168">
        <f>0</f>
        <v>0</v>
      </c>
      <c r="AL56" s="170">
        <f t="shared" si="2"/>
        <v>5</v>
      </c>
      <c r="AM56" s="45"/>
      <c r="AN56" s="151">
        <f t="shared" si="8"/>
        <v>5</v>
      </c>
      <c r="AO56" s="245"/>
      <c r="AP56" s="261" t="s">
        <v>410</v>
      </c>
      <c r="AQ56" s="273" t="s">
        <v>49</v>
      </c>
      <c r="AR56" s="247"/>
      <c r="AS56" s="246"/>
      <c r="AT56" s="248"/>
      <c r="AU56" s="248"/>
      <c r="AV56" s="246"/>
      <c r="AW56" s="248"/>
      <c r="AX56" s="249"/>
      <c r="AY56" s="249"/>
      <c r="AZ56" s="250"/>
    </row>
    <row r="57" spans="1:52" ht="27.95" hidden="1" customHeight="1">
      <c r="A57" s="262">
        <v>53</v>
      </c>
      <c r="B57" s="263">
        <v>45072</v>
      </c>
      <c r="C57" s="252"/>
      <c r="D57" s="252"/>
      <c r="E57" s="252"/>
      <c r="F57" s="223" t="s">
        <v>285</v>
      </c>
      <c r="G57" s="258" t="s">
        <v>275</v>
      </c>
      <c r="H57" s="259" t="s">
        <v>276</v>
      </c>
      <c r="I57" s="271" t="s">
        <v>277</v>
      </c>
      <c r="J57" s="188" t="s">
        <v>278</v>
      </c>
      <c r="K57" s="188" t="s">
        <v>278</v>
      </c>
      <c r="L57" s="188" t="s">
        <v>229</v>
      </c>
      <c r="M57" s="272"/>
      <c r="N57" s="272"/>
      <c r="O57" s="272"/>
      <c r="P57" s="272"/>
      <c r="Q57" s="260"/>
      <c r="R57" s="165">
        <f>0</f>
        <v>0</v>
      </c>
      <c r="S57" s="154">
        <f>0</f>
        <v>0</v>
      </c>
      <c r="T57" s="154">
        <v>4</v>
      </c>
      <c r="U57" s="154">
        <v>4</v>
      </c>
      <c r="V57" s="154">
        <v>2</v>
      </c>
      <c r="W57" s="154">
        <f>0</f>
        <v>0</v>
      </c>
      <c r="X57" s="154">
        <f>0</f>
        <v>0</v>
      </c>
      <c r="Y57" s="178">
        <f>0</f>
        <v>0</v>
      </c>
      <c r="Z57" s="154">
        <f>0</f>
        <v>0</v>
      </c>
      <c r="AA57" s="154">
        <f>0</f>
        <v>0</v>
      </c>
      <c r="AB57" s="154">
        <f>0</f>
        <v>0</v>
      </c>
      <c r="AC57" s="154">
        <f>0</f>
        <v>0</v>
      </c>
      <c r="AD57" s="154">
        <f>0</f>
        <v>0</v>
      </c>
      <c r="AE57" s="154">
        <f>0</f>
        <v>0</v>
      </c>
      <c r="AF57" s="154">
        <f>0</f>
        <v>0</v>
      </c>
      <c r="AG57" s="154">
        <f t="shared" si="7"/>
        <v>0</v>
      </c>
      <c r="AH57" s="154">
        <f>0</f>
        <v>0</v>
      </c>
      <c r="AI57" s="154">
        <f>0</f>
        <v>0</v>
      </c>
      <c r="AJ57" s="154">
        <f>0</f>
        <v>0</v>
      </c>
      <c r="AK57" s="168">
        <f>0</f>
        <v>0</v>
      </c>
      <c r="AL57" s="170">
        <f t="shared" si="2"/>
        <v>10</v>
      </c>
      <c r="AM57" s="45"/>
      <c r="AN57" s="151">
        <f t="shared" si="8"/>
        <v>10</v>
      </c>
      <c r="AO57" s="245"/>
      <c r="AP57" s="261" t="s">
        <v>410</v>
      </c>
      <c r="AQ57" s="273" t="s">
        <v>49</v>
      </c>
      <c r="AR57" s="247"/>
      <c r="AS57" s="246"/>
      <c r="AT57" s="248"/>
      <c r="AU57" s="248"/>
      <c r="AV57" s="246"/>
      <c r="AW57" s="248"/>
      <c r="AX57" s="249"/>
      <c r="AY57" s="249"/>
      <c r="AZ57" s="250"/>
    </row>
    <row r="58" spans="1:52" ht="27.95" hidden="1" customHeight="1">
      <c r="A58" s="262">
        <v>54</v>
      </c>
      <c r="B58" s="263">
        <v>45072</v>
      </c>
      <c r="C58" s="252"/>
      <c r="D58" s="252"/>
      <c r="E58" s="252"/>
      <c r="F58" s="223" t="s">
        <v>285</v>
      </c>
      <c r="G58" s="258" t="s">
        <v>279</v>
      </c>
      <c r="H58" s="259" t="s">
        <v>276</v>
      </c>
      <c r="I58" s="271" t="s">
        <v>277</v>
      </c>
      <c r="J58" s="267" t="s">
        <v>278</v>
      </c>
      <c r="K58" s="267" t="s">
        <v>278</v>
      </c>
      <c r="L58" s="267" t="s">
        <v>229</v>
      </c>
      <c r="M58" s="272"/>
      <c r="N58" s="272"/>
      <c r="O58" s="272"/>
      <c r="P58" s="272"/>
      <c r="Q58" s="260"/>
      <c r="R58" s="165">
        <f>0</f>
        <v>0</v>
      </c>
      <c r="S58" s="154">
        <f>0</f>
        <v>0</v>
      </c>
      <c r="T58" s="154">
        <v>2</v>
      </c>
      <c r="U58" s="154">
        <v>2</v>
      </c>
      <c r="V58" s="154">
        <v>1</v>
      </c>
      <c r="W58" s="154">
        <f>0</f>
        <v>0</v>
      </c>
      <c r="X58" s="154">
        <f>0</f>
        <v>0</v>
      </c>
      <c r="Y58" s="178">
        <f>0</f>
        <v>0</v>
      </c>
      <c r="Z58" s="154">
        <f>0</f>
        <v>0</v>
      </c>
      <c r="AA58" s="154">
        <f>0</f>
        <v>0</v>
      </c>
      <c r="AB58" s="154">
        <f>0</f>
        <v>0</v>
      </c>
      <c r="AC58" s="154">
        <f>0</f>
        <v>0</v>
      </c>
      <c r="AD58" s="154">
        <f>0</f>
        <v>0</v>
      </c>
      <c r="AE58" s="154">
        <f>0</f>
        <v>0</v>
      </c>
      <c r="AF58" s="154">
        <f>0</f>
        <v>0</v>
      </c>
      <c r="AG58" s="154">
        <f t="shared" si="7"/>
        <v>0</v>
      </c>
      <c r="AH58" s="154">
        <f>0</f>
        <v>0</v>
      </c>
      <c r="AI58" s="154">
        <f>0</f>
        <v>0</v>
      </c>
      <c r="AJ58" s="154">
        <f>0</f>
        <v>0</v>
      </c>
      <c r="AK58" s="168">
        <f>0</f>
        <v>0</v>
      </c>
      <c r="AL58" s="170">
        <f t="shared" si="2"/>
        <v>5</v>
      </c>
      <c r="AM58" s="45"/>
      <c r="AN58" s="151">
        <f t="shared" si="8"/>
        <v>5</v>
      </c>
      <c r="AO58" s="245"/>
      <c r="AP58" s="261" t="s">
        <v>410</v>
      </c>
      <c r="AQ58" s="273" t="s">
        <v>49</v>
      </c>
      <c r="AR58" s="247"/>
      <c r="AS58" s="246"/>
      <c r="AT58" s="248"/>
      <c r="AU58" s="248"/>
      <c r="AV58" s="246"/>
      <c r="AW58" s="248"/>
      <c r="AX58" s="249"/>
      <c r="AY58" s="249"/>
      <c r="AZ58" s="250"/>
    </row>
    <row r="59" spans="1:52" ht="27.95" hidden="1" customHeight="1">
      <c r="A59" s="198">
        <v>55</v>
      </c>
      <c r="B59" s="263">
        <v>45072</v>
      </c>
      <c r="C59" s="255"/>
      <c r="D59" s="256"/>
      <c r="E59" s="256"/>
      <c r="F59" s="223" t="s">
        <v>285</v>
      </c>
      <c r="G59" s="242" t="s">
        <v>280</v>
      </c>
      <c r="H59" s="243" t="s">
        <v>276</v>
      </c>
      <c r="I59" s="266" t="s">
        <v>277</v>
      </c>
      <c r="J59" s="267" t="s">
        <v>278</v>
      </c>
      <c r="K59" s="267" t="s">
        <v>278</v>
      </c>
      <c r="L59" s="267" t="s">
        <v>229</v>
      </c>
      <c r="M59" s="268"/>
      <c r="N59" s="268"/>
      <c r="O59" s="268"/>
      <c r="P59" s="269"/>
      <c r="Q59" s="244"/>
      <c r="R59" s="165">
        <f>0</f>
        <v>0</v>
      </c>
      <c r="S59" s="154">
        <f>0</f>
        <v>0</v>
      </c>
      <c r="T59" s="154">
        <v>12</v>
      </c>
      <c r="U59" s="154">
        <v>12</v>
      </c>
      <c r="V59" s="154">
        <v>6</v>
      </c>
      <c r="W59" s="154">
        <f>0</f>
        <v>0</v>
      </c>
      <c r="X59" s="154">
        <f>0</f>
        <v>0</v>
      </c>
      <c r="Y59" s="178">
        <f>0</f>
        <v>0</v>
      </c>
      <c r="Z59" s="154">
        <f>0</f>
        <v>0</v>
      </c>
      <c r="AA59" s="154">
        <f>0</f>
        <v>0</v>
      </c>
      <c r="AB59" s="154">
        <f>0</f>
        <v>0</v>
      </c>
      <c r="AC59" s="154">
        <f>0</f>
        <v>0</v>
      </c>
      <c r="AD59" s="154">
        <f>0</f>
        <v>0</v>
      </c>
      <c r="AE59" s="154">
        <f>0</f>
        <v>0</v>
      </c>
      <c r="AF59" s="154">
        <f>0</f>
        <v>0</v>
      </c>
      <c r="AG59" s="154">
        <f t="shared" si="7"/>
        <v>0</v>
      </c>
      <c r="AH59" s="154">
        <f>0</f>
        <v>0</v>
      </c>
      <c r="AI59" s="154">
        <f>0</f>
        <v>0</v>
      </c>
      <c r="AJ59" s="154">
        <f>0</f>
        <v>0</v>
      </c>
      <c r="AK59" s="168">
        <f>0</f>
        <v>0</v>
      </c>
      <c r="AL59" s="170">
        <f t="shared" si="2"/>
        <v>30</v>
      </c>
      <c r="AM59" s="45"/>
      <c r="AN59" s="151">
        <v>2</v>
      </c>
      <c r="AO59" s="252"/>
      <c r="AP59" s="261" t="s">
        <v>410</v>
      </c>
      <c r="AQ59" s="273" t="s">
        <v>49</v>
      </c>
      <c r="AR59" s="259"/>
      <c r="AS59" s="246"/>
      <c r="AT59" s="248"/>
      <c r="AU59" s="248"/>
      <c r="AV59" s="246"/>
      <c r="AW59" s="248"/>
      <c r="AX59" s="249"/>
      <c r="AY59" s="249"/>
      <c r="AZ59" s="251"/>
    </row>
    <row r="60" spans="1:52" ht="27.95" hidden="1" customHeight="1">
      <c r="A60" s="262">
        <v>56</v>
      </c>
      <c r="B60" s="263">
        <v>45072</v>
      </c>
      <c r="C60" s="252"/>
      <c r="D60" s="252"/>
      <c r="E60" s="252"/>
      <c r="F60" s="223" t="s">
        <v>285</v>
      </c>
      <c r="G60" s="258" t="s">
        <v>283</v>
      </c>
      <c r="H60" s="259" t="s">
        <v>141</v>
      </c>
      <c r="I60" s="271" t="s">
        <v>284</v>
      </c>
      <c r="J60" s="267"/>
      <c r="K60" s="267"/>
      <c r="L60" s="267" t="s">
        <v>423</v>
      </c>
      <c r="M60" s="272"/>
      <c r="N60" s="272"/>
      <c r="O60" s="272"/>
      <c r="P60" s="272"/>
      <c r="Q60" s="260"/>
      <c r="R60" s="165">
        <f>0</f>
        <v>0</v>
      </c>
      <c r="S60" s="154">
        <v>1</v>
      </c>
      <c r="T60" s="154">
        <v>1</v>
      </c>
      <c r="U60" s="154">
        <v>1</v>
      </c>
      <c r="V60" s="154">
        <v>1</v>
      </c>
      <c r="W60" s="154">
        <v>1</v>
      </c>
      <c r="X60" s="154">
        <f>0</f>
        <v>0</v>
      </c>
      <c r="Y60" s="178">
        <f>0</f>
        <v>0</v>
      </c>
      <c r="Z60" s="154">
        <f>0</f>
        <v>0</v>
      </c>
      <c r="AA60" s="154">
        <f>0</f>
        <v>0</v>
      </c>
      <c r="AB60" s="154">
        <f>0</f>
        <v>0</v>
      </c>
      <c r="AC60" s="154">
        <f>0</f>
        <v>0</v>
      </c>
      <c r="AD60" s="154">
        <f>0</f>
        <v>0</v>
      </c>
      <c r="AE60" s="154">
        <f>0</f>
        <v>0</v>
      </c>
      <c r="AF60" s="154">
        <f>0</f>
        <v>0</v>
      </c>
      <c r="AG60" s="154">
        <f>AE60-AF60</f>
        <v>0</v>
      </c>
      <c r="AH60" s="154">
        <f>0</f>
        <v>0</v>
      </c>
      <c r="AI60" s="154">
        <f>0</f>
        <v>0</v>
      </c>
      <c r="AJ60" s="154">
        <f>0</f>
        <v>0</v>
      </c>
      <c r="AK60" s="168">
        <f>0</f>
        <v>0</v>
      </c>
      <c r="AL60" s="170">
        <f t="shared" si="2"/>
        <v>5</v>
      </c>
      <c r="AM60" s="45"/>
      <c r="AN60" s="151">
        <f>AL60-AM60</f>
        <v>5</v>
      </c>
      <c r="AO60" s="256"/>
      <c r="AP60" s="223" t="s">
        <v>410</v>
      </c>
      <c r="AQ60" s="176" t="s">
        <v>99</v>
      </c>
      <c r="AR60" s="184"/>
      <c r="AS60" s="246"/>
      <c r="AT60" s="248"/>
      <c r="AU60" s="248"/>
      <c r="AV60" s="246"/>
      <c r="AW60" s="248"/>
      <c r="AX60" s="249"/>
      <c r="AY60" s="249"/>
      <c r="AZ60" s="251"/>
    </row>
    <row r="61" spans="1:52" s="368" customFormat="1" ht="27.95" hidden="1" customHeight="1">
      <c r="A61" s="349">
        <v>57</v>
      </c>
      <c r="B61" s="350">
        <v>45072</v>
      </c>
      <c r="C61" s="255"/>
      <c r="D61" s="256"/>
      <c r="E61" s="256"/>
      <c r="F61" s="351" t="s">
        <v>288</v>
      </c>
      <c r="G61" s="352" t="s">
        <v>289</v>
      </c>
      <c r="H61" s="353" t="s">
        <v>191</v>
      </c>
      <c r="I61" s="354" t="s">
        <v>290</v>
      </c>
      <c r="J61" s="355" t="s">
        <v>291</v>
      </c>
      <c r="K61" s="355" t="s">
        <v>289</v>
      </c>
      <c r="L61" s="355" t="s">
        <v>138</v>
      </c>
      <c r="M61" s="268" t="s">
        <v>80</v>
      </c>
      <c r="N61" s="268" t="s">
        <v>80</v>
      </c>
      <c r="O61" s="268" t="s">
        <v>80</v>
      </c>
      <c r="P61" s="269"/>
      <c r="Q61" s="356" t="s">
        <v>406</v>
      </c>
      <c r="R61" s="357">
        <f>0</f>
        <v>0</v>
      </c>
      <c r="S61" s="358">
        <f>0</f>
        <v>0</v>
      </c>
      <c r="T61" s="358">
        <f>0</f>
        <v>0</v>
      </c>
      <c r="U61" s="358">
        <f>0</f>
        <v>0</v>
      </c>
      <c r="V61" s="358">
        <f>0</f>
        <v>0</v>
      </c>
      <c r="W61" s="358">
        <f>0</f>
        <v>0</v>
      </c>
      <c r="X61" s="358">
        <f>0</f>
        <v>0</v>
      </c>
      <c r="Y61" s="359">
        <v>2</v>
      </c>
      <c r="Z61" s="154">
        <f>0</f>
        <v>0</v>
      </c>
      <c r="AA61" s="154">
        <f>0</f>
        <v>0</v>
      </c>
      <c r="AB61" s="154">
        <f>0</f>
        <v>0</v>
      </c>
      <c r="AC61" s="154">
        <f>0</f>
        <v>0</v>
      </c>
      <c r="AD61" s="154">
        <f>0</f>
        <v>0</v>
      </c>
      <c r="AE61" s="154">
        <f>0</f>
        <v>0</v>
      </c>
      <c r="AF61" s="154">
        <f>0</f>
        <v>0</v>
      </c>
      <c r="AG61" s="154">
        <f t="shared" ref="AG61:AG78" si="9">AE61-AF61</f>
        <v>0</v>
      </c>
      <c r="AH61" s="154">
        <f>0</f>
        <v>0</v>
      </c>
      <c r="AI61" s="154">
        <f>0</f>
        <v>0</v>
      </c>
      <c r="AJ61" s="154">
        <f>0</f>
        <v>0</v>
      </c>
      <c r="AK61" s="168">
        <f>0</f>
        <v>0</v>
      </c>
      <c r="AL61" s="360">
        <f t="shared" si="2"/>
        <v>2</v>
      </c>
      <c r="AM61" s="361"/>
      <c r="AN61" s="362">
        <f t="shared" ref="AN61:AN117" si="10">AL61-AM61</f>
        <v>2</v>
      </c>
      <c r="AO61" s="418"/>
      <c r="AP61" s="417" t="s">
        <v>410</v>
      </c>
      <c r="AQ61" s="419"/>
      <c r="AR61" s="363"/>
      <c r="AS61" s="420"/>
      <c r="AT61" s="365"/>
      <c r="AU61" s="365"/>
      <c r="AV61" s="364"/>
      <c r="AW61" s="365"/>
      <c r="AX61" s="366"/>
      <c r="AY61" s="366"/>
      <c r="AZ61" s="367"/>
    </row>
    <row r="62" spans="1:52" ht="27.95" hidden="1" customHeight="1">
      <c r="A62" s="262">
        <v>58</v>
      </c>
      <c r="B62" s="263">
        <v>45072</v>
      </c>
      <c r="C62" s="252"/>
      <c r="D62" s="252"/>
      <c r="E62" s="252"/>
      <c r="F62" s="223" t="s">
        <v>288</v>
      </c>
      <c r="G62" s="258" t="s">
        <v>292</v>
      </c>
      <c r="H62" s="259">
        <v>0</v>
      </c>
      <c r="I62" s="271" t="s">
        <v>293</v>
      </c>
      <c r="J62" s="267" t="s">
        <v>294</v>
      </c>
      <c r="K62" s="267" t="s">
        <v>292</v>
      </c>
      <c r="L62" s="267" t="s">
        <v>138</v>
      </c>
      <c r="M62" s="272" t="s">
        <v>80</v>
      </c>
      <c r="N62" s="272" t="s">
        <v>80</v>
      </c>
      <c r="O62" s="272" t="s">
        <v>80</v>
      </c>
      <c r="P62" s="272"/>
      <c r="Q62" s="260"/>
      <c r="R62" s="165">
        <f>0</f>
        <v>0</v>
      </c>
      <c r="S62" s="154">
        <f>0</f>
        <v>0</v>
      </c>
      <c r="T62" s="154">
        <f>0</f>
        <v>0</v>
      </c>
      <c r="U62" s="154">
        <f>0</f>
        <v>0</v>
      </c>
      <c r="V62" s="154">
        <f>0</f>
        <v>0</v>
      </c>
      <c r="W62" s="154">
        <f>0</f>
        <v>0</v>
      </c>
      <c r="X62" s="154">
        <f>0</f>
        <v>0</v>
      </c>
      <c r="Y62" s="178">
        <v>2</v>
      </c>
      <c r="Z62" s="154">
        <f>0</f>
        <v>0</v>
      </c>
      <c r="AA62" s="154">
        <f>0</f>
        <v>0</v>
      </c>
      <c r="AB62" s="154">
        <f>0</f>
        <v>0</v>
      </c>
      <c r="AC62" s="154">
        <f>0</f>
        <v>0</v>
      </c>
      <c r="AD62" s="154">
        <f>0</f>
        <v>0</v>
      </c>
      <c r="AE62" s="154">
        <f>0</f>
        <v>0</v>
      </c>
      <c r="AF62" s="154">
        <f>0</f>
        <v>0</v>
      </c>
      <c r="AG62" s="154">
        <f t="shared" si="9"/>
        <v>0</v>
      </c>
      <c r="AH62" s="154">
        <f>0</f>
        <v>0</v>
      </c>
      <c r="AI62" s="154">
        <f>0</f>
        <v>0</v>
      </c>
      <c r="AJ62" s="154">
        <f>0</f>
        <v>0</v>
      </c>
      <c r="AK62" s="168">
        <f>0</f>
        <v>0</v>
      </c>
      <c r="AL62" s="170">
        <f t="shared" si="2"/>
        <v>2</v>
      </c>
      <c r="AM62" s="45"/>
      <c r="AN62" s="151">
        <f t="shared" si="10"/>
        <v>2</v>
      </c>
      <c r="AO62" s="108">
        <v>45090</v>
      </c>
      <c r="AP62" s="103" t="s">
        <v>410</v>
      </c>
      <c r="AQ62" s="109" t="s">
        <v>553</v>
      </c>
      <c r="AR62" s="184"/>
      <c r="AS62" s="159" t="s">
        <v>562</v>
      </c>
      <c r="AT62" s="248"/>
      <c r="AU62" s="248"/>
      <c r="AV62" s="246"/>
      <c r="AW62" s="248"/>
      <c r="AX62" s="249"/>
      <c r="AY62" s="249"/>
      <c r="AZ62" s="250"/>
    </row>
    <row r="63" spans="1:52" ht="27.95" hidden="1" customHeight="1">
      <c r="A63" s="262">
        <v>59</v>
      </c>
      <c r="B63" s="263">
        <v>45072</v>
      </c>
      <c r="C63" s="252"/>
      <c r="D63" s="252"/>
      <c r="E63" s="252"/>
      <c r="F63" s="223" t="s">
        <v>288</v>
      </c>
      <c r="G63" s="258" t="s">
        <v>295</v>
      </c>
      <c r="H63" s="259">
        <v>0</v>
      </c>
      <c r="I63" s="271" t="s">
        <v>296</v>
      </c>
      <c r="J63" s="267" t="s">
        <v>297</v>
      </c>
      <c r="K63" s="267" t="s">
        <v>558</v>
      </c>
      <c r="L63" s="267" t="s">
        <v>138</v>
      </c>
      <c r="M63" s="272" t="s">
        <v>80</v>
      </c>
      <c r="N63" s="272" t="s">
        <v>80</v>
      </c>
      <c r="O63" s="272" t="s">
        <v>80</v>
      </c>
      <c r="P63" s="272"/>
      <c r="Q63" s="260"/>
      <c r="R63" s="165">
        <f>0</f>
        <v>0</v>
      </c>
      <c r="S63" s="154">
        <f>0</f>
        <v>0</v>
      </c>
      <c r="T63" s="154">
        <f>0</f>
        <v>0</v>
      </c>
      <c r="U63" s="154">
        <f>0</f>
        <v>0</v>
      </c>
      <c r="V63" s="154">
        <f>0</f>
        <v>0</v>
      </c>
      <c r="W63" s="154">
        <f>0</f>
        <v>0</v>
      </c>
      <c r="X63" s="154">
        <f>0</f>
        <v>0</v>
      </c>
      <c r="Y63" s="178">
        <v>2</v>
      </c>
      <c r="Z63" s="154">
        <f>0</f>
        <v>0</v>
      </c>
      <c r="AA63" s="154">
        <f>0</f>
        <v>0</v>
      </c>
      <c r="AB63" s="154">
        <f>0</f>
        <v>0</v>
      </c>
      <c r="AC63" s="154">
        <f>0</f>
        <v>0</v>
      </c>
      <c r="AD63" s="154">
        <f>0</f>
        <v>0</v>
      </c>
      <c r="AE63" s="154">
        <f>0</f>
        <v>0</v>
      </c>
      <c r="AF63" s="154">
        <f>0</f>
        <v>0</v>
      </c>
      <c r="AG63" s="154">
        <f t="shared" si="9"/>
        <v>0</v>
      </c>
      <c r="AH63" s="154">
        <f>0</f>
        <v>0</v>
      </c>
      <c r="AI63" s="154">
        <f>0</f>
        <v>0</v>
      </c>
      <c r="AJ63" s="154">
        <f>0</f>
        <v>0</v>
      </c>
      <c r="AK63" s="168">
        <f>0</f>
        <v>0</v>
      </c>
      <c r="AL63" s="170">
        <f t="shared" si="2"/>
        <v>2</v>
      </c>
      <c r="AM63" s="45"/>
      <c r="AN63" s="151">
        <f t="shared" si="10"/>
        <v>2</v>
      </c>
      <c r="AO63" s="108">
        <v>45090</v>
      </c>
      <c r="AP63" s="103" t="s">
        <v>410</v>
      </c>
      <c r="AQ63" s="109" t="s">
        <v>553</v>
      </c>
      <c r="AR63" s="259"/>
      <c r="AS63" s="159" t="s">
        <v>562</v>
      </c>
      <c r="AT63" s="248"/>
      <c r="AU63" s="248"/>
      <c r="AV63" s="246"/>
      <c r="AW63" s="248"/>
      <c r="AX63" s="249"/>
      <c r="AY63" s="249"/>
      <c r="AZ63" s="250"/>
    </row>
    <row r="64" spans="1:52" ht="27.95" hidden="1" customHeight="1">
      <c r="A64" s="198">
        <v>60</v>
      </c>
      <c r="B64" s="263">
        <v>45072</v>
      </c>
      <c r="C64" s="255"/>
      <c r="D64" s="256"/>
      <c r="E64" s="256"/>
      <c r="F64" s="223" t="s">
        <v>288</v>
      </c>
      <c r="G64" s="242" t="s">
        <v>298</v>
      </c>
      <c r="H64" s="243" t="s">
        <v>141</v>
      </c>
      <c r="I64" s="266" t="s">
        <v>299</v>
      </c>
      <c r="J64" s="267" t="s">
        <v>300</v>
      </c>
      <c r="K64" s="348">
        <v>3842532812</v>
      </c>
      <c r="L64" s="267" t="s">
        <v>222</v>
      </c>
      <c r="M64" s="268" t="s">
        <v>80</v>
      </c>
      <c r="N64" s="268" t="s">
        <v>80</v>
      </c>
      <c r="O64" s="268" t="s">
        <v>80</v>
      </c>
      <c r="P64" s="269"/>
      <c r="Q64" s="244"/>
      <c r="R64" s="165">
        <f>0</f>
        <v>0</v>
      </c>
      <c r="S64" s="154">
        <f>0</f>
        <v>0</v>
      </c>
      <c r="T64" s="154">
        <f>0</f>
        <v>0</v>
      </c>
      <c r="U64" s="154">
        <f>0</f>
        <v>0</v>
      </c>
      <c r="V64" s="154">
        <f>0</f>
        <v>0</v>
      </c>
      <c r="W64" s="154">
        <f>0</f>
        <v>0</v>
      </c>
      <c r="X64" s="154">
        <f>0</f>
        <v>0</v>
      </c>
      <c r="Y64" s="178">
        <v>8</v>
      </c>
      <c r="Z64" s="154">
        <f>0</f>
        <v>0</v>
      </c>
      <c r="AA64" s="154">
        <f>0</f>
        <v>0</v>
      </c>
      <c r="AB64" s="154">
        <f>0</f>
        <v>0</v>
      </c>
      <c r="AC64" s="154">
        <f>0</f>
        <v>0</v>
      </c>
      <c r="AD64" s="154">
        <f>0</f>
        <v>0</v>
      </c>
      <c r="AE64" s="154">
        <f>0</f>
        <v>0</v>
      </c>
      <c r="AF64" s="154">
        <f>0</f>
        <v>0</v>
      </c>
      <c r="AG64" s="154">
        <f t="shared" si="9"/>
        <v>0</v>
      </c>
      <c r="AH64" s="154">
        <f>0</f>
        <v>0</v>
      </c>
      <c r="AI64" s="154">
        <f>0</f>
        <v>0</v>
      </c>
      <c r="AJ64" s="154">
        <f>0</f>
        <v>0</v>
      </c>
      <c r="AK64" s="168">
        <f>0</f>
        <v>0</v>
      </c>
      <c r="AL64" s="170">
        <f t="shared" si="2"/>
        <v>8</v>
      </c>
      <c r="AM64" s="45"/>
      <c r="AN64" s="151">
        <f t="shared" si="10"/>
        <v>8</v>
      </c>
      <c r="AO64" s="386">
        <v>45083</v>
      </c>
      <c r="AP64" s="246" t="s">
        <v>410</v>
      </c>
      <c r="AQ64" s="388" t="s">
        <v>548</v>
      </c>
      <c r="AR64" s="184"/>
      <c r="AS64" s="246"/>
      <c r="AT64" s="248"/>
      <c r="AU64" s="248"/>
      <c r="AV64" s="246"/>
      <c r="AW64" s="248"/>
      <c r="AX64" s="249"/>
      <c r="AY64" s="249"/>
      <c r="AZ64" s="250"/>
    </row>
    <row r="65" spans="1:52" ht="27.95" hidden="1" customHeight="1">
      <c r="A65" s="262">
        <v>61</v>
      </c>
      <c r="B65" s="263">
        <v>45072</v>
      </c>
      <c r="C65" s="252"/>
      <c r="D65" s="252"/>
      <c r="E65" s="252"/>
      <c r="F65" s="223" t="s">
        <v>288</v>
      </c>
      <c r="G65" s="258" t="s">
        <v>301</v>
      </c>
      <c r="H65" s="259" t="s">
        <v>141</v>
      </c>
      <c r="I65" s="271" t="s">
        <v>302</v>
      </c>
      <c r="J65" s="267" t="s">
        <v>303</v>
      </c>
      <c r="K65" s="267" t="s">
        <v>301</v>
      </c>
      <c r="L65" s="267" t="s">
        <v>222</v>
      </c>
      <c r="M65" s="272" t="s">
        <v>80</v>
      </c>
      <c r="N65" s="272" t="s">
        <v>80</v>
      </c>
      <c r="O65" s="272" t="s">
        <v>80</v>
      </c>
      <c r="P65" s="272"/>
      <c r="Q65" s="260"/>
      <c r="R65" s="165">
        <f>0</f>
        <v>0</v>
      </c>
      <c r="S65" s="154">
        <f>0</f>
        <v>0</v>
      </c>
      <c r="T65" s="154">
        <f>0</f>
        <v>0</v>
      </c>
      <c r="U65" s="154">
        <f>0</f>
        <v>0</v>
      </c>
      <c r="V65" s="154">
        <f>0</f>
        <v>0</v>
      </c>
      <c r="W65" s="154">
        <f>0</f>
        <v>0</v>
      </c>
      <c r="X65" s="154">
        <f>0</f>
        <v>0</v>
      </c>
      <c r="Y65" s="178">
        <v>4</v>
      </c>
      <c r="Z65" s="154">
        <f>0</f>
        <v>0</v>
      </c>
      <c r="AA65" s="154">
        <f>0</f>
        <v>0</v>
      </c>
      <c r="AB65" s="154">
        <f>0</f>
        <v>0</v>
      </c>
      <c r="AC65" s="154">
        <f>0</f>
        <v>0</v>
      </c>
      <c r="AD65" s="154">
        <f>0</f>
        <v>0</v>
      </c>
      <c r="AE65" s="154">
        <f>0</f>
        <v>0</v>
      </c>
      <c r="AF65" s="154">
        <f>0</f>
        <v>0</v>
      </c>
      <c r="AG65" s="154">
        <f t="shared" si="9"/>
        <v>0</v>
      </c>
      <c r="AH65" s="154">
        <f>0</f>
        <v>0</v>
      </c>
      <c r="AI65" s="154">
        <f>0</f>
        <v>0</v>
      </c>
      <c r="AJ65" s="154">
        <f>0</f>
        <v>0</v>
      </c>
      <c r="AK65" s="168">
        <f>0</f>
        <v>0</v>
      </c>
      <c r="AL65" s="170">
        <f t="shared" si="2"/>
        <v>4</v>
      </c>
      <c r="AM65" s="45"/>
      <c r="AN65" s="151">
        <f t="shared" si="10"/>
        <v>4</v>
      </c>
      <c r="AO65" s="386">
        <v>45083</v>
      </c>
      <c r="AP65" s="246" t="s">
        <v>410</v>
      </c>
      <c r="AQ65" s="388" t="s">
        <v>548</v>
      </c>
      <c r="AR65" s="259"/>
      <c r="AS65" s="246"/>
      <c r="AT65" s="248"/>
      <c r="AU65" s="248"/>
      <c r="AV65" s="246"/>
      <c r="AW65" s="248"/>
      <c r="AX65" s="249"/>
      <c r="AY65" s="249"/>
      <c r="AZ65" s="250"/>
    </row>
    <row r="66" spans="1:52" ht="27.95" hidden="1" customHeight="1">
      <c r="A66" s="198">
        <v>62</v>
      </c>
      <c r="B66" s="263">
        <v>45072</v>
      </c>
      <c r="C66" s="255"/>
      <c r="D66" s="256"/>
      <c r="E66" s="256"/>
      <c r="F66" s="223" t="s">
        <v>288</v>
      </c>
      <c r="G66" s="242" t="s">
        <v>304</v>
      </c>
      <c r="H66" s="243" t="s">
        <v>191</v>
      </c>
      <c r="I66" s="266" t="s">
        <v>305</v>
      </c>
      <c r="J66" s="267" t="s">
        <v>306</v>
      </c>
      <c r="K66" s="348">
        <v>3842523525</v>
      </c>
      <c r="L66" s="267" t="s">
        <v>430</v>
      </c>
      <c r="M66" s="268" t="s">
        <v>80</v>
      </c>
      <c r="N66" s="268" t="s">
        <v>80</v>
      </c>
      <c r="O66" s="268" t="s">
        <v>80</v>
      </c>
      <c r="P66" s="269"/>
      <c r="Q66" s="244"/>
      <c r="R66" s="165">
        <f>0</f>
        <v>0</v>
      </c>
      <c r="S66" s="154">
        <f>0</f>
        <v>0</v>
      </c>
      <c r="T66" s="154">
        <f>0</f>
        <v>0</v>
      </c>
      <c r="U66" s="154">
        <f>0</f>
        <v>0</v>
      </c>
      <c r="V66" s="154">
        <f>0</f>
        <v>0</v>
      </c>
      <c r="W66" s="154">
        <f>0</f>
        <v>0</v>
      </c>
      <c r="X66" s="154">
        <f>0</f>
        <v>0</v>
      </c>
      <c r="Y66" s="178">
        <v>8</v>
      </c>
      <c r="Z66" s="154">
        <f>0</f>
        <v>0</v>
      </c>
      <c r="AA66" s="154">
        <f>0</f>
        <v>0</v>
      </c>
      <c r="AB66" s="154">
        <f>0</f>
        <v>0</v>
      </c>
      <c r="AC66" s="154">
        <f>0</f>
        <v>0</v>
      </c>
      <c r="AD66" s="154">
        <f>0</f>
        <v>0</v>
      </c>
      <c r="AE66" s="154">
        <f>0</f>
        <v>0</v>
      </c>
      <c r="AF66" s="154">
        <f>0</f>
        <v>0</v>
      </c>
      <c r="AG66" s="154">
        <f t="shared" si="9"/>
        <v>0</v>
      </c>
      <c r="AH66" s="154">
        <f>0</f>
        <v>0</v>
      </c>
      <c r="AI66" s="154">
        <f>0</f>
        <v>0</v>
      </c>
      <c r="AJ66" s="154">
        <f>0</f>
        <v>0</v>
      </c>
      <c r="AK66" s="168">
        <f>0</f>
        <v>0</v>
      </c>
      <c r="AL66" s="170">
        <f t="shared" si="2"/>
        <v>8</v>
      </c>
      <c r="AM66" s="45"/>
      <c r="AN66" s="151">
        <f t="shared" si="10"/>
        <v>8</v>
      </c>
      <c r="AO66" s="386"/>
      <c r="AP66" s="246" t="s">
        <v>410</v>
      </c>
      <c r="AQ66" s="176" t="s">
        <v>49</v>
      </c>
      <c r="AR66" s="184"/>
      <c r="AS66" s="246"/>
      <c r="AT66" s="248"/>
      <c r="AU66" s="248"/>
      <c r="AV66" s="246"/>
      <c r="AW66" s="248"/>
      <c r="AX66" s="249"/>
      <c r="AY66" s="249"/>
      <c r="AZ66" s="250"/>
    </row>
    <row r="67" spans="1:52" ht="27.95" hidden="1" customHeight="1">
      <c r="A67" s="262">
        <v>63</v>
      </c>
      <c r="B67" s="263">
        <v>45072</v>
      </c>
      <c r="C67" s="252"/>
      <c r="D67" s="252"/>
      <c r="E67" s="252"/>
      <c r="F67" s="223" t="s">
        <v>288</v>
      </c>
      <c r="G67" s="258" t="s">
        <v>307</v>
      </c>
      <c r="H67" s="259" t="s">
        <v>141</v>
      </c>
      <c r="I67" s="271" t="s">
        <v>308</v>
      </c>
      <c r="J67" s="267" t="s">
        <v>309</v>
      </c>
      <c r="K67" s="267" t="s">
        <v>307</v>
      </c>
      <c r="L67" s="267" t="s">
        <v>222</v>
      </c>
      <c r="M67" s="272" t="s">
        <v>80</v>
      </c>
      <c r="N67" s="272" t="s">
        <v>80</v>
      </c>
      <c r="O67" s="272" t="s">
        <v>80</v>
      </c>
      <c r="P67" s="272"/>
      <c r="Q67" s="260"/>
      <c r="R67" s="165">
        <f>0</f>
        <v>0</v>
      </c>
      <c r="S67" s="154">
        <f>0</f>
        <v>0</v>
      </c>
      <c r="T67" s="154">
        <f>0</f>
        <v>0</v>
      </c>
      <c r="U67" s="154">
        <f>0</f>
        <v>0</v>
      </c>
      <c r="V67" s="154">
        <f>0</f>
        <v>0</v>
      </c>
      <c r="W67" s="154">
        <f>0</f>
        <v>0</v>
      </c>
      <c r="X67" s="154">
        <f>0</f>
        <v>0</v>
      </c>
      <c r="Y67" s="178">
        <v>4</v>
      </c>
      <c r="Z67" s="154">
        <f>0</f>
        <v>0</v>
      </c>
      <c r="AA67" s="154">
        <f>0</f>
        <v>0</v>
      </c>
      <c r="AB67" s="154">
        <f>0</f>
        <v>0</v>
      </c>
      <c r="AC67" s="154">
        <f>0</f>
        <v>0</v>
      </c>
      <c r="AD67" s="154">
        <f>0</f>
        <v>0</v>
      </c>
      <c r="AE67" s="154">
        <f>0</f>
        <v>0</v>
      </c>
      <c r="AF67" s="154">
        <f>0</f>
        <v>0</v>
      </c>
      <c r="AG67" s="154">
        <f t="shared" si="9"/>
        <v>0</v>
      </c>
      <c r="AH67" s="154">
        <f>0</f>
        <v>0</v>
      </c>
      <c r="AI67" s="154">
        <f>0</f>
        <v>0</v>
      </c>
      <c r="AJ67" s="154">
        <f>0</f>
        <v>0</v>
      </c>
      <c r="AK67" s="168">
        <f>0</f>
        <v>0</v>
      </c>
      <c r="AL67" s="170">
        <f t="shared" si="2"/>
        <v>4</v>
      </c>
      <c r="AM67" s="45"/>
      <c r="AN67" s="151">
        <f t="shared" si="10"/>
        <v>4</v>
      </c>
      <c r="AO67" s="386">
        <v>45083</v>
      </c>
      <c r="AP67" s="246" t="s">
        <v>410</v>
      </c>
      <c r="AQ67" s="388" t="s">
        <v>548</v>
      </c>
      <c r="AR67" s="259"/>
      <c r="AS67" s="246"/>
      <c r="AT67" s="248"/>
      <c r="AU67" s="248"/>
      <c r="AV67" s="246"/>
      <c r="AW67" s="248"/>
      <c r="AX67" s="249"/>
      <c r="AY67" s="249"/>
      <c r="AZ67" s="250"/>
    </row>
    <row r="68" spans="1:52" ht="27.95" hidden="1" customHeight="1">
      <c r="A68" s="262">
        <v>64</v>
      </c>
      <c r="B68" s="263">
        <v>45072</v>
      </c>
      <c r="C68" s="252"/>
      <c r="D68" s="252"/>
      <c r="E68" s="252"/>
      <c r="F68" s="223" t="s">
        <v>288</v>
      </c>
      <c r="G68" s="258" t="s">
        <v>310</v>
      </c>
      <c r="H68" s="259" t="s">
        <v>191</v>
      </c>
      <c r="I68" s="271" t="s">
        <v>311</v>
      </c>
      <c r="J68" s="267" t="s">
        <v>312</v>
      </c>
      <c r="K68" s="267" t="s">
        <v>310</v>
      </c>
      <c r="L68" s="267" t="s">
        <v>222</v>
      </c>
      <c r="M68" s="272" t="s">
        <v>80</v>
      </c>
      <c r="N68" s="272" t="s">
        <v>80</v>
      </c>
      <c r="O68" s="272" t="s">
        <v>80</v>
      </c>
      <c r="P68" s="272"/>
      <c r="Q68" s="260"/>
      <c r="R68" s="165">
        <f>0</f>
        <v>0</v>
      </c>
      <c r="S68" s="154">
        <f>0</f>
        <v>0</v>
      </c>
      <c r="T68" s="154">
        <f>0</f>
        <v>0</v>
      </c>
      <c r="U68" s="154">
        <f>0</f>
        <v>0</v>
      </c>
      <c r="V68" s="154">
        <f>0</f>
        <v>0</v>
      </c>
      <c r="W68" s="154">
        <f>0</f>
        <v>0</v>
      </c>
      <c r="X68" s="154">
        <f>0</f>
        <v>0</v>
      </c>
      <c r="Y68" s="178">
        <v>2</v>
      </c>
      <c r="Z68" s="154">
        <f>0</f>
        <v>0</v>
      </c>
      <c r="AA68" s="154">
        <f>0</f>
        <v>0</v>
      </c>
      <c r="AB68" s="154">
        <f>0</f>
        <v>0</v>
      </c>
      <c r="AC68" s="154">
        <f>0</f>
        <v>0</v>
      </c>
      <c r="AD68" s="154">
        <f>0</f>
        <v>0</v>
      </c>
      <c r="AE68" s="154">
        <f>0</f>
        <v>0</v>
      </c>
      <c r="AF68" s="154">
        <f>0</f>
        <v>0</v>
      </c>
      <c r="AG68" s="154">
        <f t="shared" si="9"/>
        <v>0</v>
      </c>
      <c r="AH68" s="154">
        <f>0</f>
        <v>0</v>
      </c>
      <c r="AI68" s="154">
        <f>0</f>
        <v>0</v>
      </c>
      <c r="AJ68" s="154">
        <f>0</f>
        <v>0</v>
      </c>
      <c r="AK68" s="168">
        <f>0</f>
        <v>0</v>
      </c>
      <c r="AL68" s="170">
        <f t="shared" si="2"/>
        <v>2</v>
      </c>
      <c r="AM68" s="45"/>
      <c r="AN68" s="151">
        <f t="shared" si="10"/>
        <v>2</v>
      </c>
      <c r="AO68" s="386">
        <v>45083</v>
      </c>
      <c r="AP68" s="246" t="s">
        <v>410</v>
      </c>
      <c r="AQ68" s="388" t="s">
        <v>548</v>
      </c>
      <c r="AR68" s="184"/>
      <c r="AS68" s="246"/>
      <c r="AT68" s="248"/>
      <c r="AU68" s="248"/>
      <c r="AV68" s="246"/>
      <c r="AW68" s="248"/>
      <c r="AX68" s="249"/>
      <c r="AY68" s="249"/>
      <c r="AZ68" s="250"/>
    </row>
    <row r="69" spans="1:52" ht="27.95" hidden="1" customHeight="1">
      <c r="A69" s="198">
        <v>65</v>
      </c>
      <c r="B69" s="263">
        <v>45072</v>
      </c>
      <c r="C69" s="255"/>
      <c r="D69" s="256"/>
      <c r="E69" s="256"/>
      <c r="F69" s="223" t="s">
        <v>288</v>
      </c>
      <c r="G69" s="242" t="s">
        <v>313</v>
      </c>
      <c r="H69" s="243" t="s">
        <v>141</v>
      </c>
      <c r="I69" s="266" t="s">
        <v>314</v>
      </c>
      <c r="J69" s="267" t="s">
        <v>315</v>
      </c>
      <c r="K69" s="267" t="s">
        <v>313</v>
      </c>
      <c r="L69" s="267" t="s">
        <v>222</v>
      </c>
      <c r="M69" s="268" t="s">
        <v>80</v>
      </c>
      <c r="N69" s="268" t="s">
        <v>80</v>
      </c>
      <c r="O69" s="268" t="s">
        <v>80</v>
      </c>
      <c r="P69" s="269"/>
      <c r="Q69" s="244"/>
      <c r="R69" s="165">
        <f>0</f>
        <v>0</v>
      </c>
      <c r="S69" s="154">
        <f>0</f>
        <v>0</v>
      </c>
      <c r="T69" s="154">
        <f>0</f>
        <v>0</v>
      </c>
      <c r="U69" s="154">
        <f>0</f>
        <v>0</v>
      </c>
      <c r="V69" s="154">
        <f>0</f>
        <v>0</v>
      </c>
      <c r="W69" s="154">
        <f>0</f>
        <v>0</v>
      </c>
      <c r="X69" s="154">
        <f>0</f>
        <v>0</v>
      </c>
      <c r="Y69" s="178">
        <v>2</v>
      </c>
      <c r="Z69" s="154">
        <f>0</f>
        <v>0</v>
      </c>
      <c r="AA69" s="154">
        <f>0</f>
        <v>0</v>
      </c>
      <c r="AB69" s="154">
        <f>0</f>
        <v>0</v>
      </c>
      <c r="AC69" s="154">
        <f>0</f>
        <v>0</v>
      </c>
      <c r="AD69" s="154">
        <f>0</f>
        <v>0</v>
      </c>
      <c r="AE69" s="154">
        <f>0</f>
        <v>0</v>
      </c>
      <c r="AF69" s="154">
        <f>0</f>
        <v>0</v>
      </c>
      <c r="AG69" s="154">
        <f t="shared" si="9"/>
        <v>0</v>
      </c>
      <c r="AH69" s="154">
        <f>0</f>
        <v>0</v>
      </c>
      <c r="AI69" s="154">
        <f>0</f>
        <v>0</v>
      </c>
      <c r="AJ69" s="154">
        <f>0</f>
        <v>0</v>
      </c>
      <c r="AK69" s="168">
        <f>0</f>
        <v>0</v>
      </c>
      <c r="AL69" s="170">
        <f t="shared" si="2"/>
        <v>2</v>
      </c>
      <c r="AM69" s="45"/>
      <c r="AN69" s="151">
        <f t="shared" si="10"/>
        <v>2</v>
      </c>
      <c r="AO69" s="386">
        <v>45083</v>
      </c>
      <c r="AP69" s="246" t="s">
        <v>410</v>
      </c>
      <c r="AQ69" s="388" t="s">
        <v>548</v>
      </c>
      <c r="AR69" s="259"/>
      <c r="AS69" s="246"/>
      <c r="AT69" s="248"/>
      <c r="AU69" s="248"/>
      <c r="AV69" s="246"/>
      <c r="AW69" s="248"/>
      <c r="AX69" s="249"/>
      <c r="AY69" s="249"/>
      <c r="AZ69" s="250"/>
    </row>
    <row r="70" spans="1:52" ht="27.95" hidden="1" customHeight="1">
      <c r="A70" s="262">
        <v>66</v>
      </c>
      <c r="B70" s="263">
        <v>45072</v>
      </c>
      <c r="C70" s="252"/>
      <c r="D70" s="252"/>
      <c r="E70" s="252"/>
      <c r="F70" s="223" t="s">
        <v>288</v>
      </c>
      <c r="G70" s="258" t="s">
        <v>316</v>
      </c>
      <c r="H70" s="259">
        <v>0</v>
      </c>
      <c r="I70" s="271" t="s">
        <v>317</v>
      </c>
      <c r="J70" s="267" t="s">
        <v>318</v>
      </c>
      <c r="K70" s="267" t="s">
        <v>319</v>
      </c>
      <c r="L70" s="267" t="s">
        <v>320</v>
      </c>
      <c r="M70" s="272" t="s">
        <v>80</v>
      </c>
      <c r="N70" s="272" t="s">
        <v>80</v>
      </c>
      <c r="O70" s="272" t="s">
        <v>80</v>
      </c>
      <c r="P70" s="272"/>
      <c r="Q70" s="260"/>
      <c r="R70" s="165">
        <f>0</f>
        <v>0</v>
      </c>
      <c r="S70" s="154">
        <f>0</f>
        <v>0</v>
      </c>
      <c r="T70" s="154">
        <f>0</f>
        <v>0</v>
      </c>
      <c r="U70" s="154">
        <f>0</f>
        <v>0</v>
      </c>
      <c r="V70" s="154">
        <f>0</f>
        <v>0</v>
      </c>
      <c r="W70" s="154">
        <f>0</f>
        <v>0</v>
      </c>
      <c r="X70" s="154">
        <f>0</f>
        <v>0</v>
      </c>
      <c r="Y70" s="178">
        <v>1</v>
      </c>
      <c r="Z70" s="154">
        <f>0</f>
        <v>0</v>
      </c>
      <c r="AA70" s="154">
        <f>0</f>
        <v>0</v>
      </c>
      <c r="AB70" s="154">
        <f>0</f>
        <v>0</v>
      </c>
      <c r="AC70" s="154">
        <f>0</f>
        <v>0</v>
      </c>
      <c r="AD70" s="154">
        <f>0</f>
        <v>0</v>
      </c>
      <c r="AE70" s="154">
        <f>0</f>
        <v>0</v>
      </c>
      <c r="AF70" s="154">
        <f>0</f>
        <v>0</v>
      </c>
      <c r="AG70" s="154">
        <f t="shared" si="9"/>
        <v>0</v>
      </c>
      <c r="AH70" s="154">
        <f>0</f>
        <v>0</v>
      </c>
      <c r="AI70" s="154">
        <f>0</f>
        <v>0</v>
      </c>
      <c r="AJ70" s="154">
        <f>0</f>
        <v>0</v>
      </c>
      <c r="AK70" s="168">
        <f>0</f>
        <v>0</v>
      </c>
      <c r="AL70" s="170">
        <f t="shared" si="2"/>
        <v>1</v>
      </c>
      <c r="AM70" s="45"/>
      <c r="AN70" s="151">
        <f t="shared" si="10"/>
        <v>1</v>
      </c>
      <c r="AO70" s="256"/>
      <c r="AP70" s="246" t="s">
        <v>410</v>
      </c>
      <c r="AQ70" s="176"/>
      <c r="AR70" s="184"/>
      <c r="AS70" s="246"/>
      <c r="AT70" s="248"/>
      <c r="AU70" s="248"/>
      <c r="AV70" s="246"/>
      <c r="AW70" s="248"/>
      <c r="AX70" s="249"/>
      <c r="AY70" s="249"/>
      <c r="AZ70" s="250"/>
    </row>
    <row r="71" spans="1:52" ht="27.95" hidden="1" customHeight="1">
      <c r="A71" s="198">
        <v>67</v>
      </c>
      <c r="B71" s="263">
        <v>45072</v>
      </c>
      <c r="C71" s="255"/>
      <c r="D71" s="256"/>
      <c r="E71" s="256"/>
      <c r="F71" s="223" t="s">
        <v>288</v>
      </c>
      <c r="G71" s="242" t="s">
        <v>321</v>
      </c>
      <c r="H71" s="243">
        <v>0</v>
      </c>
      <c r="I71" s="266" t="s">
        <v>322</v>
      </c>
      <c r="J71" s="267" t="s">
        <v>323</v>
      </c>
      <c r="K71" s="267" t="s">
        <v>80</v>
      </c>
      <c r="L71" s="267" t="s">
        <v>324</v>
      </c>
      <c r="M71" s="268" t="s">
        <v>80</v>
      </c>
      <c r="N71" s="268" t="s">
        <v>80</v>
      </c>
      <c r="O71" s="268" t="s">
        <v>80</v>
      </c>
      <c r="P71" s="269"/>
      <c r="Q71" s="244"/>
      <c r="R71" s="165">
        <f>0</f>
        <v>0</v>
      </c>
      <c r="S71" s="154">
        <f>0</f>
        <v>0</v>
      </c>
      <c r="T71" s="154">
        <f>0</f>
        <v>0</v>
      </c>
      <c r="U71" s="154">
        <f>0</f>
        <v>0</v>
      </c>
      <c r="V71" s="154">
        <f>0</f>
        <v>0</v>
      </c>
      <c r="W71" s="154">
        <f>0</f>
        <v>0</v>
      </c>
      <c r="X71" s="154">
        <f>0</f>
        <v>0</v>
      </c>
      <c r="Y71" s="178">
        <v>8</v>
      </c>
      <c r="Z71" s="154">
        <f>0</f>
        <v>0</v>
      </c>
      <c r="AA71" s="154">
        <f>0</f>
        <v>0</v>
      </c>
      <c r="AB71" s="154">
        <f>0</f>
        <v>0</v>
      </c>
      <c r="AC71" s="154">
        <f>0</f>
        <v>0</v>
      </c>
      <c r="AD71" s="154">
        <f>0</f>
        <v>0</v>
      </c>
      <c r="AE71" s="154">
        <f>0</f>
        <v>0</v>
      </c>
      <c r="AF71" s="154">
        <f>0</f>
        <v>0</v>
      </c>
      <c r="AG71" s="154">
        <f t="shared" si="9"/>
        <v>0</v>
      </c>
      <c r="AH71" s="154">
        <f>0</f>
        <v>0</v>
      </c>
      <c r="AI71" s="154">
        <f>0</f>
        <v>0</v>
      </c>
      <c r="AJ71" s="154">
        <f>0</f>
        <v>0</v>
      </c>
      <c r="AK71" s="168">
        <f>0</f>
        <v>0</v>
      </c>
      <c r="AL71" s="170">
        <f t="shared" si="2"/>
        <v>8</v>
      </c>
      <c r="AM71" s="45"/>
      <c r="AN71" s="151">
        <f t="shared" si="10"/>
        <v>8</v>
      </c>
      <c r="AO71" s="252"/>
      <c r="AP71" s="246" t="s">
        <v>410</v>
      </c>
      <c r="AQ71" s="258" t="s">
        <v>556</v>
      </c>
      <c r="AR71" s="259"/>
      <c r="AS71" s="246"/>
      <c r="AT71" s="248"/>
      <c r="AU71" s="248"/>
      <c r="AV71" s="246"/>
      <c r="AW71" s="248"/>
      <c r="AX71" s="249"/>
      <c r="AY71" s="249"/>
      <c r="AZ71" s="250"/>
    </row>
    <row r="72" spans="1:52" ht="27.95" hidden="1" customHeight="1">
      <c r="A72" s="262">
        <v>68</v>
      </c>
      <c r="B72" s="263">
        <v>45072</v>
      </c>
      <c r="C72" s="252"/>
      <c r="D72" s="252"/>
      <c r="E72" s="252"/>
      <c r="F72" s="223" t="s">
        <v>288</v>
      </c>
      <c r="G72" s="258">
        <v>3050618</v>
      </c>
      <c r="H72" s="259" t="s">
        <v>191</v>
      </c>
      <c r="I72" s="271" t="s">
        <v>325</v>
      </c>
      <c r="J72" s="267" t="s">
        <v>326</v>
      </c>
      <c r="K72" s="267" t="s">
        <v>80</v>
      </c>
      <c r="L72" s="267" t="s">
        <v>327</v>
      </c>
      <c r="M72" s="272" t="s">
        <v>80</v>
      </c>
      <c r="N72" s="272" t="s">
        <v>80</v>
      </c>
      <c r="O72" s="272" t="s">
        <v>80</v>
      </c>
      <c r="P72" s="272"/>
      <c r="Q72" s="260"/>
      <c r="R72" s="165">
        <f>0</f>
        <v>0</v>
      </c>
      <c r="S72" s="154">
        <f>0</f>
        <v>0</v>
      </c>
      <c r="T72" s="154">
        <f>0</f>
        <v>0</v>
      </c>
      <c r="U72" s="154">
        <f>0</f>
        <v>0</v>
      </c>
      <c r="V72" s="154">
        <f>0</f>
        <v>0</v>
      </c>
      <c r="W72" s="154">
        <f>0</f>
        <v>0</v>
      </c>
      <c r="X72" s="154">
        <f>0</f>
        <v>0</v>
      </c>
      <c r="Y72" s="178">
        <v>2</v>
      </c>
      <c r="Z72" s="154">
        <f>0</f>
        <v>0</v>
      </c>
      <c r="AA72" s="154">
        <f>0</f>
        <v>0</v>
      </c>
      <c r="AB72" s="154">
        <f>0</f>
        <v>0</v>
      </c>
      <c r="AC72" s="154">
        <f>0</f>
        <v>0</v>
      </c>
      <c r="AD72" s="154">
        <f>0</f>
        <v>0</v>
      </c>
      <c r="AE72" s="154">
        <f>0</f>
        <v>0</v>
      </c>
      <c r="AF72" s="154">
        <f>0</f>
        <v>0</v>
      </c>
      <c r="AG72" s="154">
        <f t="shared" si="9"/>
        <v>0</v>
      </c>
      <c r="AH72" s="154">
        <f>0</f>
        <v>0</v>
      </c>
      <c r="AI72" s="154">
        <f>0</f>
        <v>0</v>
      </c>
      <c r="AJ72" s="154">
        <f>0</f>
        <v>0</v>
      </c>
      <c r="AK72" s="168">
        <f>0</f>
        <v>0</v>
      </c>
      <c r="AL72" s="170">
        <f t="shared" si="2"/>
        <v>2</v>
      </c>
      <c r="AM72" s="45"/>
      <c r="AN72" s="151">
        <f t="shared" si="10"/>
        <v>2</v>
      </c>
      <c r="AO72" s="256"/>
      <c r="AP72" s="223" t="s">
        <v>410</v>
      </c>
      <c r="AQ72" s="176" t="s">
        <v>49</v>
      </c>
      <c r="AR72" s="184"/>
      <c r="AS72" s="246"/>
      <c r="AT72" s="248"/>
      <c r="AU72" s="248"/>
      <c r="AV72" s="246"/>
      <c r="AW72" s="248"/>
      <c r="AX72" s="249"/>
      <c r="AY72" s="249"/>
      <c r="AZ72" s="250"/>
    </row>
    <row r="73" spans="1:52" s="300" customFormat="1" ht="27.95" hidden="1" customHeight="1">
      <c r="A73" s="345">
        <v>69</v>
      </c>
      <c r="B73" s="286">
        <v>45072</v>
      </c>
      <c r="C73" s="252"/>
      <c r="D73" s="252"/>
      <c r="E73" s="252"/>
      <c r="F73" s="287" t="s">
        <v>288</v>
      </c>
      <c r="G73" s="294" t="s">
        <v>328</v>
      </c>
      <c r="H73" s="295">
        <v>0</v>
      </c>
      <c r="I73" s="346" t="s">
        <v>329</v>
      </c>
      <c r="J73" s="238" t="s">
        <v>330</v>
      </c>
      <c r="K73" s="238" t="s">
        <v>328</v>
      </c>
      <c r="L73" s="238" t="s">
        <v>331</v>
      </c>
      <c r="M73" s="272" t="s">
        <v>80</v>
      </c>
      <c r="N73" s="272" t="s">
        <v>80</v>
      </c>
      <c r="O73" s="272" t="s">
        <v>80</v>
      </c>
      <c r="P73" s="272"/>
      <c r="Q73" s="347" t="s">
        <v>406</v>
      </c>
      <c r="R73" s="288">
        <f>0</f>
        <v>0</v>
      </c>
      <c r="S73" s="289">
        <f>0</f>
        <v>0</v>
      </c>
      <c r="T73" s="289">
        <f>0</f>
        <v>0</v>
      </c>
      <c r="U73" s="289">
        <f>0</f>
        <v>0</v>
      </c>
      <c r="V73" s="289">
        <f>0</f>
        <v>0</v>
      </c>
      <c r="W73" s="289">
        <f>0</f>
        <v>0</v>
      </c>
      <c r="X73" s="289">
        <f>0</f>
        <v>0</v>
      </c>
      <c r="Y73" s="290">
        <v>4</v>
      </c>
      <c r="Z73" s="154">
        <f>0</f>
        <v>0</v>
      </c>
      <c r="AA73" s="154">
        <f>0</f>
        <v>0</v>
      </c>
      <c r="AB73" s="154">
        <f>0</f>
        <v>0</v>
      </c>
      <c r="AC73" s="154">
        <f>0</f>
        <v>0</v>
      </c>
      <c r="AD73" s="154">
        <f>0</f>
        <v>0</v>
      </c>
      <c r="AE73" s="154">
        <f>0</f>
        <v>0</v>
      </c>
      <c r="AF73" s="154">
        <f>0</f>
        <v>0</v>
      </c>
      <c r="AG73" s="154">
        <f t="shared" si="9"/>
        <v>0</v>
      </c>
      <c r="AH73" s="154">
        <f>0</f>
        <v>0</v>
      </c>
      <c r="AI73" s="154">
        <f>0</f>
        <v>0</v>
      </c>
      <c r="AJ73" s="154">
        <f>0</f>
        <v>0</v>
      </c>
      <c r="AK73" s="168">
        <f>0</f>
        <v>0</v>
      </c>
      <c r="AL73" s="291">
        <f t="shared" si="2"/>
        <v>4</v>
      </c>
      <c r="AM73" s="292"/>
      <c r="AN73" s="293">
        <f t="shared" si="10"/>
        <v>4</v>
      </c>
      <c r="AO73" s="189"/>
      <c r="AP73" s="296" t="s">
        <v>410</v>
      </c>
      <c r="AQ73" s="294"/>
      <c r="AR73" s="295"/>
      <c r="AS73" s="296"/>
      <c r="AT73" s="297"/>
      <c r="AU73" s="297"/>
      <c r="AV73" s="296"/>
      <c r="AW73" s="297"/>
      <c r="AX73" s="298"/>
      <c r="AY73" s="298"/>
      <c r="AZ73" s="299"/>
    </row>
    <row r="74" spans="1:52" s="221" customFormat="1" ht="27.95" hidden="1" customHeight="1">
      <c r="A74" s="253">
        <v>70</v>
      </c>
      <c r="B74" s="326">
        <v>45072</v>
      </c>
      <c r="C74" s="255"/>
      <c r="D74" s="256"/>
      <c r="E74" s="256"/>
      <c r="F74" s="213" t="s">
        <v>288</v>
      </c>
      <c r="G74" s="214" t="s">
        <v>332</v>
      </c>
      <c r="H74" s="215" t="s">
        <v>333</v>
      </c>
      <c r="I74" s="328" t="s">
        <v>264</v>
      </c>
      <c r="J74" s="275" t="s">
        <v>334</v>
      </c>
      <c r="K74" s="275" t="s">
        <v>335</v>
      </c>
      <c r="L74" s="275" t="s">
        <v>261</v>
      </c>
      <c r="M74" s="380" t="s">
        <v>80</v>
      </c>
      <c r="N74" s="380" t="s">
        <v>80</v>
      </c>
      <c r="O74" s="380" t="s">
        <v>80</v>
      </c>
      <c r="P74" s="381"/>
      <c r="Q74" s="216"/>
      <c r="R74" s="330">
        <f>0</f>
        <v>0</v>
      </c>
      <c r="S74" s="331">
        <f>0</f>
        <v>0</v>
      </c>
      <c r="T74" s="331">
        <f>0</f>
        <v>0</v>
      </c>
      <c r="U74" s="331">
        <f>0</f>
        <v>0</v>
      </c>
      <c r="V74" s="331">
        <f>0</f>
        <v>0</v>
      </c>
      <c r="W74" s="331">
        <f>0</f>
        <v>0</v>
      </c>
      <c r="X74" s="331">
        <f>0</f>
        <v>0</v>
      </c>
      <c r="Y74" s="332">
        <v>16</v>
      </c>
      <c r="Z74" s="331">
        <f>0</f>
        <v>0</v>
      </c>
      <c r="AA74" s="331">
        <f>0</f>
        <v>0</v>
      </c>
      <c r="AB74" s="331">
        <f>0</f>
        <v>0</v>
      </c>
      <c r="AC74" s="331">
        <f>0</f>
        <v>0</v>
      </c>
      <c r="AD74" s="331">
        <f>0</f>
        <v>0</v>
      </c>
      <c r="AE74" s="331">
        <f>0</f>
        <v>0</v>
      </c>
      <c r="AF74" s="331">
        <f>0</f>
        <v>0</v>
      </c>
      <c r="AG74" s="331">
        <f t="shared" si="9"/>
        <v>0</v>
      </c>
      <c r="AH74" s="331">
        <f>0</f>
        <v>0</v>
      </c>
      <c r="AI74" s="331">
        <f>0</f>
        <v>0</v>
      </c>
      <c r="AJ74" s="331">
        <f>0</f>
        <v>0</v>
      </c>
      <c r="AK74" s="406">
        <f>0</f>
        <v>0</v>
      </c>
      <c r="AL74" s="334">
        <f t="shared" ref="AL74:AL130" si="11">SUM(R74:AK74)</f>
        <v>16</v>
      </c>
      <c r="AM74" s="335">
        <v>12</v>
      </c>
      <c r="AN74" s="336">
        <f t="shared" si="10"/>
        <v>4</v>
      </c>
      <c r="AO74" s="344">
        <v>45084</v>
      </c>
      <c r="AP74" s="213" t="s">
        <v>410</v>
      </c>
      <c r="AQ74" s="214" t="s">
        <v>544</v>
      </c>
      <c r="AR74" s="215"/>
      <c r="AS74" s="338"/>
      <c r="AT74" s="407"/>
      <c r="AU74" s="407">
        <v>4</v>
      </c>
      <c r="AV74" s="338"/>
      <c r="AW74" s="219" t="s">
        <v>589</v>
      </c>
      <c r="AX74" s="408"/>
      <c r="AY74" s="219"/>
      <c r="AZ74" s="342"/>
    </row>
    <row r="75" spans="1:52" s="221" customFormat="1" ht="27.95" hidden="1" customHeight="1">
      <c r="A75" s="325">
        <v>71</v>
      </c>
      <c r="B75" s="326">
        <v>45072</v>
      </c>
      <c r="C75" s="252"/>
      <c r="D75" s="252"/>
      <c r="E75" s="252"/>
      <c r="F75" s="213" t="s">
        <v>288</v>
      </c>
      <c r="G75" s="404" t="s">
        <v>336</v>
      </c>
      <c r="H75" s="327" t="s">
        <v>258</v>
      </c>
      <c r="I75" s="329" t="s">
        <v>259</v>
      </c>
      <c r="J75" s="275" t="s">
        <v>337</v>
      </c>
      <c r="K75" s="275" t="s">
        <v>260</v>
      </c>
      <c r="L75" s="275" t="s">
        <v>261</v>
      </c>
      <c r="M75" s="405" t="s">
        <v>80</v>
      </c>
      <c r="N75" s="405" t="s">
        <v>80</v>
      </c>
      <c r="O75" s="405" t="s">
        <v>80</v>
      </c>
      <c r="P75" s="405"/>
      <c r="Q75" s="333"/>
      <c r="R75" s="330">
        <f>0</f>
        <v>0</v>
      </c>
      <c r="S75" s="331">
        <f>0</f>
        <v>0</v>
      </c>
      <c r="T75" s="331">
        <f>0</f>
        <v>0</v>
      </c>
      <c r="U75" s="331">
        <f>0</f>
        <v>0</v>
      </c>
      <c r="V75" s="331">
        <f>0</f>
        <v>0</v>
      </c>
      <c r="W75" s="331">
        <f>0</f>
        <v>0</v>
      </c>
      <c r="X75" s="331">
        <f>0</f>
        <v>0</v>
      </c>
      <c r="Y75" s="332">
        <v>16</v>
      </c>
      <c r="Z75" s="331">
        <f>0</f>
        <v>0</v>
      </c>
      <c r="AA75" s="331">
        <f>0</f>
        <v>0</v>
      </c>
      <c r="AB75" s="331">
        <f>0</f>
        <v>0</v>
      </c>
      <c r="AC75" s="331">
        <f>0</f>
        <v>0</v>
      </c>
      <c r="AD75" s="331">
        <f>0</f>
        <v>0</v>
      </c>
      <c r="AE75" s="331">
        <f>0</f>
        <v>0</v>
      </c>
      <c r="AF75" s="331">
        <f>0</f>
        <v>0</v>
      </c>
      <c r="AG75" s="331">
        <f t="shared" si="9"/>
        <v>0</v>
      </c>
      <c r="AH75" s="331">
        <f>0</f>
        <v>0</v>
      </c>
      <c r="AI75" s="331">
        <f>0</f>
        <v>0</v>
      </c>
      <c r="AJ75" s="331">
        <f>0</f>
        <v>0</v>
      </c>
      <c r="AK75" s="406">
        <f>0</f>
        <v>0</v>
      </c>
      <c r="AL75" s="334">
        <f t="shared" si="11"/>
        <v>16</v>
      </c>
      <c r="AM75" s="335"/>
      <c r="AN75" s="336">
        <f t="shared" si="10"/>
        <v>16</v>
      </c>
      <c r="AO75" s="344">
        <v>45084</v>
      </c>
      <c r="AP75" s="213" t="s">
        <v>410</v>
      </c>
      <c r="AQ75" s="388" t="s">
        <v>543</v>
      </c>
      <c r="AR75" s="327"/>
      <c r="AS75" s="338"/>
      <c r="AT75" s="407"/>
      <c r="AU75" s="407">
        <v>16</v>
      </c>
      <c r="AV75" s="338"/>
      <c r="AW75" s="218" t="s">
        <v>588</v>
      </c>
      <c r="AX75" s="408"/>
      <c r="AY75" s="408"/>
      <c r="AZ75" s="342"/>
    </row>
    <row r="76" spans="1:52" s="221" customFormat="1" ht="27.95" hidden="1" customHeight="1">
      <c r="A76" s="253">
        <v>72</v>
      </c>
      <c r="B76" s="326">
        <v>45072</v>
      </c>
      <c r="C76" s="255"/>
      <c r="D76" s="256"/>
      <c r="E76" s="256"/>
      <c r="F76" s="213" t="s">
        <v>288</v>
      </c>
      <c r="G76" s="214" t="s">
        <v>338</v>
      </c>
      <c r="H76" s="215">
        <v>0</v>
      </c>
      <c r="I76" s="328" t="s">
        <v>339</v>
      </c>
      <c r="J76" s="275" t="s">
        <v>340</v>
      </c>
      <c r="K76" s="275">
        <v>5150.125</v>
      </c>
      <c r="L76" s="275" t="s">
        <v>341</v>
      </c>
      <c r="M76" s="380" t="s">
        <v>80</v>
      </c>
      <c r="N76" s="380" t="s">
        <v>80</v>
      </c>
      <c r="O76" s="380" t="s">
        <v>80</v>
      </c>
      <c r="P76" s="381"/>
      <c r="Q76" s="216"/>
      <c r="R76" s="330">
        <f>0</f>
        <v>0</v>
      </c>
      <c r="S76" s="331">
        <f>0</f>
        <v>0</v>
      </c>
      <c r="T76" s="331">
        <f>0</f>
        <v>0</v>
      </c>
      <c r="U76" s="331">
        <f>0</f>
        <v>0</v>
      </c>
      <c r="V76" s="331">
        <f>0</f>
        <v>0</v>
      </c>
      <c r="W76" s="331">
        <f>0</f>
        <v>0</v>
      </c>
      <c r="X76" s="331">
        <f>0</f>
        <v>0</v>
      </c>
      <c r="Y76" s="332">
        <v>15</v>
      </c>
      <c r="Z76" s="331">
        <f>0</f>
        <v>0</v>
      </c>
      <c r="AA76" s="331">
        <f>0</f>
        <v>0</v>
      </c>
      <c r="AB76" s="331">
        <f>0</f>
        <v>0</v>
      </c>
      <c r="AC76" s="331">
        <f>0</f>
        <v>0</v>
      </c>
      <c r="AD76" s="331">
        <f>0</f>
        <v>0</v>
      </c>
      <c r="AE76" s="331">
        <f>0</f>
        <v>0</v>
      </c>
      <c r="AF76" s="331">
        <f>0</f>
        <v>0</v>
      </c>
      <c r="AG76" s="331">
        <f t="shared" si="9"/>
        <v>0</v>
      </c>
      <c r="AH76" s="331">
        <f>0</f>
        <v>0</v>
      </c>
      <c r="AI76" s="331">
        <f>0</f>
        <v>0</v>
      </c>
      <c r="AJ76" s="331">
        <f>0</f>
        <v>0</v>
      </c>
      <c r="AK76" s="406">
        <f>0</f>
        <v>0</v>
      </c>
      <c r="AL76" s="334">
        <f t="shared" si="11"/>
        <v>15</v>
      </c>
      <c r="AM76" s="335"/>
      <c r="AN76" s="336">
        <f t="shared" si="10"/>
        <v>15</v>
      </c>
      <c r="AO76" s="344">
        <v>45096</v>
      </c>
      <c r="AP76" s="213" t="s">
        <v>410</v>
      </c>
      <c r="AQ76" s="344" t="s">
        <v>569</v>
      </c>
      <c r="AR76" s="215"/>
      <c r="AS76" s="338"/>
      <c r="AT76" s="407"/>
      <c r="AU76" s="407">
        <v>15</v>
      </c>
      <c r="AV76" s="338"/>
      <c r="AW76" s="218" t="s">
        <v>596</v>
      </c>
      <c r="AX76" s="408"/>
      <c r="AY76" s="408"/>
      <c r="AZ76" s="342"/>
    </row>
    <row r="77" spans="1:52" s="221" customFormat="1" ht="27.95" hidden="1" customHeight="1">
      <c r="A77" s="325">
        <v>73</v>
      </c>
      <c r="B77" s="326">
        <v>45072</v>
      </c>
      <c r="C77" s="252"/>
      <c r="D77" s="252"/>
      <c r="E77" s="252"/>
      <c r="F77" s="213" t="s">
        <v>288</v>
      </c>
      <c r="G77" s="404" t="s">
        <v>342</v>
      </c>
      <c r="H77" s="327">
        <v>0</v>
      </c>
      <c r="I77" s="329" t="s">
        <v>343</v>
      </c>
      <c r="J77" s="275" t="s">
        <v>344</v>
      </c>
      <c r="K77" s="275">
        <v>5051.125</v>
      </c>
      <c r="L77" s="275" t="s">
        <v>341</v>
      </c>
      <c r="M77" s="405" t="s">
        <v>80</v>
      </c>
      <c r="N77" s="405" t="s">
        <v>80</v>
      </c>
      <c r="O77" s="405" t="s">
        <v>80</v>
      </c>
      <c r="P77" s="405"/>
      <c r="Q77" s="333"/>
      <c r="R77" s="330">
        <f>0</f>
        <v>0</v>
      </c>
      <c r="S77" s="331">
        <f>0</f>
        <v>0</v>
      </c>
      <c r="T77" s="331">
        <f>0</f>
        <v>0</v>
      </c>
      <c r="U77" s="331">
        <f>0</f>
        <v>0</v>
      </c>
      <c r="V77" s="331">
        <f>0</f>
        <v>0</v>
      </c>
      <c r="W77" s="331">
        <f>0</f>
        <v>0</v>
      </c>
      <c r="X77" s="331">
        <f>0</f>
        <v>0</v>
      </c>
      <c r="Y77" s="332">
        <v>12</v>
      </c>
      <c r="Z77" s="331">
        <f>0</f>
        <v>0</v>
      </c>
      <c r="AA77" s="331">
        <f>0</f>
        <v>0</v>
      </c>
      <c r="AB77" s="331">
        <f>0</f>
        <v>0</v>
      </c>
      <c r="AC77" s="331">
        <f>0</f>
        <v>0</v>
      </c>
      <c r="AD77" s="331">
        <f>0</f>
        <v>0</v>
      </c>
      <c r="AE77" s="331">
        <f>0</f>
        <v>0</v>
      </c>
      <c r="AF77" s="331">
        <f>0</f>
        <v>0</v>
      </c>
      <c r="AG77" s="331">
        <f t="shared" si="9"/>
        <v>0</v>
      </c>
      <c r="AH77" s="331">
        <f>0</f>
        <v>0</v>
      </c>
      <c r="AI77" s="331">
        <f>0</f>
        <v>0</v>
      </c>
      <c r="AJ77" s="331">
        <f>0</f>
        <v>0</v>
      </c>
      <c r="AK77" s="406">
        <f>0</f>
        <v>0</v>
      </c>
      <c r="AL77" s="334">
        <f t="shared" si="11"/>
        <v>12</v>
      </c>
      <c r="AM77" s="335"/>
      <c r="AN77" s="336">
        <f t="shared" si="10"/>
        <v>12</v>
      </c>
      <c r="AO77" s="344">
        <v>45096</v>
      </c>
      <c r="AP77" s="213" t="s">
        <v>410</v>
      </c>
      <c r="AQ77" s="344" t="s">
        <v>569</v>
      </c>
      <c r="AR77" s="327"/>
      <c r="AS77" s="338"/>
      <c r="AT77" s="407"/>
      <c r="AU77" s="407">
        <v>12</v>
      </c>
      <c r="AV77" s="338"/>
      <c r="AW77" s="218" t="s">
        <v>597</v>
      </c>
      <c r="AX77" s="408"/>
      <c r="AY77" s="408"/>
      <c r="AZ77" s="342"/>
    </row>
    <row r="78" spans="1:52" ht="27.95" hidden="1" customHeight="1">
      <c r="A78" s="262">
        <v>74</v>
      </c>
      <c r="B78" s="263">
        <v>45072</v>
      </c>
      <c r="C78" s="252"/>
      <c r="D78" s="252"/>
      <c r="E78" s="252"/>
      <c r="F78" s="223" t="s">
        <v>288</v>
      </c>
      <c r="G78" s="258" t="s">
        <v>283</v>
      </c>
      <c r="H78" s="259" t="s">
        <v>141</v>
      </c>
      <c r="I78" s="271" t="s">
        <v>284</v>
      </c>
      <c r="J78" s="267" t="s">
        <v>345</v>
      </c>
      <c r="K78" s="267"/>
      <c r="L78" s="267" t="s">
        <v>423</v>
      </c>
      <c r="M78" s="272"/>
      <c r="N78" s="272"/>
      <c r="O78" s="272"/>
      <c r="P78" s="272"/>
      <c r="Q78" s="260"/>
      <c r="R78" s="165">
        <f>0</f>
        <v>0</v>
      </c>
      <c r="S78" s="154">
        <f>0</f>
        <v>0</v>
      </c>
      <c r="T78" s="154">
        <f>0</f>
        <v>0</v>
      </c>
      <c r="U78" s="154">
        <f>0</f>
        <v>0</v>
      </c>
      <c r="V78" s="154">
        <f>0</f>
        <v>0</v>
      </c>
      <c r="W78" s="154">
        <f>0</f>
        <v>0</v>
      </c>
      <c r="X78" s="154">
        <v>0</v>
      </c>
      <c r="Y78" s="178">
        <f>0</f>
        <v>0</v>
      </c>
      <c r="Z78" s="154">
        <f>0</f>
        <v>0</v>
      </c>
      <c r="AA78" s="154">
        <f>0</f>
        <v>0</v>
      </c>
      <c r="AB78" s="154">
        <f>0</f>
        <v>0</v>
      </c>
      <c r="AC78" s="154">
        <f>0</f>
        <v>0</v>
      </c>
      <c r="AD78" s="154">
        <f>0</f>
        <v>0</v>
      </c>
      <c r="AE78" s="154">
        <f>0</f>
        <v>0</v>
      </c>
      <c r="AF78" s="154">
        <f>0</f>
        <v>0</v>
      </c>
      <c r="AG78" s="154">
        <f t="shared" si="9"/>
        <v>0</v>
      </c>
      <c r="AH78" s="154">
        <f>0</f>
        <v>0</v>
      </c>
      <c r="AI78" s="154">
        <f>0</f>
        <v>0</v>
      </c>
      <c r="AJ78" s="154">
        <f>0</f>
        <v>0</v>
      </c>
      <c r="AK78" s="168">
        <f>0</f>
        <v>0</v>
      </c>
      <c r="AL78" s="170">
        <f t="shared" si="11"/>
        <v>0</v>
      </c>
      <c r="AM78" s="45"/>
      <c r="AN78" s="151">
        <f t="shared" si="10"/>
        <v>0</v>
      </c>
      <c r="AO78" s="256"/>
      <c r="AP78" s="223" t="s">
        <v>410</v>
      </c>
      <c r="AQ78" s="176" t="s">
        <v>99</v>
      </c>
      <c r="AR78" s="184"/>
      <c r="AS78" s="246"/>
      <c r="AT78" s="248"/>
      <c r="AU78" s="248"/>
      <c r="AV78" s="246"/>
      <c r="AW78" s="248"/>
      <c r="AX78" s="249"/>
      <c r="AY78" s="249"/>
      <c r="AZ78" s="251"/>
    </row>
    <row r="79" spans="1:52" ht="27.95" hidden="1" customHeight="1">
      <c r="A79" s="198">
        <v>75</v>
      </c>
      <c r="B79" s="263">
        <v>45075</v>
      </c>
      <c r="C79" s="255"/>
      <c r="D79" s="256"/>
      <c r="E79" s="256"/>
      <c r="F79" s="223" t="s">
        <v>211</v>
      </c>
      <c r="G79" s="267" t="s">
        <v>348</v>
      </c>
      <c r="H79" s="243" t="s">
        <v>263</v>
      </c>
      <c r="I79" s="266" t="s">
        <v>349</v>
      </c>
      <c r="J79" s="267" t="s">
        <v>348</v>
      </c>
      <c r="K79" s="267" t="s">
        <v>348</v>
      </c>
      <c r="L79" s="267" t="s">
        <v>216</v>
      </c>
      <c r="M79" s="268"/>
      <c r="N79" s="268"/>
      <c r="O79" s="268"/>
      <c r="P79" s="269"/>
      <c r="Q79" s="244"/>
      <c r="R79" s="165">
        <f>0</f>
        <v>0</v>
      </c>
      <c r="S79" s="154">
        <f>0</f>
        <v>0</v>
      </c>
      <c r="T79" s="154">
        <f>0</f>
        <v>0</v>
      </c>
      <c r="U79" s="154">
        <f>0</f>
        <v>0</v>
      </c>
      <c r="V79" s="154">
        <f>0</f>
        <v>0</v>
      </c>
      <c r="W79" s="154">
        <f>0</f>
        <v>0</v>
      </c>
      <c r="X79" s="154">
        <v>4</v>
      </c>
      <c r="Y79" s="178">
        <f>0</f>
        <v>0</v>
      </c>
      <c r="Z79" s="154">
        <f>0</f>
        <v>0</v>
      </c>
      <c r="AA79" s="154">
        <f>0</f>
        <v>0</v>
      </c>
      <c r="AB79" s="154">
        <f>0</f>
        <v>0</v>
      </c>
      <c r="AC79" s="154">
        <f>0</f>
        <v>0</v>
      </c>
      <c r="AD79" s="154">
        <f>0</f>
        <v>0</v>
      </c>
      <c r="AE79" s="154">
        <f>0</f>
        <v>0</v>
      </c>
      <c r="AF79" s="154">
        <f>0</f>
        <v>0</v>
      </c>
      <c r="AG79" s="154">
        <f>AE79-AF79</f>
        <v>0</v>
      </c>
      <c r="AH79" s="154">
        <f>0</f>
        <v>0</v>
      </c>
      <c r="AI79" s="154">
        <f>0</f>
        <v>0</v>
      </c>
      <c r="AJ79" s="154">
        <f>0</f>
        <v>0</v>
      </c>
      <c r="AK79" s="168">
        <f>0</f>
        <v>0</v>
      </c>
      <c r="AL79" s="170">
        <f t="shared" si="11"/>
        <v>4</v>
      </c>
      <c r="AM79" s="45"/>
      <c r="AN79" s="151">
        <f t="shared" si="10"/>
        <v>4</v>
      </c>
      <c r="AO79" s="245"/>
      <c r="AP79" s="246" t="s">
        <v>410</v>
      </c>
      <c r="AQ79" s="270" t="s">
        <v>49</v>
      </c>
      <c r="AR79" s="247"/>
      <c r="AS79" s="246"/>
      <c r="AT79" s="185"/>
      <c r="AU79" s="185"/>
      <c r="AV79" s="246"/>
      <c r="AW79" s="185"/>
      <c r="AX79" s="186"/>
      <c r="AY79" s="186"/>
      <c r="AZ79" s="251"/>
    </row>
    <row r="80" spans="1:52" s="221" customFormat="1" ht="27.95" hidden="1" customHeight="1">
      <c r="A80" s="253">
        <v>76</v>
      </c>
      <c r="B80" s="326">
        <v>45076</v>
      </c>
      <c r="C80" s="252"/>
      <c r="D80" s="252"/>
      <c r="E80" s="252"/>
      <c r="F80" s="213" t="s">
        <v>350</v>
      </c>
      <c r="G80" s="275" t="s">
        <v>353</v>
      </c>
      <c r="H80" s="327">
        <v>0</v>
      </c>
      <c r="I80" s="329" t="s">
        <v>351</v>
      </c>
      <c r="J80" s="275" t="s">
        <v>352</v>
      </c>
      <c r="K80" s="275" t="s">
        <v>353</v>
      </c>
      <c r="L80" s="275" t="s">
        <v>354</v>
      </c>
      <c r="M80" s="405"/>
      <c r="N80" s="405"/>
      <c r="O80" s="405"/>
      <c r="P80" s="405"/>
      <c r="Q80" s="333"/>
      <c r="R80" s="330">
        <f>0</f>
        <v>0</v>
      </c>
      <c r="S80" s="331">
        <f>0</f>
        <v>0</v>
      </c>
      <c r="T80" s="331">
        <f>0</f>
        <v>0</v>
      </c>
      <c r="U80" s="331">
        <f>0</f>
        <v>0</v>
      </c>
      <c r="V80" s="331">
        <f>0</f>
        <v>0</v>
      </c>
      <c r="W80" s="331">
        <f>0</f>
        <v>0</v>
      </c>
      <c r="X80" s="331">
        <f>0</f>
        <v>0</v>
      </c>
      <c r="Y80" s="332">
        <v>2</v>
      </c>
      <c r="Z80" s="331">
        <f>0</f>
        <v>0</v>
      </c>
      <c r="AA80" s="331">
        <f>0</f>
        <v>0</v>
      </c>
      <c r="AB80" s="331">
        <f>0</f>
        <v>0</v>
      </c>
      <c r="AC80" s="331">
        <f>0</f>
        <v>0</v>
      </c>
      <c r="AD80" s="331">
        <f>0</f>
        <v>0</v>
      </c>
      <c r="AE80" s="331">
        <f>0</f>
        <v>0</v>
      </c>
      <c r="AF80" s="331">
        <f>0</f>
        <v>0</v>
      </c>
      <c r="AG80" s="331">
        <f>AE80-AF80</f>
        <v>0</v>
      </c>
      <c r="AH80" s="331">
        <f>0</f>
        <v>0</v>
      </c>
      <c r="AI80" s="331">
        <f>0</f>
        <v>0</v>
      </c>
      <c r="AJ80" s="331">
        <f>0</f>
        <v>0</v>
      </c>
      <c r="AK80" s="406">
        <f>0</f>
        <v>0</v>
      </c>
      <c r="AL80" s="334">
        <f t="shared" si="11"/>
        <v>2</v>
      </c>
      <c r="AM80" s="335">
        <v>2</v>
      </c>
      <c r="AN80" s="336">
        <f t="shared" si="10"/>
        <v>0</v>
      </c>
      <c r="AO80" s="344"/>
      <c r="AP80" s="338" t="s">
        <v>410</v>
      </c>
      <c r="AQ80" s="285" t="s">
        <v>49</v>
      </c>
      <c r="AR80" s="339"/>
      <c r="AS80" s="338"/>
      <c r="AT80" s="340"/>
      <c r="AU80" s="340"/>
      <c r="AV80" s="338"/>
      <c r="AW80" s="340" t="s">
        <v>411</v>
      </c>
      <c r="AX80" s="341"/>
      <c r="AY80" s="341"/>
      <c r="AZ80" s="220"/>
    </row>
    <row r="81" spans="1:52" s="221" customFormat="1" ht="27.95" hidden="1" customHeight="1">
      <c r="A81" s="325">
        <v>77</v>
      </c>
      <c r="B81" s="326">
        <v>45076</v>
      </c>
      <c r="C81" s="255"/>
      <c r="D81" s="256"/>
      <c r="E81" s="256"/>
      <c r="F81" s="213" t="s">
        <v>350</v>
      </c>
      <c r="G81" s="275" t="s">
        <v>356</v>
      </c>
      <c r="H81" s="215">
        <v>0</v>
      </c>
      <c r="I81" s="328" t="s">
        <v>355</v>
      </c>
      <c r="J81" s="275" t="s">
        <v>356</v>
      </c>
      <c r="K81" s="275" t="s">
        <v>356</v>
      </c>
      <c r="L81" s="275" t="s">
        <v>354</v>
      </c>
      <c r="M81" s="380"/>
      <c r="N81" s="380"/>
      <c r="O81" s="380"/>
      <c r="P81" s="381"/>
      <c r="Q81" s="216"/>
      <c r="R81" s="330">
        <f>0</f>
        <v>0</v>
      </c>
      <c r="S81" s="331">
        <f>0</f>
        <v>0</v>
      </c>
      <c r="T81" s="331">
        <f>0</f>
        <v>0</v>
      </c>
      <c r="U81" s="331">
        <f>0</f>
        <v>0</v>
      </c>
      <c r="V81" s="331">
        <f>0</f>
        <v>0</v>
      </c>
      <c r="W81" s="331">
        <f>0</f>
        <v>0</v>
      </c>
      <c r="X81" s="331">
        <f>0</f>
        <v>0</v>
      </c>
      <c r="Y81" s="332">
        <v>2</v>
      </c>
      <c r="Z81" s="331">
        <f>0</f>
        <v>0</v>
      </c>
      <c r="AA81" s="331">
        <f>0</f>
        <v>0</v>
      </c>
      <c r="AB81" s="331">
        <f>0</f>
        <v>0</v>
      </c>
      <c r="AC81" s="331">
        <f>0</f>
        <v>0</v>
      </c>
      <c r="AD81" s="331">
        <f>0</f>
        <v>0</v>
      </c>
      <c r="AE81" s="331">
        <f>0</f>
        <v>0</v>
      </c>
      <c r="AF81" s="331">
        <f>0</f>
        <v>0</v>
      </c>
      <c r="AG81" s="331">
        <f t="shared" ref="AG81:AG100" si="12">AE81-AF81</f>
        <v>0</v>
      </c>
      <c r="AH81" s="331">
        <f>0</f>
        <v>0</v>
      </c>
      <c r="AI81" s="331">
        <f>0</f>
        <v>0</v>
      </c>
      <c r="AJ81" s="331">
        <f>0</f>
        <v>0</v>
      </c>
      <c r="AK81" s="406">
        <f>0</f>
        <v>0</v>
      </c>
      <c r="AL81" s="334">
        <f t="shared" si="11"/>
        <v>2</v>
      </c>
      <c r="AM81" s="335">
        <v>2</v>
      </c>
      <c r="AN81" s="336">
        <f t="shared" si="10"/>
        <v>0</v>
      </c>
      <c r="AO81" s="344"/>
      <c r="AP81" s="338" t="s">
        <v>410</v>
      </c>
      <c r="AQ81" s="285" t="s">
        <v>49</v>
      </c>
      <c r="AR81" s="339"/>
      <c r="AS81" s="338"/>
      <c r="AT81" s="340"/>
      <c r="AU81" s="340"/>
      <c r="AV81" s="338"/>
      <c r="AW81" s="340" t="s">
        <v>411</v>
      </c>
      <c r="AX81" s="341"/>
      <c r="AY81" s="341"/>
      <c r="AZ81" s="342"/>
    </row>
    <row r="82" spans="1:52" s="221" customFormat="1" ht="27.95" hidden="1" customHeight="1">
      <c r="A82" s="325">
        <v>78</v>
      </c>
      <c r="B82" s="326">
        <v>45076</v>
      </c>
      <c r="C82" s="252"/>
      <c r="D82" s="252"/>
      <c r="E82" s="252"/>
      <c r="F82" s="213" t="s">
        <v>350</v>
      </c>
      <c r="G82" s="275" t="s">
        <v>359</v>
      </c>
      <c r="H82" s="327">
        <v>0</v>
      </c>
      <c r="I82" s="329" t="s">
        <v>357</v>
      </c>
      <c r="J82" s="275" t="s">
        <v>358</v>
      </c>
      <c r="K82" s="275" t="s">
        <v>359</v>
      </c>
      <c r="L82" s="275" t="s">
        <v>354</v>
      </c>
      <c r="M82" s="405"/>
      <c r="N82" s="405"/>
      <c r="O82" s="405"/>
      <c r="P82" s="405"/>
      <c r="Q82" s="333"/>
      <c r="R82" s="330">
        <f>0</f>
        <v>0</v>
      </c>
      <c r="S82" s="331">
        <f>0</f>
        <v>0</v>
      </c>
      <c r="T82" s="331">
        <f>0</f>
        <v>0</v>
      </c>
      <c r="U82" s="331">
        <f>0</f>
        <v>0</v>
      </c>
      <c r="V82" s="331">
        <f>0</f>
        <v>0</v>
      </c>
      <c r="W82" s="331">
        <f>0</f>
        <v>0</v>
      </c>
      <c r="X82" s="331">
        <f>0</f>
        <v>0</v>
      </c>
      <c r="Y82" s="332">
        <v>4</v>
      </c>
      <c r="Z82" s="331">
        <f>0</f>
        <v>0</v>
      </c>
      <c r="AA82" s="331">
        <f>0</f>
        <v>0</v>
      </c>
      <c r="AB82" s="331">
        <f>0</f>
        <v>0</v>
      </c>
      <c r="AC82" s="331">
        <f>0</f>
        <v>0</v>
      </c>
      <c r="AD82" s="331">
        <f>0</f>
        <v>0</v>
      </c>
      <c r="AE82" s="331">
        <f>0</f>
        <v>0</v>
      </c>
      <c r="AF82" s="331">
        <f>0</f>
        <v>0</v>
      </c>
      <c r="AG82" s="331">
        <f t="shared" si="12"/>
        <v>0</v>
      </c>
      <c r="AH82" s="331">
        <f>0</f>
        <v>0</v>
      </c>
      <c r="AI82" s="331">
        <f>0</f>
        <v>0</v>
      </c>
      <c r="AJ82" s="331">
        <f>0</f>
        <v>0</v>
      </c>
      <c r="AK82" s="406">
        <f>0</f>
        <v>0</v>
      </c>
      <c r="AL82" s="334">
        <f t="shared" si="11"/>
        <v>4</v>
      </c>
      <c r="AM82" s="335">
        <v>4</v>
      </c>
      <c r="AN82" s="336">
        <f t="shared" si="10"/>
        <v>0</v>
      </c>
      <c r="AO82" s="344"/>
      <c r="AP82" s="338" t="s">
        <v>410</v>
      </c>
      <c r="AQ82" s="285" t="s">
        <v>49</v>
      </c>
      <c r="AR82" s="339"/>
      <c r="AS82" s="338"/>
      <c r="AT82" s="340"/>
      <c r="AU82" s="340"/>
      <c r="AV82" s="338"/>
      <c r="AW82" s="340" t="s">
        <v>411</v>
      </c>
      <c r="AX82" s="341"/>
      <c r="AY82" s="341"/>
      <c r="AZ82" s="342"/>
    </row>
    <row r="83" spans="1:52" s="221" customFormat="1" ht="27.95" hidden="1" customHeight="1">
      <c r="A83" s="253">
        <v>79</v>
      </c>
      <c r="B83" s="326">
        <v>45076</v>
      </c>
      <c r="C83" s="252"/>
      <c r="D83" s="252"/>
      <c r="E83" s="252"/>
      <c r="F83" s="213" t="s">
        <v>350</v>
      </c>
      <c r="G83" s="275" t="s">
        <v>362</v>
      </c>
      <c r="H83" s="327">
        <v>0</v>
      </c>
      <c r="I83" s="329" t="s">
        <v>360</v>
      </c>
      <c r="J83" s="275" t="s">
        <v>361</v>
      </c>
      <c r="K83" s="275" t="s">
        <v>362</v>
      </c>
      <c r="L83" s="275" t="s">
        <v>354</v>
      </c>
      <c r="M83" s="405"/>
      <c r="N83" s="405"/>
      <c r="O83" s="405"/>
      <c r="P83" s="405"/>
      <c r="Q83" s="333"/>
      <c r="R83" s="330">
        <f>0</f>
        <v>0</v>
      </c>
      <c r="S83" s="331">
        <f>0</f>
        <v>0</v>
      </c>
      <c r="T83" s="331">
        <f>0</f>
        <v>0</v>
      </c>
      <c r="U83" s="331">
        <f>0</f>
        <v>0</v>
      </c>
      <c r="V83" s="331">
        <f>0</f>
        <v>0</v>
      </c>
      <c r="W83" s="331">
        <f>0</f>
        <v>0</v>
      </c>
      <c r="X83" s="331">
        <f>0</f>
        <v>0</v>
      </c>
      <c r="Y83" s="332">
        <v>2</v>
      </c>
      <c r="Z83" s="331">
        <f>0</f>
        <v>0</v>
      </c>
      <c r="AA83" s="331">
        <f>0</f>
        <v>0</v>
      </c>
      <c r="AB83" s="331">
        <f>0</f>
        <v>0</v>
      </c>
      <c r="AC83" s="331">
        <f>0</f>
        <v>0</v>
      </c>
      <c r="AD83" s="331">
        <f>0</f>
        <v>0</v>
      </c>
      <c r="AE83" s="331">
        <f>0</f>
        <v>0</v>
      </c>
      <c r="AF83" s="331">
        <f>0</f>
        <v>0</v>
      </c>
      <c r="AG83" s="331">
        <f t="shared" si="12"/>
        <v>0</v>
      </c>
      <c r="AH83" s="331">
        <f>0</f>
        <v>0</v>
      </c>
      <c r="AI83" s="331">
        <f>0</f>
        <v>0</v>
      </c>
      <c r="AJ83" s="331">
        <f>0</f>
        <v>0</v>
      </c>
      <c r="AK83" s="406">
        <f>0</f>
        <v>0</v>
      </c>
      <c r="AL83" s="334">
        <f t="shared" si="11"/>
        <v>2</v>
      </c>
      <c r="AM83" s="335">
        <v>2</v>
      </c>
      <c r="AN83" s="336">
        <f t="shared" si="10"/>
        <v>0</v>
      </c>
      <c r="AO83" s="344"/>
      <c r="AP83" s="338" t="s">
        <v>410</v>
      </c>
      <c r="AQ83" s="285" t="s">
        <v>49</v>
      </c>
      <c r="AR83" s="339"/>
      <c r="AS83" s="338"/>
      <c r="AT83" s="340"/>
      <c r="AU83" s="340"/>
      <c r="AV83" s="338"/>
      <c r="AW83" s="340" t="s">
        <v>411</v>
      </c>
      <c r="AX83" s="341"/>
      <c r="AY83" s="341"/>
      <c r="AZ83" s="342"/>
    </row>
    <row r="84" spans="1:52" s="221" customFormat="1" ht="27.95" hidden="1" customHeight="1">
      <c r="A84" s="253">
        <v>80</v>
      </c>
      <c r="B84" s="326">
        <v>45076</v>
      </c>
      <c r="C84" s="255"/>
      <c r="D84" s="256"/>
      <c r="E84" s="256"/>
      <c r="F84" s="213" t="s">
        <v>350</v>
      </c>
      <c r="G84" s="275" t="s">
        <v>365</v>
      </c>
      <c r="H84" s="215">
        <v>0</v>
      </c>
      <c r="I84" s="328" t="s">
        <v>363</v>
      </c>
      <c r="J84" s="275" t="s">
        <v>364</v>
      </c>
      <c r="K84" s="275" t="s">
        <v>365</v>
      </c>
      <c r="L84" s="275" t="s">
        <v>354</v>
      </c>
      <c r="M84" s="380"/>
      <c r="N84" s="380"/>
      <c r="O84" s="380"/>
      <c r="P84" s="381"/>
      <c r="Q84" s="216"/>
      <c r="R84" s="330">
        <f>0</f>
        <v>0</v>
      </c>
      <c r="S84" s="331">
        <f>0</f>
        <v>0</v>
      </c>
      <c r="T84" s="331">
        <f>0</f>
        <v>0</v>
      </c>
      <c r="U84" s="331">
        <f>0</f>
        <v>0</v>
      </c>
      <c r="V84" s="331">
        <f>0</f>
        <v>0</v>
      </c>
      <c r="W84" s="331">
        <f>0</f>
        <v>0</v>
      </c>
      <c r="X84" s="331">
        <f>0</f>
        <v>0</v>
      </c>
      <c r="Y84" s="332">
        <v>2</v>
      </c>
      <c r="Z84" s="331">
        <f>0</f>
        <v>0</v>
      </c>
      <c r="AA84" s="331">
        <f>0</f>
        <v>0</v>
      </c>
      <c r="AB84" s="331">
        <f>0</f>
        <v>0</v>
      </c>
      <c r="AC84" s="331">
        <f>0</f>
        <v>0</v>
      </c>
      <c r="AD84" s="331">
        <f>0</f>
        <v>0</v>
      </c>
      <c r="AE84" s="331">
        <f>0</f>
        <v>0</v>
      </c>
      <c r="AF84" s="331">
        <f>0</f>
        <v>0</v>
      </c>
      <c r="AG84" s="331">
        <f t="shared" si="12"/>
        <v>0</v>
      </c>
      <c r="AH84" s="331">
        <f>0</f>
        <v>0</v>
      </c>
      <c r="AI84" s="331">
        <f>0</f>
        <v>0</v>
      </c>
      <c r="AJ84" s="331">
        <f>0</f>
        <v>0</v>
      </c>
      <c r="AK84" s="406">
        <f>0</f>
        <v>0</v>
      </c>
      <c r="AL84" s="334">
        <f t="shared" si="11"/>
        <v>2</v>
      </c>
      <c r="AM84" s="335"/>
      <c r="AN84" s="336">
        <f t="shared" si="10"/>
        <v>2</v>
      </c>
      <c r="AO84" s="344">
        <v>45096</v>
      </c>
      <c r="AP84" s="338" t="s">
        <v>410</v>
      </c>
      <c r="AQ84" s="388" t="s">
        <v>567</v>
      </c>
      <c r="AR84" s="339"/>
      <c r="AS84" s="338"/>
      <c r="AT84" s="340"/>
      <c r="AU84" s="340">
        <v>10</v>
      </c>
      <c r="AV84" s="338"/>
      <c r="AW84" s="340" t="s">
        <v>595</v>
      </c>
      <c r="AX84" s="341"/>
      <c r="AY84" s="341"/>
      <c r="AZ84" s="342"/>
    </row>
    <row r="85" spans="1:52" ht="27.95" hidden="1" customHeight="1">
      <c r="A85" s="262">
        <v>81</v>
      </c>
      <c r="B85" s="263">
        <v>45076</v>
      </c>
      <c r="C85" s="252"/>
      <c r="D85" s="252"/>
      <c r="E85" s="252"/>
      <c r="F85" s="223" t="s">
        <v>350</v>
      </c>
      <c r="G85" s="267" t="s">
        <v>367</v>
      </c>
      <c r="H85" s="259">
        <v>0</v>
      </c>
      <c r="I85" s="271" t="s">
        <v>366</v>
      </c>
      <c r="J85" s="267" t="s">
        <v>367</v>
      </c>
      <c r="K85" s="267" t="s">
        <v>367</v>
      </c>
      <c r="L85" s="267" t="s">
        <v>368</v>
      </c>
      <c r="M85" s="272"/>
      <c r="N85" s="272"/>
      <c r="O85" s="272"/>
      <c r="P85" s="272"/>
      <c r="Q85" s="260"/>
      <c r="R85" s="165">
        <f>0</f>
        <v>0</v>
      </c>
      <c r="S85" s="154">
        <f>0</f>
        <v>0</v>
      </c>
      <c r="T85" s="154">
        <f>0</f>
        <v>0</v>
      </c>
      <c r="U85" s="154">
        <f>0</f>
        <v>0</v>
      </c>
      <c r="V85" s="154">
        <f>0</f>
        <v>0</v>
      </c>
      <c r="W85" s="154">
        <f>0</f>
        <v>0</v>
      </c>
      <c r="X85" s="154">
        <f>0</f>
        <v>0</v>
      </c>
      <c r="Y85" s="178">
        <v>2</v>
      </c>
      <c r="Z85" s="154">
        <f>0</f>
        <v>0</v>
      </c>
      <c r="AA85" s="154">
        <f>0</f>
        <v>0</v>
      </c>
      <c r="AB85" s="154">
        <f>0</f>
        <v>0</v>
      </c>
      <c r="AC85" s="154">
        <f>0</f>
        <v>0</v>
      </c>
      <c r="AD85" s="154">
        <f>0</f>
        <v>0</v>
      </c>
      <c r="AE85" s="154">
        <f>0</f>
        <v>0</v>
      </c>
      <c r="AF85" s="154">
        <f>0</f>
        <v>0</v>
      </c>
      <c r="AG85" s="154">
        <f t="shared" si="12"/>
        <v>0</v>
      </c>
      <c r="AH85" s="154">
        <f>0</f>
        <v>0</v>
      </c>
      <c r="AI85" s="154">
        <f>0</f>
        <v>0</v>
      </c>
      <c r="AJ85" s="154">
        <f>0</f>
        <v>0</v>
      </c>
      <c r="AK85" s="168">
        <f>0</f>
        <v>0</v>
      </c>
      <c r="AL85" s="170">
        <f t="shared" si="11"/>
        <v>2</v>
      </c>
      <c r="AM85" s="45"/>
      <c r="AN85" s="151">
        <f t="shared" si="10"/>
        <v>2</v>
      </c>
      <c r="AO85" s="276"/>
      <c r="AP85" s="277" t="s">
        <v>172</v>
      </c>
      <c r="AQ85" s="278"/>
      <c r="AR85" s="279"/>
      <c r="AS85" s="277"/>
      <c r="AT85" s="280"/>
      <c r="AU85" s="280"/>
      <c r="AV85" s="277"/>
      <c r="AW85" s="280"/>
      <c r="AX85" s="281"/>
      <c r="AY85" s="281"/>
      <c r="AZ85" s="282"/>
    </row>
    <row r="86" spans="1:52" ht="27.95" hidden="1" customHeight="1">
      <c r="A86" s="262">
        <v>82</v>
      </c>
      <c r="B86" s="263">
        <v>45076</v>
      </c>
      <c r="C86" s="255"/>
      <c r="D86" s="256"/>
      <c r="E86" s="256"/>
      <c r="F86" s="223" t="s">
        <v>350</v>
      </c>
      <c r="G86" s="267" t="s">
        <v>371</v>
      </c>
      <c r="H86" s="259">
        <v>0</v>
      </c>
      <c r="I86" s="266" t="s">
        <v>369</v>
      </c>
      <c r="J86" s="267" t="s">
        <v>370</v>
      </c>
      <c r="K86" s="267" t="s">
        <v>371</v>
      </c>
      <c r="L86" s="267" t="s">
        <v>372</v>
      </c>
      <c r="M86" s="268"/>
      <c r="N86" s="268"/>
      <c r="O86" s="268"/>
      <c r="P86" s="269"/>
      <c r="Q86" s="244"/>
      <c r="R86" s="165">
        <f>0</f>
        <v>0</v>
      </c>
      <c r="S86" s="154">
        <f>0</f>
        <v>0</v>
      </c>
      <c r="T86" s="154">
        <f>0</f>
        <v>0</v>
      </c>
      <c r="U86" s="154">
        <f>0</f>
        <v>0</v>
      </c>
      <c r="V86" s="154">
        <f>0</f>
        <v>0</v>
      </c>
      <c r="W86" s="154">
        <f>0</f>
        <v>0</v>
      </c>
      <c r="X86" s="154">
        <f>0</f>
        <v>0</v>
      </c>
      <c r="Y86" s="178">
        <v>1</v>
      </c>
      <c r="Z86" s="154">
        <f>0</f>
        <v>0</v>
      </c>
      <c r="AA86" s="154">
        <f>0</f>
        <v>0</v>
      </c>
      <c r="AB86" s="154">
        <f>0</f>
        <v>0</v>
      </c>
      <c r="AC86" s="154">
        <f>0</f>
        <v>0</v>
      </c>
      <c r="AD86" s="154">
        <f>0</f>
        <v>0</v>
      </c>
      <c r="AE86" s="154">
        <f>0</f>
        <v>0</v>
      </c>
      <c r="AF86" s="154">
        <f>0</f>
        <v>0</v>
      </c>
      <c r="AG86" s="154">
        <f t="shared" si="12"/>
        <v>0</v>
      </c>
      <c r="AH86" s="154">
        <f>0</f>
        <v>0</v>
      </c>
      <c r="AI86" s="154">
        <f>0</f>
        <v>0</v>
      </c>
      <c r="AJ86" s="154">
        <f>0</f>
        <v>0</v>
      </c>
      <c r="AK86" s="168">
        <f>0</f>
        <v>0</v>
      </c>
      <c r="AL86" s="170">
        <f t="shared" si="11"/>
        <v>1</v>
      </c>
      <c r="AM86" s="45"/>
      <c r="AN86" s="151">
        <f t="shared" si="10"/>
        <v>1</v>
      </c>
      <c r="AO86" s="386">
        <v>45084</v>
      </c>
      <c r="AP86" s="277" t="s">
        <v>410</v>
      </c>
      <c r="AQ86" s="278" t="s">
        <v>545</v>
      </c>
      <c r="AR86" s="279"/>
      <c r="AS86" s="277"/>
      <c r="AT86" s="280"/>
      <c r="AU86" s="280"/>
      <c r="AV86" s="277"/>
      <c r="AW86" s="280"/>
      <c r="AX86" s="281"/>
      <c r="AY86" s="281"/>
      <c r="AZ86" s="282"/>
    </row>
    <row r="87" spans="1:52" ht="27.95" hidden="1" customHeight="1">
      <c r="A87" s="198">
        <v>83</v>
      </c>
      <c r="B87" s="263">
        <v>45076</v>
      </c>
      <c r="C87" s="252"/>
      <c r="D87" s="252"/>
      <c r="E87" s="252"/>
      <c r="F87" s="223" t="s">
        <v>350</v>
      </c>
      <c r="G87" s="267" t="s">
        <v>374</v>
      </c>
      <c r="H87" s="243">
        <v>0</v>
      </c>
      <c r="I87" s="271" t="s">
        <v>373</v>
      </c>
      <c r="J87" s="267" t="s">
        <v>374</v>
      </c>
      <c r="K87" s="267" t="s">
        <v>374</v>
      </c>
      <c r="L87" s="267" t="s">
        <v>372</v>
      </c>
      <c r="M87" s="272"/>
      <c r="N87" s="272"/>
      <c r="O87" s="272"/>
      <c r="P87" s="272"/>
      <c r="Q87" s="260"/>
      <c r="R87" s="165">
        <f>0</f>
        <v>0</v>
      </c>
      <c r="S87" s="154">
        <f>0</f>
        <v>0</v>
      </c>
      <c r="T87" s="154">
        <f>0</f>
        <v>0</v>
      </c>
      <c r="U87" s="154">
        <f>0</f>
        <v>0</v>
      </c>
      <c r="V87" s="154">
        <f>0</f>
        <v>0</v>
      </c>
      <c r="W87" s="154">
        <f>0</f>
        <v>0</v>
      </c>
      <c r="X87" s="154">
        <f>0</f>
        <v>0</v>
      </c>
      <c r="Y87" s="178">
        <v>2</v>
      </c>
      <c r="Z87" s="154">
        <f>0</f>
        <v>0</v>
      </c>
      <c r="AA87" s="154">
        <f>0</f>
        <v>0</v>
      </c>
      <c r="AB87" s="154">
        <f>0</f>
        <v>0</v>
      </c>
      <c r="AC87" s="154">
        <f>0</f>
        <v>0</v>
      </c>
      <c r="AD87" s="154">
        <f>0</f>
        <v>0</v>
      </c>
      <c r="AE87" s="154">
        <f>0</f>
        <v>0</v>
      </c>
      <c r="AF87" s="154">
        <f>0</f>
        <v>0</v>
      </c>
      <c r="AG87" s="154">
        <f t="shared" si="12"/>
        <v>0</v>
      </c>
      <c r="AH87" s="154">
        <f>0</f>
        <v>0</v>
      </c>
      <c r="AI87" s="154">
        <f>0</f>
        <v>0</v>
      </c>
      <c r="AJ87" s="154">
        <f>0</f>
        <v>0</v>
      </c>
      <c r="AK87" s="168">
        <f>0</f>
        <v>0</v>
      </c>
      <c r="AL87" s="170">
        <f t="shared" si="11"/>
        <v>2</v>
      </c>
      <c r="AM87" s="45">
        <v>2</v>
      </c>
      <c r="AN87" s="151">
        <f t="shared" si="10"/>
        <v>0</v>
      </c>
      <c r="AO87" s="386">
        <v>45084</v>
      </c>
      <c r="AP87" s="277" t="s">
        <v>410</v>
      </c>
      <c r="AQ87" s="285" t="s">
        <v>49</v>
      </c>
      <c r="AR87" s="279"/>
      <c r="AS87" s="277"/>
      <c r="AT87" s="280"/>
      <c r="AU87" s="280"/>
      <c r="AV87" s="277"/>
      <c r="AW87" s="280" t="s">
        <v>411</v>
      </c>
      <c r="AX87" s="281"/>
      <c r="AY87" s="281"/>
      <c r="AZ87" s="282"/>
    </row>
    <row r="88" spans="1:52" s="221" customFormat="1" ht="27.95" hidden="1" customHeight="1">
      <c r="A88" s="253">
        <v>84</v>
      </c>
      <c r="B88" s="326">
        <v>45076</v>
      </c>
      <c r="C88" s="252"/>
      <c r="D88" s="252"/>
      <c r="E88" s="252"/>
      <c r="F88" s="213" t="s">
        <v>350</v>
      </c>
      <c r="G88" s="275" t="s">
        <v>376</v>
      </c>
      <c r="H88" s="327">
        <v>0</v>
      </c>
      <c r="I88" s="329" t="s">
        <v>375</v>
      </c>
      <c r="J88" s="275" t="s">
        <v>376</v>
      </c>
      <c r="K88" s="275" t="s">
        <v>376</v>
      </c>
      <c r="L88" s="275" t="s">
        <v>372</v>
      </c>
      <c r="M88" s="405"/>
      <c r="N88" s="405"/>
      <c r="O88" s="405"/>
      <c r="P88" s="405"/>
      <c r="Q88" s="333"/>
      <c r="R88" s="330">
        <f>0</f>
        <v>0</v>
      </c>
      <c r="S88" s="331">
        <f>0</f>
        <v>0</v>
      </c>
      <c r="T88" s="331">
        <f>0</f>
        <v>0</v>
      </c>
      <c r="U88" s="331">
        <f>0</f>
        <v>0</v>
      </c>
      <c r="V88" s="331">
        <f>0</f>
        <v>0</v>
      </c>
      <c r="W88" s="331">
        <f>0</f>
        <v>0</v>
      </c>
      <c r="X88" s="331">
        <f>0</f>
        <v>0</v>
      </c>
      <c r="Y88" s="332">
        <v>2</v>
      </c>
      <c r="Z88" s="331">
        <f>0</f>
        <v>0</v>
      </c>
      <c r="AA88" s="331">
        <f>0</f>
        <v>0</v>
      </c>
      <c r="AB88" s="331">
        <f>0</f>
        <v>0</v>
      </c>
      <c r="AC88" s="331">
        <f>0</f>
        <v>0</v>
      </c>
      <c r="AD88" s="331">
        <f>0</f>
        <v>0</v>
      </c>
      <c r="AE88" s="331">
        <f>0</f>
        <v>0</v>
      </c>
      <c r="AF88" s="331">
        <f>0</f>
        <v>0</v>
      </c>
      <c r="AG88" s="331">
        <f t="shared" si="12"/>
        <v>0</v>
      </c>
      <c r="AH88" s="331">
        <f>0</f>
        <v>0</v>
      </c>
      <c r="AI88" s="331">
        <f>0</f>
        <v>0</v>
      </c>
      <c r="AJ88" s="331">
        <f>0</f>
        <v>0</v>
      </c>
      <c r="AK88" s="406">
        <f>0</f>
        <v>0</v>
      </c>
      <c r="AL88" s="334">
        <f t="shared" si="11"/>
        <v>2</v>
      </c>
      <c r="AM88" s="335"/>
      <c r="AN88" s="336">
        <f t="shared" si="10"/>
        <v>2</v>
      </c>
      <c r="AO88" s="344">
        <v>45084</v>
      </c>
      <c r="AP88" s="338" t="s">
        <v>410</v>
      </c>
      <c r="AQ88" s="388" t="s">
        <v>545</v>
      </c>
      <c r="AR88" s="339"/>
      <c r="AS88" s="338"/>
      <c r="AT88" s="340"/>
      <c r="AU88" s="340">
        <v>2</v>
      </c>
      <c r="AV88" s="338"/>
      <c r="AW88" s="218" t="s">
        <v>552</v>
      </c>
      <c r="AX88" s="341"/>
      <c r="AY88" s="341"/>
      <c r="AZ88" s="342"/>
    </row>
    <row r="89" spans="1:52" s="221" customFormat="1" ht="27.95" hidden="1" customHeight="1">
      <c r="A89" s="325">
        <v>85</v>
      </c>
      <c r="B89" s="326">
        <v>45076</v>
      </c>
      <c r="C89" s="255"/>
      <c r="D89" s="256"/>
      <c r="E89" s="256"/>
      <c r="F89" s="213" t="s">
        <v>350</v>
      </c>
      <c r="G89" s="275" t="s">
        <v>379</v>
      </c>
      <c r="H89" s="327">
        <v>0</v>
      </c>
      <c r="I89" s="328" t="s">
        <v>377</v>
      </c>
      <c r="J89" s="275" t="s">
        <v>378</v>
      </c>
      <c r="K89" s="275" t="s">
        <v>412</v>
      </c>
      <c r="L89" s="275" t="s">
        <v>372</v>
      </c>
      <c r="M89" s="380"/>
      <c r="N89" s="380"/>
      <c r="O89" s="380"/>
      <c r="P89" s="381"/>
      <c r="Q89" s="216"/>
      <c r="R89" s="330">
        <f>0</f>
        <v>0</v>
      </c>
      <c r="S89" s="331">
        <f>0</f>
        <v>0</v>
      </c>
      <c r="T89" s="331">
        <f>0</f>
        <v>0</v>
      </c>
      <c r="U89" s="331">
        <f>0</f>
        <v>0</v>
      </c>
      <c r="V89" s="331">
        <f>0</f>
        <v>0</v>
      </c>
      <c r="W89" s="331">
        <f>0</f>
        <v>0</v>
      </c>
      <c r="X89" s="331">
        <f>0</f>
        <v>0</v>
      </c>
      <c r="Y89" s="332">
        <v>1</v>
      </c>
      <c r="Z89" s="331">
        <f>0</f>
        <v>0</v>
      </c>
      <c r="AA89" s="331">
        <f>0</f>
        <v>0</v>
      </c>
      <c r="AB89" s="331">
        <f>0</f>
        <v>0</v>
      </c>
      <c r="AC89" s="331">
        <f>0</f>
        <v>0</v>
      </c>
      <c r="AD89" s="331">
        <f>0</f>
        <v>0</v>
      </c>
      <c r="AE89" s="331">
        <f>0</f>
        <v>0</v>
      </c>
      <c r="AF89" s="331">
        <f>0</f>
        <v>0</v>
      </c>
      <c r="AG89" s="331">
        <f t="shared" si="12"/>
        <v>0</v>
      </c>
      <c r="AH89" s="331">
        <f>0</f>
        <v>0</v>
      </c>
      <c r="AI89" s="331">
        <f>0</f>
        <v>0</v>
      </c>
      <c r="AJ89" s="331">
        <f>0</f>
        <v>0</v>
      </c>
      <c r="AK89" s="406">
        <f>0</f>
        <v>0</v>
      </c>
      <c r="AL89" s="334">
        <f t="shared" si="11"/>
        <v>1</v>
      </c>
      <c r="AM89" s="335"/>
      <c r="AN89" s="336">
        <f t="shared" si="10"/>
        <v>1</v>
      </c>
      <c r="AO89" s="344">
        <v>45084</v>
      </c>
      <c r="AP89" s="338" t="s">
        <v>410</v>
      </c>
      <c r="AQ89" s="388" t="s">
        <v>545</v>
      </c>
      <c r="AR89" s="339"/>
      <c r="AS89" s="338"/>
      <c r="AT89" s="340"/>
      <c r="AU89" s="340">
        <v>1</v>
      </c>
      <c r="AV89" s="338"/>
      <c r="AW89" s="218" t="s">
        <v>552</v>
      </c>
      <c r="AX89" s="341"/>
      <c r="AY89" s="341"/>
      <c r="AZ89" s="342"/>
    </row>
    <row r="90" spans="1:52" s="221" customFormat="1" ht="27.95" hidden="1" customHeight="1">
      <c r="A90" s="325">
        <v>86</v>
      </c>
      <c r="B90" s="326">
        <v>45076</v>
      </c>
      <c r="C90" s="252"/>
      <c r="D90" s="252"/>
      <c r="E90" s="252"/>
      <c r="F90" s="213" t="s">
        <v>350</v>
      </c>
      <c r="G90" s="275" t="s">
        <v>381</v>
      </c>
      <c r="H90" s="215">
        <v>0</v>
      </c>
      <c r="I90" s="329" t="s">
        <v>380</v>
      </c>
      <c r="J90" s="275" t="s">
        <v>381</v>
      </c>
      <c r="K90" s="275" t="s">
        <v>381</v>
      </c>
      <c r="L90" s="275" t="s">
        <v>372</v>
      </c>
      <c r="M90" s="405"/>
      <c r="N90" s="405"/>
      <c r="O90" s="405"/>
      <c r="P90" s="405"/>
      <c r="Q90" s="333"/>
      <c r="R90" s="330">
        <f>0</f>
        <v>0</v>
      </c>
      <c r="S90" s="331">
        <f>0</f>
        <v>0</v>
      </c>
      <c r="T90" s="331">
        <f>0</f>
        <v>0</v>
      </c>
      <c r="U90" s="331">
        <f>0</f>
        <v>0</v>
      </c>
      <c r="V90" s="331">
        <f>0</f>
        <v>0</v>
      </c>
      <c r="W90" s="331">
        <f>0</f>
        <v>0</v>
      </c>
      <c r="X90" s="331">
        <f>0</f>
        <v>0</v>
      </c>
      <c r="Y90" s="332">
        <v>2</v>
      </c>
      <c r="Z90" s="331">
        <f>0</f>
        <v>0</v>
      </c>
      <c r="AA90" s="331">
        <f>0</f>
        <v>0</v>
      </c>
      <c r="AB90" s="331">
        <f>0</f>
        <v>0</v>
      </c>
      <c r="AC90" s="331">
        <f>0</f>
        <v>0</v>
      </c>
      <c r="AD90" s="331">
        <f>0</f>
        <v>0</v>
      </c>
      <c r="AE90" s="331">
        <f>0</f>
        <v>0</v>
      </c>
      <c r="AF90" s="331">
        <f>0</f>
        <v>0</v>
      </c>
      <c r="AG90" s="331">
        <f t="shared" si="12"/>
        <v>0</v>
      </c>
      <c r="AH90" s="331">
        <f>0</f>
        <v>0</v>
      </c>
      <c r="AI90" s="331">
        <f>0</f>
        <v>0</v>
      </c>
      <c r="AJ90" s="331">
        <f>0</f>
        <v>0</v>
      </c>
      <c r="AK90" s="406">
        <f>0</f>
        <v>0</v>
      </c>
      <c r="AL90" s="334">
        <f t="shared" si="11"/>
        <v>2</v>
      </c>
      <c r="AM90" s="335"/>
      <c r="AN90" s="336">
        <f t="shared" si="10"/>
        <v>2</v>
      </c>
      <c r="AO90" s="344">
        <v>45084</v>
      </c>
      <c r="AP90" s="338" t="s">
        <v>410</v>
      </c>
      <c r="AQ90" s="388" t="s">
        <v>545</v>
      </c>
      <c r="AR90" s="339"/>
      <c r="AS90" s="338"/>
      <c r="AT90" s="340"/>
      <c r="AU90" s="340">
        <v>2</v>
      </c>
      <c r="AV90" s="338"/>
      <c r="AW90" s="218" t="s">
        <v>552</v>
      </c>
      <c r="AX90" s="341"/>
      <c r="AY90" s="341"/>
      <c r="AZ90" s="342"/>
    </row>
    <row r="91" spans="1:52" s="221" customFormat="1" ht="27.95" hidden="1" customHeight="1">
      <c r="A91" s="253">
        <v>87</v>
      </c>
      <c r="B91" s="326">
        <v>45076</v>
      </c>
      <c r="C91" s="255"/>
      <c r="D91" s="256"/>
      <c r="E91" s="256"/>
      <c r="F91" s="213" t="s">
        <v>350</v>
      </c>
      <c r="G91" s="275" t="s">
        <v>383</v>
      </c>
      <c r="H91" s="327">
        <v>0</v>
      </c>
      <c r="I91" s="328" t="s">
        <v>382</v>
      </c>
      <c r="J91" s="275" t="s">
        <v>383</v>
      </c>
      <c r="K91" s="275" t="s">
        <v>383</v>
      </c>
      <c r="L91" s="275" t="s">
        <v>331</v>
      </c>
      <c r="M91" s="380"/>
      <c r="N91" s="380"/>
      <c r="O91" s="380"/>
      <c r="P91" s="381"/>
      <c r="Q91" s="216"/>
      <c r="R91" s="330">
        <f>0</f>
        <v>0</v>
      </c>
      <c r="S91" s="331">
        <f>0</f>
        <v>0</v>
      </c>
      <c r="T91" s="331">
        <f>0</f>
        <v>0</v>
      </c>
      <c r="U91" s="331">
        <f>0</f>
        <v>0</v>
      </c>
      <c r="V91" s="331">
        <f>0</f>
        <v>0</v>
      </c>
      <c r="W91" s="331">
        <f>0</f>
        <v>0</v>
      </c>
      <c r="X91" s="331">
        <f>0</f>
        <v>0</v>
      </c>
      <c r="Y91" s="332">
        <v>4</v>
      </c>
      <c r="Z91" s="331">
        <f>0</f>
        <v>0</v>
      </c>
      <c r="AA91" s="331">
        <f>0</f>
        <v>0</v>
      </c>
      <c r="AB91" s="331">
        <f>0</f>
        <v>0</v>
      </c>
      <c r="AC91" s="331">
        <f>0</f>
        <v>0</v>
      </c>
      <c r="AD91" s="331">
        <f>0</f>
        <v>0</v>
      </c>
      <c r="AE91" s="331">
        <f>0</f>
        <v>0</v>
      </c>
      <c r="AF91" s="331">
        <f>0</f>
        <v>0</v>
      </c>
      <c r="AG91" s="331">
        <f t="shared" si="12"/>
        <v>0</v>
      </c>
      <c r="AH91" s="331">
        <f>0</f>
        <v>0</v>
      </c>
      <c r="AI91" s="331">
        <f>0</f>
        <v>0</v>
      </c>
      <c r="AJ91" s="331">
        <f>0</f>
        <v>0</v>
      </c>
      <c r="AK91" s="406">
        <f>0</f>
        <v>0</v>
      </c>
      <c r="AL91" s="334">
        <f t="shared" si="11"/>
        <v>4</v>
      </c>
      <c r="AM91" s="335"/>
      <c r="AN91" s="336">
        <f t="shared" si="10"/>
        <v>4</v>
      </c>
      <c r="AO91" s="344">
        <v>45083</v>
      </c>
      <c r="AP91" s="338" t="s">
        <v>410</v>
      </c>
      <c r="AQ91" s="388" t="s">
        <v>549</v>
      </c>
      <c r="AR91" s="339"/>
      <c r="AS91" s="338"/>
      <c r="AT91" s="340"/>
      <c r="AU91" s="340">
        <v>4</v>
      </c>
      <c r="AV91" s="338"/>
      <c r="AW91" s="340" t="s">
        <v>596</v>
      </c>
      <c r="AX91" s="341"/>
      <c r="AY91" s="341"/>
      <c r="AZ91" s="342"/>
    </row>
    <row r="92" spans="1:52" ht="27.95" hidden="1" customHeight="1">
      <c r="A92" s="198">
        <v>88</v>
      </c>
      <c r="B92" s="263">
        <v>45076</v>
      </c>
      <c r="C92" s="252"/>
      <c r="D92" s="252"/>
      <c r="E92" s="252"/>
      <c r="F92" s="223" t="s">
        <v>350</v>
      </c>
      <c r="G92" s="267" t="s">
        <v>328</v>
      </c>
      <c r="H92" s="259">
        <v>0</v>
      </c>
      <c r="I92" s="271" t="s">
        <v>384</v>
      </c>
      <c r="J92" s="267" t="s">
        <v>328</v>
      </c>
      <c r="K92" s="267" t="s">
        <v>328</v>
      </c>
      <c r="L92" s="267" t="s">
        <v>331</v>
      </c>
      <c r="M92" s="272"/>
      <c r="N92" s="272"/>
      <c r="O92" s="272"/>
      <c r="P92" s="272"/>
      <c r="Q92" s="260"/>
      <c r="R92" s="165">
        <f>0</f>
        <v>0</v>
      </c>
      <c r="S92" s="154">
        <f>0</f>
        <v>0</v>
      </c>
      <c r="T92" s="154">
        <f>0</f>
        <v>0</v>
      </c>
      <c r="U92" s="154">
        <f>0</f>
        <v>0</v>
      </c>
      <c r="V92" s="154">
        <f>0</f>
        <v>0</v>
      </c>
      <c r="W92" s="154">
        <f>0</f>
        <v>0</v>
      </c>
      <c r="X92" s="154">
        <f>0</f>
        <v>0</v>
      </c>
      <c r="Y92" s="178">
        <v>4</v>
      </c>
      <c r="Z92" s="154">
        <f>0</f>
        <v>0</v>
      </c>
      <c r="AA92" s="154">
        <f>0</f>
        <v>0</v>
      </c>
      <c r="AB92" s="154">
        <f>0</f>
        <v>0</v>
      </c>
      <c r="AC92" s="154">
        <f>0</f>
        <v>0</v>
      </c>
      <c r="AD92" s="154">
        <f>0</f>
        <v>0</v>
      </c>
      <c r="AE92" s="154">
        <f>0</f>
        <v>0</v>
      </c>
      <c r="AF92" s="154">
        <f>0</f>
        <v>0</v>
      </c>
      <c r="AG92" s="154">
        <f t="shared" si="12"/>
        <v>0</v>
      </c>
      <c r="AH92" s="154">
        <f>0</f>
        <v>0</v>
      </c>
      <c r="AI92" s="154">
        <f>0</f>
        <v>0</v>
      </c>
      <c r="AJ92" s="154">
        <f>0</f>
        <v>0</v>
      </c>
      <c r="AK92" s="168">
        <f>0</f>
        <v>0</v>
      </c>
      <c r="AL92" s="170">
        <f t="shared" si="11"/>
        <v>4</v>
      </c>
      <c r="AM92" s="45">
        <v>4</v>
      </c>
      <c r="AN92" s="151">
        <f t="shared" si="10"/>
        <v>0</v>
      </c>
      <c r="AO92" s="276"/>
      <c r="AP92" s="277" t="s">
        <v>410</v>
      </c>
      <c r="AQ92" s="285" t="s">
        <v>49</v>
      </c>
      <c r="AR92" s="279"/>
      <c r="AS92" s="277"/>
      <c r="AT92" s="280"/>
      <c r="AU92" s="280"/>
      <c r="AV92" s="277"/>
      <c r="AW92" s="280" t="s">
        <v>411</v>
      </c>
      <c r="AX92" s="281"/>
      <c r="AY92" s="281"/>
      <c r="AZ92" s="282"/>
    </row>
    <row r="93" spans="1:52" ht="27.95" hidden="1" customHeight="1">
      <c r="A93" s="262">
        <v>89</v>
      </c>
      <c r="B93" s="263">
        <v>45076</v>
      </c>
      <c r="C93" s="252"/>
      <c r="D93" s="252"/>
      <c r="E93" s="252"/>
      <c r="F93" s="223" t="s">
        <v>350</v>
      </c>
      <c r="G93" s="267" t="s">
        <v>387</v>
      </c>
      <c r="H93" s="243">
        <v>0</v>
      </c>
      <c r="I93" s="271" t="s">
        <v>385</v>
      </c>
      <c r="J93" s="267" t="s">
        <v>386</v>
      </c>
      <c r="K93" s="267" t="s">
        <v>387</v>
      </c>
      <c r="L93" s="267" t="s">
        <v>388</v>
      </c>
      <c r="M93" s="272"/>
      <c r="N93" s="272"/>
      <c r="O93" s="272"/>
      <c r="P93" s="272"/>
      <c r="Q93" s="260"/>
      <c r="R93" s="165">
        <f>0</f>
        <v>0</v>
      </c>
      <c r="S93" s="154">
        <f>0</f>
        <v>0</v>
      </c>
      <c r="T93" s="154">
        <f>0</f>
        <v>0</v>
      </c>
      <c r="U93" s="154">
        <f>0</f>
        <v>0</v>
      </c>
      <c r="V93" s="154">
        <f>0</f>
        <v>0</v>
      </c>
      <c r="W93" s="154">
        <f>0</f>
        <v>0</v>
      </c>
      <c r="X93" s="154">
        <f>0</f>
        <v>0</v>
      </c>
      <c r="Y93" s="178">
        <v>2</v>
      </c>
      <c r="Z93" s="154">
        <f>0</f>
        <v>0</v>
      </c>
      <c r="AA93" s="154">
        <f>0</f>
        <v>0</v>
      </c>
      <c r="AB93" s="154">
        <f>0</f>
        <v>0</v>
      </c>
      <c r="AC93" s="154">
        <f>0</f>
        <v>0</v>
      </c>
      <c r="AD93" s="154">
        <f>0</f>
        <v>0</v>
      </c>
      <c r="AE93" s="154">
        <f>0</f>
        <v>0</v>
      </c>
      <c r="AF93" s="154">
        <f>0</f>
        <v>0</v>
      </c>
      <c r="AG93" s="154">
        <f t="shared" si="12"/>
        <v>0</v>
      </c>
      <c r="AH93" s="154">
        <f>0</f>
        <v>0</v>
      </c>
      <c r="AI93" s="154">
        <f>0</f>
        <v>0</v>
      </c>
      <c r="AJ93" s="154">
        <f>0</f>
        <v>0</v>
      </c>
      <c r="AK93" s="168">
        <f>0</f>
        <v>0</v>
      </c>
      <c r="AL93" s="170">
        <f t="shared" si="11"/>
        <v>2</v>
      </c>
      <c r="AM93" s="45"/>
      <c r="AN93" s="151">
        <f t="shared" si="10"/>
        <v>2</v>
      </c>
      <c r="AO93" s="276"/>
      <c r="AP93" s="246" t="s">
        <v>428</v>
      </c>
      <c r="AQ93" s="278"/>
      <c r="AR93" s="279"/>
      <c r="AS93" s="277"/>
      <c r="AT93" s="280"/>
      <c r="AU93" s="280"/>
      <c r="AV93" s="277"/>
      <c r="AW93" s="280"/>
      <c r="AX93" s="281"/>
      <c r="AY93" s="281"/>
      <c r="AZ93" s="282"/>
    </row>
    <row r="94" spans="1:52" s="221" customFormat="1" ht="27.95" hidden="1" customHeight="1">
      <c r="A94" s="325">
        <v>90</v>
      </c>
      <c r="B94" s="326">
        <v>45076</v>
      </c>
      <c r="C94" s="255"/>
      <c r="D94" s="256"/>
      <c r="E94" s="256"/>
      <c r="F94" s="213" t="s">
        <v>350</v>
      </c>
      <c r="G94" s="275" t="s">
        <v>390</v>
      </c>
      <c r="H94" s="327">
        <v>0</v>
      </c>
      <c r="I94" s="328" t="s">
        <v>389</v>
      </c>
      <c r="J94" s="275" t="s">
        <v>390</v>
      </c>
      <c r="K94" s="275" t="s">
        <v>390</v>
      </c>
      <c r="L94" s="275" t="s">
        <v>388</v>
      </c>
      <c r="M94" s="268"/>
      <c r="N94" s="268"/>
      <c r="O94" s="268"/>
      <c r="P94" s="269"/>
      <c r="Q94" s="216"/>
      <c r="R94" s="330">
        <f>0</f>
        <v>0</v>
      </c>
      <c r="S94" s="331">
        <f>0</f>
        <v>0</v>
      </c>
      <c r="T94" s="331">
        <f>0</f>
        <v>0</v>
      </c>
      <c r="U94" s="331">
        <f>0</f>
        <v>0</v>
      </c>
      <c r="V94" s="331">
        <f>0</f>
        <v>0</v>
      </c>
      <c r="W94" s="331">
        <f>0</f>
        <v>0</v>
      </c>
      <c r="X94" s="331">
        <f>0</f>
        <v>0</v>
      </c>
      <c r="Y94" s="332">
        <v>2</v>
      </c>
      <c r="Z94" s="154">
        <f>0</f>
        <v>0</v>
      </c>
      <c r="AA94" s="154">
        <f>0</f>
        <v>0</v>
      </c>
      <c r="AB94" s="154">
        <f>0</f>
        <v>0</v>
      </c>
      <c r="AC94" s="154">
        <f>0</f>
        <v>0</v>
      </c>
      <c r="AD94" s="154">
        <f>0</f>
        <v>0</v>
      </c>
      <c r="AE94" s="154">
        <f>0</f>
        <v>0</v>
      </c>
      <c r="AF94" s="154">
        <f>0</f>
        <v>0</v>
      </c>
      <c r="AG94" s="154">
        <f t="shared" si="12"/>
        <v>0</v>
      </c>
      <c r="AH94" s="154">
        <f>0</f>
        <v>0</v>
      </c>
      <c r="AI94" s="154">
        <f>0</f>
        <v>0</v>
      </c>
      <c r="AJ94" s="154">
        <f>0</f>
        <v>0</v>
      </c>
      <c r="AK94" s="168">
        <f>0</f>
        <v>0</v>
      </c>
      <c r="AL94" s="334">
        <f t="shared" si="11"/>
        <v>2</v>
      </c>
      <c r="AM94" s="335">
        <v>2</v>
      </c>
      <c r="AN94" s="336">
        <f t="shared" si="10"/>
        <v>0</v>
      </c>
      <c r="AO94" s="337"/>
      <c r="AP94" s="217" t="s">
        <v>410</v>
      </c>
      <c r="AQ94" s="285" t="s">
        <v>99</v>
      </c>
      <c r="AR94" s="339"/>
      <c r="AS94" s="338"/>
      <c r="AT94" s="340"/>
      <c r="AU94" s="340" t="s">
        <v>408</v>
      </c>
      <c r="AV94" s="338"/>
      <c r="AW94" s="340" t="s">
        <v>409</v>
      </c>
      <c r="AX94" s="341"/>
      <c r="AY94" s="341"/>
      <c r="AZ94" s="342"/>
    </row>
    <row r="95" spans="1:52" s="221" customFormat="1" ht="27.95" hidden="1" customHeight="1">
      <c r="A95" s="253">
        <v>91</v>
      </c>
      <c r="B95" s="326">
        <v>45076</v>
      </c>
      <c r="C95" s="252"/>
      <c r="D95" s="252"/>
      <c r="E95" s="252"/>
      <c r="F95" s="213" t="s">
        <v>350</v>
      </c>
      <c r="G95" s="275" t="s">
        <v>392</v>
      </c>
      <c r="H95" s="327">
        <v>0</v>
      </c>
      <c r="I95" s="329" t="s">
        <v>391</v>
      </c>
      <c r="J95" s="275" t="s">
        <v>392</v>
      </c>
      <c r="K95" s="275" t="s">
        <v>392</v>
      </c>
      <c r="L95" s="275" t="s">
        <v>388</v>
      </c>
      <c r="M95" s="272"/>
      <c r="N95" s="272"/>
      <c r="O95" s="272"/>
      <c r="P95" s="272"/>
      <c r="Q95" s="333"/>
      <c r="R95" s="330">
        <f>0</f>
        <v>0</v>
      </c>
      <c r="S95" s="331">
        <f>0</f>
        <v>0</v>
      </c>
      <c r="T95" s="331">
        <f>0</f>
        <v>0</v>
      </c>
      <c r="U95" s="331">
        <f>0</f>
        <v>0</v>
      </c>
      <c r="V95" s="331">
        <f>0</f>
        <v>0</v>
      </c>
      <c r="W95" s="331">
        <f>0</f>
        <v>0</v>
      </c>
      <c r="X95" s="331">
        <f>0</f>
        <v>0</v>
      </c>
      <c r="Y95" s="332">
        <v>2</v>
      </c>
      <c r="Z95" s="154">
        <f>0</f>
        <v>0</v>
      </c>
      <c r="AA95" s="154">
        <f>0</f>
        <v>0</v>
      </c>
      <c r="AB95" s="154">
        <f>0</f>
        <v>0</v>
      </c>
      <c r="AC95" s="154">
        <f>0</f>
        <v>0</v>
      </c>
      <c r="AD95" s="154">
        <f>0</f>
        <v>0</v>
      </c>
      <c r="AE95" s="154">
        <f>0</f>
        <v>0</v>
      </c>
      <c r="AF95" s="154">
        <f>0</f>
        <v>0</v>
      </c>
      <c r="AG95" s="154">
        <f t="shared" si="12"/>
        <v>0</v>
      </c>
      <c r="AH95" s="154">
        <f>0</f>
        <v>0</v>
      </c>
      <c r="AI95" s="154">
        <f>0</f>
        <v>0</v>
      </c>
      <c r="AJ95" s="154">
        <f>0</f>
        <v>0</v>
      </c>
      <c r="AK95" s="168">
        <f>0</f>
        <v>0</v>
      </c>
      <c r="AL95" s="334">
        <f t="shared" si="11"/>
        <v>2</v>
      </c>
      <c r="AM95" s="335">
        <v>2</v>
      </c>
      <c r="AN95" s="336">
        <f t="shared" si="10"/>
        <v>0</v>
      </c>
      <c r="AO95" s="337"/>
      <c r="AP95" s="217" t="s">
        <v>410</v>
      </c>
      <c r="AQ95" s="285" t="s">
        <v>99</v>
      </c>
      <c r="AR95" s="339"/>
      <c r="AS95" s="338"/>
      <c r="AT95" s="340"/>
      <c r="AU95" s="340" t="s">
        <v>408</v>
      </c>
      <c r="AV95" s="338"/>
      <c r="AW95" s="340" t="s">
        <v>409</v>
      </c>
      <c r="AX95" s="341"/>
      <c r="AY95" s="341"/>
      <c r="AZ95" s="342"/>
    </row>
    <row r="96" spans="1:52" ht="27.95" hidden="1" customHeight="1">
      <c r="A96" s="198">
        <v>92</v>
      </c>
      <c r="B96" s="263">
        <v>45076</v>
      </c>
      <c r="C96" s="255"/>
      <c r="D96" s="256"/>
      <c r="E96" s="256"/>
      <c r="F96" s="223" t="s">
        <v>350</v>
      </c>
      <c r="G96" s="267" t="s">
        <v>394</v>
      </c>
      <c r="H96" s="243">
        <v>0</v>
      </c>
      <c r="I96" s="266" t="s">
        <v>393</v>
      </c>
      <c r="J96" s="267" t="s">
        <v>394</v>
      </c>
      <c r="K96" s="267" t="s">
        <v>394</v>
      </c>
      <c r="L96" s="267" t="s">
        <v>388</v>
      </c>
      <c r="M96" s="268"/>
      <c r="N96" s="268"/>
      <c r="O96" s="268"/>
      <c r="P96" s="269"/>
      <c r="Q96" s="244"/>
      <c r="R96" s="165">
        <f>0</f>
        <v>0</v>
      </c>
      <c r="S96" s="154">
        <f>0</f>
        <v>0</v>
      </c>
      <c r="T96" s="154">
        <f>0</f>
        <v>0</v>
      </c>
      <c r="U96" s="154">
        <f>0</f>
        <v>0</v>
      </c>
      <c r="V96" s="154">
        <f>0</f>
        <v>0</v>
      </c>
      <c r="W96" s="154">
        <f>0</f>
        <v>0</v>
      </c>
      <c r="X96" s="154">
        <f>0</f>
        <v>0</v>
      </c>
      <c r="Y96" s="178">
        <v>2</v>
      </c>
      <c r="Z96" s="154">
        <f>0</f>
        <v>0</v>
      </c>
      <c r="AA96" s="154">
        <f>0</f>
        <v>0</v>
      </c>
      <c r="AB96" s="154">
        <f>0</f>
        <v>0</v>
      </c>
      <c r="AC96" s="154">
        <f>0</f>
        <v>0</v>
      </c>
      <c r="AD96" s="154">
        <f>0</f>
        <v>0</v>
      </c>
      <c r="AE96" s="154">
        <f>0</f>
        <v>0</v>
      </c>
      <c r="AF96" s="154">
        <f>0</f>
        <v>0</v>
      </c>
      <c r="AG96" s="154">
        <f t="shared" si="12"/>
        <v>0</v>
      </c>
      <c r="AH96" s="154">
        <f>0</f>
        <v>0</v>
      </c>
      <c r="AI96" s="154">
        <f>0</f>
        <v>0</v>
      </c>
      <c r="AJ96" s="154">
        <f>0</f>
        <v>0</v>
      </c>
      <c r="AK96" s="168">
        <f>0</f>
        <v>0</v>
      </c>
      <c r="AL96" s="170">
        <f t="shared" si="11"/>
        <v>2</v>
      </c>
      <c r="AM96" s="45"/>
      <c r="AN96" s="151">
        <f t="shared" si="10"/>
        <v>2</v>
      </c>
      <c r="AO96" s="276"/>
      <c r="AP96" s="246" t="s">
        <v>172</v>
      </c>
      <c r="AQ96" s="278"/>
      <c r="AR96" s="279"/>
      <c r="AS96" s="277"/>
      <c r="AT96" s="280"/>
      <c r="AU96" s="280"/>
      <c r="AV96" s="277"/>
      <c r="AW96" s="280"/>
      <c r="AX96" s="281"/>
      <c r="AY96" s="281"/>
      <c r="AZ96" s="282"/>
    </row>
    <row r="97" spans="1:52" s="221" customFormat="1" ht="27.95" hidden="1" customHeight="1">
      <c r="A97" s="325">
        <v>93</v>
      </c>
      <c r="B97" s="326">
        <v>45076</v>
      </c>
      <c r="C97" s="252"/>
      <c r="D97" s="252"/>
      <c r="E97" s="252"/>
      <c r="F97" s="213" t="s">
        <v>350</v>
      </c>
      <c r="G97" s="275" t="s">
        <v>396</v>
      </c>
      <c r="H97" s="327">
        <v>0</v>
      </c>
      <c r="I97" s="329" t="s">
        <v>395</v>
      </c>
      <c r="J97" s="275" t="s">
        <v>396</v>
      </c>
      <c r="K97" s="275" t="s">
        <v>396</v>
      </c>
      <c r="L97" s="275" t="s">
        <v>397</v>
      </c>
      <c r="M97" s="405"/>
      <c r="N97" s="405"/>
      <c r="O97" s="405"/>
      <c r="P97" s="405"/>
      <c r="Q97" s="333"/>
      <c r="R97" s="330">
        <f>0</f>
        <v>0</v>
      </c>
      <c r="S97" s="331">
        <f>0</f>
        <v>0</v>
      </c>
      <c r="T97" s="331">
        <f>0</f>
        <v>0</v>
      </c>
      <c r="U97" s="331">
        <f>0</f>
        <v>0</v>
      </c>
      <c r="V97" s="331">
        <f>0</f>
        <v>0</v>
      </c>
      <c r="W97" s="331">
        <f>0</f>
        <v>0</v>
      </c>
      <c r="X97" s="331">
        <f>0</f>
        <v>0</v>
      </c>
      <c r="Y97" s="332">
        <v>2</v>
      </c>
      <c r="Z97" s="331">
        <f>0</f>
        <v>0</v>
      </c>
      <c r="AA97" s="331">
        <f>0</f>
        <v>0</v>
      </c>
      <c r="AB97" s="331">
        <f>0</f>
        <v>0</v>
      </c>
      <c r="AC97" s="331">
        <f>0</f>
        <v>0</v>
      </c>
      <c r="AD97" s="331">
        <f>0</f>
        <v>0</v>
      </c>
      <c r="AE97" s="331">
        <f>0</f>
        <v>0</v>
      </c>
      <c r="AF97" s="331">
        <f>0</f>
        <v>0</v>
      </c>
      <c r="AG97" s="331">
        <f t="shared" si="12"/>
        <v>0</v>
      </c>
      <c r="AH97" s="331">
        <f>0</f>
        <v>0</v>
      </c>
      <c r="AI97" s="331">
        <f>0</f>
        <v>0</v>
      </c>
      <c r="AJ97" s="331">
        <f>0</f>
        <v>0</v>
      </c>
      <c r="AK97" s="406">
        <f>0</f>
        <v>0</v>
      </c>
      <c r="AL97" s="334">
        <f t="shared" si="11"/>
        <v>2</v>
      </c>
      <c r="AM97" s="335">
        <v>2</v>
      </c>
      <c r="AN97" s="336">
        <f t="shared" si="10"/>
        <v>0</v>
      </c>
      <c r="AO97" s="344"/>
      <c r="AP97" s="338" t="s">
        <v>410</v>
      </c>
      <c r="AQ97" s="285" t="s">
        <v>49</v>
      </c>
      <c r="AR97" s="339"/>
      <c r="AS97" s="338"/>
      <c r="AT97" s="340"/>
      <c r="AU97" s="340"/>
      <c r="AV97" s="338"/>
      <c r="AW97" s="340" t="s">
        <v>411</v>
      </c>
      <c r="AX97" s="341"/>
      <c r="AY97" s="341"/>
      <c r="AZ97" s="342"/>
    </row>
    <row r="98" spans="1:52" ht="27.95" hidden="1" customHeight="1">
      <c r="A98" s="262">
        <v>94</v>
      </c>
      <c r="B98" s="263">
        <v>45076</v>
      </c>
      <c r="C98" s="252"/>
      <c r="D98" s="252"/>
      <c r="E98" s="252"/>
      <c r="F98" s="223" t="s">
        <v>350</v>
      </c>
      <c r="G98" s="267" t="s">
        <v>399</v>
      </c>
      <c r="H98" s="259">
        <v>0</v>
      </c>
      <c r="I98" s="271" t="s">
        <v>398</v>
      </c>
      <c r="J98" s="267" t="s">
        <v>399</v>
      </c>
      <c r="K98" s="267" t="s">
        <v>399</v>
      </c>
      <c r="L98" s="267" t="s">
        <v>400</v>
      </c>
      <c r="M98" s="272"/>
      <c r="N98" s="272"/>
      <c r="O98" s="272"/>
      <c r="P98" s="272"/>
      <c r="Q98" s="260"/>
      <c r="R98" s="165">
        <f>0</f>
        <v>0</v>
      </c>
      <c r="S98" s="154">
        <f>0</f>
        <v>0</v>
      </c>
      <c r="T98" s="154">
        <f>0</f>
        <v>0</v>
      </c>
      <c r="U98" s="154">
        <f>0</f>
        <v>0</v>
      </c>
      <c r="V98" s="154">
        <f>0</f>
        <v>0</v>
      </c>
      <c r="W98" s="154">
        <f>0</f>
        <v>0</v>
      </c>
      <c r="X98" s="154">
        <f>0</f>
        <v>0</v>
      </c>
      <c r="Y98" s="178">
        <v>2</v>
      </c>
      <c r="Z98" s="154">
        <f>0</f>
        <v>0</v>
      </c>
      <c r="AA98" s="154">
        <f>0</f>
        <v>0</v>
      </c>
      <c r="AB98" s="154">
        <f>0</f>
        <v>0</v>
      </c>
      <c r="AC98" s="154">
        <f>0</f>
        <v>0</v>
      </c>
      <c r="AD98" s="154">
        <f>0</f>
        <v>0</v>
      </c>
      <c r="AE98" s="154">
        <f>0</f>
        <v>0</v>
      </c>
      <c r="AF98" s="154">
        <f>0</f>
        <v>0</v>
      </c>
      <c r="AG98" s="154">
        <f t="shared" si="12"/>
        <v>0</v>
      </c>
      <c r="AH98" s="154">
        <f>0</f>
        <v>0</v>
      </c>
      <c r="AI98" s="154">
        <f>0</f>
        <v>0</v>
      </c>
      <c r="AJ98" s="154">
        <f>0</f>
        <v>0</v>
      </c>
      <c r="AK98" s="168">
        <f>0</f>
        <v>0</v>
      </c>
      <c r="AL98" s="170">
        <f t="shared" si="11"/>
        <v>2</v>
      </c>
      <c r="AM98" s="45">
        <v>2</v>
      </c>
      <c r="AN98" s="151">
        <f t="shared" si="10"/>
        <v>0</v>
      </c>
      <c r="AO98" s="276"/>
      <c r="AP98" s="277" t="s">
        <v>410</v>
      </c>
      <c r="AQ98" s="285" t="s">
        <v>49</v>
      </c>
      <c r="AR98" s="279"/>
      <c r="AS98" s="277"/>
      <c r="AT98" s="280"/>
      <c r="AU98" s="280"/>
      <c r="AV98" s="277"/>
      <c r="AW98" s="280" t="s">
        <v>411</v>
      </c>
      <c r="AX98" s="281"/>
      <c r="AY98" s="281"/>
      <c r="AZ98" s="282"/>
    </row>
    <row r="99" spans="1:52" ht="27.95" hidden="1" customHeight="1">
      <c r="A99" s="198">
        <v>95</v>
      </c>
      <c r="B99" s="263">
        <v>45076</v>
      </c>
      <c r="C99" s="255"/>
      <c r="D99" s="256"/>
      <c r="E99" s="256"/>
      <c r="F99" s="223" t="s">
        <v>350</v>
      </c>
      <c r="G99" s="267" t="s">
        <v>403</v>
      </c>
      <c r="H99" s="243">
        <v>0</v>
      </c>
      <c r="I99" s="266" t="s">
        <v>401</v>
      </c>
      <c r="J99" s="267" t="s">
        <v>402</v>
      </c>
      <c r="K99" s="267" t="s">
        <v>403</v>
      </c>
      <c r="L99" s="267" t="s">
        <v>404</v>
      </c>
      <c r="M99" s="268"/>
      <c r="N99" s="268"/>
      <c r="O99" s="268"/>
      <c r="P99" s="269"/>
      <c r="Q99" s="244"/>
      <c r="R99" s="165">
        <f>0</f>
        <v>0</v>
      </c>
      <c r="S99" s="154">
        <f>0</f>
        <v>0</v>
      </c>
      <c r="T99" s="154">
        <f>0</f>
        <v>0</v>
      </c>
      <c r="U99" s="154">
        <f>0</f>
        <v>0</v>
      </c>
      <c r="V99" s="154">
        <f>0</f>
        <v>0</v>
      </c>
      <c r="W99" s="154">
        <f>0</f>
        <v>0</v>
      </c>
      <c r="X99" s="154">
        <f>0</f>
        <v>0</v>
      </c>
      <c r="Y99" s="178">
        <v>8</v>
      </c>
      <c r="Z99" s="154">
        <f>0</f>
        <v>0</v>
      </c>
      <c r="AA99" s="154">
        <f>0</f>
        <v>0</v>
      </c>
      <c r="AB99" s="154">
        <f>0</f>
        <v>0</v>
      </c>
      <c r="AC99" s="154">
        <f>0</f>
        <v>0</v>
      </c>
      <c r="AD99" s="154">
        <f>0</f>
        <v>0</v>
      </c>
      <c r="AE99" s="154">
        <f>0</f>
        <v>0</v>
      </c>
      <c r="AF99" s="154">
        <f>0</f>
        <v>0</v>
      </c>
      <c r="AG99" s="154">
        <f t="shared" si="12"/>
        <v>0</v>
      </c>
      <c r="AH99" s="154">
        <f>0</f>
        <v>0</v>
      </c>
      <c r="AI99" s="154">
        <f>0</f>
        <v>0</v>
      </c>
      <c r="AJ99" s="154">
        <f>0</f>
        <v>0</v>
      </c>
      <c r="AK99" s="168">
        <f>0</f>
        <v>0</v>
      </c>
      <c r="AL99" s="170">
        <f t="shared" si="11"/>
        <v>8</v>
      </c>
      <c r="AM99" s="45"/>
      <c r="AN99" s="151">
        <f t="shared" si="10"/>
        <v>8</v>
      </c>
      <c r="AO99" s="276"/>
      <c r="AP99" s="157" t="s">
        <v>172</v>
      </c>
      <c r="AQ99" s="278"/>
      <c r="AR99" s="279"/>
      <c r="AS99" s="277"/>
      <c r="AT99" s="280"/>
      <c r="AU99" s="280"/>
      <c r="AV99" s="277"/>
      <c r="AW99" s="280"/>
      <c r="AX99" s="281"/>
      <c r="AY99" s="281"/>
      <c r="AZ99" s="282"/>
    </row>
    <row r="100" spans="1:52" ht="27.95" hidden="1" customHeight="1">
      <c r="A100" s="198">
        <v>96</v>
      </c>
      <c r="B100" s="263">
        <v>45076</v>
      </c>
      <c r="C100" s="252"/>
      <c r="D100" s="252"/>
      <c r="E100" s="252"/>
      <c r="F100" s="223" t="s">
        <v>350</v>
      </c>
      <c r="G100" s="267" t="s">
        <v>147</v>
      </c>
      <c r="H100" s="259">
        <v>0</v>
      </c>
      <c r="I100" s="271" t="s">
        <v>405</v>
      </c>
      <c r="J100" s="267" t="s">
        <v>147</v>
      </c>
      <c r="K100" s="267" t="s">
        <v>147</v>
      </c>
      <c r="L100" s="267" t="s">
        <v>138</v>
      </c>
      <c r="M100" s="272"/>
      <c r="N100" s="272"/>
      <c r="O100" s="272"/>
      <c r="P100" s="272"/>
      <c r="Q100" s="260"/>
      <c r="R100" s="165">
        <f>0</f>
        <v>0</v>
      </c>
      <c r="S100" s="154">
        <f>0</f>
        <v>0</v>
      </c>
      <c r="T100" s="154">
        <f>0</f>
        <v>0</v>
      </c>
      <c r="U100" s="154">
        <f>0</f>
        <v>0</v>
      </c>
      <c r="V100" s="154">
        <f>0</f>
        <v>0</v>
      </c>
      <c r="W100" s="154">
        <f>0</f>
        <v>0</v>
      </c>
      <c r="X100" s="154">
        <f>0</f>
        <v>0</v>
      </c>
      <c r="Y100" s="178">
        <v>2</v>
      </c>
      <c r="Z100" s="154">
        <f>0</f>
        <v>0</v>
      </c>
      <c r="AA100" s="154">
        <f>0</f>
        <v>0</v>
      </c>
      <c r="AB100" s="154">
        <f>0</f>
        <v>0</v>
      </c>
      <c r="AC100" s="154">
        <f>0</f>
        <v>0</v>
      </c>
      <c r="AD100" s="154">
        <f>0</f>
        <v>0</v>
      </c>
      <c r="AE100" s="154">
        <f>0</f>
        <v>0</v>
      </c>
      <c r="AF100" s="154">
        <f>0</f>
        <v>0</v>
      </c>
      <c r="AG100" s="154">
        <f t="shared" si="12"/>
        <v>0</v>
      </c>
      <c r="AH100" s="154">
        <f>0</f>
        <v>0</v>
      </c>
      <c r="AI100" s="154">
        <f>0</f>
        <v>0</v>
      </c>
      <c r="AJ100" s="154">
        <f>0</f>
        <v>0</v>
      </c>
      <c r="AK100" s="168">
        <f>0</f>
        <v>0</v>
      </c>
      <c r="AL100" s="170">
        <f t="shared" si="11"/>
        <v>2</v>
      </c>
      <c r="AM100" s="45"/>
      <c r="AN100" s="151">
        <f t="shared" si="10"/>
        <v>2</v>
      </c>
      <c r="AO100" s="108">
        <v>45090</v>
      </c>
      <c r="AP100" s="103" t="s">
        <v>410</v>
      </c>
      <c r="AQ100" s="109" t="s">
        <v>553</v>
      </c>
      <c r="AR100" s="279"/>
      <c r="AS100" s="159" t="s">
        <v>562</v>
      </c>
      <c r="AT100" s="280"/>
      <c r="AU100" s="280"/>
      <c r="AV100" s="277"/>
      <c r="AW100" s="280"/>
      <c r="AX100" s="281"/>
      <c r="AY100" s="281"/>
      <c r="AZ100" s="282"/>
    </row>
    <row r="101" spans="1:52" ht="27.95" hidden="1" customHeight="1">
      <c r="A101" s="198">
        <v>97</v>
      </c>
      <c r="B101" s="263">
        <v>45079</v>
      </c>
      <c r="C101" s="376"/>
      <c r="D101" s="377"/>
      <c r="E101" s="377"/>
      <c r="F101" s="399" t="s">
        <v>196</v>
      </c>
      <c r="G101" s="378" t="s">
        <v>431</v>
      </c>
      <c r="H101" s="379" t="s">
        <v>141</v>
      </c>
      <c r="I101" s="271" t="s">
        <v>432</v>
      </c>
      <c r="J101" s="378" t="s">
        <v>433</v>
      </c>
      <c r="K101" s="400" t="s">
        <v>431</v>
      </c>
      <c r="L101" s="400" t="s">
        <v>138</v>
      </c>
      <c r="M101" s="380" t="s">
        <v>194</v>
      </c>
      <c r="N101" s="380" t="s">
        <v>80</v>
      </c>
      <c r="O101" s="380" t="s">
        <v>80</v>
      </c>
      <c r="P101" s="381">
        <v>2</v>
      </c>
      <c r="Q101" s="382"/>
      <c r="R101" s="165">
        <f>0</f>
        <v>0</v>
      </c>
      <c r="S101" s="154">
        <f>0</f>
        <v>0</v>
      </c>
      <c r="T101" s="154">
        <f>0</f>
        <v>0</v>
      </c>
      <c r="U101" s="154">
        <f>0</f>
        <v>0</v>
      </c>
      <c r="V101" s="154">
        <v>2</v>
      </c>
      <c r="W101" s="154">
        <f>0</f>
        <v>0</v>
      </c>
      <c r="X101" s="154">
        <f>0</f>
        <v>0</v>
      </c>
      <c r="Y101" s="154">
        <f>0</f>
        <v>0</v>
      </c>
      <c r="Z101" s="154">
        <f>0</f>
        <v>0</v>
      </c>
      <c r="AA101" s="154">
        <f>0</f>
        <v>0</v>
      </c>
      <c r="AB101" s="154">
        <f>0</f>
        <v>0</v>
      </c>
      <c r="AC101" s="154">
        <f>0</f>
        <v>0</v>
      </c>
      <c r="AD101" s="154">
        <f>0</f>
        <v>0</v>
      </c>
      <c r="AE101" s="383">
        <f>0</f>
        <v>0</v>
      </c>
      <c r="AF101" s="383">
        <f>0</f>
        <v>0</v>
      </c>
      <c r="AG101" s="383">
        <f t="shared" ref="AG101:AG113" si="13">AE101-AF101</f>
        <v>0</v>
      </c>
      <c r="AH101" s="383">
        <f>0</f>
        <v>0</v>
      </c>
      <c r="AI101" s="383">
        <f>0</f>
        <v>0</v>
      </c>
      <c r="AJ101" s="383">
        <f>0</f>
        <v>0</v>
      </c>
      <c r="AK101" s="384">
        <f>0</f>
        <v>0</v>
      </c>
      <c r="AL101" s="170">
        <f t="shared" si="11"/>
        <v>2</v>
      </c>
      <c r="AM101" s="385"/>
      <c r="AN101" s="151">
        <f t="shared" si="10"/>
        <v>2</v>
      </c>
      <c r="AO101" s="108">
        <v>45090</v>
      </c>
      <c r="AP101" s="103" t="s">
        <v>410</v>
      </c>
      <c r="AQ101" s="109" t="s">
        <v>553</v>
      </c>
      <c r="AR101" s="389"/>
      <c r="AS101" s="159" t="s">
        <v>562</v>
      </c>
      <c r="AT101" s="390"/>
      <c r="AU101" s="390"/>
      <c r="AV101" s="387"/>
      <c r="AW101" s="390"/>
      <c r="AX101" s="391"/>
      <c r="AY101" s="391"/>
      <c r="AZ101" s="392"/>
    </row>
    <row r="102" spans="1:52" ht="27.95" hidden="1" customHeight="1">
      <c r="A102" s="198">
        <v>98</v>
      </c>
      <c r="B102" s="263">
        <v>45079</v>
      </c>
      <c r="C102" s="376"/>
      <c r="D102" s="377"/>
      <c r="E102" s="377"/>
      <c r="F102" s="399" t="s">
        <v>196</v>
      </c>
      <c r="G102" s="378" t="s">
        <v>434</v>
      </c>
      <c r="H102" s="379" t="s">
        <v>141</v>
      </c>
      <c r="I102" s="271" t="s">
        <v>432</v>
      </c>
      <c r="J102" s="378" t="s">
        <v>435</v>
      </c>
      <c r="K102" s="400" t="s">
        <v>434</v>
      </c>
      <c r="L102" s="400" t="s">
        <v>138</v>
      </c>
      <c r="M102" s="380" t="s">
        <v>194</v>
      </c>
      <c r="N102" s="380" t="s">
        <v>80</v>
      </c>
      <c r="O102" s="380" t="s">
        <v>80</v>
      </c>
      <c r="P102" s="381">
        <v>2</v>
      </c>
      <c r="Q102" s="382"/>
      <c r="R102" s="165">
        <f>0</f>
        <v>0</v>
      </c>
      <c r="S102" s="154">
        <f>0</f>
        <v>0</v>
      </c>
      <c r="T102" s="154">
        <f>0</f>
        <v>0</v>
      </c>
      <c r="U102" s="154">
        <f>0</f>
        <v>0</v>
      </c>
      <c r="V102" s="154">
        <v>2</v>
      </c>
      <c r="W102" s="154">
        <f>0</f>
        <v>0</v>
      </c>
      <c r="X102" s="154">
        <f>0</f>
        <v>0</v>
      </c>
      <c r="Y102" s="154">
        <f>0</f>
        <v>0</v>
      </c>
      <c r="Z102" s="154">
        <f>0</f>
        <v>0</v>
      </c>
      <c r="AA102" s="154">
        <f>0</f>
        <v>0</v>
      </c>
      <c r="AB102" s="154">
        <f>0</f>
        <v>0</v>
      </c>
      <c r="AC102" s="154">
        <f>0</f>
        <v>0</v>
      </c>
      <c r="AD102" s="154">
        <f>0</f>
        <v>0</v>
      </c>
      <c r="AE102" s="383">
        <f>0</f>
        <v>0</v>
      </c>
      <c r="AF102" s="383">
        <f>0</f>
        <v>0</v>
      </c>
      <c r="AG102" s="383">
        <f t="shared" si="13"/>
        <v>0</v>
      </c>
      <c r="AH102" s="383">
        <f>0</f>
        <v>0</v>
      </c>
      <c r="AI102" s="383">
        <f>0</f>
        <v>0</v>
      </c>
      <c r="AJ102" s="383">
        <f>0</f>
        <v>0</v>
      </c>
      <c r="AK102" s="384">
        <f>0</f>
        <v>0</v>
      </c>
      <c r="AL102" s="170">
        <f t="shared" si="11"/>
        <v>2</v>
      </c>
      <c r="AM102" s="385"/>
      <c r="AN102" s="151">
        <f t="shared" si="10"/>
        <v>2</v>
      </c>
      <c r="AO102" s="108">
        <v>45090</v>
      </c>
      <c r="AP102" s="103" t="s">
        <v>410</v>
      </c>
      <c r="AQ102" s="109" t="s">
        <v>553</v>
      </c>
      <c r="AR102" s="389"/>
      <c r="AS102" s="159" t="s">
        <v>562</v>
      </c>
      <c r="AT102" s="390"/>
      <c r="AU102" s="390"/>
      <c r="AV102" s="387"/>
      <c r="AW102" s="390"/>
      <c r="AX102" s="391"/>
      <c r="AY102" s="391"/>
      <c r="AZ102" s="392"/>
    </row>
    <row r="103" spans="1:52" ht="27.95" hidden="1" customHeight="1">
      <c r="A103" s="198">
        <v>99</v>
      </c>
      <c r="B103" s="263">
        <v>45079</v>
      </c>
      <c r="C103" s="376"/>
      <c r="D103" s="377"/>
      <c r="E103" s="377"/>
      <c r="F103" s="399" t="s">
        <v>196</v>
      </c>
      <c r="G103" s="378" t="s">
        <v>436</v>
      </c>
      <c r="H103" s="379" t="s">
        <v>141</v>
      </c>
      <c r="I103" s="271" t="s">
        <v>137</v>
      </c>
      <c r="J103" s="378" t="s">
        <v>437</v>
      </c>
      <c r="K103" s="400" t="s">
        <v>557</v>
      </c>
      <c r="L103" s="400" t="s">
        <v>138</v>
      </c>
      <c r="M103" s="380" t="s">
        <v>194</v>
      </c>
      <c r="N103" s="380" t="s">
        <v>80</v>
      </c>
      <c r="O103" s="380" t="s">
        <v>80</v>
      </c>
      <c r="P103" s="381">
        <v>2</v>
      </c>
      <c r="Q103" s="382"/>
      <c r="R103" s="165">
        <f>0</f>
        <v>0</v>
      </c>
      <c r="S103" s="154">
        <f>0</f>
        <v>0</v>
      </c>
      <c r="T103" s="154">
        <f>0</f>
        <v>0</v>
      </c>
      <c r="U103" s="154">
        <f>0</f>
        <v>0</v>
      </c>
      <c r="V103" s="154">
        <v>2</v>
      </c>
      <c r="W103" s="154">
        <f>0</f>
        <v>0</v>
      </c>
      <c r="X103" s="154">
        <f>0</f>
        <v>0</v>
      </c>
      <c r="Y103" s="154">
        <f>0</f>
        <v>0</v>
      </c>
      <c r="Z103" s="154">
        <f>0</f>
        <v>0</v>
      </c>
      <c r="AA103" s="154">
        <f>0</f>
        <v>0</v>
      </c>
      <c r="AB103" s="154">
        <f>0</f>
        <v>0</v>
      </c>
      <c r="AC103" s="154">
        <f>0</f>
        <v>0</v>
      </c>
      <c r="AD103" s="154">
        <f>0</f>
        <v>0</v>
      </c>
      <c r="AE103" s="383">
        <f>0</f>
        <v>0</v>
      </c>
      <c r="AF103" s="383">
        <f>0</f>
        <v>0</v>
      </c>
      <c r="AG103" s="383">
        <f t="shared" si="13"/>
        <v>0</v>
      </c>
      <c r="AH103" s="383">
        <f>0</f>
        <v>0</v>
      </c>
      <c r="AI103" s="383">
        <f>0</f>
        <v>0</v>
      </c>
      <c r="AJ103" s="383">
        <f>0</f>
        <v>0</v>
      </c>
      <c r="AK103" s="384">
        <f>0</f>
        <v>0</v>
      </c>
      <c r="AL103" s="170">
        <f t="shared" si="11"/>
        <v>2</v>
      </c>
      <c r="AM103" s="385"/>
      <c r="AN103" s="151">
        <f t="shared" si="10"/>
        <v>2</v>
      </c>
      <c r="AO103" s="108">
        <v>45090</v>
      </c>
      <c r="AP103" s="103" t="s">
        <v>410</v>
      </c>
      <c r="AQ103" s="109" t="s">
        <v>553</v>
      </c>
      <c r="AR103" s="389"/>
      <c r="AS103" s="159" t="s">
        <v>562</v>
      </c>
      <c r="AT103" s="390"/>
      <c r="AU103" s="390"/>
      <c r="AV103" s="387"/>
      <c r="AW103" s="390"/>
      <c r="AX103" s="391"/>
      <c r="AY103" s="391"/>
      <c r="AZ103" s="392"/>
    </row>
    <row r="104" spans="1:52" ht="27.95" hidden="1" customHeight="1">
      <c r="A104" s="198">
        <v>100</v>
      </c>
      <c r="B104" s="263">
        <v>45079</v>
      </c>
      <c r="C104" s="393"/>
      <c r="D104" s="394"/>
      <c r="E104" s="394"/>
      <c r="F104" s="399" t="s">
        <v>196</v>
      </c>
      <c r="G104" s="378" t="s">
        <v>438</v>
      </c>
      <c r="H104" s="379">
        <v>0</v>
      </c>
      <c r="I104" s="271" t="s">
        <v>137</v>
      </c>
      <c r="J104" s="378" t="s">
        <v>439</v>
      </c>
      <c r="K104" s="400" t="s">
        <v>440</v>
      </c>
      <c r="L104" s="400" t="s">
        <v>138</v>
      </c>
      <c r="M104" s="380" t="s">
        <v>194</v>
      </c>
      <c r="N104" s="380" t="s">
        <v>80</v>
      </c>
      <c r="O104" s="380" t="s">
        <v>80</v>
      </c>
      <c r="P104" s="381">
        <v>2</v>
      </c>
      <c r="Q104" s="395"/>
      <c r="R104" s="165">
        <f>0</f>
        <v>0</v>
      </c>
      <c r="S104" s="154">
        <f>0</f>
        <v>0</v>
      </c>
      <c r="T104" s="154">
        <f>0</f>
        <v>0</v>
      </c>
      <c r="U104" s="154">
        <f>0</f>
        <v>0</v>
      </c>
      <c r="V104" s="154">
        <v>2</v>
      </c>
      <c r="W104" s="154">
        <f>0</f>
        <v>0</v>
      </c>
      <c r="X104" s="154">
        <f>0</f>
        <v>0</v>
      </c>
      <c r="Y104" s="154">
        <f>0</f>
        <v>0</v>
      </c>
      <c r="Z104" s="154">
        <f>0</f>
        <v>0</v>
      </c>
      <c r="AA104" s="154">
        <f>0</f>
        <v>0</v>
      </c>
      <c r="AB104" s="154">
        <f>0</f>
        <v>0</v>
      </c>
      <c r="AC104" s="154">
        <f>0</f>
        <v>0</v>
      </c>
      <c r="AD104" s="154">
        <f>0</f>
        <v>0</v>
      </c>
      <c r="AE104" s="396">
        <f>0</f>
        <v>0</v>
      </c>
      <c r="AF104" s="396">
        <f>0</f>
        <v>0</v>
      </c>
      <c r="AG104" s="396">
        <f t="shared" si="13"/>
        <v>0</v>
      </c>
      <c r="AH104" s="396">
        <f>0</f>
        <v>0</v>
      </c>
      <c r="AI104" s="396">
        <f>0</f>
        <v>0</v>
      </c>
      <c r="AJ104" s="396">
        <f>0</f>
        <v>0</v>
      </c>
      <c r="AK104" s="397">
        <f>0</f>
        <v>0</v>
      </c>
      <c r="AL104" s="170">
        <f t="shared" si="11"/>
        <v>2</v>
      </c>
      <c r="AM104" s="385"/>
      <c r="AN104" s="151">
        <f t="shared" si="10"/>
        <v>2</v>
      </c>
      <c r="AO104" s="108">
        <v>45090</v>
      </c>
      <c r="AP104" s="387"/>
      <c r="AQ104" s="109" t="s">
        <v>553</v>
      </c>
      <c r="AR104" s="389"/>
      <c r="AS104" s="159" t="s">
        <v>562</v>
      </c>
      <c r="AT104" s="390"/>
      <c r="AU104" s="390"/>
      <c r="AV104" s="387"/>
      <c r="AW104" s="390"/>
      <c r="AX104" s="391"/>
      <c r="AY104" s="391"/>
      <c r="AZ104" s="398"/>
    </row>
    <row r="105" spans="1:52" ht="27.95" hidden="1" customHeight="1">
      <c r="A105" s="198">
        <v>101</v>
      </c>
      <c r="B105" s="263">
        <v>45079</v>
      </c>
      <c r="C105" s="376"/>
      <c r="D105" s="377"/>
      <c r="E105" s="377"/>
      <c r="F105" s="399" t="s">
        <v>196</v>
      </c>
      <c r="G105" s="378" t="s">
        <v>441</v>
      </c>
      <c r="H105" s="379">
        <v>0</v>
      </c>
      <c r="I105" s="271" t="s">
        <v>452</v>
      </c>
      <c r="J105" s="378" t="s">
        <v>453</v>
      </c>
      <c r="K105" s="400" t="s">
        <v>442</v>
      </c>
      <c r="L105" s="400" t="s">
        <v>443</v>
      </c>
      <c r="M105" s="380" t="s">
        <v>194</v>
      </c>
      <c r="N105" s="380" t="s">
        <v>80</v>
      </c>
      <c r="O105" s="380" t="s">
        <v>80</v>
      </c>
      <c r="P105" s="381">
        <v>1</v>
      </c>
      <c r="Q105" s="382"/>
      <c r="R105" s="165">
        <f>0</f>
        <v>0</v>
      </c>
      <c r="S105" s="154">
        <f>0</f>
        <v>0</v>
      </c>
      <c r="T105" s="154">
        <f>0</f>
        <v>0</v>
      </c>
      <c r="U105" s="154">
        <f>0</f>
        <v>0</v>
      </c>
      <c r="V105" s="154">
        <v>1</v>
      </c>
      <c r="W105" s="154">
        <f>0</f>
        <v>0</v>
      </c>
      <c r="X105" s="154">
        <f>0</f>
        <v>0</v>
      </c>
      <c r="Y105" s="154">
        <f>0</f>
        <v>0</v>
      </c>
      <c r="Z105" s="154">
        <f>0</f>
        <v>0</v>
      </c>
      <c r="AA105" s="154">
        <f>0</f>
        <v>0</v>
      </c>
      <c r="AB105" s="154">
        <f>0</f>
        <v>0</v>
      </c>
      <c r="AC105" s="154">
        <f>0</f>
        <v>0</v>
      </c>
      <c r="AD105" s="154">
        <f>0</f>
        <v>0</v>
      </c>
      <c r="AE105" s="383">
        <f>0</f>
        <v>0</v>
      </c>
      <c r="AF105" s="383">
        <f>0</f>
        <v>0</v>
      </c>
      <c r="AG105" s="383">
        <f t="shared" si="13"/>
        <v>0</v>
      </c>
      <c r="AH105" s="383">
        <f>0</f>
        <v>0</v>
      </c>
      <c r="AI105" s="383">
        <f>0</f>
        <v>0</v>
      </c>
      <c r="AJ105" s="383">
        <f>0</f>
        <v>0</v>
      </c>
      <c r="AK105" s="384">
        <f>0</f>
        <v>0</v>
      </c>
      <c r="AL105" s="170">
        <f t="shared" si="11"/>
        <v>1</v>
      </c>
      <c r="AM105" s="385"/>
      <c r="AN105" s="151">
        <f t="shared" si="10"/>
        <v>1</v>
      </c>
      <c r="AO105" s="386"/>
      <c r="AP105" s="387"/>
      <c r="AQ105" s="388" t="s">
        <v>566</v>
      </c>
      <c r="AR105" s="389"/>
      <c r="AS105" s="387"/>
      <c r="AT105" s="390"/>
      <c r="AU105" s="390"/>
      <c r="AV105" s="387"/>
      <c r="AW105" s="390"/>
      <c r="AX105" s="391"/>
      <c r="AY105" s="391"/>
      <c r="AZ105" s="392"/>
    </row>
    <row r="106" spans="1:52" ht="27.95" hidden="1" customHeight="1">
      <c r="A106" s="198">
        <v>102</v>
      </c>
      <c r="B106" s="263">
        <v>45079</v>
      </c>
      <c r="C106" s="376"/>
      <c r="D106" s="377"/>
      <c r="E106" s="377"/>
      <c r="F106" s="399" t="s">
        <v>196</v>
      </c>
      <c r="G106" s="378" t="s">
        <v>444</v>
      </c>
      <c r="H106" s="379" t="s">
        <v>248</v>
      </c>
      <c r="I106" s="271" t="s">
        <v>445</v>
      </c>
      <c r="J106" s="378" t="s">
        <v>446</v>
      </c>
      <c r="K106" s="400" t="s">
        <v>444</v>
      </c>
      <c r="L106" s="400" t="s">
        <v>443</v>
      </c>
      <c r="M106" s="380" t="s">
        <v>194</v>
      </c>
      <c r="N106" s="380" t="s">
        <v>80</v>
      </c>
      <c r="O106" s="380" t="s">
        <v>80</v>
      </c>
      <c r="P106" s="381">
        <v>2</v>
      </c>
      <c r="Q106" s="382"/>
      <c r="R106" s="165">
        <f>0</f>
        <v>0</v>
      </c>
      <c r="S106" s="154">
        <f>0</f>
        <v>0</v>
      </c>
      <c r="T106" s="154">
        <f>0</f>
        <v>0</v>
      </c>
      <c r="U106" s="154">
        <f>0</f>
        <v>0</v>
      </c>
      <c r="V106" s="154">
        <v>2</v>
      </c>
      <c r="W106" s="154">
        <f>0</f>
        <v>0</v>
      </c>
      <c r="X106" s="154">
        <f>0</f>
        <v>0</v>
      </c>
      <c r="Y106" s="154">
        <f>0</f>
        <v>0</v>
      </c>
      <c r="Z106" s="154">
        <f>0</f>
        <v>0</v>
      </c>
      <c r="AA106" s="154">
        <f>0</f>
        <v>0</v>
      </c>
      <c r="AB106" s="154">
        <f>0</f>
        <v>0</v>
      </c>
      <c r="AC106" s="154">
        <f>0</f>
        <v>0</v>
      </c>
      <c r="AD106" s="154">
        <f>0</f>
        <v>0</v>
      </c>
      <c r="AE106" s="383">
        <f>0</f>
        <v>0</v>
      </c>
      <c r="AF106" s="383">
        <f>0</f>
        <v>0</v>
      </c>
      <c r="AG106" s="383">
        <f t="shared" si="13"/>
        <v>0</v>
      </c>
      <c r="AH106" s="383">
        <f>0</f>
        <v>0</v>
      </c>
      <c r="AI106" s="383">
        <f>0</f>
        <v>0</v>
      </c>
      <c r="AJ106" s="383">
        <f>0</f>
        <v>0</v>
      </c>
      <c r="AK106" s="384">
        <f>0</f>
        <v>0</v>
      </c>
      <c r="AL106" s="170">
        <f t="shared" si="11"/>
        <v>2</v>
      </c>
      <c r="AM106" s="385"/>
      <c r="AN106" s="151">
        <f t="shared" si="10"/>
        <v>2</v>
      </c>
      <c r="AO106" s="386"/>
      <c r="AP106" s="387"/>
      <c r="AQ106" s="388" t="s">
        <v>566</v>
      </c>
      <c r="AR106" s="389"/>
      <c r="AS106" s="387"/>
      <c r="AT106" s="390"/>
      <c r="AU106" s="390"/>
      <c r="AV106" s="387"/>
      <c r="AW106" s="390"/>
      <c r="AX106" s="391"/>
      <c r="AY106" s="391"/>
      <c r="AZ106" s="392"/>
    </row>
    <row r="107" spans="1:52" ht="27.95" hidden="1" customHeight="1">
      <c r="A107" s="198">
        <v>103</v>
      </c>
      <c r="B107" s="263">
        <v>45079</v>
      </c>
      <c r="C107" s="376"/>
      <c r="D107" s="377"/>
      <c r="E107" s="377"/>
      <c r="F107" s="399" t="s">
        <v>196</v>
      </c>
      <c r="G107" s="378" t="s">
        <v>447</v>
      </c>
      <c r="H107" s="379" t="s">
        <v>191</v>
      </c>
      <c r="I107" s="271" t="s">
        <v>448</v>
      </c>
      <c r="J107" s="378" t="s">
        <v>449</v>
      </c>
      <c r="K107" s="400">
        <v>9313</v>
      </c>
      <c r="L107" s="400" t="s">
        <v>450</v>
      </c>
      <c r="M107" s="380" t="s">
        <v>194</v>
      </c>
      <c r="N107" s="380" t="s">
        <v>80</v>
      </c>
      <c r="O107" s="380" t="s">
        <v>80</v>
      </c>
      <c r="P107" s="381">
        <v>1</v>
      </c>
      <c r="Q107" s="382"/>
      <c r="R107" s="165">
        <f>0</f>
        <v>0</v>
      </c>
      <c r="S107" s="154">
        <f>0</f>
        <v>0</v>
      </c>
      <c r="T107" s="154">
        <f>0</f>
        <v>0</v>
      </c>
      <c r="U107" s="154">
        <f>0</f>
        <v>0</v>
      </c>
      <c r="V107" s="154">
        <v>1</v>
      </c>
      <c r="W107" s="154">
        <f>0</f>
        <v>0</v>
      </c>
      <c r="X107" s="154">
        <f>0</f>
        <v>0</v>
      </c>
      <c r="Y107" s="154">
        <f>0</f>
        <v>0</v>
      </c>
      <c r="Z107" s="154">
        <f>0</f>
        <v>0</v>
      </c>
      <c r="AA107" s="154">
        <f>0</f>
        <v>0</v>
      </c>
      <c r="AB107" s="154">
        <f>0</f>
        <v>0</v>
      </c>
      <c r="AC107" s="154">
        <f>0</f>
        <v>0</v>
      </c>
      <c r="AD107" s="154">
        <f>0</f>
        <v>0</v>
      </c>
      <c r="AE107" s="383">
        <f>0</f>
        <v>0</v>
      </c>
      <c r="AF107" s="383">
        <f>0</f>
        <v>0</v>
      </c>
      <c r="AG107" s="383">
        <f t="shared" si="13"/>
        <v>0</v>
      </c>
      <c r="AH107" s="383">
        <f>0</f>
        <v>0</v>
      </c>
      <c r="AI107" s="383">
        <f>0</f>
        <v>0</v>
      </c>
      <c r="AJ107" s="383">
        <f>0</f>
        <v>0</v>
      </c>
      <c r="AK107" s="384">
        <f>0</f>
        <v>0</v>
      </c>
      <c r="AL107" s="170">
        <f t="shared" si="11"/>
        <v>1</v>
      </c>
      <c r="AM107" s="385"/>
      <c r="AN107" s="151">
        <f t="shared" si="10"/>
        <v>1</v>
      </c>
      <c r="AO107" s="386">
        <v>45096</v>
      </c>
      <c r="AP107" s="387" t="s">
        <v>410</v>
      </c>
      <c r="AQ107" s="388" t="s">
        <v>568</v>
      </c>
      <c r="AR107" s="389"/>
      <c r="AS107" s="387" t="s">
        <v>562</v>
      </c>
      <c r="AT107" s="390"/>
      <c r="AU107" s="390"/>
      <c r="AV107" s="387"/>
      <c r="AW107" s="390"/>
      <c r="AX107" s="391"/>
      <c r="AY107" s="391"/>
      <c r="AZ107" s="392"/>
    </row>
    <row r="108" spans="1:52" ht="27.95" hidden="1" customHeight="1">
      <c r="A108" s="198">
        <v>106</v>
      </c>
      <c r="B108" s="263">
        <v>45079</v>
      </c>
      <c r="C108" s="376"/>
      <c r="D108" s="377"/>
      <c r="E108" s="377"/>
      <c r="F108" s="399" t="s">
        <v>196</v>
      </c>
      <c r="G108" s="378" t="s">
        <v>454</v>
      </c>
      <c r="H108" s="379">
        <v>0</v>
      </c>
      <c r="I108" s="271" t="s">
        <v>455</v>
      </c>
      <c r="J108" s="378" t="s">
        <v>456</v>
      </c>
      <c r="K108" s="400" t="s">
        <v>442</v>
      </c>
      <c r="L108" s="400" t="s">
        <v>443</v>
      </c>
      <c r="M108" s="380" t="s">
        <v>194</v>
      </c>
      <c r="N108" s="380" t="s">
        <v>80</v>
      </c>
      <c r="O108" s="380" t="s">
        <v>80</v>
      </c>
      <c r="P108" s="381">
        <v>1</v>
      </c>
      <c r="Q108" s="382"/>
      <c r="R108" s="165">
        <f>0</f>
        <v>0</v>
      </c>
      <c r="S108" s="154">
        <f>0</f>
        <v>0</v>
      </c>
      <c r="T108" s="154">
        <f>0</f>
        <v>0</v>
      </c>
      <c r="U108" s="154">
        <v>1</v>
      </c>
      <c r="V108" s="154">
        <f>0</f>
        <v>0</v>
      </c>
      <c r="W108" s="154">
        <f>0</f>
        <v>0</v>
      </c>
      <c r="X108" s="154">
        <f>0</f>
        <v>0</v>
      </c>
      <c r="Y108" s="154">
        <f>0</f>
        <v>0</v>
      </c>
      <c r="Z108" s="154">
        <f>0</f>
        <v>0</v>
      </c>
      <c r="AA108" s="154">
        <f>0</f>
        <v>0</v>
      </c>
      <c r="AB108" s="154">
        <f>0</f>
        <v>0</v>
      </c>
      <c r="AC108" s="154">
        <f>0</f>
        <v>0</v>
      </c>
      <c r="AD108" s="154">
        <f>0</f>
        <v>0</v>
      </c>
      <c r="AE108" s="383">
        <f>0</f>
        <v>0</v>
      </c>
      <c r="AF108" s="383">
        <f>0</f>
        <v>0</v>
      </c>
      <c r="AG108" s="383">
        <f t="shared" si="13"/>
        <v>0</v>
      </c>
      <c r="AH108" s="383">
        <f>0</f>
        <v>0</v>
      </c>
      <c r="AI108" s="383">
        <f>0</f>
        <v>0</v>
      </c>
      <c r="AJ108" s="383">
        <f>0</f>
        <v>0</v>
      </c>
      <c r="AK108" s="384">
        <f>0</f>
        <v>0</v>
      </c>
      <c r="AL108" s="170">
        <f t="shared" si="11"/>
        <v>1</v>
      </c>
      <c r="AM108" s="385"/>
      <c r="AN108" s="151">
        <f t="shared" si="10"/>
        <v>1</v>
      </c>
      <c r="AO108" s="386"/>
      <c r="AP108" s="387"/>
      <c r="AQ108" s="388" t="s">
        <v>566</v>
      </c>
      <c r="AR108" s="389"/>
      <c r="AS108" s="387"/>
      <c r="AT108" s="390"/>
      <c r="AU108" s="390"/>
      <c r="AV108" s="387"/>
      <c r="AW108" s="390"/>
      <c r="AX108" s="391"/>
      <c r="AY108" s="391"/>
      <c r="AZ108" s="392"/>
    </row>
    <row r="109" spans="1:52" ht="27.95" hidden="1" customHeight="1">
      <c r="A109" s="198">
        <v>107</v>
      </c>
      <c r="B109" s="263">
        <v>45079</v>
      </c>
      <c r="C109" s="376"/>
      <c r="D109" s="377"/>
      <c r="E109" s="377"/>
      <c r="F109" s="399" t="s">
        <v>196</v>
      </c>
      <c r="G109" s="378" t="s">
        <v>444</v>
      </c>
      <c r="H109" s="379" t="s">
        <v>248</v>
      </c>
      <c r="I109" s="271" t="s">
        <v>445</v>
      </c>
      <c r="J109" s="378" t="s">
        <v>446</v>
      </c>
      <c r="K109" s="400" t="s">
        <v>444</v>
      </c>
      <c r="L109" s="400" t="s">
        <v>443</v>
      </c>
      <c r="M109" s="380" t="s">
        <v>194</v>
      </c>
      <c r="N109" s="380" t="s">
        <v>80</v>
      </c>
      <c r="O109" s="380" t="s">
        <v>80</v>
      </c>
      <c r="P109" s="381">
        <v>2</v>
      </c>
      <c r="Q109" s="382"/>
      <c r="R109" s="165">
        <f>0</f>
        <v>0</v>
      </c>
      <c r="S109" s="154">
        <f>0</f>
        <v>0</v>
      </c>
      <c r="T109" s="154">
        <f>0</f>
        <v>0</v>
      </c>
      <c r="U109" s="154">
        <v>2</v>
      </c>
      <c r="V109" s="154">
        <f>0</f>
        <v>0</v>
      </c>
      <c r="W109" s="154">
        <f>0</f>
        <v>0</v>
      </c>
      <c r="X109" s="154">
        <f>0</f>
        <v>0</v>
      </c>
      <c r="Y109" s="154">
        <f>0</f>
        <v>0</v>
      </c>
      <c r="Z109" s="154">
        <f>0</f>
        <v>0</v>
      </c>
      <c r="AA109" s="154">
        <f>0</f>
        <v>0</v>
      </c>
      <c r="AB109" s="154">
        <f>0</f>
        <v>0</v>
      </c>
      <c r="AC109" s="154">
        <f>0</f>
        <v>0</v>
      </c>
      <c r="AD109" s="154">
        <f>0</f>
        <v>0</v>
      </c>
      <c r="AE109" s="383">
        <f>0</f>
        <v>0</v>
      </c>
      <c r="AF109" s="383">
        <f>0</f>
        <v>0</v>
      </c>
      <c r="AG109" s="383">
        <f t="shared" si="13"/>
        <v>0</v>
      </c>
      <c r="AH109" s="383">
        <f>0</f>
        <v>0</v>
      </c>
      <c r="AI109" s="383">
        <f>0</f>
        <v>0</v>
      </c>
      <c r="AJ109" s="383">
        <f>0</f>
        <v>0</v>
      </c>
      <c r="AK109" s="384">
        <f>0</f>
        <v>0</v>
      </c>
      <c r="AL109" s="170">
        <f t="shared" si="11"/>
        <v>2</v>
      </c>
      <c r="AM109" s="385"/>
      <c r="AN109" s="151">
        <f t="shared" si="10"/>
        <v>2</v>
      </c>
      <c r="AO109" s="386"/>
      <c r="AP109" s="387"/>
      <c r="AQ109" s="388" t="s">
        <v>566</v>
      </c>
      <c r="AR109" s="389"/>
      <c r="AS109" s="387"/>
      <c r="AT109" s="390"/>
      <c r="AU109" s="390"/>
      <c r="AV109" s="387"/>
      <c r="AW109" s="390"/>
      <c r="AX109" s="391"/>
      <c r="AY109" s="391"/>
      <c r="AZ109" s="392"/>
    </row>
    <row r="110" spans="1:52" ht="27.95" hidden="1" customHeight="1">
      <c r="A110" s="198">
        <v>108</v>
      </c>
      <c r="B110" s="263">
        <v>45079</v>
      </c>
      <c r="C110" s="376"/>
      <c r="D110" s="377"/>
      <c r="E110" s="377"/>
      <c r="F110" s="399" t="s">
        <v>196</v>
      </c>
      <c r="G110" s="378" t="s">
        <v>447</v>
      </c>
      <c r="H110" s="379" t="s">
        <v>191</v>
      </c>
      <c r="I110" s="271" t="s">
        <v>448</v>
      </c>
      <c r="J110" s="378" t="s">
        <v>449</v>
      </c>
      <c r="K110" s="400">
        <v>9313</v>
      </c>
      <c r="L110" s="400" t="s">
        <v>450</v>
      </c>
      <c r="M110" s="380" t="s">
        <v>194</v>
      </c>
      <c r="N110" s="380" t="s">
        <v>80</v>
      </c>
      <c r="O110" s="380" t="s">
        <v>80</v>
      </c>
      <c r="P110" s="381">
        <v>1</v>
      </c>
      <c r="Q110" s="382"/>
      <c r="R110" s="165">
        <f>0</f>
        <v>0</v>
      </c>
      <c r="S110" s="154">
        <f>0</f>
        <v>0</v>
      </c>
      <c r="T110" s="154">
        <f>0</f>
        <v>0</v>
      </c>
      <c r="U110" s="154">
        <v>1</v>
      </c>
      <c r="V110" s="154">
        <f>0</f>
        <v>0</v>
      </c>
      <c r="W110" s="154">
        <f>0</f>
        <v>0</v>
      </c>
      <c r="X110" s="154">
        <f>0</f>
        <v>0</v>
      </c>
      <c r="Y110" s="154">
        <f>0</f>
        <v>0</v>
      </c>
      <c r="Z110" s="154">
        <f>0</f>
        <v>0</v>
      </c>
      <c r="AA110" s="154">
        <f>0</f>
        <v>0</v>
      </c>
      <c r="AB110" s="154">
        <f>0</f>
        <v>0</v>
      </c>
      <c r="AC110" s="154">
        <f>0</f>
        <v>0</v>
      </c>
      <c r="AD110" s="154">
        <f>0</f>
        <v>0</v>
      </c>
      <c r="AE110" s="383">
        <f>0</f>
        <v>0</v>
      </c>
      <c r="AF110" s="383">
        <f>0</f>
        <v>0</v>
      </c>
      <c r="AG110" s="383">
        <f t="shared" si="13"/>
        <v>0</v>
      </c>
      <c r="AH110" s="383">
        <f>0</f>
        <v>0</v>
      </c>
      <c r="AI110" s="383">
        <f>0</f>
        <v>0</v>
      </c>
      <c r="AJ110" s="383">
        <f>0</f>
        <v>0</v>
      </c>
      <c r="AK110" s="384">
        <f>0</f>
        <v>0</v>
      </c>
      <c r="AL110" s="170">
        <f t="shared" si="11"/>
        <v>1</v>
      </c>
      <c r="AM110" s="385"/>
      <c r="AN110" s="151">
        <f t="shared" si="10"/>
        <v>1</v>
      </c>
      <c r="AO110" s="386">
        <v>45096</v>
      </c>
      <c r="AP110" s="387" t="s">
        <v>410</v>
      </c>
      <c r="AQ110" s="388" t="s">
        <v>568</v>
      </c>
      <c r="AR110" s="389"/>
      <c r="AS110" s="387" t="s">
        <v>562</v>
      </c>
      <c r="AT110" s="390"/>
      <c r="AU110" s="390"/>
      <c r="AV110" s="387"/>
      <c r="AW110" s="390"/>
      <c r="AX110" s="391"/>
      <c r="AY110" s="391"/>
      <c r="AZ110" s="392"/>
    </row>
    <row r="111" spans="1:52" ht="27.95" hidden="1" customHeight="1">
      <c r="A111" s="198">
        <v>111</v>
      </c>
      <c r="B111" s="263">
        <v>45079</v>
      </c>
      <c r="C111" s="376"/>
      <c r="D111" s="377"/>
      <c r="E111" s="377"/>
      <c r="F111" s="399" t="s">
        <v>196</v>
      </c>
      <c r="G111" s="378" t="s">
        <v>457</v>
      </c>
      <c r="H111" s="379">
        <v>0</v>
      </c>
      <c r="I111" s="271" t="s">
        <v>458</v>
      </c>
      <c r="J111" s="378" t="s">
        <v>459</v>
      </c>
      <c r="K111" s="400" t="s">
        <v>442</v>
      </c>
      <c r="L111" s="400" t="s">
        <v>443</v>
      </c>
      <c r="M111" s="380" t="s">
        <v>194</v>
      </c>
      <c r="N111" s="380" t="s">
        <v>80</v>
      </c>
      <c r="O111" s="380" t="s">
        <v>80</v>
      </c>
      <c r="P111" s="381">
        <v>1</v>
      </c>
      <c r="Q111" s="382"/>
      <c r="R111" s="165">
        <f>0</f>
        <v>0</v>
      </c>
      <c r="S111" s="154">
        <f>0</f>
        <v>0</v>
      </c>
      <c r="T111" s="154">
        <v>1</v>
      </c>
      <c r="U111" s="154">
        <f>0</f>
        <v>0</v>
      </c>
      <c r="V111" s="154">
        <f>0</f>
        <v>0</v>
      </c>
      <c r="W111" s="154">
        <f>0</f>
        <v>0</v>
      </c>
      <c r="X111" s="154">
        <f>0</f>
        <v>0</v>
      </c>
      <c r="Y111" s="154">
        <f>0</f>
        <v>0</v>
      </c>
      <c r="Z111" s="154">
        <f>0</f>
        <v>0</v>
      </c>
      <c r="AA111" s="154">
        <f>0</f>
        <v>0</v>
      </c>
      <c r="AB111" s="154">
        <f>0</f>
        <v>0</v>
      </c>
      <c r="AC111" s="154">
        <f>0</f>
        <v>0</v>
      </c>
      <c r="AD111" s="154">
        <f>0</f>
        <v>0</v>
      </c>
      <c r="AE111" s="383">
        <f>0</f>
        <v>0</v>
      </c>
      <c r="AF111" s="383">
        <f>0</f>
        <v>0</v>
      </c>
      <c r="AG111" s="383">
        <f t="shared" si="13"/>
        <v>0</v>
      </c>
      <c r="AH111" s="383">
        <f>0</f>
        <v>0</v>
      </c>
      <c r="AI111" s="383">
        <f>0</f>
        <v>0</v>
      </c>
      <c r="AJ111" s="383">
        <f>0</f>
        <v>0</v>
      </c>
      <c r="AK111" s="384">
        <f>0</f>
        <v>0</v>
      </c>
      <c r="AL111" s="170">
        <f t="shared" si="11"/>
        <v>1</v>
      </c>
      <c r="AM111" s="385"/>
      <c r="AN111" s="151">
        <f t="shared" si="10"/>
        <v>1</v>
      </c>
      <c r="AO111" s="386"/>
      <c r="AP111" s="387"/>
      <c r="AQ111" s="388" t="s">
        <v>566</v>
      </c>
      <c r="AR111" s="389"/>
      <c r="AS111" s="387"/>
      <c r="AT111" s="390"/>
      <c r="AU111" s="390"/>
      <c r="AV111" s="387"/>
      <c r="AW111" s="390"/>
      <c r="AX111" s="391"/>
      <c r="AY111" s="391"/>
      <c r="AZ111" s="392"/>
    </row>
    <row r="112" spans="1:52" ht="27.95" hidden="1" customHeight="1">
      <c r="A112" s="198">
        <v>112</v>
      </c>
      <c r="B112" s="263">
        <v>45079</v>
      </c>
      <c r="C112" s="376"/>
      <c r="D112" s="377"/>
      <c r="E112" s="377"/>
      <c r="F112" s="399" t="s">
        <v>196</v>
      </c>
      <c r="G112" s="378" t="s">
        <v>444</v>
      </c>
      <c r="H112" s="379" t="s">
        <v>248</v>
      </c>
      <c r="I112" s="271" t="s">
        <v>445</v>
      </c>
      <c r="J112" s="378" t="s">
        <v>446</v>
      </c>
      <c r="K112" s="400" t="s">
        <v>444</v>
      </c>
      <c r="L112" s="400" t="s">
        <v>443</v>
      </c>
      <c r="M112" s="380" t="s">
        <v>194</v>
      </c>
      <c r="N112" s="380" t="s">
        <v>80</v>
      </c>
      <c r="O112" s="380" t="s">
        <v>80</v>
      </c>
      <c r="P112" s="381">
        <v>2</v>
      </c>
      <c r="Q112" s="382"/>
      <c r="R112" s="165">
        <f>0</f>
        <v>0</v>
      </c>
      <c r="S112" s="154">
        <f>0</f>
        <v>0</v>
      </c>
      <c r="T112" s="154">
        <v>2</v>
      </c>
      <c r="U112" s="154">
        <f>0</f>
        <v>0</v>
      </c>
      <c r="V112" s="154">
        <f>0</f>
        <v>0</v>
      </c>
      <c r="W112" s="154">
        <f>0</f>
        <v>0</v>
      </c>
      <c r="X112" s="154">
        <f>0</f>
        <v>0</v>
      </c>
      <c r="Y112" s="154">
        <f>0</f>
        <v>0</v>
      </c>
      <c r="Z112" s="154">
        <f>0</f>
        <v>0</v>
      </c>
      <c r="AA112" s="154">
        <f>0</f>
        <v>0</v>
      </c>
      <c r="AB112" s="154">
        <f>0</f>
        <v>0</v>
      </c>
      <c r="AC112" s="154">
        <f>0</f>
        <v>0</v>
      </c>
      <c r="AD112" s="154">
        <f>0</f>
        <v>0</v>
      </c>
      <c r="AE112" s="383">
        <f>0</f>
        <v>0</v>
      </c>
      <c r="AF112" s="383">
        <f>0</f>
        <v>0</v>
      </c>
      <c r="AG112" s="383">
        <f t="shared" si="13"/>
        <v>0</v>
      </c>
      <c r="AH112" s="383">
        <f>0</f>
        <v>0</v>
      </c>
      <c r="AI112" s="383">
        <f>0</f>
        <v>0</v>
      </c>
      <c r="AJ112" s="383">
        <f>0</f>
        <v>0</v>
      </c>
      <c r="AK112" s="384">
        <f>0</f>
        <v>0</v>
      </c>
      <c r="AL112" s="170">
        <f t="shared" si="11"/>
        <v>2</v>
      </c>
      <c r="AM112" s="385"/>
      <c r="AN112" s="151">
        <f t="shared" si="10"/>
        <v>2</v>
      </c>
      <c r="AO112" s="386"/>
      <c r="AP112" s="387"/>
      <c r="AQ112" s="388" t="s">
        <v>566</v>
      </c>
      <c r="AR112" s="389"/>
      <c r="AS112" s="387"/>
      <c r="AT112" s="390"/>
      <c r="AU112" s="390"/>
      <c r="AV112" s="387"/>
      <c r="AW112" s="390"/>
      <c r="AX112" s="391"/>
      <c r="AY112" s="391"/>
      <c r="AZ112" s="392"/>
    </row>
    <row r="113" spans="1:52" ht="27.95" hidden="1" customHeight="1">
      <c r="A113" s="198">
        <v>113</v>
      </c>
      <c r="B113" s="263">
        <v>45079</v>
      </c>
      <c r="C113" s="376"/>
      <c r="D113" s="377"/>
      <c r="E113" s="377"/>
      <c r="F113" s="399" t="s">
        <v>196</v>
      </c>
      <c r="G113" s="378" t="s">
        <v>447</v>
      </c>
      <c r="H113" s="379" t="s">
        <v>191</v>
      </c>
      <c r="I113" s="271" t="s">
        <v>448</v>
      </c>
      <c r="J113" s="378" t="s">
        <v>449</v>
      </c>
      <c r="K113" s="400">
        <v>9313</v>
      </c>
      <c r="L113" s="400" t="s">
        <v>450</v>
      </c>
      <c r="M113" s="380" t="s">
        <v>194</v>
      </c>
      <c r="N113" s="380" t="s">
        <v>80</v>
      </c>
      <c r="O113" s="380" t="s">
        <v>80</v>
      </c>
      <c r="P113" s="381">
        <v>1</v>
      </c>
      <c r="Q113" s="382"/>
      <c r="R113" s="165">
        <f>0</f>
        <v>0</v>
      </c>
      <c r="S113" s="154">
        <f>0</f>
        <v>0</v>
      </c>
      <c r="T113" s="154">
        <v>1</v>
      </c>
      <c r="U113" s="154">
        <f>0</f>
        <v>0</v>
      </c>
      <c r="V113" s="154">
        <f>0</f>
        <v>0</v>
      </c>
      <c r="W113" s="154">
        <f>0</f>
        <v>0</v>
      </c>
      <c r="X113" s="154">
        <f>0</f>
        <v>0</v>
      </c>
      <c r="Y113" s="154">
        <f>0</f>
        <v>0</v>
      </c>
      <c r="Z113" s="154">
        <f>0</f>
        <v>0</v>
      </c>
      <c r="AA113" s="154">
        <f>0</f>
        <v>0</v>
      </c>
      <c r="AB113" s="154">
        <f>0</f>
        <v>0</v>
      </c>
      <c r="AC113" s="154">
        <f>0</f>
        <v>0</v>
      </c>
      <c r="AD113" s="154">
        <f>0</f>
        <v>0</v>
      </c>
      <c r="AE113" s="383">
        <f>0</f>
        <v>0</v>
      </c>
      <c r="AF113" s="383">
        <f>0</f>
        <v>0</v>
      </c>
      <c r="AG113" s="383">
        <f t="shared" si="13"/>
        <v>0</v>
      </c>
      <c r="AH113" s="383">
        <f>0</f>
        <v>0</v>
      </c>
      <c r="AI113" s="383">
        <f>0</f>
        <v>0</v>
      </c>
      <c r="AJ113" s="383">
        <f>0</f>
        <v>0</v>
      </c>
      <c r="AK113" s="384">
        <f>0</f>
        <v>0</v>
      </c>
      <c r="AL113" s="170">
        <f t="shared" si="11"/>
        <v>1</v>
      </c>
      <c r="AM113" s="385"/>
      <c r="AN113" s="151">
        <f t="shared" si="10"/>
        <v>1</v>
      </c>
      <c r="AO113" s="386">
        <v>45096</v>
      </c>
      <c r="AP113" s="387" t="s">
        <v>410</v>
      </c>
      <c r="AQ113" s="388" t="s">
        <v>568</v>
      </c>
      <c r="AR113" s="389"/>
      <c r="AS113" s="387" t="s">
        <v>562</v>
      </c>
      <c r="AT113" s="390"/>
      <c r="AU113" s="390"/>
      <c r="AV113" s="387"/>
      <c r="AW113" s="390"/>
      <c r="AX113" s="391"/>
      <c r="AY113" s="391"/>
      <c r="AZ113" s="392"/>
    </row>
    <row r="114" spans="1:52" s="221" customFormat="1" ht="27.95" hidden="1" customHeight="1">
      <c r="A114" s="253">
        <v>117</v>
      </c>
      <c r="B114" s="326">
        <v>45079</v>
      </c>
      <c r="C114" s="376"/>
      <c r="D114" s="377"/>
      <c r="E114" s="377"/>
      <c r="F114" s="409" t="s">
        <v>350</v>
      </c>
      <c r="G114" s="214"/>
      <c r="H114" s="215"/>
      <c r="I114" s="329" t="s">
        <v>351</v>
      </c>
      <c r="J114" s="214" t="s">
        <v>352</v>
      </c>
      <c r="K114" s="410" t="s">
        <v>353</v>
      </c>
      <c r="L114" s="410" t="s">
        <v>354</v>
      </c>
      <c r="M114" s="380"/>
      <c r="N114" s="380"/>
      <c r="O114" s="380"/>
      <c r="P114" s="381"/>
      <c r="Q114" s="411"/>
      <c r="R114" s="331">
        <v>3</v>
      </c>
      <c r="S114" s="435"/>
      <c r="T114" s="435"/>
      <c r="U114" s="435"/>
      <c r="V114" s="435"/>
      <c r="W114" s="435"/>
      <c r="X114" s="435"/>
      <c r="Y114" s="435"/>
      <c r="Z114" s="435"/>
      <c r="AA114" s="435"/>
      <c r="AB114" s="435"/>
      <c r="AC114" s="435"/>
      <c r="AD114" s="435"/>
      <c r="AE114" s="435">
        <f>0</f>
        <v>0</v>
      </c>
      <c r="AF114" s="435">
        <f>0</f>
        <v>0</v>
      </c>
      <c r="AG114" s="435">
        <f>AE114-AF114</f>
        <v>0</v>
      </c>
      <c r="AH114" s="435">
        <f>0</f>
        <v>0</v>
      </c>
      <c r="AI114" s="435">
        <f>0</f>
        <v>0</v>
      </c>
      <c r="AJ114" s="435">
        <f>0</f>
        <v>0</v>
      </c>
      <c r="AK114" s="436">
        <f>0</f>
        <v>0</v>
      </c>
      <c r="AL114" s="334">
        <f t="shared" si="11"/>
        <v>3</v>
      </c>
      <c r="AM114" s="414"/>
      <c r="AN114" s="336">
        <f t="shared" si="10"/>
        <v>3</v>
      </c>
      <c r="AO114" s="344">
        <v>45096</v>
      </c>
      <c r="AP114" s="338" t="s">
        <v>410</v>
      </c>
      <c r="AQ114" s="388" t="s">
        <v>567</v>
      </c>
      <c r="AR114" s="339"/>
      <c r="AS114" s="338"/>
      <c r="AT114" s="415"/>
      <c r="AU114" s="415">
        <v>3</v>
      </c>
      <c r="AV114" s="338"/>
      <c r="AW114" s="415" t="s">
        <v>595</v>
      </c>
      <c r="AX114" s="416"/>
      <c r="AY114" s="416"/>
      <c r="AZ114" s="220"/>
    </row>
    <row r="115" spans="1:52" s="221" customFormat="1" ht="27.95" hidden="1" customHeight="1">
      <c r="A115" s="253">
        <v>118</v>
      </c>
      <c r="B115" s="326">
        <v>45079</v>
      </c>
      <c r="C115" s="376"/>
      <c r="D115" s="377"/>
      <c r="E115" s="377"/>
      <c r="F115" s="409" t="s">
        <v>350</v>
      </c>
      <c r="G115" s="214"/>
      <c r="H115" s="215"/>
      <c r="I115" s="329" t="s">
        <v>460</v>
      </c>
      <c r="J115" s="214" t="s">
        <v>461</v>
      </c>
      <c r="K115" s="410" t="s">
        <v>462</v>
      </c>
      <c r="L115" s="410" t="s">
        <v>354</v>
      </c>
      <c r="M115" s="380"/>
      <c r="N115" s="380"/>
      <c r="O115" s="380"/>
      <c r="P115" s="381"/>
      <c r="Q115" s="411"/>
      <c r="R115" s="331">
        <v>2</v>
      </c>
      <c r="S115" s="412"/>
      <c r="T115" s="412"/>
      <c r="U115" s="412"/>
      <c r="V115" s="412"/>
      <c r="W115" s="412"/>
      <c r="X115" s="412"/>
      <c r="Y115" s="412"/>
      <c r="Z115" s="412"/>
      <c r="AA115" s="412"/>
      <c r="AB115" s="412"/>
      <c r="AC115" s="412"/>
      <c r="AD115" s="412"/>
      <c r="AE115" s="412">
        <f>0</f>
        <v>0</v>
      </c>
      <c r="AF115" s="412">
        <f>0</f>
        <v>0</v>
      </c>
      <c r="AG115" s="412">
        <f t="shared" ref="AG115:AG151" si="14">AE115-AF115</f>
        <v>0</v>
      </c>
      <c r="AH115" s="412">
        <f>0</f>
        <v>0</v>
      </c>
      <c r="AI115" s="412">
        <f>0</f>
        <v>0</v>
      </c>
      <c r="AJ115" s="412">
        <f>0</f>
        <v>0</v>
      </c>
      <c r="AK115" s="413">
        <f>0</f>
        <v>0</v>
      </c>
      <c r="AL115" s="334">
        <f t="shared" si="11"/>
        <v>2</v>
      </c>
      <c r="AM115" s="414">
        <v>2</v>
      </c>
      <c r="AN115" s="336">
        <f t="shared" si="10"/>
        <v>0</v>
      </c>
      <c r="AO115" s="344"/>
      <c r="AP115" s="338" t="s">
        <v>410</v>
      </c>
      <c r="AQ115" s="388" t="s">
        <v>49</v>
      </c>
      <c r="AR115" s="339"/>
      <c r="AS115" s="338"/>
      <c r="AT115" s="415"/>
      <c r="AU115" s="415"/>
      <c r="AV115" s="338"/>
      <c r="AW115" s="218" t="s">
        <v>552</v>
      </c>
      <c r="AX115" s="416"/>
      <c r="AY115" s="416"/>
      <c r="AZ115" s="342"/>
    </row>
    <row r="116" spans="1:52" s="221" customFormat="1" ht="27.95" hidden="1" customHeight="1">
      <c r="A116" s="253">
        <v>119</v>
      </c>
      <c r="B116" s="326">
        <v>45079</v>
      </c>
      <c r="C116" s="376"/>
      <c r="D116" s="377"/>
      <c r="E116" s="377"/>
      <c r="F116" s="409" t="s">
        <v>350</v>
      </c>
      <c r="G116" s="214"/>
      <c r="H116" s="215"/>
      <c r="I116" s="329" t="s">
        <v>463</v>
      </c>
      <c r="J116" s="214" t="s">
        <v>464</v>
      </c>
      <c r="K116" s="410" t="s">
        <v>465</v>
      </c>
      <c r="L116" s="410" t="s">
        <v>354</v>
      </c>
      <c r="M116" s="380"/>
      <c r="N116" s="380"/>
      <c r="O116" s="380"/>
      <c r="P116" s="381"/>
      <c r="Q116" s="411"/>
      <c r="R116" s="331">
        <v>6</v>
      </c>
      <c r="S116" s="412"/>
      <c r="T116" s="412"/>
      <c r="U116" s="412"/>
      <c r="V116" s="412"/>
      <c r="W116" s="412"/>
      <c r="X116" s="412"/>
      <c r="Y116" s="412"/>
      <c r="Z116" s="412"/>
      <c r="AA116" s="412"/>
      <c r="AB116" s="412"/>
      <c r="AC116" s="412"/>
      <c r="AD116" s="412"/>
      <c r="AE116" s="412">
        <f>0</f>
        <v>0</v>
      </c>
      <c r="AF116" s="412">
        <f>0</f>
        <v>0</v>
      </c>
      <c r="AG116" s="412">
        <f t="shared" si="14"/>
        <v>0</v>
      </c>
      <c r="AH116" s="412">
        <f>0</f>
        <v>0</v>
      </c>
      <c r="AI116" s="412">
        <f>0</f>
        <v>0</v>
      </c>
      <c r="AJ116" s="412">
        <f>0</f>
        <v>0</v>
      </c>
      <c r="AK116" s="413">
        <f>0</f>
        <v>0</v>
      </c>
      <c r="AL116" s="334">
        <f t="shared" si="11"/>
        <v>6</v>
      </c>
      <c r="AM116" s="414"/>
      <c r="AN116" s="336">
        <f t="shared" si="10"/>
        <v>6</v>
      </c>
      <c r="AO116" s="344">
        <v>45096</v>
      </c>
      <c r="AP116" s="338" t="s">
        <v>410</v>
      </c>
      <c r="AQ116" s="388" t="s">
        <v>567</v>
      </c>
      <c r="AR116" s="339"/>
      <c r="AS116" s="338"/>
      <c r="AT116" s="415"/>
      <c r="AU116" s="415">
        <v>6</v>
      </c>
      <c r="AV116" s="338"/>
      <c r="AW116" s="415" t="s">
        <v>595</v>
      </c>
      <c r="AX116" s="416"/>
      <c r="AY116" s="416"/>
      <c r="AZ116" s="342"/>
    </row>
    <row r="117" spans="1:52" s="221" customFormat="1" ht="27.75" customHeight="1" thickTop="1">
      <c r="A117" s="253">
        <v>120</v>
      </c>
      <c r="B117" s="326">
        <v>45079</v>
      </c>
      <c r="C117" s="393"/>
      <c r="D117" s="394"/>
      <c r="E117" s="394"/>
      <c r="F117" s="409" t="s">
        <v>350</v>
      </c>
      <c r="G117" s="214"/>
      <c r="H117" s="215"/>
      <c r="I117" s="329" t="s">
        <v>466</v>
      </c>
      <c r="J117" s="214" t="s">
        <v>467</v>
      </c>
      <c r="K117" s="410" t="s">
        <v>468</v>
      </c>
      <c r="L117" s="410" t="s">
        <v>354</v>
      </c>
      <c r="M117" s="380"/>
      <c r="N117" s="380"/>
      <c r="O117" s="380"/>
      <c r="P117" s="381"/>
      <c r="Q117" s="216"/>
      <c r="R117" s="331">
        <v>6</v>
      </c>
      <c r="S117" s="412"/>
      <c r="T117" s="412"/>
      <c r="U117" s="412"/>
      <c r="V117" s="412"/>
      <c r="W117" s="412"/>
      <c r="X117" s="412"/>
      <c r="Y117" s="412"/>
      <c r="Z117" s="412"/>
      <c r="AA117" s="412"/>
      <c r="AB117" s="412"/>
      <c r="AC117" s="412"/>
      <c r="AD117" s="412"/>
      <c r="AE117" s="412">
        <f>0</f>
        <v>0</v>
      </c>
      <c r="AF117" s="412">
        <f>0</f>
        <v>0</v>
      </c>
      <c r="AG117" s="412">
        <f t="shared" si="14"/>
        <v>0</v>
      </c>
      <c r="AH117" s="412">
        <f>0</f>
        <v>0</v>
      </c>
      <c r="AI117" s="412">
        <f>0</f>
        <v>0</v>
      </c>
      <c r="AJ117" s="412">
        <f>0</f>
        <v>0</v>
      </c>
      <c r="AK117" s="413">
        <f>0</f>
        <v>0</v>
      </c>
      <c r="AL117" s="334">
        <f t="shared" si="11"/>
        <v>6</v>
      </c>
      <c r="AM117" s="414"/>
      <c r="AN117" s="336">
        <f t="shared" si="10"/>
        <v>6</v>
      </c>
      <c r="AO117" s="344">
        <v>45096</v>
      </c>
      <c r="AP117" s="338" t="s">
        <v>410</v>
      </c>
      <c r="AQ117" s="388" t="s">
        <v>567</v>
      </c>
      <c r="AR117" s="339"/>
      <c r="AS117" s="338"/>
      <c r="AT117" s="415"/>
      <c r="AU117" s="218" t="s">
        <v>598</v>
      </c>
      <c r="AV117" s="338">
        <v>0</v>
      </c>
      <c r="AW117" s="218" t="s">
        <v>599</v>
      </c>
      <c r="AX117" s="416"/>
      <c r="AY117" s="416"/>
      <c r="AZ117" s="342"/>
    </row>
    <row r="118" spans="1:52" s="221" customFormat="1" ht="27.95" hidden="1" customHeight="1">
      <c r="A118" s="253">
        <v>121</v>
      </c>
      <c r="B118" s="326">
        <v>45079</v>
      </c>
      <c r="C118" s="393"/>
      <c r="D118" s="394"/>
      <c r="E118" s="394"/>
      <c r="F118" s="409" t="s">
        <v>350</v>
      </c>
      <c r="G118" s="214"/>
      <c r="H118" s="215"/>
      <c r="I118" s="329" t="s">
        <v>357</v>
      </c>
      <c r="J118" s="214" t="s">
        <v>358</v>
      </c>
      <c r="K118" s="410" t="s">
        <v>359</v>
      </c>
      <c r="L118" s="410" t="s">
        <v>354</v>
      </c>
      <c r="M118" s="380"/>
      <c r="N118" s="380"/>
      <c r="O118" s="380"/>
      <c r="P118" s="381"/>
      <c r="Q118" s="216"/>
      <c r="R118" s="331">
        <v>10</v>
      </c>
      <c r="S118" s="412"/>
      <c r="T118" s="412"/>
      <c r="U118" s="412"/>
      <c r="V118" s="412"/>
      <c r="W118" s="412"/>
      <c r="X118" s="412"/>
      <c r="Y118" s="412"/>
      <c r="Z118" s="412"/>
      <c r="AA118" s="412"/>
      <c r="AB118" s="412"/>
      <c r="AC118" s="412"/>
      <c r="AD118" s="412"/>
      <c r="AE118" s="412">
        <f>0</f>
        <v>0</v>
      </c>
      <c r="AF118" s="412">
        <f>0</f>
        <v>0</v>
      </c>
      <c r="AG118" s="412">
        <f t="shared" si="14"/>
        <v>0</v>
      </c>
      <c r="AH118" s="412">
        <f>0</f>
        <v>0</v>
      </c>
      <c r="AI118" s="412">
        <f>0</f>
        <v>0</v>
      </c>
      <c r="AJ118" s="412">
        <f>0</f>
        <v>0</v>
      </c>
      <c r="AK118" s="413">
        <f>0</f>
        <v>0</v>
      </c>
      <c r="AL118" s="334">
        <f t="shared" si="11"/>
        <v>10</v>
      </c>
      <c r="AM118" s="414"/>
      <c r="AN118" s="336">
        <f t="shared" ref="AN118:AN152" si="15">AL118-AM118</f>
        <v>10</v>
      </c>
      <c r="AO118" s="344">
        <v>45096</v>
      </c>
      <c r="AP118" s="338" t="s">
        <v>410</v>
      </c>
      <c r="AQ118" s="388" t="s">
        <v>567</v>
      </c>
      <c r="AR118" s="339"/>
      <c r="AS118" s="338"/>
      <c r="AT118" s="415"/>
      <c r="AU118" s="415">
        <v>10</v>
      </c>
      <c r="AV118" s="338"/>
      <c r="AW118" s="415" t="s">
        <v>595</v>
      </c>
      <c r="AX118" s="416"/>
      <c r="AY118" s="416"/>
      <c r="AZ118" s="342"/>
    </row>
    <row r="119" spans="1:52" s="221" customFormat="1" ht="27.95" hidden="1" customHeight="1">
      <c r="A119" s="253">
        <v>122</v>
      </c>
      <c r="B119" s="326">
        <v>45079</v>
      </c>
      <c r="C119" s="376"/>
      <c r="D119" s="377"/>
      <c r="E119" s="377"/>
      <c r="F119" s="409" t="s">
        <v>350</v>
      </c>
      <c r="G119" s="214"/>
      <c r="H119" s="215"/>
      <c r="I119" s="329" t="s">
        <v>469</v>
      </c>
      <c r="J119" s="214" t="s">
        <v>470</v>
      </c>
      <c r="K119" s="410" t="s">
        <v>451</v>
      </c>
      <c r="L119" s="410" t="s">
        <v>354</v>
      </c>
      <c r="M119" s="380"/>
      <c r="N119" s="380"/>
      <c r="O119" s="380"/>
      <c r="P119" s="381"/>
      <c r="Q119" s="411"/>
      <c r="R119" s="331">
        <v>6</v>
      </c>
      <c r="S119" s="412"/>
      <c r="T119" s="412"/>
      <c r="U119" s="412"/>
      <c r="V119" s="412"/>
      <c r="W119" s="412"/>
      <c r="X119" s="412"/>
      <c r="Y119" s="412"/>
      <c r="Z119" s="412"/>
      <c r="AA119" s="412"/>
      <c r="AB119" s="412"/>
      <c r="AC119" s="412"/>
      <c r="AD119" s="412"/>
      <c r="AE119" s="412">
        <f>0</f>
        <v>0</v>
      </c>
      <c r="AF119" s="412">
        <f>0</f>
        <v>0</v>
      </c>
      <c r="AG119" s="412">
        <f t="shared" si="14"/>
        <v>0</v>
      </c>
      <c r="AH119" s="412">
        <f>0</f>
        <v>0</v>
      </c>
      <c r="AI119" s="412">
        <f>0</f>
        <v>0</v>
      </c>
      <c r="AJ119" s="412">
        <f>0</f>
        <v>0</v>
      </c>
      <c r="AK119" s="413">
        <f>0</f>
        <v>0</v>
      </c>
      <c r="AL119" s="334">
        <f t="shared" si="11"/>
        <v>6</v>
      </c>
      <c r="AM119" s="414"/>
      <c r="AN119" s="336">
        <f t="shared" si="15"/>
        <v>6</v>
      </c>
      <c r="AO119" s="344">
        <v>45096</v>
      </c>
      <c r="AP119" s="338" t="s">
        <v>410</v>
      </c>
      <c r="AQ119" s="388" t="s">
        <v>567</v>
      </c>
      <c r="AR119" s="339"/>
      <c r="AS119" s="338"/>
      <c r="AT119" s="415"/>
      <c r="AU119" s="415">
        <v>6</v>
      </c>
      <c r="AV119" s="338"/>
      <c r="AW119" s="415" t="s">
        <v>595</v>
      </c>
      <c r="AX119" s="416"/>
      <c r="AY119" s="416"/>
      <c r="AZ119" s="342"/>
    </row>
    <row r="120" spans="1:52" ht="27.95" hidden="1" customHeight="1">
      <c r="A120" s="198">
        <v>123</v>
      </c>
      <c r="B120" s="263">
        <v>45079</v>
      </c>
      <c r="C120" s="376"/>
      <c r="D120" s="377"/>
      <c r="E120" s="377"/>
      <c r="F120" s="399" t="s">
        <v>350</v>
      </c>
      <c r="G120" s="378"/>
      <c r="H120" s="379"/>
      <c r="I120" s="271" t="s">
        <v>366</v>
      </c>
      <c r="J120" s="378" t="s">
        <v>367</v>
      </c>
      <c r="K120" s="400" t="s">
        <v>367</v>
      </c>
      <c r="L120" s="400" t="s">
        <v>368</v>
      </c>
      <c r="M120" s="268"/>
      <c r="N120" s="268"/>
      <c r="O120" s="268"/>
      <c r="P120" s="269"/>
      <c r="Q120" s="382"/>
      <c r="R120" s="154">
        <v>6</v>
      </c>
      <c r="S120" s="154">
        <f>0</f>
        <v>0</v>
      </c>
      <c r="T120" s="154">
        <f>0</f>
        <v>0</v>
      </c>
      <c r="U120" s="154">
        <f>0</f>
        <v>0</v>
      </c>
      <c r="V120" s="154">
        <f>0</f>
        <v>0</v>
      </c>
      <c r="W120" s="154">
        <f>0</f>
        <v>0</v>
      </c>
      <c r="X120" s="154">
        <f>0</f>
        <v>0</v>
      </c>
      <c r="Y120" s="154">
        <f>0</f>
        <v>0</v>
      </c>
      <c r="Z120" s="154">
        <f>0</f>
        <v>0</v>
      </c>
      <c r="AA120" s="154">
        <f>0</f>
        <v>0</v>
      </c>
      <c r="AB120" s="154">
        <f>0</f>
        <v>0</v>
      </c>
      <c r="AC120" s="154">
        <f>0</f>
        <v>0</v>
      </c>
      <c r="AD120" s="154">
        <f>0</f>
        <v>0</v>
      </c>
      <c r="AE120" s="383">
        <f>0</f>
        <v>0</v>
      </c>
      <c r="AF120" s="383">
        <f>0</f>
        <v>0</v>
      </c>
      <c r="AG120" s="383">
        <f t="shared" si="14"/>
        <v>0</v>
      </c>
      <c r="AH120" s="383">
        <f>0</f>
        <v>0</v>
      </c>
      <c r="AI120" s="383">
        <f>0</f>
        <v>0</v>
      </c>
      <c r="AJ120" s="383">
        <f>0</f>
        <v>0</v>
      </c>
      <c r="AK120" s="384">
        <f>0</f>
        <v>0</v>
      </c>
      <c r="AL120" s="170">
        <f t="shared" si="11"/>
        <v>6</v>
      </c>
      <c r="AM120" s="385"/>
      <c r="AN120" s="151">
        <f t="shared" si="15"/>
        <v>6</v>
      </c>
      <c r="AO120" s="386"/>
      <c r="AP120" s="387" t="s">
        <v>172</v>
      </c>
      <c r="AQ120" s="388"/>
      <c r="AR120" s="389"/>
      <c r="AS120" s="387"/>
      <c r="AT120" s="390"/>
      <c r="AU120" s="390"/>
      <c r="AV120" s="387"/>
      <c r="AW120" s="390"/>
      <c r="AX120" s="391"/>
      <c r="AY120" s="391"/>
      <c r="AZ120" s="392"/>
    </row>
    <row r="121" spans="1:52" s="221" customFormat="1" ht="27.95" hidden="1" customHeight="1">
      <c r="A121" s="253">
        <v>124</v>
      </c>
      <c r="B121" s="326">
        <v>45079</v>
      </c>
      <c r="C121" s="376"/>
      <c r="D121" s="377"/>
      <c r="E121" s="377"/>
      <c r="F121" s="409" t="s">
        <v>350</v>
      </c>
      <c r="G121" s="214"/>
      <c r="H121" s="215"/>
      <c r="I121" s="329" t="s">
        <v>471</v>
      </c>
      <c r="J121" s="214" t="s">
        <v>472</v>
      </c>
      <c r="K121" s="410" t="s">
        <v>473</v>
      </c>
      <c r="L121" s="410" t="s">
        <v>372</v>
      </c>
      <c r="M121" s="380"/>
      <c r="N121" s="380"/>
      <c r="O121" s="380"/>
      <c r="P121" s="381"/>
      <c r="Q121" s="411"/>
      <c r="R121" s="331">
        <v>3</v>
      </c>
      <c r="S121" s="412"/>
      <c r="T121" s="412"/>
      <c r="U121" s="412"/>
      <c r="V121" s="412"/>
      <c r="W121" s="412"/>
      <c r="X121" s="412"/>
      <c r="Y121" s="412"/>
      <c r="Z121" s="412"/>
      <c r="AA121" s="412"/>
      <c r="AB121" s="412"/>
      <c r="AC121" s="412"/>
      <c r="AD121" s="412"/>
      <c r="AE121" s="412">
        <f>0</f>
        <v>0</v>
      </c>
      <c r="AF121" s="412">
        <f>0</f>
        <v>0</v>
      </c>
      <c r="AG121" s="412">
        <f t="shared" si="14"/>
        <v>0</v>
      </c>
      <c r="AH121" s="412">
        <f>0</f>
        <v>0</v>
      </c>
      <c r="AI121" s="412">
        <f>0</f>
        <v>0</v>
      </c>
      <c r="AJ121" s="412">
        <f>0</f>
        <v>0</v>
      </c>
      <c r="AK121" s="413">
        <f>0</f>
        <v>0</v>
      </c>
      <c r="AL121" s="334">
        <f t="shared" si="11"/>
        <v>3</v>
      </c>
      <c r="AM121" s="414"/>
      <c r="AN121" s="336">
        <f t="shared" si="15"/>
        <v>3</v>
      </c>
      <c r="AO121" s="344">
        <v>45084</v>
      </c>
      <c r="AP121" s="338" t="s">
        <v>410</v>
      </c>
      <c r="AQ121" s="388" t="s">
        <v>545</v>
      </c>
      <c r="AR121" s="339"/>
      <c r="AS121" s="338"/>
      <c r="AT121" s="415"/>
      <c r="AU121" s="415">
        <v>3</v>
      </c>
      <c r="AV121" s="338"/>
      <c r="AW121" s="218" t="s">
        <v>552</v>
      </c>
      <c r="AX121" s="416"/>
      <c r="AY121" s="416"/>
      <c r="AZ121" s="342"/>
    </row>
    <row r="122" spans="1:52" s="221" customFormat="1" ht="27.95" hidden="1" customHeight="1">
      <c r="A122" s="253">
        <v>125</v>
      </c>
      <c r="B122" s="326">
        <v>45079</v>
      </c>
      <c r="C122" s="393"/>
      <c r="D122" s="394"/>
      <c r="E122" s="394"/>
      <c r="F122" s="409" t="s">
        <v>350</v>
      </c>
      <c r="G122" s="214"/>
      <c r="H122" s="215"/>
      <c r="I122" s="329" t="s">
        <v>474</v>
      </c>
      <c r="J122" s="214" t="s">
        <v>475</v>
      </c>
      <c r="K122" s="410" t="s">
        <v>475</v>
      </c>
      <c r="L122" s="410" t="s">
        <v>372</v>
      </c>
      <c r="M122" s="380"/>
      <c r="N122" s="380"/>
      <c r="O122" s="380"/>
      <c r="P122" s="381"/>
      <c r="Q122" s="216"/>
      <c r="R122" s="331">
        <v>3</v>
      </c>
      <c r="S122" s="412"/>
      <c r="T122" s="412"/>
      <c r="U122" s="412"/>
      <c r="V122" s="412"/>
      <c r="W122" s="412"/>
      <c r="X122" s="412"/>
      <c r="Y122" s="412"/>
      <c r="Z122" s="412"/>
      <c r="AA122" s="412"/>
      <c r="AB122" s="412"/>
      <c r="AC122" s="412"/>
      <c r="AD122" s="412"/>
      <c r="AE122" s="412">
        <f>0</f>
        <v>0</v>
      </c>
      <c r="AF122" s="412">
        <f>0</f>
        <v>0</v>
      </c>
      <c r="AG122" s="412">
        <f t="shared" si="14"/>
        <v>0</v>
      </c>
      <c r="AH122" s="412">
        <f>0</f>
        <v>0</v>
      </c>
      <c r="AI122" s="412">
        <f>0</f>
        <v>0</v>
      </c>
      <c r="AJ122" s="412">
        <f>0</f>
        <v>0</v>
      </c>
      <c r="AK122" s="413">
        <f>0</f>
        <v>0</v>
      </c>
      <c r="AL122" s="334">
        <f t="shared" si="11"/>
        <v>3</v>
      </c>
      <c r="AM122" s="414"/>
      <c r="AN122" s="336">
        <f t="shared" si="15"/>
        <v>3</v>
      </c>
      <c r="AO122" s="344">
        <v>45084</v>
      </c>
      <c r="AP122" s="338" t="s">
        <v>410</v>
      </c>
      <c r="AQ122" s="388" t="s">
        <v>545</v>
      </c>
      <c r="AR122" s="339"/>
      <c r="AS122" s="338"/>
      <c r="AT122" s="415"/>
      <c r="AU122" s="415">
        <v>4</v>
      </c>
      <c r="AV122" s="338"/>
      <c r="AW122" s="218" t="s">
        <v>552</v>
      </c>
      <c r="AX122" s="416"/>
      <c r="AY122" s="416"/>
      <c r="AZ122" s="342"/>
    </row>
    <row r="123" spans="1:52" s="221" customFormat="1" ht="27.75" hidden="1" customHeight="1">
      <c r="A123" s="253">
        <v>126</v>
      </c>
      <c r="B123" s="326">
        <v>45079</v>
      </c>
      <c r="C123" s="393"/>
      <c r="D123" s="394"/>
      <c r="E123" s="394"/>
      <c r="F123" s="409" t="s">
        <v>350</v>
      </c>
      <c r="G123" s="214"/>
      <c r="H123" s="215"/>
      <c r="I123" s="329" t="s">
        <v>476</v>
      </c>
      <c r="J123" s="214" t="s">
        <v>477</v>
      </c>
      <c r="K123" s="410" t="s">
        <v>478</v>
      </c>
      <c r="L123" s="410" t="s">
        <v>372</v>
      </c>
      <c r="M123" s="380"/>
      <c r="N123" s="380"/>
      <c r="O123" s="380"/>
      <c r="P123" s="381"/>
      <c r="Q123" s="216"/>
      <c r="R123" s="331">
        <v>51</v>
      </c>
      <c r="S123" s="412"/>
      <c r="T123" s="412"/>
      <c r="U123" s="412"/>
      <c r="V123" s="412"/>
      <c r="W123" s="412"/>
      <c r="X123" s="412"/>
      <c r="Y123" s="412"/>
      <c r="Z123" s="412"/>
      <c r="AA123" s="412"/>
      <c r="AB123" s="412"/>
      <c r="AC123" s="412"/>
      <c r="AD123" s="412"/>
      <c r="AE123" s="412">
        <f>0</f>
        <v>0</v>
      </c>
      <c r="AF123" s="412">
        <f>0</f>
        <v>0</v>
      </c>
      <c r="AG123" s="412">
        <f t="shared" si="14"/>
        <v>0</v>
      </c>
      <c r="AH123" s="412">
        <f>0</f>
        <v>0</v>
      </c>
      <c r="AI123" s="412">
        <f>0</f>
        <v>0</v>
      </c>
      <c r="AJ123" s="412">
        <f>0</f>
        <v>0</v>
      </c>
      <c r="AK123" s="413">
        <f>0</f>
        <v>0</v>
      </c>
      <c r="AL123" s="334">
        <f t="shared" si="11"/>
        <v>51</v>
      </c>
      <c r="AM123" s="414"/>
      <c r="AN123" s="336">
        <f t="shared" si="15"/>
        <v>51</v>
      </c>
      <c r="AO123" s="344">
        <v>45084</v>
      </c>
      <c r="AP123" s="338" t="s">
        <v>410</v>
      </c>
      <c r="AQ123" s="388" t="s">
        <v>545</v>
      </c>
      <c r="AR123" s="339"/>
      <c r="AS123" s="338"/>
      <c r="AT123" s="415"/>
      <c r="AU123" s="415">
        <v>60</v>
      </c>
      <c r="AV123" s="338"/>
      <c r="AW123" s="415" t="s">
        <v>596</v>
      </c>
      <c r="AX123" s="416"/>
      <c r="AY123" s="416"/>
      <c r="AZ123" s="342"/>
    </row>
    <row r="124" spans="1:52" s="221" customFormat="1" ht="27.95" hidden="1" customHeight="1">
      <c r="A124" s="253">
        <v>127</v>
      </c>
      <c r="B124" s="326">
        <v>45079</v>
      </c>
      <c r="C124" s="376"/>
      <c r="D124" s="377"/>
      <c r="E124" s="377"/>
      <c r="F124" s="409" t="s">
        <v>350</v>
      </c>
      <c r="G124" s="214"/>
      <c r="H124" s="215"/>
      <c r="I124" s="329" t="s">
        <v>380</v>
      </c>
      <c r="J124" s="214" t="s">
        <v>381</v>
      </c>
      <c r="K124" s="410" t="s">
        <v>381</v>
      </c>
      <c r="L124" s="410" t="s">
        <v>372</v>
      </c>
      <c r="M124" s="380"/>
      <c r="N124" s="380"/>
      <c r="O124" s="380"/>
      <c r="P124" s="381"/>
      <c r="Q124" s="411"/>
      <c r="R124" s="331">
        <v>9</v>
      </c>
      <c r="S124" s="412"/>
      <c r="T124" s="412"/>
      <c r="U124" s="412"/>
      <c r="V124" s="412"/>
      <c r="W124" s="412"/>
      <c r="X124" s="412"/>
      <c r="Y124" s="412"/>
      <c r="Z124" s="412"/>
      <c r="AA124" s="412"/>
      <c r="AB124" s="412"/>
      <c r="AC124" s="412"/>
      <c r="AD124" s="412"/>
      <c r="AE124" s="412">
        <f>0</f>
        <v>0</v>
      </c>
      <c r="AF124" s="412">
        <f>0</f>
        <v>0</v>
      </c>
      <c r="AG124" s="412">
        <f t="shared" si="14"/>
        <v>0</v>
      </c>
      <c r="AH124" s="412">
        <f>0</f>
        <v>0</v>
      </c>
      <c r="AI124" s="412">
        <f>0</f>
        <v>0</v>
      </c>
      <c r="AJ124" s="412">
        <f>0</f>
        <v>0</v>
      </c>
      <c r="AK124" s="413">
        <f>0</f>
        <v>0</v>
      </c>
      <c r="AL124" s="334">
        <f t="shared" si="11"/>
        <v>9</v>
      </c>
      <c r="AM124" s="414"/>
      <c r="AN124" s="336">
        <f t="shared" si="15"/>
        <v>9</v>
      </c>
      <c r="AO124" s="344">
        <v>45084</v>
      </c>
      <c r="AP124" s="338" t="s">
        <v>410</v>
      </c>
      <c r="AQ124" s="388" t="s">
        <v>545</v>
      </c>
      <c r="AR124" s="339"/>
      <c r="AS124" s="338"/>
      <c r="AT124" s="415"/>
      <c r="AU124" s="415">
        <v>10</v>
      </c>
      <c r="AV124" s="338"/>
      <c r="AW124" s="218" t="s">
        <v>552</v>
      </c>
      <c r="AX124" s="416"/>
      <c r="AY124" s="416"/>
      <c r="AZ124" s="342"/>
    </row>
    <row r="125" spans="1:52" ht="27.95" hidden="1" customHeight="1">
      <c r="A125" s="198">
        <v>128</v>
      </c>
      <c r="B125" s="263">
        <v>45079</v>
      </c>
      <c r="C125" s="376"/>
      <c r="D125" s="377"/>
      <c r="E125" s="377"/>
      <c r="F125" s="399" t="s">
        <v>350</v>
      </c>
      <c r="G125" s="378"/>
      <c r="H125" s="379"/>
      <c r="I125" s="271" t="s">
        <v>479</v>
      </c>
      <c r="J125" s="378" t="s">
        <v>480</v>
      </c>
      <c r="K125" s="400" t="s">
        <v>481</v>
      </c>
      <c r="L125" s="400" t="s">
        <v>372</v>
      </c>
      <c r="M125" s="380"/>
      <c r="N125" s="380"/>
      <c r="O125" s="380"/>
      <c r="P125" s="381"/>
      <c r="Q125" s="382"/>
      <c r="R125" s="154">
        <v>14</v>
      </c>
      <c r="S125" s="383"/>
      <c r="T125" s="383"/>
      <c r="U125" s="383"/>
      <c r="V125" s="383"/>
      <c r="W125" s="383"/>
      <c r="X125" s="383"/>
      <c r="Y125" s="383"/>
      <c r="Z125" s="383"/>
      <c r="AA125" s="383"/>
      <c r="AB125" s="383"/>
      <c r="AC125" s="383"/>
      <c r="AD125" s="383"/>
      <c r="AE125" s="383">
        <f>0</f>
        <v>0</v>
      </c>
      <c r="AF125" s="383">
        <f>0</f>
        <v>0</v>
      </c>
      <c r="AG125" s="383">
        <f t="shared" si="14"/>
        <v>0</v>
      </c>
      <c r="AH125" s="383">
        <f>0</f>
        <v>0</v>
      </c>
      <c r="AI125" s="383">
        <f>0</f>
        <v>0</v>
      </c>
      <c r="AJ125" s="383">
        <f>0</f>
        <v>0</v>
      </c>
      <c r="AK125" s="384">
        <f>0</f>
        <v>0</v>
      </c>
      <c r="AL125" s="170">
        <f t="shared" si="11"/>
        <v>14</v>
      </c>
      <c r="AM125" s="385">
        <v>14</v>
      </c>
      <c r="AN125" s="151">
        <f t="shared" si="15"/>
        <v>0</v>
      </c>
      <c r="AO125" s="386">
        <v>45084</v>
      </c>
      <c r="AP125" s="387" t="s">
        <v>410</v>
      </c>
      <c r="AQ125" s="388" t="s">
        <v>49</v>
      </c>
      <c r="AR125" s="389"/>
      <c r="AS125" s="387"/>
      <c r="AT125" s="390"/>
      <c r="AU125" s="390"/>
      <c r="AV125" s="387"/>
      <c r="AW125" s="390"/>
      <c r="AX125" s="391"/>
      <c r="AY125" s="391"/>
      <c r="AZ125" s="392"/>
    </row>
    <row r="126" spans="1:52" s="221" customFormat="1" ht="27.95" hidden="1" customHeight="1">
      <c r="A126" s="253">
        <v>129</v>
      </c>
      <c r="B126" s="326">
        <v>45079</v>
      </c>
      <c r="C126" s="376"/>
      <c r="D126" s="377"/>
      <c r="E126" s="377"/>
      <c r="F126" s="409" t="s">
        <v>350</v>
      </c>
      <c r="G126" s="214"/>
      <c r="H126" s="215"/>
      <c r="I126" s="329" t="s">
        <v>482</v>
      </c>
      <c r="J126" s="214" t="s">
        <v>483</v>
      </c>
      <c r="K126" s="410" t="s">
        <v>484</v>
      </c>
      <c r="L126" s="410" t="s">
        <v>372</v>
      </c>
      <c r="M126" s="380"/>
      <c r="N126" s="380"/>
      <c r="O126" s="380"/>
      <c r="P126" s="381"/>
      <c r="Q126" s="411"/>
      <c r="R126" s="331">
        <v>18</v>
      </c>
      <c r="S126" s="412"/>
      <c r="T126" s="412"/>
      <c r="U126" s="412"/>
      <c r="V126" s="412"/>
      <c r="W126" s="412"/>
      <c r="X126" s="412"/>
      <c r="Y126" s="412"/>
      <c r="Z126" s="412"/>
      <c r="AA126" s="412"/>
      <c r="AB126" s="412"/>
      <c r="AC126" s="412"/>
      <c r="AD126" s="412"/>
      <c r="AE126" s="412">
        <f>0</f>
        <v>0</v>
      </c>
      <c r="AF126" s="412">
        <f>0</f>
        <v>0</v>
      </c>
      <c r="AG126" s="412">
        <f t="shared" si="14"/>
        <v>0</v>
      </c>
      <c r="AH126" s="412">
        <f>0</f>
        <v>0</v>
      </c>
      <c r="AI126" s="412">
        <f>0</f>
        <v>0</v>
      </c>
      <c r="AJ126" s="412">
        <f>0</f>
        <v>0</v>
      </c>
      <c r="AK126" s="413">
        <f>0</f>
        <v>0</v>
      </c>
      <c r="AL126" s="334">
        <f t="shared" si="11"/>
        <v>18</v>
      </c>
      <c r="AM126" s="414"/>
      <c r="AN126" s="336">
        <f t="shared" si="15"/>
        <v>18</v>
      </c>
      <c r="AO126" s="344">
        <v>45084</v>
      </c>
      <c r="AP126" s="338" t="s">
        <v>410</v>
      </c>
      <c r="AQ126" s="388" t="s">
        <v>545</v>
      </c>
      <c r="AR126" s="339"/>
      <c r="AS126" s="338"/>
      <c r="AT126" s="415"/>
      <c r="AU126" s="415">
        <v>20</v>
      </c>
      <c r="AV126" s="338"/>
      <c r="AW126" s="218" t="s">
        <v>594</v>
      </c>
      <c r="AX126" s="416"/>
      <c r="AY126" s="416"/>
      <c r="AZ126" s="342"/>
    </row>
    <row r="127" spans="1:52" ht="27.95" hidden="1" customHeight="1">
      <c r="A127" s="198">
        <v>130</v>
      </c>
      <c r="B127" s="263">
        <v>45079</v>
      </c>
      <c r="C127" s="393"/>
      <c r="D127" s="394"/>
      <c r="E127" s="394"/>
      <c r="F127" s="399" t="s">
        <v>350</v>
      </c>
      <c r="G127" s="378"/>
      <c r="H127" s="379"/>
      <c r="I127" s="271" t="s">
        <v>485</v>
      </c>
      <c r="J127" s="378" t="s">
        <v>486</v>
      </c>
      <c r="K127" s="400" t="s">
        <v>487</v>
      </c>
      <c r="L127" s="400" t="s">
        <v>372</v>
      </c>
      <c r="M127" s="380"/>
      <c r="N127" s="380"/>
      <c r="O127" s="380"/>
      <c r="P127" s="381"/>
      <c r="Q127" s="395"/>
      <c r="R127" s="154">
        <v>3</v>
      </c>
      <c r="S127" s="383"/>
      <c r="T127" s="383"/>
      <c r="U127" s="383"/>
      <c r="V127" s="383"/>
      <c r="W127" s="383"/>
      <c r="X127" s="383"/>
      <c r="Y127" s="383"/>
      <c r="Z127" s="383"/>
      <c r="AA127" s="383"/>
      <c r="AB127" s="383"/>
      <c r="AC127" s="383"/>
      <c r="AD127" s="383"/>
      <c r="AE127" s="383">
        <f>0</f>
        <v>0</v>
      </c>
      <c r="AF127" s="383">
        <f>0</f>
        <v>0</v>
      </c>
      <c r="AG127" s="383">
        <f t="shared" si="14"/>
        <v>0</v>
      </c>
      <c r="AH127" s="383">
        <f>0</f>
        <v>0</v>
      </c>
      <c r="AI127" s="383">
        <f>0</f>
        <v>0</v>
      </c>
      <c r="AJ127" s="383">
        <f>0</f>
        <v>0</v>
      </c>
      <c r="AK127" s="384">
        <f>0</f>
        <v>0</v>
      </c>
      <c r="AL127" s="170">
        <f t="shared" si="11"/>
        <v>3</v>
      </c>
      <c r="AM127" s="385"/>
      <c r="AN127" s="151">
        <f t="shared" si="15"/>
        <v>3</v>
      </c>
      <c r="AO127" s="386">
        <v>45084</v>
      </c>
      <c r="AP127" s="387" t="s">
        <v>410</v>
      </c>
      <c r="AQ127" s="388" t="s">
        <v>545</v>
      </c>
      <c r="AR127" s="389"/>
      <c r="AS127" s="387"/>
      <c r="AT127" s="390"/>
      <c r="AU127" s="390"/>
      <c r="AV127" s="387"/>
      <c r="AW127" s="390"/>
      <c r="AX127" s="391"/>
      <c r="AY127" s="391"/>
      <c r="AZ127" s="392"/>
    </row>
    <row r="128" spans="1:52" s="221" customFormat="1" ht="27.95" hidden="1" customHeight="1">
      <c r="A128" s="253">
        <v>131</v>
      </c>
      <c r="B128" s="326">
        <v>45079</v>
      </c>
      <c r="C128" s="393"/>
      <c r="D128" s="394"/>
      <c r="E128" s="394"/>
      <c r="F128" s="409" t="s">
        <v>350</v>
      </c>
      <c r="G128" s="214"/>
      <c r="H128" s="215"/>
      <c r="I128" s="329" t="s">
        <v>488</v>
      </c>
      <c r="J128" s="214" t="s">
        <v>489</v>
      </c>
      <c r="K128" s="410" t="s">
        <v>489</v>
      </c>
      <c r="L128" s="410" t="s">
        <v>372</v>
      </c>
      <c r="M128" s="380"/>
      <c r="N128" s="380"/>
      <c r="O128" s="380"/>
      <c r="P128" s="381"/>
      <c r="Q128" s="216"/>
      <c r="R128" s="331">
        <v>6</v>
      </c>
      <c r="S128" s="412"/>
      <c r="T128" s="412"/>
      <c r="U128" s="412"/>
      <c r="V128" s="412"/>
      <c r="W128" s="412"/>
      <c r="X128" s="412"/>
      <c r="Y128" s="412"/>
      <c r="Z128" s="412"/>
      <c r="AA128" s="412"/>
      <c r="AB128" s="412"/>
      <c r="AC128" s="412"/>
      <c r="AD128" s="412"/>
      <c r="AE128" s="412">
        <f>0</f>
        <v>0</v>
      </c>
      <c r="AF128" s="412">
        <f>0</f>
        <v>0</v>
      </c>
      <c r="AG128" s="412">
        <f t="shared" si="14"/>
        <v>0</v>
      </c>
      <c r="AH128" s="412">
        <f>0</f>
        <v>0</v>
      </c>
      <c r="AI128" s="412">
        <f>0</f>
        <v>0</v>
      </c>
      <c r="AJ128" s="412">
        <f>0</f>
        <v>0</v>
      </c>
      <c r="AK128" s="413">
        <f>0</f>
        <v>0</v>
      </c>
      <c r="AL128" s="334">
        <f t="shared" si="11"/>
        <v>6</v>
      </c>
      <c r="AM128" s="414">
        <v>2</v>
      </c>
      <c r="AN128" s="336">
        <f t="shared" si="15"/>
        <v>4</v>
      </c>
      <c r="AO128" s="344">
        <v>45084</v>
      </c>
      <c r="AP128" s="338" t="s">
        <v>410</v>
      </c>
      <c r="AQ128" s="388" t="s">
        <v>546</v>
      </c>
      <c r="AR128" s="339"/>
      <c r="AS128" s="338"/>
      <c r="AT128" s="415"/>
      <c r="AU128" s="415">
        <v>4</v>
      </c>
      <c r="AV128" s="338"/>
      <c r="AW128" s="218" t="s">
        <v>552</v>
      </c>
      <c r="AX128" s="416"/>
      <c r="AY128" s="416"/>
      <c r="AZ128" s="342"/>
    </row>
    <row r="129" spans="1:52" s="221" customFormat="1" ht="27.95" hidden="1" customHeight="1">
      <c r="A129" s="253">
        <v>132</v>
      </c>
      <c r="B129" s="326">
        <v>45079</v>
      </c>
      <c r="C129" s="376"/>
      <c r="D129" s="377"/>
      <c r="E129" s="377"/>
      <c r="F129" s="409" t="s">
        <v>350</v>
      </c>
      <c r="G129" s="214"/>
      <c r="H129" s="215"/>
      <c r="I129" s="329" t="s">
        <v>490</v>
      </c>
      <c r="J129" s="214" t="s">
        <v>472</v>
      </c>
      <c r="K129" s="410" t="s">
        <v>491</v>
      </c>
      <c r="L129" s="410" t="s">
        <v>372</v>
      </c>
      <c r="M129" s="380"/>
      <c r="N129" s="380"/>
      <c r="O129" s="380"/>
      <c r="P129" s="381"/>
      <c r="Q129" s="411"/>
      <c r="R129" s="331">
        <v>4</v>
      </c>
      <c r="S129" s="412"/>
      <c r="T129" s="412"/>
      <c r="U129" s="412"/>
      <c r="V129" s="412"/>
      <c r="W129" s="412"/>
      <c r="X129" s="412"/>
      <c r="Y129" s="412"/>
      <c r="Z129" s="412"/>
      <c r="AA129" s="412"/>
      <c r="AB129" s="412"/>
      <c r="AC129" s="412"/>
      <c r="AD129" s="412"/>
      <c r="AE129" s="412">
        <f>0</f>
        <v>0</v>
      </c>
      <c r="AF129" s="412">
        <f>0</f>
        <v>0</v>
      </c>
      <c r="AG129" s="412">
        <f t="shared" si="14"/>
        <v>0</v>
      </c>
      <c r="AH129" s="412">
        <f>0</f>
        <v>0</v>
      </c>
      <c r="AI129" s="412">
        <f>0</f>
        <v>0</v>
      </c>
      <c r="AJ129" s="412">
        <f>0</f>
        <v>0</v>
      </c>
      <c r="AK129" s="413">
        <f>0</f>
        <v>0</v>
      </c>
      <c r="AL129" s="334">
        <f t="shared" si="11"/>
        <v>4</v>
      </c>
      <c r="AM129" s="414"/>
      <c r="AN129" s="336">
        <f t="shared" si="15"/>
        <v>4</v>
      </c>
      <c r="AO129" s="344">
        <v>45084</v>
      </c>
      <c r="AP129" s="338" t="s">
        <v>410</v>
      </c>
      <c r="AQ129" s="388" t="s">
        <v>545</v>
      </c>
      <c r="AR129" s="339"/>
      <c r="AS129" s="338"/>
      <c r="AT129" s="415"/>
      <c r="AU129" s="415">
        <v>4</v>
      </c>
      <c r="AV129" s="338"/>
      <c r="AW129" s="218" t="s">
        <v>552</v>
      </c>
      <c r="AX129" s="416"/>
      <c r="AY129" s="416"/>
      <c r="AZ129" s="342"/>
    </row>
    <row r="130" spans="1:52" s="221" customFormat="1" ht="27.95" hidden="1" customHeight="1">
      <c r="A130" s="253">
        <v>133</v>
      </c>
      <c r="B130" s="326">
        <v>45079</v>
      </c>
      <c r="C130" s="376"/>
      <c r="D130" s="377"/>
      <c r="E130" s="377"/>
      <c r="F130" s="409" t="s">
        <v>350</v>
      </c>
      <c r="G130" s="214"/>
      <c r="H130" s="215"/>
      <c r="I130" s="329" t="s">
        <v>492</v>
      </c>
      <c r="J130" s="214" t="s">
        <v>493</v>
      </c>
      <c r="K130" s="410" t="s">
        <v>494</v>
      </c>
      <c r="L130" s="410" t="s">
        <v>372</v>
      </c>
      <c r="M130" s="380"/>
      <c r="N130" s="380"/>
      <c r="O130" s="380"/>
      <c r="P130" s="381"/>
      <c r="Q130" s="411"/>
      <c r="R130" s="331">
        <v>4</v>
      </c>
      <c r="S130" s="412"/>
      <c r="T130" s="412"/>
      <c r="U130" s="412"/>
      <c r="V130" s="412"/>
      <c r="W130" s="412"/>
      <c r="X130" s="412"/>
      <c r="Y130" s="412"/>
      <c r="Z130" s="412"/>
      <c r="AA130" s="412"/>
      <c r="AB130" s="412"/>
      <c r="AC130" s="412"/>
      <c r="AD130" s="412"/>
      <c r="AE130" s="412">
        <f>0</f>
        <v>0</v>
      </c>
      <c r="AF130" s="412">
        <f>0</f>
        <v>0</v>
      </c>
      <c r="AG130" s="412">
        <f t="shared" si="14"/>
        <v>0</v>
      </c>
      <c r="AH130" s="412">
        <f>0</f>
        <v>0</v>
      </c>
      <c r="AI130" s="412">
        <f>0</f>
        <v>0</v>
      </c>
      <c r="AJ130" s="412">
        <f>0</f>
        <v>0</v>
      </c>
      <c r="AK130" s="413">
        <f>0</f>
        <v>0</v>
      </c>
      <c r="AL130" s="334">
        <f t="shared" si="11"/>
        <v>4</v>
      </c>
      <c r="AM130" s="414"/>
      <c r="AN130" s="336">
        <f t="shared" si="15"/>
        <v>4</v>
      </c>
      <c r="AO130" s="344">
        <v>45084</v>
      </c>
      <c r="AP130" s="338" t="s">
        <v>410</v>
      </c>
      <c r="AQ130" s="388" t="s">
        <v>545</v>
      </c>
      <c r="AR130" s="339"/>
      <c r="AS130" s="338"/>
      <c r="AT130" s="415"/>
      <c r="AU130" s="415">
        <v>4</v>
      </c>
      <c r="AV130" s="338"/>
      <c r="AW130" s="218" t="s">
        <v>552</v>
      </c>
      <c r="AX130" s="416"/>
      <c r="AY130" s="416"/>
      <c r="AZ130" s="342"/>
    </row>
    <row r="131" spans="1:52" s="221" customFormat="1" ht="27.95" hidden="1" customHeight="1">
      <c r="A131" s="253">
        <v>134</v>
      </c>
      <c r="B131" s="326">
        <v>45079</v>
      </c>
      <c r="C131" s="376"/>
      <c r="D131" s="377"/>
      <c r="E131" s="377"/>
      <c r="F131" s="409" t="s">
        <v>350</v>
      </c>
      <c r="G131" s="214"/>
      <c r="H131" s="215"/>
      <c r="I131" s="329" t="s">
        <v>495</v>
      </c>
      <c r="J131" s="214" t="s">
        <v>496</v>
      </c>
      <c r="K131" s="410" t="s">
        <v>497</v>
      </c>
      <c r="L131" s="410" t="s">
        <v>372</v>
      </c>
      <c r="M131" s="380"/>
      <c r="N131" s="380"/>
      <c r="O131" s="380"/>
      <c r="P131" s="381"/>
      <c r="Q131" s="411"/>
      <c r="R131" s="331">
        <v>68</v>
      </c>
      <c r="S131" s="412"/>
      <c r="T131" s="412"/>
      <c r="U131" s="412"/>
      <c r="V131" s="412"/>
      <c r="W131" s="412"/>
      <c r="X131" s="412"/>
      <c r="Y131" s="412"/>
      <c r="Z131" s="412"/>
      <c r="AA131" s="412"/>
      <c r="AB131" s="412"/>
      <c r="AC131" s="412"/>
      <c r="AD131" s="412"/>
      <c r="AE131" s="412">
        <f>0</f>
        <v>0</v>
      </c>
      <c r="AF131" s="412">
        <f>0</f>
        <v>0</v>
      </c>
      <c r="AG131" s="412">
        <f t="shared" si="14"/>
        <v>0</v>
      </c>
      <c r="AH131" s="412">
        <f>0</f>
        <v>0</v>
      </c>
      <c r="AI131" s="412">
        <f>0</f>
        <v>0</v>
      </c>
      <c r="AJ131" s="412">
        <f>0</f>
        <v>0</v>
      </c>
      <c r="AK131" s="413">
        <f>0</f>
        <v>0</v>
      </c>
      <c r="AL131" s="334">
        <f t="shared" ref="AL131:AL152" si="16">SUM(R131:AK131)</f>
        <v>68</v>
      </c>
      <c r="AM131" s="414">
        <v>100</v>
      </c>
      <c r="AN131" s="336">
        <f t="shared" si="15"/>
        <v>-32</v>
      </c>
      <c r="AO131" s="344">
        <v>45084</v>
      </c>
      <c r="AP131" s="338" t="s">
        <v>410</v>
      </c>
      <c r="AQ131" s="388" t="s">
        <v>49</v>
      </c>
      <c r="AR131" s="339"/>
      <c r="AS131" s="338"/>
      <c r="AT131" s="415"/>
      <c r="AU131" s="415"/>
      <c r="AV131" s="338"/>
      <c r="AW131" s="415"/>
      <c r="AX131" s="416"/>
      <c r="AY131" s="416"/>
      <c r="AZ131" s="342"/>
    </row>
    <row r="132" spans="1:52" s="221" customFormat="1" ht="27.95" hidden="1" customHeight="1">
      <c r="A132" s="253">
        <v>135</v>
      </c>
      <c r="B132" s="326">
        <v>45079</v>
      </c>
      <c r="C132" s="393"/>
      <c r="D132" s="394"/>
      <c r="E132" s="394"/>
      <c r="F132" s="409" t="s">
        <v>350</v>
      </c>
      <c r="G132" s="214"/>
      <c r="H132" s="215"/>
      <c r="I132" s="329" t="s">
        <v>498</v>
      </c>
      <c r="J132" s="214"/>
      <c r="K132" s="410" t="s">
        <v>499</v>
      </c>
      <c r="L132" s="410" t="s">
        <v>372</v>
      </c>
      <c r="M132" s="380"/>
      <c r="N132" s="380"/>
      <c r="O132" s="380"/>
      <c r="P132" s="381"/>
      <c r="Q132" s="216"/>
      <c r="R132" s="331">
        <v>24</v>
      </c>
      <c r="S132" s="412"/>
      <c r="T132" s="412"/>
      <c r="U132" s="412"/>
      <c r="V132" s="412"/>
      <c r="W132" s="412"/>
      <c r="X132" s="412"/>
      <c r="Y132" s="412"/>
      <c r="Z132" s="412"/>
      <c r="AA132" s="412"/>
      <c r="AB132" s="412"/>
      <c r="AC132" s="412"/>
      <c r="AD132" s="412"/>
      <c r="AE132" s="412">
        <f>0</f>
        <v>0</v>
      </c>
      <c r="AF132" s="412">
        <f>0</f>
        <v>0</v>
      </c>
      <c r="AG132" s="412">
        <f t="shared" si="14"/>
        <v>0</v>
      </c>
      <c r="AH132" s="412">
        <f>0</f>
        <v>0</v>
      </c>
      <c r="AI132" s="412">
        <f>0</f>
        <v>0</v>
      </c>
      <c r="AJ132" s="412">
        <f>0</f>
        <v>0</v>
      </c>
      <c r="AK132" s="413">
        <f>0</f>
        <v>0</v>
      </c>
      <c r="AL132" s="334">
        <f t="shared" si="16"/>
        <v>24</v>
      </c>
      <c r="AM132" s="414"/>
      <c r="AN132" s="336">
        <f t="shared" si="15"/>
        <v>24</v>
      </c>
      <c r="AO132" s="344">
        <v>45084</v>
      </c>
      <c r="AP132" s="338" t="s">
        <v>410</v>
      </c>
      <c r="AQ132" s="388" t="s">
        <v>545</v>
      </c>
      <c r="AR132" s="339"/>
      <c r="AS132" s="338"/>
      <c r="AT132" s="415"/>
      <c r="AU132" s="415">
        <v>30</v>
      </c>
      <c r="AV132" s="338"/>
      <c r="AW132" s="218" t="s">
        <v>552</v>
      </c>
      <c r="AX132" s="416"/>
      <c r="AY132" s="416"/>
      <c r="AZ132" s="342"/>
    </row>
    <row r="133" spans="1:52" ht="27.95" hidden="1" customHeight="1">
      <c r="A133" s="198">
        <v>136</v>
      </c>
      <c r="B133" s="263">
        <v>45079</v>
      </c>
      <c r="C133" s="393"/>
      <c r="D133" s="394"/>
      <c r="E133" s="394"/>
      <c r="F133" s="399" t="s">
        <v>350</v>
      </c>
      <c r="G133" s="378"/>
      <c r="H133" s="379"/>
      <c r="I133" s="271" t="s">
        <v>500</v>
      </c>
      <c r="J133" s="378" t="s">
        <v>501</v>
      </c>
      <c r="K133" s="400" t="s">
        <v>502</v>
      </c>
      <c r="L133" s="400" t="s">
        <v>372</v>
      </c>
      <c r="M133" s="380"/>
      <c r="N133" s="380"/>
      <c r="O133" s="380"/>
      <c r="P133" s="381"/>
      <c r="Q133" s="395"/>
      <c r="R133" s="154">
        <v>4</v>
      </c>
      <c r="S133" s="383"/>
      <c r="T133" s="383"/>
      <c r="U133" s="383"/>
      <c r="V133" s="383"/>
      <c r="W133" s="383"/>
      <c r="X133" s="383"/>
      <c r="Y133" s="383"/>
      <c r="Z133" s="383"/>
      <c r="AA133" s="383"/>
      <c r="AB133" s="383"/>
      <c r="AC133" s="383"/>
      <c r="AD133" s="383"/>
      <c r="AE133" s="383">
        <f>0</f>
        <v>0</v>
      </c>
      <c r="AF133" s="383">
        <f>0</f>
        <v>0</v>
      </c>
      <c r="AG133" s="383">
        <f t="shared" si="14"/>
        <v>0</v>
      </c>
      <c r="AH133" s="383">
        <f>0</f>
        <v>0</v>
      </c>
      <c r="AI133" s="383">
        <f>0</f>
        <v>0</v>
      </c>
      <c r="AJ133" s="383">
        <f>0</f>
        <v>0</v>
      </c>
      <c r="AK133" s="384">
        <f>0</f>
        <v>0</v>
      </c>
      <c r="AL133" s="170">
        <f t="shared" si="16"/>
        <v>4</v>
      </c>
      <c r="AM133" s="385"/>
      <c r="AN133" s="151">
        <f t="shared" si="15"/>
        <v>4</v>
      </c>
      <c r="AO133" s="386">
        <v>45084</v>
      </c>
      <c r="AP133" s="387" t="s">
        <v>410</v>
      </c>
      <c r="AQ133" s="388" t="s">
        <v>545</v>
      </c>
      <c r="AR133" s="389"/>
      <c r="AS133" s="387"/>
      <c r="AT133" s="390"/>
      <c r="AU133" s="390"/>
      <c r="AV133" s="387"/>
      <c r="AW133" s="390"/>
      <c r="AX133" s="391"/>
      <c r="AY133" s="391"/>
      <c r="AZ133" s="392"/>
    </row>
    <row r="134" spans="1:52" ht="27.95" hidden="1" customHeight="1">
      <c r="A134" s="198">
        <v>137</v>
      </c>
      <c r="B134" s="263">
        <v>45079</v>
      </c>
      <c r="C134" s="376"/>
      <c r="D134" s="377"/>
      <c r="E134" s="377"/>
      <c r="F134" s="399" t="s">
        <v>350</v>
      </c>
      <c r="G134" s="378"/>
      <c r="H134" s="379"/>
      <c r="I134" s="271" t="s">
        <v>373</v>
      </c>
      <c r="J134" s="378" t="s">
        <v>374</v>
      </c>
      <c r="K134" s="400" t="s">
        <v>374</v>
      </c>
      <c r="L134" s="400" t="s">
        <v>372</v>
      </c>
      <c r="M134" s="380"/>
      <c r="N134" s="380"/>
      <c r="O134" s="380"/>
      <c r="P134" s="381"/>
      <c r="Q134" s="382"/>
      <c r="R134" s="154">
        <v>6</v>
      </c>
      <c r="S134" s="383"/>
      <c r="T134" s="383"/>
      <c r="U134" s="383"/>
      <c r="V134" s="383"/>
      <c r="W134" s="383"/>
      <c r="X134" s="383"/>
      <c r="Y134" s="383"/>
      <c r="Z134" s="383"/>
      <c r="AA134" s="383"/>
      <c r="AB134" s="383"/>
      <c r="AC134" s="383"/>
      <c r="AD134" s="383"/>
      <c r="AE134" s="383">
        <f>0</f>
        <v>0</v>
      </c>
      <c r="AF134" s="383">
        <f>0</f>
        <v>0</v>
      </c>
      <c r="AG134" s="383">
        <f t="shared" si="14"/>
        <v>0</v>
      </c>
      <c r="AH134" s="383">
        <f>0</f>
        <v>0</v>
      </c>
      <c r="AI134" s="383">
        <f>0</f>
        <v>0</v>
      </c>
      <c r="AJ134" s="383">
        <f>0</f>
        <v>0</v>
      </c>
      <c r="AK134" s="384">
        <f>0</f>
        <v>0</v>
      </c>
      <c r="AL134" s="170">
        <f t="shared" si="16"/>
        <v>6</v>
      </c>
      <c r="AM134" s="385">
        <v>6</v>
      </c>
      <c r="AN134" s="151">
        <f t="shared" si="15"/>
        <v>0</v>
      </c>
      <c r="AO134" s="386">
        <v>45084</v>
      </c>
      <c r="AP134" s="387" t="s">
        <v>410</v>
      </c>
      <c r="AQ134" s="388" t="s">
        <v>49</v>
      </c>
      <c r="AR134" s="389"/>
      <c r="AS134" s="387"/>
      <c r="AT134" s="390"/>
      <c r="AU134" s="390"/>
      <c r="AV134" s="387"/>
      <c r="AW134" s="390"/>
      <c r="AX134" s="391"/>
      <c r="AY134" s="391"/>
      <c r="AZ134" s="392"/>
    </row>
    <row r="135" spans="1:52" s="221" customFormat="1" ht="27.95" hidden="1" customHeight="1">
      <c r="A135" s="253">
        <v>138</v>
      </c>
      <c r="B135" s="326">
        <v>45079</v>
      </c>
      <c r="C135" s="376"/>
      <c r="D135" s="377"/>
      <c r="E135" s="377"/>
      <c r="F135" s="409" t="s">
        <v>350</v>
      </c>
      <c r="G135" s="214"/>
      <c r="H135" s="215"/>
      <c r="I135" s="329" t="s">
        <v>375</v>
      </c>
      <c r="J135" s="214" t="s">
        <v>376</v>
      </c>
      <c r="K135" s="410" t="s">
        <v>376</v>
      </c>
      <c r="L135" s="410" t="s">
        <v>372</v>
      </c>
      <c r="M135" s="380"/>
      <c r="N135" s="380"/>
      <c r="O135" s="380"/>
      <c r="P135" s="381"/>
      <c r="Q135" s="411"/>
      <c r="R135" s="331">
        <v>6</v>
      </c>
      <c r="S135" s="412"/>
      <c r="T135" s="412"/>
      <c r="U135" s="412"/>
      <c r="V135" s="412"/>
      <c r="W135" s="412"/>
      <c r="X135" s="412"/>
      <c r="Y135" s="412"/>
      <c r="Z135" s="412"/>
      <c r="AA135" s="412"/>
      <c r="AB135" s="412"/>
      <c r="AC135" s="412"/>
      <c r="AD135" s="412"/>
      <c r="AE135" s="412">
        <f>0</f>
        <v>0</v>
      </c>
      <c r="AF135" s="412">
        <f>0</f>
        <v>0</v>
      </c>
      <c r="AG135" s="412">
        <f t="shared" si="14"/>
        <v>0</v>
      </c>
      <c r="AH135" s="412">
        <f>0</f>
        <v>0</v>
      </c>
      <c r="AI135" s="412">
        <f>0</f>
        <v>0</v>
      </c>
      <c r="AJ135" s="412">
        <f>0</f>
        <v>0</v>
      </c>
      <c r="AK135" s="413">
        <f>0</f>
        <v>0</v>
      </c>
      <c r="AL135" s="334">
        <f t="shared" si="16"/>
        <v>6</v>
      </c>
      <c r="AM135" s="414"/>
      <c r="AN135" s="336">
        <f t="shared" si="15"/>
        <v>6</v>
      </c>
      <c r="AO135" s="344">
        <v>45084</v>
      </c>
      <c r="AP135" s="338" t="s">
        <v>410</v>
      </c>
      <c r="AQ135" s="388" t="s">
        <v>545</v>
      </c>
      <c r="AR135" s="339"/>
      <c r="AS135" s="338"/>
      <c r="AT135" s="415"/>
      <c r="AU135" s="415">
        <v>6</v>
      </c>
      <c r="AV135" s="338"/>
      <c r="AW135" s="218" t="s">
        <v>552</v>
      </c>
      <c r="AX135" s="416"/>
      <c r="AY135" s="416"/>
      <c r="AZ135" s="342"/>
    </row>
    <row r="136" spans="1:52" s="221" customFormat="1" ht="27.95" hidden="1" customHeight="1">
      <c r="A136" s="253">
        <v>139</v>
      </c>
      <c r="B136" s="326">
        <v>45079</v>
      </c>
      <c r="C136" s="376"/>
      <c r="D136" s="377"/>
      <c r="E136" s="377"/>
      <c r="F136" s="409" t="s">
        <v>350</v>
      </c>
      <c r="G136" s="214"/>
      <c r="H136" s="215"/>
      <c r="I136" s="329" t="s">
        <v>503</v>
      </c>
      <c r="J136" s="214" t="s">
        <v>504</v>
      </c>
      <c r="K136" s="410" t="s">
        <v>265</v>
      </c>
      <c r="L136" s="410" t="s">
        <v>372</v>
      </c>
      <c r="M136" s="380"/>
      <c r="N136" s="380"/>
      <c r="O136" s="380"/>
      <c r="P136" s="381"/>
      <c r="Q136" s="411"/>
      <c r="R136" s="331">
        <v>3</v>
      </c>
      <c r="S136" s="412"/>
      <c r="T136" s="412"/>
      <c r="U136" s="412"/>
      <c r="V136" s="412"/>
      <c r="W136" s="412"/>
      <c r="X136" s="412"/>
      <c r="Y136" s="412"/>
      <c r="Z136" s="412"/>
      <c r="AA136" s="412"/>
      <c r="AB136" s="412"/>
      <c r="AC136" s="412"/>
      <c r="AD136" s="412"/>
      <c r="AE136" s="412">
        <f>0</f>
        <v>0</v>
      </c>
      <c r="AF136" s="412">
        <f>0</f>
        <v>0</v>
      </c>
      <c r="AG136" s="412">
        <f t="shared" si="14"/>
        <v>0</v>
      </c>
      <c r="AH136" s="412">
        <f>0</f>
        <v>0</v>
      </c>
      <c r="AI136" s="412">
        <f>0</f>
        <v>0</v>
      </c>
      <c r="AJ136" s="412">
        <f>0</f>
        <v>0</v>
      </c>
      <c r="AK136" s="413">
        <f>0</f>
        <v>0</v>
      </c>
      <c r="AL136" s="334">
        <f t="shared" si="16"/>
        <v>3</v>
      </c>
      <c r="AM136" s="414"/>
      <c r="AN136" s="336">
        <f t="shared" si="15"/>
        <v>3</v>
      </c>
      <c r="AO136" s="344">
        <v>45084</v>
      </c>
      <c r="AP136" s="338" t="s">
        <v>410</v>
      </c>
      <c r="AQ136" s="388" t="s">
        <v>545</v>
      </c>
      <c r="AR136" s="339"/>
      <c r="AS136" s="338"/>
      <c r="AT136" s="415"/>
      <c r="AU136" s="415">
        <v>3</v>
      </c>
      <c r="AV136" s="338"/>
      <c r="AW136" s="218" t="s">
        <v>552</v>
      </c>
      <c r="AX136" s="416"/>
      <c r="AY136" s="416"/>
      <c r="AZ136" s="342"/>
    </row>
    <row r="137" spans="1:52" ht="27.95" hidden="1" customHeight="1">
      <c r="A137" s="198">
        <v>140</v>
      </c>
      <c r="B137" s="263">
        <v>45079</v>
      </c>
      <c r="C137" s="393"/>
      <c r="D137" s="394"/>
      <c r="E137" s="394"/>
      <c r="F137" s="399" t="s">
        <v>350</v>
      </c>
      <c r="G137" s="378"/>
      <c r="H137" s="379"/>
      <c r="I137" s="271" t="s">
        <v>505</v>
      </c>
      <c r="J137" s="378" t="s">
        <v>506</v>
      </c>
      <c r="K137" s="400" t="s">
        <v>506</v>
      </c>
      <c r="L137" s="400" t="s">
        <v>388</v>
      </c>
      <c r="M137" s="268"/>
      <c r="N137" s="268"/>
      <c r="O137" s="268"/>
      <c r="P137" s="269"/>
      <c r="Q137" s="395"/>
      <c r="R137" s="154">
        <v>2</v>
      </c>
      <c r="S137" s="154">
        <f>0</f>
        <v>0</v>
      </c>
      <c r="T137" s="154">
        <f>0</f>
        <v>0</v>
      </c>
      <c r="U137" s="154">
        <f>0</f>
        <v>0</v>
      </c>
      <c r="V137" s="154">
        <f>0</f>
        <v>0</v>
      </c>
      <c r="W137" s="154">
        <f>0</f>
        <v>0</v>
      </c>
      <c r="X137" s="154">
        <f>0</f>
        <v>0</v>
      </c>
      <c r="Y137" s="154">
        <f>0</f>
        <v>0</v>
      </c>
      <c r="Z137" s="154">
        <f>0</f>
        <v>0</v>
      </c>
      <c r="AA137" s="154">
        <f>0</f>
        <v>0</v>
      </c>
      <c r="AB137" s="154">
        <f>0</f>
        <v>0</v>
      </c>
      <c r="AC137" s="154">
        <f>0</f>
        <v>0</v>
      </c>
      <c r="AD137" s="154">
        <f>0</f>
        <v>0</v>
      </c>
      <c r="AE137" s="383">
        <f>0</f>
        <v>0</v>
      </c>
      <c r="AF137" s="383">
        <f>0</f>
        <v>0</v>
      </c>
      <c r="AG137" s="383">
        <f t="shared" si="14"/>
        <v>0</v>
      </c>
      <c r="AH137" s="383">
        <f>0</f>
        <v>0</v>
      </c>
      <c r="AI137" s="383">
        <f>0</f>
        <v>0</v>
      </c>
      <c r="AJ137" s="383">
        <f>0</f>
        <v>0</v>
      </c>
      <c r="AK137" s="384">
        <f>0</f>
        <v>0</v>
      </c>
      <c r="AL137" s="170">
        <f t="shared" si="16"/>
        <v>2</v>
      </c>
      <c r="AM137" s="385"/>
      <c r="AN137" s="151">
        <f t="shared" si="15"/>
        <v>2</v>
      </c>
      <c r="AO137" s="386"/>
      <c r="AP137" s="387"/>
      <c r="AQ137" s="388"/>
      <c r="AR137" s="389"/>
      <c r="AS137" s="387"/>
      <c r="AT137" s="390"/>
      <c r="AU137" s="390"/>
      <c r="AV137" s="387"/>
      <c r="AW137" s="390"/>
      <c r="AX137" s="391"/>
      <c r="AY137" s="391"/>
      <c r="AZ137" s="392"/>
    </row>
    <row r="138" spans="1:52" ht="27.95" hidden="1" customHeight="1">
      <c r="A138" s="198">
        <v>141</v>
      </c>
      <c r="B138" s="263">
        <v>45079</v>
      </c>
      <c r="C138" s="393"/>
      <c r="D138" s="394"/>
      <c r="E138" s="394"/>
      <c r="F138" s="399" t="s">
        <v>350</v>
      </c>
      <c r="G138" s="378"/>
      <c r="H138" s="379"/>
      <c r="I138" s="271" t="s">
        <v>507</v>
      </c>
      <c r="J138" s="378" t="s">
        <v>177</v>
      </c>
      <c r="K138" s="400" t="s">
        <v>177</v>
      </c>
      <c r="L138" s="400" t="s">
        <v>388</v>
      </c>
      <c r="M138" s="268"/>
      <c r="N138" s="268"/>
      <c r="O138" s="268"/>
      <c r="P138" s="269"/>
      <c r="Q138" s="395"/>
      <c r="R138" s="154">
        <v>2</v>
      </c>
      <c r="S138" s="154">
        <f>0</f>
        <v>0</v>
      </c>
      <c r="T138" s="154">
        <f>0</f>
        <v>0</v>
      </c>
      <c r="U138" s="154">
        <f>0</f>
        <v>0</v>
      </c>
      <c r="V138" s="154">
        <f>0</f>
        <v>0</v>
      </c>
      <c r="W138" s="154">
        <f>0</f>
        <v>0</v>
      </c>
      <c r="X138" s="154">
        <f>0</f>
        <v>0</v>
      </c>
      <c r="Y138" s="154">
        <f>0</f>
        <v>0</v>
      </c>
      <c r="Z138" s="154">
        <f>0</f>
        <v>0</v>
      </c>
      <c r="AA138" s="154">
        <f>0</f>
        <v>0</v>
      </c>
      <c r="AB138" s="154">
        <f>0</f>
        <v>0</v>
      </c>
      <c r="AC138" s="154">
        <f>0</f>
        <v>0</v>
      </c>
      <c r="AD138" s="154">
        <f>0</f>
        <v>0</v>
      </c>
      <c r="AE138" s="383">
        <f>0</f>
        <v>0</v>
      </c>
      <c r="AF138" s="383">
        <f>0</f>
        <v>0</v>
      </c>
      <c r="AG138" s="383">
        <f t="shared" si="14"/>
        <v>0</v>
      </c>
      <c r="AH138" s="383">
        <f>0</f>
        <v>0</v>
      </c>
      <c r="AI138" s="383">
        <f>0</f>
        <v>0</v>
      </c>
      <c r="AJ138" s="383">
        <f>0</f>
        <v>0</v>
      </c>
      <c r="AK138" s="384">
        <f>0</f>
        <v>0</v>
      </c>
      <c r="AL138" s="170">
        <f t="shared" si="16"/>
        <v>2</v>
      </c>
      <c r="AM138" s="385"/>
      <c r="AN138" s="151">
        <f t="shared" si="15"/>
        <v>2</v>
      </c>
      <c r="AO138" s="386"/>
      <c r="AP138" s="387"/>
      <c r="AQ138" s="388"/>
      <c r="AR138" s="389"/>
      <c r="AS138" s="387"/>
      <c r="AT138" s="390"/>
      <c r="AU138" s="390"/>
      <c r="AV138" s="387"/>
      <c r="AW138" s="390"/>
      <c r="AX138" s="391"/>
      <c r="AY138" s="391"/>
      <c r="AZ138" s="392"/>
    </row>
    <row r="139" spans="1:52" ht="27.95" hidden="1" customHeight="1">
      <c r="A139" s="198">
        <v>142</v>
      </c>
      <c r="B139" s="263">
        <v>45079</v>
      </c>
      <c r="C139" s="376"/>
      <c r="D139" s="377"/>
      <c r="E139" s="377"/>
      <c r="F139" s="399" t="s">
        <v>350</v>
      </c>
      <c r="G139" s="378"/>
      <c r="H139" s="379"/>
      <c r="I139" s="271" t="s">
        <v>508</v>
      </c>
      <c r="J139" s="378" t="s">
        <v>184</v>
      </c>
      <c r="K139" s="400" t="s">
        <v>184</v>
      </c>
      <c r="L139" s="400" t="s">
        <v>388</v>
      </c>
      <c r="M139" s="268"/>
      <c r="N139" s="268"/>
      <c r="O139" s="268"/>
      <c r="P139" s="269"/>
      <c r="Q139" s="382"/>
      <c r="R139" s="154">
        <v>2</v>
      </c>
      <c r="S139" s="154">
        <f>0</f>
        <v>0</v>
      </c>
      <c r="T139" s="154">
        <f>0</f>
        <v>0</v>
      </c>
      <c r="U139" s="154">
        <f>0</f>
        <v>0</v>
      </c>
      <c r="V139" s="154">
        <f>0</f>
        <v>0</v>
      </c>
      <c r="W139" s="154">
        <f>0</f>
        <v>0</v>
      </c>
      <c r="X139" s="154">
        <f>0</f>
        <v>0</v>
      </c>
      <c r="Y139" s="154">
        <f>0</f>
        <v>0</v>
      </c>
      <c r="Z139" s="154">
        <f>0</f>
        <v>0</v>
      </c>
      <c r="AA139" s="154">
        <f>0</f>
        <v>0</v>
      </c>
      <c r="AB139" s="154">
        <f>0</f>
        <v>0</v>
      </c>
      <c r="AC139" s="154">
        <f>0</f>
        <v>0</v>
      </c>
      <c r="AD139" s="154">
        <f>0</f>
        <v>0</v>
      </c>
      <c r="AE139" s="383">
        <f>0</f>
        <v>0</v>
      </c>
      <c r="AF139" s="383">
        <f>0</f>
        <v>0</v>
      </c>
      <c r="AG139" s="383">
        <f t="shared" si="14"/>
        <v>0</v>
      </c>
      <c r="AH139" s="383">
        <f>0</f>
        <v>0</v>
      </c>
      <c r="AI139" s="383">
        <f>0</f>
        <v>0</v>
      </c>
      <c r="AJ139" s="383">
        <f>0</f>
        <v>0</v>
      </c>
      <c r="AK139" s="384">
        <f>0</f>
        <v>0</v>
      </c>
      <c r="AL139" s="170">
        <f t="shared" si="16"/>
        <v>2</v>
      </c>
      <c r="AM139" s="385"/>
      <c r="AN139" s="151">
        <f t="shared" si="15"/>
        <v>2</v>
      </c>
      <c r="AO139" s="386"/>
      <c r="AP139" s="387"/>
      <c r="AQ139" s="388"/>
      <c r="AR139" s="389"/>
      <c r="AS139" s="387"/>
      <c r="AT139" s="390"/>
      <c r="AU139" s="390"/>
      <c r="AV139" s="387"/>
      <c r="AW139" s="390"/>
      <c r="AX139" s="391"/>
      <c r="AY139" s="391"/>
      <c r="AZ139" s="392"/>
    </row>
    <row r="140" spans="1:52" s="221" customFormat="1" ht="27.95" hidden="1" customHeight="1">
      <c r="A140" s="253">
        <v>143</v>
      </c>
      <c r="B140" s="326">
        <v>45079</v>
      </c>
      <c r="C140" s="376"/>
      <c r="D140" s="377"/>
      <c r="E140" s="377"/>
      <c r="F140" s="409" t="s">
        <v>350</v>
      </c>
      <c r="G140" s="214"/>
      <c r="H140" s="215"/>
      <c r="I140" s="329" t="s">
        <v>509</v>
      </c>
      <c r="J140" s="214" t="s">
        <v>510</v>
      </c>
      <c r="K140" s="410" t="s">
        <v>559</v>
      </c>
      <c r="L140" s="410" t="s">
        <v>397</v>
      </c>
      <c r="M140" s="380"/>
      <c r="N140" s="380"/>
      <c r="O140" s="380"/>
      <c r="P140" s="381"/>
      <c r="Q140" s="411"/>
      <c r="R140" s="331">
        <v>1</v>
      </c>
      <c r="S140" s="412"/>
      <c r="T140" s="412"/>
      <c r="U140" s="412"/>
      <c r="V140" s="412"/>
      <c r="W140" s="412"/>
      <c r="X140" s="412"/>
      <c r="Y140" s="412"/>
      <c r="Z140" s="412"/>
      <c r="AA140" s="412"/>
      <c r="AB140" s="412"/>
      <c r="AC140" s="412"/>
      <c r="AD140" s="412"/>
      <c r="AE140" s="412">
        <f>0</f>
        <v>0</v>
      </c>
      <c r="AF140" s="412">
        <f>0</f>
        <v>0</v>
      </c>
      <c r="AG140" s="412">
        <f t="shared" si="14"/>
        <v>0</v>
      </c>
      <c r="AH140" s="412">
        <f>0</f>
        <v>0</v>
      </c>
      <c r="AI140" s="412">
        <f>0</f>
        <v>0</v>
      </c>
      <c r="AJ140" s="412">
        <f>0</f>
        <v>0</v>
      </c>
      <c r="AK140" s="413">
        <f>0</f>
        <v>0</v>
      </c>
      <c r="AL140" s="334">
        <f t="shared" si="16"/>
        <v>1</v>
      </c>
      <c r="AM140" s="414">
        <v>1</v>
      </c>
      <c r="AN140" s="336">
        <f t="shared" si="15"/>
        <v>0</v>
      </c>
      <c r="AO140" s="344"/>
      <c r="AP140" s="338" t="s">
        <v>410</v>
      </c>
      <c r="AQ140" s="285" t="s">
        <v>49</v>
      </c>
      <c r="AR140" s="339"/>
      <c r="AS140" s="338"/>
      <c r="AT140" s="415"/>
      <c r="AU140" s="415"/>
      <c r="AV140" s="338"/>
      <c r="AW140" s="218" t="s">
        <v>552</v>
      </c>
      <c r="AX140" s="416"/>
      <c r="AY140" s="416"/>
      <c r="AZ140" s="342"/>
    </row>
    <row r="141" spans="1:52" s="221" customFormat="1" ht="27.95" hidden="1" customHeight="1">
      <c r="A141" s="253">
        <v>144</v>
      </c>
      <c r="B141" s="326">
        <v>45079</v>
      </c>
      <c r="C141" s="376"/>
      <c r="D141" s="377"/>
      <c r="E141" s="377"/>
      <c r="F141" s="409" t="s">
        <v>350</v>
      </c>
      <c r="G141" s="214"/>
      <c r="H141" s="215"/>
      <c r="I141" s="329" t="s">
        <v>511</v>
      </c>
      <c r="J141" s="214" t="s">
        <v>512</v>
      </c>
      <c r="K141" s="410" t="s">
        <v>513</v>
      </c>
      <c r="L141" s="410" t="s">
        <v>397</v>
      </c>
      <c r="M141" s="380"/>
      <c r="N141" s="380"/>
      <c r="O141" s="380"/>
      <c r="P141" s="381"/>
      <c r="Q141" s="411"/>
      <c r="R141" s="331">
        <v>3</v>
      </c>
      <c r="S141" s="412"/>
      <c r="T141" s="412"/>
      <c r="U141" s="412"/>
      <c r="V141" s="412"/>
      <c r="W141" s="412"/>
      <c r="X141" s="412"/>
      <c r="Y141" s="412"/>
      <c r="Z141" s="412"/>
      <c r="AA141" s="412"/>
      <c r="AB141" s="412"/>
      <c r="AC141" s="412"/>
      <c r="AD141" s="412"/>
      <c r="AE141" s="412">
        <f>0</f>
        <v>0</v>
      </c>
      <c r="AF141" s="412">
        <f>0</f>
        <v>0</v>
      </c>
      <c r="AG141" s="412">
        <f t="shared" si="14"/>
        <v>0</v>
      </c>
      <c r="AH141" s="412">
        <f>0</f>
        <v>0</v>
      </c>
      <c r="AI141" s="412">
        <f>0</f>
        <v>0</v>
      </c>
      <c r="AJ141" s="412">
        <f>0</f>
        <v>0</v>
      </c>
      <c r="AK141" s="413">
        <f>0</f>
        <v>0</v>
      </c>
      <c r="AL141" s="334">
        <f t="shared" si="16"/>
        <v>3</v>
      </c>
      <c r="AM141" s="414">
        <v>3</v>
      </c>
      <c r="AN141" s="336">
        <f t="shared" si="15"/>
        <v>0</v>
      </c>
      <c r="AO141" s="344"/>
      <c r="AP141" s="338" t="s">
        <v>410</v>
      </c>
      <c r="AQ141" s="388" t="s">
        <v>49</v>
      </c>
      <c r="AR141" s="339"/>
      <c r="AS141" s="338"/>
      <c r="AT141" s="415"/>
      <c r="AU141" s="415"/>
      <c r="AV141" s="338"/>
      <c r="AW141" s="218" t="s">
        <v>552</v>
      </c>
      <c r="AX141" s="416"/>
      <c r="AY141" s="416"/>
      <c r="AZ141" s="342"/>
    </row>
    <row r="142" spans="1:52" s="221" customFormat="1" ht="27.75" hidden="1" customHeight="1">
      <c r="A142" s="253">
        <v>145</v>
      </c>
      <c r="B142" s="326">
        <v>45079</v>
      </c>
      <c r="C142" s="393"/>
      <c r="D142" s="394"/>
      <c r="E142" s="394"/>
      <c r="F142" s="409" t="s">
        <v>350</v>
      </c>
      <c r="G142" s="214"/>
      <c r="H142" s="215"/>
      <c r="I142" s="329" t="s">
        <v>514</v>
      </c>
      <c r="J142" s="214" t="s">
        <v>515</v>
      </c>
      <c r="K142" s="410" t="s">
        <v>515</v>
      </c>
      <c r="L142" s="410" t="s">
        <v>397</v>
      </c>
      <c r="M142" s="380"/>
      <c r="N142" s="380"/>
      <c r="O142" s="380"/>
      <c r="P142" s="381"/>
      <c r="Q142" s="216"/>
      <c r="R142" s="331">
        <v>2</v>
      </c>
      <c r="S142" s="412"/>
      <c r="T142" s="412"/>
      <c r="U142" s="412"/>
      <c r="V142" s="412"/>
      <c r="W142" s="412"/>
      <c r="X142" s="412"/>
      <c r="Y142" s="412"/>
      <c r="Z142" s="412"/>
      <c r="AA142" s="412"/>
      <c r="AB142" s="412"/>
      <c r="AC142" s="412"/>
      <c r="AD142" s="412"/>
      <c r="AE142" s="412">
        <f>0</f>
        <v>0</v>
      </c>
      <c r="AF142" s="412">
        <f>0</f>
        <v>0</v>
      </c>
      <c r="AG142" s="412">
        <f t="shared" si="14"/>
        <v>0</v>
      </c>
      <c r="AH142" s="412">
        <f>0</f>
        <v>0</v>
      </c>
      <c r="AI142" s="412">
        <f>0</f>
        <v>0</v>
      </c>
      <c r="AJ142" s="412">
        <f>0</f>
        <v>0</v>
      </c>
      <c r="AK142" s="413">
        <f>0</f>
        <v>0</v>
      </c>
      <c r="AL142" s="334">
        <f t="shared" si="16"/>
        <v>2</v>
      </c>
      <c r="AM142" s="414"/>
      <c r="AN142" s="336">
        <f t="shared" si="15"/>
        <v>2</v>
      </c>
      <c r="AO142" s="344">
        <v>45090</v>
      </c>
      <c r="AP142" s="338" t="s">
        <v>410</v>
      </c>
      <c r="AQ142" s="388" t="s">
        <v>560</v>
      </c>
      <c r="AR142" s="339"/>
      <c r="AS142" s="338"/>
      <c r="AT142" s="415"/>
      <c r="AU142" s="415">
        <v>2</v>
      </c>
      <c r="AV142" s="338"/>
      <c r="AW142" s="421" t="s">
        <v>565</v>
      </c>
      <c r="AX142" s="416"/>
      <c r="AY142" s="416"/>
      <c r="AZ142" s="342"/>
    </row>
    <row r="143" spans="1:52" ht="27.95" hidden="1" customHeight="1">
      <c r="A143" s="198">
        <v>146</v>
      </c>
      <c r="B143" s="263">
        <v>45079</v>
      </c>
      <c r="C143" s="393"/>
      <c r="D143" s="394"/>
      <c r="E143" s="394"/>
      <c r="F143" s="399" t="s">
        <v>350</v>
      </c>
      <c r="G143" s="378"/>
      <c r="H143" s="379"/>
      <c r="I143" s="271" t="s">
        <v>516</v>
      </c>
      <c r="J143" s="378" t="s">
        <v>517</v>
      </c>
      <c r="K143" s="400" t="s">
        <v>517</v>
      </c>
      <c r="L143" s="400" t="s">
        <v>397</v>
      </c>
      <c r="M143" s="380"/>
      <c r="N143" s="380"/>
      <c r="O143" s="380"/>
      <c r="P143" s="381"/>
      <c r="Q143" s="395"/>
      <c r="R143" s="154">
        <v>6</v>
      </c>
      <c r="S143" s="383"/>
      <c r="T143" s="383"/>
      <c r="U143" s="383"/>
      <c r="V143" s="383"/>
      <c r="W143" s="383"/>
      <c r="X143" s="383"/>
      <c r="Y143" s="383"/>
      <c r="Z143" s="383"/>
      <c r="AA143" s="383"/>
      <c r="AB143" s="383"/>
      <c r="AC143" s="383"/>
      <c r="AD143" s="383"/>
      <c r="AE143" s="383">
        <f>0</f>
        <v>0</v>
      </c>
      <c r="AF143" s="383">
        <f>0</f>
        <v>0</v>
      </c>
      <c r="AG143" s="383">
        <f t="shared" si="14"/>
        <v>0</v>
      </c>
      <c r="AH143" s="383">
        <f>0</f>
        <v>0</v>
      </c>
      <c r="AI143" s="383">
        <f>0</f>
        <v>0</v>
      </c>
      <c r="AJ143" s="383">
        <f>0</f>
        <v>0</v>
      </c>
      <c r="AK143" s="384">
        <f>0</f>
        <v>0</v>
      </c>
      <c r="AL143" s="170">
        <f t="shared" si="16"/>
        <v>6</v>
      </c>
      <c r="AM143" s="385"/>
      <c r="AN143" s="151">
        <f t="shared" si="15"/>
        <v>6</v>
      </c>
      <c r="AO143" s="386">
        <v>45090</v>
      </c>
      <c r="AP143" s="387" t="s">
        <v>410</v>
      </c>
      <c r="AQ143" s="388" t="s">
        <v>560</v>
      </c>
      <c r="AR143" s="389"/>
      <c r="AS143" s="387"/>
      <c r="AT143" s="390"/>
      <c r="AU143" s="390"/>
      <c r="AV143" s="387"/>
      <c r="AW143" s="390"/>
      <c r="AX143" s="391"/>
      <c r="AY143" s="391"/>
      <c r="AZ143" s="392"/>
    </row>
    <row r="144" spans="1:52" ht="27.95" hidden="1" customHeight="1">
      <c r="A144" s="198">
        <v>147</v>
      </c>
      <c r="B144" s="263">
        <v>45079</v>
      </c>
      <c r="C144" s="376"/>
      <c r="D144" s="377"/>
      <c r="E144" s="377"/>
      <c r="F144" s="399" t="s">
        <v>350</v>
      </c>
      <c r="G144" s="378"/>
      <c r="H144" s="379"/>
      <c r="I144" s="271" t="s">
        <v>518</v>
      </c>
      <c r="J144" s="378" t="s">
        <v>519</v>
      </c>
      <c r="K144" s="400" t="s">
        <v>519</v>
      </c>
      <c r="L144" s="400" t="s">
        <v>400</v>
      </c>
      <c r="M144" s="268"/>
      <c r="N144" s="268"/>
      <c r="O144" s="268"/>
      <c r="P144" s="269"/>
      <c r="Q144" s="382"/>
      <c r="R144" s="154">
        <v>8</v>
      </c>
      <c r="S144" s="154">
        <f>0</f>
        <v>0</v>
      </c>
      <c r="T144" s="154">
        <f>0</f>
        <v>0</v>
      </c>
      <c r="U144" s="154">
        <f>0</f>
        <v>0</v>
      </c>
      <c r="V144" s="154">
        <f>0</f>
        <v>0</v>
      </c>
      <c r="W144" s="154">
        <f>0</f>
        <v>0</v>
      </c>
      <c r="X144" s="154">
        <f>0</f>
        <v>0</v>
      </c>
      <c r="Y144" s="154">
        <f>0</f>
        <v>0</v>
      </c>
      <c r="Z144" s="154">
        <f>0</f>
        <v>0</v>
      </c>
      <c r="AA144" s="154">
        <f>0</f>
        <v>0</v>
      </c>
      <c r="AB144" s="154">
        <f>0</f>
        <v>0</v>
      </c>
      <c r="AC144" s="154">
        <f>0</f>
        <v>0</v>
      </c>
      <c r="AD144" s="154">
        <f>0</f>
        <v>0</v>
      </c>
      <c r="AE144" s="383">
        <f>0</f>
        <v>0</v>
      </c>
      <c r="AF144" s="383">
        <f>0</f>
        <v>0</v>
      </c>
      <c r="AG144" s="383">
        <f t="shared" si="14"/>
        <v>0</v>
      </c>
      <c r="AH144" s="383">
        <f>0</f>
        <v>0</v>
      </c>
      <c r="AI144" s="383">
        <f>0</f>
        <v>0</v>
      </c>
      <c r="AJ144" s="383">
        <f>0</f>
        <v>0</v>
      </c>
      <c r="AK144" s="384">
        <f>0</f>
        <v>0</v>
      </c>
      <c r="AL144" s="170">
        <f t="shared" si="16"/>
        <v>8</v>
      </c>
      <c r="AM144" s="385"/>
      <c r="AN144" s="151">
        <f t="shared" si="15"/>
        <v>8</v>
      </c>
      <c r="AO144" s="386">
        <v>45099</v>
      </c>
      <c r="AP144" s="387" t="s">
        <v>410</v>
      </c>
      <c r="AQ144" s="388" t="s">
        <v>585</v>
      </c>
      <c r="AR144" s="389"/>
      <c r="AS144" s="387" t="s">
        <v>587</v>
      </c>
      <c r="AT144" s="390"/>
      <c r="AU144" s="390"/>
      <c r="AV144" s="387"/>
      <c r="AW144" s="390"/>
      <c r="AX144" s="391"/>
      <c r="AY144" s="391"/>
      <c r="AZ144" s="392"/>
    </row>
    <row r="145" spans="1:52" ht="27.95" hidden="1" customHeight="1">
      <c r="A145" s="198">
        <v>148</v>
      </c>
      <c r="B145" s="263">
        <v>45079</v>
      </c>
      <c r="C145" s="376"/>
      <c r="D145" s="377"/>
      <c r="E145" s="377"/>
      <c r="F145" s="399" t="s">
        <v>350</v>
      </c>
      <c r="G145" s="378"/>
      <c r="H145" s="379"/>
      <c r="I145" s="271" t="s">
        <v>520</v>
      </c>
      <c r="J145" s="378" t="s">
        <v>521</v>
      </c>
      <c r="K145" s="400" t="s">
        <v>521</v>
      </c>
      <c r="L145" s="400" t="s">
        <v>400</v>
      </c>
      <c r="M145" s="380"/>
      <c r="N145" s="380"/>
      <c r="O145" s="380"/>
      <c r="P145" s="381"/>
      <c r="Q145" s="382"/>
      <c r="R145" s="154">
        <v>2</v>
      </c>
      <c r="S145" s="383"/>
      <c r="T145" s="383"/>
      <c r="U145" s="383"/>
      <c r="V145" s="383"/>
      <c r="W145" s="383"/>
      <c r="X145" s="383"/>
      <c r="Y145" s="383"/>
      <c r="Z145" s="383"/>
      <c r="AA145" s="383"/>
      <c r="AB145" s="383"/>
      <c r="AC145" s="383"/>
      <c r="AD145" s="383"/>
      <c r="AE145" s="383">
        <f>0</f>
        <v>0</v>
      </c>
      <c r="AF145" s="383">
        <f>0</f>
        <v>0</v>
      </c>
      <c r="AG145" s="383">
        <f t="shared" si="14"/>
        <v>0</v>
      </c>
      <c r="AH145" s="383">
        <f>0</f>
        <v>0</v>
      </c>
      <c r="AI145" s="383">
        <f>0</f>
        <v>0</v>
      </c>
      <c r="AJ145" s="383">
        <f>0</f>
        <v>0</v>
      </c>
      <c r="AK145" s="384">
        <f>0</f>
        <v>0</v>
      </c>
      <c r="AL145" s="170">
        <f t="shared" si="16"/>
        <v>2</v>
      </c>
      <c r="AM145" s="385"/>
      <c r="AN145" s="151">
        <f t="shared" si="15"/>
        <v>2</v>
      </c>
      <c r="AO145" s="386"/>
      <c r="AP145" s="387" t="s">
        <v>410</v>
      </c>
      <c r="AQ145" s="388" t="s">
        <v>49</v>
      </c>
      <c r="AR145" s="389"/>
      <c r="AS145" s="387"/>
      <c r="AT145" s="390"/>
      <c r="AU145" s="390"/>
      <c r="AV145" s="387"/>
      <c r="AW145" s="390"/>
      <c r="AX145" s="391"/>
      <c r="AY145" s="391"/>
      <c r="AZ145" s="392"/>
    </row>
    <row r="146" spans="1:52" ht="27.95" hidden="1" customHeight="1">
      <c r="A146" s="198">
        <v>149</v>
      </c>
      <c r="B146" s="263">
        <v>45079</v>
      </c>
      <c r="C146" s="376"/>
      <c r="D146" s="377"/>
      <c r="E146" s="377"/>
      <c r="F146" s="399" t="s">
        <v>350</v>
      </c>
      <c r="G146" s="378"/>
      <c r="H146" s="379"/>
      <c r="I146" s="271" t="s">
        <v>522</v>
      </c>
      <c r="J146" s="378" t="s">
        <v>523</v>
      </c>
      <c r="K146" s="400" t="s">
        <v>523</v>
      </c>
      <c r="L146" s="400" t="s">
        <v>400</v>
      </c>
      <c r="M146" s="268"/>
      <c r="N146" s="268"/>
      <c r="O146" s="268"/>
      <c r="P146" s="269"/>
      <c r="Q146" s="382"/>
      <c r="R146" s="154">
        <v>4</v>
      </c>
      <c r="S146" s="154">
        <f>0</f>
        <v>0</v>
      </c>
      <c r="T146" s="154">
        <f>0</f>
        <v>0</v>
      </c>
      <c r="U146" s="154">
        <f>0</f>
        <v>0</v>
      </c>
      <c r="V146" s="154">
        <f>0</f>
        <v>0</v>
      </c>
      <c r="W146" s="154">
        <f>0</f>
        <v>0</v>
      </c>
      <c r="X146" s="154">
        <f>0</f>
        <v>0</v>
      </c>
      <c r="Y146" s="154">
        <f>0</f>
        <v>0</v>
      </c>
      <c r="Z146" s="154">
        <f>0</f>
        <v>0</v>
      </c>
      <c r="AA146" s="154">
        <f>0</f>
        <v>0</v>
      </c>
      <c r="AB146" s="154">
        <f>0</f>
        <v>0</v>
      </c>
      <c r="AC146" s="154">
        <f>0</f>
        <v>0</v>
      </c>
      <c r="AD146" s="154">
        <f>0</f>
        <v>0</v>
      </c>
      <c r="AE146" s="383">
        <f>0</f>
        <v>0</v>
      </c>
      <c r="AF146" s="383">
        <f>0</f>
        <v>0</v>
      </c>
      <c r="AG146" s="383">
        <f t="shared" si="14"/>
        <v>0</v>
      </c>
      <c r="AH146" s="383">
        <f>0</f>
        <v>0</v>
      </c>
      <c r="AI146" s="383">
        <f>0</f>
        <v>0</v>
      </c>
      <c r="AJ146" s="383">
        <f>0</f>
        <v>0</v>
      </c>
      <c r="AK146" s="384">
        <f>0</f>
        <v>0</v>
      </c>
      <c r="AL146" s="170">
        <f t="shared" si="16"/>
        <v>4</v>
      </c>
      <c r="AM146" s="385"/>
      <c r="AN146" s="151">
        <f t="shared" si="15"/>
        <v>4</v>
      </c>
      <c r="AO146" s="386"/>
      <c r="AP146" s="387" t="s">
        <v>410</v>
      </c>
      <c r="AQ146" s="388" t="s">
        <v>586</v>
      </c>
      <c r="AR146" s="389"/>
      <c r="AS146" s="387"/>
      <c r="AT146" s="390"/>
      <c r="AU146" s="390"/>
      <c r="AV146" s="387"/>
      <c r="AW146" s="390"/>
      <c r="AX146" s="391"/>
      <c r="AY146" s="391"/>
      <c r="AZ146" s="392"/>
    </row>
    <row r="147" spans="1:52" s="221" customFormat="1" ht="27.95" hidden="1" customHeight="1">
      <c r="A147" s="253">
        <v>150</v>
      </c>
      <c r="B147" s="326">
        <v>45079</v>
      </c>
      <c r="C147" s="393"/>
      <c r="D147" s="394"/>
      <c r="E147" s="394"/>
      <c r="F147" s="409" t="s">
        <v>350</v>
      </c>
      <c r="G147" s="214"/>
      <c r="H147" s="215"/>
      <c r="I147" s="329" t="s">
        <v>524</v>
      </c>
      <c r="J147" s="214" t="s">
        <v>525</v>
      </c>
      <c r="K147" s="410" t="s">
        <v>525</v>
      </c>
      <c r="L147" s="410" t="s">
        <v>526</v>
      </c>
      <c r="M147" s="380"/>
      <c r="N147" s="380"/>
      <c r="O147" s="380"/>
      <c r="P147" s="381"/>
      <c r="Q147" s="216"/>
      <c r="R147" s="331">
        <v>1</v>
      </c>
      <c r="S147" s="412"/>
      <c r="T147" s="412"/>
      <c r="U147" s="412"/>
      <c r="V147" s="412"/>
      <c r="W147" s="412"/>
      <c r="X147" s="412"/>
      <c r="Y147" s="412"/>
      <c r="Z147" s="412"/>
      <c r="AA147" s="412"/>
      <c r="AB147" s="412"/>
      <c r="AC147" s="412"/>
      <c r="AD147" s="412"/>
      <c r="AE147" s="412">
        <f>0</f>
        <v>0</v>
      </c>
      <c r="AF147" s="412">
        <f>0</f>
        <v>0</v>
      </c>
      <c r="AG147" s="412">
        <f t="shared" si="14"/>
        <v>0</v>
      </c>
      <c r="AH147" s="412">
        <f>0</f>
        <v>0</v>
      </c>
      <c r="AI147" s="412">
        <f>0</f>
        <v>0</v>
      </c>
      <c r="AJ147" s="412">
        <f>0</f>
        <v>0</v>
      </c>
      <c r="AK147" s="413">
        <f>0</f>
        <v>0</v>
      </c>
      <c r="AL147" s="334">
        <f t="shared" si="16"/>
        <v>1</v>
      </c>
      <c r="AM147" s="414">
        <v>1</v>
      </c>
      <c r="AN147" s="336">
        <f t="shared" si="15"/>
        <v>0</v>
      </c>
      <c r="AO147" s="344"/>
      <c r="AP147" s="338" t="s">
        <v>410</v>
      </c>
      <c r="AQ147" s="388" t="s">
        <v>49</v>
      </c>
      <c r="AR147" s="339"/>
      <c r="AS147" s="338"/>
      <c r="AT147" s="415"/>
      <c r="AU147" s="415"/>
      <c r="AV147" s="338"/>
      <c r="AW147" s="218" t="s">
        <v>563</v>
      </c>
      <c r="AX147" s="416"/>
      <c r="AY147" s="416"/>
      <c r="AZ147" s="342"/>
    </row>
    <row r="148" spans="1:52" ht="27.95" hidden="1" customHeight="1">
      <c r="A148" s="198">
        <v>151</v>
      </c>
      <c r="B148" s="263">
        <v>45079</v>
      </c>
      <c r="C148" s="393"/>
      <c r="D148" s="394"/>
      <c r="E148" s="394"/>
      <c r="F148" s="399" t="s">
        <v>350</v>
      </c>
      <c r="G148" s="378"/>
      <c r="H148" s="379"/>
      <c r="I148" s="271" t="s">
        <v>527</v>
      </c>
      <c r="J148" s="378" t="s">
        <v>528</v>
      </c>
      <c r="K148" s="400" t="s">
        <v>528</v>
      </c>
      <c r="L148" s="400" t="s">
        <v>529</v>
      </c>
      <c r="M148" s="268"/>
      <c r="N148" s="268"/>
      <c r="O148" s="268"/>
      <c r="P148" s="269"/>
      <c r="Q148" s="395"/>
      <c r="R148" s="154">
        <v>2</v>
      </c>
      <c r="S148" s="154">
        <f>0</f>
        <v>0</v>
      </c>
      <c r="T148" s="154">
        <f>0</f>
        <v>0</v>
      </c>
      <c r="U148" s="154">
        <f>0</f>
        <v>0</v>
      </c>
      <c r="V148" s="154">
        <f>0</f>
        <v>0</v>
      </c>
      <c r="W148" s="154">
        <f>0</f>
        <v>0</v>
      </c>
      <c r="X148" s="154">
        <f>0</f>
        <v>0</v>
      </c>
      <c r="Y148" s="154">
        <f>0</f>
        <v>0</v>
      </c>
      <c r="Z148" s="154">
        <f>0</f>
        <v>0</v>
      </c>
      <c r="AA148" s="154">
        <f>0</f>
        <v>0</v>
      </c>
      <c r="AB148" s="154">
        <f>0</f>
        <v>0</v>
      </c>
      <c r="AC148" s="154">
        <f>0</f>
        <v>0</v>
      </c>
      <c r="AD148" s="154">
        <f>0</f>
        <v>0</v>
      </c>
      <c r="AE148" s="383">
        <f>0</f>
        <v>0</v>
      </c>
      <c r="AF148" s="383">
        <f>0</f>
        <v>0</v>
      </c>
      <c r="AG148" s="383">
        <f t="shared" si="14"/>
        <v>0</v>
      </c>
      <c r="AH148" s="383">
        <f>0</f>
        <v>0</v>
      </c>
      <c r="AI148" s="383">
        <f>0</f>
        <v>0</v>
      </c>
      <c r="AJ148" s="383">
        <f>0</f>
        <v>0</v>
      </c>
      <c r="AK148" s="384">
        <f>0</f>
        <v>0</v>
      </c>
      <c r="AL148" s="170">
        <f t="shared" si="16"/>
        <v>2</v>
      </c>
      <c r="AM148" s="385"/>
      <c r="AN148" s="151">
        <f t="shared" si="15"/>
        <v>2</v>
      </c>
      <c r="AO148" s="386"/>
      <c r="AP148" s="387"/>
      <c r="AQ148" s="388"/>
      <c r="AR148" s="389"/>
      <c r="AS148" s="387"/>
      <c r="AT148" s="390"/>
      <c r="AU148" s="390"/>
      <c r="AV148" s="387"/>
      <c r="AW148" s="390"/>
      <c r="AX148" s="391"/>
      <c r="AY148" s="391"/>
      <c r="AZ148" s="392"/>
    </row>
    <row r="149" spans="1:52" ht="55.5" hidden="1" customHeight="1">
      <c r="A149" s="198">
        <v>152</v>
      </c>
      <c r="B149" s="263">
        <v>45079</v>
      </c>
      <c r="C149" s="376"/>
      <c r="D149" s="377"/>
      <c r="E149" s="377"/>
      <c r="F149" s="399" t="s">
        <v>350</v>
      </c>
      <c r="G149" s="378"/>
      <c r="H149" s="379"/>
      <c r="I149" s="271" t="s">
        <v>530</v>
      </c>
      <c r="J149" s="378" t="s">
        <v>531</v>
      </c>
      <c r="K149" s="400" t="s">
        <v>531</v>
      </c>
      <c r="L149" s="400" t="s">
        <v>532</v>
      </c>
      <c r="M149" s="268"/>
      <c r="N149" s="268"/>
      <c r="O149" s="268"/>
      <c r="P149" s="269"/>
      <c r="Q149" s="382"/>
      <c r="R149" s="154">
        <v>2</v>
      </c>
      <c r="S149" s="154">
        <f>0</f>
        <v>0</v>
      </c>
      <c r="T149" s="154">
        <f>0</f>
        <v>0</v>
      </c>
      <c r="U149" s="154">
        <f>0</f>
        <v>0</v>
      </c>
      <c r="V149" s="154">
        <f>0</f>
        <v>0</v>
      </c>
      <c r="W149" s="154">
        <f>0</f>
        <v>0</v>
      </c>
      <c r="X149" s="154">
        <f>0</f>
        <v>0</v>
      </c>
      <c r="Y149" s="154">
        <f>0</f>
        <v>0</v>
      </c>
      <c r="Z149" s="154">
        <f>0</f>
        <v>0</v>
      </c>
      <c r="AA149" s="154">
        <f>0</f>
        <v>0</v>
      </c>
      <c r="AB149" s="154">
        <f>0</f>
        <v>0</v>
      </c>
      <c r="AC149" s="154">
        <f>0</f>
        <v>0</v>
      </c>
      <c r="AD149" s="154">
        <f>0</f>
        <v>0</v>
      </c>
      <c r="AE149" s="383">
        <f>0</f>
        <v>0</v>
      </c>
      <c r="AF149" s="383">
        <f>0</f>
        <v>0</v>
      </c>
      <c r="AG149" s="383">
        <f t="shared" si="14"/>
        <v>0</v>
      </c>
      <c r="AH149" s="383">
        <f>0</f>
        <v>0</v>
      </c>
      <c r="AI149" s="383">
        <f>0</f>
        <v>0</v>
      </c>
      <c r="AJ149" s="383">
        <f>0</f>
        <v>0</v>
      </c>
      <c r="AK149" s="384">
        <f>0</f>
        <v>0</v>
      </c>
      <c r="AL149" s="170">
        <f t="shared" si="16"/>
        <v>2</v>
      </c>
      <c r="AM149" s="385">
        <v>3</v>
      </c>
      <c r="AN149" s="151">
        <f t="shared" si="15"/>
        <v>-1</v>
      </c>
      <c r="AO149" s="386"/>
      <c r="AP149" s="387"/>
      <c r="AQ149" s="388" t="s">
        <v>590</v>
      </c>
      <c r="AR149" s="389"/>
      <c r="AS149" s="387"/>
      <c r="AT149" s="390"/>
      <c r="AU149" s="185" t="s">
        <v>591</v>
      </c>
      <c r="AV149" s="387"/>
      <c r="AW149" s="185" t="s">
        <v>592</v>
      </c>
      <c r="AX149" s="391"/>
      <c r="AY149" s="391"/>
      <c r="AZ149" s="392"/>
    </row>
    <row r="150" spans="1:52" ht="27.95" hidden="1" customHeight="1">
      <c r="A150" s="198">
        <v>153</v>
      </c>
      <c r="B150" s="263">
        <v>45079</v>
      </c>
      <c r="C150" s="376"/>
      <c r="D150" s="377"/>
      <c r="E150" s="377"/>
      <c r="F150" s="399" t="s">
        <v>350</v>
      </c>
      <c r="G150" s="378"/>
      <c r="H150" s="379"/>
      <c r="I150" s="271" t="s">
        <v>533</v>
      </c>
      <c r="J150" s="378" t="s">
        <v>534</v>
      </c>
      <c r="K150" s="400" t="s">
        <v>534</v>
      </c>
      <c r="L150" s="400" t="s">
        <v>532</v>
      </c>
      <c r="M150" s="268"/>
      <c r="N150" s="268"/>
      <c r="O150" s="268"/>
      <c r="P150" s="269"/>
      <c r="Q150" s="382"/>
      <c r="R150" s="154">
        <v>2</v>
      </c>
      <c r="S150" s="154">
        <f>0</f>
        <v>0</v>
      </c>
      <c r="T150" s="154">
        <f>0</f>
        <v>0</v>
      </c>
      <c r="U150" s="154">
        <f>0</f>
        <v>0</v>
      </c>
      <c r="V150" s="154">
        <f>0</f>
        <v>0</v>
      </c>
      <c r="W150" s="154">
        <f>0</f>
        <v>0</v>
      </c>
      <c r="X150" s="154">
        <f>0</f>
        <v>0</v>
      </c>
      <c r="Y150" s="154">
        <f>0</f>
        <v>0</v>
      </c>
      <c r="Z150" s="154">
        <f>0</f>
        <v>0</v>
      </c>
      <c r="AA150" s="154">
        <f>0</f>
        <v>0</v>
      </c>
      <c r="AB150" s="154">
        <f>0</f>
        <v>0</v>
      </c>
      <c r="AC150" s="154">
        <f>0</f>
        <v>0</v>
      </c>
      <c r="AD150" s="154">
        <f>0</f>
        <v>0</v>
      </c>
      <c r="AE150" s="383">
        <f>0</f>
        <v>0</v>
      </c>
      <c r="AF150" s="383">
        <f>0</f>
        <v>0</v>
      </c>
      <c r="AG150" s="383">
        <f t="shared" si="14"/>
        <v>0</v>
      </c>
      <c r="AH150" s="383">
        <f>0</f>
        <v>0</v>
      </c>
      <c r="AI150" s="383">
        <f>0</f>
        <v>0</v>
      </c>
      <c r="AJ150" s="383">
        <f>0</f>
        <v>0</v>
      </c>
      <c r="AK150" s="384">
        <f>0</f>
        <v>0</v>
      </c>
      <c r="AL150" s="170">
        <f t="shared" si="16"/>
        <v>2</v>
      </c>
      <c r="AM150" s="385"/>
      <c r="AN150" s="151">
        <f t="shared" si="15"/>
        <v>2</v>
      </c>
      <c r="AO150" s="386"/>
      <c r="AP150" s="387"/>
      <c r="AQ150" s="388"/>
      <c r="AR150" s="389"/>
      <c r="AS150" s="387"/>
      <c r="AT150" s="390"/>
      <c r="AU150" s="390"/>
      <c r="AV150" s="387"/>
      <c r="AW150" s="390"/>
      <c r="AX150" s="391"/>
      <c r="AY150" s="391"/>
      <c r="AZ150" s="392"/>
    </row>
    <row r="151" spans="1:52" ht="60.75" hidden="1" customHeight="1">
      <c r="A151" s="198">
        <v>153</v>
      </c>
      <c r="B151" s="263">
        <v>45079</v>
      </c>
      <c r="C151" s="376"/>
      <c r="D151" s="377"/>
      <c r="E151" s="377"/>
      <c r="F151" s="399" t="s">
        <v>350</v>
      </c>
      <c r="G151" s="378"/>
      <c r="H151" s="379"/>
      <c r="I151" s="271" t="s">
        <v>535</v>
      </c>
      <c r="J151" s="378" t="s">
        <v>536</v>
      </c>
      <c r="K151" s="400" t="s">
        <v>536</v>
      </c>
      <c r="L151" s="400" t="s">
        <v>532</v>
      </c>
      <c r="M151" s="268"/>
      <c r="N151" s="268"/>
      <c r="O151" s="268"/>
      <c r="P151" s="269"/>
      <c r="Q151" s="382"/>
      <c r="R151" s="154">
        <v>2</v>
      </c>
      <c r="S151" s="154">
        <f>0</f>
        <v>0</v>
      </c>
      <c r="T151" s="154">
        <f>0</f>
        <v>0</v>
      </c>
      <c r="U151" s="154">
        <f>0</f>
        <v>0</v>
      </c>
      <c r="V151" s="154">
        <f>0</f>
        <v>0</v>
      </c>
      <c r="W151" s="154">
        <f>0</f>
        <v>0</v>
      </c>
      <c r="X151" s="154">
        <f>0</f>
        <v>0</v>
      </c>
      <c r="Y151" s="154">
        <f>0</f>
        <v>0</v>
      </c>
      <c r="Z151" s="154">
        <f>0</f>
        <v>0</v>
      </c>
      <c r="AA151" s="154">
        <f>0</f>
        <v>0</v>
      </c>
      <c r="AB151" s="154">
        <f>0</f>
        <v>0</v>
      </c>
      <c r="AC151" s="154">
        <f>0</f>
        <v>0</v>
      </c>
      <c r="AD151" s="154">
        <f>0</f>
        <v>0</v>
      </c>
      <c r="AE151" s="383">
        <f>0</f>
        <v>0</v>
      </c>
      <c r="AF151" s="383">
        <f>0</f>
        <v>0</v>
      </c>
      <c r="AG151" s="383">
        <f t="shared" si="14"/>
        <v>0</v>
      </c>
      <c r="AH151" s="383">
        <f>0</f>
        <v>0</v>
      </c>
      <c r="AI151" s="383">
        <f>0</f>
        <v>0</v>
      </c>
      <c r="AJ151" s="383">
        <f>0</f>
        <v>0</v>
      </c>
      <c r="AK151" s="384">
        <f>0</f>
        <v>0</v>
      </c>
      <c r="AL151" s="170">
        <f t="shared" si="16"/>
        <v>2</v>
      </c>
      <c r="AM151" s="385">
        <v>3</v>
      </c>
      <c r="AN151" s="151">
        <f t="shared" si="15"/>
        <v>-1</v>
      </c>
      <c r="AO151" s="386"/>
      <c r="AP151" s="387"/>
      <c r="AQ151" s="388" t="s">
        <v>590</v>
      </c>
      <c r="AR151" s="389"/>
      <c r="AS151" s="387"/>
      <c r="AT151" s="390"/>
      <c r="AU151" s="185" t="s">
        <v>591</v>
      </c>
      <c r="AV151" s="387"/>
      <c r="AW151" s="185" t="s">
        <v>593</v>
      </c>
      <c r="AX151" s="391"/>
      <c r="AY151" s="391"/>
      <c r="AZ151" s="392"/>
    </row>
    <row r="152" spans="1:52" ht="27.95" hidden="1" customHeight="1">
      <c r="A152" s="198">
        <v>115</v>
      </c>
      <c r="B152" s="263">
        <v>45079</v>
      </c>
      <c r="C152" s="399"/>
      <c r="D152" s="378"/>
      <c r="E152" s="379"/>
      <c r="F152" s="399" t="s">
        <v>285</v>
      </c>
      <c r="G152" s="378" t="s">
        <v>537</v>
      </c>
      <c r="H152" s="400"/>
      <c r="I152" s="400" t="s">
        <v>539</v>
      </c>
      <c r="J152" s="382" t="s">
        <v>537</v>
      </c>
      <c r="K152" s="198" t="s">
        <v>537</v>
      </c>
      <c r="L152" s="263" t="s">
        <v>538</v>
      </c>
      <c r="M152" s="399"/>
      <c r="N152" s="378"/>
      <c r="O152" s="379"/>
      <c r="P152" s="271"/>
      <c r="Q152" s="378"/>
      <c r="R152" s="165">
        <v>0</v>
      </c>
      <c r="S152" s="154">
        <f>0</f>
        <v>0</v>
      </c>
      <c r="T152" s="154">
        <v>4</v>
      </c>
      <c r="U152" s="154">
        <v>4</v>
      </c>
      <c r="V152" s="154">
        <v>2</v>
      </c>
      <c r="W152" s="154">
        <f>0</f>
        <v>0</v>
      </c>
      <c r="X152" s="154">
        <f>0</f>
        <v>0</v>
      </c>
      <c r="Y152" s="154">
        <f>0</f>
        <v>0</v>
      </c>
      <c r="Z152" s="154">
        <f>0</f>
        <v>0</v>
      </c>
      <c r="AA152" s="154">
        <f>0</f>
        <v>0</v>
      </c>
      <c r="AB152" s="154">
        <f>0</f>
        <v>0</v>
      </c>
      <c r="AC152" s="154">
        <f>0</f>
        <v>0</v>
      </c>
      <c r="AD152" s="154">
        <f>0</f>
        <v>0</v>
      </c>
      <c r="AE152" s="396">
        <f>0</f>
        <v>0</v>
      </c>
      <c r="AF152" s="396">
        <f>0</f>
        <v>0</v>
      </c>
      <c r="AG152" s="396">
        <f t="shared" ref="AG152:AG157" si="17">AE152-AF152</f>
        <v>0</v>
      </c>
      <c r="AH152" s="396">
        <f>0</f>
        <v>0</v>
      </c>
      <c r="AI152" s="396">
        <f>0</f>
        <v>0</v>
      </c>
      <c r="AJ152" s="396">
        <f>0</f>
        <v>0</v>
      </c>
      <c r="AK152" s="397">
        <f>0</f>
        <v>0</v>
      </c>
      <c r="AL152" s="424">
        <f t="shared" si="16"/>
        <v>10</v>
      </c>
      <c r="AM152" s="385"/>
      <c r="AN152" s="151">
        <f t="shared" si="15"/>
        <v>10</v>
      </c>
      <c r="AO152" s="386">
        <v>45090</v>
      </c>
      <c r="AP152" s="387"/>
      <c r="AQ152" s="388" t="s">
        <v>554</v>
      </c>
      <c r="AR152" s="389"/>
      <c r="AS152" s="386">
        <v>45124</v>
      </c>
      <c r="AT152" s="390"/>
      <c r="AU152" s="390"/>
      <c r="AV152" s="387"/>
      <c r="AW152" s="390"/>
      <c r="AX152" s="391"/>
      <c r="AY152" s="391"/>
      <c r="AZ152" s="398"/>
    </row>
    <row r="153" spans="1:52" ht="27.95" hidden="1" customHeight="1">
      <c r="A153" s="198">
        <v>153</v>
      </c>
      <c r="B153" s="263">
        <v>45098</v>
      </c>
      <c r="C153" s="222"/>
      <c r="D153" s="189"/>
      <c r="E153" s="189"/>
      <c r="F153" s="223" t="s">
        <v>581</v>
      </c>
      <c r="G153" s="431" t="s">
        <v>570</v>
      </c>
      <c r="H153" s="432">
        <v>0</v>
      </c>
      <c r="I153" s="433" t="s">
        <v>571</v>
      </c>
      <c r="J153" s="432" t="s">
        <v>572</v>
      </c>
      <c r="K153" s="432" t="s">
        <v>80</v>
      </c>
      <c r="L153" s="431" t="s">
        <v>193</v>
      </c>
      <c r="M153" s="431"/>
      <c r="N153" s="431"/>
      <c r="O153" s="431"/>
      <c r="P153" s="431"/>
      <c r="Q153" s="432"/>
      <c r="R153" s="154">
        <v>2</v>
      </c>
      <c r="S153" s="154">
        <f>0</f>
        <v>0</v>
      </c>
      <c r="T153" s="154">
        <f>0</f>
        <v>0</v>
      </c>
      <c r="U153" s="154">
        <f>0</f>
        <v>0</v>
      </c>
      <c r="V153" s="154">
        <f>0</f>
        <v>0</v>
      </c>
      <c r="W153" s="154">
        <f>0</f>
        <v>0</v>
      </c>
      <c r="X153" s="154">
        <f>0</f>
        <v>0</v>
      </c>
      <c r="Y153" s="154">
        <f>0</f>
        <v>0</v>
      </c>
      <c r="Z153" s="154">
        <f>0</f>
        <v>0</v>
      </c>
      <c r="AA153" s="154">
        <f>0</f>
        <v>0</v>
      </c>
      <c r="AB153" s="154">
        <f>0</f>
        <v>0</v>
      </c>
      <c r="AC153" s="154">
        <f>0</f>
        <v>0</v>
      </c>
      <c r="AD153" s="154">
        <f>0</f>
        <v>0</v>
      </c>
      <c r="AE153" s="383">
        <f>0</f>
        <v>0</v>
      </c>
      <c r="AF153" s="383">
        <f>0</f>
        <v>0</v>
      </c>
      <c r="AG153" s="383">
        <f t="shared" si="17"/>
        <v>0</v>
      </c>
      <c r="AH153" s="383">
        <f>0</f>
        <v>0</v>
      </c>
      <c r="AI153" s="383">
        <f>0</f>
        <v>0</v>
      </c>
      <c r="AJ153" s="383">
        <f>0</f>
        <v>0</v>
      </c>
      <c r="AK153" s="384">
        <f>0</f>
        <v>0</v>
      </c>
      <c r="AL153" s="425"/>
      <c r="AM153" s="422"/>
      <c r="AN153" s="423"/>
      <c r="AO153" s="386"/>
      <c r="AP153" s="387"/>
      <c r="AQ153" s="388"/>
      <c r="AR153" s="389"/>
      <c r="AS153" s="387"/>
      <c r="AT153" s="185"/>
      <c r="AU153" s="185"/>
      <c r="AV153" s="387"/>
      <c r="AW153" s="185"/>
      <c r="AX153" s="186"/>
      <c r="AY153" s="186"/>
      <c r="AZ153" s="392"/>
    </row>
    <row r="154" spans="1:52" ht="27.95" hidden="1" customHeight="1">
      <c r="A154" s="198">
        <v>153</v>
      </c>
      <c r="B154" s="263">
        <v>45098</v>
      </c>
      <c r="C154" s="222"/>
      <c r="D154" s="189"/>
      <c r="E154" s="189"/>
      <c r="F154" s="223" t="s">
        <v>581</v>
      </c>
      <c r="G154" s="431" t="s">
        <v>573</v>
      </c>
      <c r="H154" s="432">
        <v>0</v>
      </c>
      <c r="I154" s="433" t="s">
        <v>583</v>
      </c>
      <c r="J154" s="432" t="s">
        <v>574</v>
      </c>
      <c r="K154" s="432" t="s">
        <v>573</v>
      </c>
      <c r="L154" s="431" t="s">
        <v>193</v>
      </c>
      <c r="M154" s="431"/>
      <c r="N154" s="431"/>
      <c r="O154" s="431"/>
      <c r="P154" s="431"/>
      <c r="Q154" s="432"/>
      <c r="R154" s="154">
        <v>6</v>
      </c>
      <c r="S154" s="154">
        <f>0</f>
        <v>0</v>
      </c>
      <c r="T154" s="154">
        <f>0</f>
        <v>0</v>
      </c>
      <c r="U154" s="154">
        <f>0</f>
        <v>0</v>
      </c>
      <c r="V154" s="154">
        <f>0</f>
        <v>0</v>
      </c>
      <c r="W154" s="154">
        <f>0</f>
        <v>0</v>
      </c>
      <c r="X154" s="154">
        <f>0</f>
        <v>0</v>
      </c>
      <c r="Y154" s="154">
        <f>0</f>
        <v>0</v>
      </c>
      <c r="Z154" s="154">
        <f>0</f>
        <v>0</v>
      </c>
      <c r="AA154" s="154">
        <f>0</f>
        <v>0</v>
      </c>
      <c r="AB154" s="154">
        <f>0</f>
        <v>0</v>
      </c>
      <c r="AC154" s="154">
        <f>0</f>
        <v>0</v>
      </c>
      <c r="AD154" s="154">
        <f>0</f>
        <v>0</v>
      </c>
      <c r="AE154" s="383">
        <f>0</f>
        <v>0</v>
      </c>
      <c r="AF154" s="383">
        <f>0</f>
        <v>0</v>
      </c>
      <c r="AG154" s="383">
        <f t="shared" si="17"/>
        <v>0</v>
      </c>
      <c r="AH154" s="383">
        <f>0</f>
        <v>0</v>
      </c>
      <c r="AI154" s="383">
        <f>0</f>
        <v>0</v>
      </c>
      <c r="AJ154" s="383">
        <f>0</f>
        <v>0</v>
      </c>
      <c r="AK154" s="384">
        <f>0</f>
        <v>0</v>
      </c>
      <c r="AL154" s="425"/>
      <c r="AM154" s="422"/>
      <c r="AN154" s="423"/>
      <c r="AO154" s="386"/>
      <c r="AP154" s="387"/>
      <c r="AQ154" s="388"/>
      <c r="AR154" s="389"/>
      <c r="AS154" s="387"/>
      <c r="AT154" s="185"/>
      <c r="AU154" s="185"/>
      <c r="AV154" s="387"/>
      <c r="AW154" s="185"/>
      <c r="AX154" s="186"/>
      <c r="AY154" s="186"/>
      <c r="AZ154" s="392"/>
    </row>
    <row r="155" spans="1:52" ht="27.95" hidden="1" customHeight="1">
      <c r="A155" s="198">
        <v>153</v>
      </c>
      <c r="B155" s="263">
        <v>45098</v>
      </c>
      <c r="C155" s="222"/>
      <c r="D155" s="189"/>
      <c r="E155" s="189"/>
      <c r="F155" s="223" t="s">
        <v>581</v>
      </c>
      <c r="G155" s="431" t="s">
        <v>575</v>
      </c>
      <c r="H155" s="432" t="s">
        <v>248</v>
      </c>
      <c r="I155" s="433" t="s">
        <v>576</v>
      </c>
      <c r="J155" s="432" t="s">
        <v>577</v>
      </c>
      <c r="K155" s="432" t="s">
        <v>575</v>
      </c>
      <c r="L155" s="431" t="s">
        <v>216</v>
      </c>
      <c r="M155" s="431"/>
      <c r="N155" s="431"/>
      <c r="O155" s="431"/>
      <c r="P155" s="431"/>
      <c r="Q155" s="432"/>
      <c r="R155" s="154">
        <v>24</v>
      </c>
      <c r="S155" s="154">
        <f>0</f>
        <v>0</v>
      </c>
      <c r="T155" s="154">
        <f>0</f>
        <v>0</v>
      </c>
      <c r="U155" s="154">
        <f>0</f>
        <v>0</v>
      </c>
      <c r="V155" s="154">
        <f>0</f>
        <v>0</v>
      </c>
      <c r="W155" s="154">
        <f>0</f>
        <v>0</v>
      </c>
      <c r="X155" s="154">
        <f>0</f>
        <v>0</v>
      </c>
      <c r="Y155" s="154">
        <f>0</f>
        <v>0</v>
      </c>
      <c r="Z155" s="154">
        <f>0</f>
        <v>0</v>
      </c>
      <c r="AA155" s="154">
        <f>0</f>
        <v>0</v>
      </c>
      <c r="AB155" s="154">
        <f>0</f>
        <v>0</v>
      </c>
      <c r="AC155" s="154">
        <f>0</f>
        <v>0</v>
      </c>
      <c r="AD155" s="154">
        <f>0</f>
        <v>0</v>
      </c>
      <c r="AE155" s="383">
        <f>0</f>
        <v>0</v>
      </c>
      <c r="AF155" s="383">
        <f>0</f>
        <v>0</v>
      </c>
      <c r="AG155" s="383">
        <f t="shared" si="17"/>
        <v>0</v>
      </c>
      <c r="AH155" s="383">
        <f>0</f>
        <v>0</v>
      </c>
      <c r="AI155" s="383">
        <f>0</f>
        <v>0</v>
      </c>
      <c r="AJ155" s="383">
        <f>0</f>
        <v>0</v>
      </c>
      <c r="AK155" s="384">
        <f>0</f>
        <v>0</v>
      </c>
      <c r="AL155" s="425"/>
      <c r="AM155" s="422"/>
      <c r="AN155" s="423"/>
      <c r="AO155" s="386"/>
      <c r="AP155" s="387"/>
      <c r="AQ155" s="388"/>
      <c r="AR155" s="389"/>
      <c r="AS155" s="387"/>
      <c r="AT155" s="185"/>
      <c r="AU155" s="185"/>
      <c r="AV155" s="387"/>
      <c r="AW155" s="185"/>
      <c r="AX155" s="186"/>
      <c r="AY155" s="186"/>
      <c r="AZ155" s="392"/>
    </row>
    <row r="156" spans="1:52" ht="27.95" hidden="1" customHeight="1">
      <c r="A156" s="198">
        <v>153</v>
      </c>
      <c r="B156" s="263">
        <v>45098</v>
      </c>
      <c r="C156" s="222"/>
      <c r="D156" s="189"/>
      <c r="E156" s="189"/>
      <c r="F156" s="223" t="s">
        <v>581</v>
      </c>
      <c r="G156" s="431" t="s">
        <v>578</v>
      </c>
      <c r="H156" s="432" t="s">
        <v>141</v>
      </c>
      <c r="I156" s="433" t="s">
        <v>584</v>
      </c>
      <c r="J156" s="432" t="s">
        <v>579</v>
      </c>
      <c r="K156" s="432" t="s">
        <v>578</v>
      </c>
      <c r="L156" s="431" t="s">
        <v>580</v>
      </c>
      <c r="M156" s="431"/>
      <c r="N156" s="431"/>
      <c r="O156" s="431"/>
      <c r="P156" s="431"/>
      <c r="Q156" s="432"/>
      <c r="R156" s="154">
        <v>4</v>
      </c>
      <c r="S156" s="154">
        <f>0</f>
        <v>0</v>
      </c>
      <c r="T156" s="154">
        <f>0</f>
        <v>0</v>
      </c>
      <c r="U156" s="154">
        <f>0</f>
        <v>0</v>
      </c>
      <c r="V156" s="154">
        <f>0</f>
        <v>0</v>
      </c>
      <c r="W156" s="154">
        <f>0</f>
        <v>0</v>
      </c>
      <c r="X156" s="154">
        <f>0</f>
        <v>0</v>
      </c>
      <c r="Y156" s="154">
        <f>0</f>
        <v>0</v>
      </c>
      <c r="Z156" s="154">
        <f>0</f>
        <v>0</v>
      </c>
      <c r="AA156" s="154">
        <f>0</f>
        <v>0</v>
      </c>
      <c r="AB156" s="154">
        <f>0</f>
        <v>0</v>
      </c>
      <c r="AC156" s="154">
        <f>0</f>
        <v>0</v>
      </c>
      <c r="AD156" s="154">
        <f>0</f>
        <v>0</v>
      </c>
      <c r="AE156" s="383">
        <f>0</f>
        <v>0</v>
      </c>
      <c r="AF156" s="383">
        <f>0</f>
        <v>0</v>
      </c>
      <c r="AG156" s="383">
        <f t="shared" si="17"/>
        <v>0</v>
      </c>
      <c r="AH156" s="383">
        <f>0</f>
        <v>0</v>
      </c>
      <c r="AI156" s="383">
        <f>0</f>
        <v>0</v>
      </c>
      <c r="AJ156" s="383">
        <f>0</f>
        <v>0</v>
      </c>
      <c r="AK156" s="384">
        <f>0</f>
        <v>0</v>
      </c>
      <c r="AL156" s="425"/>
      <c r="AM156" s="422"/>
      <c r="AN156" s="423"/>
      <c r="AO156" s="386"/>
      <c r="AP156" s="387"/>
      <c r="AQ156" s="388"/>
      <c r="AR156" s="389"/>
      <c r="AS156" s="387"/>
      <c r="AT156" s="185"/>
      <c r="AU156" s="185"/>
      <c r="AV156" s="387"/>
      <c r="AW156" s="185"/>
      <c r="AX156" s="186"/>
      <c r="AY156" s="186"/>
      <c r="AZ156" s="392"/>
    </row>
    <row r="157" spans="1:52" ht="27.95" hidden="1" customHeight="1">
      <c r="A157" s="198">
        <v>153</v>
      </c>
      <c r="B157" s="263"/>
      <c r="C157" s="224"/>
      <c r="D157" s="225"/>
      <c r="E157" s="225"/>
      <c r="F157" s="223"/>
      <c r="G157" s="378"/>
      <c r="H157" s="379"/>
      <c r="I157" s="271"/>
      <c r="J157" s="378"/>
      <c r="K157" s="400"/>
      <c r="L157" s="400"/>
      <c r="M157" s="400"/>
      <c r="N157" s="400"/>
      <c r="O157" s="400"/>
      <c r="P157" s="400"/>
      <c r="Q157" s="382"/>
      <c r="R157" s="154">
        <f>0</f>
        <v>0</v>
      </c>
      <c r="S157" s="154">
        <f>0</f>
        <v>0</v>
      </c>
      <c r="T157" s="154">
        <f>0</f>
        <v>0</v>
      </c>
      <c r="U157" s="154">
        <f>0</f>
        <v>0</v>
      </c>
      <c r="V157" s="154">
        <f>0</f>
        <v>0</v>
      </c>
      <c r="W157" s="154">
        <f>0</f>
        <v>0</v>
      </c>
      <c r="X157" s="154">
        <f>0</f>
        <v>0</v>
      </c>
      <c r="Y157" s="154">
        <f>0</f>
        <v>0</v>
      </c>
      <c r="Z157" s="154">
        <f>0</f>
        <v>0</v>
      </c>
      <c r="AA157" s="154">
        <f>0</f>
        <v>0</v>
      </c>
      <c r="AB157" s="154">
        <f>0</f>
        <v>0</v>
      </c>
      <c r="AC157" s="154">
        <f>0</f>
        <v>0</v>
      </c>
      <c r="AD157" s="154">
        <f>0</f>
        <v>0</v>
      </c>
      <c r="AE157" s="396">
        <f>0</f>
        <v>0</v>
      </c>
      <c r="AF157" s="396">
        <f>0</f>
        <v>0</v>
      </c>
      <c r="AG157" s="396">
        <f t="shared" si="17"/>
        <v>0</v>
      </c>
      <c r="AH157" s="396">
        <f>0</f>
        <v>0</v>
      </c>
      <c r="AI157" s="396">
        <f>0</f>
        <v>0</v>
      </c>
      <c r="AJ157" s="396">
        <f>0</f>
        <v>0</v>
      </c>
      <c r="AK157" s="397">
        <f>0</f>
        <v>0</v>
      </c>
      <c r="AL157" s="426"/>
      <c r="AM157" s="422"/>
      <c r="AN157" s="423"/>
      <c r="AO157" s="386"/>
      <c r="AP157" s="387"/>
      <c r="AQ157" s="388"/>
      <c r="AR157" s="389"/>
      <c r="AS157" s="387"/>
      <c r="AT157" s="185"/>
      <c r="AU157" s="185"/>
      <c r="AV157" s="387"/>
      <c r="AW157" s="185"/>
      <c r="AX157" s="186"/>
      <c r="AY157" s="186"/>
      <c r="AZ157" s="398"/>
    </row>
  </sheetData>
  <sheetProtection formatCells="0" formatColumns="0" formatRows="0" insertColumns="0" insertRows="0" insertHyperlinks="0" deleteColumns="0" deleteRows="0" sort="0" autoFilter="0" pivotTables="0"/>
  <mergeCells count="5">
    <mergeCell ref="AZ1:AZ2"/>
    <mergeCell ref="AO1:AT2"/>
    <mergeCell ref="AU1:AW2"/>
    <mergeCell ref="AX1:AY2"/>
    <mergeCell ref="R1:AK2"/>
  </mergeCells>
  <phoneticPr fontId="3" type="noConversion"/>
  <conditionalFormatting sqref="BA1:CD1048576">
    <cfRule type="containsBlanks" dxfId="136" priority="125" stopIfTrue="1">
      <formula>LEN(TRIM(BA1))=0</formula>
    </cfRule>
  </conditionalFormatting>
  <conditionalFormatting sqref="AG6:AK6 R7:AK8 T111:U113 W152:Y152 V108:V113 W101:AD113 R101:S113">
    <cfRule type="cellIs" dxfId="135" priority="85" stopIfTrue="1" operator="equal">
      <formula>0</formula>
    </cfRule>
    <cfRule type="cellIs" dxfId="134" priority="86" stopIfTrue="1" operator="greaterThan">
      <formula>0</formula>
    </cfRule>
  </conditionalFormatting>
  <conditionalFormatting sqref="R6:AF6">
    <cfRule type="cellIs" dxfId="133" priority="75" stopIfTrue="1" operator="equal">
      <formula>0</formula>
    </cfRule>
    <cfRule type="cellIs" dxfId="132" priority="76" stopIfTrue="1" operator="greaterThan">
      <formula>0</formula>
    </cfRule>
  </conditionalFormatting>
  <conditionalFormatting sqref="AM6:AM16">
    <cfRule type="cellIs" dxfId="131" priority="70" stopIfTrue="1" operator="equal">
      <formula>0</formula>
    </cfRule>
  </conditionalFormatting>
  <conditionalFormatting sqref="AV6:AV21">
    <cfRule type="cellIs" dxfId="130" priority="68" stopIfTrue="1" operator="greaterThan">
      <formula>0</formula>
    </cfRule>
    <cfRule type="cellIs" dxfId="129" priority="69" stopIfTrue="1" operator="equal">
      <formula>0</formula>
    </cfRule>
  </conditionalFormatting>
  <conditionalFormatting sqref="J20:J21">
    <cfRule type="duplicateValues" dxfId="128" priority="67" stopIfTrue="1"/>
  </conditionalFormatting>
  <conditionalFormatting sqref="AM17:AM22">
    <cfRule type="cellIs" dxfId="127" priority="64" stopIfTrue="1" operator="equal">
      <formula>0</formula>
    </cfRule>
  </conditionalFormatting>
  <conditionalFormatting sqref="AM23:AM25">
    <cfRule type="cellIs" dxfId="126" priority="57" stopIfTrue="1" operator="equal">
      <formula>0</formula>
    </cfRule>
  </conditionalFormatting>
  <conditionalFormatting sqref="AM26:AM57">
    <cfRule type="cellIs" dxfId="125" priority="22" stopIfTrue="1" operator="equal">
      <formula>0</formula>
    </cfRule>
  </conditionalFormatting>
  <conditionalFormatting sqref="AM58:AM100">
    <cfRule type="cellIs" dxfId="124" priority="17" stopIfTrue="1" operator="equal">
      <formula>0</formula>
    </cfRule>
  </conditionalFormatting>
  <conditionalFormatting sqref="R9:AK100 T101:U107 T108:T110 Z152:AD152 S120:AD120 S137:AD139 S144:AD144 S146:AD146 S148:AD151 R153:AD157">
    <cfRule type="cellIs" dxfId="123" priority="15" stopIfTrue="1" operator="equal">
      <formula>0</formula>
    </cfRule>
    <cfRule type="cellIs" dxfId="122" priority="16" stopIfTrue="1" operator="greaterThan">
      <formula>0</formula>
    </cfRule>
  </conditionalFormatting>
  <conditionalFormatting sqref="V101:V107">
    <cfRule type="cellIs" dxfId="121" priority="13" stopIfTrue="1" operator="equal">
      <formula>0</formula>
    </cfRule>
    <cfRule type="cellIs" dxfId="120" priority="14" stopIfTrue="1" operator="greaterThan">
      <formula>0</formula>
    </cfRule>
  </conditionalFormatting>
  <conditionalFormatting sqref="U108:U110">
    <cfRule type="cellIs" dxfId="119" priority="11" stopIfTrue="1" operator="equal">
      <formula>0</formula>
    </cfRule>
    <cfRule type="cellIs" dxfId="118" priority="12" stopIfTrue="1" operator="greaterThan">
      <formula>0</formula>
    </cfRule>
  </conditionalFormatting>
  <conditionalFormatting sqref="R114:R151">
    <cfRule type="cellIs" dxfId="117" priority="7" stopIfTrue="1" operator="equal">
      <formula>0</formula>
    </cfRule>
    <cfRule type="cellIs" dxfId="116" priority="8" stopIfTrue="1" operator="greaterThan">
      <formula>0</formula>
    </cfRule>
  </conditionalFormatting>
  <conditionalFormatting sqref="U152:V152">
    <cfRule type="cellIs" dxfId="115" priority="5" stopIfTrue="1" operator="equal">
      <formula>0</formula>
    </cfRule>
    <cfRule type="cellIs" dxfId="114" priority="6" stopIfTrue="1" operator="greaterThan">
      <formula>0</formula>
    </cfRule>
  </conditionalFormatting>
  <conditionalFormatting sqref="R152:S152">
    <cfRule type="cellIs" dxfId="113" priority="3" stopIfTrue="1" operator="equal">
      <formula>0</formula>
    </cfRule>
    <cfRule type="cellIs" dxfId="112" priority="4" stopIfTrue="1" operator="greaterThan">
      <formula>0</formula>
    </cfRule>
  </conditionalFormatting>
  <conditionalFormatting sqref="T152">
    <cfRule type="cellIs" dxfId="111" priority="1" stopIfTrue="1" operator="equal">
      <formula>0</formula>
    </cfRule>
    <cfRule type="cellIs" dxfId="110" priority="2" stopIfTrue="1" operator="greaterThan">
      <formula>0</formula>
    </cfRule>
  </conditionalFormatting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1"/>
  <headerFooter alignWithMargins="0">
    <oddFooter>&amp;CStrona &amp;P z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5">
    <tabColor rgb="FFFF0000"/>
  </sheetPr>
  <dimension ref="A1:C5"/>
  <sheetViews>
    <sheetView workbookViewId="0">
      <selection activeCell="P12" sqref="P11:P12"/>
    </sheetView>
  </sheetViews>
  <sheetFormatPr defaultRowHeight="12.75"/>
  <cols>
    <col min="1" max="1" width="8.42578125" bestFit="1" customWidth="1"/>
    <col min="2" max="3" width="15.85546875" bestFit="1" customWidth="1"/>
  </cols>
  <sheetData>
    <row r="1" spans="1:3" ht="26.25">
      <c r="A1" s="206"/>
      <c r="B1" s="206" t="s">
        <v>177</v>
      </c>
      <c r="C1" s="206"/>
    </row>
    <row r="2" spans="1:3" ht="25.5">
      <c r="A2" s="207"/>
      <c r="B2" s="208" t="s">
        <v>178</v>
      </c>
      <c r="C2" s="208" t="s">
        <v>179</v>
      </c>
    </row>
    <row r="3" spans="1:3" ht="26.25">
      <c r="A3" s="209" t="s">
        <v>180</v>
      </c>
      <c r="B3" s="210" t="s">
        <v>181</v>
      </c>
      <c r="C3" s="210" t="s">
        <v>182</v>
      </c>
    </row>
    <row r="4" spans="1:3" ht="26.25">
      <c r="A4" s="209" t="s">
        <v>183</v>
      </c>
      <c r="B4" s="211" t="s">
        <v>184</v>
      </c>
      <c r="C4" s="210" t="s">
        <v>185</v>
      </c>
    </row>
    <row r="5" spans="1:3" ht="26.25">
      <c r="A5" s="209" t="s">
        <v>186</v>
      </c>
      <c r="B5" s="210" t="s">
        <v>187</v>
      </c>
      <c r="C5" s="212" t="s">
        <v>188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3">
    <tabColor rgb="FFFF0000"/>
  </sheetPr>
  <dimension ref="A1:S579"/>
  <sheetViews>
    <sheetView zoomScale="115" zoomScaleNormal="115" workbookViewId="0">
      <selection activeCell="H6" sqref="H6"/>
    </sheetView>
  </sheetViews>
  <sheetFormatPr defaultColWidth="15.7109375" defaultRowHeight="12.75"/>
  <cols>
    <col min="1" max="1" width="5.7109375" customWidth="1"/>
    <col min="5" max="5" width="15.7109375" hidden="1" customWidth="1"/>
    <col min="7" max="7" width="15.7109375" hidden="1" customWidth="1"/>
    <col min="10" max="12" width="15.7109375" hidden="1" customWidth="1"/>
    <col min="17" max="17" width="35" customWidth="1"/>
  </cols>
  <sheetData>
    <row r="1" spans="1:19" ht="15.75">
      <c r="A1" s="461" t="s">
        <v>109</v>
      </c>
      <c r="B1" s="461"/>
      <c r="C1" s="461"/>
      <c r="D1" s="461"/>
      <c r="E1" s="461"/>
      <c r="F1" s="461"/>
      <c r="G1" s="461"/>
      <c r="H1" s="461"/>
      <c r="I1" s="461"/>
      <c r="J1" s="461"/>
      <c r="K1" s="461"/>
      <c r="L1" s="461"/>
      <c r="M1" s="461"/>
      <c r="N1" s="461"/>
      <c r="O1" s="462" t="s">
        <v>110</v>
      </c>
      <c r="P1" s="462"/>
      <c r="Q1" s="462"/>
      <c r="R1" s="462"/>
      <c r="S1" s="462"/>
    </row>
    <row r="2" spans="1:19" ht="38.25">
      <c r="A2" s="115" t="s">
        <v>14</v>
      </c>
      <c r="B2" s="115" t="s">
        <v>111</v>
      </c>
      <c r="C2" s="115" t="s">
        <v>22</v>
      </c>
      <c r="D2" s="115" t="s">
        <v>44</v>
      </c>
      <c r="E2" s="115" t="s">
        <v>112</v>
      </c>
      <c r="F2" s="115" t="s">
        <v>113</v>
      </c>
      <c r="G2" s="115" t="s">
        <v>114</v>
      </c>
      <c r="H2" s="115" t="s">
        <v>115</v>
      </c>
      <c r="I2" s="115" t="s">
        <v>33</v>
      </c>
      <c r="J2" s="115" t="s">
        <v>116</v>
      </c>
      <c r="K2" s="115" t="s">
        <v>46</v>
      </c>
      <c r="L2" s="115" t="s">
        <v>117</v>
      </c>
      <c r="M2" s="115" t="s">
        <v>118</v>
      </c>
      <c r="N2" s="115" t="s">
        <v>119</v>
      </c>
      <c r="O2" s="116" t="s">
        <v>18</v>
      </c>
      <c r="P2" s="116" t="s">
        <v>16</v>
      </c>
      <c r="Q2" s="116" t="s">
        <v>17</v>
      </c>
      <c r="R2" s="116" t="s">
        <v>120</v>
      </c>
      <c r="S2" s="116" t="s">
        <v>20</v>
      </c>
    </row>
    <row r="3" spans="1:19" ht="15.75">
      <c r="A3" s="117"/>
      <c r="B3" s="117"/>
      <c r="C3" s="117"/>
      <c r="D3" s="118"/>
      <c r="E3" s="118"/>
      <c r="F3" s="119"/>
      <c r="G3" s="119"/>
      <c r="H3" s="120"/>
      <c r="I3" s="120"/>
      <c r="J3" s="121"/>
      <c r="K3" s="121"/>
      <c r="L3" s="121"/>
      <c r="M3" s="120"/>
      <c r="N3" s="122"/>
      <c r="O3" s="123"/>
      <c r="P3" s="124"/>
      <c r="Q3" s="124"/>
      <c r="R3" s="124"/>
      <c r="S3" s="125"/>
    </row>
    <row r="4" spans="1:19">
      <c r="A4" s="126">
        <v>1</v>
      </c>
      <c r="B4" s="128">
        <v>45058</v>
      </c>
      <c r="C4" s="128" t="s">
        <v>211</v>
      </c>
      <c r="D4" s="129" t="s">
        <v>217</v>
      </c>
      <c r="E4" s="129"/>
      <c r="F4" s="130">
        <v>980</v>
      </c>
      <c r="G4" s="130"/>
      <c r="H4" s="257">
        <v>3842993120</v>
      </c>
      <c r="I4" s="130" t="s">
        <v>218</v>
      </c>
      <c r="J4" s="127"/>
      <c r="K4" s="127"/>
      <c r="L4" s="127"/>
      <c r="M4" s="130">
        <v>1</v>
      </c>
      <c r="N4" s="131"/>
      <c r="O4" s="132">
        <v>45089</v>
      </c>
      <c r="P4" s="133" t="s">
        <v>542</v>
      </c>
      <c r="Q4" s="402" t="s">
        <v>551</v>
      </c>
      <c r="R4" s="130"/>
      <c r="S4" s="131" t="s">
        <v>564</v>
      </c>
    </row>
    <row r="5" spans="1:19">
      <c r="A5" s="134">
        <v>2</v>
      </c>
      <c r="B5" s="128">
        <v>45058</v>
      </c>
      <c r="C5" s="128" t="s">
        <v>211</v>
      </c>
      <c r="D5" s="129" t="s">
        <v>219</v>
      </c>
      <c r="E5" s="129"/>
      <c r="F5" s="130">
        <v>340</v>
      </c>
      <c r="G5" s="130"/>
      <c r="H5" s="257">
        <v>3842993130</v>
      </c>
      <c r="I5" s="130" t="s">
        <v>218</v>
      </c>
      <c r="J5" s="127"/>
      <c r="K5" s="127"/>
      <c r="L5" s="127"/>
      <c r="M5" s="130">
        <v>2</v>
      </c>
      <c r="N5" s="131"/>
      <c r="O5" s="132">
        <v>45089</v>
      </c>
      <c r="P5" s="133" t="s">
        <v>542</v>
      </c>
      <c r="Q5" s="402" t="s">
        <v>551</v>
      </c>
      <c r="R5" s="130"/>
      <c r="S5" s="131" t="s">
        <v>564</v>
      </c>
    </row>
    <row r="6" spans="1:19">
      <c r="A6" s="126">
        <v>3</v>
      </c>
      <c r="B6" s="128">
        <v>45072</v>
      </c>
      <c r="C6" s="128" t="s">
        <v>285</v>
      </c>
      <c r="D6" s="129" t="s">
        <v>286</v>
      </c>
      <c r="E6" s="129"/>
      <c r="F6" s="130">
        <v>326</v>
      </c>
      <c r="G6" s="130"/>
      <c r="H6" s="257" t="s">
        <v>287</v>
      </c>
      <c r="I6" s="130" t="s">
        <v>218</v>
      </c>
      <c r="J6" s="127"/>
      <c r="K6" s="127"/>
      <c r="L6" s="127"/>
      <c r="M6" s="130">
        <v>10</v>
      </c>
      <c r="N6" s="131"/>
      <c r="O6" s="132">
        <v>45089</v>
      </c>
      <c r="P6" s="133" t="s">
        <v>542</v>
      </c>
      <c r="Q6" s="402" t="s">
        <v>551</v>
      </c>
      <c r="R6" s="130"/>
      <c r="S6" s="131" t="s">
        <v>564</v>
      </c>
    </row>
    <row r="7" spans="1:19">
      <c r="A7" s="134">
        <v>4</v>
      </c>
      <c r="B7" s="128">
        <v>45079</v>
      </c>
      <c r="C7" s="128" t="s">
        <v>196</v>
      </c>
      <c r="D7" s="129" t="s">
        <v>541</v>
      </c>
      <c r="E7" s="129"/>
      <c r="F7" s="130">
        <v>417</v>
      </c>
      <c r="G7" s="130"/>
      <c r="H7" s="257">
        <v>3842993120</v>
      </c>
      <c r="I7" s="130" t="s">
        <v>218</v>
      </c>
      <c r="J7" s="127"/>
      <c r="K7" s="127"/>
      <c r="L7" s="127"/>
      <c r="M7" s="130">
        <v>2</v>
      </c>
      <c r="N7" s="131"/>
      <c r="O7" s="132">
        <v>45089</v>
      </c>
      <c r="P7" s="133" t="s">
        <v>542</v>
      </c>
      <c r="Q7" s="402" t="s">
        <v>551</v>
      </c>
      <c r="R7" s="130"/>
      <c r="S7" s="131" t="s">
        <v>564</v>
      </c>
    </row>
    <row r="8" spans="1:19">
      <c r="A8" s="134">
        <v>5</v>
      </c>
      <c r="B8" s="128">
        <v>45096</v>
      </c>
      <c r="C8" s="128" t="s">
        <v>196</v>
      </c>
      <c r="D8" s="129" t="s">
        <v>541</v>
      </c>
      <c r="E8" s="129"/>
      <c r="F8" s="130">
        <v>540</v>
      </c>
      <c r="G8" s="130"/>
      <c r="H8" s="257">
        <v>3842993120</v>
      </c>
      <c r="I8" s="130" t="s">
        <v>218</v>
      </c>
      <c r="J8" s="127"/>
      <c r="K8" s="127"/>
      <c r="L8" s="127"/>
      <c r="M8" s="130">
        <v>3</v>
      </c>
      <c r="N8" s="131"/>
      <c r="O8" s="132"/>
      <c r="P8" s="133"/>
      <c r="Q8" s="133"/>
      <c r="R8" s="130"/>
      <c r="S8" s="131"/>
    </row>
    <row r="9" spans="1:19">
      <c r="A9" s="134">
        <v>6</v>
      </c>
      <c r="B9" s="128">
        <v>45096</v>
      </c>
      <c r="C9" s="128" t="s">
        <v>196</v>
      </c>
      <c r="D9" s="129" t="s">
        <v>541</v>
      </c>
      <c r="E9" s="129"/>
      <c r="F9" s="130">
        <v>90</v>
      </c>
      <c r="G9" s="130"/>
      <c r="H9" s="257">
        <v>3842993120</v>
      </c>
      <c r="I9" s="130" t="s">
        <v>218</v>
      </c>
      <c r="J9" s="127"/>
      <c r="K9" s="127"/>
      <c r="L9" s="127"/>
      <c r="M9" s="130">
        <v>6</v>
      </c>
      <c r="N9" s="131"/>
      <c r="O9" s="132"/>
      <c r="P9" s="133"/>
      <c r="Q9" s="133"/>
      <c r="R9" s="130"/>
      <c r="S9" s="131"/>
    </row>
    <row r="10" spans="1:19" ht="16.5">
      <c r="A10" s="134">
        <v>7</v>
      </c>
      <c r="B10" s="128">
        <v>45099</v>
      </c>
      <c r="C10" s="128" t="s">
        <v>196</v>
      </c>
      <c r="D10" s="129" t="s">
        <v>582</v>
      </c>
      <c r="E10" s="130"/>
      <c r="F10" s="130">
        <v>391</v>
      </c>
      <c r="G10" s="430"/>
      <c r="H10" s="257">
        <v>3842993120</v>
      </c>
      <c r="I10" s="130" t="s">
        <v>218</v>
      </c>
      <c r="J10" s="434"/>
      <c r="K10" s="434"/>
      <c r="L10" s="434"/>
      <c r="M10" s="130">
        <v>1</v>
      </c>
      <c r="N10" s="434"/>
      <c r="O10" s="434"/>
      <c r="P10" s="434"/>
      <c r="Q10" s="133"/>
      <c r="R10" s="130"/>
      <c r="S10" s="131"/>
    </row>
    <row r="11" spans="1:19" ht="16.5">
      <c r="A11" s="134">
        <v>8</v>
      </c>
      <c r="B11" s="128">
        <v>45099</v>
      </c>
      <c r="C11" s="128" t="s">
        <v>196</v>
      </c>
      <c r="D11" s="129" t="s">
        <v>582</v>
      </c>
      <c r="E11" s="130"/>
      <c r="F11" s="130">
        <v>810</v>
      </c>
      <c r="G11" s="430"/>
      <c r="H11" s="257">
        <v>3842993120</v>
      </c>
      <c r="I11" s="130" t="s">
        <v>218</v>
      </c>
      <c r="J11" s="434"/>
      <c r="K11" s="434"/>
      <c r="L11" s="434"/>
      <c r="M11" s="130">
        <v>1</v>
      </c>
      <c r="N11" s="434"/>
      <c r="O11" s="434"/>
      <c r="P11" s="434"/>
      <c r="Q11" s="133"/>
      <c r="R11" s="130"/>
      <c r="S11" s="131"/>
    </row>
    <row r="12" spans="1:19" ht="16.5">
      <c r="A12" s="134">
        <v>9</v>
      </c>
      <c r="B12" s="128">
        <v>45099</v>
      </c>
      <c r="C12" s="128" t="s">
        <v>196</v>
      </c>
      <c r="D12" s="129" t="s">
        <v>582</v>
      </c>
      <c r="E12" s="130"/>
      <c r="F12" s="130">
        <v>810</v>
      </c>
      <c r="G12" s="430"/>
      <c r="H12" s="257">
        <v>3842993120</v>
      </c>
      <c r="I12" s="130" t="s">
        <v>218</v>
      </c>
      <c r="J12" s="434"/>
      <c r="K12" s="434"/>
      <c r="L12" s="434"/>
      <c r="M12" s="130">
        <v>1</v>
      </c>
      <c r="N12" s="434"/>
      <c r="O12" s="434"/>
      <c r="P12" s="434"/>
      <c r="Q12" s="133"/>
      <c r="R12" s="130"/>
      <c r="S12" s="131"/>
    </row>
    <row r="13" spans="1:19" ht="16.5">
      <c r="A13" s="134">
        <v>10</v>
      </c>
      <c r="B13" s="128">
        <v>45099</v>
      </c>
      <c r="C13" s="128" t="s">
        <v>196</v>
      </c>
      <c r="D13" s="129" t="s">
        <v>582</v>
      </c>
      <c r="E13" s="130"/>
      <c r="F13" s="130">
        <v>810</v>
      </c>
      <c r="G13" s="430"/>
      <c r="H13" s="257">
        <v>3842993120</v>
      </c>
      <c r="I13" s="130" t="s">
        <v>218</v>
      </c>
      <c r="J13" s="434"/>
      <c r="K13" s="434"/>
      <c r="L13" s="434"/>
      <c r="M13" s="130">
        <v>1</v>
      </c>
      <c r="N13" s="434"/>
      <c r="O13" s="434"/>
      <c r="P13" s="434"/>
      <c r="Q13" s="137"/>
      <c r="R13" s="135"/>
      <c r="S13" s="136"/>
    </row>
    <row r="14" spans="1:19" ht="16.5">
      <c r="A14" s="134">
        <v>11</v>
      </c>
      <c r="B14" s="128">
        <v>45099</v>
      </c>
      <c r="C14" s="128" t="s">
        <v>196</v>
      </c>
      <c r="D14" s="129" t="s">
        <v>582</v>
      </c>
      <c r="E14" s="130"/>
      <c r="F14" s="130">
        <v>810</v>
      </c>
      <c r="G14" s="430"/>
      <c r="H14" s="257">
        <v>3842993120</v>
      </c>
      <c r="I14" s="130" t="s">
        <v>218</v>
      </c>
      <c r="J14" s="434"/>
      <c r="K14" s="434"/>
      <c r="L14" s="434"/>
      <c r="M14" s="130">
        <v>1</v>
      </c>
      <c r="N14" s="434"/>
      <c r="O14" s="434"/>
      <c r="P14" s="434"/>
      <c r="Q14" s="427"/>
      <c r="R14" s="428"/>
      <c r="S14" s="429"/>
    </row>
    <row r="15" spans="1:19" ht="16.5">
      <c r="A15" s="134">
        <v>12</v>
      </c>
      <c r="B15" s="128">
        <v>45099</v>
      </c>
      <c r="C15" s="128" t="s">
        <v>196</v>
      </c>
      <c r="D15" s="129" t="s">
        <v>582</v>
      </c>
      <c r="E15" s="130"/>
      <c r="F15" s="130">
        <v>810</v>
      </c>
      <c r="G15" s="430"/>
      <c r="H15" s="257">
        <v>3842993120</v>
      </c>
      <c r="I15" s="130" t="s">
        <v>218</v>
      </c>
      <c r="J15" s="434"/>
      <c r="K15" s="434"/>
      <c r="L15" s="434"/>
      <c r="M15" s="130">
        <v>1</v>
      </c>
      <c r="N15" s="434"/>
      <c r="O15" s="434"/>
      <c r="P15" s="434"/>
      <c r="Q15" s="427"/>
      <c r="R15" s="428"/>
      <c r="S15" s="429"/>
    </row>
    <row r="16" spans="1:19" ht="16.5">
      <c r="A16" s="134">
        <v>13</v>
      </c>
      <c r="B16" s="128">
        <v>45099</v>
      </c>
      <c r="C16" s="128" t="s">
        <v>196</v>
      </c>
      <c r="D16" s="129" t="s">
        <v>582</v>
      </c>
      <c r="E16" s="130"/>
      <c r="F16" s="130">
        <v>810</v>
      </c>
      <c r="G16" s="430"/>
      <c r="H16" s="257">
        <v>3842993120</v>
      </c>
      <c r="I16" s="130" t="s">
        <v>218</v>
      </c>
      <c r="J16" s="434"/>
      <c r="K16" s="434"/>
      <c r="L16" s="434"/>
      <c r="M16" s="130">
        <v>1</v>
      </c>
      <c r="N16" s="434"/>
      <c r="O16" s="434"/>
      <c r="P16" s="434"/>
      <c r="Q16" s="427"/>
      <c r="R16" s="428"/>
      <c r="S16" s="429"/>
    </row>
    <row r="17" spans="1:19" ht="16.5">
      <c r="A17" s="134">
        <v>14</v>
      </c>
      <c r="B17" s="128">
        <v>45099</v>
      </c>
      <c r="C17" s="128" t="s">
        <v>196</v>
      </c>
      <c r="D17" s="129" t="s">
        <v>582</v>
      </c>
      <c r="E17" s="130"/>
      <c r="F17" s="130">
        <v>718</v>
      </c>
      <c r="G17" s="430"/>
      <c r="H17" s="257">
        <v>3842993120</v>
      </c>
      <c r="I17" s="130" t="s">
        <v>218</v>
      </c>
      <c r="J17" s="434"/>
      <c r="K17" s="434"/>
      <c r="L17" s="434"/>
      <c r="M17" s="130">
        <v>1</v>
      </c>
      <c r="N17" s="434"/>
      <c r="O17" s="434"/>
      <c r="P17" s="434"/>
      <c r="Q17" s="427"/>
      <c r="R17" s="428"/>
      <c r="S17" s="429"/>
    </row>
    <row r="18" spans="1:19" ht="16.5">
      <c r="A18" s="134">
        <v>15</v>
      </c>
      <c r="B18" s="128">
        <v>45099</v>
      </c>
      <c r="C18" s="128" t="s">
        <v>196</v>
      </c>
      <c r="D18" s="129" t="s">
        <v>582</v>
      </c>
      <c r="E18" s="130"/>
      <c r="F18" s="130">
        <v>718</v>
      </c>
      <c r="G18" s="430"/>
      <c r="H18" s="257">
        <v>3842993120</v>
      </c>
      <c r="I18" s="130" t="s">
        <v>218</v>
      </c>
      <c r="J18" s="434"/>
      <c r="K18" s="434"/>
      <c r="L18" s="434"/>
      <c r="M18" s="130">
        <v>1</v>
      </c>
      <c r="N18" s="434"/>
      <c r="O18" s="434"/>
      <c r="P18" s="434"/>
      <c r="Q18" s="427"/>
      <c r="R18" s="428"/>
      <c r="S18" s="429"/>
    </row>
    <row r="19" spans="1:19" ht="16.5">
      <c r="A19" s="134">
        <v>16</v>
      </c>
      <c r="B19" s="128">
        <v>45099</v>
      </c>
      <c r="C19" s="128" t="s">
        <v>196</v>
      </c>
      <c r="D19" s="129" t="s">
        <v>582</v>
      </c>
      <c r="E19" s="130"/>
      <c r="F19" s="130">
        <v>718</v>
      </c>
      <c r="G19" s="430"/>
      <c r="H19" s="257">
        <v>3842993120</v>
      </c>
      <c r="I19" s="130" t="s">
        <v>218</v>
      </c>
      <c r="J19" s="434"/>
      <c r="K19" s="434"/>
      <c r="L19" s="434"/>
      <c r="M19" s="130">
        <v>1</v>
      </c>
      <c r="N19" s="434"/>
      <c r="O19" s="434"/>
      <c r="P19" s="434"/>
      <c r="Q19" s="427"/>
      <c r="R19" s="428"/>
      <c r="S19" s="429"/>
    </row>
    <row r="20" spans="1:19" ht="16.5">
      <c r="A20" s="134">
        <v>17</v>
      </c>
      <c r="B20" s="128">
        <v>45099</v>
      </c>
      <c r="C20" s="128" t="s">
        <v>196</v>
      </c>
      <c r="D20" s="129" t="s">
        <v>582</v>
      </c>
      <c r="E20" s="130"/>
      <c r="F20" s="130">
        <v>718</v>
      </c>
      <c r="G20" s="430"/>
      <c r="H20" s="257">
        <v>3842993120</v>
      </c>
      <c r="I20" s="130" t="s">
        <v>218</v>
      </c>
      <c r="J20" s="434"/>
      <c r="K20" s="434"/>
      <c r="L20" s="434"/>
      <c r="M20" s="130">
        <v>1</v>
      </c>
      <c r="N20" s="434"/>
      <c r="O20" s="434"/>
      <c r="P20" s="434"/>
      <c r="Q20" s="427"/>
      <c r="R20" s="428"/>
      <c r="S20" s="429"/>
    </row>
    <row r="21" spans="1:19" ht="16.5">
      <c r="A21" s="134">
        <v>18</v>
      </c>
      <c r="B21" s="128">
        <v>45099</v>
      </c>
      <c r="C21" s="128" t="s">
        <v>196</v>
      </c>
      <c r="D21" s="129" t="s">
        <v>582</v>
      </c>
      <c r="E21" s="130"/>
      <c r="F21" s="130">
        <v>1200</v>
      </c>
      <c r="G21" s="430"/>
      <c r="H21" s="257">
        <v>3842993120</v>
      </c>
      <c r="I21" s="130" t="s">
        <v>218</v>
      </c>
      <c r="J21" s="434"/>
      <c r="K21" s="434"/>
      <c r="L21" s="434"/>
      <c r="M21" s="130">
        <v>1</v>
      </c>
      <c r="N21" s="434"/>
      <c r="O21" s="434"/>
      <c r="P21" s="434"/>
      <c r="Q21" s="427"/>
      <c r="R21" s="428"/>
      <c r="S21" s="429"/>
    </row>
    <row r="22" spans="1:19" ht="16.5">
      <c r="A22" s="134">
        <v>19</v>
      </c>
      <c r="B22" s="128">
        <v>45099</v>
      </c>
      <c r="C22" s="128" t="s">
        <v>196</v>
      </c>
      <c r="D22" s="129" t="s">
        <v>582</v>
      </c>
      <c r="E22" s="130"/>
      <c r="F22" s="130">
        <v>1200</v>
      </c>
      <c r="G22" s="430"/>
      <c r="H22" s="257">
        <v>3842993120</v>
      </c>
      <c r="I22" s="130" t="s">
        <v>218</v>
      </c>
      <c r="J22" s="434"/>
      <c r="K22" s="434"/>
      <c r="L22" s="434"/>
      <c r="M22" s="130">
        <v>1</v>
      </c>
      <c r="N22" s="434"/>
      <c r="O22" s="434"/>
      <c r="P22" s="434"/>
      <c r="Q22" s="427"/>
      <c r="R22" s="428"/>
      <c r="S22" s="429"/>
    </row>
    <row r="23" spans="1:19" ht="16.5">
      <c r="A23" s="134">
        <v>20</v>
      </c>
      <c r="B23" s="128">
        <v>45099</v>
      </c>
      <c r="C23" s="128" t="s">
        <v>196</v>
      </c>
      <c r="D23" s="129" t="s">
        <v>582</v>
      </c>
      <c r="E23" s="130"/>
      <c r="F23" s="130">
        <v>1110</v>
      </c>
      <c r="G23" s="430"/>
      <c r="H23" s="257">
        <v>3842993120</v>
      </c>
      <c r="I23" s="130" t="s">
        <v>218</v>
      </c>
      <c r="J23" s="434"/>
      <c r="K23" s="434"/>
      <c r="L23" s="434"/>
      <c r="M23" s="130">
        <v>1</v>
      </c>
      <c r="N23" s="434"/>
      <c r="O23" s="434"/>
      <c r="P23" s="434"/>
      <c r="Q23" s="427"/>
      <c r="R23" s="428"/>
      <c r="S23" s="429"/>
    </row>
    <row r="24" spans="1:19" ht="16.5">
      <c r="A24" s="134">
        <v>21</v>
      </c>
      <c r="B24" s="128">
        <v>45099</v>
      </c>
      <c r="C24" s="128" t="s">
        <v>196</v>
      </c>
      <c r="D24" s="129" t="s">
        <v>582</v>
      </c>
      <c r="E24" s="130"/>
      <c r="F24" s="130">
        <v>1110</v>
      </c>
      <c r="G24" s="430"/>
      <c r="H24" s="257">
        <v>3842993120</v>
      </c>
      <c r="I24" s="130" t="s">
        <v>218</v>
      </c>
      <c r="J24" s="434"/>
      <c r="K24" s="434"/>
      <c r="L24" s="434"/>
      <c r="M24" s="130">
        <v>1</v>
      </c>
      <c r="N24" s="434"/>
      <c r="O24" s="434"/>
      <c r="P24" s="434"/>
      <c r="Q24" s="427"/>
      <c r="R24" s="428"/>
      <c r="S24" s="429"/>
    </row>
    <row r="25" spans="1:19" ht="16.5">
      <c r="A25" s="134">
        <v>22</v>
      </c>
      <c r="B25" s="128">
        <v>45099</v>
      </c>
      <c r="C25" s="128" t="s">
        <v>196</v>
      </c>
      <c r="D25" s="129" t="s">
        <v>582</v>
      </c>
      <c r="E25" s="130"/>
      <c r="F25" s="130">
        <v>1110</v>
      </c>
      <c r="G25" s="430"/>
      <c r="H25" s="257">
        <v>3842993120</v>
      </c>
      <c r="I25" s="130" t="s">
        <v>218</v>
      </c>
      <c r="J25" s="434"/>
      <c r="K25" s="434"/>
      <c r="L25" s="434"/>
      <c r="M25" s="130">
        <v>1</v>
      </c>
      <c r="N25" s="434"/>
      <c r="O25" s="434"/>
      <c r="P25" s="434"/>
      <c r="Q25" s="427"/>
      <c r="R25" s="428"/>
      <c r="S25" s="429"/>
    </row>
    <row r="26" spans="1:19" ht="16.5">
      <c r="A26" s="134">
        <v>23</v>
      </c>
      <c r="B26" s="128">
        <v>45099</v>
      </c>
      <c r="C26" s="128" t="s">
        <v>196</v>
      </c>
      <c r="D26" s="129" t="s">
        <v>582</v>
      </c>
      <c r="E26" s="130"/>
      <c r="F26" s="130">
        <v>1110</v>
      </c>
      <c r="G26" s="430"/>
      <c r="H26" s="257">
        <v>3842993120</v>
      </c>
      <c r="I26" s="130" t="s">
        <v>218</v>
      </c>
      <c r="J26" s="434"/>
      <c r="K26" s="434"/>
      <c r="L26" s="434"/>
      <c r="M26" s="130">
        <v>1</v>
      </c>
      <c r="N26" s="434"/>
      <c r="O26" s="434"/>
      <c r="P26" s="434"/>
      <c r="Q26" s="427"/>
      <c r="R26" s="428"/>
      <c r="S26" s="429"/>
    </row>
    <row r="27" spans="1:19" ht="16.5">
      <c r="A27" s="134">
        <v>24</v>
      </c>
      <c r="B27" s="128">
        <v>45099</v>
      </c>
      <c r="C27" s="128" t="s">
        <v>196</v>
      </c>
      <c r="D27" s="129" t="s">
        <v>582</v>
      </c>
      <c r="E27" s="130"/>
      <c r="F27" s="130">
        <v>810</v>
      </c>
      <c r="G27" s="430"/>
      <c r="H27" s="257">
        <v>3842993120</v>
      </c>
      <c r="I27" s="130" t="s">
        <v>218</v>
      </c>
      <c r="J27" s="434"/>
      <c r="K27" s="434"/>
      <c r="L27" s="434"/>
      <c r="M27" s="130">
        <v>1</v>
      </c>
      <c r="N27" s="434"/>
      <c r="O27" s="434"/>
      <c r="P27" s="434"/>
      <c r="Q27" s="427"/>
      <c r="R27" s="428"/>
      <c r="S27" s="429"/>
    </row>
    <row r="28" spans="1:19" ht="16.5">
      <c r="A28" s="134">
        <v>25</v>
      </c>
      <c r="B28" s="128">
        <v>45099</v>
      </c>
      <c r="C28" s="128" t="s">
        <v>196</v>
      </c>
      <c r="D28" s="129" t="s">
        <v>582</v>
      </c>
      <c r="E28" s="130"/>
      <c r="F28" s="130">
        <v>810</v>
      </c>
      <c r="G28" s="430"/>
      <c r="H28" s="257">
        <v>3842993120</v>
      </c>
      <c r="I28" s="130" t="s">
        <v>218</v>
      </c>
      <c r="J28" s="434"/>
      <c r="K28" s="434"/>
      <c r="L28" s="434"/>
      <c r="M28" s="130">
        <v>1</v>
      </c>
      <c r="N28" s="434"/>
      <c r="O28" s="434"/>
      <c r="P28" s="434"/>
      <c r="Q28" s="427"/>
      <c r="R28" s="428"/>
      <c r="S28" s="429"/>
    </row>
    <row r="29" spans="1:19" ht="16.5">
      <c r="A29" s="134">
        <v>26</v>
      </c>
      <c r="B29" s="128">
        <v>45099</v>
      </c>
      <c r="C29" s="128" t="s">
        <v>196</v>
      </c>
      <c r="D29" s="129" t="s">
        <v>582</v>
      </c>
      <c r="E29" s="130"/>
      <c r="F29" s="130">
        <v>810</v>
      </c>
      <c r="G29" s="430"/>
      <c r="H29" s="257">
        <v>3842993120</v>
      </c>
      <c r="I29" s="130" t="s">
        <v>218</v>
      </c>
      <c r="J29" s="434"/>
      <c r="K29" s="434"/>
      <c r="L29" s="434"/>
      <c r="M29" s="130">
        <v>1</v>
      </c>
      <c r="N29" s="434"/>
      <c r="O29" s="434"/>
      <c r="P29" s="434"/>
      <c r="Q29" s="427"/>
      <c r="R29" s="428"/>
      <c r="S29" s="429"/>
    </row>
    <row r="30" spans="1:19" ht="16.5">
      <c r="A30" s="134">
        <v>27</v>
      </c>
      <c r="B30" s="128">
        <v>45099</v>
      </c>
      <c r="C30" s="128" t="s">
        <v>196</v>
      </c>
      <c r="D30" s="129" t="s">
        <v>582</v>
      </c>
      <c r="E30" s="130"/>
      <c r="F30" s="130">
        <v>810</v>
      </c>
      <c r="G30" s="430"/>
      <c r="H30" s="257">
        <v>3842993120</v>
      </c>
      <c r="I30" s="130" t="s">
        <v>218</v>
      </c>
      <c r="J30" s="434"/>
      <c r="K30" s="434"/>
      <c r="L30" s="434"/>
      <c r="M30" s="130">
        <v>1</v>
      </c>
      <c r="N30" s="434"/>
      <c r="O30" s="434"/>
      <c r="P30" s="434"/>
      <c r="Q30" s="427"/>
      <c r="R30" s="428"/>
      <c r="S30" s="429"/>
    </row>
    <row r="31" spans="1:19" ht="16.5">
      <c r="A31" s="134">
        <v>28</v>
      </c>
      <c r="B31" s="128">
        <v>45099</v>
      </c>
      <c r="C31" s="128" t="s">
        <v>196</v>
      </c>
      <c r="D31" s="129" t="s">
        <v>582</v>
      </c>
      <c r="E31" s="130"/>
      <c r="F31" s="130">
        <v>810</v>
      </c>
      <c r="G31" s="430"/>
      <c r="H31" s="257">
        <v>3842993120</v>
      </c>
      <c r="I31" s="130" t="s">
        <v>218</v>
      </c>
      <c r="J31" s="434"/>
      <c r="K31" s="434"/>
      <c r="L31" s="434"/>
      <c r="M31" s="130">
        <v>1</v>
      </c>
      <c r="N31" s="434"/>
      <c r="O31" s="434"/>
      <c r="P31" s="434"/>
      <c r="Q31" s="427"/>
      <c r="R31" s="428"/>
      <c r="S31" s="429"/>
    </row>
    <row r="32" spans="1:19" ht="16.5">
      <c r="A32" s="134">
        <v>29</v>
      </c>
      <c r="B32" s="128">
        <v>45099</v>
      </c>
      <c r="C32" s="128" t="s">
        <v>196</v>
      </c>
      <c r="D32" s="129" t="s">
        <v>582</v>
      </c>
      <c r="E32" s="130"/>
      <c r="F32" s="130">
        <v>810</v>
      </c>
      <c r="G32" s="430"/>
      <c r="H32" s="257">
        <v>3842993120</v>
      </c>
      <c r="I32" s="130" t="s">
        <v>218</v>
      </c>
      <c r="J32" s="434"/>
      <c r="K32" s="434"/>
      <c r="L32" s="434"/>
      <c r="M32" s="130">
        <v>1</v>
      </c>
      <c r="N32" s="434"/>
      <c r="O32" s="434"/>
      <c r="P32" s="434"/>
      <c r="Q32" s="427"/>
      <c r="R32" s="428"/>
      <c r="S32" s="429"/>
    </row>
    <row r="33" spans="1:19" ht="16.5">
      <c r="A33" s="134"/>
      <c r="B33" s="128"/>
      <c r="C33" s="128"/>
      <c r="D33" s="129"/>
      <c r="E33" s="130"/>
      <c r="F33" s="130"/>
      <c r="G33" s="430"/>
      <c r="H33" s="130"/>
      <c r="I33" s="130"/>
      <c r="J33" s="130"/>
      <c r="K33" s="130"/>
      <c r="L33" s="130"/>
      <c r="M33" s="130"/>
      <c r="N33" s="130"/>
      <c r="O33" s="130"/>
      <c r="P33" s="130"/>
      <c r="Q33" s="427"/>
      <c r="R33" s="428"/>
      <c r="S33" s="429"/>
    </row>
    <row r="34" spans="1:19" ht="16.5">
      <c r="A34" s="134"/>
      <c r="B34" s="128"/>
      <c r="C34" s="128"/>
      <c r="D34" s="129"/>
      <c r="E34" s="130"/>
      <c r="F34" s="130"/>
      <c r="G34" s="430"/>
      <c r="H34" s="130"/>
      <c r="I34" s="130"/>
      <c r="J34" s="130"/>
      <c r="K34" s="130"/>
      <c r="L34" s="130"/>
      <c r="M34" s="130"/>
      <c r="N34" s="130"/>
      <c r="O34" s="130"/>
      <c r="P34" s="130"/>
      <c r="Q34" s="427"/>
      <c r="R34" s="428"/>
      <c r="S34" s="429"/>
    </row>
    <row r="35" spans="1:19" ht="16.5">
      <c r="A35" s="134"/>
      <c r="B35" s="128"/>
      <c r="C35" s="128"/>
      <c r="D35" s="129"/>
      <c r="E35" s="130"/>
      <c r="F35" s="130"/>
      <c r="G35" s="430"/>
      <c r="H35" s="130"/>
      <c r="I35" s="130"/>
      <c r="J35" s="130"/>
      <c r="K35" s="130"/>
      <c r="L35" s="130"/>
      <c r="M35" s="130"/>
      <c r="N35" s="130"/>
      <c r="O35" s="130"/>
      <c r="P35" s="130"/>
      <c r="Q35" s="427"/>
      <c r="R35" s="428"/>
      <c r="S35" s="429"/>
    </row>
    <row r="36" spans="1:19" ht="16.5">
      <c r="A36" s="134"/>
      <c r="B36" s="128"/>
      <c r="C36" s="128"/>
      <c r="D36" s="129"/>
      <c r="E36" s="130"/>
      <c r="F36" s="130"/>
      <c r="G36" s="430"/>
      <c r="H36" s="130"/>
      <c r="I36" s="130"/>
      <c r="J36" s="130"/>
      <c r="K36" s="130"/>
      <c r="L36" s="130"/>
      <c r="M36" s="130"/>
      <c r="N36" s="130"/>
      <c r="O36" s="130"/>
      <c r="P36" s="130"/>
      <c r="Q36" s="427"/>
      <c r="R36" s="428"/>
      <c r="S36" s="429"/>
    </row>
    <row r="37" spans="1:19" ht="16.5">
      <c r="A37" s="134"/>
      <c r="B37" s="128"/>
      <c r="C37" s="128"/>
      <c r="D37" s="129"/>
      <c r="E37" s="130"/>
      <c r="F37" s="130"/>
      <c r="G37" s="430"/>
      <c r="H37" s="130"/>
      <c r="I37" s="130"/>
      <c r="J37" s="130"/>
      <c r="K37" s="130"/>
      <c r="L37" s="130"/>
      <c r="M37" s="130"/>
      <c r="N37" s="130"/>
      <c r="O37" s="130"/>
      <c r="P37" s="130"/>
      <c r="Q37" s="427"/>
      <c r="R37" s="428"/>
      <c r="S37" s="429"/>
    </row>
    <row r="38" spans="1:19">
      <c r="B38" s="138"/>
      <c r="C38" s="139"/>
      <c r="D38" s="140"/>
      <c r="E38" s="140" t="s">
        <v>121</v>
      </c>
      <c r="F38" s="141"/>
      <c r="G38" s="141"/>
      <c r="H38" s="141"/>
      <c r="I38" s="141"/>
      <c r="J38" s="138"/>
      <c r="K38" s="138"/>
      <c r="L38" s="138"/>
      <c r="M38" s="141"/>
      <c r="N38" s="142"/>
      <c r="O38" s="143"/>
      <c r="P38" s="144"/>
      <c r="Q38" s="144"/>
      <c r="R38" s="141"/>
      <c r="S38" s="142"/>
    </row>
    <row r="39" spans="1:19">
      <c r="B39" s="138"/>
      <c r="C39" s="139"/>
      <c r="D39" s="140"/>
      <c r="E39" s="140"/>
      <c r="F39" s="141"/>
      <c r="G39" s="141"/>
      <c r="H39" s="141"/>
      <c r="I39" s="141"/>
      <c r="J39" s="138"/>
      <c r="K39" s="138"/>
      <c r="L39" s="138"/>
      <c r="M39" s="141"/>
      <c r="N39" s="142"/>
      <c r="O39" s="143"/>
      <c r="P39" s="144"/>
      <c r="Q39" s="144"/>
      <c r="R39" s="141"/>
      <c r="S39" s="142"/>
    </row>
    <row r="40" spans="1:19">
      <c r="B40" s="138"/>
      <c r="C40" s="139"/>
      <c r="D40" s="140"/>
      <c r="E40" s="140"/>
      <c r="F40" s="141"/>
      <c r="G40" s="141"/>
      <c r="H40" s="141"/>
      <c r="I40" s="141"/>
      <c r="J40" s="138"/>
      <c r="K40" s="138"/>
      <c r="L40" s="138"/>
      <c r="M40" s="141"/>
      <c r="N40" s="142"/>
      <c r="O40" s="143"/>
      <c r="P40" s="144"/>
      <c r="Q40" s="144"/>
      <c r="R40" s="141"/>
      <c r="S40" s="142"/>
    </row>
    <row r="41" spans="1:19">
      <c r="B41" s="138"/>
      <c r="C41" s="139"/>
      <c r="D41" s="140"/>
      <c r="E41" s="140"/>
      <c r="F41" s="141"/>
      <c r="G41" s="141"/>
      <c r="H41" s="141"/>
      <c r="I41" s="141"/>
      <c r="J41" s="138"/>
      <c r="K41" s="138"/>
      <c r="L41" s="138"/>
      <c r="M41" s="141"/>
      <c r="N41" s="142"/>
      <c r="O41" s="143"/>
      <c r="P41" s="144"/>
      <c r="Q41" s="144"/>
      <c r="R41" s="141"/>
      <c r="S41" s="142"/>
    </row>
    <row r="42" spans="1:19">
      <c r="B42" s="138"/>
      <c r="C42" s="139"/>
      <c r="D42" s="140"/>
      <c r="E42" s="140"/>
      <c r="F42" s="141"/>
      <c r="G42" s="141"/>
      <c r="H42" s="141"/>
      <c r="I42" s="141"/>
      <c r="J42" s="138"/>
      <c r="K42" s="138"/>
      <c r="L42" s="138"/>
      <c r="M42" s="141"/>
      <c r="N42" s="142"/>
      <c r="O42" s="143"/>
      <c r="P42" s="144"/>
      <c r="Q42" s="144"/>
      <c r="R42" s="141"/>
      <c r="S42" s="142"/>
    </row>
    <row r="43" spans="1:19">
      <c r="B43" s="138"/>
      <c r="C43" s="139"/>
      <c r="D43" s="140"/>
      <c r="E43" s="140"/>
      <c r="F43" s="141"/>
      <c r="G43" s="141"/>
      <c r="H43" s="141"/>
      <c r="I43" s="141"/>
      <c r="J43" s="138"/>
      <c r="K43" s="138"/>
      <c r="L43" s="138"/>
      <c r="M43" s="141"/>
      <c r="N43" s="142"/>
      <c r="O43" s="143"/>
      <c r="P43" s="144"/>
      <c r="Q43" s="144"/>
      <c r="R43" s="141"/>
      <c r="S43" s="142"/>
    </row>
    <row r="44" spans="1:19">
      <c r="B44" s="138"/>
      <c r="C44" s="139"/>
      <c r="D44" s="140"/>
      <c r="E44" s="140"/>
      <c r="F44" s="141"/>
      <c r="G44" s="141"/>
      <c r="H44" s="141"/>
      <c r="I44" s="141"/>
      <c r="J44" s="138"/>
      <c r="K44" s="138"/>
      <c r="L44" s="138"/>
      <c r="M44" s="141"/>
      <c r="N44" s="142"/>
      <c r="O44" s="143"/>
      <c r="P44" s="144"/>
      <c r="Q44" s="144"/>
      <c r="R44" s="141"/>
      <c r="S44" s="142"/>
    </row>
    <row r="45" spans="1:19">
      <c r="B45" s="138"/>
      <c r="C45" s="139"/>
      <c r="D45" s="140"/>
      <c r="E45" s="140"/>
      <c r="F45" s="141"/>
      <c r="G45" s="141"/>
      <c r="H45" s="141"/>
      <c r="I45" s="141"/>
      <c r="J45" s="138"/>
      <c r="K45" s="138"/>
      <c r="L45" s="138"/>
      <c r="M45" s="141"/>
      <c r="N45" s="142"/>
      <c r="O45" s="143"/>
      <c r="P45" s="144"/>
      <c r="Q45" s="144"/>
      <c r="R45" s="141"/>
      <c r="S45" s="142"/>
    </row>
    <row r="46" spans="1:19">
      <c r="B46" s="138"/>
      <c r="C46" s="139"/>
      <c r="D46" s="140"/>
      <c r="E46" s="140"/>
      <c r="F46" s="141"/>
      <c r="G46" s="141"/>
      <c r="H46" s="141"/>
      <c r="I46" s="141"/>
      <c r="J46" s="138"/>
      <c r="K46" s="138"/>
      <c r="L46" s="138"/>
      <c r="M46" s="141"/>
      <c r="N46" s="142"/>
      <c r="O46" s="143"/>
      <c r="P46" s="144"/>
      <c r="Q46" s="144"/>
      <c r="R46" s="141"/>
      <c r="S46" s="142"/>
    </row>
    <row r="47" spans="1:19">
      <c r="B47" s="138"/>
      <c r="C47" s="139"/>
      <c r="D47" s="140"/>
      <c r="E47" s="140"/>
      <c r="F47" s="141"/>
      <c r="G47" s="141"/>
      <c r="H47" s="141"/>
      <c r="I47" s="141"/>
      <c r="J47" s="138"/>
      <c r="K47" s="138"/>
      <c r="L47" s="138"/>
      <c r="M47" s="141"/>
      <c r="N47" s="142"/>
      <c r="O47" s="143"/>
      <c r="P47" s="144"/>
      <c r="Q47" s="144"/>
      <c r="R47" s="141"/>
      <c r="S47" s="142"/>
    </row>
    <row r="48" spans="1:19">
      <c r="B48" s="138"/>
      <c r="C48" s="139"/>
      <c r="D48" s="140"/>
      <c r="E48" s="140"/>
      <c r="F48" s="141"/>
      <c r="G48" s="141"/>
      <c r="H48" s="141"/>
      <c r="I48" s="141"/>
      <c r="J48" s="138"/>
      <c r="K48" s="138"/>
      <c r="L48" s="138"/>
      <c r="M48" s="141"/>
      <c r="N48" s="142"/>
      <c r="O48" s="143"/>
      <c r="P48" s="144"/>
      <c r="Q48" s="144"/>
      <c r="R48" s="141"/>
      <c r="S48" s="142"/>
    </row>
    <row r="49" spans="2:19">
      <c r="B49" s="138"/>
      <c r="C49" s="139"/>
      <c r="D49" s="140"/>
      <c r="E49" s="140"/>
      <c r="F49" s="141"/>
      <c r="G49" s="141"/>
      <c r="H49" s="141"/>
      <c r="I49" s="141"/>
      <c r="J49" s="138"/>
      <c r="K49" s="138"/>
      <c r="L49" s="138"/>
      <c r="M49" s="141"/>
      <c r="N49" s="142"/>
      <c r="O49" s="143"/>
      <c r="P49" s="144"/>
      <c r="Q49" s="144"/>
      <c r="R49" s="141"/>
      <c r="S49" s="142"/>
    </row>
    <row r="50" spans="2:19">
      <c r="B50" s="138"/>
      <c r="C50" s="139"/>
      <c r="D50" s="140"/>
      <c r="E50" s="140"/>
      <c r="F50" s="141"/>
      <c r="G50" s="141"/>
      <c r="H50" s="141"/>
      <c r="I50" s="141"/>
      <c r="J50" s="138"/>
      <c r="K50" s="138"/>
      <c r="L50" s="138"/>
      <c r="M50" s="141"/>
      <c r="N50" s="142"/>
      <c r="O50" s="143"/>
      <c r="P50" s="144"/>
      <c r="Q50" s="144"/>
      <c r="R50" s="141"/>
      <c r="S50" s="142"/>
    </row>
    <row r="51" spans="2:19">
      <c r="B51" s="138"/>
      <c r="C51" s="139"/>
      <c r="D51" s="140"/>
      <c r="E51" s="140"/>
      <c r="F51" s="141"/>
      <c r="G51" s="141"/>
      <c r="H51" s="141"/>
      <c r="I51" s="141"/>
      <c r="J51" s="138"/>
      <c r="K51" s="138"/>
      <c r="L51" s="138"/>
      <c r="M51" s="141"/>
      <c r="N51" s="142"/>
      <c r="O51" s="143"/>
      <c r="P51" s="144"/>
      <c r="Q51" s="144"/>
      <c r="R51" s="141"/>
      <c r="S51" s="142"/>
    </row>
    <row r="52" spans="2:19">
      <c r="B52" s="138"/>
      <c r="C52" s="139"/>
      <c r="D52" s="140"/>
      <c r="E52" s="140"/>
      <c r="F52" s="141"/>
      <c r="G52" s="141"/>
      <c r="H52" s="141"/>
      <c r="I52" s="141"/>
      <c r="J52" s="138"/>
      <c r="K52" s="138"/>
      <c r="L52" s="138"/>
      <c r="M52" s="141"/>
      <c r="N52" s="142"/>
      <c r="O52" s="143"/>
      <c r="P52" s="144"/>
      <c r="Q52" s="144"/>
      <c r="R52" s="141"/>
      <c r="S52" s="142"/>
    </row>
    <row r="53" spans="2:19">
      <c r="B53" s="138"/>
      <c r="C53" s="139"/>
      <c r="D53" s="140"/>
      <c r="E53" s="140"/>
      <c r="F53" s="141"/>
      <c r="G53" s="141"/>
      <c r="H53" s="141"/>
      <c r="I53" s="141"/>
      <c r="J53" s="138"/>
      <c r="K53" s="138"/>
      <c r="L53" s="138"/>
      <c r="M53" s="141"/>
      <c r="N53" s="142"/>
      <c r="O53" s="143"/>
      <c r="P53" s="144"/>
      <c r="Q53" s="144"/>
      <c r="R53" s="141"/>
      <c r="S53" s="142"/>
    </row>
    <row r="54" spans="2:19">
      <c r="B54" s="138"/>
      <c r="C54" s="139"/>
      <c r="D54" s="140"/>
      <c r="E54" s="140"/>
      <c r="F54" s="141"/>
      <c r="G54" s="141"/>
      <c r="H54" s="141"/>
      <c r="I54" s="141"/>
      <c r="J54" s="138"/>
      <c r="K54" s="138"/>
      <c r="L54" s="138"/>
      <c r="M54" s="141"/>
      <c r="N54" s="142"/>
      <c r="O54" s="143"/>
      <c r="P54" s="144"/>
      <c r="Q54" s="144"/>
      <c r="R54" s="141"/>
      <c r="S54" s="142"/>
    </row>
    <row r="55" spans="2:19">
      <c r="B55" s="138"/>
      <c r="C55" s="139"/>
      <c r="D55" s="140"/>
      <c r="E55" s="140"/>
      <c r="F55" s="141"/>
      <c r="G55" s="141"/>
      <c r="H55" s="141"/>
      <c r="I55" s="141"/>
      <c r="J55" s="138"/>
      <c r="K55" s="138"/>
      <c r="L55" s="138"/>
      <c r="M55" s="141"/>
      <c r="N55" s="142"/>
      <c r="O55" s="143"/>
      <c r="P55" s="144"/>
      <c r="Q55" s="144"/>
      <c r="R55" s="141"/>
      <c r="S55" s="142"/>
    </row>
    <row r="56" spans="2:19">
      <c r="B56" s="138"/>
      <c r="C56" s="139"/>
      <c r="D56" s="140"/>
      <c r="E56" s="140"/>
      <c r="F56" s="141"/>
      <c r="G56" s="141"/>
      <c r="H56" s="141"/>
      <c r="I56" s="141"/>
      <c r="J56" s="138"/>
      <c r="K56" s="138"/>
      <c r="L56" s="138"/>
      <c r="M56" s="141"/>
      <c r="N56" s="142"/>
      <c r="O56" s="143"/>
      <c r="P56" s="144"/>
      <c r="Q56" s="144"/>
      <c r="R56" s="141"/>
      <c r="S56" s="142"/>
    </row>
    <row r="57" spans="2:19">
      <c r="B57" s="138"/>
      <c r="C57" s="139"/>
      <c r="D57" s="140"/>
      <c r="E57" s="140"/>
      <c r="F57" s="141"/>
      <c r="G57" s="141"/>
      <c r="H57" s="141"/>
      <c r="I57" s="141"/>
      <c r="J57" s="138"/>
      <c r="K57" s="138"/>
      <c r="L57" s="138"/>
      <c r="M57" s="141"/>
      <c r="N57" s="142"/>
      <c r="O57" s="143"/>
      <c r="P57" s="144"/>
      <c r="Q57" s="144"/>
      <c r="R57" s="141"/>
      <c r="S57" s="142"/>
    </row>
    <row r="58" spans="2:19">
      <c r="B58" s="138"/>
      <c r="C58" s="139"/>
      <c r="D58" s="140"/>
      <c r="E58" s="140"/>
      <c r="F58" s="141"/>
      <c r="G58" s="141"/>
      <c r="H58" s="141"/>
      <c r="I58" s="141"/>
      <c r="J58" s="138"/>
      <c r="K58" s="138"/>
      <c r="L58" s="138"/>
      <c r="M58" s="141"/>
      <c r="N58" s="142"/>
      <c r="O58" s="143"/>
      <c r="P58" s="144"/>
      <c r="Q58" s="144"/>
      <c r="R58" s="141"/>
      <c r="S58" s="142"/>
    </row>
    <row r="59" spans="2:19">
      <c r="B59" s="138"/>
      <c r="C59" s="139"/>
      <c r="D59" s="140"/>
      <c r="E59" s="140"/>
      <c r="F59" s="141"/>
      <c r="G59" s="141"/>
      <c r="H59" s="141"/>
      <c r="I59" s="141"/>
      <c r="J59" s="138"/>
      <c r="K59" s="138"/>
      <c r="L59" s="138"/>
      <c r="M59" s="141"/>
      <c r="N59" s="142"/>
      <c r="O59" s="143"/>
      <c r="P59" s="144"/>
      <c r="Q59" s="144"/>
      <c r="R59" s="141"/>
      <c r="S59" s="142"/>
    </row>
    <row r="60" spans="2:19">
      <c r="B60" s="138"/>
      <c r="C60" s="139"/>
      <c r="D60" s="140"/>
      <c r="E60" s="140"/>
      <c r="F60" s="141"/>
      <c r="G60" s="141"/>
      <c r="H60" s="141"/>
      <c r="I60" s="141"/>
      <c r="J60" s="138"/>
      <c r="K60" s="138"/>
      <c r="L60" s="138"/>
      <c r="M60" s="141"/>
      <c r="N60" s="142"/>
      <c r="O60" s="143"/>
      <c r="P60" s="144"/>
      <c r="Q60" s="144"/>
      <c r="R60" s="141"/>
      <c r="S60" s="142"/>
    </row>
    <row r="61" spans="2:19">
      <c r="B61" s="138"/>
      <c r="C61" s="139"/>
      <c r="D61" s="140"/>
      <c r="E61" s="140"/>
      <c r="F61" s="141"/>
      <c r="G61" s="141"/>
      <c r="H61" s="141"/>
      <c r="I61" s="141"/>
      <c r="J61" s="138"/>
      <c r="K61" s="138"/>
      <c r="L61" s="138"/>
      <c r="M61" s="141"/>
      <c r="N61" s="142"/>
      <c r="O61" s="143"/>
      <c r="P61" s="144"/>
      <c r="Q61" s="144"/>
      <c r="R61" s="141"/>
      <c r="S61" s="142"/>
    </row>
    <row r="62" spans="2:19">
      <c r="B62" s="138"/>
      <c r="C62" s="139"/>
      <c r="D62" s="140"/>
      <c r="E62" s="140"/>
      <c r="F62" s="141"/>
      <c r="G62" s="141"/>
      <c r="H62" s="141"/>
      <c r="I62" s="141"/>
      <c r="J62" s="138"/>
      <c r="K62" s="138"/>
      <c r="L62" s="138"/>
      <c r="M62" s="141"/>
      <c r="N62" s="142"/>
      <c r="O62" s="143"/>
      <c r="P62" s="144"/>
      <c r="Q62" s="144"/>
      <c r="R62" s="141"/>
      <c r="S62" s="142"/>
    </row>
    <row r="63" spans="2:19">
      <c r="B63" s="138"/>
      <c r="C63" s="139"/>
      <c r="D63" s="140"/>
      <c r="E63" s="140"/>
      <c r="F63" s="141"/>
      <c r="G63" s="141"/>
      <c r="H63" s="141"/>
      <c r="I63" s="141"/>
      <c r="J63" s="138"/>
      <c r="K63" s="138"/>
      <c r="L63" s="138"/>
      <c r="M63" s="141"/>
      <c r="N63" s="142"/>
      <c r="O63" s="143"/>
      <c r="P63" s="144"/>
      <c r="Q63" s="144"/>
      <c r="R63" s="141"/>
      <c r="S63" s="142"/>
    </row>
    <row r="64" spans="2:19">
      <c r="B64" s="138"/>
      <c r="C64" s="139"/>
      <c r="D64" s="140"/>
      <c r="E64" s="140"/>
      <c r="F64" s="141"/>
      <c r="G64" s="141"/>
      <c r="H64" s="141"/>
      <c r="I64" s="141"/>
      <c r="J64" s="138"/>
      <c r="K64" s="138"/>
      <c r="L64" s="138"/>
      <c r="M64" s="141"/>
      <c r="N64" s="142"/>
      <c r="O64" s="143"/>
      <c r="P64" s="144"/>
      <c r="Q64" s="144"/>
      <c r="R64" s="141"/>
      <c r="S64" s="142"/>
    </row>
    <row r="65" spans="2:19">
      <c r="B65" s="138"/>
      <c r="C65" s="139"/>
      <c r="D65" s="140"/>
      <c r="E65" s="140"/>
      <c r="F65" s="141"/>
      <c r="G65" s="141"/>
      <c r="H65" s="141"/>
      <c r="I65" s="141"/>
      <c r="J65" s="138"/>
      <c r="K65" s="138"/>
      <c r="L65" s="138"/>
      <c r="M65" s="141"/>
      <c r="N65" s="142"/>
      <c r="O65" s="143"/>
      <c r="P65" s="144"/>
      <c r="Q65" s="144"/>
      <c r="R65" s="141"/>
      <c r="S65" s="142"/>
    </row>
    <row r="66" spans="2:19">
      <c r="B66" s="138"/>
      <c r="C66" s="139"/>
      <c r="D66" s="140"/>
      <c r="E66" s="140"/>
      <c r="F66" s="141"/>
      <c r="G66" s="141"/>
      <c r="H66" s="141"/>
      <c r="I66" s="141"/>
      <c r="J66" s="138"/>
      <c r="K66" s="138"/>
      <c r="L66" s="138"/>
      <c r="M66" s="141"/>
      <c r="N66" s="142"/>
      <c r="O66" s="143"/>
      <c r="P66" s="144"/>
      <c r="Q66" s="144"/>
      <c r="R66" s="141"/>
      <c r="S66" s="142"/>
    </row>
    <row r="67" spans="2:19">
      <c r="B67" s="138"/>
      <c r="C67" s="139"/>
      <c r="D67" s="140"/>
      <c r="E67" s="140"/>
      <c r="F67" s="141"/>
      <c r="G67" s="141"/>
      <c r="H67" s="141"/>
      <c r="I67" s="141"/>
      <c r="J67" s="138"/>
      <c r="K67" s="138"/>
      <c r="L67" s="138"/>
      <c r="M67" s="141"/>
      <c r="N67" s="142"/>
      <c r="O67" s="143"/>
      <c r="P67" s="144"/>
      <c r="Q67" s="144"/>
      <c r="R67" s="141"/>
      <c r="S67" s="142"/>
    </row>
    <row r="68" spans="2:19">
      <c r="B68" s="138"/>
      <c r="C68" s="139"/>
      <c r="D68" s="140"/>
      <c r="E68" s="140"/>
      <c r="F68" s="141"/>
      <c r="G68" s="141"/>
      <c r="H68" s="141"/>
      <c r="I68" s="141"/>
      <c r="J68" s="138"/>
      <c r="K68" s="138"/>
      <c r="L68" s="138"/>
      <c r="M68" s="141"/>
      <c r="N68" s="142"/>
      <c r="O68" s="143"/>
      <c r="P68" s="144"/>
      <c r="Q68" s="144"/>
      <c r="R68" s="141"/>
      <c r="S68" s="142"/>
    </row>
    <row r="69" spans="2:19">
      <c r="B69" s="138"/>
      <c r="C69" s="139"/>
      <c r="D69" s="140"/>
      <c r="E69" s="140"/>
      <c r="F69" s="141"/>
      <c r="G69" s="141"/>
      <c r="H69" s="141"/>
      <c r="I69" s="141"/>
      <c r="J69" s="138"/>
      <c r="K69" s="138"/>
      <c r="L69" s="138"/>
      <c r="M69" s="141"/>
      <c r="N69" s="142"/>
      <c r="O69" s="143"/>
      <c r="P69" s="144"/>
      <c r="Q69" s="144"/>
      <c r="R69" s="141"/>
      <c r="S69" s="142"/>
    </row>
    <row r="70" spans="2:19">
      <c r="B70" s="138"/>
      <c r="C70" s="139"/>
      <c r="D70" s="140"/>
      <c r="E70" s="140"/>
      <c r="F70" s="141"/>
      <c r="G70" s="141"/>
      <c r="H70" s="141"/>
      <c r="I70" s="141"/>
      <c r="J70" s="138"/>
      <c r="K70" s="138"/>
      <c r="L70" s="138"/>
      <c r="M70" s="141"/>
      <c r="N70" s="142"/>
      <c r="O70" s="143"/>
      <c r="P70" s="144"/>
      <c r="Q70" s="144"/>
      <c r="R70" s="141"/>
      <c r="S70" s="142"/>
    </row>
    <row r="71" spans="2:19">
      <c r="B71" s="138"/>
      <c r="C71" s="139"/>
      <c r="D71" s="140"/>
      <c r="E71" s="140"/>
      <c r="F71" s="141"/>
      <c r="G71" s="141"/>
      <c r="H71" s="141"/>
      <c r="I71" s="141"/>
      <c r="J71" s="138"/>
      <c r="K71" s="138"/>
      <c r="L71" s="138"/>
      <c r="M71" s="141"/>
      <c r="N71" s="142"/>
      <c r="O71" s="143"/>
      <c r="P71" s="144"/>
      <c r="Q71" s="144"/>
      <c r="R71" s="141"/>
      <c r="S71" s="142"/>
    </row>
    <row r="72" spans="2:19">
      <c r="B72" s="138"/>
      <c r="C72" s="139"/>
      <c r="D72" s="140"/>
      <c r="E72" s="140"/>
      <c r="F72" s="141"/>
      <c r="G72" s="141"/>
      <c r="H72" s="141"/>
      <c r="I72" s="141"/>
      <c r="J72" s="138"/>
      <c r="K72" s="138"/>
      <c r="L72" s="138"/>
      <c r="M72" s="141"/>
      <c r="N72" s="142"/>
      <c r="O72" s="143"/>
      <c r="P72" s="144"/>
      <c r="Q72" s="144"/>
      <c r="R72" s="141"/>
      <c r="S72" s="142"/>
    </row>
    <row r="73" spans="2:19">
      <c r="B73" s="138"/>
      <c r="C73" s="139"/>
      <c r="D73" s="140"/>
      <c r="E73" s="140"/>
      <c r="F73" s="141"/>
      <c r="G73" s="141"/>
      <c r="H73" s="141"/>
      <c r="I73" s="141"/>
      <c r="J73" s="138"/>
      <c r="K73" s="138"/>
      <c r="L73" s="138"/>
      <c r="M73" s="141"/>
      <c r="N73" s="142"/>
      <c r="O73" s="143"/>
      <c r="P73" s="144"/>
      <c r="Q73" s="144"/>
      <c r="R73" s="141"/>
      <c r="S73" s="142"/>
    </row>
    <row r="74" spans="2:19">
      <c r="B74" s="138"/>
      <c r="C74" s="139"/>
      <c r="D74" s="140"/>
      <c r="E74" s="140"/>
      <c r="F74" s="141"/>
      <c r="G74" s="141"/>
      <c r="H74" s="141"/>
      <c r="I74" s="141"/>
      <c r="J74" s="138"/>
      <c r="K74" s="138"/>
      <c r="L74" s="138"/>
      <c r="M74" s="141"/>
      <c r="N74" s="142"/>
      <c r="O74" s="143"/>
      <c r="P74" s="144"/>
      <c r="Q74" s="144"/>
      <c r="R74" s="141"/>
      <c r="S74" s="142"/>
    </row>
    <row r="75" spans="2:19">
      <c r="B75" s="138"/>
      <c r="C75" s="139"/>
      <c r="D75" s="140"/>
      <c r="E75" s="140"/>
      <c r="F75" s="141"/>
      <c r="G75" s="141"/>
      <c r="H75" s="141"/>
      <c r="I75" s="141"/>
      <c r="J75" s="138"/>
      <c r="K75" s="138"/>
      <c r="L75" s="138"/>
      <c r="M75" s="141"/>
      <c r="N75" s="142"/>
      <c r="O75" s="143"/>
      <c r="P75" s="144"/>
      <c r="Q75" s="144"/>
      <c r="R75" s="141"/>
      <c r="S75" s="142"/>
    </row>
    <row r="76" spans="2:19">
      <c r="B76" s="138"/>
      <c r="C76" s="139"/>
      <c r="D76" s="140"/>
      <c r="E76" s="140"/>
      <c r="F76" s="141"/>
      <c r="G76" s="141"/>
      <c r="H76" s="141"/>
      <c r="I76" s="141"/>
      <c r="J76" s="138"/>
      <c r="K76" s="138"/>
      <c r="L76" s="138"/>
      <c r="M76" s="141"/>
      <c r="N76" s="142"/>
      <c r="O76" s="143"/>
      <c r="P76" s="144"/>
      <c r="Q76" s="144"/>
      <c r="R76" s="141"/>
      <c r="S76" s="142"/>
    </row>
    <row r="77" spans="2:19">
      <c r="B77" s="138"/>
      <c r="C77" s="139"/>
      <c r="D77" s="140"/>
      <c r="E77" s="140"/>
      <c r="F77" s="141"/>
      <c r="G77" s="141"/>
      <c r="H77" s="141"/>
      <c r="I77" s="141"/>
      <c r="J77" s="138"/>
      <c r="K77" s="138"/>
      <c r="L77" s="138"/>
      <c r="M77" s="141"/>
      <c r="N77" s="142"/>
      <c r="O77" s="143"/>
      <c r="P77" s="144"/>
      <c r="Q77" s="144"/>
      <c r="R77" s="141"/>
      <c r="S77" s="142"/>
    </row>
    <row r="78" spans="2:19">
      <c r="B78" s="138"/>
      <c r="C78" s="139"/>
      <c r="D78" s="140"/>
      <c r="E78" s="140"/>
      <c r="F78" s="141"/>
      <c r="G78" s="141"/>
      <c r="H78" s="141"/>
      <c r="I78" s="141"/>
      <c r="J78" s="138"/>
      <c r="K78" s="138"/>
      <c r="L78" s="138"/>
      <c r="M78" s="141"/>
      <c r="N78" s="142"/>
      <c r="O78" s="143"/>
      <c r="P78" s="144"/>
      <c r="Q78" s="144"/>
      <c r="R78" s="141"/>
      <c r="S78" s="142"/>
    </row>
    <row r="79" spans="2:19">
      <c r="B79" s="138"/>
      <c r="C79" s="139"/>
      <c r="D79" s="140"/>
      <c r="E79" s="140"/>
      <c r="F79" s="141"/>
      <c r="G79" s="141"/>
      <c r="H79" s="141"/>
      <c r="I79" s="141"/>
      <c r="J79" s="138"/>
      <c r="K79" s="138"/>
      <c r="L79" s="138"/>
      <c r="M79" s="141"/>
      <c r="N79" s="142"/>
      <c r="O79" s="143"/>
      <c r="P79" s="144"/>
      <c r="Q79" s="144"/>
      <c r="R79" s="141"/>
      <c r="S79" s="142"/>
    </row>
    <row r="80" spans="2:19">
      <c r="B80" s="138"/>
      <c r="C80" s="139"/>
      <c r="D80" s="140"/>
      <c r="E80" s="140"/>
      <c r="F80" s="141"/>
      <c r="G80" s="141"/>
      <c r="H80" s="141"/>
      <c r="I80" s="141"/>
      <c r="J80" s="138"/>
      <c r="K80" s="138"/>
      <c r="L80" s="138"/>
      <c r="M80" s="141"/>
      <c r="N80" s="142"/>
      <c r="O80" s="143"/>
      <c r="P80" s="144"/>
      <c r="Q80" s="144"/>
      <c r="R80" s="141"/>
      <c r="S80" s="142"/>
    </row>
    <row r="81" spans="2:19">
      <c r="B81" s="138"/>
      <c r="C81" s="139"/>
      <c r="D81" s="140"/>
      <c r="E81" s="140"/>
      <c r="F81" s="141"/>
      <c r="G81" s="141"/>
      <c r="H81" s="141"/>
      <c r="I81" s="141"/>
      <c r="J81" s="138"/>
      <c r="K81" s="138"/>
      <c r="L81" s="138"/>
      <c r="M81" s="141"/>
      <c r="N81" s="142"/>
      <c r="O81" s="143"/>
      <c r="P81" s="144"/>
      <c r="Q81" s="144"/>
      <c r="R81" s="141"/>
      <c r="S81" s="142"/>
    </row>
    <row r="82" spans="2:19">
      <c r="B82" s="138"/>
      <c r="C82" s="139"/>
      <c r="D82" s="140"/>
      <c r="E82" s="140"/>
      <c r="F82" s="141"/>
      <c r="G82" s="141"/>
      <c r="H82" s="141"/>
      <c r="I82" s="141"/>
      <c r="J82" s="138"/>
      <c r="K82" s="138"/>
      <c r="L82" s="138"/>
      <c r="M82" s="141"/>
      <c r="N82" s="142"/>
      <c r="O82" s="143"/>
      <c r="P82" s="144"/>
      <c r="Q82" s="144"/>
      <c r="R82" s="141"/>
      <c r="S82" s="142"/>
    </row>
    <row r="83" spans="2:19">
      <c r="B83" s="138"/>
      <c r="C83" s="139"/>
      <c r="D83" s="140"/>
      <c r="E83" s="140"/>
      <c r="F83" s="141"/>
      <c r="G83" s="141"/>
      <c r="H83" s="141"/>
      <c r="I83" s="141"/>
      <c r="J83" s="138"/>
      <c r="K83" s="138"/>
      <c r="L83" s="138"/>
      <c r="M83" s="141"/>
      <c r="N83" s="142"/>
      <c r="O83" s="143"/>
      <c r="P83" s="144"/>
      <c r="Q83" s="144"/>
      <c r="R83" s="141"/>
      <c r="S83" s="142"/>
    </row>
    <row r="84" spans="2:19">
      <c r="B84" s="138"/>
      <c r="C84" s="139"/>
      <c r="D84" s="140"/>
      <c r="E84" s="140"/>
      <c r="F84" s="141"/>
      <c r="G84" s="141"/>
      <c r="H84" s="141"/>
      <c r="I84" s="141"/>
      <c r="J84" s="138"/>
      <c r="K84" s="138"/>
      <c r="L84" s="138"/>
      <c r="M84" s="141"/>
      <c r="N84" s="142"/>
      <c r="O84" s="143"/>
      <c r="P84" s="144"/>
      <c r="Q84" s="144"/>
      <c r="R84" s="141"/>
      <c r="S84" s="142"/>
    </row>
    <row r="85" spans="2:19">
      <c r="B85" s="138"/>
      <c r="C85" s="139"/>
      <c r="D85" s="140"/>
      <c r="E85" s="140"/>
      <c r="F85" s="141"/>
      <c r="G85" s="141"/>
      <c r="H85" s="141"/>
      <c r="I85" s="141"/>
      <c r="J85" s="138"/>
      <c r="K85" s="138"/>
      <c r="L85" s="138"/>
      <c r="M85" s="141"/>
      <c r="N85" s="142"/>
      <c r="O85" s="143"/>
      <c r="P85" s="144"/>
      <c r="Q85" s="144"/>
      <c r="R85" s="141"/>
      <c r="S85" s="142"/>
    </row>
    <row r="86" spans="2:19">
      <c r="B86" s="138"/>
      <c r="C86" s="139"/>
      <c r="D86" s="140"/>
      <c r="E86" s="140"/>
      <c r="F86" s="141"/>
      <c r="G86" s="141"/>
      <c r="H86" s="141"/>
      <c r="I86" s="141"/>
      <c r="J86" s="138"/>
      <c r="K86" s="138"/>
      <c r="L86" s="138"/>
      <c r="M86" s="141"/>
      <c r="N86" s="142"/>
      <c r="O86" s="143"/>
      <c r="P86" s="144"/>
      <c r="Q86" s="144"/>
      <c r="R86" s="141"/>
      <c r="S86" s="142"/>
    </row>
    <row r="87" spans="2:19">
      <c r="B87" s="138"/>
      <c r="C87" s="139"/>
      <c r="D87" s="140"/>
      <c r="E87" s="140"/>
      <c r="F87" s="141"/>
      <c r="G87" s="141"/>
      <c r="H87" s="141"/>
      <c r="I87" s="141"/>
      <c r="J87" s="138"/>
      <c r="K87" s="138"/>
      <c r="L87" s="138"/>
      <c r="M87" s="141"/>
      <c r="N87" s="142"/>
      <c r="O87" s="143"/>
      <c r="P87" s="144"/>
      <c r="Q87" s="144"/>
      <c r="R87" s="141"/>
      <c r="S87" s="142"/>
    </row>
    <row r="88" spans="2:19">
      <c r="B88" s="138"/>
      <c r="C88" s="139"/>
      <c r="D88" s="140"/>
      <c r="E88" s="140"/>
      <c r="F88" s="141"/>
      <c r="G88" s="141"/>
      <c r="H88" s="141"/>
      <c r="I88" s="141"/>
      <c r="J88" s="138"/>
      <c r="K88" s="138"/>
      <c r="L88" s="138"/>
      <c r="M88" s="141"/>
      <c r="N88" s="142"/>
      <c r="O88" s="143"/>
      <c r="P88" s="144"/>
      <c r="Q88" s="144"/>
      <c r="R88" s="141"/>
      <c r="S88" s="142"/>
    </row>
    <row r="89" spans="2:19">
      <c r="B89" s="138"/>
      <c r="C89" s="139"/>
      <c r="D89" s="140"/>
      <c r="E89" s="140"/>
      <c r="F89" s="141"/>
      <c r="G89" s="141"/>
      <c r="H89" s="141"/>
      <c r="I89" s="141"/>
      <c r="J89" s="138"/>
      <c r="K89" s="138"/>
      <c r="L89" s="138"/>
      <c r="M89" s="141"/>
      <c r="N89" s="142"/>
      <c r="O89" s="143"/>
      <c r="P89" s="144"/>
      <c r="Q89" s="144"/>
      <c r="R89" s="141"/>
      <c r="S89" s="142"/>
    </row>
    <row r="90" spans="2:19">
      <c r="B90" s="138"/>
      <c r="C90" s="139"/>
      <c r="D90" s="140"/>
      <c r="E90" s="140"/>
      <c r="F90" s="141"/>
      <c r="G90" s="141"/>
      <c r="H90" s="141"/>
      <c r="I90" s="141"/>
      <c r="J90" s="138"/>
      <c r="K90" s="138"/>
      <c r="L90" s="138"/>
      <c r="M90" s="141"/>
      <c r="N90" s="142"/>
      <c r="O90" s="143"/>
      <c r="P90" s="144"/>
      <c r="Q90" s="144"/>
      <c r="R90" s="141"/>
      <c r="S90" s="142"/>
    </row>
    <row r="91" spans="2:19">
      <c r="B91" s="138"/>
      <c r="C91" s="139"/>
      <c r="D91" s="140"/>
      <c r="E91" s="140"/>
      <c r="F91" s="141"/>
      <c r="G91" s="141"/>
      <c r="H91" s="141"/>
      <c r="I91" s="141"/>
      <c r="J91" s="138"/>
      <c r="K91" s="138"/>
      <c r="L91" s="138"/>
      <c r="M91" s="141"/>
      <c r="N91" s="142"/>
      <c r="O91" s="143"/>
      <c r="P91" s="144"/>
      <c r="Q91" s="144"/>
      <c r="R91" s="141"/>
      <c r="S91" s="142"/>
    </row>
    <row r="92" spans="2:19">
      <c r="B92" s="138"/>
      <c r="C92" s="139"/>
      <c r="D92" s="140"/>
      <c r="E92" s="140"/>
      <c r="F92" s="141"/>
      <c r="G92" s="141"/>
      <c r="H92" s="141"/>
      <c r="I92" s="141"/>
      <c r="J92" s="138"/>
      <c r="K92" s="138"/>
      <c r="L92" s="138"/>
      <c r="M92" s="141"/>
      <c r="N92" s="142"/>
      <c r="O92" s="143"/>
      <c r="P92" s="144"/>
      <c r="Q92" s="144"/>
      <c r="R92" s="141"/>
      <c r="S92" s="142"/>
    </row>
    <row r="93" spans="2:19">
      <c r="B93" s="138"/>
      <c r="C93" s="139"/>
      <c r="D93" s="140"/>
      <c r="E93" s="140"/>
      <c r="F93" s="141"/>
      <c r="G93" s="141"/>
      <c r="H93" s="141"/>
      <c r="I93" s="141"/>
      <c r="J93" s="138"/>
      <c r="K93" s="138"/>
      <c r="L93" s="138"/>
      <c r="M93" s="141"/>
      <c r="N93" s="142"/>
      <c r="O93" s="143"/>
      <c r="P93" s="144"/>
      <c r="Q93" s="144"/>
      <c r="R93" s="141"/>
      <c r="S93" s="142"/>
    </row>
    <row r="94" spans="2:19">
      <c r="B94" s="138"/>
      <c r="C94" s="139"/>
      <c r="D94" s="140"/>
      <c r="E94" s="140"/>
      <c r="F94" s="141"/>
      <c r="G94" s="141"/>
      <c r="H94" s="141"/>
      <c r="I94" s="141"/>
      <c r="J94" s="138"/>
      <c r="K94" s="138"/>
      <c r="L94" s="138"/>
      <c r="M94" s="141"/>
      <c r="N94" s="142"/>
      <c r="O94" s="143"/>
      <c r="P94" s="144"/>
      <c r="Q94" s="144"/>
      <c r="R94" s="141"/>
      <c r="S94" s="142"/>
    </row>
    <row r="95" spans="2:19">
      <c r="B95" s="138"/>
      <c r="C95" s="139"/>
      <c r="D95" s="140"/>
      <c r="E95" s="140"/>
      <c r="F95" s="141"/>
      <c r="G95" s="141"/>
      <c r="H95" s="141"/>
      <c r="I95" s="141"/>
      <c r="J95" s="138"/>
      <c r="K95" s="138"/>
      <c r="L95" s="138"/>
      <c r="M95" s="141"/>
      <c r="N95" s="142"/>
      <c r="O95" s="143"/>
      <c r="P95" s="144"/>
      <c r="Q95" s="144"/>
      <c r="R95" s="141"/>
      <c r="S95" s="142"/>
    </row>
    <row r="96" spans="2:19">
      <c r="B96" s="138"/>
      <c r="C96" s="139"/>
      <c r="D96" s="140"/>
      <c r="E96" s="140"/>
      <c r="F96" s="141"/>
      <c r="G96" s="141"/>
      <c r="H96" s="141"/>
      <c r="I96" s="141"/>
      <c r="J96" s="138"/>
      <c r="K96" s="138"/>
      <c r="L96" s="138"/>
      <c r="M96" s="141"/>
      <c r="N96" s="142"/>
      <c r="O96" s="143"/>
      <c r="P96" s="144"/>
      <c r="Q96" s="144"/>
      <c r="R96" s="141"/>
      <c r="S96" s="142"/>
    </row>
    <row r="97" spans="2:19">
      <c r="B97" s="138"/>
      <c r="C97" s="139"/>
      <c r="D97" s="140"/>
      <c r="E97" s="140"/>
      <c r="F97" s="141"/>
      <c r="G97" s="141"/>
      <c r="H97" s="141"/>
      <c r="I97" s="141"/>
      <c r="J97" s="138"/>
      <c r="K97" s="138"/>
      <c r="L97" s="138"/>
      <c r="M97" s="141"/>
      <c r="N97" s="142"/>
      <c r="O97" s="143"/>
      <c r="P97" s="144"/>
      <c r="Q97" s="144"/>
      <c r="R97" s="141"/>
      <c r="S97" s="142"/>
    </row>
    <row r="98" spans="2:19">
      <c r="B98" s="138"/>
      <c r="C98" s="139"/>
      <c r="D98" s="140"/>
      <c r="E98" s="140"/>
      <c r="F98" s="141"/>
      <c r="G98" s="141"/>
      <c r="H98" s="141"/>
      <c r="I98" s="141"/>
      <c r="J98" s="138"/>
      <c r="K98" s="138"/>
      <c r="L98" s="138"/>
      <c r="M98" s="141"/>
      <c r="N98" s="142"/>
      <c r="O98" s="143"/>
      <c r="P98" s="144"/>
      <c r="Q98" s="144"/>
      <c r="R98" s="141"/>
      <c r="S98" s="142"/>
    </row>
    <row r="99" spans="2:19">
      <c r="B99" s="138"/>
      <c r="C99" s="139"/>
      <c r="D99" s="140"/>
      <c r="E99" s="140"/>
      <c r="F99" s="141"/>
      <c r="G99" s="141"/>
      <c r="H99" s="141"/>
      <c r="I99" s="141"/>
      <c r="J99" s="138"/>
      <c r="K99" s="138"/>
      <c r="L99" s="138"/>
      <c r="M99" s="141"/>
      <c r="N99" s="142"/>
      <c r="O99" s="143"/>
      <c r="P99" s="144"/>
      <c r="Q99" s="144"/>
      <c r="R99" s="141"/>
      <c r="S99" s="142"/>
    </row>
    <row r="100" spans="2:19">
      <c r="B100" s="138"/>
      <c r="C100" s="139"/>
      <c r="D100" s="140"/>
      <c r="E100" s="140"/>
      <c r="F100" s="141"/>
      <c r="G100" s="141"/>
      <c r="H100" s="141"/>
      <c r="I100" s="141"/>
      <c r="J100" s="138"/>
      <c r="K100" s="138"/>
      <c r="L100" s="138"/>
      <c r="M100" s="141"/>
      <c r="N100" s="142"/>
      <c r="O100" s="143"/>
      <c r="P100" s="144"/>
      <c r="Q100" s="144"/>
      <c r="R100" s="141"/>
      <c r="S100" s="142"/>
    </row>
    <row r="101" spans="2:19">
      <c r="B101" s="138"/>
      <c r="C101" s="139"/>
      <c r="D101" s="140"/>
      <c r="E101" s="140"/>
      <c r="F101" s="141"/>
      <c r="G101" s="141"/>
      <c r="H101" s="141"/>
      <c r="I101" s="141"/>
      <c r="J101" s="138"/>
      <c r="K101" s="138"/>
      <c r="L101" s="138"/>
      <c r="M101" s="141"/>
      <c r="N101" s="142"/>
      <c r="O101" s="143"/>
      <c r="P101" s="144"/>
      <c r="Q101" s="144"/>
      <c r="R101" s="141"/>
      <c r="S101" s="142"/>
    </row>
    <row r="102" spans="2:19">
      <c r="B102" s="138"/>
      <c r="C102" s="139"/>
      <c r="D102" s="140"/>
      <c r="E102" s="140"/>
      <c r="F102" s="141"/>
      <c r="G102" s="141"/>
      <c r="H102" s="141"/>
      <c r="I102" s="141"/>
      <c r="J102" s="138"/>
      <c r="K102" s="138"/>
      <c r="L102" s="138"/>
      <c r="M102" s="141"/>
      <c r="N102" s="142"/>
      <c r="O102" s="143"/>
      <c r="P102" s="144"/>
      <c r="Q102" s="144"/>
      <c r="R102" s="141"/>
      <c r="S102" s="142"/>
    </row>
    <row r="103" spans="2:19">
      <c r="B103" s="138"/>
      <c r="C103" s="139"/>
      <c r="D103" s="140"/>
      <c r="E103" s="140"/>
      <c r="F103" s="141"/>
      <c r="G103" s="141"/>
      <c r="H103" s="141"/>
      <c r="I103" s="141"/>
      <c r="J103" s="138"/>
      <c r="K103" s="138"/>
      <c r="L103" s="138"/>
      <c r="M103" s="141"/>
      <c r="N103" s="142"/>
      <c r="O103" s="143"/>
      <c r="P103" s="144"/>
      <c r="Q103" s="144"/>
      <c r="R103" s="141"/>
      <c r="S103" s="142"/>
    </row>
    <row r="104" spans="2:19">
      <c r="B104" s="138"/>
      <c r="C104" s="139"/>
      <c r="D104" s="140"/>
      <c r="E104" s="140"/>
      <c r="F104" s="141"/>
      <c r="G104" s="141"/>
      <c r="H104" s="141"/>
      <c r="I104" s="141"/>
      <c r="J104" s="138"/>
      <c r="K104" s="138"/>
      <c r="L104" s="138"/>
      <c r="M104" s="141"/>
      <c r="N104" s="142"/>
      <c r="O104" s="143"/>
      <c r="P104" s="144"/>
      <c r="Q104" s="144"/>
      <c r="R104" s="141"/>
      <c r="S104" s="142"/>
    </row>
    <row r="105" spans="2:19">
      <c r="B105" s="138"/>
      <c r="C105" s="139"/>
      <c r="D105" s="140"/>
      <c r="E105" s="140"/>
      <c r="F105" s="141"/>
      <c r="G105" s="141"/>
      <c r="H105" s="141"/>
      <c r="I105" s="141"/>
      <c r="J105" s="138"/>
      <c r="K105" s="138"/>
      <c r="L105" s="138"/>
      <c r="M105" s="141"/>
      <c r="N105" s="142"/>
      <c r="O105" s="143"/>
      <c r="P105" s="144"/>
      <c r="Q105" s="144"/>
      <c r="R105" s="141"/>
      <c r="S105" s="142"/>
    </row>
    <row r="106" spans="2:19">
      <c r="B106" s="138"/>
      <c r="C106" s="139"/>
      <c r="D106" s="140"/>
      <c r="E106" s="140"/>
      <c r="F106" s="141"/>
      <c r="G106" s="141"/>
      <c r="H106" s="141"/>
      <c r="I106" s="141"/>
      <c r="J106" s="138"/>
      <c r="K106" s="138"/>
      <c r="L106" s="138"/>
      <c r="M106" s="141"/>
      <c r="N106" s="142"/>
      <c r="O106" s="143"/>
      <c r="P106" s="144"/>
      <c r="Q106" s="144"/>
      <c r="R106" s="141"/>
      <c r="S106" s="142"/>
    </row>
    <row r="107" spans="2:19">
      <c r="B107" s="138"/>
      <c r="C107" s="139"/>
      <c r="D107" s="140"/>
      <c r="E107" s="140"/>
      <c r="F107" s="141"/>
      <c r="G107" s="141"/>
      <c r="H107" s="141"/>
      <c r="I107" s="141"/>
      <c r="J107" s="138"/>
      <c r="K107" s="138"/>
      <c r="L107" s="138"/>
      <c r="M107" s="141"/>
      <c r="N107" s="142"/>
      <c r="O107" s="143"/>
      <c r="P107" s="144"/>
      <c r="Q107" s="144"/>
      <c r="R107" s="141"/>
      <c r="S107" s="142"/>
    </row>
    <row r="108" spans="2:19">
      <c r="B108" s="138"/>
      <c r="C108" s="139"/>
      <c r="D108" s="140"/>
      <c r="E108" s="140"/>
      <c r="F108" s="141"/>
      <c r="G108" s="141"/>
      <c r="H108" s="141"/>
      <c r="I108" s="141"/>
      <c r="J108" s="138"/>
      <c r="K108" s="138"/>
      <c r="L108" s="138"/>
      <c r="M108" s="141"/>
      <c r="N108" s="142"/>
      <c r="O108" s="143"/>
      <c r="P108" s="144"/>
      <c r="Q108" s="144"/>
      <c r="R108" s="141"/>
      <c r="S108" s="142"/>
    </row>
    <row r="109" spans="2:19">
      <c r="B109" s="138"/>
      <c r="C109" s="139"/>
      <c r="D109" s="140"/>
      <c r="E109" s="140"/>
      <c r="F109" s="141"/>
      <c r="G109" s="141"/>
      <c r="H109" s="141"/>
      <c r="I109" s="141"/>
      <c r="J109" s="138"/>
      <c r="K109" s="138"/>
      <c r="L109" s="138"/>
      <c r="M109" s="141"/>
      <c r="N109" s="142"/>
      <c r="O109" s="143"/>
      <c r="P109" s="144"/>
      <c r="Q109" s="144"/>
      <c r="R109" s="141"/>
      <c r="S109" s="142"/>
    </row>
    <row r="110" spans="2:19">
      <c r="B110" s="138"/>
      <c r="C110" s="139"/>
      <c r="D110" s="140"/>
      <c r="E110" s="140"/>
      <c r="F110" s="141"/>
      <c r="G110" s="141"/>
      <c r="H110" s="141"/>
      <c r="I110" s="141"/>
      <c r="J110" s="138"/>
      <c r="K110" s="138"/>
      <c r="L110" s="138"/>
      <c r="M110" s="141"/>
      <c r="N110" s="142"/>
      <c r="O110" s="143"/>
      <c r="P110" s="144"/>
      <c r="Q110" s="144"/>
      <c r="R110" s="141"/>
      <c r="S110" s="142"/>
    </row>
    <row r="111" spans="2:19">
      <c r="B111" s="138"/>
      <c r="C111" s="139"/>
      <c r="D111" s="140"/>
      <c r="E111" s="140"/>
      <c r="F111" s="141"/>
      <c r="G111" s="141"/>
      <c r="H111" s="141"/>
      <c r="I111" s="141"/>
      <c r="J111" s="138"/>
      <c r="K111" s="138"/>
      <c r="L111" s="138"/>
      <c r="M111" s="141"/>
      <c r="N111" s="142"/>
      <c r="O111" s="143"/>
      <c r="P111" s="144"/>
      <c r="Q111" s="144"/>
      <c r="R111" s="141"/>
      <c r="S111" s="142"/>
    </row>
    <row r="112" spans="2:19">
      <c r="B112" s="138"/>
      <c r="C112" s="139"/>
      <c r="D112" s="140"/>
      <c r="E112" s="140"/>
      <c r="F112" s="141"/>
      <c r="G112" s="141"/>
      <c r="H112" s="141"/>
      <c r="I112" s="141"/>
      <c r="J112" s="138"/>
      <c r="K112" s="138"/>
      <c r="L112" s="138"/>
      <c r="M112" s="141"/>
      <c r="N112" s="142"/>
      <c r="O112" s="143"/>
      <c r="P112" s="144"/>
      <c r="Q112" s="144"/>
      <c r="R112" s="141"/>
      <c r="S112" s="142"/>
    </row>
    <row r="113" spans="2:19">
      <c r="B113" s="138"/>
      <c r="C113" s="139"/>
      <c r="D113" s="140"/>
      <c r="E113" s="140"/>
      <c r="F113" s="141"/>
      <c r="G113" s="141"/>
      <c r="H113" s="141"/>
      <c r="I113" s="141"/>
      <c r="J113" s="138"/>
      <c r="K113" s="138"/>
      <c r="L113" s="138"/>
      <c r="M113" s="141"/>
      <c r="N113" s="142"/>
      <c r="O113" s="143"/>
      <c r="P113" s="144"/>
      <c r="Q113" s="144"/>
      <c r="R113" s="141"/>
      <c r="S113" s="142"/>
    </row>
    <row r="114" spans="2:19">
      <c r="B114" s="138"/>
      <c r="C114" s="139"/>
      <c r="D114" s="140"/>
      <c r="E114" s="140"/>
      <c r="F114" s="141"/>
      <c r="G114" s="141"/>
      <c r="H114" s="141"/>
      <c r="I114" s="141"/>
      <c r="J114" s="138"/>
      <c r="K114" s="138"/>
      <c r="L114" s="138"/>
      <c r="M114" s="141"/>
      <c r="N114" s="142"/>
      <c r="O114" s="143"/>
      <c r="P114" s="144"/>
      <c r="Q114" s="144"/>
      <c r="R114" s="141"/>
      <c r="S114" s="142"/>
    </row>
    <row r="115" spans="2:19">
      <c r="B115" s="138"/>
      <c r="C115" s="139"/>
      <c r="D115" s="140"/>
      <c r="E115" s="140"/>
      <c r="F115" s="141"/>
      <c r="G115" s="141"/>
      <c r="H115" s="141"/>
      <c r="I115" s="141"/>
      <c r="J115" s="138"/>
      <c r="K115" s="138"/>
      <c r="L115" s="138"/>
      <c r="M115" s="141"/>
      <c r="N115" s="142"/>
      <c r="O115" s="143"/>
      <c r="P115" s="144"/>
      <c r="Q115" s="144"/>
      <c r="R115" s="141"/>
      <c r="S115" s="142"/>
    </row>
    <row r="116" spans="2:19">
      <c r="B116" s="138"/>
      <c r="C116" s="139"/>
      <c r="D116" s="140"/>
      <c r="E116" s="140"/>
      <c r="F116" s="141"/>
      <c r="G116" s="141"/>
      <c r="H116" s="141"/>
      <c r="I116" s="141"/>
      <c r="J116" s="138"/>
      <c r="K116" s="138"/>
      <c r="L116" s="138"/>
      <c r="M116" s="141"/>
      <c r="N116" s="142"/>
      <c r="O116" s="143"/>
      <c r="P116" s="144"/>
      <c r="Q116" s="144"/>
      <c r="R116" s="141"/>
      <c r="S116" s="142"/>
    </row>
    <row r="117" spans="2:19">
      <c r="B117" s="138"/>
      <c r="C117" s="139"/>
      <c r="D117" s="140"/>
      <c r="E117" s="140"/>
      <c r="F117" s="141"/>
      <c r="G117" s="141"/>
      <c r="H117" s="141"/>
      <c r="I117" s="141"/>
      <c r="J117" s="138"/>
      <c r="K117" s="138"/>
      <c r="L117" s="138"/>
      <c r="M117" s="141"/>
      <c r="N117" s="142"/>
      <c r="O117" s="143"/>
      <c r="P117" s="144"/>
      <c r="Q117" s="144"/>
      <c r="R117" s="141"/>
      <c r="S117" s="142"/>
    </row>
    <row r="118" spans="2:19">
      <c r="B118" s="138"/>
      <c r="C118" s="139"/>
      <c r="D118" s="140"/>
      <c r="E118" s="140"/>
      <c r="F118" s="141"/>
      <c r="G118" s="141"/>
      <c r="H118" s="141"/>
      <c r="I118" s="141"/>
      <c r="J118" s="138"/>
      <c r="K118" s="138"/>
      <c r="L118" s="138"/>
      <c r="M118" s="141"/>
      <c r="N118" s="142"/>
      <c r="O118" s="143"/>
      <c r="P118" s="144"/>
      <c r="Q118" s="144"/>
      <c r="R118" s="141"/>
      <c r="S118" s="142"/>
    </row>
    <row r="119" spans="2:19">
      <c r="B119" s="138"/>
      <c r="C119" s="139"/>
      <c r="D119" s="140"/>
      <c r="E119" s="140"/>
      <c r="F119" s="141"/>
      <c r="G119" s="141"/>
      <c r="H119" s="141"/>
      <c r="I119" s="141"/>
      <c r="J119" s="138"/>
      <c r="K119" s="138"/>
      <c r="L119" s="138"/>
      <c r="M119" s="141"/>
      <c r="N119" s="142"/>
      <c r="O119" s="143"/>
      <c r="P119" s="144"/>
      <c r="Q119" s="144"/>
      <c r="R119" s="141"/>
      <c r="S119" s="142"/>
    </row>
    <row r="120" spans="2:19">
      <c r="B120" s="138"/>
      <c r="C120" s="139"/>
      <c r="D120" s="140"/>
      <c r="E120" s="140"/>
      <c r="F120" s="141"/>
      <c r="G120" s="141"/>
      <c r="H120" s="141"/>
      <c r="I120" s="141"/>
      <c r="J120" s="138"/>
      <c r="K120" s="138"/>
      <c r="L120" s="138"/>
      <c r="M120" s="141"/>
      <c r="N120" s="142"/>
      <c r="O120" s="143"/>
      <c r="P120" s="144"/>
      <c r="Q120" s="144"/>
      <c r="R120" s="141"/>
      <c r="S120" s="142"/>
    </row>
    <row r="121" spans="2:19">
      <c r="B121" s="138"/>
      <c r="C121" s="139"/>
      <c r="D121" s="140"/>
      <c r="E121" s="140"/>
      <c r="F121" s="141"/>
      <c r="G121" s="141"/>
      <c r="H121" s="141"/>
      <c r="I121" s="141"/>
      <c r="J121" s="138"/>
      <c r="K121" s="138"/>
      <c r="L121" s="138"/>
      <c r="M121" s="141"/>
      <c r="N121" s="142"/>
      <c r="O121" s="143"/>
      <c r="P121" s="144"/>
      <c r="Q121" s="144"/>
      <c r="R121" s="141"/>
      <c r="S121" s="142"/>
    </row>
    <row r="122" spans="2:19">
      <c r="B122" s="138"/>
      <c r="C122" s="139"/>
      <c r="D122" s="140"/>
      <c r="E122" s="140"/>
      <c r="F122" s="141"/>
      <c r="G122" s="141"/>
      <c r="H122" s="141"/>
      <c r="I122" s="141"/>
      <c r="J122" s="138"/>
      <c r="K122" s="138"/>
      <c r="L122" s="138"/>
      <c r="M122" s="141"/>
      <c r="N122" s="142"/>
      <c r="O122" s="143"/>
      <c r="P122" s="144"/>
      <c r="Q122" s="144"/>
      <c r="R122" s="141"/>
      <c r="S122" s="142"/>
    </row>
    <row r="123" spans="2:19">
      <c r="B123" s="138"/>
      <c r="C123" s="139"/>
      <c r="D123" s="140"/>
      <c r="E123" s="140"/>
      <c r="F123" s="141"/>
      <c r="G123" s="141"/>
      <c r="H123" s="141"/>
      <c r="I123" s="141"/>
      <c r="J123" s="138"/>
      <c r="K123" s="138"/>
      <c r="L123" s="138"/>
      <c r="M123" s="141"/>
      <c r="N123" s="142"/>
      <c r="O123" s="143"/>
      <c r="P123" s="144"/>
      <c r="Q123" s="144"/>
      <c r="R123" s="141"/>
      <c r="S123" s="142"/>
    </row>
    <row r="124" spans="2:19">
      <c r="B124" s="138"/>
      <c r="C124" s="139"/>
      <c r="D124" s="140"/>
      <c r="E124" s="140"/>
      <c r="F124" s="141"/>
      <c r="G124" s="141"/>
      <c r="H124" s="141"/>
      <c r="I124" s="141"/>
      <c r="J124" s="138"/>
      <c r="K124" s="138"/>
      <c r="L124" s="138"/>
      <c r="M124" s="141"/>
      <c r="N124" s="142"/>
      <c r="O124" s="143"/>
      <c r="P124" s="144"/>
      <c r="Q124" s="144"/>
      <c r="R124" s="141"/>
      <c r="S124" s="142"/>
    </row>
    <row r="125" spans="2:19">
      <c r="B125" s="138"/>
      <c r="C125" s="139"/>
      <c r="D125" s="140"/>
      <c r="E125" s="140"/>
      <c r="F125" s="141"/>
      <c r="G125" s="141"/>
      <c r="H125" s="141"/>
      <c r="I125" s="141"/>
      <c r="J125" s="138"/>
      <c r="K125" s="138"/>
      <c r="L125" s="138"/>
      <c r="M125" s="141"/>
      <c r="N125" s="142"/>
      <c r="O125" s="143"/>
      <c r="P125" s="144"/>
      <c r="Q125" s="144"/>
      <c r="R125" s="141"/>
      <c r="S125" s="142"/>
    </row>
    <row r="126" spans="2:19">
      <c r="B126" s="138"/>
      <c r="C126" s="139"/>
      <c r="D126" s="140"/>
      <c r="E126" s="140"/>
      <c r="F126" s="141"/>
      <c r="G126" s="141"/>
      <c r="H126" s="141"/>
      <c r="I126" s="141"/>
      <c r="J126" s="138"/>
      <c r="K126" s="138"/>
      <c r="L126" s="138"/>
      <c r="M126" s="141"/>
      <c r="N126" s="142"/>
      <c r="O126" s="143"/>
      <c r="P126" s="144"/>
      <c r="Q126" s="144"/>
      <c r="R126" s="141"/>
      <c r="S126" s="142"/>
    </row>
    <row r="127" spans="2:19">
      <c r="B127" s="138"/>
      <c r="C127" s="139"/>
      <c r="D127" s="140"/>
      <c r="E127" s="140"/>
      <c r="F127" s="141"/>
      <c r="G127" s="141"/>
      <c r="H127" s="141"/>
      <c r="I127" s="141"/>
      <c r="J127" s="138"/>
      <c r="K127" s="138"/>
      <c r="L127" s="138"/>
      <c r="M127" s="141"/>
      <c r="N127" s="142"/>
      <c r="O127" s="143"/>
      <c r="P127" s="144"/>
      <c r="Q127" s="144"/>
      <c r="R127" s="141"/>
      <c r="S127" s="142"/>
    </row>
    <row r="128" spans="2:19">
      <c r="B128" s="138"/>
      <c r="C128" s="139"/>
      <c r="D128" s="140"/>
      <c r="E128" s="140"/>
      <c r="F128" s="141"/>
      <c r="G128" s="141"/>
      <c r="H128" s="141"/>
      <c r="I128" s="141"/>
      <c r="J128" s="138"/>
      <c r="K128" s="138"/>
      <c r="L128" s="138"/>
      <c r="M128" s="141"/>
      <c r="N128" s="142"/>
      <c r="O128" s="143"/>
      <c r="P128" s="144"/>
      <c r="Q128" s="144"/>
      <c r="R128" s="141"/>
      <c r="S128" s="142"/>
    </row>
    <row r="129" spans="2:19">
      <c r="B129" s="138"/>
      <c r="C129" s="139"/>
      <c r="D129" s="140"/>
      <c r="E129" s="140"/>
      <c r="F129" s="141"/>
      <c r="G129" s="141"/>
      <c r="H129" s="141"/>
      <c r="I129" s="141"/>
      <c r="J129" s="138"/>
      <c r="K129" s="138"/>
      <c r="L129" s="138"/>
      <c r="M129" s="141"/>
      <c r="N129" s="142"/>
      <c r="O129" s="143"/>
      <c r="P129" s="144"/>
      <c r="Q129" s="144"/>
      <c r="R129" s="141"/>
      <c r="S129" s="142"/>
    </row>
    <row r="130" spans="2:19">
      <c r="B130" s="138"/>
      <c r="C130" s="139"/>
      <c r="D130" s="140"/>
      <c r="E130" s="140"/>
      <c r="F130" s="141"/>
      <c r="G130" s="141"/>
      <c r="H130" s="141"/>
      <c r="I130" s="141"/>
      <c r="J130" s="138"/>
      <c r="K130" s="138"/>
      <c r="L130" s="138"/>
      <c r="M130" s="141"/>
      <c r="N130" s="142"/>
      <c r="O130" s="143"/>
      <c r="P130" s="144"/>
      <c r="Q130" s="144"/>
      <c r="R130" s="141"/>
      <c r="S130" s="142"/>
    </row>
    <row r="131" spans="2:19">
      <c r="B131" s="138"/>
      <c r="C131" s="139"/>
      <c r="D131" s="140"/>
      <c r="E131" s="140"/>
      <c r="F131" s="141"/>
      <c r="G131" s="141"/>
      <c r="H131" s="141"/>
      <c r="I131" s="141"/>
      <c r="J131" s="138"/>
      <c r="K131" s="138"/>
      <c r="L131" s="138"/>
      <c r="M131" s="141"/>
      <c r="N131" s="142"/>
      <c r="O131" s="143"/>
      <c r="P131" s="144"/>
      <c r="Q131" s="144"/>
      <c r="R131" s="141"/>
      <c r="S131" s="142"/>
    </row>
    <row r="132" spans="2:19">
      <c r="B132" s="138"/>
      <c r="C132" s="139"/>
      <c r="D132" s="140"/>
      <c r="E132" s="140"/>
      <c r="F132" s="141"/>
      <c r="G132" s="141"/>
      <c r="H132" s="141"/>
      <c r="I132" s="141"/>
      <c r="J132" s="138"/>
      <c r="K132" s="138"/>
      <c r="L132" s="138"/>
      <c r="M132" s="141"/>
      <c r="N132" s="142"/>
      <c r="O132" s="143"/>
      <c r="P132" s="144"/>
      <c r="Q132" s="144"/>
      <c r="R132" s="141"/>
      <c r="S132" s="142"/>
    </row>
    <row r="133" spans="2:19">
      <c r="B133" s="138"/>
      <c r="C133" s="139"/>
      <c r="D133" s="140"/>
      <c r="E133" s="140"/>
      <c r="F133" s="141"/>
      <c r="G133" s="141"/>
      <c r="H133" s="141"/>
      <c r="I133" s="141"/>
      <c r="J133" s="138"/>
      <c r="K133" s="138"/>
      <c r="L133" s="138"/>
      <c r="M133" s="141"/>
      <c r="N133" s="142"/>
      <c r="O133" s="143"/>
      <c r="P133" s="144"/>
      <c r="Q133" s="144"/>
      <c r="R133" s="141"/>
      <c r="S133" s="142"/>
    </row>
    <row r="134" spans="2:19">
      <c r="B134" s="138"/>
      <c r="C134" s="139"/>
      <c r="D134" s="140"/>
      <c r="E134" s="140"/>
      <c r="F134" s="141"/>
      <c r="G134" s="141"/>
      <c r="H134" s="141"/>
      <c r="I134" s="141"/>
      <c r="J134" s="138"/>
      <c r="K134" s="138"/>
      <c r="L134" s="138"/>
      <c r="M134" s="141"/>
      <c r="N134" s="142"/>
      <c r="O134" s="143"/>
      <c r="P134" s="144"/>
      <c r="Q134" s="144"/>
      <c r="R134" s="141"/>
      <c r="S134" s="142"/>
    </row>
    <row r="135" spans="2:19">
      <c r="B135" s="138"/>
      <c r="C135" s="139"/>
      <c r="D135" s="140"/>
      <c r="E135" s="140"/>
      <c r="F135" s="141"/>
      <c r="G135" s="141"/>
      <c r="H135" s="141"/>
      <c r="I135" s="141"/>
      <c r="J135" s="138"/>
      <c r="K135" s="138"/>
      <c r="L135" s="138"/>
      <c r="M135" s="141"/>
      <c r="N135" s="142"/>
      <c r="O135" s="143"/>
      <c r="P135" s="144"/>
      <c r="Q135" s="144"/>
      <c r="R135" s="141"/>
      <c r="S135" s="142"/>
    </row>
    <row r="136" spans="2:19">
      <c r="B136" s="138"/>
      <c r="C136" s="139"/>
      <c r="D136" s="140"/>
      <c r="E136" s="140"/>
      <c r="F136" s="141"/>
      <c r="G136" s="141"/>
      <c r="H136" s="141"/>
      <c r="I136" s="141"/>
      <c r="J136" s="138"/>
      <c r="K136" s="138"/>
      <c r="L136" s="138"/>
      <c r="M136" s="141"/>
      <c r="N136" s="142"/>
      <c r="O136" s="143"/>
      <c r="P136" s="144"/>
      <c r="Q136" s="144"/>
      <c r="R136" s="141"/>
      <c r="S136" s="142"/>
    </row>
    <row r="137" spans="2:19">
      <c r="B137" s="138"/>
      <c r="C137" s="139"/>
      <c r="D137" s="140"/>
      <c r="E137" s="140"/>
      <c r="F137" s="141"/>
      <c r="G137" s="141"/>
      <c r="H137" s="141"/>
      <c r="I137" s="141"/>
      <c r="J137" s="138"/>
      <c r="K137" s="138"/>
      <c r="L137" s="138"/>
      <c r="M137" s="141"/>
      <c r="N137" s="142"/>
      <c r="O137" s="143"/>
      <c r="P137" s="144"/>
      <c r="Q137" s="144"/>
      <c r="R137" s="141"/>
      <c r="S137" s="142"/>
    </row>
    <row r="138" spans="2:19">
      <c r="B138" s="138"/>
      <c r="C138" s="139"/>
      <c r="D138" s="140"/>
      <c r="E138" s="140"/>
      <c r="F138" s="141"/>
      <c r="G138" s="141"/>
      <c r="H138" s="141"/>
      <c r="I138" s="141"/>
      <c r="J138" s="138"/>
      <c r="K138" s="138"/>
      <c r="L138" s="138"/>
      <c r="M138" s="141"/>
      <c r="N138" s="142"/>
      <c r="O138" s="143"/>
      <c r="P138" s="144"/>
      <c r="Q138" s="144"/>
      <c r="R138" s="141"/>
      <c r="S138" s="142"/>
    </row>
    <row r="139" spans="2:19">
      <c r="B139" s="138"/>
      <c r="C139" s="139"/>
      <c r="D139" s="140"/>
      <c r="E139" s="140"/>
      <c r="F139" s="141"/>
      <c r="G139" s="141"/>
      <c r="H139" s="141"/>
      <c r="I139" s="141"/>
      <c r="J139" s="138"/>
      <c r="K139" s="138"/>
      <c r="L139" s="138"/>
      <c r="M139" s="141"/>
      <c r="N139" s="142"/>
      <c r="O139" s="143"/>
      <c r="P139" s="144"/>
      <c r="Q139" s="144"/>
      <c r="R139" s="141"/>
      <c r="S139" s="142"/>
    </row>
    <row r="140" spans="2:19">
      <c r="B140" s="138"/>
      <c r="C140" s="139"/>
      <c r="D140" s="140"/>
      <c r="E140" s="140"/>
      <c r="F140" s="141"/>
      <c r="G140" s="141"/>
      <c r="H140" s="141"/>
      <c r="I140" s="141"/>
      <c r="J140" s="138"/>
      <c r="K140" s="138"/>
      <c r="L140" s="138"/>
      <c r="M140" s="141"/>
      <c r="N140" s="142"/>
      <c r="O140" s="143"/>
      <c r="P140" s="144"/>
      <c r="Q140" s="144"/>
      <c r="R140" s="141"/>
      <c r="S140" s="142"/>
    </row>
    <row r="141" spans="2:19">
      <c r="B141" s="138"/>
      <c r="C141" s="139"/>
      <c r="D141" s="140"/>
      <c r="E141" s="140"/>
      <c r="F141" s="141"/>
      <c r="G141" s="141"/>
      <c r="H141" s="141"/>
      <c r="I141" s="141"/>
      <c r="J141" s="138"/>
      <c r="K141" s="138"/>
      <c r="L141" s="138"/>
      <c r="M141" s="141"/>
      <c r="N141" s="142"/>
      <c r="O141" s="143"/>
      <c r="P141" s="144"/>
      <c r="Q141" s="144"/>
      <c r="R141" s="141"/>
      <c r="S141" s="142"/>
    </row>
    <row r="142" spans="2:19">
      <c r="B142" s="138"/>
      <c r="C142" s="139"/>
      <c r="D142" s="140"/>
      <c r="E142" s="140"/>
      <c r="F142" s="141"/>
      <c r="G142" s="141"/>
      <c r="H142" s="141"/>
      <c r="I142" s="141"/>
      <c r="J142" s="138"/>
      <c r="K142" s="138"/>
      <c r="L142" s="138"/>
      <c r="M142" s="141"/>
      <c r="N142" s="142"/>
      <c r="O142" s="143"/>
      <c r="P142" s="144"/>
      <c r="Q142" s="144"/>
      <c r="R142" s="141"/>
      <c r="S142" s="142"/>
    </row>
    <row r="143" spans="2:19">
      <c r="B143" s="138"/>
      <c r="C143" s="139"/>
      <c r="D143" s="140"/>
      <c r="E143" s="140"/>
      <c r="F143" s="141"/>
      <c r="G143" s="141"/>
      <c r="H143" s="141"/>
      <c r="I143" s="141"/>
      <c r="J143" s="138"/>
      <c r="K143" s="138"/>
      <c r="L143" s="138"/>
      <c r="M143" s="141"/>
      <c r="N143" s="142"/>
      <c r="O143" s="143"/>
      <c r="P143" s="144"/>
      <c r="Q143" s="144"/>
      <c r="R143" s="141"/>
      <c r="S143" s="142"/>
    </row>
    <row r="144" spans="2:19">
      <c r="B144" s="138"/>
      <c r="C144" s="139"/>
      <c r="D144" s="140"/>
      <c r="E144" s="140"/>
      <c r="F144" s="141"/>
      <c r="G144" s="141"/>
      <c r="H144" s="141"/>
      <c r="I144" s="141"/>
      <c r="J144" s="138"/>
      <c r="K144" s="138"/>
      <c r="L144" s="138"/>
      <c r="M144" s="141"/>
      <c r="N144" s="142"/>
      <c r="O144" s="143"/>
      <c r="P144" s="144"/>
      <c r="Q144" s="144"/>
      <c r="R144" s="141"/>
      <c r="S144" s="142"/>
    </row>
    <row r="145" spans="2:19">
      <c r="B145" s="138"/>
      <c r="C145" s="139"/>
      <c r="D145" s="140"/>
      <c r="E145" s="140"/>
      <c r="F145" s="141"/>
      <c r="G145" s="141"/>
      <c r="H145" s="141"/>
      <c r="I145" s="141"/>
      <c r="J145" s="138"/>
      <c r="K145" s="138"/>
      <c r="L145" s="138"/>
      <c r="M145" s="141"/>
      <c r="N145" s="142"/>
      <c r="O145" s="143"/>
      <c r="P145" s="144"/>
      <c r="Q145" s="144"/>
      <c r="R145" s="141"/>
      <c r="S145" s="142"/>
    </row>
    <row r="146" spans="2:19">
      <c r="B146" s="138"/>
      <c r="C146" s="139"/>
      <c r="D146" s="140"/>
      <c r="E146" s="140"/>
      <c r="F146" s="141"/>
      <c r="G146" s="141"/>
      <c r="H146" s="141"/>
      <c r="I146" s="141"/>
      <c r="J146" s="138"/>
      <c r="K146" s="138"/>
      <c r="L146" s="138"/>
      <c r="M146" s="141"/>
      <c r="N146" s="142"/>
      <c r="O146" s="143"/>
      <c r="P146" s="144"/>
      <c r="Q146" s="144"/>
      <c r="R146" s="141"/>
      <c r="S146" s="142"/>
    </row>
    <row r="147" spans="2:19">
      <c r="B147" s="138"/>
      <c r="C147" s="139"/>
      <c r="D147" s="140"/>
      <c r="E147" s="140"/>
      <c r="F147" s="141"/>
      <c r="G147" s="141"/>
      <c r="H147" s="141"/>
      <c r="I147" s="141"/>
      <c r="J147" s="138"/>
      <c r="K147" s="138"/>
      <c r="L147" s="138"/>
      <c r="M147" s="141"/>
      <c r="N147" s="142"/>
      <c r="O147" s="143"/>
      <c r="P147" s="144"/>
      <c r="Q147" s="144"/>
      <c r="R147" s="141"/>
      <c r="S147" s="142"/>
    </row>
    <row r="148" spans="2:19">
      <c r="B148" s="138"/>
      <c r="C148" s="139"/>
      <c r="D148" s="140"/>
      <c r="E148" s="140"/>
      <c r="F148" s="141"/>
      <c r="G148" s="141"/>
      <c r="H148" s="141"/>
      <c r="I148" s="141"/>
      <c r="J148" s="138"/>
      <c r="K148" s="138"/>
      <c r="L148" s="138"/>
      <c r="M148" s="141"/>
      <c r="N148" s="142"/>
      <c r="O148" s="143"/>
      <c r="P148" s="144"/>
      <c r="Q148" s="144"/>
      <c r="R148" s="141"/>
      <c r="S148" s="142"/>
    </row>
    <row r="149" spans="2:19">
      <c r="B149" s="138"/>
      <c r="C149" s="139"/>
      <c r="D149" s="140"/>
      <c r="E149" s="140"/>
      <c r="F149" s="141"/>
      <c r="G149" s="141"/>
      <c r="H149" s="141"/>
      <c r="I149" s="141"/>
      <c r="J149" s="138"/>
      <c r="K149" s="138"/>
      <c r="L149" s="138"/>
      <c r="M149" s="141"/>
      <c r="N149" s="142"/>
      <c r="O149" s="143"/>
      <c r="P149" s="144"/>
      <c r="Q149" s="144"/>
      <c r="R149" s="141"/>
      <c r="S149" s="142"/>
    </row>
    <row r="150" spans="2:19">
      <c r="B150" s="138"/>
      <c r="C150" s="139"/>
      <c r="D150" s="140"/>
      <c r="E150" s="140"/>
      <c r="F150" s="141"/>
      <c r="G150" s="141"/>
      <c r="H150" s="141"/>
      <c r="I150" s="141"/>
      <c r="J150" s="138"/>
      <c r="K150" s="138"/>
      <c r="L150" s="138"/>
      <c r="M150" s="141"/>
      <c r="N150" s="142"/>
      <c r="O150" s="143"/>
      <c r="P150" s="144"/>
      <c r="Q150" s="144"/>
      <c r="R150" s="141"/>
      <c r="S150" s="142"/>
    </row>
    <row r="151" spans="2:19">
      <c r="B151" s="138"/>
      <c r="C151" s="139"/>
      <c r="D151" s="140"/>
      <c r="E151" s="140"/>
      <c r="F151" s="141"/>
      <c r="G151" s="141"/>
      <c r="H151" s="141"/>
      <c r="I151" s="141"/>
      <c r="J151" s="138"/>
      <c r="K151" s="138"/>
      <c r="L151" s="138"/>
      <c r="M151" s="141"/>
      <c r="N151" s="142"/>
      <c r="O151" s="143"/>
      <c r="P151" s="144"/>
      <c r="Q151" s="144"/>
      <c r="R151" s="141"/>
      <c r="S151" s="142"/>
    </row>
    <row r="152" spans="2:19">
      <c r="B152" s="138"/>
      <c r="C152" s="139"/>
      <c r="D152" s="140"/>
      <c r="E152" s="140"/>
      <c r="F152" s="141"/>
      <c r="G152" s="141"/>
      <c r="H152" s="141"/>
      <c r="I152" s="141"/>
      <c r="J152" s="138"/>
      <c r="K152" s="138"/>
      <c r="L152" s="138"/>
      <c r="M152" s="141"/>
      <c r="N152" s="142"/>
      <c r="O152" s="143"/>
      <c r="P152" s="144"/>
      <c r="Q152" s="144"/>
      <c r="R152" s="141"/>
      <c r="S152" s="142"/>
    </row>
    <row r="153" spans="2:19">
      <c r="B153" s="138"/>
      <c r="C153" s="139"/>
      <c r="D153" s="140"/>
      <c r="E153" s="140"/>
      <c r="F153" s="141"/>
      <c r="G153" s="141"/>
      <c r="H153" s="141"/>
      <c r="I153" s="141"/>
      <c r="J153" s="138"/>
      <c r="K153" s="138"/>
      <c r="L153" s="138"/>
      <c r="M153" s="141"/>
      <c r="N153" s="142"/>
      <c r="O153" s="143"/>
      <c r="P153" s="144"/>
      <c r="Q153" s="144"/>
      <c r="R153" s="141"/>
      <c r="S153" s="142"/>
    </row>
    <row r="154" spans="2:19">
      <c r="B154" s="138"/>
      <c r="C154" s="139"/>
      <c r="D154" s="140"/>
      <c r="E154" s="140"/>
      <c r="F154" s="141"/>
      <c r="G154" s="141"/>
      <c r="H154" s="141"/>
      <c r="I154" s="141"/>
      <c r="J154" s="138"/>
      <c r="K154" s="138"/>
      <c r="L154" s="138"/>
      <c r="M154" s="141"/>
      <c r="N154" s="142"/>
      <c r="O154" s="143"/>
      <c r="P154" s="144"/>
      <c r="Q154" s="144"/>
      <c r="R154" s="141"/>
      <c r="S154" s="142"/>
    </row>
    <row r="155" spans="2:19">
      <c r="B155" s="138"/>
      <c r="C155" s="139"/>
      <c r="D155" s="140"/>
      <c r="E155" s="140"/>
      <c r="F155" s="141"/>
      <c r="G155" s="141"/>
      <c r="H155" s="141"/>
      <c r="I155" s="141"/>
      <c r="J155" s="138"/>
      <c r="K155" s="138"/>
      <c r="L155" s="138"/>
      <c r="M155" s="141"/>
      <c r="N155" s="142"/>
      <c r="O155" s="143"/>
      <c r="P155" s="144"/>
      <c r="Q155" s="144"/>
      <c r="R155" s="141"/>
      <c r="S155" s="142"/>
    </row>
    <row r="156" spans="2:19">
      <c r="B156" s="138"/>
      <c r="C156" s="139"/>
      <c r="D156" s="140"/>
      <c r="E156" s="140"/>
      <c r="F156" s="141"/>
      <c r="G156" s="141"/>
      <c r="H156" s="141"/>
      <c r="I156" s="141"/>
      <c r="J156" s="138"/>
      <c r="K156" s="138"/>
      <c r="L156" s="138"/>
      <c r="M156" s="141"/>
      <c r="N156" s="142"/>
      <c r="O156" s="143"/>
      <c r="P156" s="144"/>
      <c r="Q156" s="144"/>
      <c r="R156" s="141"/>
      <c r="S156" s="142"/>
    </row>
    <row r="157" spans="2:19">
      <c r="B157" s="138"/>
      <c r="C157" s="139"/>
      <c r="D157" s="140"/>
      <c r="E157" s="140"/>
      <c r="F157" s="141"/>
      <c r="G157" s="141"/>
      <c r="H157" s="141"/>
      <c r="I157" s="141"/>
      <c r="J157" s="138"/>
      <c r="K157" s="138"/>
      <c r="L157" s="138"/>
      <c r="M157" s="141"/>
      <c r="N157" s="142"/>
      <c r="O157" s="143"/>
      <c r="P157" s="144"/>
      <c r="Q157" s="144"/>
      <c r="R157" s="141"/>
      <c r="S157" s="142"/>
    </row>
    <row r="158" spans="2:19">
      <c r="B158" s="138"/>
      <c r="C158" s="139"/>
      <c r="D158" s="140"/>
      <c r="E158" s="140"/>
      <c r="F158" s="141"/>
      <c r="G158" s="141"/>
      <c r="H158" s="141"/>
      <c r="I158" s="141"/>
      <c r="J158" s="138"/>
      <c r="K158" s="138"/>
      <c r="L158" s="138"/>
      <c r="M158" s="141"/>
      <c r="N158" s="142"/>
      <c r="O158" s="143"/>
      <c r="P158" s="144"/>
      <c r="Q158" s="144"/>
      <c r="R158" s="141"/>
      <c r="S158" s="142"/>
    </row>
    <row r="159" spans="2:19">
      <c r="B159" s="138"/>
      <c r="C159" s="139"/>
      <c r="D159" s="140"/>
      <c r="E159" s="140"/>
      <c r="F159" s="141"/>
      <c r="G159" s="141"/>
      <c r="H159" s="141"/>
      <c r="I159" s="141"/>
      <c r="J159" s="138"/>
      <c r="K159" s="138"/>
      <c r="L159" s="138"/>
      <c r="M159" s="141"/>
      <c r="N159" s="142"/>
      <c r="O159" s="143"/>
      <c r="P159" s="144"/>
      <c r="Q159" s="144"/>
      <c r="R159" s="141"/>
      <c r="S159" s="142"/>
    </row>
    <row r="160" spans="2:19">
      <c r="B160" s="138"/>
      <c r="C160" s="139"/>
      <c r="D160" s="140"/>
      <c r="E160" s="140"/>
      <c r="F160" s="141"/>
      <c r="G160" s="141"/>
      <c r="H160" s="141"/>
      <c r="I160" s="141"/>
      <c r="J160" s="138"/>
      <c r="K160" s="138"/>
      <c r="L160" s="138"/>
      <c r="M160" s="141"/>
      <c r="N160" s="142"/>
      <c r="O160" s="143"/>
      <c r="P160" s="144"/>
      <c r="Q160" s="144"/>
      <c r="R160" s="141"/>
      <c r="S160" s="142"/>
    </row>
    <row r="161" spans="2:19">
      <c r="B161" s="138"/>
      <c r="C161" s="139"/>
      <c r="D161" s="140"/>
      <c r="E161" s="140"/>
      <c r="F161" s="141"/>
      <c r="G161" s="141"/>
      <c r="H161" s="141"/>
      <c r="I161" s="141"/>
      <c r="J161" s="138"/>
      <c r="K161" s="138"/>
      <c r="L161" s="138"/>
      <c r="M161" s="141"/>
      <c r="N161" s="142"/>
      <c r="O161" s="143"/>
      <c r="P161" s="144"/>
      <c r="Q161" s="144"/>
      <c r="R161" s="141"/>
      <c r="S161" s="142"/>
    </row>
    <row r="162" spans="2:19">
      <c r="B162" s="138"/>
      <c r="C162" s="139"/>
      <c r="D162" s="140"/>
      <c r="E162" s="140"/>
      <c r="F162" s="141"/>
      <c r="G162" s="141"/>
      <c r="H162" s="141"/>
      <c r="I162" s="141"/>
      <c r="J162" s="138"/>
      <c r="K162" s="138"/>
      <c r="L162" s="138"/>
      <c r="M162" s="141"/>
      <c r="N162" s="142"/>
      <c r="O162" s="143"/>
      <c r="P162" s="144"/>
      <c r="Q162" s="144"/>
      <c r="R162" s="141"/>
      <c r="S162" s="142"/>
    </row>
    <row r="163" spans="2:19">
      <c r="B163" s="138"/>
      <c r="C163" s="139"/>
      <c r="D163" s="140"/>
      <c r="E163" s="140"/>
      <c r="F163" s="141"/>
      <c r="G163" s="141"/>
      <c r="H163" s="141"/>
      <c r="I163" s="141"/>
      <c r="J163" s="138"/>
      <c r="K163" s="138"/>
      <c r="L163" s="138"/>
      <c r="M163" s="141"/>
      <c r="N163" s="142"/>
      <c r="O163" s="143"/>
      <c r="P163" s="144"/>
      <c r="Q163" s="144"/>
      <c r="R163" s="141"/>
      <c r="S163" s="142"/>
    </row>
    <row r="164" spans="2:19">
      <c r="B164" s="138"/>
      <c r="C164" s="139"/>
      <c r="D164" s="140"/>
      <c r="E164" s="140"/>
      <c r="F164" s="141"/>
      <c r="G164" s="141"/>
      <c r="H164" s="141"/>
      <c r="I164" s="141"/>
      <c r="J164" s="138"/>
      <c r="K164" s="138"/>
      <c r="L164" s="138"/>
      <c r="M164" s="141"/>
      <c r="N164" s="142"/>
      <c r="O164" s="143"/>
      <c r="P164" s="144"/>
      <c r="Q164" s="144"/>
      <c r="R164" s="141"/>
      <c r="S164" s="142"/>
    </row>
    <row r="165" spans="2:19">
      <c r="B165" s="138"/>
      <c r="C165" s="139"/>
      <c r="D165" s="140"/>
      <c r="E165" s="140"/>
      <c r="F165" s="141"/>
      <c r="G165" s="141"/>
      <c r="H165" s="141"/>
      <c r="I165" s="141"/>
      <c r="J165" s="138"/>
      <c r="K165" s="138"/>
      <c r="L165" s="138"/>
      <c r="M165" s="141"/>
      <c r="N165" s="142"/>
      <c r="O165" s="143"/>
      <c r="P165" s="144"/>
      <c r="Q165" s="144"/>
      <c r="R165" s="141"/>
      <c r="S165" s="142"/>
    </row>
    <row r="166" spans="2:19">
      <c r="B166" s="138"/>
      <c r="C166" s="139"/>
      <c r="D166" s="140"/>
      <c r="E166" s="140"/>
      <c r="F166" s="141"/>
      <c r="G166" s="141"/>
      <c r="H166" s="141"/>
      <c r="I166" s="141"/>
      <c r="J166" s="138"/>
      <c r="K166" s="138"/>
      <c r="L166" s="138"/>
      <c r="M166" s="141"/>
      <c r="N166" s="142"/>
      <c r="O166" s="143"/>
      <c r="P166" s="144"/>
      <c r="Q166" s="144"/>
      <c r="R166" s="141"/>
      <c r="S166" s="142"/>
    </row>
    <row r="167" spans="2:19">
      <c r="B167" s="138"/>
      <c r="C167" s="139"/>
      <c r="D167" s="140"/>
      <c r="E167" s="140"/>
      <c r="F167" s="141"/>
      <c r="G167" s="141"/>
      <c r="H167" s="141"/>
      <c r="I167" s="141"/>
      <c r="J167" s="138"/>
      <c r="K167" s="138"/>
      <c r="L167" s="138"/>
      <c r="M167" s="141"/>
      <c r="N167" s="142"/>
      <c r="O167" s="143"/>
      <c r="P167" s="144"/>
      <c r="Q167" s="144"/>
      <c r="R167" s="141"/>
      <c r="S167" s="142"/>
    </row>
    <row r="168" spans="2:19">
      <c r="B168" s="138"/>
      <c r="C168" s="139"/>
      <c r="D168" s="140"/>
      <c r="E168" s="140"/>
      <c r="F168" s="141"/>
      <c r="G168" s="141"/>
      <c r="H168" s="141"/>
      <c r="I168" s="141"/>
      <c r="J168" s="138"/>
      <c r="K168" s="138"/>
      <c r="L168" s="138"/>
      <c r="M168" s="141"/>
      <c r="N168" s="142"/>
      <c r="O168" s="143"/>
      <c r="P168" s="144"/>
      <c r="Q168" s="144"/>
      <c r="R168" s="141"/>
      <c r="S168" s="142"/>
    </row>
    <row r="169" spans="2:19">
      <c r="B169" s="138"/>
      <c r="C169" s="139"/>
      <c r="D169" s="140"/>
      <c r="E169" s="140"/>
      <c r="F169" s="141"/>
      <c r="G169" s="141"/>
      <c r="H169" s="141"/>
      <c r="I169" s="141"/>
      <c r="J169" s="138"/>
      <c r="K169" s="138"/>
      <c r="L169" s="138"/>
      <c r="M169" s="141"/>
      <c r="N169" s="142"/>
      <c r="O169" s="143"/>
      <c r="P169" s="144"/>
      <c r="Q169" s="144"/>
      <c r="R169" s="141"/>
      <c r="S169" s="142"/>
    </row>
    <row r="170" spans="2:19">
      <c r="B170" s="138"/>
      <c r="C170" s="139"/>
      <c r="D170" s="140"/>
      <c r="E170" s="140"/>
      <c r="F170" s="141"/>
      <c r="G170" s="141"/>
      <c r="H170" s="141"/>
      <c r="I170" s="141"/>
      <c r="J170" s="138"/>
      <c r="K170" s="138"/>
      <c r="L170" s="138"/>
      <c r="M170" s="141"/>
      <c r="N170" s="142"/>
      <c r="O170" s="143"/>
      <c r="P170" s="144"/>
      <c r="Q170" s="144"/>
      <c r="R170" s="141"/>
      <c r="S170" s="142"/>
    </row>
    <row r="171" spans="2:19">
      <c r="B171" s="138"/>
      <c r="C171" s="139"/>
      <c r="D171" s="140"/>
      <c r="E171" s="140"/>
      <c r="F171" s="141"/>
      <c r="G171" s="141"/>
      <c r="H171" s="141"/>
      <c r="I171" s="141"/>
      <c r="J171" s="138"/>
      <c r="K171" s="138"/>
      <c r="L171" s="138"/>
      <c r="M171" s="141"/>
      <c r="N171" s="142"/>
      <c r="O171" s="143"/>
      <c r="P171" s="144"/>
      <c r="Q171" s="144"/>
      <c r="R171" s="141"/>
      <c r="S171" s="142"/>
    </row>
    <row r="172" spans="2:19">
      <c r="B172" s="138"/>
      <c r="C172" s="139"/>
      <c r="D172" s="140"/>
      <c r="E172" s="140"/>
      <c r="F172" s="141"/>
      <c r="G172" s="141"/>
      <c r="H172" s="141"/>
      <c r="I172" s="141"/>
      <c r="J172" s="138"/>
      <c r="K172" s="138"/>
      <c r="L172" s="138"/>
      <c r="M172" s="141"/>
      <c r="N172" s="142"/>
      <c r="O172" s="143"/>
      <c r="P172" s="144"/>
      <c r="Q172" s="144"/>
      <c r="R172" s="141"/>
      <c r="S172" s="142"/>
    </row>
    <row r="173" spans="2:19">
      <c r="B173" s="138"/>
      <c r="C173" s="139"/>
      <c r="D173" s="140"/>
      <c r="E173" s="140"/>
      <c r="F173" s="141"/>
      <c r="G173" s="141"/>
      <c r="H173" s="141"/>
      <c r="I173" s="141"/>
      <c r="J173" s="138"/>
      <c r="K173" s="138"/>
      <c r="L173" s="138"/>
      <c r="M173" s="141"/>
      <c r="N173" s="142"/>
      <c r="O173" s="143"/>
      <c r="P173" s="144"/>
      <c r="Q173" s="144"/>
      <c r="R173" s="141"/>
      <c r="S173" s="142"/>
    </row>
    <row r="174" spans="2:19">
      <c r="B174" s="138"/>
      <c r="C174" s="139"/>
      <c r="D174" s="140"/>
      <c r="E174" s="140"/>
      <c r="F174" s="141"/>
      <c r="G174" s="141"/>
      <c r="H174" s="141"/>
      <c r="I174" s="141"/>
      <c r="J174" s="138"/>
      <c r="K174" s="138"/>
      <c r="L174" s="138"/>
      <c r="M174" s="141"/>
      <c r="N174" s="142"/>
      <c r="O174" s="143"/>
      <c r="P174" s="144"/>
      <c r="Q174" s="144"/>
      <c r="R174" s="141"/>
      <c r="S174" s="142"/>
    </row>
    <row r="175" spans="2:19">
      <c r="B175" s="138"/>
      <c r="C175" s="139"/>
      <c r="D175" s="140"/>
      <c r="E175" s="140"/>
      <c r="F175" s="141"/>
      <c r="G175" s="141"/>
      <c r="H175" s="141"/>
      <c r="I175" s="141"/>
      <c r="J175" s="138"/>
      <c r="K175" s="138"/>
      <c r="L175" s="138"/>
      <c r="M175" s="141"/>
      <c r="N175" s="142"/>
      <c r="O175" s="143"/>
      <c r="P175" s="144"/>
      <c r="Q175" s="144"/>
      <c r="R175" s="141"/>
      <c r="S175" s="142"/>
    </row>
    <row r="176" spans="2:19">
      <c r="B176" s="138"/>
      <c r="C176" s="139"/>
      <c r="D176" s="140"/>
      <c r="E176" s="140"/>
      <c r="F176" s="141"/>
      <c r="G176" s="141"/>
      <c r="H176" s="141"/>
      <c r="I176" s="141"/>
      <c r="J176" s="138"/>
      <c r="K176" s="138"/>
      <c r="L176" s="138"/>
      <c r="M176" s="141"/>
      <c r="N176" s="142"/>
      <c r="O176" s="143"/>
      <c r="P176" s="144"/>
      <c r="Q176" s="144"/>
      <c r="R176" s="141"/>
      <c r="S176" s="142"/>
    </row>
    <row r="177" spans="2:19">
      <c r="B177" s="138"/>
      <c r="C177" s="139"/>
      <c r="D177" s="140"/>
      <c r="E177" s="140"/>
      <c r="F177" s="141"/>
      <c r="G177" s="141"/>
      <c r="H177" s="141"/>
      <c r="I177" s="141"/>
      <c r="J177" s="138"/>
      <c r="K177" s="138"/>
      <c r="L177" s="138"/>
      <c r="M177" s="141"/>
      <c r="N177" s="142"/>
      <c r="O177" s="143"/>
      <c r="P177" s="144"/>
      <c r="Q177" s="144"/>
      <c r="R177" s="141"/>
      <c r="S177" s="142"/>
    </row>
    <row r="178" spans="2:19">
      <c r="B178" s="138"/>
      <c r="C178" s="139"/>
      <c r="D178" s="140"/>
      <c r="E178" s="140"/>
      <c r="F178" s="141"/>
      <c r="G178" s="141"/>
      <c r="H178" s="141"/>
      <c r="I178" s="141"/>
      <c r="J178" s="138"/>
      <c r="K178" s="138"/>
      <c r="L178" s="138"/>
      <c r="M178" s="141"/>
      <c r="N178" s="142"/>
      <c r="O178" s="143"/>
      <c r="P178" s="144"/>
      <c r="Q178" s="144"/>
      <c r="R178" s="141"/>
      <c r="S178" s="142"/>
    </row>
    <row r="179" spans="2:19">
      <c r="B179" s="138"/>
      <c r="C179" s="139"/>
      <c r="D179" s="140"/>
      <c r="E179" s="140"/>
      <c r="F179" s="141"/>
      <c r="G179" s="141"/>
      <c r="H179" s="141"/>
      <c r="I179" s="141"/>
      <c r="J179" s="138"/>
      <c r="K179" s="138"/>
      <c r="L179" s="138"/>
      <c r="M179" s="141"/>
      <c r="N179" s="142"/>
      <c r="O179" s="143"/>
      <c r="P179" s="144"/>
      <c r="Q179" s="144"/>
      <c r="R179" s="141"/>
      <c r="S179" s="142"/>
    </row>
    <row r="180" spans="2:19">
      <c r="B180" s="138"/>
      <c r="C180" s="139"/>
      <c r="D180" s="140"/>
      <c r="E180" s="140"/>
      <c r="F180" s="141"/>
      <c r="G180" s="141"/>
      <c r="H180" s="141"/>
      <c r="I180" s="141"/>
      <c r="J180" s="138"/>
      <c r="K180" s="138"/>
      <c r="L180" s="138"/>
      <c r="M180" s="141"/>
      <c r="N180" s="142"/>
      <c r="O180" s="143"/>
      <c r="P180" s="144"/>
      <c r="Q180" s="144"/>
      <c r="R180" s="141"/>
      <c r="S180" s="142"/>
    </row>
    <row r="181" spans="2:19">
      <c r="B181" s="138"/>
      <c r="C181" s="139"/>
      <c r="D181" s="140"/>
      <c r="E181" s="140"/>
      <c r="F181" s="141"/>
      <c r="G181" s="141"/>
      <c r="H181" s="141"/>
      <c r="I181" s="141"/>
      <c r="J181" s="138"/>
      <c r="K181" s="138"/>
      <c r="L181" s="138"/>
      <c r="M181" s="141"/>
      <c r="N181" s="142"/>
      <c r="O181" s="143"/>
      <c r="P181" s="144"/>
      <c r="Q181" s="144"/>
      <c r="R181" s="141"/>
      <c r="S181" s="142"/>
    </row>
    <row r="182" spans="2:19">
      <c r="B182" s="138"/>
      <c r="C182" s="139"/>
      <c r="D182" s="140"/>
      <c r="E182" s="140"/>
      <c r="F182" s="141"/>
      <c r="G182" s="141"/>
      <c r="H182" s="141"/>
      <c r="I182" s="141"/>
      <c r="J182" s="138"/>
      <c r="K182" s="138"/>
      <c r="L182" s="138"/>
      <c r="M182" s="141"/>
      <c r="N182" s="142"/>
      <c r="O182" s="143"/>
      <c r="P182" s="144"/>
      <c r="Q182" s="144"/>
      <c r="R182" s="141"/>
      <c r="S182" s="142"/>
    </row>
    <row r="183" spans="2:19">
      <c r="B183" s="138"/>
      <c r="C183" s="139"/>
      <c r="D183" s="140"/>
      <c r="E183" s="140"/>
      <c r="F183" s="141"/>
      <c r="G183" s="141"/>
      <c r="H183" s="141"/>
      <c r="I183" s="141"/>
      <c r="J183" s="138"/>
      <c r="K183" s="138"/>
      <c r="L183" s="138"/>
      <c r="M183" s="141"/>
      <c r="N183" s="142"/>
      <c r="O183" s="143"/>
      <c r="P183" s="144"/>
      <c r="Q183" s="144"/>
      <c r="R183" s="141"/>
      <c r="S183" s="142"/>
    </row>
    <row r="184" spans="2:19">
      <c r="B184" s="138"/>
      <c r="C184" s="139"/>
      <c r="D184" s="140"/>
      <c r="E184" s="140"/>
      <c r="F184" s="141"/>
      <c r="G184" s="141"/>
      <c r="H184" s="141"/>
      <c r="I184" s="141"/>
      <c r="J184" s="138"/>
      <c r="K184" s="138"/>
      <c r="L184" s="138"/>
      <c r="M184" s="141"/>
      <c r="N184" s="142"/>
      <c r="O184" s="143"/>
      <c r="P184" s="144"/>
      <c r="Q184" s="144"/>
      <c r="R184" s="141"/>
      <c r="S184" s="142"/>
    </row>
    <row r="185" spans="2:19">
      <c r="B185" s="138"/>
      <c r="C185" s="139"/>
      <c r="D185" s="140"/>
      <c r="E185" s="140"/>
      <c r="F185" s="141"/>
      <c r="G185" s="141"/>
      <c r="H185" s="141"/>
      <c r="I185" s="141"/>
      <c r="J185" s="138"/>
      <c r="K185" s="138"/>
      <c r="L185" s="138"/>
      <c r="M185" s="141"/>
      <c r="N185" s="142"/>
      <c r="O185" s="143"/>
      <c r="P185" s="144"/>
      <c r="Q185" s="144"/>
      <c r="R185" s="141"/>
      <c r="S185" s="142"/>
    </row>
    <row r="186" spans="2:19">
      <c r="B186" s="138"/>
      <c r="C186" s="139"/>
      <c r="D186" s="140"/>
      <c r="E186" s="140"/>
      <c r="F186" s="141"/>
      <c r="G186" s="141"/>
      <c r="H186" s="141"/>
      <c r="I186" s="141"/>
      <c r="J186" s="138"/>
      <c r="K186" s="138"/>
      <c r="L186" s="138"/>
      <c r="M186" s="141"/>
      <c r="N186" s="142"/>
      <c r="O186" s="143"/>
      <c r="P186" s="144"/>
      <c r="Q186" s="144"/>
      <c r="R186" s="141"/>
      <c r="S186" s="142"/>
    </row>
    <row r="187" spans="2:19">
      <c r="B187" s="138"/>
      <c r="C187" s="139"/>
      <c r="D187" s="140"/>
      <c r="E187" s="140"/>
      <c r="F187" s="141"/>
      <c r="G187" s="141"/>
      <c r="H187" s="141"/>
      <c r="I187" s="141"/>
      <c r="J187" s="138"/>
      <c r="K187" s="138"/>
      <c r="L187" s="138"/>
      <c r="M187" s="141"/>
      <c r="N187" s="142"/>
      <c r="O187" s="143"/>
      <c r="P187" s="144"/>
      <c r="Q187" s="144"/>
      <c r="R187" s="141"/>
      <c r="S187" s="142"/>
    </row>
    <row r="188" spans="2:19">
      <c r="B188" s="138"/>
      <c r="C188" s="139"/>
      <c r="D188" s="140"/>
      <c r="E188" s="140"/>
      <c r="F188" s="141"/>
      <c r="G188" s="141"/>
      <c r="H188" s="141"/>
      <c r="I188" s="141"/>
      <c r="J188" s="138"/>
      <c r="K188" s="138"/>
      <c r="L188" s="138"/>
      <c r="M188" s="141"/>
      <c r="N188" s="142"/>
      <c r="O188" s="143"/>
      <c r="P188" s="144"/>
      <c r="Q188" s="144"/>
      <c r="R188" s="141"/>
      <c r="S188" s="142"/>
    </row>
    <row r="189" spans="2:19">
      <c r="B189" s="138"/>
      <c r="C189" s="139"/>
      <c r="D189" s="140"/>
      <c r="E189" s="140"/>
      <c r="F189" s="141"/>
      <c r="G189" s="141"/>
      <c r="H189" s="141"/>
      <c r="I189" s="141"/>
      <c r="J189" s="138"/>
      <c r="K189" s="138"/>
      <c r="L189" s="138"/>
      <c r="M189" s="141"/>
      <c r="N189" s="142"/>
      <c r="O189" s="143"/>
      <c r="P189" s="144"/>
      <c r="Q189" s="144"/>
      <c r="R189" s="141"/>
      <c r="S189" s="142"/>
    </row>
    <row r="190" spans="2:19">
      <c r="B190" s="138"/>
      <c r="C190" s="139"/>
      <c r="D190" s="140"/>
      <c r="E190" s="140"/>
      <c r="F190" s="141"/>
      <c r="G190" s="141"/>
      <c r="H190" s="141"/>
      <c r="I190" s="141"/>
      <c r="J190" s="138"/>
      <c r="K190" s="138"/>
      <c r="L190" s="138"/>
      <c r="M190" s="141"/>
      <c r="N190" s="142"/>
      <c r="O190" s="143"/>
      <c r="P190" s="144"/>
      <c r="Q190" s="144"/>
      <c r="R190" s="141"/>
      <c r="S190" s="142"/>
    </row>
    <row r="191" spans="2:19">
      <c r="B191" s="138"/>
      <c r="C191" s="139"/>
      <c r="D191" s="140"/>
      <c r="E191" s="140"/>
      <c r="F191" s="141"/>
      <c r="G191" s="141"/>
      <c r="H191" s="141"/>
      <c r="I191" s="141"/>
      <c r="J191" s="138"/>
      <c r="K191" s="138"/>
      <c r="L191" s="138"/>
      <c r="M191" s="141"/>
      <c r="N191" s="142"/>
      <c r="O191" s="143"/>
      <c r="P191" s="144"/>
      <c r="Q191" s="144"/>
      <c r="R191" s="141"/>
      <c r="S191" s="142"/>
    </row>
    <row r="192" spans="2:19">
      <c r="B192" s="138"/>
      <c r="C192" s="139"/>
      <c r="D192" s="140"/>
      <c r="E192" s="140"/>
      <c r="F192" s="141"/>
      <c r="G192" s="141"/>
      <c r="H192" s="141"/>
      <c r="I192" s="141"/>
      <c r="J192" s="138"/>
      <c r="K192" s="138"/>
      <c r="L192" s="138"/>
      <c r="M192" s="141"/>
      <c r="N192" s="142"/>
      <c r="O192" s="143"/>
      <c r="P192" s="144"/>
      <c r="Q192" s="144"/>
      <c r="R192" s="141"/>
      <c r="S192" s="142"/>
    </row>
    <row r="193" spans="2:19">
      <c r="B193" s="138"/>
      <c r="C193" s="139"/>
      <c r="D193" s="140"/>
      <c r="E193" s="140"/>
      <c r="F193" s="141"/>
      <c r="G193" s="141"/>
      <c r="H193" s="141"/>
      <c r="I193" s="141"/>
      <c r="J193" s="138"/>
      <c r="K193" s="138"/>
      <c r="L193" s="138"/>
      <c r="M193" s="141"/>
      <c r="N193" s="142"/>
      <c r="O193" s="143"/>
      <c r="P193" s="144"/>
      <c r="Q193" s="144"/>
      <c r="R193" s="141"/>
      <c r="S193" s="142"/>
    </row>
    <row r="194" spans="2:19">
      <c r="B194" s="138"/>
      <c r="C194" s="139"/>
      <c r="D194" s="140"/>
      <c r="E194" s="140"/>
      <c r="F194" s="141"/>
      <c r="G194" s="141"/>
      <c r="H194" s="141"/>
      <c r="I194" s="141"/>
      <c r="J194" s="138"/>
      <c r="K194" s="138"/>
      <c r="L194" s="138"/>
      <c r="M194" s="141"/>
      <c r="N194" s="142"/>
      <c r="O194" s="143"/>
      <c r="P194" s="144"/>
      <c r="Q194" s="144"/>
      <c r="R194" s="141"/>
      <c r="S194" s="142"/>
    </row>
    <row r="195" spans="2:19">
      <c r="B195" s="138"/>
      <c r="C195" s="139"/>
      <c r="D195" s="140"/>
      <c r="E195" s="140"/>
      <c r="F195" s="141"/>
      <c r="G195" s="141"/>
      <c r="H195" s="141"/>
      <c r="I195" s="141"/>
      <c r="J195" s="138"/>
      <c r="K195" s="138"/>
      <c r="L195" s="138"/>
      <c r="M195" s="141"/>
      <c r="N195" s="142"/>
      <c r="O195" s="143"/>
      <c r="P195" s="144"/>
      <c r="Q195" s="144"/>
      <c r="R195" s="141"/>
      <c r="S195" s="142"/>
    </row>
    <row r="196" spans="2:19">
      <c r="B196" s="138"/>
      <c r="C196" s="139"/>
      <c r="D196" s="140"/>
      <c r="E196" s="140"/>
      <c r="F196" s="141"/>
      <c r="G196" s="141"/>
      <c r="H196" s="141"/>
      <c r="I196" s="141"/>
      <c r="J196" s="138"/>
      <c r="K196" s="138"/>
      <c r="L196" s="138"/>
      <c r="M196" s="141"/>
      <c r="N196" s="142"/>
      <c r="O196" s="143"/>
      <c r="P196" s="144"/>
      <c r="Q196" s="144"/>
      <c r="R196" s="141"/>
      <c r="S196" s="142"/>
    </row>
    <row r="197" spans="2:19">
      <c r="B197" s="138"/>
      <c r="C197" s="139"/>
      <c r="D197" s="140"/>
      <c r="E197" s="140"/>
      <c r="F197" s="141"/>
      <c r="G197" s="141"/>
      <c r="H197" s="141"/>
      <c r="I197" s="141"/>
      <c r="J197" s="138"/>
      <c r="K197" s="138"/>
      <c r="L197" s="138"/>
      <c r="M197" s="141"/>
      <c r="N197" s="142"/>
      <c r="O197" s="143"/>
      <c r="P197" s="144"/>
      <c r="Q197" s="144"/>
      <c r="R197" s="141"/>
      <c r="S197" s="142"/>
    </row>
    <row r="198" spans="2:19">
      <c r="B198" s="138"/>
      <c r="C198" s="139"/>
      <c r="D198" s="140"/>
      <c r="E198" s="140"/>
      <c r="F198" s="141"/>
      <c r="G198" s="141"/>
      <c r="H198" s="141"/>
      <c r="I198" s="141"/>
      <c r="J198" s="138"/>
      <c r="K198" s="138"/>
      <c r="L198" s="138"/>
      <c r="M198" s="141"/>
      <c r="N198" s="142"/>
      <c r="O198" s="143"/>
      <c r="P198" s="144"/>
      <c r="Q198" s="144"/>
      <c r="R198" s="141"/>
      <c r="S198" s="142"/>
    </row>
    <row r="199" spans="2:19">
      <c r="B199" s="138"/>
      <c r="C199" s="139"/>
      <c r="D199" s="140"/>
      <c r="E199" s="140"/>
      <c r="F199" s="141"/>
      <c r="G199" s="141"/>
      <c r="H199" s="141"/>
      <c r="I199" s="141"/>
      <c r="J199" s="138"/>
      <c r="K199" s="138"/>
      <c r="L199" s="138"/>
      <c r="M199" s="141"/>
      <c r="N199" s="142"/>
      <c r="O199" s="143"/>
      <c r="P199" s="144"/>
      <c r="Q199" s="144"/>
      <c r="R199" s="141"/>
      <c r="S199" s="142"/>
    </row>
    <row r="200" spans="2:19">
      <c r="B200" s="138"/>
      <c r="C200" s="139"/>
      <c r="D200" s="140"/>
      <c r="E200" s="140"/>
      <c r="F200" s="141"/>
      <c r="G200" s="141"/>
      <c r="H200" s="141"/>
      <c r="I200" s="141"/>
      <c r="J200" s="138"/>
      <c r="K200" s="138"/>
      <c r="L200" s="138"/>
      <c r="M200" s="141"/>
      <c r="N200" s="142"/>
      <c r="O200" s="143"/>
      <c r="P200" s="144"/>
      <c r="Q200" s="144"/>
      <c r="R200" s="141"/>
      <c r="S200" s="142"/>
    </row>
    <row r="201" spans="2:19">
      <c r="B201" s="138"/>
      <c r="C201" s="139"/>
      <c r="D201" s="140"/>
      <c r="E201" s="140"/>
      <c r="F201" s="141"/>
      <c r="G201" s="141"/>
      <c r="H201" s="141"/>
      <c r="I201" s="141"/>
      <c r="J201" s="138"/>
      <c r="K201" s="138"/>
      <c r="L201" s="138"/>
      <c r="M201" s="141"/>
      <c r="N201" s="142"/>
      <c r="O201" s="143"/>
      <c r="P201" s="144"/>
      <c r="Q201" s="144"/>
      <c r="R201" s="141"/>
      <c r="S201" s="142"/>
    </row>
    <row r="202" spans="2:19">
      <c r="B202" s="138"/>
      <c r="C202" s="139"/>
      <c r="D202" s="140"/>
      <c r="E202" s="140"/>
      <c r="F202" s="141"/>
      <c r="G202" s="141"/>
      <c r="H202" s="141"/>
      <c r="I202" s="141"/>
      <c r="J202" s="138"/>
      <c r="K202" s="138"/>
      <c r="L202" s="138"/>
      <c r="M202" s="141"/>
      <c r="N202" s="142"/>
      <c r="O202" s="143"/>
      <c r="P202" s="144"/>
      <c r="Q202" s="144"/>
      <c r="R202" s="141"/>
      <c r="S202" s="142"/>
    </row>
    <row r="203" spans="2:19">
      <c r="B203" s="138"/>
      <c r="C203" s="139"/>
      <c r="D203" s="140"/>
      <c r="E203" s="140"/>
      <c r="F203" s="141"/>
      <c r="G203" s="141"/>
      <c r="H203" s="141"/>
      <c r="I203" s="141"/>
      <c r="J203" s="138"/>
      <c r="K203" s="138"/>
      <c r="L203" s="138"/>
      <c r="M203" s="141"/>
      <c r="N203" s="142"/>
      <c r="O203" s="143"/>
      <c r="P203" s="144"/>
      <c r="Q203" s="144"/>
      <c r="R203" s="141"/>
      <c r="S203" s="142"/>
    </row>
    <row r="204" spans="2:19">
      <c r="B204" s="138"/>
      <c r="C204" s="139"/>
      <c r="D204" s="140"/>
      <c r="E204" s="140"/>
      <c r="F204" s="141"/>
      <c r="G204" s="141"/>
      <c r="H204" s="141"/>
      <c r="I204" s="141"/>
      <c r="J204" s="138"/>
      <c r="K204" s="138"/>
      <c r="L204" s="138"/>
      <c r="M204" s="141"/>
      <c r="N204" s="142"/>
      <c r="O204" s="143"/>
      <c r="P204" s="144"/>
      <c r="Q204" s="144"/>
      <c r="R204" s="141"/>
      <c r="S204" s="142"/>
    </row>
    <row r="205" spans="2:19">
      <c r="B205" s="138"/>
      <c r="C205" s="139"/>
      <c r="D205" s="140"/>
      <c r="E205" s="140"/>
      <c r="F205" s="141"/>
      <c r="G205" s="141"/>
      <c r="H205" s="141"/>
      <c r="I205" s="141"/>
      <c r="J205" s="138"/>
      <c r="K205" s="138"/>
      <c r="L205" s="138"/>
      <c r="M205" s="141"/>
      <c r="N205" s="142"/>
      <c r="O205" s="143"/>
      <c r="P205" s="144"/>
      <c r="Q205" s="144"/>
      <c r="R205" s="141"/>
      <c r="S205" s="142"/>
    </row>
    <row r="206" spans="2:19">
      <c r="B206" s="138"/>
      <c r="C206" s="139"/>
      <c r="D206" s="140"/>
      <c r="E206" s="140"/>
      <c r="F206" s="141"/>
      <c r="G206" s="141"/>
      <c r="H206" s="141"/>
      <c r="I206" s="141"/>
      <c r="J206" s="138"/>
      <c r="K206" s="138"/>
      <c r="L206" s="138"/>
      <c r="M206" s="141"/>
      <c r="N206" s="142"/>
      <c r="O206" s="143"/>
      <c r="P206" s="144"/>
      <c r="Q206" s="144"/>
      <c r="R206" s="141"/>
      <c r="S206" s="142"/>
    </row>
    <row r="207" spans="2:19">
      <c r="B207" s="138"/>
      <c r="C207" s="139"/>
      <c r="D207" s="140"/>
      <c r="E207" s="140"/>
      <c r="F207" s="141"/>
      <c r="G207" s="141"/>
      <c r="H207" s="141"/>
      <c r="I207" s="141"/>
      <c r="J207" s="138"/>
      <c r="K207" s="138"/>
      <c r="L207" s="138"/>
      <c r="M207" s="141"/>
      <c r="N207" s="142"/>
      <c r="O207" s="143"/>
      <c r="P207" s="144"/>
      <c r="Q207" s="144"/>
      <c r="R207" s="141"/>
      <c r="S207" s="142"/>
    </row>
    <row r="208" spans="2:19">
      <c r="B208" s="138"/>
      <c r="C208" s="139"/>
      <c r="D208" s="140"/>
      <c r="E208" s="140"/>
      <c r="F208" s="141"/>
      <c r="G208" s="141"/>
      <c r="H208" s="141"/>
      <c r="I208" s="141"/>
      <c r="J208" s="138"/>
      <c r="K208" s="138"/>
      <c r="L208" s="138"/>
      <c r="M208" s="141"/>
      <c r="N208" s="142"/>
      <c r="O208" s="143"/>
      <c r="P208" s="144"/>
      <c r="Q208" s="144"/>
      <c r="R208" s="141"/>
      <c r="S208" s="142"/>
    </row>
    <row r="209" spans="2:19">
      <c r="B209" s="138"/>
      <c r="C209" s="139"/>
      <c r="D209" s="140"/>
      <c r="E209" s="140"/>
      <c r="F209" s="141"/>
      <c r="G209" s="141"/>
      <c r="H209" s="141"/>
      <c r="I209" s="141"/>
      <c r="J209" s="138"/>
      <c r="K209" s="138"/>
      <c r="L209" s="138"/>
      <c r="M209" s="141"/>
      <c r="N209" s="142"/>
      <c r="O209" s="143"/>
      <c r="P209" s="144"/>
      <c r="Q209" s="144"/>
      <c r="R209" s="141"/>
      <c r="S209" s="142"/>
    </row>
    <row r="210" spans="2:19">
      <c r="B210" s="138"/>
      <c r="C210" s="139"/>
      <c r="D210" s="140"/>
      <c r="E210" s="140"/>
      <c r="F210" s="141"/>
      <c r="G210" s="141"/>
      <c r="H210" s="141"/>
      <c r="I210" s="141"/>
      <c r="J210" s="138"/>
      <c r="K210" s="138"/>
      <c r="L210" s="138"/>
      <c r="M210" s="141"/>
      <c r="N210" s="142"/>
      <c r="O210" s="143"/>
      <c r="P210" s="144"/>
      <c r="Q210" s="144"/>
      <c r="R210" s="141"/>
      <c r="S210" s="142"/>
    </row>
    <row r="211" spans="2:19">
      <c r="B211" s="138"/>
      <c r="C211" s="139"/>
      <c r="D211" s="140"/>
      <c r="E211" s="140"/>
      <c r="F211" s="141"/>
      <c r="G211" s="141"/>
      <c r="H211" s="141"/>
      <c r="I211" s="141"/>
      <c r="J211" s="138"/>
      <c r="K211" s="138"/>
      <c r="L211" s="138"/>
      <c r="M211" s="141"/>
      <c r="N211" s="142"/>
      <c r="O211" s="143"/>
      <c r="P211" s="144"/>
      <c r="Q211" s="144"/>
      <c r="R211" s="141"/>
      <c r="S211" s="142"/>
    </row>
    <row r="212" spans="2:19">
      <c r="B212" s="138"/>
      <c r="C212" s="139"/>
      <c r="D212" s="140"/>
      <c r="E212" s="140"/>
      <c r="F212" s="141"/>
      <c r="G212" s="141"/>
      <c r="H212" s="141"/>
      <c r="I212" s="141"/>
      <c r="J212" s="138"/>
      <c r="K212" s="138"/>
      <c r="L212" s="138"/>
      <c r="M212" s="141"/>
      <c r="N212" s="142"/>
      <c r="O212" s="143"/>
      <c r="P212" s="144"/>
      <c r="Q212" s="144"/>
      <c r="R212" s="141"/>
      <c r="S212" s="142"/>
    </row>
    <row r="213" spans="2:19">
      <c r="B213" s="138"/>
      <c r="C213" s="139"/>
      <c r="D213" s="140"/>
      <c r="E213" s="140"/>
      <c r="F213" s="141"/>
      <c r="G213" s="141"/>
      <c r="H213" s="141"/>
      <c r="I213" s="141"/>
      <c r="J213" s="138"/>
      <c r="K213" s="138"/>
      <c r="L213" s="138"/>
      <c r="M213" s="141"/>
      <c r="N213" s="142"/>
      <c r="O213" s="143"/>
      <c r="P213" s="144"/>
      <c r="Q213" s="144"/>
      <c r="R213" s="141"/>
      <c r="S213" s="142"/>
    </row>
    <row r="214" spans="2:19">
      <c r="B214" s="138"/>
      <c r="C214" s="139"/>
      <c r="D214" s="140"/>
      <c r="E214" s="140"/>
      <c r="F214" s="141"/>
      <c r="G214" s="141"/>
      <c r="H214" s="141"/>
      <c r="I214" s="141"/>
      <c r="J214" s="138"/>
      <c r="K214" s="138"/>
      <c r="L214" s="138"/>
      <c r="M214" s="141"/>
      <c r="N214" s="142"/>
      <c r="O214" s="143"/>
      <c r="P214" s="144"/>
      <c r="Q214" s="144"/>
      <c r="R214" s="141"/>
      <c r="S214" s="142"/>
    </row>
    <row r="215" spans="2:19">
      <c r="B215" s="138"/>
      <c r="C215" s="139"/>
      <c r="D215" s="140"/>
      <c r="E215" s="140"/>
      <c r="F215" s="141"/>
      <c r="G215" s="141"/>
      <c r="H215" s="141"/>
      <c r="I215" s="141"/>
      <c r="J215" s="138"/>
      <c r="K215" s="138"/>
      <c r="L215" s="138"/>
      <c r="M215" s="141"/>
      <c r="N215" s="142"/>
      <c r="O215" s="143"/>
      <c r="P215" s="144"/>
      <c r="Q215" s="144"/>
      <c r="R215" s="141"/>
      <c r="S215" s="142"/>
    </row>
    <row r="216" spans="2:19">
      <c r="B216" s="138"/>
      <c r="C216" s="139"/>
      <c r="D216" s="140"/>
      <c r="E216" s="140"/>
      <c r="F216" s="141"/>
      <c r="G216" s="141"/>
      <c r="H216" s="141"/>
      <c r="I216" s="141"/>
      <c r="J216" s="138"/>
      <c r="K216" s="138"/>
      <c r="L216" s="138"/>
      <c r="M216" s="141"/>
      <c r="N216" s="142"/>
      <c r="O216" s="143"/>
      <c r="P216" s="144"/>
      <c r="Q216" s="144"/>
      <c r="R216" s="141"/>
      <c r="S216" s="142"/>
    </row>
    <row r="217" spans="2:19">
      <c r="B217" s="138"/>
      <c r="C217" s="139"/>
      <c r="D217" s="140"/>
      <c r="E217" s="140"/>
      <c r="F217" s="141"/>
      <c r="G217" s="141"/>
      <c r="H217" s="141"/>
      <c r="I217" s="141"/>
      <c r="J217" s="138"/>
      <c r="K217" s="138"/>
      <c r="L217" s="138"/>
      <c r="M217" s="141"/>
      <c r="N217" s="142"/>
      <c r="O217" s="143"/>
      <c r="P217" s="144"/>
      <c r="Q217" s="144"/>
      <c r="R217" s="141"/>
      <c r="S217" s="142"/>
    </row>
    <row r="218" spans="2:19">
      <c r="B218" s="138"/>
      <c r="C218" s="139"/>
      <c r="D218" s="140"/>
      <c r="E218" s="140"/>
      <c r="F218" s="141"/>
      <c r="G218" s="141"/>
      <c r="H218" s="141"/>
      <c r="I218" s="141"/>
      <c r="J218" s="138"/>
      <c r="K218" s="138"/>
      <c r="L218" s="138"/>
      <c r="M218" s="141"/>
      <c r="N218" s="142"/>
      <c r="O218" s="143"/>
      <c r="P218" s="144"/>
      <c r="Q218" s="144"/>
      <c r="R218" s="141"/>
      <c r="S218" s="142"/>
    </row>
    <row r="219" spans="2:19">
      <c r="B219" s="138"/>
      <c r="C219" s="139"/>
      <c r="D219" s="140"/>
      <c r="E219" s="140"/>
      <c r="F219" s="141"/>
      <c r="G219" s="141"/>
      <c r="H219" s="141"/>
      <c r="I219" s="141"/>
      <c r="J219" s="138"/>
      <c r="K219" s="138"/>
      <c r="L219" s="138"/>
      <c r="M219" s="141"/>
      <c r="N219" s="142"/>
      <c r="O219" s="143"/>
      <c r="P219" s="144"/>
      <c r="Q219" s="144"/>
      <c r="R219" s="141"/>
      <c r="S219" s="142"/>
    </row>
    <row r="220" spans="2:19">
      <c r="B220" s="138"/>
      <c r="C220" s="139"/>
      <c r="D220" s="140"/>
      <c r="E220" s="140"/>
      <c r="F220" s="141"/>
      <c r="G220" s="141"/>
      <c r="H220" s="141"/>
      <c r="I220" s="141"/>
      <c r="J220" s="138"/>
      <c r="K220" s="138"/>
      <c r="L220" s="138"/>
      <c r="M220" s="141"/>
      <c r="N220" s="142"/>
      <c r="O220" s="143"/>
      <c r="P220" s="144"/>
      <c r="Q220" s="144"/>
      <c r="R220" s="141"/>
      <c r="S220" s="142"/>
    </row>
    <row r="221" spans="2:19">
      <c r="B221" s="138"/>
      <c r="C221" s="139"/>
      <c r="D221" s="140"/>
      <c r="E221" s="140"/>
      <c r="F221" s="141"/>
      <c r="G221" s="141"/>
      <c r="H221" s="141"/>
      <c r="I221" s="141"/>
      <c r="J221" s="138"/>
      <c r="K221" s="138"/>
      <c r="L221" s="138"/>
      <c r="M221" s="141"/>
      <c r="N221" s="142"/>
      <c r="O221" s="143"/>
      <c r="P221" s="144"/>
      <c r="Q221" s="144"/>
      <c r="R221" s="141"/>
      <c r="S221" s="142"/>
    </row>
    <row r="222" spans="2:19">
      <c r="B222" s="138"/>
      <c r="C222" s="139"/>
      <c r="D222" s="140"/>
      <c r="E222" s="140"/>
      <c r="F222" s="141"/>
      <c r="G222" s="141"/>
      <c r="H222" s="141"/>
      <c r="I222" s="141"/>
      <c r="J222" s="138"/>
      <c r="K222" s="138"/>
      <c r="L222" s="138"/>
      <c r="M222" s="141"/>
      <c r="N222" s="142"/>
      <c r="O222" s="143"/>
      <c r="P222" s="144"/>
      <c r="Q222" s="144"/>
      <c r="R222" s="141"/>
      <c r="S222" s="142"/>
    </row>
    <row r="223" spans="2:19">
      <c r="B223" s="138"/>
      <c r="C223" s="139"/>
      <c r="D223" s="140"/>
      <c r="E223" s="140"/>
      <c r="F223" s="141"/>
      <c r="G223" s="141"/>
      <c r="H223" s="141"/>
      <c r="I223" s="141"/>
      <c r="J223" s="138"/>
      <c r="K223" s="138"/>
      <c r="L223" s="138"/>
      <c r="M223" s="141"/>
      <c r="N223" s="142"/>
      <c r="O223" s="143"/>
      <c r="P223" s="144"/>
      <c r="Q223" s="144"/>
      <c r="R223" s="141"/>
      <c r="S223" s="142"/>
    </row>
    <row r="224" spans="2:19">
      <c r="B224" s="138"/>
      <c r="C224" s="139"/>
      <c r="D224" s="140"/>
      <c r="E224" s="140"/>
      <c r="F224" s="141"/>
      <c r="G224" s="141"/>
      <c r="H224" s="141"/>
      <c r="I224" s="141"/>
      <c r="J224" s="138"/>
      <c r="K224" s="138"/>
      <c r="L224" s="138"/>
      <c r="M224" s="141"/>
      <c r="N224" s="142"/>
      <c r="O224" s="143"/>
      <c r="P224" s="144"/>
      <c r="Q224" s="144"/>
      <c r="R224" s="141"/>
      <c r="S224" s="142"/>
    </row>
    <row r="225" spans="2:19">
      <c r="B225" s="138"/>
      <c r="C225" s="139"/>
      <c r="D225" s="140"/>
      <c r="E225" s="140"/>
      <c r="F225" s="141"/>
      <c r="G225" s="141"/>
      <c r="H225" s="141"/>
      <c r="I225" s="141"/>
      <c r="J225" s="138"/>
      <c r="K225" s="138"/>
      <c r="L225" s="138"/>
      <c r="M225" s="141"/>
      <c r="N225" s="142"/>
      <c r="O225" s="143"/>
      <c r="P225" s="144"/>
      <c r="Q225" s="144"/>
      <c r="R225" s="141"/>
      <c r="S225" s="142"/>
    </row>
    <row r="226" spans="2:19">
      <c r="B226" s="138"/>
      <c r="C226" s="139"/>
      <c r="D226" s="140"/>
      <c r="E226" s="140"/>
      <c r="F226" s="141"/>
      <c r="G226" s="141"/>
      <c r="H226" s="141"/>
      <c r="I226" s="141"/>
      <c r="J226" s="138"/>
      <c r="K226" s="138"/>
      <c r="L226" s="138"/>
      <c r="M226" s="141"/>
      <c r="N226" s="142"/>
      <c r="O226" s="143"/>
      <c r="P226" s="144"/>
      <c r="Q226" s="144"/>
      <c r="R226" s="141"/>
      <c r="S226" s="142"/>
    </row>
    <row r="227" spans="2:19">
      <c r="B227" s="138"/>
      <c r="C227" s="139"/>
      <c r="D227" s="140"/>
      <c r="E227" s="140"/>
      <c r="F227" s="141"/>
      <c r="G227" s="141"/>
      <c r="H227" s="141"/>
      <c r="I227" s="141"/>
      <c r="J227" s="138"/>
      <c r="K227" s="138"/>
      <c r="L227" s="138"/>
      <c r="M227" s="141"/>
      <c r="N227" s="142"/>
      <c r="O227" s="143"/>
      <c r="P227" s="144"/>
      <c r="Q227" s="144"/>
      <c r="R227" s="141"/>
      <c r="S227" s="142"/>
    </row>
    <row r="228" spans="2:19">
      <c r="B228" s="138"/>
      <c r="C228" s="139"/>
      <c r="D228" s="140"/>
      <c r="E228" s="140"/>
      <c r="F228" s="141"/>
      <c r="G228" s="141"/>
      <c r="H228" s="141"/>
      <c r="I228" s="141"/>
      <c r="J228" s="138"/>
      <c r="K228" s="138"/>
      <c r="L228" s="138"/>
      <c r="M228" s="141"/>
      <c r="N228" s="142"/>
      <c r="O228" s="143"/>
      <c r="P228" s="144"/>
      <c r="Q228" s="144"/>
      <c r="R228" s="141"/>
      <c r="S228" s="142"/>
    </row>
    <row r="229" spans="2:19">
      <c r="B229" s="138"/>
      <c r="C229" s="139"/>
      <c r="D229" s="140"/>
      <c r="E229" s="140"/>
      <c r="F229" s="141"/>
      <c r="G229" s="141"/>
      <c r="H229" s="141"/>
      <c r="I229" s="141"/>
      <c r="J229" s="138"/>
      <c r="K229" s="138"/>
      <c r="L229" s="138"/>
      <c r="M229" s="141"/>
      <c r="N229" s="142"/>
      <c r="O229" s="143"/>
      <c r="P229" s="144"/>
      <c r="Q229" s="144"/>
      <c r="R229" s="141"/>
      <c r="S229" s="142"/>
    </row>
    <row r="230" spans="2:19">
      <c r="B230" s="138"/>
      <c r="C230" s="139"/>
      <c r="D230" s="140"/>
      <c r="E230" s="140"/>
      <c r="F230" s="141"/>
      <c r="G230" s="141"/>
      <c r="H230" s="141"/>
      <c r="I230" s="141"/>
      <c r="J230" s="138"/>
      <c r="K230" s="138"/>
      <c r="L230" s="138"/>
      <c r="M230" s="141"/>
      <c r="N230" s="142"/>
      <c r="O230" s="143"/>
      <c r="P230" s="144"/>
      <c r="Q230" s="144"/>
      <c r="R230" s="141"/>
      <c r="S230" s="142"/>
    </row>
    <row r="231" spans="2:19">
      <c r="B231" s="138"/>
      <c r="C231" s="139"/>
      <c r="D231" s="140"/>
      <c r="E231" s="140"/>
      <c r="F231" s="141"/>
      <c r="G231" s="141"/>
      <c r="H231" s="141"/>
      <c r="I231" s="141"/>
      <c r="J231" s="138"/>
      <c r="K231" s="138"/>
      <c r="L231" s="138"/>
      <c r="M231" s="141"/>
      <c r="N231" s="142"/>
      <c r="O231" s="143"/>
      <c r="P231" s="144"/>
      <c r="Q231" s="144"/>
      <c r="R231" s="141"/>
      <c r="S231" s="142"/>
    </row>
    <row r="232" spans="2:19">
      <c r="B232" s="138"/>
      <c r="C232" s="139"/>
      <c r="D232" s="140"/>
      <c r="E232" s="140"/>
      <c r="F232" s="141"/>
      <c r="G232" s="141"/>
      <c r="H232" s="141"/>
      <c r="I232" s="141"/>
      <c r="J232" s="138"/>
      <c r="K232" s="138"/>
      <c r="L232" s="138"/>
      <c r="M232" s="141"/>
      <c r="N232" s="142"/>
      <c r="O232" s="143"/>
      <c r="P232" s="144"/>
      <c r="Q232" s="144"/>
      <c r="R232" s="141"/>
      <c r="S232" s="142"/>
    </row>
    <row r="233" spans="2:19">
      <c r="B233" s="138"/>
      <c r="C233" s="139"/>
      <c r="D233" s="140"/>
      <c r="E233" s="140"/>
      <c r="F233" s="141"/>
      <c r="G233" s="141"/>
      <c r="H233" s="141"/>
      <c r="I233" s="141"/>
      <c r="J233" s="138"/>
      <c r="K233" s="138"/>
      <c r="L233" s="138"/>
      <c r="M233" s="141"/>
      <c r="N233" s="142"/>
      <c r="O233" s="143"/>
      <c r="P233" s="144"/>
      <c r="Q233" s="144"/>
      <c r="R233" s="141"/>
      <c r="S233" s="142"/>
    </row>
    <row r="234" spans="2:19">
      <c r="B234" s="138"/>
      <c r="C234" s="139"/>
      <c r="D234" s="140"/>
      <c r="E234" s="140"/>
      <c r="F234" s="141"/>
      <c r="G234" s="141"/>
      <c r="H234" s="141"/>
      <c r="I234" s="141"/>
      <c r="J234" s="138"/>
      <c r="K234" s="138"/>
      <c r="L234" s="138"/>
      <c r="M234" s="141"/>
      <c r="N234" s="142"/>
      <c r="O234" s="143"/>
      <c r="P234" s="144"/>
      <c r="Q234" s="144"/>
      <c r="R234" s="141"/>
      <c r="S234" s="142"/>
    </row>
    <row r="235" spans="2:19">
      <c r="B235" s="138"/>
      <c r="C235" s="139"/>
      <c r="D235" s="140"/>
      <c r="E235" s="140"/>
      <c r="F235" s="141"/>
      <c r="G235" s="141"/>
      <c r="H235" s="141"/>
      <c r="I235" s="141"/>
      <c r="J235" s="138"/>
      <c r="K235" s="138"/>
      <c r="L235" s="138"/>
      <c r="M235" s="141"/>
      <c r="N235" s="142"/>
      <c r="O235" s="143"/>
      <c r="P235" s="144"/>
      <c r="Q235" s="144"/>
      <c r="R235" s="141"/>
      <c r="S235" s="142"/>
    </row>
    <row r="236" spans="2:19">
      <c r="B236" s="138"/>
      <c r="C236" s="139"/>
      <c r="D236" s="140"/>
      <c r="E236" s="140"/>
      <c r="F236" s="141"/>
      <c r="G236" s="141"/>
      <c r="H236" s="141"/>
      <c r="I236" s="141"/>
      <c r="J236" s="138"/>
      <c r="K236" s="138"/>
      <c r="L236" s="138"/>
      <c r="M236" s="141"/>
      <c r="N236" s="142"/>
      <c r="O236" s="143"/>
      <c r="P236" s="144"/>
      <c r="Q236" s="144"/>
      <c r="R236" s="141"/>
      <c r="S236" s="142"/>
    </row>
    <row r="237" spans="2:19">
      <c r="B237" s="138"/>
      <c r="C237" s="139"/>
      <c r="D237" s="140"/>
      <c r="E237" s="140"/>
      <c r="F237" s="141"/>
      <c r="G237" s="141"/>
      <c r="H237" s="141"/>
      <c r="I237" s="141"/>
      <c r="J237" s="138"/>
      <c r="K237" s="138"/>
      <c r="L237" s="138"/>
      <c r="M237" s="141"/>
      <c r="N237" s="142"/>
      <c r="O237" s="143"/>
      <c r="P237" s="144"/>
      <c r="Q237" s="144"/>
      <c r="R237" s="141"/>
      <c r="S237" s="142"/>
    </row>
    <row r="238" spans="2:19">
      <c r="B238" s="138"/>
      <c r="C238" s="139"/>
      <c r="D238" s="140"/>
      <c r="E238" s="140"/>
      <c r="F238" s="141"/>
      <c r="G238" s="141"/>
      <c r="H238" s="141"/>
      <c r="I238" s="141"/>
      <c r="J238" s="138"/>
      <c r="K238" s="138"/>
      <c r="L238" s="138"/>
      <c r="M238" s="141"/>
      <c r="N238" s="142"/>
      <c r="O238" s="143"/>
      <c r="P238" s="144"/>
      <c r="Q238" s="144"/>
      <c r="R238" s="141"/>
      <c r="S238" s="142"/>
    </row>
    <row r="239" spans="2:19">
      <c r="B239" s="138"/>
      <c r="C239" s="139"/>
      <c r="D239" s="140"/>
      <c r="E239" s="140"/>
      <c r="F239" s="141"/>
      <c r="G239" s="141"/>
      <c r="H239" s="141"/>
      <c r="I239" s="141"/>
      <c r="J239" s="138"/>
      <c r="K239" s="138"/>
      <c r="L239" s="138"/>
      <c r="M239" s="141"/>
      <c r="N239" s="142"/>
      <c r="O239" s="143"/>
      <c r="P239" s="144"/>
      <c r="Q239" s="144"/>
      <c r="R239" s="141"/>
      <c r="S239" s="142"/>
    </row>
    <row r="240" spans="2:19">
      <c r="B240" s="138"/>
      <c r="C240" s="139"/>
      <c r="D240" s="140"/>
      <c r="E240" s="140"/>
      <c r="F240" s="141"/>
      <c r="G240" s="141"/>
      <c r="H240" s="141"/>
      <c r="I240" s="141"/>
      <c r="J240" s="138"/>
      <c r="K240" s="138"/>
      <c r="L240" s="138"/>
      <c r="M240" s="141"/>
      <c r="N240" s="142"/>
      <c r="O240" s="143"/>
      <c r="P240" s="144"/>
      <c r="Q240" s="144"/>
      <c r="R240" s="141"/>
      <c r="S240" s="142"/>
    </row>
    <row r="241" spans="2:19">
      <c r="B241" s="138"/>
      <c r="C241" s="139"/>
      <c r="D241" s="140"/>
      <c r="E241" s="140"/>
      <c r="F241" s="141"/>
      <c r="G241" s="141"/>
      <c r="H241" s="141"/>
      <c r="I241" s="141"/>
      <c r="J241" s="138"/>
      <c r="K241" s="138"/>
      <c r="L241" s="138"/>
      <c r="M241" s="141"/>
      <c r="N241" s="142"/>
      <c r="O241" s="143"/>
      <c r="P241" s="144"/>
      <c r="Q241" s="144"/>
      <c r="R241" s="141"/>
      <c r="S241" s="142"/>
    </row>
    <row r="242" spans="2:19">
      <c r="B242" s="138"/>
      <c r="C242" s="139"/>
      <c r="D242" s="140"/>
      <c r="E242" s="140"/>
      <c r="F242" s="141"/>
      <c r="G242" s="141"/>
      <c r="H242" s="141"/>
      <c r="I242" s="141"/>
      <c r="J242" s="138"/>
      <c r="K242" s="138"/>
      <c r="L242" s="138"/>
      <c r="M242" s="141"/>
      <c r="N242" s="142"/>
      <c r="O242" s="143"/>
      <c r="P242" s="144"/>
      <c r="Q242" s="144"/>
      <c r="R242" s="141"/>
      <c r="S242" s="142"/>
    </row>
    <row r="243" spans="2:19">
      <c r="B243" s="138"/>
      <c r="C243" s="139"/>
      <c r="D243" s="140"/>
      <c r="E243" s="140"/>
      <c r="F243" s="141"/>
      <c r="G243" s="141"/>
      <c r="H243" s="141"/>
      <c r="I243" s="141"/>
      <c r="J243" s="138"/>
      <c r="K243" s="138"/>
      <c r="L243" s="138"/>
      <c r="M243" s="141"/>
      <c r="N243" s="142"/>
      <c r="O243" s="143"/>
      <c r="P243" s="144"/>
      <c r="Q243" s="144"/>
      <c r="R243" s="141"/>
      <c r="S243" s="142"/>
    </row>
    <row r="244" spans="2:19">
      <c r="B244" s="138"/>
      <c r="C244" s="139"/>
      <c r="D244" s="140"/>
      <c r="E244" s="140"/>
      <c r="F244" s="141"/>
      <c r="G244" s="141"/>
      <c r="H244" s="141"/>
      <c r="I244" s="141"/>
      <c r="J244" s="138"/>
      <c r="K244" s="138"/>
      <c r="L244" s="138"/>
      <c r="M244" s="141"/>
      <c r="N244" s="142"/>
      <c r="O244" s="143"/>
      <c r="P244" s="144"/>
      <c r="Q244" s="144"/>
      <c r="R244" s="141"/>
      <c r="S244" s="142"/>
    </row>
    <row r="245" spans="2:19">
      <c r="B245" s="138"/>
      <c r="C245" s="139"/>
      <c r="D245" s="140"/>
      <c r="E245" s="140"/>
      <c r="F245" s="141"/>
      <c r="G245" s="141"/>
      <c r="H245" s="141"/>
      <c r="I245" s="141"/>
      <c r="J245" s="138"/>
      <c r="K245" s="138"/>
      <c r="L245" s="138"/>
      <c r="M245" s="141"/>
      <c r="N245" s="142"/>
      <c r="O245" s="143"/>
      <c r="P245" s="144"/>
      <c r="Q245" s="144"/>
      <c r="R245" s="141"/>
      <c r="S245" s="142"/>
    </row>
    <row r="246" spans="2:19">
      <c r="B246" s="138"/>
      <c r="C246" s="139"/>
      <c r="D246" s="140"/>
      <c r="E246" s="140"/>
      <c r="F246" s="141"/>
      <c r="G246" s="141"/>
      <c r="H246" s="141"/>
      <c r="I246" s="141"/>
      <c r="J246" s="138"/>
      <c r="K246" s="138"/>
      <c r="L246" s="138"/>
      <c r="M246" s="141"/>
      <c r="N246" s="142"/>
      <c r="O246" s="143"/>
      <c r="P246" s="144"/>
      <c r="Q246" s="144"/>
      <c r="R246" s="141"/>
      <c r="S246" s="142"/>
    </row>
    <row r="247" spans="2:19">
      <c r="B247" s="138"/>
      <c r="C247" s="139"/>
      <c r="D247" s="140"/>
      <c r="E247" s="140"/>
      <c r="F247" s="141"/>
      <c r="G247" s="141"/>
      <c r="H247" s="141"/>
      <c r="I247" s="141"/>
      <c r="J247" s="138"/>
      <c r="K247" s="138"/>
      <c r="L247" s="138"/>
      <c r="M247" s="141"/>
      <c r="N247" s="142"/>
      <c r="O247" s="143"/>
      <c r="P247" s="144"/>
      <c r="Q247" s="144"/>
      <c r="R247" s="141"/>
      <c r="S247" s="142"/>
    </row>
    <row r="248" spans="2:19">
      <c r="B248" s="138"/>
      <c r="C248" s="139"/>
      <c r="D248" s="140"/>
      <c r="E248" s="140"/>
      <c r="F248" s="141"/>
      <c r="G248" s="141"/>
      <c r="H248" s="141"/>
      <c r="I248" s="141"/>
      <c r="J248" s="138"/>
      <c r="K248" s="138"/>
      <c r="L248" s="138"/>
      <c r="M248" s="141"/>
      <c r="N248" s="142"/>
      <c r="O248" s="143"/>
      <c r="P248" s="144"/>
      <c r="Q248" s="144"/>
      <c r="R248" s="141"/>
      <c r="S248" s="142"/>
    </row>
    <row r="249" spans="2:19">
      <c r="B249" s="138"/>
      <c r="C249" s="139"/>
      <c r="D249" s="140"/>
      <c r="E249" s="140"/>
      <c r="F249" s="141"/>
      <c r="G249" s="141"/>
      <c r="H249" s="141"/>
      <c r="I249" s="141"/>
      <c r="J249" s="138"/>
      <c r="K249" s="138"/>
      <c r="L249" s="138"/>
      <c r="M249" s="141"/>
      <c r="N249" s="142"/>
      <c r="O249" s="143"/>
      <c r="P249" s="144"/>
      <c r="Q249" s="144"/>
      <c r="R249" s="141"/>
      <c r="S249" s="142"/>
    </row>
    <row r="250" spans="2:19">
      <c r="B250" s="138"/>
      <c r="C250" s="139"/>
      <c r="D250" s="140"/>
      <c r="E250" s="140"/>
      <c r="F250" s="141"/>
      <c r="G250" s="141"/>
      <c r="H250" s="141"/>
      <c r="I250" s="141"/>
      <c r="J250" s="138"/>
      <c r="K250" s="138"/>
      <c r="L250" s="138"/>
      <c r="M250" s="141"/>
      <c r="N250" s="142"/>
      <c r="O250" s="143"/>
      <c r="P250" s="144"/>
      <c r="Q250" s="144"/>
      <c r="R250" s="141"/>
      <c r="S250" s="142"/>
    </row>
    <row r="251" spans="2:19">
      <c r="B251" s="138"/>
      <c r="C251" s="139"/>
      <c r="D251" s="140"/>
      <c r="E251" s="140"/>
      <c r="F251" s="141"/>
      <c r="G251" s="141"/>
      <c r="H251" s="141"/>
      <c r="I251" s="141"/>
      <c r="J251" s="138"/>
      <c r="K251" s="138"/>
      <c r="L251" s="138"/>
      <c r="M251" s="141"/>
      <c r="N251" s="142"/>
      <c r="O251" s="143"/>
      <c r="P251" s="144"/>
      <c r="Q251" s="144"/>
      <c r="R251" s="141"/>
      <c r="S251" s="142"/>
    </row>
    <row r="252" spans="2:19">
      <c r="B252" s="138"/>
      <c r="C252" s="139"/>
      <c r="D252" s="140"/>
      <c r="E252" s="140"/>
      <c r="F252" s="141"/>
      <c r="G252" s="141"/>
      <c r="H252" s="141"/>
      <c r="I252" s="141"/>
      <c r="J252" s="138"/>
      <c r="K252" s="138"/>
      <c r="L252" s="138"/>
      <c r="M252" s="141"/>
      <c r="N252" s="142"/>
      <c r="O252" s="143"/>
      <c r="P252" s="144"/>
      <c r="Q252" s="144"/>
      <c r="R252" s="141"/>
      <c r="S252" s="142"/>
    </row>
    <row r="253" spans="2:19">
      <c r="B253" s="138"/>
      <c r="C253" s="139"/>
      <c r="D253" s="140"/>
      <c r="E253" s="140"/>
      <c r="F253" s="141"/>
      <c r="G253" s="141"/>
      <c r="H253" s="141"/>
      <c r="I253" s="141"/>
      <c r="J253" s="138"/>
      <c r="K253" s="138"/>
      <c r="L253" s="138"/>
      <c r="M253" s="141"/>
      <c r="N253" s="142"/>
      <c r="O253" s="143"/>
      <c r="P253" s="144"/>
      <c r="Q253" s="144"/>
      <c r="R253" s="141"/>
      <c r="S253" s="142"/>
    </row>
    <row r="254" spans="2:19">
      <c r="B254" s="138"/>
      <c r="C254" s="139"/>
      <c r="D254" s="140"/>
      <c r="E254" s="140"/>
      <c r="F254" s="141"/>
      <c r="G254" s="141"/>
      <c r="H254" s="141"/>
      <c r="I254" s="141"/>
      <c r="J254" s="138"/>
      <c r="K254" s="138"/>
      <c r="L254" s="138"/>
      <c r="M254" s="141"/>
      <c r="N254" s="142"/>
      <c r="O254" s="143"/>
      <c r="P254" s="144"/>
      <c r="Q254" s="144"/>
      <c r="R254" s="141"/>
      <c r="S254" s="142"/>
    </row>
    <row r="255" spans="2:19">
      <c r="B255" s="138"/>
      <c r="C255" s="139"/>
      <c r="D255" s="140"/>
      <c r="E255" s="140"/>
      <c r="F255" s="141"/>
      <c r="G255" s="141"/>
      <c r="H255" s="141"/>
      <c r="I255" s="141"/>
      <c r="J255" s="138"/>
      <c r="K255" s="138"/>
      <c r="L255" s="138"/>
      <c r="M255" s="141"/>
      <c r="N255" s="142"/>
      <c r="O255" s="143"/>
      <c r="P255" s="144"/>
      <c r="Q255" s="144"/>
      <c r="R255" s="141"/>
      <c r="S255" s="142"/>
    </row>
    <row r="256" spans="2:19">
      <c r="B256" s="138"/>
      <c r="C256" s="139"/>
      <c r="D256" s="140"/>
      <c r="E256" s="140"/>
      <c r="F256" s="141"/>
      <c r="G256" s="141"/>
      <c r="H256" s="141"/>
      <c r="I256" s="141"/>
      <c r="J256" s="138"/>
      <c r="K256" s="138"/>
      <c r="L256" s="138"/>
      <c r="M256" s="141"/>
      <c r="N256" s="142"/>
      <c r="O256" s="143"/>
      <c r="P256" s="144"/>
      <c r="Q256" s="144"/>
      <c r="R256" s="141"/>
      <c r="S256" s="142"/>
    </row>
    <row r="257" spans="2:19">
      <c r="B257" s="138"/>
      <c r="C257" s="139"/>
      <c r="D257" s="140"/>
      <c r="E257" s="140"/>
      <c r="F257" s="141"/>
      <c r="G257" s="141"/>
      <c r="H257" s="141"/>
      <c r="I257" s="141"/>
      <c r="J257" s="138"/>
      <c r="K257" s="138"/>
      <c r="L257" s="138"/>
      <c r="M257" s="141"/>
      <c r="N257" s="142"/>
      <c r="O257" s="143"/>
      <c r="P257" s="144"/>
      <c r="Q257" s="144"/>
      <c r="R257" s="141"/>
      <c r="S257" s="142"/>
    </row>
    <row r="258" spans="2:19">
      <c r="B258" s="138"/>
      <c r="C258" s="139"/>
      <c r="D258" s="140"/>
      <c r="E258" s="140"/>
      <c r="F258" s="141"/>
      <c r="G258" s="141"/>
      <c r="H258" s="141"/>
      <c r="I258" s="141"/>
      <c r="J258" s="138"/>
      <c r="K258" s="138"/>
      <c r="L258" s="138"/>
      <c r="M258" s="141"/>
      <c r="N258" s="142"/>
      <c r="O258" s="143"/>
      <c r="P258" s="144"/>
      <c r="Q258" s="144"/>
      <c r="R258" s="141"/>
      <c r="S258" s="142"/>
    </row>
    <row r="259" spans="2:19">
      <c r="B259" s="138"/>
      <c r="C259" s="139"/>
      <c r="D259" s="140"/>
      <c r="E259" s="140"/>
      <c r="F259" s="141"/>
      <c r="G259" s="141"/>
      <c r="H259" s="141"/>
      <c r="I259" s="141"/>
      <c r="J259" s="138"/>
      <c r="K259" s="138"/>
      <c r="L259" s="138"/>
      <c r="M259" s="141"/>
      <c r="N259" s="142"/>
      <c r="O259" s="143"/>
      <c r="P259" s="144"/>
      <c r="Q259" s="144"/>
      <c r="R259" s="141"/>
      <c r="S259" s="142"/>
    </row>
    <row r="260" spans="2:19">
      <c r="B260" s="138"/>
      <c r="C260" s="139"/>
      <c r="D260" s="140"/>
      <c r="E260" s="140"/>
      <c r="F260" s="141"/>
      <c r="G260" s="141"/>
      <c r="H260" s="141"/>
      <c r="I260" s="141"/>
      <c r="J260" s="138"/>
      <c r="K260" s="138"/>
      <c r="L260" s="138"/>
      <c r="M260" s="141"/>
      <c r="N260" s="142"/>
      <c r="O260" s="143"/>
      <c r="P260" s="144"/>
      <c r="Q260" s="144"/>
      <c r="R260" s="141"/>
      <c r="S260" s="142"/>
    </row>
    <row r="261" spans="2:19">
      <c r="B261" s="138"/>
      <c r="C261" s="139"/>
      <c r="D261" s="140"/>
      <c r="E261" s="140"/>
      <c r="F261" s="141"/>
      <c r="G261" s="141"/>
      <c r="H261" s="141"/>
      <c r="I261" s="141"/>
      <c r="J261" s="138"/>
      <c r="K261" s="138"/>
      <c r="L261" s="138"/>
      <c r="M261" s="141"/>
      <c r="N261" s="142"/>
      <c r="O261" s="143"/>
      <c r="P261" s="144"/>
      <c r="Q261" s="144"/>
      <c r="R261" s="141"/>
      <c r="S261" s="142"/>
    </row>
    <row r="262" spans="2:19">
      <c r="B262" s="138"/>
      <c r="C262" s="139"/>
      <c r="D262" s="140"/>
      <c r="E262" s="140"/>
      <c r="F262" s="141"/>
      <c r="G262" s="141"/>
      <c r="H262" s="141"/>
      <c r="I262" s="141"/>
      <c r="J262" s="138"/>
      <c r="K262" s="138"/>
      <c r="L262" s="138"/>
      <c r="M262" s="141"/>
      <c r="N262" s="142"/>
      <c r="O262" s="143"/>
      <c r="P262" s="144"/>
      <c r="Q262" s="144"/>
      <c r="R262" s="141"/>
      <c r="S262" s="142"/>
    </row>
    <row r="263" spans="2:19">
      <c r="B263" s="138"/>
      <c r="C263" s="139"/>
      <c r="D263" s="140"/>
      <c r="E263" s="140"/>
      <c r="F263" s="141"/>
      <c r="G263" s="141"/>
      <c r="H263" s="141"/>
      <c r="I263" s="141"/>
      <c r="J263" s="138"/>
      <c r="K263" s="138"/>
      <c r="L263" s="138"/>
      <c r="M263" s="141"/>
      <c r="N263" s="142"/>
      <c r="O263" s="143"/>
      <c r="P263" s="144"/>
      <c r="Q263" s="144"/>
      <c r="R263" s="141"/>
      <c r="S263" s="142"/>
    </row>
    <row r="264" spans="2:19">
      <c r="B264" s="138"/>
      <c r="C264" s="139"/>
      <c r="D264" s="140"/>
      <c r="E264" s="140"/>
      <c r="F264" s="141"/>
      <c r="G264" s="141"/>
      <c r="H264" s="141"/>
      <c r="I264" s="141"/>
      <c r="J264" s="138"/>
      <c r="K264" s="138"/>
      <c r="L264" s="138"/>
      <c r="M264" s="141"/>
      <c r="N264" s="142"/>
      <c r="O264" s="143"/>
      <c r="P264" s="144"/>
      <c r="Q264" s="144"/>
      <c r="R264" s="141"/>
      <c r="S264" s="142"/>
    </row>
    <row r="265" spans="2:19">
      <c r="B265" s="138"/>
      <c r="C265" s="139"/>
      <c r="D265" s="140"/>
      <c r="E265" s="140"/>
      <c r="F265" s="141"/>
      <c r="G265" s="141"/>
      <c r="H265" s="141"/>
      <c r="I265" s="141"/>
      <c r="J265" s="138"/>
      <c r="K265" s="138"/>
      <c r="L265" s="138"/>
      <c r="M265" s="141"/>
      <c r="N265" s="142"/>
      <c r="O265" s="143"/>
      <c r="P265" s="144"/>
      <c r="Q265" s="144"/>
      <c r="R265" s="141"/>
      <c r="S265" s="142"/>
    </row>
    <row r="266" spans="2:19">
      <c r="B266" s="138"/>
      <c r="C266" s="139"/>
      <c r="D266" s="140"/>
      <c r="E266" s="140"/>
      <c r="F266" s="141"/>
      <c r="G266" s="141"/>
      <c r="H266" s="141"/>
      <c r="I266" s="141"/>
      <c r="J266" s="138"/>
      <c r="K266" s="138"/>
      <c r="L266" s="138"/>
      <c r="M266" s="141"/>
      <c r="N266" s="142"/>
      <c r="O266" s="143"/>
      <c r="P266" s="144"/>
      <c r="Q266" s="144"/>
      <c r="R266" s="141"/>
      <c r="S266" s="142"/>
    </row>
    <row r="267" spans="2:19">
      <c r="B267" s="138"/>
      <c r="C267" s="139"/>
      <c r="D267" s="140"/>
      <c r="E267" s="140"/>
      <c r="F267" s="141"/>
      <c r="G267" s="141"/>
      <c r="H267" s="141"/>
      <c r="I267" s="141"/>
      <c r="J267" s="138"/>
      <c r="K267" s="138"/>
      <c r="L267" s="138"/>
      <c r="M267" s="141"/>
      <c r="N267" s="142"/>
      <c r="O267" s="143"/>
      <c r="P267" s="144"/>
      <c r="Q267" s="144"/>
      <c r="R267" s="141"/>
      <c r="S267" s="142"/>
    </row>
    <row r="268" spans="2:19">
      <c r="B268" s="138"/>
      <c r="C268" s="139"/>
      <c r="D268" s="140"/>
      <c r="E268" s="140"/>
      <c r="F268" s="141"/>
      <c r="G268" s="141"/>
      <c r="H268" s="141"/>
      <c r="I268" s="141"/>
      <c r="J268" s="138"/>
      <c r="K268" s="138"/>
      <c r="L268" s="138"/>
      <c r="M268" s="141"/>
      <c r="N268" s="142"/>
      <c r="O268" s="143"/>
      <c r="P268" s="144"/>
      <c r="Q268" s="144"/>
      <c r="R268" s="141"/>
      <c r="S268" s="142"/>
    </row>
    <row r="269" spans="2:19">
      <c r="B269" s="138"/>
      <c r="C269" s="139"/>
      <c r="D269" s="140"/>
      <c r="E269" s="140"/>
      <c r="F269" s="141"/>
      <c r="G269" s="141"/>
      <c r="H269" s="141"/>
      <c r="I269" s="141"/>
      <c r="J269" s="138"/>
      <c r="K269" s="138"/>
      <c r="L269" s="138"/>
      <c r="M269" s="141"/>
      <c r="N269" s="142"/>
      <c r="O269" s="143"/>
      <c r="P269" s="144"/>
      <c r="Q269" s="144"/>
      <c r="R269" s="141"/>
      <c r="S269" s="142"/>
    </row>
    <row r="270" spans="2:19">
      <c r="B270" s="138"/>
      <c r="C270" s="139"/>
      <c r="D270" s="140"/>
      <c r="E270" s="140"/>
      <c r="F270" s="141"/>
      <c r="G270" s="141"/>
      <c r="H270" s="141"/>
      <c r="I270" s="141"/>
      <c r="J270" s="138"/>
      <c r="K270" s="138"/>
      <c r="L270" s="138"/>
      <c r="M270" s="141"/>
      <c r="N270" s="142"/>
      <c r="O270" s="143"/>
      <c r="P270" s="144"/>
      <c r="Q270" s="144"/>
      <c r="R270" s="141"/>
      <c r="S270" s="142"/>
    </row>
    <row r="271" spans="2:19">
      <c r="B271" s="138"/>
      <c r="C271" s="139"/>
      <c r="D271" s="140"/>
      <c r="E271" s="140"/>
      <c r="F271" s="141"/>
      <c r="G271" s="141"/>
      <c r="H271" s="141"/>
      <c r="I271" s="141"/>
      <c r="J271" s="138"/>
      <c r="K271" s="138"/>
      <c r="L271" s="138"/>
      <c r="M271" s="141"/>
      <c r="N271" s="142"/>
      <c r="O271" s="143"/>
      <c r="P271" s="144"/>
      <c r="Q271" s="144"/>
      <c r="R271" s="141"/>
      <c r="S271" s="142"/>
    </row>
    <row r="272" spans="2:19">
      <c r="B272" s="138"/>
      <c r="C272" s="139"/>
      <c r="D272" s="140"/>
      <c r="E272" s="140"/>
      <c r="F272" s="141"/>
      <c r="G272" s="141"/>
      <c r="H272" s="141"/>
      <c r="I272" s="141"/>
      <c r="J272" s="138"/>
      <c r="K272" s="138"/>
      <c r="L272" s="138"/>
      <c r="M272" s="141"/>
      <c r="N272" s="142"/>
      <c r="O272" s="143"/>
      <c r="P272" s="144"/>
      <c r="Q272" s="144"/>
      <c r="R272" s="141"/>
      <c r="S272" s="142"/>
    </row>
    <row r="273" spans="2:19">
      <c r="B273" s="138"/>
      <c r="C273" s="139"/>
      <c r="D273" s="140"/>
      <c r="E273" s="140"/>
      <c r="F273" s="141"/>
      <c r="G273" s="141"/>
      <c r="H273" s="141"/>
      <c r="I273" s="141"/>
      <c r="J273" s="138"/>
      <c r="K273" s="138"/>
      <c r="L273" s="138"/>
      <c r="M273" s="141"/>
      <c r="N273" s="142"/>
      <c r="O273" s="143"/>
      <c r="P273" s="144"/>
      <c r="Q273" s="144"/>
      <c r="R273" s="141"/>
      <c r="S273" s="142"/>
    </row>
    <row r="274" spans="2:19">
      <c r="B274" s="138"/>
      <c r="C274" s="139"/>
      <c r="D274" s="140"/>
      <c r="E274" s="140"/>
      <c r="F274" s="141"/>
      <c r="G274" s="141"/>
      <c r="H274" s="141"/>
      <c r="I274" s="141"/>
      <c r="J274" s="138"/>
      <c r="K274" s="138"/>
      <c r="L274" s="138"/>
      <c r="M274" s="141"/>
      <c r="N274" s="142"/>
      <c r="O274" s="143"/>
      <c r="P274" s="144"/>
      <c r="Q274" s="144"/>
      <c r="R274" s="141"/>
      <c r="S274" s="142"/>
    </row>
    <row r="275" spans="2:19">
      <c r="B275" s="138"/>
      <c r="C275" s="139"/>
      <c r="D275" s="140"/>
      <c r="E275" s="140"/>
      <c r="F275" s="141"/>
      <c r="G275" s="141"/>
      <c r="H275" s="141"/>
      <c r="I275" s="141"/>
      <c r="J275" s="138"/>
      <c r="K275" s="138"/>
      <c r="L275" s="138"/>
      <c r="M275" s="141"/>
      <c r="N275" s="142"/>
      <c r="O275" s="143"/>
      <c r="P275" s="144"/>
      <c r="Q275" s="144"/>
      <c r="R275" s="141"/>
      <c r="S275" s="142"/>
    </row>
    <row r="276" spans="2:19">
      <c r="B276" s="138"/>
      <c r="C276" s="139"/>
      <c r="D276" s="140"/>
      <c r="E276" s="140"/>
      <c r="F276" s="141"/>
      <c r="G276" s="141"/>
      <c r="H276" s="141"/>
      <c r="I276" s="141"/>
      <c r="J276" s="138"/>
      <c r="K276" s="138"/>
      <c r="L276" s="138"/>
      <c r="M276" s="141"/>
      <c r="N276" s="142"/>
      <c r="O276" s="143"/>
      <c r="P276" s="144"/>
      <c r="Q276" s="144"/>
      <c r="R276" s="141"/>
      <c r="S276" s="142"/>
    </row>
    <row r="277" spans="2:19">
      <c r="B277" s="138"/>
      <c r="C277" s="139"/>
      <c r="D277" s="140"/>
      <c r="E277" s="140"/>
      <c r="F277" s="141"/>
      <c r="G277" s="141"/>
      <c r="H277" s="141"/>
      <c r="I277" s="141"/>
      <c r="J277" s="138"/>
      <c r="K277" s="138"/>
      <c r="L277" s="138"/>
      <c r="M277" s="141"/>
      <c r="N277" s="142"/>
      <c r="O277" s="143"/>
      <c r="P277" s="144"/>
      <c r="Q277" s="144"/>
      <c r="R277" s="141"/>
      <c r="S277" s="142"/>
    </row>
    <row r="278" spans="2:19">
      <c r="B278" s="138"/>
      <c r="C278" s="139"/>
      <c r="D278" s="140"/>
      <c r="E278" s="140"/>
      <c r="F278" s="141"/>
      <c r="G278" s="141"/>
      <c r="H278" s="141"/>
      <c r="I278" s="141"/>
      <c r="J278" s="138"/>
      <c r="K278" s="138"/>
      <c r="L278" s="138"/>
      <c r="M278" s="141"/>
      <c r="N278" s="142"/>
      <c r="O278" s="143"/>
      <c r="P278" s="144"/>
      <c r="Q278" s="144"/>
      <c r="R278" s="141"/>
      <c r="S278" s="142"/>
    </row>
    <row r="279" spans="2:19">
      <c r="B279" s="138"/>
      <c r="C279" s="139"/>
      <c r="D279" s="140"/>
      <c r="E279" s="140"/>
      <c r="F279" s="141"/>
      <c r="G279" s="141"/>
      <c r="H279" s="141"/>
      <c r="I279" s="141"/>
      <c r="J279" s="138"/>
      <c r="K279" s="138"/>
      <c r="L279" s="138"/>
      <c r="M279" s="141"/>
      <c r="N279" s="142"/>
      <c r="O279" s="143"/>
      <c r="P279" s="144"/>
      <c r="Q279" s="144"/>
      <c r="R279" s="141"/>
      <c r="S279" s="142"/>
    </row>
    <row r="280" spans="2:19">
      <c r="B280" s="138"/>
      <c r="C280" s="139"/>
      <c r="D280" s="140"/>
      <c r="E280" s="140"/>
      <c r="F280" s="141"/>
      <c r="G280" s="141"/>
      <c r="H280" s="141"/>
      <c r="I280" s="141"/>
      <c r="J280" s="138"/>
      <c r="K280" s="138"/>
      <c r="L280" s="138"/>
      <c r="M280" s="141"/>
      <c r="N280" s="142"/>
      <c r="O280" s="143"/>
      <c r="P280" s="144"/>
      <c r="Q280" s="144"/>
      <c r="R280" s="141"/>
      <c r="S280" s="142"/>
    </row>
    <row r="281" spans="2:19">
      <c r="B281" s="138"/>
      <c r="C281" s="139"/>
      <c r="D281" s="140"/>
      <c r="E281" s="140"/>
      <c r="F281" s="141"/>
      <c r="G281" s="141"/>
      <c r="H281" s="141"/>
      <c r="I281" s="141"/>
      <c r="J281" s="138"/>
      <c r="K281" s="138"/>
      <c r="L281" s="138"/>
      <c r="M281" s="141"/>
      <c r="N281" s="142"/>
      <c r="O281" s="143"/>
      <c r="P281" s="144"/>
      <c r="Q281" s="144"/>
      <c r="R281" s="141"/>
      <c r="S281" s="142"/>
    </row>
    <row r="282" spans="2:19">
      <c r="B282" s="138"/>
      <c r="C282" s="139"/>
      <c r="D282" s="140"/>
      <c r="E282" s="140"/>
      <c r="F282" s="141"/>
      <c r="G282" s="141"/>
      <c r="H282" s="141"/>
      <c r="I282" s="141"/>
      <c r="J282" s="138"/>
      <c r="K282" s="138"/>
      <c r="L282" s="138"/>
      <c r="M282" s="141"/>
      <c r="N282" s="142"/>
      <c r="O282" s="143"/>
      <c r="P282" s="144"/>
      <c r="Q282" s="144"/>
      <c r="R282" s="141"/>
      <c r="S282" s="142"/>
    </row>
    <row r="283" spans="2:19">
      <c r="B283" s="138"/>
      <c r="C283" s="139"/>
      <c r="D283" s="140"/>
      <c r="E283" s="140"/>
      <c r="F283" s="141"/>
      <c r="G283" s="141"/>
      <c r="H283" s="141"/>
      <c r="I283" s="141"/>
      <c r="J283" s="138"/>
      <c r="K283" s="138"/>
      <c r="L283" s="138"/>
      <c r="M283" s="141"/>
      <c r="N283" s="142"/>
      <c r="O283" s="143"/>
      <c r="P283" s="144"/>
      <c r="Q283" s="144"/>
      <c r="R283" s="141"/>
      <c r="S283" s="142"/>
    </row>
    <row r="284" spans="2:19">
      <c r="B284" s="138"/>
      <c r="C284" s="139"/>
      <c r="D284" s="140"/>
      <c r="E284" s="140"/>
      <c r="F284" s="141"/>
      <c r="G284" s="141"/>
      <c r="H284" s="141"/>
      <c r="I284" s="141"/>
      <c r="J284" s="138"/>
      <c r="K284" s="138"/>
      <c r="L284" s="138"/>
      <c r="M284" s="141"/>
      <c r="N284" s="142"/>
      <c r="O284" s="143"/>
      <c r="P284" s="144"/>
      <c r="Q284" s="144"/>
      <c r="R284" s="141"/>
      <c r="S284" s="142"/>
    </row>
    <row r="285" spans="2:19">
      <c r="B285" s="138"/>
      <c r="C285" s="139"/>
      <c r="D285" s="140"/>
      <c r="E285" s="140"/>
      <c r="F285" s="141"/>
      <c r="G285" s="141"/>
      <c r="H285" s="141"/>
      <c r="I285" s="141"/>
      <c r="J285" s="138"/>
      <c r="K285" s="138"/>
      <c r="L285" s="138"/>
      <c r="M285" s="141"/>
      <c r="N285" s="142"/>
      <c r="O285" s="143"/>
      <c r="P285" s="144"/>
      <c r="Q285" s="144"/>
      <c r="R285" s="141"/>
      <c r="S285" s="142"/>
    </row>
    <row r="286" spans="2:19">
      <c r="B286" s="138"/>
      <c r="C286" s="139"/>
      <c r="D286" s="140"/>
      <c r="E286" s="140"/>
      <c r="F286" s="141"/>
      <c r="G286" s="141"/>
      <c r="H286" s="141"/>
      <c r="I286" s="141"/>
      <c r="J286" s="138"/>
      <c r="K286" s="138"/>
      <c r="L286" s="138"/>
      <c r="M286" s="141"/>
      <c r="N286" s="142"/>
      <c r="O286" s="143"/>
      <c r="P286" s="144"/>
      <c r="Q286" s="144"/>
      <c r="R286" s="141"/>
      <c r="S286" s="142"/>
    </row>
    <row r="287" spans="2:19">
      <c r="B287" s="138"/>
      <c r="C287" s="139"/>
      <c r="D287" s="140"/>
      <c r="E287" s="140"/>
      <c r="F287" s="141"/>
      <c r="G287" s="141"/>
      <c r="H287" s="141"/>
      <c r="I287" s="141"/>
      <c r="J287" s="138"/>
      <c r="K287" s="138"/>
      <c r="L287" s="138"/>
      <c r="M287" s="141"/>
      <c r="N287" s="142"/>
      <c r="O287" s="143"/>
      <c r="P287" s="144"/>
      <c r="Q287" s="144"/>
      <c r="R287" s="141"/>
      <c r="S287" s="142"/>
    </row>
    <row r="288" spans="2:19">
      <c r="B288" s="138"/>
      <c r="C288" s="139"/>
      <c r="D288" s="140"/>
      <c r="E288" s="140"/>
      <c r="F288" s="141"/>
      <c r="G288" s="141"/>
      <c r="H288" s="141"/>
      <c r="I288" s="141"/>
      <c r="J288" s="138"/>
      <c r="K288" s="138"/>
      <c r="L288" s="138"/>
      <c r="M288" s="141"/>
      <c r="N288" s="142"/>
      <c r="O288" s="143"/>
      <c r="P288" s="144"/>
      <c r="Q288" s="144"/>
      <c r="R288" s="141"/>
      <c r="S288" s="142"/>
    </row>
    <row r="289" spans="2:19">
      <c r="B289" s="138"/>
      <c r="C289" s="139"/>
      <c r="D289" s="140"/>
      <c r="E289" s="140"/>
      <c r="F289" s="141"/>
      <c r="G289" s="141"/>
      <c r="H289" s="141"/>
      <c r="I289" s="141"/>
      <c r="J289" s="138"/>
      <c r="K289" s="138"/>
      <c r="L289" s="138"/>
      <c r="M289" s="141"/>
      <c r="N289" s="142"/>
      <c r="O289" s="143"/>
      <c r="P289" s="144"/>
      <c r="Q289" s="144"/>
      <c r="R289" s="141"/>
      <c r="S289" s="142"/>
    </row>
    <row r="290" spans="2:19">
      <c r="B290" s="138"/>
      <c r="C290" s="139"/>
      <c r="D290" s="140"/>
      <c r="E290" s="140"/>
      <c r="F290" s="141"/>
      <c r="G290" s="141"/>
      <c r="H290" s="141"/>
      <c r="I290" s="141"/>
      <c r="J290" s="138"/>
      <c r="K290" s="138"/>
      <c r="L290" s="138"/>
      <c r="M290" s="141"/>
      <c r="N290" s="142"/>
      <c r="O290" s="143"/>
      <c r="P290" s="144"/>
      <c r="Q290" s="144"/>
      <c r="R290" s="141"/>
      <c r="S290" s="142"/>
    </row>
    <row r="291" spans="2:19">
      <c r="B291" s="138"/>
      <c r="C291" s="139"/>
      <c r="D291" s="140"/>
      <c r="E291" s="140"/>
      <c r="F291" s="141"/>
      <c r="G291" s="141"/>
      <c r="H291" s="141"/>
      <c r="I291" s="141"/>
      <c r="J291" s="138"/>
      <c r="K291" s="138"/>
      <c r="L291" s="138"/>
      <c r="M291" s="141"/>
      <c r="N291" s="142"/>
      <c r="O291" s="143"/>
      <c r="P291" s="144"/>
      <c r="Q291" s="144"/>
      <c r="R291" s="141"/>
      <c r="S291" s="142"/>
    </row>
    <row r="292" spans="2:19">
      <c r="B292" s="138"/>
      <c r="C292" s="139"/>
      <c r="D292" s="140"/>
      <c r="E292" s="140"/>
      <c r="F292" s="141"/>
      <c r="G292" s="141"/>
      <c r="H292" s="141"/>
      <c r="I292" s="141"/>
      <c r="J292" s="138"/>
      <c r="K292" s="138"/>
      <c r="L292" s="138"/>
      <c r="M292" s="141"/>
      <c r="N292" s="142"/>
      <c r="O292" s="143"/>
      <c r="P292" s="144"/>
      <c r="Q292" s="144"/>
      <c r="R292" s="141"/>
      <c r="S292" s="142"/>
    </row>
    <row r="293" spans="2:19">
      <c r="B293" s="138"/>
      <c r="C293" s="139"/>
      <c r="D293" s="140"/>
      <c r="E293" s="140"/>
      <c r="F293" s="141"/>
      <c r="G293" s="141"/>
      <c r="H293" s="141"/>
      <c r="I293" s="141"/>
      <c r="J293" s="138"/>
      <c r="K293" s="138"/>
      <c r="L293" s="138"/>
      <c r="M293" s="141"/>
      <c r="N293" s="142"/>
      <c r="O293" s="143"/>
      <c r="P293" s="144"/>
      <c r="Q293" s="144"/>
      <c r="R293" s="141"/>
      <c r="S293" s="142"/>
    </row>
    <row r="294" spans="2:19">
      <c r="B294" s="138"/>
      <c r="C294" s="139"/>
      <c r="D294" s="140"/>
      <c r="E294" s="140"/>
      <c r="F294" s="141"/>
      <c r="G294" s="141"/>
      <c r="H294" s="141"/>
      <c r="I294" s="141"/>
      <c r="J294" s="138"/>
      <c r="K294" s="138"/>
      <c r="L294" s="138"/>
      <c r="M294" s="141"/>
      <c r="N294" s="142"/>
      <c r="O294" s="143"/>
      <c r="P294" s="144"/>
      <c r="Q294" s="144"/>
      <c r="R294" s="141"/>
      <c r="S294" s="142"/>
    </row>
    <row r="295" spans="2:19">
      <c r="B295" s="138"/>
      <c r="C295" s="139"/>
      <c r="D295" s="140"/>
      <c r="E295" s="140"/>
      <c r="F295" s="141"/>
      <c r="G295" s="141"/>
      <c r="H295" s="141"/>
      <c r="I295" s="141"/>
      <c r="J295" s="138"/>
      <c r="K295" s="138"/>
      <c r="L295" s="138"/>
      <c r="M295" s="141"/>
      <c r="N295" s="142"/>
      <c r="O295" s="143"/>
      <c r="P295" s="144"/>
      <c r="Q295" s="144"/>
      <c r="R295" s="141"/>
      <c r="S295" s="142"/>
    </row>
    <row r="296" spans="2:19">
      <c r="B296" s="138"/>
      <c r="C296" s="139"/>
      <c r="D296" s="140"/>
      <c r="E296" s="140"/>
      <c r="F296" s="141"/>
      <c r="G296" s="141"/>
      <c r="H296" s="141"/>
      <c r="I296" s="141"/>
      <c r="J296" s="138"/>
      <c r="K296" s="138"/>
      <c r="L296" s="138"/>
      <c r="M296" s="141"/>
      <c r="N296" s="142"/>
      <c r="O296" s="143"/>
      <c r="P296" s="144"/>
      <c r="Q296" s="144"/>
      <c r="R296" s="141"/>
      <c r="S296" s="142"/>
    </row>
    <row r="297" spans="2:19">
      <c r="B297" s="138"/>
      <c r="C297" s="139"/>
      <c r="D297" s="140"/>
      <c r="E297" s="140"/>
      <c r="F297" s="141"/>
      <c r="G297" s="141"/>
      <c r="H297" s="141"/>
      <c r="I297" s="141"/>
      <c r="J297" s="138"/>
      <c r="K297" s="138"/>
      <c r="L297" s="138"/>
      <c r="M297" s="141"/>
      <c r="N297" s="142"/>
      <c r="O297" s="143"/>
      <c r="P297" s="144"/>
      <c r="Q297" s="144"/>
      <c r="R297" s="141"/>
      <c r="S297" s="142"/>
    </row>
    <row r="298" spans="2:19">
      <c r="B298" s="138"/>
      <c r="C298" s="139"/>
      <c r="D298" s="140"/>
      <c r="E298" s="140"/>
      <c r="F298" s="141"/>
      <c r="G298" s="141"/>
      <c r="H298" s="141"/>
      <c r="I298" s="141"/>
      <c r="J298" s="138"/>
      <c r="K298" s="138"/>
      <c r="L298" s="138"/>
      <c r="M298" s="141"/>
      <c r="N298" s="142"/>
      <c r="O298" s="143"/>
      <c r="P298" s="144"/>
      <c r="Q298" s="144"/>
      <c r="R298" s="141"/>
      <c r="S298" s="142"/>
    </row>
    <row r="299" spans="2:19">
      <c r="B299" s="138"/>
      <c r="C299" s="139"/>
      <c r="D299" s="140"/>
      <c r="E299" s="140"/>
      <c r="F299" s="141"/>
      <c r="G299" s="141"/>
      <c r="H299" s="141"/>
      <c r="I299" s="141"/>
      <c r="J299" s="138"/>
      <c r="K299" s="138"/>
      <c r="L299" s="138"/>
      <c r="M299" s="141"/>
      <c r="N299" s="142"/>
      <c r="O299" s="143"/>
      <c r="P299" s="144"/>
      <c r="Q299" s="144"/>
      <c r="R299" s="141"/>
      <c r="S299" s="142"/>
    </row>
    <row r="300" spans="2:19">
      <c r="B300" s="138"/>
      <c r="C300" s="139"/>
      <c r="D300" s="140"/>
      <c r="E300" s="140"/>
      <c r="F300" s="141"/>
      <c r="G300" s="141"/>
      <c r="H300" s="141"/>
      <c r="I300" s="141"/>
      <c r="J300" s="138"/>
      <c r="K300" s="138"/>
      <c r="L300" s="138"/>
      <c r="M300" s="141"/>
      <c r="N300" s="142"/>
      <c r="O300" s="143"/>
      <c r="P300" s="144"/>
      <c r="Q300" s="144"/>
      <c r="R300" s="141"/>
      <c r="S300" s="142"/>
    </row>
    <row r="301" spans="2:19">
      <c r="B301" s="138"/>
      <c r="C301" s="139"/>
      <c r="D301" s="140"/>
      <c r="E301" s="140"/>
      <c r="F301" s="141"/>
      <c r="G301" s="141"/>
      <c r="H301" s="141"/>
      <c r="I301" s="141"/>
      <c r="J301" s="138"/>
      <c r="K301" s="138"/>
      <c r="L301" s="138"/>
      <c r="M301" s="141"/>
      <c r="N301" s="142"/>
      <c r="O301" s="143"/>
      <c r="P301" s="144"/>
      <c r="Q301" s="144"/>
      <c r="R301" s="141"/>
      <c r="S301" s="142"/>
    </row>
    <row r="302" spans="2:19">
      <c r="B302" s="138"/>
      <c r="C302" s="139"/>
      <c r="D302" s="140"/>
      <c r="E302" s="140"/>
      <c r="F302" s="141"/>
      <c r="G302" s="141"/>
      <c r="H302" s="141"/>
      <c r="I302" s="141"/>
      <c r="J302" s="138"/>
      <c r="K302" s="138"/>
      <c r="L302" s="138"/>
      <c r="M302" s="141"/>
      <c r="N302" s="142"/>
      <c r="O302" s="143"/>
      <c r="P302" s="144"/>
      <c r="Q302" s="144"/>
      <c r="R302" s="141"/>
      <c r="S302" s="142"/>
    </row>
    <row r="303" spans="2:19">
      <c r="B303" s="138"/>
      <c r="C303" s="139"/>
      <c r="D303" s="140"/>
      <c r="E303" s="140"/>
      <c r="F303" s="141"/>
      <c r="G303" s="141"/>
      <c r="H303" s="141"/>
      <c r="I303" s="141"/>
      <c r="J303" s="138"/>
      <c r="K303" s="138"/>
      <c r="L303" s="138"/>
      <c r="M303" s="141"/>
      <c r="N303" s="142"/>
      <c r="O303" s="143"/>
      <c r="P303" s="144"/>
      <c r="Q303" s="144"/>
      <c r="R303" s="141"/>
      <c r="S303" s="142"/>
    </row>
    <row r="304" spans="2:19">
      <c r="B304" s="138"/>
      <c r="C304" s="139"/>
      <c r="D304" s="140"/>
      <c r="E304" s="140"/>
      <c r="F304" s="141"/>
      <c r="G304" s="141"/>
      <c r="H304" s="141"/>
      <c r="I304" s="141"/>
      <c r="J304" s="138"/>
      <c r="K304" s="138"/>
      <c r="L304" s="138"/>
      <c r="M304" s="141"/>
      <c r="N304" s="142"/>
      <c r="O304" s="143"/>
      <c r="P304" s="144"/>
      <c r="Q304" s="144"/>
      <c r="R304" s="141"/>
      <c r="S304" s="142"/>
    </row>
    <row r="305" spans="2:19">
      <c r="B305" s="138"/>
      <c r="C305" s="139"/>
      <c r="D305" s="140"/>
      <c r="E305" s="140"/>
      <c r="F305" s="141"/>
      <c r="G305" s="141"/>
      <c r="H305" s="141"/>
      <c r="I305" s="141"/>
      <c r="J305" s="138"/>
      <c r="K305" s="138"/>
      <c r="L305" s="138"/>
      <c r="M305" s="141"/>
      <c r="N305" s="142"/>
      <c r="O305" s="143"/>
      <c r="P305" s="144"/>
      <c r="Q305" s="144"/>
      <c r="R305" s="141"/>
      <c r="S305" s="142"/>
    </row>
    <row r="306" spans="2:19">
      <c r="B306" s="138"/>
      <c r="C306" s="139"/>
      <c r="D306" s="140"/>
      <c r="E306" s="140"/>
      <c r="F306" s="141"/>
      <c r="G306" s="141"/>
      <c r="H306" s="141"/>
      <c r="I306" s="141"/>
      <c r="J306" s="138"/>
      <c r="K306" s="138"/>
      <c r="L306" s="138"/>
      <c r="M306" s="141"/>
      <c r="N306" s="142"/>
      <c r="O306" s="143"/>
      <c r="P306" s="144"/>
      <c r="Q306" s="144"/>
      <c r="R306" s="141"/>
      <c r="S306" s="142"/>
    </row>
    <row r="307" spans="2:19">
      <c r="B307" s="138"/>
      <c r="C307" s="139"/>
      <c r="D307" s="140"/>
      <c r="E307" s="140"/>
      <c r="F307" s="141"/>
      <c r="G307" s="141"/>
      <c r="H307" s="141"/>
      <c r="I307" s="141"/>
      <c r="J307" s="138"/>
      <c r="K307" s="138"/>
      <c r="L307" s="138"/>
      <c r="M307" s="141"/>
      <c r="N307" s="142"/>
      <c r="O307" s="143"/>
      <c r="P307" s="144"/>
      <c r="Q307" s="144"/>
      <c r="R307" s="141"/>
      <c r="S307" s="142"/>
    </row>
    <row r="308" spans="2:19">
      <c r="B308" s="138"/>
      <c r="C308" s="139"/>
      <c r="D308" s="140"/>
      <c r="E308" s="140"/>
      <c r="F308" s="141"/>
      <c r="G308" s="141"/>
      <c r="H308" s="141"/>
      <c r="I308" s="141"/>
      <c r="J308" s="138"/>
      <c r="K308" s="138"/>
      <c r="L308" s="138"/>
      <c r="M308" s="141"/>
      <c r="N308" s="142"/>
      <c r="O308" s="143"/>
      <c r="P308" s="144"/>
      <c r="Q308" s="144"/>
      <c r="R308" s="141"/>
      <c r="S308" s="142"/>
    </row>
    <row r="309" spans="2:19">
      <c r="B309" s="138"/>
      <c r="C309" s="139"/>
      <c r="D309" s="140"/>
      <c r="E309" s="140"/>
      <c r="F309" s="141"/>
      <c r="G309" s="141"/>
      <c r="H309" s="141"/>
      <c r="I309" s="141"/>
      <c r="J309" s="138"/>
      <c r="K309" s="138"/>
      <c r="L309" s="138"/>
      <c r="M309" s="141"/>
      <c r="N309" s="142"/>
      <c r="O309" s="143"/>
      <c r="P309" s="144"/>
      <c r="Q309" s="144"/>
      <c r="R309" s="141"/>
      <c r="S309" s="142"/>
    </row>
    <row r="310" spans="2:19">
      <c r="B310" s="138"/>
      <c r="C310" s="139"/>
      <c r="D310" s="140"/>
      <c r="E310" s="140"/>
      <c r="F310" s="141"/>
      <c r="G310" s="141"/>
      <c r="H310" s="141"/>
      <c r="I310" s="141"/>
      <c r="J310" s="138"/>
      <c r="K310" s="138"/>
      <c r="L310" s="138"/>
      <c r="M310" s="141"/>
      <c r="N310" s="142"/>
      <c r="O310" s="143"/>
      <c r="P310" s="144"/>
      <c r="Q310" s="144"/>
      <c r="R310" s="141"/>
      <c r="S310" s="142"/>
    </row>
    <row r="311" spans="2:19">
      <c r="B311" s="138"/>
      <c r="C311" s="139"/>
      <c r="D311" s="140"/>
      <c r="E311" s="140"/>
      <c r="F311" s="141"/>
      <c r="G311" s="141"/>
      <c r="H311" s="141"/>
      <c r="I311" s="141"/>
      <c r="J311" s="138"/>
      <c r="K311" s="138"/>
      <c r="L311" s="138"/>
      <c r="M311" s="141"/>
      <c r="N311" s="142"/>
      <c r="O311" s="143"/>
      <c r="P311" s="144"/>
      <c r="Q311" s="144"/>
      <c r="R311" s="141"/>
      <c r="S311" s="142"/>
    </row>
    <row r="312" spans="2:19">
      <c r="B312" s="138"/>
      <c r="C312" s="139"/>
      <c r="D312" s="140"/>
      <c r="E312" s="140"/>
      <c r="F312" s="141"/>
      <c r="G312" s="141"/>
      <c r="H312" s="141"/>
      <c r="I312" s="141"/>
      <c r="J312" s="138"/>
      <c r="K312" s="138"/>
      <c r="L312" s="138"/>
      <c r="M312" s="141"/>
      <c r="N312" s="142"/>
      <c r="O312" s="143"/>
      <c r="P312" s="144"/>
      <c r="Q312" s="144"/>
      <c r="R312" s="141"/>
      <c r="S312" s="142"/>
    </row>
    <row r="313" spans="2:19">
      <c r="B313" s="138"/>
      <c r="C313" s="139"/>
      <c r="D313" s="140"/>
      <c r="E313" s="140"/>
      <c r="F313" s="141"/>
      <c r="G313" s="141"/>
      <c r="H313" s="141"/>
      <c r="I313" s="141"/>
      <c r="J313" s="138"/>
      <c r="K313" s="138"/>
      <c r="L313" s="138"/>
      <c r="M313" s="141"/>
      <c r="N313" s="142"/>
      <c r="O313" s="143"/>
      <c r="P313" s="144"/>
      <c r="Q313" s="144"/>
      <c r="R313" s="141"/>
      <c r="S313" s="142"/>
    </row>
    <row r="314" spans="2:19">
      <c r="B314" s="138"/>
      <c r="C314" s="139"/>
      <c r="D314" s="140"/>
      <c r="E314" s="140"/>
      <c r="F314" s="141"/>
      <c r="G314" s="141"/>
      <c r="H314" s="141"/>
      <c r="I314" s="141"/>
      <c r="J314" s="138"/>
      <c r="K314" s="138"/>
      <c r="L314" s="138"/>
      <c r="M314" s="141"/>
      <c r="N314" s="142"/>
      <c r="O314" s="143"/>
      <c r="P314" s="144"/>
      <c r="Q314" s="144"/>
      <c r="R314" s="141"/>
      <c r="S314" s="142"/>
    </row>
    <row r="315" spans="2:19">
      <c r="B315" s="138"/>
      <c r="C315" s="139"/>
      <c r="D315" s="140"/>
      <c r="E315" s="140"/>
      <c r="F315" s="141"/>
      <c r="G315" s="141"/>
      <c r="H315" s="141"/>
      <c r="I315" s="141"/>
      <c r="J315" s="138"/>
      <c r="K315" s="138"/>
      <c r="L315" s="138"/>
      <c r="M315" s="141"/>
      <c r="N315" s="142"/>
      <c r="O315" s="143"/>
      <c r="P315" s="144"/>
      <c r="Q315" s="144"/>
      <c r="R315" s="141"/>
      <c r="S315" s="142"/>
    </row>
    <row r="316" spans="2:19">
      <c r="B316" s="138"/>
      <c r="C316" s="139"/>
      <c r="D316" s="140"/>
      <c r="E316" s="140"/>
      <c r="F316" s="141"/>
      <c r="G316" s="141"/>
      <c r="H316" s="141"/>
      <c r="I316" s="141"/>
      <c r="J316" s="138"/>
      <c r="K316" s="138"/>
      <c r="L316" s="138"/>
      <c r="M316" s="141"/>
      <c r="N316" s="142"/>
      <c r="O316" s="143"/>
      <c r="P316" s="144"/>
      <c r="Q316" s="144"/>
      <c r="R316" s="141"/>
      <c r="S316" s="142"/>
    </row>
    <row r="317" spans="2:19">
      <c r="B317" s="138"/>
      <c r="C317" s="139"/>
      <c r="D317" s="140"/>
      <c r="E317" s="140"/>
      <c r="F317" s="141"/>
      <c r="G317" s="141"/>
      <c r="H317" s="141"/>
      <c r="I317" s="141"/>
      <c r="J317" s="138"/>
      <c r="K317" s="138"/>
      <c r="L317" s="138"/>
      <c r="M317" s="141"/>
      <c r="N317" s="142"/>
      <c r="O317" s="143"/>
      <c r="P317" s="144"/>
      <c r="Q317" s="144"/>
      <c r="R317" s="141"/>
      <c r="S317" s="142"/>
    </row>
    <row r="318" spans="2:19">
      <c r="B318" s="138"/>
      <c r="C318" s="139"/>
      <c r="D318" s="140"/>
      <c r="E318" s="140"/>
      <c r="F318" s="141"/>
      <c r="G318" s="141"/>
      <c r="H318" s="141"/>
      <c r="I318" s="141"/>
      <c r="J318" s="138"/>
      <c r="K318" s="138"/>
      <c r="L318" s="138"/>
      <c r="M318" s="141"/>
      <c r="N318" s="142"/>
      <c r="O318" s="143"/>
      <c r="P318" s="144"/>
      <c r="Q318" s="144"/>
      <c r="R318" s="141"/>
      <c r="S318" s="142"/>
    </row>
    <row r="319" spans="2:19">
      <c r="B319" s="138"/>
      <c r="C319" s="139"/>
      <c r="D319" s="140"/>
      <c r="E319" s="140"/>
      <c r="F319" s="141"/>
      <c r="G319" s="141"/>
      <c r="H319" s="141"/>
      <c r="I319" s="141"/>
      <c r="J319" s="138"/>
      <c r="K319" s="138"/>
      <c r="L319" s="138"/>
      <c r="M319" s="141"/>
      <c r="N319" s="142"/>
      <c r="O319" s="143"/>
      <c r="P319" s="144"/>
      <c r="Q319" s="144"/>
      <c r="R319" s="141"/>
      <c r="S319" s="142"/>
    </row>
    <row r="320" spans="2:19">
      <c r="B320" s="138"/>
      <c r="C320" s="139"/>
      <c r="D320" s="140"/>
      <c r="E320" s="140"/>
      <c r="F320" s="141"/>
      <c r="G320" s="141"/>
      <c r="H320" s="141"/>
      <c r="I320" s="141"/>
      <c r="J320" s="138"/>
      <c r="K320" s="138"/>
      <c r="L320" s="138"/>
      <c r="M320" s="141"/>
      <c r="N320" s="142"/>
      <c r="O320" s="143"/>
      <c r="P320" s="144"/>
      <c r="Q320" s="144"/>
      <c r="R320" s="141"/>
      <c r="S320" s="142"/>
    </row>
    <row r="321" spans="2:19">
      <c r="B321" s="138"/>
      <c r="C321" s="139"/>
      <c r="D321" s="140"/>
      <c r="E321" s="140"/>
      <c r="F321" s="141"/>
      <c r="G321" s="141"/>
      <c r="H321" s="141"/>
      <c r="I321" s="141"/>
      <c r="J321" s="138"/>
      <c r="K321" s="138"/>
      <c r="L321" s="138"/>
      <c r="M321" s="141"/>
      <c r="N321" s="142"/>
      <c r="O321" s="143"/>
      <c r="P321" s="144"/>
      <c r="Q321" s="144"/>
      <c r="R321" s="141"/>
      <c r="S321" s="142"/>
    </row>
    <row r="322" spans="2:19">
      <c r="B322" s="138"/>
      <c r="C322" s="139"/>
      <c r="D322" s="140"/>
      <c r="E322" s="140"/>
      <c r="F322" s="141"/>
      <c r="G322" s="141"/>
      <c r="H322" s="141"/>
      <c r="I322" s="141"/>
      <c r="J322" s="138"/>
      <c r="K322" s="138"/>
      <c r="L322" s="138"/>
      <c r="M322" s="141"/>
      <c r="N322" s="142"/>
      <c r="O322" s="143"/>
      <c r="P322" s="144"/>
      <c r="Q322" s="144"/>
      <c r="R322" s="141"/>
      <c r="S322" s="142"/>
    </row>
    <row r="323" spans="2:19">
      <c r="B323" s="138"/>
      <c r="C323" s="139"/>
      <c r="D323" s="140"/>
      <c r="E323" s="140"/>
      <c r="F323" s="141"/>
      <c r="G323" s="141"/>
      <c r="H323" s="141"/>
      <c r="I323" s="141"/>
      <c r="J323" s="138"/>
      <c r="K323" s="138"/>
      <c r="L323" s="138"/>
      <c r="M323" s="141"/>
      <c r="N323" s="142"/>
      <c r="O323" s="143"/>
      <c r="P323" s="144"/>
      <c r="Q323" s="144"/>
      <c r="R323" s="141"/>
      <c r="S323" s="142"/>
    </row>
    <row r="324" spans="2:19">
      <c r="B324" s="138"/>
      <c r="C324" s="139"/>
      <c r="D324" s="140"/>
      <c r="E324" s="140"/>
      <c r="F324" s="141"/>
      <c r="G324" s="141"/>
      <c r="H324" s="141"/>
      <c r="I324" s="141"/>
      <c r="J324" s="138"/>
      <c r="K324" s="138"/>
      <c r="L324" s="138"/>
      <c r="M324" s="141"/>
      <c r="N324" s="142"/>
      <c r="O324" s="143"/>
      <c r="P324" s="144"/>
      <c r="Q324" s="144"/>
      <c r="R324" s="141"/>
      <c r="S324" s="142"/>
    </row>
    <row r="325" spans="2:19">
      <c r="B325" s="138"/>
      <c r="C325" s="139"/>
      <c r="D325" s="140"/>
      <c r="E325" s="140"/>
      <c r="F325" s="141"/>
      <c r="G325" s="141"/>
      <c r="H325" s="141"/>
      <c r="I325" s="141"/>
      <c r="J325" s="138"/>
      <c r="K325" s="138"/>
      <c r="L325" s="138"/>
      <c r="M325" s="141"/>
      <c r="N325" s="142"/>
      <c r="O325" s="143"/>
      <c r="P325" s="144"/>
      <c r="Q325" s="144"/>
      <c r="R325" s="141"/>
      <c r="S325" s="142"/>
    </row>
    <row r="326" spans="2:19">
      <c r="B326" s="138"/>
      <c r="C326" s="139"/>
      <c r="D326" s="140"/>
      <c r="E326" s="140"/>
      <c r="F326" s="141"/>
      <c r="G326" s="141"/>
      <c r="H326" s="141"/>
      <c r="I326" s="141"/>
      <c r="J326" s="138"/>
      <c r="K326" s="138"/>
      <c r="L326" s="138"/>
      <c r="M326" s="141"/>
      <c r="N326" s="142"/>
      <c r="O326" s="143"/>
      <c r="P326" s="144"/>
      <c r="Q326" s="144"/>
      <c r="R326" s="141"/>
      <c r="S326" s="142"/>
    </row>
    <row r="327" spans="2:19">
      <c r="B327" s="138"/>
      <c r="C327" s="139"/>
      <c r="D327" s="140"/>
      <c r="E327" s="140"/>
      <c r="F327" s="141"/>
      <c r="G327" s="141"/>
      <c r="H327" s="141"/>
      <c r="I327" s="141"/>
      <c r="J327" s="138"/>
      <c r="K327" s="138"/>
      <c r="L327" s="138"/>
      <c r="M327" s="141"/>
      <c r="N327" s="142"/>
      <c r="O327" s="143"/>
      <c r="P327" s="144"/>
      <c r="Q327" s="144"/>
      <c r="R327" s="141"/>
      <c r="S327" s="142"/>
    </row>
    <row r="328" spans="2:19">
      <c r="B328" s="138"/>
      <c r="C328" s="139"/>
      <c r="D328" s="140"/>
      <c r="E328" s="140"/>
      <c r="F328" s="141"/>
      <c r="G328" s="141"/>
      <c r="H328" s="141"/>
      <c r="I328" s="141"/>
      <c r="J328" s="138"/>
      <c r="K328" s="138"/>
      <c r="L328" s="138"/>
      <c r="M328" s="141"/>
      <c r="N328" s="142"/>
      <c r="O328" s="143"/>
      <c r="P328" s="144"/>
      <c r="Q328" s="144"/>
      <c r="R328" s="141"/>
      <c r="S328" s="142"/>
    </row>
    <row r="329" spans="2:19">
      <c r="B329" s="138"/>
      <c r="C329" s="139"/>
      <c r="D329" s="140"/>
      <c r="E329" s="140"/>
      <c r="F329" s="141"/>
      <c r="G329" s="141"/>
      <c r="H329" s="141"/>
      <c r="I329" s="141"/>
      <c r="J329" s="138"/>
      <c r="K329" s="138"/>
      <c r="L329" s="138"/>
      <c r="M329" s="141"/>
      <c r="N329" s="142"/>
      <c r="O329" s="143"/>
      <c r="P329" s="144"/>
      <c r="Q329" s="144"/>
      <c r="R329" s="141"/>
      <c r="S329" s="142"/>
    </row>
    <row r="330" spans="2:19">
      <c r="B330" s="138"/>
      <c r="C330" s="139"/>
      <c r="D330" s="140"/>
      <c r="E330" s="140"/>
      <c r="F330" s="141"/>
      <c r="G330" s="141"/>
      <c r="H330" s="141"/>
      <c r="I330" s="141"/>
      <c r="J330" s="138"/>
      <c r="K330" s="138"/>
      <c r="L330" s="138"/>
      <c r="M330" s="141"/>
      <c r="N330" s="142"/>
      <c r="O330" s="143"/>
      <c r="P330" s="144"/>
      <c r="Q330" s="144"/>
      <c r="R330" s="141"/>
      <c r="S330" s="142"/>
    </row>
    <row r="331" spans="2:19">
      <c r="B331" s="138"/>
      <c r="C331" s="139"/>
      <c r="D331" s="140"/>
      <c r="E331" s="140"/>
      <c r="F331" s="141"/>
      <c r="G331" s="141"/>
      <c r="H331" s="141"/>
      <c r="I331" s="141"/>
      <c r="J331" s="138"/>
      <c r="K331" s="138"/>
      <c r="L331" s="138"/>
      <c r="M331" s="141"/>
      <c r="N331" s="142"/>
      <c r="O331" s="143"/>
      <c r="P331" s="144"/>
      <c r="Q331" s="144"/>
      <c r="R331" s="141"/>
      <c r="S331" s="142"/>
    </row>
    <row r="332" spans="2:19">
      <c r="B332" s="138"/>
      <c r="C332" s="139"/>
      <c r="D332" s="140"/>
      <c r="E332" s="140"/>
      <c r="F332" s="141"/>
      <c r="G332" s="141"/>
      <c r="H332" s="141"/>
      <c r="I332" s="141"/>
      <c r="J332" s="138"/>
      <c r="K332" s="138"/>
      <c r="L332" s="138"/>
      <c r="M332" s="141"/>
      <c r="N332" s="142"/>
      <c r="O332" s="143"/>
      <c r="P332" s="144"/>
      <c r="Q332" s="144"/>
      <c r="R332" s="141"/>
      <c r="S332" s="142"/>
    </row>
    <row r="333" spans="2:19">
      <c r="B333" s="138"/>
      <c r="C333" s="139"/>
      <c r="D333" s="140"/>
      <c r="E333" s="140"/>
      <c r="F333" s="141"/>
      <c r="G333" s="141"/>
      <c r="H333" s="141"/>
      <c r="I333" s="141"/>
      <c r="J333" s="138"/>
      <c r="K333" s="138"/>
      <c r="L333" s="138"/>
      <c r="M333" s="141"/>
      <c r="N333" s="142"/>
      <c r="O333" s="143"/>
      <c r="P333" s="144"/>
      <c r="Q333" s="144"/>
      <c r="R333" s="141"/>
      <c r="S333" s="142"/>
    </row>
    <row r="334" spans="2:19">
      <c r="B334" s="138"/>
      <c r="C334" s="139"/>
      <c r="D334" s="140"/>
      <c r="E334" s="140"/>
      <c r="F334" s="141"/>
      <c r="G334" s="141"/>
      <c r="H334" s="141"/>
      <c r="I334" s="141"/>
      <c r="J334" s="138"/>
      <c r="K334" s="138"/>
      <c r="L334" s="138"/>
      <c r="M334" s="141"/>
      <c r="N334" s="142"/>
      <c r="O334" s="143"/>
      <c r="P334" s="144"/>
      <c r="Q334" s="144"/>
      <c r="R334" s="141"/>
      <c r="S334" s="142"/>
    </row>
    <row r="335" spans="2:19">
      <c r="B335" s="138"/>
      <c r="C335" s="139"/>
      <c r="D335" s="140"/>
      <c r="E335" s="140"/>
      <c r="F335" s="141"/>
      <c r="G335" s="141"/>
      <c r="H335" s="141"/>
      <c r="I335" s="141"/>
      <c r="J335" s="138"/>
      <c r="K335" s="138"/>
      <c r="L335" s="138"/>
      <c r="M335" s="141"/>
      <c r="N335" s="142"/>
      <c r="O335" s="143"/>
      <c r="P335" s="144"/>
      <c r="Q335" s="144"/>
      <c r="R335" s="141"/>
      <c r="S335" s="142"/>
    </row>
    <row r="336" spans="2:19">
      <c r="B336" s="138"/>
      <c r="C336" s="139"/>
      <c r="D336" s="140"/>
      <c r="E336" s="140"/>
      <c r="F336" s="141"/>
      <c r="G336" s="141"/>
      <c r="H336" s="141"/>
      <c r="I336" s="141"/>
      <c r="J336" s="138"/>
      <c r="K336" s="138"/>
      <c r="L336" s="138"/>
      <c r="M336" s="141"/>
      <c r="N336" s="142"/>
      <c r="O336" s="143"/>
      <c r="P336" s="144"/>
      <c r="Q336" s="144"/>
      <c r="R336" s="141"/>
      <c r="S336" s="142"/>
    </row>
    <row r="337" spans="2:19">
      <c r="B337" s="138"/>
      <c r="C337" s="139"/>
      <c r="D337" s="140"/>
      <c r="E337" s="140"/>
      <c r="F337" s="141"/>
      <c r="G337" s="141"/>
      <c r="H337" s="141"/>
      <c r="I337" s="141"/>
      <c r="J337" s="138"/>
      <c r="K337" s="138"/>
      <c r="L337" s="138"/>
      <c r="M337" s="141"/>
      <c r="N337" s="142"/>
      <c r="O337" s="143"/>
      <c r="P337" s="144"/>
      <c r="Q337" s="144"/>
      <c r="R337" s="141"/>
      <c r="S337" s="142"/>
    </row>
    <row r="338" spans="2:19">
      <c r="B338" s="138"/>
      <c r="C338" s="139"/>
      <c r="D338" s="140"/>
      <c r="E338" s="140"/>
      <c r="F338" s="141"/>
      <c r="G338" s="141"/>
      <c r="H338" s="141"/>
      <c r="I338" s="141"/>
      <c r="J338" s="138"/>
      <c r="K338" s="138"/>
      <c r="L338" s="138"/>
      <c r="M338" s="141"/>
      <c r="N338" s="142"/>
      <c r="O338" s="143"/>
      <c r="P338" s="144"/>
      <c r="Q338" s="144"/>
      <c r="R338" s="141"/>
      <c r="S338" s="142"/>
    </row>
    <row r="339" spans="2:19">
      <c r="B339" s="138"/>
      <c r="C339" s="139"/>
      <c r="D339" s="140"/>
      <c r="E339" s="140"/>
      <c r="F339" s="141"/>
      <c r="G339" s="141"/>
      <c r="H339" s="141"/>
      <c r="I339" s="141"/>
      <c r="J339" s="138"/>
      <c r="K339" s="138"/>
      <c r="L339" s="138"/>
      <c r="M339" s="141"/>
      <c r="N339" s="142"/>
      <c r="O339" s="143"/>
      <c r="P339" s="144"/>
      <c r="Q339" s="144"/>
      <c r="R339" s="141"/>
      <c r="S339" s="142"/>
    </row>
    <row r="340" spans="2:19">
      <c r="B340" s="138"/>
      <c r="C340" s="139"/>
      <c r="D340" s="140"/>
      <c r="E340" s="140"/>
      <c r="F340" s="141"/>
      <c r="G340" s="141"/>
      <c r="H340" s="141"/>
      <c r="I340" s="141"/>
      <c r="J340" s="138"/>
      <c r="K340" s="138"/>
      <c r="L340" s="138"/>
      <c r="M340" s="141"/>
      <c r="N340" s="142"/>
      <c r="O340" s="143"/>
      <c r="P340" s="144"/>
      <c r="Q340" s="144"/>
      <c r="R340" s="141"/>
      <c r="S340" s="142"/>
    </row>
    <row r="341" spans="2:19">
      <c r="B341" s="138"/>
      <c r="C341" s="139"/>
      <c r="D341" s="140"/>
      <c r="E341" s="140"/>
      <c r="F341" s="141"/>
      <c r="G341" s="141"/>
      <c r="H341" s="141"/>
      <c r="I341" s="141"/>
      <c r="J341" s="138"/>
      <c r="K341" s="138"/>
      <c r="L341" s="138"/>
      <c r="M341" s="141"/>
      <c r="N341" s="142"/>
      <c r="O341" s="143"/>
      <c r="P341" s="144"/>
      <c r="Q341" s="144"/>
      <c r="R341" s="141"/>
      <c r="S341" s="142"/>
    </row>
    <row r="342" spans="2:19">
      <c r="B342" s="138"/>
      <c r="C342" s="139"/>
      <c r="D342" s="140"/>
      <c r="E342" s="140"/>
      <c r="F342" s="141"/>
      <c r="G342" s="141"/>
      <c r="H342" s="141"/>
      <c r="I342" s="141"/>
      <c r="J342" s="138"/>
      <c r="K342" s="138"/>
      <c r="L342" s="138"/>
      <c r="M342" s="141"/>
      <c r="N342" s="142"/>
      <c r="O342" s="143"/>
      <c r="P342" s="144"/>
      <c r="Q342" s="144"/>
      <c r="R342" s="141"/>
      <c r="S342" s="142"/>
    </row>
    <row r="343" spans="2:19">
      <c r="B343" s="138"/>
      <c r="C343" s="139"/>
      <c r="D343" s="140"/>
      <c r="E343" s="140"/>
      <c r="F343" s="141"/>
      <c r="G343" s="141"/>
      <c r="H343" s="141"/>
      <c r="I343" s="141"/>
      <c r="J343" s="138"/>
      <c r="K343" s="138"/>
      <c r="L343" s="138"/>
      <c r="M343" s="141"/>
      <c r="N343" s="142"/>
      <c r="O343" s="143"/>
      <c r="P343" s="144"/>
      <c r="Q343" s="144"/>
      <c r="R343" s="141"/>
      <c r="S343" s="142"/>
    </row>
    <row r="344" spans="2:19">
      <c r="B344" s="138"/>
      <c r="C344" s="139"/>
      <c r="D344" s="140"/>
      <c r="E344" s="140"/>
      <c r="F344" s="141"/>
      <c r="G344" s="141"/>
      <c r="H344" s="141"/>
      <c r="I344" s="141"/>
      <c r="J344" s="138"/>
      <c r="K344" s="138"/>
      <c r="L344" s="138"/>
      <c r="M344" s="141"/>
      <c r="N344" s="142"/>
      <c r="O344" s="143"/>
      <c r="P344" s="144"/>
      <c r="Q344" s="144"/>
      <c r="R344" s="141"/>
      <c r="S344" s="142"/>
    </row>
    <row r="345" spans="2:19">
      <c r="B345" s="138"/>
      <c r="C345" s="139"/>
      <c r="D345" s="140"/>
      <c r="E345" s="140"/>
      <c r="F345" s="141"/>
      <c r="G345" s="141"/>
      <c r="H345" s="141"/>
      <c r="I345" s="141"/>
      <c r="J345" s="138"/>
      <c r="K345" s="138"/>
      <c r="L345" s="138"/>
      <c r="M345" s="141"/>
      <c r="N345" s="142"/>
      <c r="O345" s="143"/>
      <c r="P345" s="144"/>
      <c r="Q345" s="144"/>
      <c r="R345" s="141"/>
      <c r="S345" s="142"/>
    </row>
    <row r="346" spans="2:19">
      <c r="B346" s="138"/>
      <c r="C346" s="139"/>
      <c r="D346" s="140"/>
      <c r="E346" s="140"/>
      <c r="F346" s="141"/>
      <c r="G346" s="141"/>
      <c r="H346" s="141"/>
      <c r="I346" s="141"/>
      <c r="J346" s="138"/>
      <c r="K346" s="138"/>
      <c r="L346" s="138"/>
      <c r="M346" s="141"/>
      <c r="N346" s="142"/>
      <c r="O346" s="143"/>
      <c r="P346" s="144"/>
      <c r="Q346" s="144"/>
      <c r="R346" s="141"/>
      <c r="S346" s="142"/>
    </row>
    <row r="347" spans="2:19">
      <c r="B347" s="138"/>
      <c r="C347" s="139"/>
      <c r="D347" s="140"/>
      <c r="E347" s="140"/>
      <c r="F347" s="141"/>
      <c r="G347" s="141"/>
      <c r="H347" s="141"/>
      <c r="I347" s="141"/>
      <c r="J347" s="138"/>
      <c r="K347" s="138"/>
      <c r="L347" s="138"/>
      <c r="M347" s="141"/>
      <c r="N347" s="142"/>
      <c r="O347" s="143"/>
      <c r="P347" s="144"/>
      <c r="Q347" s="144"/>
      <c r="R347" s="141"/>
      <c r="S347" s="142"/>
    </row>
    <row r="348" spans="2:19">
      <c r="B348" s="138"/>
      <c r="C348" s="139"/>
      <c r="D348" s="140"/>
      <c r="E348" s="140"/>
      <c r="F348" s="141"/>
      <c r="G348" s="141"/>
      <c r="H348" s="141"/>
      <c r="I348" s="141"/>
      <c r="J348" s="138"/>
      <c r="K348" s="138"/>
      <c r="L348" s="138"/>
      <c r="M348" s="141"/>
      <c r="N348" s="142"/>
      <c r="O348" s="143"/>
      <c r="P348" s="144"/>
      <c r="Q348" s="144"/>
      <c r="R348" s="141"/>
      <c r="S348" s="142"/>
    </row>
    <row r="349" spans="2:19">
      <c r="B349" s="138"/>
      <c r="C349" s="139"/>
      <c r="D349" s="140"/>
      <c r="E349" s="140"/>
      <c r="F349" s="141"/>
      <c r="G349" s="141"/>
      <c r="H349" s="141"/>
      <c r="I349" s="141"/>
      <c r="J349" s="138"/>
      <c r="K349" s="138"/>
      <c r="L349" s="138"/>
      <c r="M349" s="141"/>
      <c r="N349" s="142"/>
      <c r="O349" s="143"/>
      <c r="P349" s="144"/>
      <c r="Q349" s="144"/>
      <c r="R349" s="141"/>
      <c r="S349" s="142"/>
    </row>
    <row r="350" spans="2:19">
      <c r="B350" s="138"/>
      <c r="C350" s="139"/>
      <c r="D350" s="140"/>
      <c r="E350" s="140"/>
      <c r="F350" s="141"/>
      <c r="G350" s="141"/>
      <c r="H350" s="141"/>
      <c r="I350" s="141"/>
      <c r="J350" s="138"/>
      <c r="K350" s="138"/>
      <c r="L350" s="138"/>
      <c r="M350" s="141"/>
      <c r="N350" s="142"/>
      <c r="O350" s="143"/>
      <c r="P350" s="144"/>
      <c r="Q350" s="144"/>
      <c r="R350" s="141"/>
      <c r="S350" s="142"/>
    </row>
    <row r="351" spans="2:19">
      <c r="B351" s="138"/>
      <c r="C351" s="139"/>
      <c r="D351" s="140"/>
      <c r="E351" s="140"/>
      <c r="F351" s="141"/>
      <c r="G351" s="141"/>
      <c r="H351" s="141"/>
      <c r="I351" s="141"/>
      <c r="J351" s="138"/>
      <c r="K351" s="138"/>
      <c r="L351" s="138"/>
      <c r="M351" s="141"/>
      <c r="N351" s="142"/>
      <c r="O351" s="143"/>
      <c r="P351" s="144"/>
      <c r="Q351" s="144"/>
      <c r="R351" s="141"/>
      <c r="S351" s="142"/>
    </row>
    <row r="352" spans="2:19">
      <c r="B352" s="138"/>
      <c r="C352" s="139"/>
      <c r="D352" s="140"/>
      <c r="E352" s="140"/>
      <c r="F352" s="141"/>
      <c r="G352" s="141"/>
      <c r="H352" s="141"/>
      <c r="I352" s="141"/>
      <c r="J352" s="138"/>
      <c r="K352" s="138"/>
      <c r="L352" s="138"/>
      <c r="M352" s="141"/>
      <c r="N352" s="142"/>
      <c r="O352" s="143"/>
      <c r="P352" s="144"/>
      <c r="Q352" s="144"/>
      <c r="R352" s="141"/>
      <c r="S352" s="142"/>
    </row>
    <row r="353" spans="2:19">
      <c r="B353" s="138"/>
      <c r="C353" s="139"/>
      <c r="D353" s="140"/>
      <c r="E353" s="140"/>
      <c r="F353" s="141"/>
      <c r="G353" s="141"/>
      <c r="H353" s="141"/>
      <c r="I353" s="141"/>
      <c r="J353" s="138"/>
      <c r="K353" s="138"/>
      <c r="L353" s="138"/>
      <c r="M353" s="141"/>
      <c r="N353" s="142"/>
      <c r="O353" s="143"/>
      <c r="P353" s="144"/>
      <c r="Q353" s="144"/>
      <c r="R353" s="141"/>
      <c r="S353" s="142"/>
    </row>
    <row r="354" spans="2:19">
      <c r="B354" s="138"/>
      <c r="C354" s="139"/>
      <c r="D354" s="140"/>
      <c r="E354" s="140"/>
      <c r="F354" s="141"/>
      <c r="G354" s="141"/>
      <c r="H354" s="141"/>
      <c r="I354" s="141"/>
      <c r="J354" s="138"/>
      <c r="K354" s="138"/>
      <c r="L354" s="138"/>
      <c r="M354" s="141"/>
      <c r="N354" s="142"/>
      <c r="O354" s="143"/>
      <c r="P354" s="144"/>
      <c r="Q354" s="144"/>
      <c r="R354" s="141"/>
      <c r="S354" s="142"/>
    </row>
    <row r="355" spans="2:19">
      <c r="B355" s="138"/>
      <c r="C355" s="139"/>
      <c r="D355" s="140"/>
      <c r="E355" s="140"/>
      <c r="F355" s="141"/>
      <c r="G355" s="141"/>
      <c r="H355" s="141"/>
      <c r="I355" s="141"/>
      <c r="J355" s="138"/>
      <c r="K355" s="138"/>
      <c r="L355" s="138"/>
      <c r="M355" s="141"/>
      <c r="N355" s="142"/>
      <c r="O355" s="143"/>
      <c r="P355" s="144"/>
      <c r="Q355" s="144"/>
      <c r="R355" s="141"/>
      <c r="S355" s="142"/>
    </row>
    <row r="356" spans="2:19">
      <c r="B356" s="138"/>
      <c r="C356" s="139"/>
      <c r="D356" s="140"/>
      <c r="E356" s="140"/>
      <c r="F356" s="141"/>
      <c r="G356" s="141"/>
      <c r="H356" s="141"/>
      <c r="I356" s="141"/>
      <c r="J356" s="138"/>
      <c r="K356" s="138"/>
      <c r="L356" s="138"/>
      <c r="M356" s="141"/>
      <c r="N356" s="142"/>
      <c r="O356" s="143"/>
      <c r="P356" s="144"/>
      <c r="Q356" s="144"/>
      <c r="R356" s="141"/>
      <c r="S356" s="142"/>
    </row>
    <row r="357" spans="2:19">
      <c r="B357" s="138"/>
      <c r="C357" s="139"/>
      <c r="D357" s="140"/>
      <c r="E357" s="140"/>
      <c r="F357" s="141"/>
      <c r="G357" s="141"/>
      <c r="H357" s="141"/>
      <c r="I357" s="141"/>
      <c r="J357" s="138"/>
      <c r="K357" s="138"/>
      <c r="L357" s="138"/>
      <c r="M357" s="141"/>
      <c r="N357" s="142"/>
      <c r="O357" s="143"/>
      <c r="P357" s="144"/>
      <c r="Q357" s="144"/>
      <c r="R357" s="141"/>
      <c r="S357" s="142"/>
    </row>
    <row r="358" spans="2:19">
      <c r="B358" s="138"/>
      <c r="C358" s="139"/>
      <c r="D358" s="140"/>
      <c r="E358" s="140"/>
      <c r="F358" s="141"/>
      <c r="G358" s="141"/>
      <c r="H358" s="141"/>
      <c r="I358" s="141"/>
      <c r="J358" s="138"/>
      <c r="K358" s="138"/>
      <c r="L358" s="138"/>
      <c r="M358" s="141"/>
      <c r="N358" s="142"/>
      <c r="O358" s="143"/>
      <c r="P358" s="144"/>
      <c r="Q358" s="144"/>
      <c r="R358" s="141"/>
      <c r="S358" s="142"/>
    </row>
    <row r="359" spans="2:19">
      <c r="B359" s="138"/>
      <c r="C359" s="139"/>
      <c r="D359" s="140"/>
      <c r="E359" s="140"/>
      <c r="F359" s="141"/>
      <c r="G359" s="141"/>
      <c r="H359" s="141"/>
      <c r="I359" s="141"/>
      <c r="J359" s="138"/>
      <c r="K359" s="138"/>
      <c r="L359" s="138"/>
      <c r="M359" s="141"/>
      <c r="N359" s="142"/>
      <c r="O359" s="143"/>
      <c r="P359" s="144"/>
      <c r="Q359" s="144"/>
      <c r="R359" s="141"/>
      <c r="S359" s="142"/>
    </row>
    <row r="360" spans="2:19">
      <c r="B360" s="138"/>
      <c r="C360" s="139"/>
      <c r="D360" s="140"/>
      <c r="E360" s="140"/>
      <c r="F360" s="141"/>
      <c r="G360" s="141"/>
      <c r="H360" s="141"/>
      <c r="I360" s="141"/>
      <c r="J360" s="138"/>
      <c r="K360" s="138"/>
      <c r="L360" s="138"/>
      <c r="M360" s="141"/>
      <c r="N360" s="142"/>
      <c r="O360" s="143"/>
      <c r="P360" s="144"/>
      <c r="Q360" s="144"/>
      <c r="R360" s="141"/>
      <c r="S360" s="142"/>
    </row>
    <row r="361" spans="2:19">
      <c r="B361" s="138"/>
      <c r="C361" s="139"/>
      <c r="D361" s="140"/>
      <c r="E361" s="140"/>
      <c r="F361" s="141"/>
      <c r="G361" s="141"/>
      <c r="H361" s="141"/>
      <c r="I361" s="141"/>
      <c r="J361" s="138"/>
      <c r="K361" s="138"/>
      <c r="L361" s="138"/>
      <c r="M361" s="141"/>
      <c r="N361" s="142"/>
      <c r="O361" s="143"/>
      <c r="P361" s="144"/>
      <c r="Q361" s="144"/>
      <c r="R361" s="141"/>
      <c r="S361" s="142"/>
    </row>
    <row r="362" spans="2:19">
      <c r="B362" s="138"/>
      <c r="C362" s="139"/>
      <c r="D362" s="140"/>
      <c r="E362" s="140"/>
      <c r="F362" s="141"/>
      <c r="G362" s="141"/>
      <c r="H362" s="141"/>
      <c r="I362" s="141"/>
      <c r="J362" s="138"/>
      <c r="K362" s="138"/>
      <c r="L362" s="138"/>
      <c r="M362" s="141"/>
      <c r="N362" s="142"/>
      <c r="O362" s="143"/>
      <c r="P362" s="144"/>
      <c r="Q362" s="144"/>
      <c r="R362" s="141"/>
      <c r="S362" s="142"/>
    </row>
    <row r="363" spans="2:19">
      <c r="B363" s="138"/>
      <c r="C363" s="139"/>
      <c r="D363" s="140"/>
      <c r="E363" s="140"/>
      <c r="F363" s="141"/>
      <c r="G363" s="141"/>
      <c r="H363" s="141"/>
      <c r="I363" s="141"/>
      <c r="J363" s="138"/>
      <c r="K363" s="138"/>
      <c r="L363" s="138"/>
      <c r="M363" s="141"/>
      <c r="N363" s="142"/>
      <c r="O363" s="143"/>
      <c r="P363" s="144"/>
      <c r="Q363" s="144"/>
      <c r="R363" s="141"/>
      <c r="S363" s="142"/>
    </row>
    <row r="364" spans="2:19">
      <c r="B364" s="138"/>
      <c r="C364" s="139"/>
      <c r="D364" s="140"/>
      <c r="E364" s="140"/>
      <c r="F364" s="141"/>
      <c r="G364" s="141"/>
      <c r="H364" s="141"/>
      <c r="I364" s="141"/>
      <c r="J364" s="138"/>
      <c r="K364" s="138"/>
      <c r="L364" s="138"/>
      <c r="M364" s="141"/>
      <c r="N364" s="142"/>
      <c r="O364" s="143"/>
      <c r="P364" s="144"/>
      <c r="Q364" s="144"/>
      <c r="R364" s="141"/>
      <c r="S364" s="142"/>
    </row>
    <row r="365" spans="2:19">
      <c r="B365" s="138"/>
      <c r="C365" s="139"/>
      <c r="D365" s="140"/>
      <c r="E365" s="140"/>
      <c r="F365" s="141"/>
      <c r="G365" s="141"/>
      <c r="H365" s="141"/>
      <c r="I365" s="141"/>
      <c r="J365" s="138"/>
      <c r="K365" s="138"/>
      <c r="L365" s="138"/>
      <c r="M365" s="141"/>
      <c r="N365" s="142"/>
      <c r="O365" s="143"/>
      <c r="P365" s="144"/>
      <c r="Q365" s="144"/>
      <c r="R365" s="141"/>
      <c r="S365" s="142"/>
    </row>
    <row r="366" spans="2:19">
      <c r="B366" s="138"/>
      <c r="C366" s="139"/>
      <c r="D366" s="140"/>
      <c r="E366" s="140"/>
      <c r="F366" s="141"/>
      <c r="G366" s="141"/>
      <c r="H366" s="141"/>
      <c r="I366" s="141"/>
      <c r="J366" s="138"/>
      <c r="K366" s="138"/>
      <c r="L366" s="138"/>
      <c r="M366" s="141"/>
      <c r="N366" s="142"/>
      <c r="O366" s="143"/>
      <c r="P366" s="144"/>
      <c r="Q366" s="144"/>
      <c r="R366" s="141"/>
      <c r="S366" s="142"/>
    </row>
    <row r="367" spans="2:19">
      <c r="B367" s="138"/>
      <c r="C367" s="139"/>
      <c r="D367" s="140"/>
      <c r="E367" s="140"/>
      <c r="F367" s="141"/>
      <c r="G367" s="141"/>
      <c r="H367" s="141"/>
      <c r="I367" s="141"/>
      <c r="J367" s="138"/>
      <c r="K367" s="138"/>
      <c r="L367" s="138"/>
      <c r="M367" s="141"/>
      <c r="N367" s="142"/>
      <c r="O367" s="143"/>
      <c r="P367" s="144"/>
      <c r="Q367" s="144"/>
      <c r="R367" s="141"/>
      <c r="S367" s="142"/>
    </row>
    <row r="368" spans="2:19">
      <c r="B368" s="138"/>
      <c r="C368" s="139"/>
      <c r="D368" s="140"/>
      <c r="E368" s="140"/>
      <c r="F368" s="141"/>
      <c r="G368" s="141"/>
      <c r="H368" s="141"/>
      <c r="I368" s="141"/>
      <c r="J368" s="138"/>
      <c r="K368" s="138"/>
      <c r="L368" s="138"/>
      <c r="M368" s="141"/>
      <c r="N368" s="142"/>
      <c r="O368" s="143"/>
      <c r="P368" s="144"/>
      <c r="Q368" s="144"/>
      <c r="R368" s="141"/>
      <c r="S368" s="142"/>
    </row>
    <row r="369" spans="2:19">
      <c r="B369" s="138"/>
      <c r="C369" s="139"/>
      <c r="D369" s="140"/>
      <c r="E369" s="140"/>
      <c r="F369" s="141"/>
      <c r="G369" s="141"/>
      <c r="H369" s="141"/>
      <c r="I369" s="141"/>
      <c r="J369" s="138"/>
      <c r="K369" s="138"/>
      <c r="L369" s="138"/>
      <c r="M369" s="141"/>
      <c r="N369" s="142"/>
      <c r="O369" s="143"/>
      <c r="P369" s="144"/>
      <c r="Q369" s="144"/>
      <c r="R369" s="141"/>
      <c r="S369" s="142"/>
    </row>
    <row r="370" spans="2:19">
      <c r="B370" s="138"/>
      <c r="C370" s="139"/>
      <c r="D370" s="140"/>
      <c r="E370" s="140"/>
      <c r="F370" s="141"/>
      <c r="G370" s="141"/>
      <c r="H370" s="141"/>
      <c r="I370" s="141"/>
      <c r="J370" s="138"/>
      <c r="K370" s="138"/>
      <c r="L370" s="138"/>
      <c r="M370" s="141"/>
      <c r="N370" s="142"/>
      <c r="O370" s="143"/>
      <c r="P370" s="144"/>
      <c r="Q370" s="144"/>
      <c r="R370" s="141"/>
      <c r="S370" s="142"/>
    </row>
    <row r="371" spans="2:19">
      <c r="B371" s="138"/>
      <c r="C371" s="139"/>
      <c r="D371" s="140"/>
      <c r="E371" s="140"/>
      <c r="F371" s="141"/>
      <c r="G371" s="141"/>
      <c r="H371" s="141"/>
      <c r="I371" s="141"/>
      <c r="J371" s="138"/>
      <c r="K371" s="138"/>
      <c r="L371" s="138"/>
      <c r="M371" s="141"/>
      <c r="N371" s="142"/>
      <c r="O371" s="143"/>
      <c r="P371" s="144"/>
      <c r="Q371" s="144"/>
      <c r="R371" s="141"/>
      <c r="S371" s="142"/>
    </row>
    <row r="372" spans="2:19">
      <c r="B372" s="138"/>
      <c r="C372" s="139"/>
      <c r="D372" s="140"/>
      <c r="E372" s="140"/>
      <c r="F372" s="141"/>
      <c r="G372" s="141"/>
      <c r="H372" s="141"/>
      <c r="I372" s="141"/>
      <c r="J372" s="138"/>
      <c r="K372" s="138"/>
      <c r="L372" s="138"/>
      <c r="M372" s="141"/>
      <c r="N372" s="142"/>
      <c r="O372" s="143"/>
      <c r="P372" s="144"/>
      <c r="Q372" s="144"/>
      <c r="R372" s="141"/>
      <c r="S372" s="142"/>
    </row>
    <row r="373" spans="2:19">
      <c r="B373" s="138"/>
      <c r="C373" s="139"/>
      <c r="D373" s="140"/>
      <c r="E373" s="140"/>
      <c r="F373" s="141"/>
      <c r="G373" s="141"/>
      <c r="H373" s="141"/>
      <c r="I373" s="141"/>
      <c r="J373" s="138"/>
      <c r="K373" s="138"/>
      <c r="L373" s="138"/>
      <c r="M373" s="141"/>
      <c r="N373" s="142"/>
      <c r="O373" s="143"/>
      <c r="P373" s="144"/>
      <c r="Q373" s="144"/>
      <c r="R373" s="141"/>
      <c r="S373" s="142"/>
    </row>
    <row r="374" spans="2:19">
      <c r="B374" s="138"/>
      <c r="C374" s="139"/>
      <c r="D374" s="140"/>
      <c r="E374" s="140"/>
      <c r="F374" s="141"/>
      <c r="G374" s="141"/>
      <c r="H374" s="141"/>
      <c r="I374" s="141"/>
      <c r="J374" s="138"/>
      <c r="K374" s="138"/>
      <c r="L374" s="138"/>
      <c r="M374" s="141"/>
      <c r="N374" s="142"/>
      <c r="O374" s="143"/>
      <c r="P374" s="144"/>
      <c r="Q374" s="144"/>
      <c r="R374" s="141"/>
      <c r="S374" s="142"/>
    </row>
    <row r="375" spans="2:19">
      <c r="B375" s="138"/>
      <c r="C375" s="139"/>
      <c r="D375" s="140"/>
      <c r="E375" s="140"/>
      <c r="F375" s="141"/>
      <c r="G375" s="141"/>
      <c r="H375" s="141"/>
      <c r="I375" s="141"/>
      <c r="J375" s="138"/>
      <c r="K375" s="138"/>
      <c r="L375" s="138"/>
      <c r="M375" s="141"/>
      <c r="N375" s="142"/>
      <c r="O375" s="143"/>
      <c r="P375" s="144"/>
      <c r="Q375" s="144"/>
      <c r="R375" s="141"/>
      <c r="S375" s="142"/>
    </row>
    <row r="376" spans="2:19">
      <c r="B376" s="138"/>
      <c r="C376" s="139"/>
      <c r="D376" s="140"/>
      <c r="E376" s="140"/>
      <c r="F376" s="141"/>
      <c r="G376" s="141"/>
      <c r="H376" s="141"/>
      <c r="I376" s="141"/>
      <c r="J376" s="138"/>
      <c r="K376" s="138"/>
      <c r="L376" s="138"/>
      <c r="M376" s="141"/>
      <c r="N376" s="142"/>
      <c r="O376" s="143"/>
      <c r="P376" s="144"/>
      <c r="Q376" s="144"/>
      <c r="R376" s="141"/>
      <c r="S376" s="142"/>
    </row>
    <row r="377" spans="2:19">
      <c r="B377" s="138"/>
      <c r="C377" s="139"/>
      <c r="D377" s="140"/>
      <c r="E377" s="140"/>
      <c r="F377" s="141"/>
      <c r="G377" s="141"/>
      <c r="H377" s="141"/>
      <c r="I377" s="141"/>
      <c r="J377" s="138"/>
      <c r="K377" s="138"/>
      <c r="L377" s="138"/>
      <c r="M377" s="141"/>
      <c r="N377" s="142"/>
      <c r="O377" s="143"/>
      <c r="P377" s="144"/>
      <c r="Q377" s="144"/>
      <c r="R377" s="141"/>
      <c r="S377" s="142"/>
    </row>
    <row r="378" spans="2:19">
      <c r="B378" s="138"/>
      <c r="C378" s="139"/>
      <c r="D378" s="140"/>
      <c r="E378" s="140"/>
      <c r="F378" s="141"/>
      <c r="G378" s="141"/>
      <c r="H378" s="141"/>
      <c r="I378" s="141"/>
      <c r="J378" s="138"/>
      <c r="K378" s="138"/>
      <c r="L378" s="138"/>
      <c r="M378" s="141"/>
      <c r="N378" s="142"/>
      <c r="O378" s="143"/>
      <c r="P378" s="144"/>
      <c r="Q378" s="144"/>
      <c r="R378" s="141"/>
      <c r="S378" s="142"/>
    </row>
    <row r="379" spans="2:19">
      <c r="B379" s="138"/>
      <c r="C379" s="139"/>
      <c r="D379" s="140"/>
      <c r="E379" s="140"/>
      <c r="F379" s="141"/>
      <c r="G379" s="141"/>
      <c r="H379" s="141"/>
      <c r="I379" s="141"/>
      <c r="J379" s="138"/>
      <c r="K379" s="138"/>
      <c r="L379" s="138"/>
      <c r="M379" s="141"/>
      <c r="N379" s="142"/>
      <c r="O379" s="143"/>
      <c r="P379" s="144"/>
      <c r="Q379" s="144"/>
      <c r="R379" s="141"/>
      <c r="S379" s="142"/>
    </row>
    <row r="380" spans="2:19">
      <c r="B380" s="138"/>
      <c r="C380" s="139"/>
      <c r="D380" s="140"/>
      <c r="E380" s="140"/>
      <c r="F380" s="141"/>
      <c r="G380" s="141"/>
      <c r="H380" s="141"/>
      <c r="I380" s="141"/>
      <c r="J380" s="138"/>
      <c r="K380" s="138"/>
      <c r="L380" s="138"/>
      <c r="M380" s="141"/>
      <c r="N380" s="142"/>
      <c r="O380" s="143"/>
      <c r="P380" s="144"/>
      <c r="Q380" s="144"/>
      <c r="R380" s="141"/>
      <c r="S380" s="142"/>
    </row>
    <row r="381" spans="2:19">
      <c r="B381" s="138"/>
      <c r="C381" s="139"/>
      <c r="D381" s="140"/>
      <c r="E381" s="140"/>
      <c r="F381" s="141"/>
      <c r="G381" s="141"/>
      <c r="H381" s="141"/>
      <c r="I381" s="141"/>
      <c r="J381" s="138"/>
      <c r="K381" s="138"/>
      <c r="L381" s="138"/>
      <c r="M381" s="141"/>
      <c r="N381" s="142"/>
      <c r="O381" s="143"/>
      <c r="P381" s="144"/>
      <c r="Q381" s="144"/>
      <c r="R381" s="141"/>
      <c r="S381" s="142"/>
    </row>
    <row r="382" spans="2:19">
      <c r="B382" s="138"/>
      <c r="C382" s="139"/>
      <c r="D382" s="140"/>
      <c r="E382" s="140"/>
      <c r="F382" s="141"/>
      <c r="G382" s="141"/>
      <c r="H382" s="141"/>
      <c r="I382" s="141"/>
      <c r="J382" s="138"/>
      <c r="K382" s="138"/>
      <c r="L382" s="138"/>
      <c r="M382" s="141"/>
      <c r="N382" s="142"/>
      <c r="O382" s="143"/>
      <c r="P382" s="144"/>
      <c r="Q382" s="144"/>
      <c r="R382" s="141"/>
      <c r="S382" s="142"/>
    </row>
    <row r="383" spans="2:19">
      <c r="B383" s="138"/>
      <c r="C383" s="139"/>
      <c r="D383" s="140"/>
      <c r="E383" s="140"/>
      <c r="F383" s="141"/>
      <c r="G383" s="141"/>
      <c r="H383" s="141"/>
      <c r="I383" s="141"/>
      <c r="J383" s="138"/>
      <c r="K383" s="138"/>
      <c r="L383" s="138"/>
      <c r="M383" s="141"/>
      <c r="N383" s="142"/>
      <c r="O383" s="143"/>
      <c r="P383" s="144"/>
      <c r="Q383" s="144"/>
      <c r="R383" s="141"/>
      <c r="S383" s="142"/>
    </row>
    <row r="384" spans="2:19">
      <c r="B384" s="138"/>
      <c r="C384" s="139"/>
      <c r="D384" s="140"/>
      <c r="E384" s="140"/>
      <c r="F384" s="141"/>
      <c r="G384" s="141"/>
      <c r="H384" s="141"/>
      <c r="I384" s="141"/>
      <c r="J384" s="138"/>
      <c r="K384" s="138"/>
      <c r="L384" s="138"/>
      <c r="M384" s="141"/>
      <c r="N384" s="142"/>
      <c r="O384" s="143"/>
      <c r="P384" s="144"/>
      <c r="Q384" s="144"/>
      <c r="R384" s="141"/>
      <c r="S384" s="142"/>
    </row>
    <row r="385" spans="2:19">
      <c r="B385" s="138"/>
      <c r="C385" s="139"/>
      <c r="D385" s="140"/>
      <c r="E385" s="140"/>
      <c r="F385" s="141"/>
      <c r="G385" s="141"/>
      <c r="H385" s="141"/>
      <c r="I385" s="141"/>
      <c r="J385" s="138"/>
      <c r="K385" s="138"/>
      <c r="L385" s="138"/>
      <c r="M385" s="141"/>
      <c r="N385" s="142"/>
      <c r="O385" s="143"/>
      <c r="P385" s="144"/>
      <c r="Q385" s="144"/>
      <c r="R385" s="141"/>
      <c r="S385" s="142"/>
    </row>
    <row r="386" spans="2:19">
      <c r="B386" s="138"/>
      <c r="C386" s="139"/>
      <c r="D386" s="140"/>
      <c r="E386" s="140"/>
      <c r="F386" s="141"/>
      <c r="G386" s="141"/>
      <c r="H386" s="141"/>
      <c r="I386" s="141"/>
      <c r="J386" s="138"/>
      <c r="K386" s="138"/>
      <c r="L386" s="138"/>
      <c r="M386" s="141"/>
      <c r="N386" s="142"/>
      <c r="O386" s="143"/>
      <c r="P386" s="144"/>
      <c r="Q386" s="144"/>
      <c r="R386" s="141"/>
      <c r="S386" s="142"/>
    </row>
    <row r="387" spans="2:19">
      <c r="B387" s="138"/>
      <c r="C387" s="139"/>
      <c r="D387" s="140"/>
      <c r="E387" s="140"/>
      <c r="F387" s="141"/>
      <c r="G387" s="141"/>
      <c r="H387" s="141"/>
      <c r="I387" s="141"/>
      <c r="J387" s="138"/>
      <c r="K387" s="138"/>
      <c r="L387" s="138"/>
      <c r="M387" s="141"/>
      <c r="N387" s="142"/>
      <c r="O387" s="143"/>
      <c r="P387" s="144"/>
      <c r="Q387" s="144"/>
      <c r="R387" s="141"/>
      <c r="S387" s="142"/>
    </row>
    <row r="388" spans="2:19">
      <c r="B388" s="138"/>
      <c r="C388" s="139"/>
      <c r="D388" s="140"/>
      <c r="E388" s="140"/>
      <c r="F388" s="141"/>
      <c r="G388" s="141"/>
      <c r="H388" s="141"/>
      <c r="I388" s="141"/>
      <c r="J388" s="138"/>
      <c r="K388" s="138"/>
      <c r="L388" s="138"/>
      <c r="M388" s="141"/>
      <c r="N388" s="142"/>
      <c r="O388" s="143"/>
      <c r="P388" s="144"/>
      <c r="Q388" s="144"/>
      <c r="R388" s="141"/>
      <c r="S388" s="142"/>
    </row>
    <row r="389" spans="2:19">
      <c r="B389" s="138"/>
      <c r="C389" s="139"/>
      <c r="D389" s="140"/>
      <c r="E389" s="140"/>
      <c r="F389" s="141"/>
      <c r="G389" s="141"/>
      <c r="H389" s="141"/>
      <c r="I389" s="141"/>
      <c r="J389" s="138"/>
      <c r="K389" s="138"/>
      <c r="L389" s="138"/>
      <c r="M389" s="141"/>
      <c r="N389" s="142"/>
      <c r="O389" s="143"/>
      <c r="P389" s="144"/>
      <c r="Q389" s="144"/>
      <c r="R389" s="141"/>
      <c r="S389" s="142"/>
    </row>
    <row r="390" spans="2:19">
      <c r="B390" s="138"/>
      <c r="C390" s="139"/>
      <c r="D390" s="140"/>
      <c r="E390" s="140"/>
      <c r="F390" s="141"/>
      <c r="G390" s="141"/>
      <c r="H390" s="141"/>
      <c r="I390" s="141"/>
      <c r="J390" s="138"/>
      <c r="K390" s="138"/>
      <c r="L390" s="138"/>
      <c r="M390" s="141"/>
      <c r="N390" s="142"/>
      <c r="O390" s="143"/>
      <c r="P390" s="144"/>
      <c r="Q390" s="144"/>
      <c r="R390" s="141"/>
      <c r="S390" s="142"/>
    </row>
    <row r="391" spans="2:19">
      <c r="B391" s="138"/>
      <c r="C391" s="139"/>
      <c r="D391" s="140"/>
      <c r="E391" s="140"/>
      <c r="F391" s="141"/>
      <c r="G391" s="141"/>
      <c r="H391" s="141"/>
      <c r="I391" s="141"/>
      <c r="J391" s="138"/>
      <c r="K391" s="138"/>
      <c r="L391" s="138"/>
      <c r="M391" s="141"/>
      <c r="N391" s="142"/>
      <c r="O391" s="143"/>
      <c r="P391" s="144"/>
      <c r="Q391" s="144"/>
      <c r="R391" s="141"/>
      <c r="S391" s="142"/>
    </row>
    <row r="392" spans="2:19">
      <c r="B392" s="138"/>
      <c r="C392" s="139"/>
      <c r="D392" s="140"/>
      <c r="E392" s="140"/>
      <c r="F392" s="141"/>
      <c r="G392" s="141"/>
      <c r="H392" s="141"/>
      <c r="I392" s="141"/>
      <c r="J392" s="138"/>
      <c r="K392" s="138"/>
      <c r="L392" s="138"/>
      <c r="M392" s="141"/>
      <c r="N392" s="142"/>
      <c r="O392" s="143"/>
      <c r="P392" s="144"/>
      <c r="Q392" s="144"/>
      <c r="R392" s="141"/>
      <c r="S392" s="142"/>
    </row>
    <row r="393" spans="2:19">
      <c r="B393" s="138"/>
      <c r="C393" s="139"/>
      <c r="D393" s="140"/>
      <c r="E393" s="140"/>
      <c r="F393" s="141"/>
      <c r="G393" s="141"/>
      <c r="H393" s="141"/>
      <c r="I393" s="141"/>
      <c r="J393" s="138"/>
      <c r="K393" s="138"/>
      <c r="L393" s="138"/>
      <c r="M393" s="141"/>
      <c r="N393" s="142"/>
      <c r="O393" s="143"/>
      <c r="P393" s="144"/>
      <c r="Q393" s="144"/>
      <c r="R393" s="141"/>
      <c r="S393" s="142"/>
    </row>
    <row r="394" spans="2:19">
      <c r="B394" s="138"/>
      <c r="C394" s="139"/>
      <c r="D394" s="140"/>
      <c r="E394" s="140"/>
      <c r="F394" s="141"/>
      <c r="G394" s="141"/>
      <c r="H394" s="141"/>
      <c r="I394" s="141"/>
      <c r="J394" s="138"/>
      <c r="K394" s="138"/>
      <c r="L394" s="138"/>
      <c r="M394" s="141"/>
      <c r="N394" s="142"/>
      <c r="O394" s="143"/>
      <c r="P394" s="144"/>
      <c r="Q394" s="144"/>
      <c r="R394" s="141"/>
      <c r="S394" s="142"/>
    </row>
    <row r="395" spans="2:19">
      <c r="B395" s="138"/>
      <c r="C395" s="139"/>
      <c r="D395" s="140"/>
      <c r="E395" s="140"/>
      <c r="F395" s="141"/>
      <c r="G395" s="141"/>
      <c r="H395" s="141"/>
      <c r="I395" s="141"/>
      <c r="J395" s="138"/>
      <c r="K395" s="138"/>
      <c r="L395" s="138"/>
      <c r="M395" s="141"/>
      <c r="N395" s="142"/>
      <c r="O395" s="143"/>
      <c r="P395" s="144"/>
      <c r="Q395" s="144"/>
      <c r="R395" s="141"/>
      <c r="S395" s="142"/>
    </row>
    <row r="396" spans="2:19">
      <c r="B396" s="138"/>
      <c r="C396" s="139"/>
      <c r="D396" s="140"/>
      <c r="E396" s="140"/>
      <c r="F396" s="141"/>
      <c r="G396" s="141"/>
      <c r="H396" s="141"/>
      <c r="I396" s="141"/>
      <c r="J396" s="138"/>
      <c r="K396" s="138"/>
      <c r="L396" s="138"/>
      <c r="M396" s="141"/>
      <c r="N396" s="142"/>
      <c r="O396" s="143"/>
      <c r="P396" s="144"/>
      <c r="Q396" s="144"/>
      <c r="R396" s="141"/>
      <c r="S396" s="142"/>
    </row>
    <row r="397" spans="2:19">
      <c r="B397" s="138"/>
      <c r="C397" s="139"/>
      <c r="D397" s="140"/>
      <c r="E397" s="140"/>
      <c r="F397" s="141"/>
      <c r="G397" s="141"/>
      <c r="H397" s="141"/>
      <c r="I397" s="141"/>
      <c r="J397" s="138"/>
      <c r="K397" s="138"/>
      <c r="L397" s="138"/>
      <c r="M397" s="141"/>
      <c r="N397" s="142"/>
      <c r="O397" s="143"/>
      <c r="P397" s="144"/>
      <c r="Q397" s="144"/>
      <c r="R397" s="141"/>
      <c r="S397" s="142"/>
    </row>
    <row r="398" spans="2:19">
      <c r="B398" s="138"/>
      <c r="C398" s="139"/>
      <c r="D398" s="140"/>
      <c r="E398" s="140"/>
      <c r="F398" s="141"/>
      <c r="G398" s="141"/>
      <c r="H398" s="141"/>
      <c r="I398" s="141"/>
      <c r="J398" s="138"/>
      <c r="K398" s="138"/>
      <c r="L398" s="138"/>
      <c r="M398" s="141"/>
      <c r="N398" s="142"/>
      <c r="O398" s="143"/>
      <c r="P398" s="144"/>
      <c r="Q398" s="144"/>
      <c r="R398" s="141"/>
      <c r="S398" s="142"/>
    </row>
    <row r="399" spans="2:19">
      <c r="B399" s="138"/>
      <c r="C399" s="139"/>
      <c r="D399" s="140"/>
      <c r="E399" s="140"/>
      <c r="F399" s="141"/>
      <c r="G399" s="141"/>
      <c r="H399" s="141"/>
      <c r="I399" s="141"/>
      <c r="J399" s="138"/>
      <c r="K399" s="138"/>
      <c r="L399" s="138"/>
      <c r="M399" s="141"/>
      <c r="N399" s="142"/>
      <c r="O399" s="143"/>
      <c r="P399" s="144"/>
      <c r="Q399" s="144"/>
      <c r="R399" s="141"/>
      <c r="S399" s="142"/>
    </row>
    <row r="400" spans="2:19">
      <c r="B400" s="138"/>
      <c r="C400" s="139"/>
      <c r="D400" s="140"/>
      <c r="E400" s="140"/>
      <c r="F400" s="141"/>
      <c r="G400" s="141"/>
      <c r="H400" s="141"/>
      <c r="I400" s="141"/>
      <c r="J400" s="138"/>
      <c r="K400" s="138"/>
      <c r="L400" s="138"/>
      <c r="M400" s="141"/>
      <c r="N400" s="142"/>
      <c r="O400" s="143"/>
      <c r="P400" s="144"/>
      <c r="Q400" s="144"/>
      <c r="R400" s="141"/>
      <c r="S400" s="142"/>
    </row>
    <row r="401" spans="2:19">
      <c r="B401" s="138"/>
      <c r="C401" s="139"/>
      <c r="D401" s="140"/>
      <c r="E401" s="140"/>
      <c r="F401" s="141"/>
      <c r="G401" s="141"/>
      <c r="H401" s="141"/>
      <c r="I401" s="141"/>
      <c r="J401" s="138"/>
      <c r="K401" s="138"/>
      <c r="L401" s="138"/>
      <c r="M401" s="141"/>
      <c r="N401" s="142"/>
      <c r="O401" s="143"/>
      <c r="P401" s="144"/>
      <c r="Q401" s="144"/>
      <c r="R401" s="141"/>
      <c r="S401" s="142"/>
    </row>
    <row r="402" spans="2:19">
      <c r="B402" s="138"/>
      <c r="C402" s="139"/>
      <c r="D402" s="140"/>
      <c r="E402" s="140"/>
      <c r="F402" s="141"/>
      <c r="G402" s="141"/>
      <c r="H402" s="141"/>
      <c r="I402" s="141"/>
      <c r="J402" s="138"/>
      <c r="K402" s="138"/>
      <c r="L402" s="138"/>
      <c r="M402" s="141"/>
      <c r="N402" s="142"/>
      <c r="O402" s="143"/>
      <c r="P402" s="144"/>
      <c r="Q402" s="144"/>
      <c r="R402" s="141"/>
      <c r="S402" s="142"/>
    </row>
    <row r="403" spans="2:19">
      <c r="B403" s="138"/>
      <c r="C403" s="139"/>
      <c r="D403" s="140"/>
      <c r="E403" s="140"/>
      <c r="F403" s="141"/>
      <c r="G403" s="141"/>
      <c r="H403" s="141"/>
      <c r="I403" s="141"/>
      <c r="J403" s="138"/>
      <c r="K403" s="138"/>
      <c r="L403" s="138"/>
      <c r="M403" s="141"/>
      <c r="N403" s="142"/>
      <c r="O403" s="143"/>
      <c r="P403" s="144"/>
      <c r="Q403" s="144"/>
      <c r="R403" s="141"/>
      <c r="S403" s="142"/>
    </row>
    <row r="404" spans="2:19">
      <c r="B404" s="138"/>
      <c r="C404" s="139"/>
      <c r="D404" s="140"/>
      <c r="E404" s="140"/>
      <c r="F404" s="141"/>
      <c r="G404" s="141"/>
      <c r="H404" s="141"/>
      <c r="I404" s="141"/>
      <c r="J404" s="138"/>
      <c r="K404" s="138"/>
      <c r="L404" s="138"/>
      <c r="M404" s="141"/>
      <c r="N404" s="142"/>
      <c r="O404" s="143"/>
      <c r="P404" s="144"/>
      <c r="Q404" s="144"/>
      <c r="R404" s="141"/>
      <c r="S404" s="142"/>
    </row>
    <row r="405" spans="2:19">
      <c r="B405" s="138"/>
      <c r="C405" s="139"/>
      <c r="D405" s="140"/>
      <c r="E405" s="140"/>
      <c r="F405" s="141"/>
      <c r="G405" s="141"/>
      <c r="H405" s="141"/>
      <c r="I405" s="141"/>
      <c r="J405" s="138"/>
      <c r="K405" s="138"/>
      <c r="L405" s="138"/>
      <c r="M405" s="141"/>
      <c r="N405" s="142"/>
      <c r="O405" s="143"/>
      <c r="P405" s="144"/>
      <c r="Q405" s="144"/>
      <c r="R405" s="141"/>
      <c r="S405" s="142"/>
    </row>
    <row r="406" spans="2:19">
      <c r="B406" s="138"/>
      <c r="C406" s="139"/>
      <c r="D406" s="140"/>
      <c r="E406" s="140"/>
      <c r="F406" s="141"/>
      <c r="G406" s="141"/>
      <c r="H406" s="141"/>
      <c r="I406" s="141"/>
      <c r="J406" s="138"/>
      <c r="K406" s="138"/>
      <c r="L406" s="138"/>
      <c r="M406" s="141"/>
      <c r="N406" s="142"/>
      <c r="O406" s="143"/>
      <c r="P406" s="144"/>
      <c r="Q406" s="144"/>
      <c r="R406" s="141"/>
      <c r="S406" s="142"/>
    </row>
    <row r="407" spans="2:19">
      <c r="B407" s="138"/>
      <c r="C407" s="139"/>
      <c r="D407" s="140"/>
      <c r="E407" s="140"/>
      <c r="F407" s="141"/>
      <c r="G407" s="141"/>
      <c r="H407" s="141"/>
      <c r="I407" s="141"/>
      <c r="J407" s="138"/>
      <c r="K407" s="138"/>
      <c r="L407" s="138"/>
      <c r="M407" s="141"/>
      <c r="N407" s="142"/>
      <c r="O407" s="143"/>
      <c r="P407" s="144"/>
      <c r="Q407" s="144"/>
      <c r="R407" s="141"/>
      <c r="S407" s="142"/>
    </row>
    <row r="408" spans="2:19">
      <c r="B408" s="138"/>
      <c r="C408" s="139"/>
      <c r="D408" s="140"/>
      <c r="E408" s="140"/>
      <c r="F408" s="141"/>
      <c r="G408" s="141"/>
      <c r="H408" s="141"/>
      <c r="I408" s="141"/>
      <c r="J408" s="138"/>
      <c r="K408" s="138"/>
      <c r="L408" s="138"/>
      <c r="M408" s="141"/>
      <c r="N408" s="142"/>
      <c r="O408" s="143"/>
      <c r="P408" s="144"/>
      <c r="Q408" s="144"/>
      <c r="R408" s="141"/>
      <c r="S408" s="142"/>
    </row>
    <row r="409" spans="2:19">
      <c r="B409" s="138"/>
      <c r="C409" s="139"/>
      <c r="D409" s="140"/>
      <c r="E409" s="140"/>
      <c r="F409" s="141"/>
      <c r="G409" s="141"/>
      <c r="H409" s="141"/>
      <c r="I409" s="141"/>
      <c r="J409" s="138"/>
      <c r="K409" s="138"/>
      <c r="L409" s="138"/>
      <c r="M409" s="141"/>
      <c r="N409" s="142"/>
      <c r="O409" s="143"/>
      <c r="P409" s="144"/>
      <c r="Q409" s="144"/>
      <c r="R409" s="141"/>
      <c r="S409" s="142"/>
    </row>
    <row r="410" spans="2:19">
      <c r="B410" s="138"/>
      <c r="C410" s="139"/>
      <c r="D410" s="140"/>
      <c r="E410" s="140"/>
      <c r="F410" s="141"/>
      <c r="G410" s="141"/>
      <c r="H410" s="141"/>
      <c r="I410" s="141"/>
      <c r="J410" s="138"/>
      <c r="K410" s="138"/>
      <c r="L410" s="138"/>
      <c r="M410" s="141"/>
      <c r="N410" s="142"/>
      <c r="O410" s="143"/>
      <c r="P410" s="144"/>
      <c r="Q410" s="144"/>
      <c r="R410" s="141"/>
      <c r="S410" s="142"/>
    </row>
    <row r="411" spans="2:19">
      <c r="B411" s="138"/>
      <c r="C411" s="139"/>
      <c r="D411" s="140"/>
      <c r="E411" s="140"/>
      <c r="F411" s="141"/>
      <c r="G411" s="141"/>
      <c r="H411" s="141"/>
      <c r="I411" s="141"/>
      <c r="J411" s="138"/>
      <c r="K411" s="138"/>
      <c r="L411" s="138"/>
      <c r="M411" s="141"/>
      <c r="N411" s="142"/>
      <c r="O411" s="143"/>
      <c r="P411" s="144"/>
      <c r="Q411" s="144"/>
      <c r="R411" s="141"/>
      <c r="S411" s="142"/>
    </row>
    <row r="412" spans="2:19">
      <c r="B412" s="138"/>
      <c r="C412" s="139"/>
      <c r="D412" s="140"/>
      <c r="E412" s="140"/>
      <c r="F412" s="141"/>
      <c r="G412" s="141"/>
      <c r="H412" s="141"/>
      <c r="I412" s="141"/>
      <c r="J412" s="138"/>
      <c r="K412" s="138"/>
      <c r="L412" s="138"/>
      <c r="M412" s="141"/>
      <c r="N412" s="142"/>
      <c r="O412" s="143"/>
      <c r="P412" s="144"/>
      <c r="Q412" s="144"/>
      <c r="R412" s="141"/>
      <c r="S412" s="142"/>
    </row>
    <row r="413" spans="2:19">
      <c r="B413" s="138"/>
      <c r="C413" s="139"/>
      <c r="D413" s="140"/>
      <c r="E413" s="140"/>
      <c r="F413" s="141"/>
      <c r="G413" s="141"/>
      <c r="H413" s="141"/>
      <c r="I413" s="141"/>
      <c r="J413" s="138"/>
      <c r="K413" s="138"/>
      <c r="L413" s="138"/>
      <c r="M413" s="141"/>
      <c r="N413" s="142"/>
      <c r="O413" s="143"/>
      <c r="P413" s="144"/>
      <c r="Q413" s="144"/>
      <c r="R413" s="141"/>
      <c r="S413" s="142"/>
    </row>
    <row r="414" spans="2:19">
      <c r="B414" s="138"/>
      <c r="C414" s="139"/>
      <c r="D414" s="140"/>
      <c r="E414" s="140"/>
      <c r="F414" s="141"/>
      <c r="G414" s="141"/>
      <c r="H414" s="141"/>
      <c r="I414" s="141"/>
      <c r="J414" s="138"/>
      <c r="K414" s="138"/>
      <c r="L414" s="138"/>
      <c r="M414" s="141"/>
      <c r="N414" s="142"/>
      <c r="O414" s="143"/>
      <c r="P414" s="144"/>
      <c r="Q414" s="144"/>
      <c r="R414" s="141"/>
      <c r="S414" s="142"/>
    </row>
    <row r="415" spans="2:19">
      <c r="B415" s="138"/>
      <c r="C415" s="139"/>
      <c r="D415" s="140"/>
      <c r="E415" s="140"/>
      <c r="F415" s="141"/>
      <c r="G415" s="141"/>
      <c r="H415" s="141"/>
      <c r="I415" s="141"/>
      <c r="J415" s="138"/>
      <c r="K415" s="138"/>
      <c r="L415" s="138"/>
      <c r="M415" s="141"/>
      <c r="N415" s="142"/>
      <c r="O415" s="143"/>
      <c r="P415" s="144"/>
      <c r="Q415" s="144"/>
      <c r="R415" s="141"/>
      <c r="S415" s="142"/>
    </row>
    <row r="416" spans="2:19">
      <c r="B416" s="138"/>
      <c r="C416" s="139"/>
      <c r="D416" s="140"/>
      <c r="E416" s="140"/>
      <c r="F416" s="141"/>
      <c r="G416" s="141"/>
      <c r="H416" s="141"/>
      <c r="I416" s="141"/>
      <c r="J416" s="138"/>
      <c r="K416" s="138"/>
      <c r="L416" s="138"/>
      <c r="M416" s="141"/>
      <c r="N416" s="142"/>
      <c r="O416" s="143"/>
      <c r="P416" s="144"/>
      <c r="Q416" s="144"/>
      <c r="R416" s="141"/>
      <c r="S416" s="142"/>
    </row>
    <row r="417" spans="2:19">
      <c r="B417" s="138"/>
      <c r="C417" s="139"/>
      <c r="D417" s="140"/>
      <c r="E417" s="140"/>
      <c r="F417" s="141"/>
      <c r="G417" s="141"/>
      <c r="H417" s="141"/>
      <c r="I417" s="141"/>
      <c r="J417" s="138"/>
      <c r="K417" s="138"/>
      <c r="L417" s="138"/>
      <c r="M417" s="141"/>
      <c r="N417" s="142"/>
      <c r="O417" s="143"/>
      <c r="P417" s="144"/>
      <c r="Q417" s="144"/>
      <c r="R417" s="141"/>
      <c r="S417" s="142"/>
    </row>
    <row r="418" spans="2:19">
      <c r="B418" s="138"/>
      <c r="C418" s="139"/>
      <c r="D418" s="140"/>
      <c r="E418" s="140"/>
      <c r="F418" s="141"/>
      <c r="G418" s="141"/>
      <c r="H418" s="141"/>
      <c r="I418" s="141"/>
      <c r="J418" s="138"/>
      <c r="K418" s="138"/>
      <c r="L418" s="138"/>
      <c r="M418" s="141"/>
      <c r="N418" s="142"/>
      <c r="O418" s="143"/>
      <c r="P418" s="144"/>
      <c r="Q418" s="144"/>
      <c r="R418" s="141"/>
      <c r="S418" s="142"/>
    </row>
    <row r="419" spans="2:19">
      <c r="B419" s="138"/>
      <c r="C419" s="139"/>
      <c r="D419" s="140"/>
      <c r="E419" s="140"/>
      <c r="F419" s="141"/>
      <c r="G419" s="141"/>
      <c r="H419" s="141"/>
      <c r="I419" s="141"/>
      <c r="J419" s="138"/>
      <c r="K419" s="138"/>
      <c r="L419" s="138"/>
      <c r="M419" s="141"/>
      <c r="N419" s="142"/>
      <c r="O419" s="143"/>
      <c r="P419" s="144"/>
      <c r="Q419" s="144"/>
      <c r="R419" s="141"/>
      <c r="S419" s="142"/>
    </row>
    <row r="420" spans="2:19">
      <c r="B420" s="138"/>
      <c r="C420" s="139"/>
      <c r="D420" s="140"/>
      <c r="E420" s="140"/>
      <c r="F420" s="141"/>
      <c r="G420" s="141"/>
      <c r="H420" s="141"/>
      <c r="I420" s="141"/>
      <c r="J420" s="138"/>
      <c r="K420" s="138"/>
      <c r="L420" s="138"/>
      <c r="M420" s="141"/>
      <c r="N420" s="142"/>
      <c r="O420" s="143"/>
      <c r="P420" s="144"/>
      <c r="Q420" s="144"/>
      <c r="R420" s="141"/>
      <c r="S420" s="142"/>
    </row>
    <row r="421" spans="2:19">
      <c r="B421" s="138"/>
      <c r="C421" s="139"/>
      <c r="D421" s="140"/>
      <c r="E421" s="140"/>
      <c r="F421" s="141"/>
      <c r="G421" s="141"/>
      <c r="H421" s="141"/>
      <c r="I421" s="141"/>
      <c r="J421" s="138"/>
      <c r="K421" s="138"/>
      <c r="L421" s="138"/>
      <c r="M421" s="141"/>
      <c r="N421" s="142"/>
      <c r="O421" s="143"/>
      <c r="P421" s="144"/>
      <c r="Q421" s="144"/>
      <c r="R421" s="141"/>
      <c r="S421" s="142"/>
    </row>
    <row r="422" spans="2:19">
      <c r="B422" s="138"/>
      <c r="C422" s="139"/>
      <c r="D422" s="140"/>
      <c r="E422" s="140"/>
      <c r="F422" s="141"/>
      <c r="G422" s="141"/>
      <c r="H422" s="141"/>
      <c r="I422" s="141"/>
      <c r="J422" s="138"/>
      <c r="K422" s="138"/>
      <c r="L422" s="138"/>
      <c r="M422" s="141"/>
      <c r="N422" s="142"/>
      <c r="O422" s="143"/>
      <c r="P422" s="144"/>
      <c r="Q422" s="144"/>
      <c r="R422" s="141"/>
      <c r="S422" s="142"/>
    </row>
    <row r="423" spans="2:19">
      <c r="B423" s="138"/>
      <c r="C423" s="139"/>
      <c r="D423" s="140"/>
      <c r="E423" s="140"/>
      <c r="F423" s="141"/>
      <c r="G423" s="141"/>
      <c r="H423" s="141"/>
      <c r="I423" s="141"/>
      <c r="J423" s="138"/>
      <c r="K423" s="138"/>
      <c r="L423" s="138"/>
      <c r="M423" s="141"/>
      <c r="N423" s="142"/>
      <c r="O423" s="143"/>
      <c r="P423" s="144"/>
      <c r="Q423" s="144"/>
      <c r="R423" s="141"/>
      <c r="S423" s="142"/>
    </row>
    <row r="424" spans="2:19">
      <c r="B424" s="138"/>
      <c r="C424" s="139"/>
      <c r="D424" s="140"/>
      <c r="E424" s="140"/>
      <c r="F424" s="141"/>
      <c r="G424" s="141"/>
      <c r="H424" s="141"/>
      <c r="I424" s="141"/>
      <c r="J424" s="138"/>
      <c r="K424" s="138"/>
      <c r="L424" s="138"/>
      <c r="M424" s="141"/>
      <c r="N424" s="142"/>
      <c r="O424" s="143"/>
      <c r="P424" s="144"/>
      <c r="Q424" s="144"/>
      <c r="R424" s="141"/>
      <c r="S424" s="142"/>
    </row>
    <row r="425" spans="2:19">
      <c r="B425" s="138"/>
      <c r="C425" s="139"/>
      <c r="D425" s="140"/>
      <c r="E425" s="140"/>
      <c r="F425" s="141"/>
      <c r="G425" s="141"/>
      <c r="H425" s="141"/>
      <c r="I425" s="141"/>
      <c r="J425" s="138"/>
      <c r="K425" s="138"/>
      <c r="L425" s="138"/>
      <c r="M425" s="141"/>
      <c r="N425" s="142"/>
      <c r="O425" s="143"/>
      <c r="P425" s="144"/>
      <c r="Q425" s="144"/>
      <c r="R425" s="141"/>
      <c r="S425" s="142"/>
    </row>
    <row r="426" spans="2:19">
      <c r="B426" s="138"/>
      <c r="C426" s="139"/>
      <c r="D426" s="140"/>
      <c r="E426" s="140"/>
      <c r="F426" s="141"/>
      <c r="G426" s="141"/>
      <c r="H426" s="141"/>
      <c r="I426" s="141"/>
      <c r="J426" s="138"/>
      <c r="K426" s="138"/>
      <c r="L426" s="138"/>
      <c r="M426" s="141"/>
      <c r="N426" s="142"/>
      <c r="O426" s="143"/>
      <c r="P426" s="144"/>
      <c r="Q426" s="144"/>
      <c r="R426" s="141"/>
      <c r="S426" s="142"/>
    </row>
    <row r="427" spans="2:19">
      <c r="B427" s="138"/>
      <c r="C427" s="139"/>
      <c r="D427" s="140"/>
      <c r="E427" s="140"/>
      <c r="F427" s="141"/>
      <c r="G427" s="141"/>
      <c r="H427" s="141"/>
      <c r="I427" s="141"/>
      <c r="J427" s="138"/>
      <c r="K427" s="138"/>
      <c r="L427" s="138"/>
      <c r="M427" s="141"/>
      <c r="N427" s="142"/>
      <c r="O427" s="143"/>
      <c r="P427" s="144"/>
      <c r="Q427" s="144"/>
      <c r="R427" s="141"/>
      <c r="S427" s="142"/>
    </row>
    <row r="428" spans="2:19">
      <c r="B428" s="138"/>
      <c r="C428" s="139"/>
      <c r="D428" s="140"/>
      <c r="E428" s="140"/>
      <c r="F428" s="141"/>
      <c r="G428" s="141"/>
      <c r="H428" s="141"/>
      <c r="I428" s="141"/>
      <c r="J428" s="138"/>
      <c r="K428" s="138"/>
      <c r="L428" s="138"/>
      <c r="M428" s="141"/>
      <c r="N428" s="142"/>
      <c r="O428" s="143"/>
      <c r="P428" s="144"/>
      <c r="Q428" s="144"/>
      <c r="R428" s="141"/>
      <c r="S428" s="142"/>
    </row>
    <row r="429" spans="2:19">
      <c r="B429" s="138"/>
      <c r="C429" s="139"/>
      <c r="D429" s="140"/>
      <c r="E429" s="140"/>
      <c r="F429" s="141"/>
      <c r="G429" s="141"/>
      <c r="H429" s="141"/>
      <c r="I429" s="141"/>
      <c r="J429" s="138"/>
      <c r="K429" s="138"/>
      <c r="L429" s="138"/>
      <c r="M429" s="141"/>
      <c r="N429" s="142"/>
      <c r="O429" s="143"/>
      <c r="P429" s="144"/>
      <c r="Q429" s="144"/>
      <c r="R429" s="141"/>
      <c r="S429" s="142"/>
    </row>
    <row r="430" spans="2:19">
      <c r="B430" s="138"/>
      <c r="C430" s="139"/>
      <c r="D430" s="140"/>
      <c r="E430" s="140"/>
      <c r="F430" s="141"/>
      <c r="G430" s="141"/>
      <c r="H430" s="141"/>
      <c r="I430" s="141"/>
      <c r="J430" s="138"/>
      <c r="K430" s="138"/>
      <c r="L430" s="138"/>
      <c r="M430" s="141"/>
      <c r="N430" s="142"/>
      <c r="O430" s="143"/>
      <c r="P430" s="144"/>
      <c r="Q430" s="144"/>
      <c r="R430" s="141"/>
      <c r="S430" s="142"/>
    </row>
    <row r="431" spans="2:19">
      <c r="B431" s="138"/>
      <c r="C431" s="139"/>
      <c r="D431" s="140"/>
      <c r="E431" s="140"/>
      <c r="F431" s="141"/>
      <c r="G431" s="141"/>
      <c r="H431" s="141"/>
      <c r="I431" s="141"/>
      <c r="J431" s="138"/>
      <c r="K431" s="138"/>
      <c r="L431" s="138"/>
      <c r="M431" s="141"/>
      <c r="N431" s="142"/>
      <c r="O431" s="143"/>
      <c r="P431" s="144"/>
      <c r="Q431" s="144"/>
      <c r="R431" s="141"/>
      <c r="S431" s="142"/>
    </row>
    <row r="432" spans="2:19">
      <c r="B432" s="138"/>
      <c r="C432" s="139"/>
      <c r="D432" s="140"/>
      <c r="E432" s="140"/>
      <c r="F432" s="141"/>
      <c r="G432" s="141"/>
      <c r="H432" s="141"/>
      <c r="I432" s="141"/>
      <c r="J432" s="138"/>
      <c r="K432" s="138"/>
      <c r="L432" s="138"/>
      <c r="M432" s="141"/>
      <c r="N432" s="142"/>
      <c r="O432" s="143"/>
      <c r="P432" s="144"/>
      <c r="Q432" s="144"/>
      <c r="R432" s="141"/>
      <c r="S432" s="142"/>
    </row>
    <row r="433" spans="2:19">
      <c r="B433" s="138"/>
      <c r="C433" s="139"/>
      <c r="D433" s="140"/>
      <c r="E433" s="140"/>
      <c r="F433" s="141"/>
      <c r="G433" s="141"/>
      <c r="H433" s="141"/>
      <c r="I433" s="141"/>
      <c r="J433" s="138"/>
      <c r="K433" s="138"/>
      <c r="L433" s="138"/>
      <c r="M433" s="141"/>
      <c r="N433" s="142"/>
      <c r="O433" s="143"/>
      <c r="P433" s="144"/>
      <c r="Q433" s="144"/>
      <c r="R433" s="141"/>
      <c r="S433" s="142"/>
    </row>
    <row r="434" spans="2:19">
      <c r="B434" s="138"/>
      <c r="C434" s="139"/>
      <c r="D434" s="140"/>
      <c r="E434" s="140"/>
      <c r="F434" s="141"/>
      <c r="G434" s="141"/>
      <c r="H434" s="141"/>
      <c r="I434" s="141"/>
      <c r="J434" s="138"/>
      <c r="K434" s="138"/>
      <c r="L434" s="138"/>
      <c r="M434" s="141"/>
      <c r="N434" s="142"/>
      <c r="O434" s="143"/>
      <c r="P434" s="144"/>
      <c r="Q434" s="144"/>
      <c r="R434" s="141"/>
      <c r="S434" s="142"/>
    </row>
    <row r="435" spans="2:19">
      <c r="B435" s="138"/>
      <c r="C435" s="139"/>
      <c r="D435" s="140"/>
      <c r="E435" s="140"/>
      <c r="F435" s="141"/>
      <c r="G435" s="141"/>
      <c r="H435" s="141"/>
      <c r="I435" s="141"/>
      <c r="J435" s="138"/>
      <c r="K435" s="138"/>
      <c r="L435" s="138"/>
      <c r="M435" s="141"/>
      <c r="N435" s="142"/>
      <c r="O435" s="143"/>
      <c r="P435" s="144"/>
      <c r="Q435" s="144"/>
      <c r="R435" s="141"/>
      <c r="S435" s="142"/>
    </row>
    <row r="436" spans="2:19">
      <c r="B436" s="138"/>
      <c r="C436" s="139"/>
      <c r="D436" s="140"/>
      <c r="E436" s="140"/>
      <c r="F436" s="141"/>
      <c r="G436" s="141"/>
      <c r="H436" s="141"/>
      <c r="I436" s="141"/>
      <c r="J436" s="138"/>
      <c r="K436" s="138"/>
      <c r="L436" s="138"/>
      <c r="M436" s="141"/>
      <c r="N436" s="142"/>
      <c r="O436" s="143"/>
      <c r="P436" s="144"/>
      <c r="Q436" s="144"/>
      <c r="R436" s="141"/>
      <c r="S436" s="142"/>
    </row>
    <row r="437" spans="2:19">
      <c r="B437" s="138"/>
      <c r="C437" s="139"/>
      <c r="D437" s="140"/>
      <c r="E437" s="140"/>
      <c r="F437" s="141"/>
      <c r="G437" s="141"/>
      <c r="H437" s="141"/>
      <c r="I437" s="141"/>
      <c r="J437" s="138"/>
      <c r="K437" s="138"/>
      <c r="L437" s="138"/>
      <c r="M437" s="141"/>
      <c r="N437" s="142"/>
      <c r="O437" s="143"/>
      <c r="P437" s="144"/>
      <c r="Q437" s="144"/>
      <c r="R437" s="141"/>
      <c r="S437" s="142"/>
    </row>
    <row r="438" spans="2:19">
      <c r="B438" s="138"/>
      <c r="C438" s="139"/>
      <c r="D438" s="140"/>
      <c r="E438" s="140"/>
      <c r="F438" s="141"/>
      <c r="G438" s="141"/>
      <c r="H438" s="141"/>
      <c r="I438" s="141"/>
      <c r="J438" s="138"/>
      <c r="K438" s="138"/>
      <c r="L438" s="138"/>
      <c r="M438" s="141"/>
      <c r="N438" s="142"/>
      <c r="O438" s="143"/>
      <c r="P438" s="144"/>
      <c r="Q438" s="144"/>
      <c r="R438" s="141"/>
      <c r="S438" s="142"/>
    </row>
    <row r="439" spans="2:19">
      <c r="B439" s="138"/>
      <c r="C439" s="139"/>
      <c r="D439" s="140"/>
      <c r="E439" s="140"/>
      <c r="F439" s="141"/>
      <c r="G439" s="141"/>
      <c r="H439" s="141"/>
      <c r="I439" s="141"/>
      <c r="J439" s="138"/>
      <c r="K439" s="138"/>
      <c r="L439" s="138"/>
      <c r="M439" s="141"/>
      <c r="N439" s="142"/>
      <c r="O439" s="143"/>
      <c r="P439" s="144"/>
      <c r="Q439" s="144"/>
      <c r="R439" s="141"/>
      <c r="S439" s="142"/>
    </row>
    <row r="440" spans="2:19">
      <c r="B440" s="138"/>
      <c r="C440" s="139"/>
      <c r="D440" s="140"/>
      <c r="E440" s="140"/>
      <c r="F440" s="141"/>
      <c r="G440" s="141"/>
      <c r="H440" s="141"/>
      <c r="I440" s="141"/>
      <c r="J440" s="138"/>
      <c r="K440" s="138"/>
      <c r="L440" s="138"/>
      <c r="M440" s="141"/>
      <c r="N440" s="142"/>
      <c r="O440" s="143"/>
      <c r="P440" s="144"/>
      <c r="Q440" s="144"/>
      <c r="R440" s="141"/>
      <c r="S440" s="142"/>
    </row>
    <row r="441" spans="2:19">
      <c r="B441" s="138"/>
      <c r="C441" s="139"/>
      <c r="D441" s="140"/>
      <c r="E441" s="140"/>
      <c r="F441" s="141"/>
      <c r="G441" s="141"/>
      <c r="H441" s="141"/>
      <c r="I441" s="141"/>
      <c r="J441" s="138"/>
      <c r="K441" s="138"/>
      <c r="L441" s="138"/>
      <c r="M441" s="141"/>
      <c r="N441" s="142"/>
      <c r="O441" s="143"/>
      <c r="P441" s="144"/>
      <c r="Q441" s="144"/>
      <c r="R441" s="141"/>
      <c r="S441" s="142"/>
    </row>
    <row r="442" spans="2:19">
      <c r="B442" s="138"/>
      <c r="C442" s="139"/>
      <c r="D442" s="140"/>
      <c r="E442" s="140"/>
      <c r="F442" s="141"/>
      <c r="G442" s="141"/>
      <c r="H442" s="141"/>
      <c r="I442" s="141"/>
      <c r="J442" s="138"/>
      <c r="K442" s="138"/>
      <c r="L442" s="138"/>
      <c r="M442" s="141"/>
      <c r="N442" s="142"/>
      <c r="O442" s="143"/>
      <c r="P442" s="144"/>
      <c r="Q442" s="144"/>
      <c r="R442" s="141"/>
      <c r="S442" s="142"/>
    </row>
    <row r="443" spans="2:19">
      <c r="B443" s="138"/>
      <c r="C443" s="139"/>
      <c r="D443" s="140"/>
      <c r="E443" s="140"/>
      <c r="F443" s="141"/>
      <c r="G443" s="141"/>
      <c r="H443" s="141"/>
      <c r="I443" s="141"/>
      <c r="J443" s="138"/>
      <c r="K443" s="138"/>
      <c r="L443" s="138"/>
      <c r="M443" s="141"/>
      <c r="N443" s="142"/>
      <c r="O443" s="143"/>
      <c r="P443" s="144"/>
      <c r="Q443" s="144"/>
      <c r="R443" s="141"/>
      <c r="S443" s="142"/>
    </row>
    <row r="444" spans="2:19">
      <c r="B444" s="138"/>
      <c r="C444" s="139"/>
      <c r="D444" s="140"/>
      <c r="E444" s="140"/>
      <c r="F444" s="141"/>
      <c r="G444" s="141"/>
      <c r="H444" s="141"/>
      <c r="I444" s="141"/>
      <c r="J444" s="138"/>
      <c r="K444" s="138"/>
      <c r="L444" s="138"/>
      <c r="M444" s="141"/>
      <c r="N444" s="142"/>
      <c r="O444" s="143"/>
      <c r="P444" s="144"/>
      <c r="Q444" s="144"/>
      <c r="R444" s="141"/>
      <c r="S444" s="142"/>
    </row>
    <row r="445" spans="2:19">
      <c r="B445" s="138"/>
      <c r="C445" s="139"/>
      <c r="D445" s="140"/>
      <c r="E445" s="140"/>
      <c r="F445" s="141"/>
      <c r="G445" s="141"/>
      <c r="H445" s="141"/>
      <c r="I445" s="141"/>
      <c r="J445" s="138"/>
      <c r="K445" s="138"/>
      <c r="L445" s="138"/>
      <c r="M445" s="141"/>
      <c r="N445" s="142"/>
      <c r="O445" s="143"/>
      <c r="P445" s="144"/>
      <c r="Q445" s="144"/>
      <c r="R445" s="141"/>
      <c r="S445" s="142"/>
    </row>
    <row r="446" spans="2:19">
      <c r="B446" s="138"/>
      <c r="C446" s="139"/>
      <c r="D446" s="140"/>
      <c r="E446" s="140"/>
      <c r="F446" s="141"/>
      <c r="G446" s="141"/>
      <c r="H446" s="141"/>
      <c r="I446" s="141"/>
      <c r="J446" s="138"/>
      <c r="K446" s="138"/>
      <c r="L446" s="138"/>
      <c r="M446" s="141"/>
      <c r="N446" s="142"/>
      <c r="O446" s="143"/>
      <c r="P446" s="144"/>
      <c r="Q446" s="144"/>
      <c r="R446" s="141"/>
      <c r="S446" s="142"/>
    </row>
    <row r="447" spans="2:19">
      <c r="B447" s="138"/>
      <c r="C447" s="139"/>
      <c r="D447" s="140"/>
      <c r="E447" s="140"/>
      <c r="F447" s="141"/>
      <c r="G447" s="141"/>
      <c r="H447" s="141"/>
      <c r="I447" s="141"/>
      <c r="J447" s="138"/>
      <c r="K447" s="138"/>
      <c r="L447" s="138"/>
      <c r="M447" s="141"/>
      <c r="N447" s="142"/>
      <c r="O447" s="143"/>
      <c r="P447" s="144"/>
      <c r="Q447" s="144"/>
      <c r="R447" s="141"/>
      <c r="S447" s="142"/>
    </row>
    <row r="448" spans="2:19">
      <c r="B448" s="138"/>
      <c r="C448" s="139"/>
      <c r="D448" s="140"/>
      <c r="E448" s="140"/>
      <c r="F448" s="141"/>
      <c r="G448" s="141"/>
      <c r="H448" s="141"/>
      <c r="I448" s="141"/>
      <c r="J448" s="138"/>
      <c r="K448" s="138"/>
      <c r="L448" s="138"/>
      <c r="M448" s="141"/>
      <c r="N448" s="142"/>
      <c r="O448" s="143"/>
      <c r="P448" s="144"/>
      <c r="Q448" s="144"/>
      <c r="R448" s="141"/>
      <c r="S448" s="142"/>
    </row>
    <row r="449" spans="2:19">
      <c r="B449" s="138"/>
      <c r="C449" s="139"/>
      <c r="D449" s="140"/>
      <c r="E449" s="140"/>
      <c r="F449" s="141"/>
      <c r="G449" s="141"/>
      <c r="H449" s="141"/>
      <c r="I449" s="141"/>
      <c r="J449" s="138"/>
      <c r="K449" s="138"/>
      <c r="L449" s="138"/>
      <c r="M449" s="141"/>
      <c r="N449" s="142"/>
      <c r="O449" s="143"/>
      <c r="P449" s="144"/>
      <c r="Q449" s="144"/>
      <c r="R449" s="141"/>
      <c r="S449" s="142"/>
    </row>
    <row r="450" spans="2:19">
      <c r="B450" s="138"/>
      <c r="C450" s="139"/>
      <c r="D450" s="140"/>
      <c r="E450" s="140"/>
      <c r="F450" s="141"/>
      <c r="G450" s="141"/>
      <c r="H450" s="141"/>
      <c r="I450" s="141"/>
      <c r="J450" s="138"/>
      <c r="K450" s="138"/>
      <c r="L450" s="138"/>
      <c r="M450" s="141"/>
      <c r="N450" s="142"/>
      <c r="O450" s="143"/>
      <c r="P450" s="144"/>
      <c r="Q450" s="144"/>
      <c r="R450" s="141"/>
      <c r="S450" s="142"/>
    </row>
    <row r="451" spans="2:19">
      <c r="B451" s="138"/>
      <c r="C451" s="139"/>
      <c r="D451" s="140"/>
      <c r="E451" s="140"/>
      <c r="F451" s="141"/>
      <c r="G451" s="141"/>
      <c r="H451" s="141"/>
      <c r="I451" s="141"/>
      <c r="J451" s="138"/>
      <c r="K451" s="138"/>
      <c r="L451" s="138"/>
      <c r="M451" s="141"/>
      <c r="N451" s="142"/>
      <c r="O451" s="143"/>
      <c r="P451" s="144"/>
      <c r="Q451" s="144"/>
      <c r="R451" s="141"/>
      <c r="S451" s="142"/>
    </row>
    <row r="452" spans="2:19">
      <c r="B452" s="138"/>
      <c r="C452" s="139"/>
      <c r="D452" s="140"/>
      <c r="E452" s="140"/>
      <c r="F452" s="141"/>
      <c r="G452" s="141"/>
      <c r="H452" s="141"/>
      <c r="I452" s="141"/>
      <c r="J452" s="138"/>
      <c r="K452" s="138"/>
      <c r="L452" s="138"/>
      <c r="M452" s="141"/>
      <c r="N452" s="142"/>
      <c r="O452" s="143"/>
      <c r="P452" s="144"/>
      <c r="Q452" s="144"/>
      <c r="R452" s="141"/>
      <c r="S452" s="142"/>
    </row>
    <row r="453" spans="2:19">
      <c r="B453" s="138"/>
      <c r="C453" s="139"/>
      <c r="D453" s="140"/>
      <c r="E453" s="140"/>
      <c r="F453" s="141"/>
      <c r="G453" s="141"/>
      <c r="H453" s="141"/>
      <c r="I453" s="141"/>
      <c r="J453" s="138"/>
      <c r="K453" s="138"/>
      <c r="L453" s="138"/>
      <c r="M453" s="141"/>
      <c r="N453" s="142"/>
      <c r="O453" s="143"/>
      <c r="P453" s="144"/>
      <c r="Q453" s="144"/>
      <c r="R453" s="141"/>
      <c r="S453" s="142"/>
    </row>
    <row r="454" spans="2:19">
      <c r="B454" s="138"/>
      <c r="C454" s="139"/>
      <c r="D454" s="140"/>
      <c r="E454" s="140"/>
      <c r="F454" s="141"/>
      <c r="G454" s="141"/>
      <c r="H454" s="141"/>
      <c r="I454" s="141"/>
      <c r="J454" s="138"/>
      <c r="K454" s="138"/>
      <c r="L454" s="138"/>
      <c r="M454" s="141"/>
      <c r="N454" s="142"/>
      <c r="O454" s="143"/>
      <c r="P454" s="144"/>
      <c r="Q454" s="144"/>
      <c r="R454" s="141"/>
      <c r="S454" s="142"/>
    </row>
    <row r="455" spans="2:19">
      <c r="B455" s="138"/>
      <c r="C455" s="139"/>
      <c r="D455" s="140"/>
      <c r="E455" s="140"/>
      <c r="F455" s="141"/>
      <c r="G455" s="141"/>
      <c r="H455" s="141"/>
      <c r="I455" s="141"/>
      <c r="J455" s="138"/>
      <c r="K455" s="138"/>
      <c r="L455" s="138"/>
      <c r="M455" s="141"/>
      <c r="N455" s="142"/>
      <c r="O455" s="143"/>
      <c r="P455" s="144"/>
      <c r="Q455" s="144"/>
      <c r="R455" s="141"/>
      <c r="S455" s="142"/>
    </row>
    <row r="456" spans="2:19">
      <c r="B456" s="138"/>
      <c r="C456" s="139"/>
      <c r="D456" s="140"/>
      <c r="E456" s="140"/>
      <c r="F456" s="141"/>
      <c r="G456" s="141"/>
      <c r="H456" s="141"/>
      <c r="I456" s="141"/>
      <c r="J456" s="138"/>
      <c r="K456" s="138"/>
      <c r="L456" s="138"/>
      <c r="M456" s="141"/>
      <c r="N456" s="142"/>
      <c r="O456" s="143"/>
      <c r="P456" s="144"/>
      <c r="Q456" s="144"/>
      <c r="R456" s="141"/>
      <c r="S456" s="142"/>
    </row>
    <row r="457" spans="2:19">
      <c r="B457" s="138"/>
      <c r="C457" s="139"/>
      <c r="D457" s="140"/>
      <c r="E457" s="140"/>
      <c r="F457" s="141"/>
      <c r="G457" s="141"/>
      <c r="H457" s="141"/>
      <c r="I457" s="141"/>
      <c r="J457" s="138"/>
      <c r="K457" s="138"/>
      <c r="L457" s="138"/>
      <c r="M457" s="141"/>
      <c r="N457" s="142"/>
      <c r="O457" s="143"/>
      <c r="P457" s="144"/>
      <c r="Q457" s="144"/>
      <c r="R457" s="141"/>
      <c r="S457" s="142"/>
    </row>
    <row r="458" spans="2:19">
      <c r="B458" s="138"/>
      <c r="C458" s="139"/>
      <c r="D458" s="140"/>
      <c r="E458" s="140"/>
      <c r="F458" s="141"/>
      <c r="G458" s="141"/>
      <c r="H458" s="141"/>
      <c r="I458" s="141"/>
      <c r="J458" s="138"/>
      <c r="K458" s="138"/>
      <c r="L458" s="138"/>
      <c r="M458" s="141"/>
      <c r="N458" s="142"/>
      <c r="O458" s="143"/>
      <c r="P458" s="144"/>
      <c r="Q458" s="144"/>
      <c r="R458" s="141"/>
      <c r="S458" s="142"/>
    </row>
    <row r="459" spans="2:19">
      <c r="B459" s="138"/>
      <c r="C459" s="139"/>
      <c r="D459" s="140"/>
      <c r="E459" s="140"/>
      <c r="F459" s="141"/>
      <c r="G459" s="141"/>
      <c r="H459" s="141"/>
      <c r="I459" s="141"/>
      <c r="J459" s="138"/>
      <c r="K459" s="138"/>
      <c r="L459" s="138"/>
      <c r="M459" s="141"/>
      <c r="N459" s="142"/>
      <c r="O459" s="143"/>
      <c r="P459" s="144"/>
      <c r="Q459" s="144"/>
      <c r="R459" s="141"/>
      <c r="S459" s="142"/>
    </row>
    <row r="460" spans="2:19">
      <c r="B460" s="138"/>
      <c r="C460" s="139"/>
      <c r="D460" s="140"/>
      <c r="E460" s="140"/>
      <c r="F460" s="141"/>
      <c r="G460" s="141"/>
      <c r="H460" s="141"/>
      <c r="I460" s="141"/>
      <c r="J460" s="138"/>
      <c r="K460" s="138"/>
      <c r="L460" s="138"/>
      <c r="M460" s="141"/>
      <c r="N460" s="142"/>
      <c r="O460" s="143"/>
      <c r="P460" s="144"/>
      <c r="Q460" s="144"/>
      <c r="R460" s="141"/>
      <c r="S460" s="142"/>
    </row>
    <row r="461" spans="2:19">
      <c r="B461" s="138"/>
      <c r="C461" s="139"/>
      <c r="D461" s="140"/>
      <c r="E461" s="140"/>
      <c r="F461" s="141"/>
      <c r="G461" s="141"/>
      <c r="H461" s="141"/>
      <c r="I461" s="141"/>
      <c r="J461" s="138"/>
      <c r="K461" s="138"/>
      <c r="L461" s="138"/>
      <c r="M461" s="141"/>
      <c r="N461" s="142"/>
      <c r="O461" s="143"/>
      <c r="P461" s="144"/>
      <c r="Q461" s="144"/>
      <c r="R461" s="141"/>
      <c r="S461" s="142"/>
    </row>
    <row r="462" spans="2:19">
      <c r="B462" s="138"/>
      <c r="C462" s="139"/>
      <c r="D462" s="140"/>
      <c r="E462" s="140"/>
      <c r="F462" s="141"/>
      <c r="G462" s="141"/>
      <c r="H462" s="141"/>
      <c r="I462" s="141"/>
      <c r="J462" s="138"/>
      <c r="K462" s="138"/>
      <c r="L462" s="138"/>
      <c r="M462" s="141"/>
      <c r="N462" s="142"/>
      <c r="O462" s="143"/>
      <c r="P462" s="144"/>
      <c r="Q462" s="144"/>
      <c r="R462" s="141"/>
      <c r="S462" s="142"/>
    </row>
    <row r="463" spans="2:19">
      <c r="B463" s="138"/>
      <c r="C463" s="139"/>
      <c r="D463" s="140"/>
      <c r="E463" s="140"/>
      <c r="F463" s="141"/>
      <c r="G463" s="141"/>
      <c r="H463" s="141"/>
      <c r="I463" s="141"/>
      <c r="J463" s="138"/>
      <c r="K463" s="138"/>
      <c r="L463" s="138"/>
      <c r="M463" s="141"/>
      <c r="N463" s="142"/>
      <c r="O463" s="143"/>
      <c r="P463" s="144"/>
      <c r="Q463" s="144"/>
      <c r="R463" s="141"/>
      <c r="S463" s="142"/>
    </row>
    <row r="464" spans="2:19">
      <c r="B464" s="138"/>
      <c r="C464" s="139"/>
      <c r="D464" s="140"/>
      <c r="E464" s="140"/>
      <c r="F464" s="141"/>
      <c r="G464" s="141"/>
      <c r="H464" s="141"/>
      <c r="I464" s="141"/>
      <c r="J464" s="138"/>
      <c r="K464" s="138"/>
      <c r="L464" s="138"/>
      <c r="M464" s="141"/>
      <c r="N464" s="142"/>
      <c r="O464" s="143"/>
      <c r="P464" s="144"/>
      <c r="Q464" s="144"/>
      <c r="R464" s="141"/>
      <c r="S464" s="142"/>
    </row>
    <row r="465" spans="2:19">
      <c r="B465" s="138"/>
      <c r="C465" s="139"/>
      <c r="D465" s="140"/>
      <c r="E465" s="140"/>
      <c r="F465" s="141"/>
      <c r="G465" s="141"/>
      <c r="H465" s="141"/>
      <c r="I465" s="141"/>
      <c r="J465" s="138"/>
      <c r="K465" s="138"/>
      <c r="L465" s="138"/>
      <c r="M465" s="141"/>
      <c r="N465" s="142"/>
      <c r="O465" s="143"/>
      <c r="P465" s="144"/>
      <c r="Q465" s="144"/>
      <c r="R465" s="141"/>
      <c r="S465" s="142"/>
    </row>
    <row r="466" spans="2:19">
      <c r="B466" s="138"/>
      <c r="C466" s="139"/>
      <c r="D466" s="140"/>
      <c r="E466" s="140"/>
      <c r="F466" s="141"/>
      <c r="G466" s="141"/>
      <c r="H466" s="141"/>
      <c r="I466" s="141"/>
      <c r="J466" s="138"/>
      <c r="K466" s="138"/>
      <c r="L466" s="138"/>
      <c r="M466" s="141"/>
      <c r="N466" s="142"/>
      <c r="O466" s="143"/>
      <c r="P466" s="144"/>
      <c r="Q466" s="144"/>
      <c r="R466" s="141"/>
      <c r="S466" s="142"/>
    </row>
    <row r="467" spans="2:19">
      <c r="B467" s="138"/>
      <c r="C467" s="139"/>
      <c r="D467" s="140"/>
      <c r="E467" s="140"/>
      <c r="F467" s="141"/>
      <c r="G467" s="141"/>
      <c r="H467" s="141"/>
      <c r="I467" s="141"/>
      <c r="J467" s="138"/>
      <c r="K467" s="138"/>
      <c r="L467" s="138"/>
      <c r="M467" s="141"/>
      <c r="N467" s="142"/>
      <c r="O467" s="143"/>
      <c r="P467" s="144"/>
      <c r="Q467" s="144"/>
      <c r="R467" s="141"/>
      <c r="S467" s="142"/>
    </row>
    <row r="468" spans="2:19">
      <c r="B468" s="138"/>
      <c r="C468" s="139"/>
      <c r="D468" s="140"/>
      <c r="E468" s="140"/>
      <c r="F468" s="141"/>
      <c r="G468" s="141"/>
      <c r="H468" s="141"/>
      <c r="I468" s="141"/>
      <c r="J468" s="138"/>
      <c r="K468" s="138"/>
      <c r="L468" s="138"/>
      <c r="M468" s="141"/>
      <c r="N468" s="142"/>
      <c r="O468" s="143"/>
      <c r="P468" s="144"/>
      <c r="Q468" s="144"/>
      <c r="R468" s="141"/>
      <c r="S468" s="142"/>
    </row>
    <row r="469" spans="2:19">
      <c r="B469" s="138"/>
      <c r="C469" s="139"/>
      <c r="D469" s="140"/>
      <c r="E469" s="140"/>
      <c r="F469" s="141"/>
      <c r="G469" s="141"/>
      <c r="H469" s="141"/>
      <c r="I469" s="141"/>
      <c r="J469" s="138"/>
      <c r="K469" s="138"/>
      <c r="L469" s="138"/>
      <c r="M469" s="141"/>
      <c r="N469" s="142"/>
      <c r="O469" s="143"/>
      <c r="P469" s="144"/>
      <c r="Q469" s="144"/>
      <c r="R469" s="141"/>
      <c r="S469" s="142"/>
    </row>
    <row r="470" spans="2:19">
      <c r="B470" s="138"/>
      <c r="C470" s="139"/>
      <c r="D470" s="140"/>
      <c r="E470" s="140"/>
      <c r="F470" s="141"/>
      <c r="G470" s="141"/>
      <c r="H470" s="141"/>
      <c r="I470" s="141"/>
      <c r="J470" s="138"/>
      <c r="K470" s="138"/>
      <c r="L470" s="138"/>
      <c r="M470" s="141"/>
      <c r="N470" s="142"/>
      <c r="O470" s="143"/>
      <c r="P470" s="144"/>
      <c r="Q470" s="144"/>
      <c r="R470" s="141"/>
      <c r="S470" s="142"/>
    </row>
    <row r="471" spans="2:19">
      <c r="B471" s="138"/>
      <c r="C471" s="139"/>
      <c r="D471" s="140"/>
      <c r="E471" s="140"/>
      <c r="F471" s="141"/>
      <c r="G471" s="141"/>
      <c r="H471" s="141"/>
      <c r="I471" s="141"/>
      <c r="J471" s="138"/>
      <c r="K471" s="138"/>
      <c r="L471" s="138"/>
      <c r="M471" s="141"/>
      <c r="N471" s="142"/>
      <c r="O471" s="143"/>
      <c r="P471" s="144"/>
      <c r="Q471" s="144"/>
      <c r="R471" s="141"/>
      <c r="S471" s="142"/>
    </row>
    <row r="472" spans="2:19">
      <c r="B472" s="138"/>
      <c r="C472" s="139"/>
      <c r="D472" s="140"/>
      <c r="E472" s="140"/>
      <c r="F472" s="141"/>
      <c r="G472" s="141"/>
      <c r="H472" s="141"/>
      <c r="I472" s="141"/>
      <c r="J472" s="138"/>
      <c r="K472" s="138"/>
      <c r="L472" s="138"/>
      <c r="M472" s="141"/>
      <c r="N472" s="142"/>
      <c r="O472" s="143"/>
      <c r="P472" s="144"/>
      <c r="Q472" s="144"/>
      <c r="R472" s="141"/>
      <c r="S472" s="142"/>
    </row>
    <row r="473" spans="2:19">
      <c r="B473" s="138"/>
      <c r="C473" s="139"/>
      <c r="D473" s="140"/>
      <c r="E473" s="140"/>
      <c r="F473" s="141"/>
      <c r="G473" s="141"/>
      <c r="H473" s="141"/>
      <c r="I473" s="141"/>
      <c r="J473" s="138"/>
      <c r="K473" s="138"/>
      <c r="L473" s="138"/>
      <c r="M473" s="141"/>
      <c r="N473" s="142"/>
      <c r="O473" s="143"/>
      <c r="P473" s="144"/>
      <c r="Q473" s="144"/>
      <c r="R473" s="141"/>
      <c r="S473" s="142"/>
    </row>
    <row r="474" spans="2:19">
      <c r="B474" s="138"/>
      <c r="C474" s="139"/>
      <c r="D474" s="140"/>
      <c r="E474" s="140"/>
      <c r="F474" s="141"/>
      <c r="G474" s="141"/>
      <c r="H474" s="141"/>
      <c r="I474" s="141"/>
      <c r="J474" s="138"/>
      <c r="K474" s="138"/>
      <c r="L474" s="138"/>
      <c r="M474" s="141"/>
      <c r="N474" s="142"/>
      <c r="O474" s="143"/>
      <c r="P474" s="144"/>
      <c r="Q474" s="144"/>
      <c r="R474" s="141"/>
      <c r="S474" s="142"/>
    </row>
    <row r="475" spans="2:19">
      <c r="B475" s="138"/>
      <c r="C475" s="139"/>
      <c r="D475" s="140"/>
      <c r="E475" s="140"/>
      <c r="F475" s="141"/>
      <c r="G475" s="141"/>
      <c r="H475" s="141"/>
      <c r="I475" s="141"/>
      <c r="J475" s="138"/>
      <c r="K475" s="138"/>
      <c r="L475" s="138"/>
      <c r="M475" s="141"/>
      <c r="N475" s="142"/>
      <c r="O475" s="143"/>
      <c r="P475" s="144"/>
      <c r="Q475" s="144"/>
      <c r="R475" s="141"/>
      <c r="S475" s="142"/>
    </row>
    <row r="476" spans="2:19">
      <c r="B476" s="138"/>
      <c r="C476" s="139"/>
      <c r="D476" s="140"/>
      <c r="E476" s="140"/>
      <c r="F476" s="141"/>
      <c r="G476" s="141"/>
      <c r="H476" s="141"/>
      <c r="I476" s="141"/>
      <c r="J476" s="138"/>
      <c r="K476" s="138"/>
      <c r="L476" s="138"/>
      <c r="M476" s="141"/>
      <c r="N476" s="142"/>
      <c r="O476" s="143"/>
      <c r="P476" s="144"/>
      <c r="Q476" s="144"/>
      <c r="R476" s="141"/>
      <c r="S476" s="142"/>
    </row>
    <row r="477" spans="2:19">
      <c r="B477" s="138"/>
      <c r="C477" s="139"/>
      <c r="D477" s="140"/>
      <c r="E477" s="140"/>
      <c r="F477" s="141"/>
      <c r="G477" s="141"/>
      <c r="H477" s="141"/>
      <c r="I477" s="141"/>
      <c r="J477" s="138"/>
      <c r="K477" s="138"/>
      <c r="L477" s="138"/>
      <c r="M477" s="141"/>
      <c r="N477" s="142"/>
      <c r="O477" s="143"/>
      <c r="P477" s="144"/>
      <c r="Q477" s="144"/>
      <c r="R477" s="141"/>
      <c r="S477" s="142"/>
    </row>
    <row r="478" spans="2:19">
      <c r="B478" s="138"/>
      <c r="C478" s="139"/>
      <c r="D478" s="140"/>
      <c r="E478" s="140"/>
      <c r="F478" s="141"/>
      <c r="G478" s="141"/>
      <c r="H478" s="141"/>
      <c r="I478" s="141"/>
      <c r="J478" s="138"/>
      <c r="K478" s="138"/>
      <c r="L478" s="138"/>
      <c r="M478" s="141"/>
      <c r="N478" s="142"/>
      <c r="O478" s="143"/>
      <c r="P478" s="144"/>
      <c r="Q478" s="144"/>
      <c r="R478" s="141"/>
      <c r="S478" s="142"/>
    </row>
    <row r="479" spans="2:19">
      <c r="B479" s="138"/>
      <c r="C479" s="139"/>
      <c r="D479" s="140"/>
      <c r="E479" s="140"/>
      <c r="F479" s="141"/>
      <c r="G479" s="141"/>
      <c r="H479" s="141"/>
      <c r="I479" s="141"/>
      <c r="J479" s="138"/>
      <c r="K479" s="138"/>
      <c r="L479" s="138"/>
      <c r="M479" s="141"/>
      <c r="N479" s="142"/>
      <c r="O479" s="143"/>
      <c r="P479" s="144"/>
      <c r="Q479" s="144"/>
      <c r="R479" s="141"/>
      <c r="S479" s="142"/>
    </row>
    <row r="480" spans="2:19">
      <c r="B480" s="138"/>
      <c r="C480" s="139"/>
      <c r="D480" s="140"/>
      <c r="E480" s="140"/>
      <c r="F480" s="141"/>
      <c r="G480" s="141"/>
      <c r="H480" s="141"/>
      <c r="I480" s="141"/>
      <c r="J480" s="138"/>
      <c r="K480" s="138"/>
      <c r="L480" s="138"/>
      <c r="M480" s="141"/>
      <c r="N480" s="142"/>
      <c r="O480" s="143"/>
      <c r="P480" s="144"/>
      <c r="Q480" s="144"/>
      <c r="R480" s="141"/>
      <c r="S480" s="142"/>
    </row>
    <row r="481" spans="2:19">
      <c r="B481" s="138"/>
      <c r="C481" s="139"/>
      <c r="D481" s="140"/>
      <c r="E481" s="140"/>
      <c r="F481" s="141"/>
      <c r="G481" s="141"/>
      <c r="H481" s="141"/>
      <c r="I481" s="141"/>
      <c r="J481" s="138"/>
      <c r="K481" s="138"/>
      <c r="L481" s="138"/>
      <c r="M481" s="141"/>
      <c r="N481" s="142"/>
      <c r="O481" s="143"/>
      <c r="P481" s="144"/>
      <c r="Q481" s="144"/>
      <c r="R481" s="141"/>
      <c r="S481" s="142"/>
    </row>
    <row r="482" spans="2:19">
      <c r="B482" s="138"/>
      <c r="C482" s="139"/>
      <c r="D482" s="140"/>
      <c r="E482" s="140"/>
      <c r="F482" s="141"/>
      <c r="G482" s="141"/>
      <c r="H482" s="141"/>
      <c r="I482" s="141"/>
      <c r="J482" s="138"/>
      <c r="K482" s="138"/>
      <c r="L482" s="138"/>
      <c r="M482" s="141"/>
      <c r="N482" s="142"/>
      <c r="O482" s="143"/>
      <c r="P482" s="144"/>
      <c r="Q482" s="144"/>
      <c r="R482" s="141"/>
      <c r="S482" s="142"/>
    </row>
    <row r="483" spans="2:19">
      <c r="B483" s="138"/>
      <c r="C483" s="139"/>
      <c r="D483" s="140"/>
      <c r="E483" s="140"/>
      <c r="F483" s="141"/>
      <c r="G483" s="141"/>
      <c r="H483" s="141"/>
      <c r="I483" s="141"/>
      <c r="J483" s="138"/>
      <c r="K483" s="138"/>
      <c r="L483" s="138"/>
      <c r="M483" s="141"/>
      <c r="N483" s="142"/>
      <c r="O483" s="143"/>
      <c r="P483" s="144"/>
      <c r="Q483" s="144"/>
      <c r="R483" s="141"/>
      <c r="S483" s="142"/>
    </row>
    <row r="484" spans="2:19">
      <c r="B484" s="138"/>
      <c r="C484" s="139"/>
      <c r="D484" s="140"/>
      <c r="E484" s="140"/>
      <c r="F484" s="141"/>
      <c r="G484" s="141"/>
      <c r="H484" s="141"/>
      <c r="I484" s="141"/>
      <c r="J484" s="138"/>
      <c r="K484" s="138"/>
      <c r="L484" s="138"/>
      <c r="M484" s="141"/>
      <c r="N484" s="142"/>
      <c r="O484" s="143"/>
      <c r="P484" s="144"/>
      <c r="Q484" s="144"/>
      <c r="R484" s="141"/>
      <c r="S484" s="142"/>
    </row>
    <row r="485" spans="2:19">
      <c r="B485" s="138"/>
      <c r="C485" s="139"/>
      <c r="D485" s="140"/>
      <c r="E485" s="140"/>
      <c r="F485" s="141"/>
      <c r="G485" s="141"/>
      <c r="H485" s="141"/>
      <c r="I485" s="141"/>
      <c r="J485" s="138"/>
      <c r="K485" s="138"/>
      <c r="L485" s="138"/>
      <c r="M485" s="141"/>
      <c r="N485" s="142"/>
      <c r="O485" s="143"/>
      <c r="P485" s="144"/>
      <c r="Q485" s="144"/>
      <c r="R485" s="141"/>
      <c r="S485" s="142"/>
    </row>
    <row r="486" spans="2:19">
      <c r="B486" s="138"/>
      <c r="C486" s="139"/>
      <c r="D486" s="140"/>
      <c r="E486" s="140"/>
      <c r="F486" s="141"/>
      <c r="G486" s="141"/>
      <c r="H486" s="141"/>
      <c r="I486" s="141"/>
      <c r="J486" s="138"/>
      <c r="K486" s="138"/>
      <c r="L486" s="138"/>
      <c r="M486" s="141"/>
      <c r="N486" s="142"/>
      <c r="O486" s="143"/>
      <c r="P486" s="144"/>
      <c r="Q486" s="144"/>
      <c r="R486" s="141"/>
      <c r="S486" s="142"/>
    </row>
    <row r="487" spans="2:19">
      <c r="B487" s="138"/>
      <c r="C487" s="139"/>
      <c r="D487" s="140"/>
      <c r="E487" s="140"/>
      <c r="F487" s="141"/>
      <c r="G487" s="141"/>
      <c r="H487" s="141"/>
      <c r="I487" s="141"/>
      <c r="J487" s="138"/>
      <c r="K487" s="138"/>
      <c r="L487" s="138"/>
      <c r="M487" s="141"/>
      <c r="N487" s="142"/>
      <c r="O487" s="143"/>
      <c r="P487" s="144"/>
      <c r="Q487" s="144"/>
      <c r="R487" s="141"/>
      <c r="S487" s="142"/>
    </row>
    <row r="488" spans="2:19">
      <c r="B488" s="138"/>
      <c r="C488" s="139"/>
      <c r="D488" s="140"/>
      <c r="E488" s="140"/>
      <c r="F488" s="141"/>
      <c r="G488" s="141"/>
      <c r="H488" s="141"/>
      <c r="I488" s="141"/>
      <c r="J488" s="138"/>
      <c r="K488" s="138"/>
      <c r="L488" s="138"/>
      <c r="M488" s="141"/>
      <c r="N488" s="142"/>
      <c r="O488" s="143"/>
      <c r="P488" s="144"/>
      <c r="Q488" s="144"/>
      <c r="R488" s="141"/>
      <c r="S488" s="142"/>
    </row>
    <row r="489" spans="2:19">
      <c r="B489" s="138"/>
      <c r="C489" s="139"/>
      <c r="D489" s="140"/>
      <c r="E489" s="140"/>
      <c r="F489" s="141"/>
      <c r="G489" s="141"/>
      <c r="H489" s="141"/>
      <c r="I489" s="141"/>
      <c r="J489" s="138"/>
      <c r="K489" s="138"/>
      <c r="L489" s="138"/>
      <c r="M489" s="141"/>
      <c r="N489" s="142"/>
      <c r="O489" s="143"/>
      <c r="P489" s="144"/>
      <c r="Q489" s="144"/>
      <c r="R489" s="141"/>
      <c r="S489" s="142"/>
    </row>
    <row r="490" spans="2:19">
      <c r="B490" s="138"/>
      <c r="C490" s="139"/>
      <c r="D490" s="140"/>
      <c r="E490" s="140"/>
      <c r="F490" s="141"/>
      <c r="G490" s="141"/>
      <c r="H490" s="141"/>
      <c r="I490" s="141"/>
      <c r="J490" s="138"/>
      <c r="K490" s="138"/>
      <c r="L490" s="138"/>
      <c r="M490" s="141"/>
      <c r="N490" s="142"/>
      <c r="O490" s="143"/>
      <c r="P490" s="144"/>
      <c r="Q490" s="144"/>
      <c r="R490" s="141"/>
      <c r="S490" s="142"/>
    </row>
    <row r="491" spans="2:19">
      <c r="B491" s="138"/>
      <c r="C491" s="139"/>
      <c r="D491" s="140"/>
      <c r="E491" s="140"/>
      <c r="F491" s="141"/>
      <c r="G491" s="141"/>
      <c r="H491" s="141"/>
      <c r="I491" s="141"/>
      <c r="J491" s="138"/>
      <c r="K491" s="138"/>
      <c r="L491" s="138"/>
      <c r="M491" s="141"/>
      <c r="N491" s="142"/>
      <c r="O491" s="143"/>
      <c r="P491" s="144"/>
      <c r="Q491" s="144"/>
      <c r="R491" s="141"/>
      <c r="S491" s="142"/>
    </row>
    <row r="492" spans="2:19">
      <c r="B492" s="138"/>
      <c r="C492" s="139"/>
      <c r="D492" s="140"/>
      <c r="E492" s="140"/>
      <c r="F492" s="141"/>
      <c r="G492" s="141"/>
      <c r="H492" s="141"/>
      <c r="I492" s="141"/>
      <c r="J492" s="138"/>
      <c r="K492" s="138"/>
      <c r="L492" s="138"/>
      <c r="M492" s="141"/>
      <c r="N492" s="142"/>
      <c r="O492" s="143"/>
      <c r="P492" s="144"/>
      <c r="Q492" s="144"/>
      <c r="R492" s="141"/>
      <c r="S492" s="142"/>
    </row>
    <row r="493" spans="2:19">
      <c r="B493" s="138"/>
      <c r="C493" s="139"/>
      <c r="D493" s="140"/>
      <c r="E493" s="140"/>
      <c r="F493" s="141"/>
      <c r="G493" s="141"/>
      <c r="H493" s="141"/>
      <c r="I493" s="141"/>
      <c r="J493" s="138"/>
      <c r="K493" s="138"/>
      <c r="L493" s="138"/>
      <c r="M493" s="141"/>
      <c r="N493" s="142"/>
      <c r="O493" s="143"/>
      <c r="P493" s="144"/>
      <c r="Q493" s="144"/>
      <c r="R493" s="141"/>
      <c r="S493" s="142"/>
    </row>
    <row r="494" spans="2:19">
      <c r="B494" s="138"/>
      <c r="C494" s="139"/>
      <c r="D494" s="140"/>
      <c r="E494" s="140"/>
      <c r="F494" s="141"/>
      <c r="G494" s="141"/>
      <c r="H494" s="141"/>
      <c r="I494" s="141"/>
      <c r="J494" s="138"/>
      <c r="K494" s="138"/>
      <c r="L494" s="138"/>
      <c r="M494" s="141"/>
      <c r="N494" s="142"/>
      <c r="O494" s="143"/>
      <c r="P494" s="144"/>
      <c r="Q494" s="144"/>
      <c r="R494" s="141"/>
      <c r="S494" s="142"/>
    </row>
    <row r="495" spans="2:19">
      <c r="B495" s="138"/>
      <c r="C495" s="139"/>
      <c r="D495" s="140"/>
      <c r="E495" s="140"/>
      <c r="F495" s="141"/>
      <c r="G495" s="141"/>
      <c r="H495" s="141"/>
      <c r="I495" s="141"/>
      <c r="J495" s="138"/>
      <c r="K495" s="138"/>
      <c r="L495" s="138"/>
      <c r="M495" s="141"/>
      <c r="N495" s="142"/>
      <c r="O495" s="143"/>
      <c r="P495" s="144"/>
      <c r="Q495" s="144"/>
      <c r="R495" s="141"/>
      <c r="S495" s="142"/>
    </row>
    <row r="496" spans="2:19">
      <c r="B496" s="138"/>
      <c r="C496" s="139"/>
      <c r="D496" s="140"/>
      <c r="E496" s="140"/>
      <c r="F496" s="141"/>
      <c r="G496" s="141"/>
      <c r="H496" s="141"/>
      <c r="I496" s="141"/>
      <c r="J496" s="138"/>
      <c r="K496" s="138"/>
      <c r="L496" s="138"/>
      <c r="M496" s="141"/>
      <c r="N496" s="142"/>
      <c r="O496" s="143"/>
      <c r="P496" s="144"/>
      <c r="Q496" s="144"/>
      <c r="R496" s="141"/>
      <c r="S496" s="142"/>
    </row>
    <row r="497" spans="2:19">
      <c r="B497" s="138"/>
      <c r="C497" s="139"/>
      <c r="D497" s="140"/>
      <c r="E497" s="140"/>
      <c r="F497" s="141"/>
      <c r="G497" s="141"/>
      <c r="H497" s="141"/>
      <c r="I497" s="141"/>
      <c r="J497" s="138"/>
      <c r="K497" s="138"/>
      <c r="L497" s="138"/>
      <c r="M497" s="141"/>
      <c r="N497" s="142"/>
      <c r="O497" s="143"/>
      <c r="P497" s="144"/>
      <c r="Q497" s="144"/>
      <c r="R497" s="141"/>
      <c r="S497" s="142"/>
    </row>
    <row r="498" spans="2:19">
      <c r="B498" s="138"/>
      <c r="C498" s="139"/>
      <c r="D498" s="140"/>
      <c r="E498" s="140"/>
      <c r="F498" s="141"/>
      <c r="G498" s="141"/>
      <c r="H498" s="141"/>
      <c r="I498" s="141"/>
      <c r="J498" s="138"/>
      <c r="K498" s="138"/>
      <c r="L498" s="138"/>
      <c r="M498" s="141"/>
      <c r="N498" s="142"/>
      <c r="O498" s="143"/>
      <c r="P498" s="144"/>
      <c r="Q498" s="144"/>
      <c r="R498" s="141"/>
      <c r="S498" s="142"/>
    </row>
    <row r="499" spans="2:19">
      <c r="B499" s="138"/>
      <c r="C499" s="139"/>
      <c r="D499" s="140"/>
      <c r="E499" s="140"/>
      <c r="F499" s="141"/>
      <c r="G499" s="141"/>
      <c r="H499" s="141"/>
      <c r="I499" s="141"/>
      <c r="J499" s="138"/>
      <c r="K499" s="138"/>
      <c r="L499" s="138"/>
      <c r="M499" s="141"/>
      <c r="N499" s="142"/>
      <c r="O499" s="143"/>
      <c r="P499" s="144"/>
      <c r="Q499" s="144"/>
      <c r="R499" s="141"/>
      <c r="S499" s="142"/>
    </row>
    <row r="500" spans="2:19">
      <c r="B500" s="138"/>
      <c r="C500" s="139"/>
      <c r="D500" s="140"/>
      <c r="E500" s="140"/>
      <c r="F500" s="141"/>
      <c r="G500" s="141"/>
      <c r="H500" s="141"/>
      <c r="I500" s="141"/>
      <c r="J500" s="138"/>
      <c r="K500" s="138"/>
      <c r="L500" s="138"/>
      <c r="M500" s="141"/>
      <c r="N500" s="142"/>
      <c r="O500" s="143"/>
      <c r="P500" s="144"/>
      <c r="Q500" s="144"/>
      <c r="R500" s="141"/>
      <c r="S500" s="142"/>
    </row>
    <row r="501" spans="2:19">
      <c r="B501" s="138"/>
      <c r="C501" s="139"/>
      <c r="D501" s="140"/>
      <c r="E501" s="140"/>
      <c r="F501" s="141"/>
      <c r="G501" s="141"/>
      <c r="H501" s="141"/>
      <c r="I501" s="141"/>
      <c r="J501" s="138"/>
      <c r="K501" s="138"/>
      <c r="L501" s="138"/>
      <c r="M501" s="141"/>
      <c r="N501" s="142"/>
      <c r="O501" s="143"/>
      <c r="P501" s="144"/>
      <c r="Q501" s="144"/>
      <c r="R501" s="141"/>
      <c r="S501" s="142"/>
    </row>
    <row r="502" spans="2:19">
      <c r="B502" s="138"/>
      <c r="C502" s="139"/>
      <c r="D502" s="140"/>
      <c r="E502" s="140"/>
      <c r="F502" s="141"/>
      <c r="G502" s="141"/>
      <c r="H502" s="141"/>
      <c r="I502" s="141"/>
      <c r="J502" s="138"/>
      <c r="K502" s="138"/>
      <c r="L502" s="138"/>
      <c r="M502" s="141"/>
      <c r="N502" s="142"/>
      <c r="O502" s="143"/>
      <c r="P502" s="144"/>
      <c r="Q502" s="144"/>
      <c r="R502" s="141"/>
      <c r="S502" s="142"/>
    </row>
    <row r="503" spans="2:19">
      <c r="B503" s="138"/>
      <c r="C503" s="139"/>
      <c r="D503" s="140"/>
      <c r="E503" s="140"/>
      <c r="F503" s="141"/>
      <c r="G503" s="141"/>
      <c r="H503" s="141"/>
      <c r="I503" s="141"/>
      <c r="J503" s="138"/>
      <c r="K503" s="138"/>
      <c r="L503" s="138"/>
      <c r="M503" s="141"/>
      <c r="N503" s="142"/>
      <c r="O503" s="143"/>
      <c r="P503" s="144"/>
      <c r="Q503" s="144"/>
      <c r="R503" s="141"/>
      <c r="S503" s="142"/>
    </row>
    <row r="504" spans="2:19">
      <c r="B504" s="138"/>
      <c r="C504" s="139"/>
      <c r="D504" s="140"/>
      <c r="E504" s="140"/>
      <c r="F504" s="141"/>
      <c r="G504" s="141"/>
      <c r="H504" s="141"/>
      <c r="I504" s="141"/>
      <c r="J504" s="138"/>
      <c r="K504" s="138"/>
      <c r="L504" s="138"/>
      <c r="M504" s="141"/>
      <c r="N504" s="142"/>
      <c r="O504" s="143"/>
      <c r="P504" s="144"/>
      <c r="Q504" s="144"/>
      <c r="R504" s="141"/>
      <c r="S504" s="142"/>
    </row>
    <row r="505" spans="2:19">
      <c r="B505" s="138"/>
      <c r="C505" s="139"/>
      <c r="D505" s="140"/>
      <c r="E505" s="140"/>
      <c r="F505" s="141"/>
      <c r="G505" s="141"/>
      <c r="H505" s="141"/>
      <c r="I505" s="141"/>
      <c r="J505" s="138"/>
      <c r="K505" s="138"/>
      <c r="L505" s="138"/>
      <c r="M505" s="141"/>
      <c r="N505" s="142"/>
      <c r="O505" s="143"/>
      <c r="P505" s="144"/>
      <c r="Q505" s="144"/>
      <c r="R505" s="141"/>
      <c r="S505" s="142"/>
    </row>
    <row r="506" spans="2:19">
      <c r="B506" s="138"/>
      <c r="C506" s="139"/>
      <c r="D506" s="140"/>
      <c r="E506" s="140"/>
      <c r="F506" s="141"/>
      <c r="G506" s="141"/>
      <c r="H506" s="141"/>
      <c r="I506" s="141"/>
      <c r="J506" s="138"/>
      <c r="K506" s="138"/>
      <c r="L506" s="138"/>
      <c r="M506" s="141"/>
      <c r="N506" s="142"/>
      <c r="O506" s="143"/>
      <c r="P506" s="144"/>
      <c r="Q506" s="144"/>
      <c r="R506" s="141"/>
      <c r="S506" s="142"/>
    </row>
    <row r="507" spans="2:19">
      <c r="B507" s="138"/>
      <c r="C507" s="139"/>
      <c r="D507" s="140"/>
      <c r="E507" s="140"/>
      <c r="F507" s="141"/>
      <c r="G507" s="141"/>
      <c r="H507" s="141"/>
      <c r="I507" s="141"/>
      <c r="J507" s="138"/>
      <c r="K507" s="138"/>
      <c r="L507" s="138"/>
      <c r="M507" s="141"/>
      <c r="N507" s="142"/>
      <c r="O507" s="143"/>
      <c r="P507" s="144"/>
      <c r="Q507" s="144"/>
      <c r="R507" s="141"/>
      <c r="S507" s="142"/>
    </row>
    <row r="508" spans="2:19">
      <c r="B508" s="138"/>
      <c r="C508" s="139"/>
      <c r="D508" s="140"/>
      <c r="E508" s="140"/>
      <c r="F508" s="141"/>
      <c r="G508" s="141"/>
      <c r="H508" s="141"/>
      <c r="I508" s="141"/>
      <c r="J508" s="138"/>
      <c r="K508" s="138"/>
      <c r="L508" s="138"/>
      <c r="M508" s="141"/>
      <c r="N508" s="142"/>
      <c r="O508" s="143"/>
      <c r="P508" s="144"/>
      <c r="Q508" s="144"/>
      <c r="R508" s="141"/>
      <c r="S508" s="142"/>
    </row>
    <row r="509" spans="2:19">
      <c r="B509" s="138"/>
      <c r="C509" s="139"/>
      <c r="D509" s="140"/>
      <c r="E509" s="140"/>
      <c r="F509" s="141"/>
      <c r="G509" s="141"/>
      <c r="H509" s="141"/>
      <c r="I509" s="141"/>
      <c r="J509" s="138"/>
      <c r="K509" s="138"/>
      <c r="L509" s="138"/>
      <c r="M509" s="141"/>
      <c r="N509" s="142"/>
      <c r="O509" s="143"/>
      <c r="P509" s="144"/>
      <c r="Q509" s="144"/>
      <c r="R509" s="141"/>
      <c r="S509" s="142"/>
    </row>
    <row r="510" spans="2:19">
      <c r="B510" s="138"/>
      <c r="C510" s="139"/>
      <c r="D510" s="140"/>
      <c r="E510" s="140"/>
      <c r="F510" s="141"/>
      <c r="G510" s="141"/>
      <c r="H510" s="141"/>
      <c r="I510" s="141"/>
      <c r="J510" s="138"/>
      <c r="K510" s="138"/>
      <c r="L510" s="138"/>
      <c r="M510" s="141"/>
      <c r="N510" s="142"/>
      <c r="O510" s="143"/>
      <c r="P510" s="144"/>
      <c r="Q510" s="144"/>
      <c r="R510" s="141"/>
      <c r="S510" s="142"/>
    </row>
    <row r="511" spans="2:19">
      <c r="B511" s="138"/>
      <c r="C511" s="139"/>
      <c r="D511" s="140"/>
      <c r="E511" s="140"/>
      <c r="F511" s="141"/>
      <c r="G511" s="141"/>
      <c r="H511" s="141"/>
      <c r="I511" s="141"/>
      <c r="J511" s="138"/>
      <c r="K511" s="138"/>
      <c r="L511" s="138"/>
      <c r="M511" s="141"/>
      <c r="N511" s="142"/>
      <c r="O511" s="143"/>
      <c r="P511" s="144"/>
      <c r="Q511" s="144"/>
      <c r="R511" s="141"/>
      <c r="S511" s="142"/>
    </row>
    <row r="512" spans="2:19">
      <c r="B512" s="138"/>
      <c r="C512" s="139"/>
      <c r="D512" s="140"/>
      <c r="E512" s="140"/>
      <c r="F512" s="141"/>
      <c r="G512" s="141"/>
      <c r="H512" s="141"/>
      <c r="I512" s="141"/>
      <c r="J512" s="138"/>
      <c r="K512" s="138"/>
      <c r="L512" s="138"/>
      <c r="M512" s="141"/>
      <c r="N512" s="142"/>
      <c r="O512" s="143"/>
      <c r="P512" s="144"/>
      <c r="Q512" s="144"/>
      <c r="R512" s="141"/>
      <c r="S512" s="142"/>
    </row>
    <row r="513" spans="2:19">
      <c r="B513" s="138"/>
      <c r="C513" s="139"/>
      <c r="D513" s="140"/>
      <c r="E513" s="140"/>
      <c r="F513" s="141"/>
      <c r="G513" s="141"/>
      <c r="H513" s="141"/>
      <c r="I513" s="141"/>
      <c r="J513" s="138"/>
      <c r="K513" s="138"/>
      <c r="L513" s="138"/>
      <c r="M513" s="141"/>
      <c r="N513" s="142"/>
      <c r="O513" s="143"/>
      <c r="P513" s="144"/>
      <c r="Q513" s="144"/>
      <c r="R513" s="141"/>
      <c r="S513" s="142"/>
    </row>
    <row r="514" spans="2:19">
      <c r="B514" s="138"/>
      <c r="C514" s="139"/>
      <c r="D514" s="140"/>
      <c r="E514" s="140"/>
      <c r="F514" s="141"/>
      <c r="G514" s="141"/>
      <c r="H514" s="141"/>
      <c r="I514" s="141"/>
      <c r="J514" s="138"/>
      <c r="K514" s="138"/>
      <c r="L514" s="138"/>
      <c r="M514" s="141"/>
      <c r="N514" s="142"/>
      <c r="O514" s="143"/>
      <c r="P514" s="144"/>
      <c r="Q514" s="144"/>
      <c r="R514" s="141"/>
      <c r="S514" s="142"/>
    </row>
    <row r="515" spans="2:19">
      <c r="B515" s="138"/>
      <c r="C515" s="139"/>
      <c r="D515" s="140"/>
      <c r="E515" s="140"/>
      <c r="F515" s="141"/>
      <c r="G515" s="141"/>
      <c r="H515" s="141"/>
      <c r="I515" s="141"/>
      <c r="J515" s="138"/>
      <c r="K515" s="138"/>
      <c r="L515" s="138"/>
      <c r="M515" s="141"/>
      <c r="N515" s="142"/>
      <c r="O515" s="143"/>
      <c r="P515" s="144"/>
      <c r="Q515" s="144"/>
      <c r="R515" s="141"/>
      <c r="S515" s="142"/>
    </row>
    <row r="516" spans="2:19">
      <c r="B516" s="138"/>
      <c r="C516" s="139"/>
      <c r="D516" s="140"/>
      <c r="E516" s="140"/>
      <c r="F516" s="141"/>
      <c r="G516" s="141"/>
      <c r="H516" s="141"/>
      <c r="I516" s="141"/>
      <c r="J516" s="138"/>
      <c r="K516" s="138"/>
      <c r="L516" s="138"/>
      <c r="M516" s="141"/>
      <c r="N516" s="142"/>
      <c r="O516" s="143"/>
      <c r="P516" s="144"/>
      <c r="Q516" s="144"/>
      <c r="R516" s="141"/>
      <c r="S516" s="142"/>
    </row>
    <row r="517" spans="2:19">
      <c r="B517" s="138"/>
      <c r="C517" s="139"/>
      <c r="D517" s="140"/>
      <c r="E517" s="140"/>
      <c r="F517" s="141"/>
      <c r="G517" s="141"/>
      <c r="H517" s="141"/>
      <c r="I517" s="141"/>
      <c r="J517" s="138"/>
      <c r="K517" s="138"/>
      <c r="L517" s="138"/>
      <c r="M517" s="141"/>
      <c r="N517" s="142"/>
      <c r="O517" s="143"/>
      <c r="P517" s="144"/>
      <c r="Q517" s="144"/>
      <c r="R517" s="141"/>
      <c r="S517" s="142"/>
    </row>
    <row r="518" spans="2:19">
      <c r="B518" s="138"/>
      <c r="C518" s="139"/>
      <c r="D518" s="140"/>
      <c r="E518" s="140"/>
      <c r="F518" s="141"/>
      <c r="G518" s="141"/>
      <c r="H518" s="141"/>
      <c r="I518" s="141"/>
      <c r="J518" s="138"/>
      <c r="K518" s="138"/>
      <c r="L518" s="138"/>
      <c r="M518" s="141"/>
      <c r="N518" s="142"/>
      <c r="O518" s="143"/>
      <c r="P518" s="144"/>
      <c r="Q518" s="144"/>
      <c r="R518" s="141"/>
      <c r="S518" s="142"/>
    </row>
    <row r="519" spans="2:19">
      <c r="B519" s="138"/>
      <c r="C519" s="139"/>
      <c r="D519" s="140"/>
      <c r="E519" s="140"/>
      <c r="F519" s="141"/>
      <c r="G519" s="141"/>
      <c r="H519" s="141"/>
      <c r="I519" s="141"/>
      <c r="J519" s="138"/>
      <c r="K519" s="138"/>
      <c r="L519" s="138"/>
      <c r="M519" s="141"/>
      <c r="N519" s="142"/>
      <c r="O519" s="143"/>
      <c r="P519" s="144"/>
      <c r="Q519" s="144"/>
      <c r="R519" s="141"/>
      <c r="S519" s="142"/>
    </row>
    <row r="520" spans="2:19">
      <c r="B520" s="138"/>
      <c r="C520" s="139"/>
      <c r="D520" s="140"/>
      <c r="E520" s="140"/>
      <c r="F520" s="141"/>
      <c r="G520" s="141"/>
      <c r="H520" s="141"/>
      <c r="I520" s="141"/>
      <c r="J520" s="138"/>
      <c r="K520" s="138"/>
      <c r="L520" s="138"/>
      <c r="M520" s="141"/>
      <c r="N520" s="142"/>
      <c r="O520" s="143"/>
      <c r="P520" s="144"/>
      <c r="Q520" s="144"/>
      <c r="R520" s="141"/>
      <c r="S520" s="142"/>
    </row>
    <row r="521" spans="2:19">
      <c r="B521" s="138"/>
      <c r="C521" s="139"/>
      <c r="D521" s="140"/>
      <c r="E521" s="140"/>
      <c r="F521" s="141"/>
      <c r="G521" s="141"/>
      <c r="H521" s="141"/>
      <c r="I521" s="141"/>
      <c r="J521" s="138"/>
      <c r="K521" s="138"/>
      <c r="L521" s="138"/>
      <c r="M521" s="141"/>
      <c r="N521" s="142"/>
      <c r="O521" s="143"/>
      <c r="P521" s="144"/>
      <c r="Q521" s="144"/>
      <c r="R521" s="141"/>
      <c r="S521" s="142"/>
    </row>
    <row r="522" spans="2:19">
      <c r="B522" s="138"/>
      <c r="C522" s="139"/>
      <c r="D522" s="140"/>
      <c r="E522" s="140"/>
      <c r="F522" s="141"/>
      <c r="G522" s="141"/>
      <c r="H522" s="141"/>
      <c r="I522" s="141"/>
      <c r="J522" s="138"/>
      <c r="K522" s="138"/>
      <c r="L522" s="138"/>
      <c r="M522" s="141"/>
      <c r="N522" s="142"/>
      <c r="O522" s="143"/>
      <c r="P522" s="144"/>
      <c r="Q522" s="144"/>
      <c r="R522" s="141"/>
      <c r="S522" s="142"/>
    </row>
    <row r="523" spans="2:19">
      <c r="B523" s="138"/>
      <c r="C523" s="139"/>
      <c r="D523" s="140"/>
      <c r="E523" s="140"/>
      <c r="F523" s="141"/>
      <c r="G523" s="141"/>
      <c r="H523" s="141"/>
      <c r="I523" s="141"/>
      <c r="J523" s="138"/>
      <c r="K523" s="138"/>
      <c r="L523" s="138"/>
      <c r="M523" s="141"/>
      <c r="N523" s="142"/>
      <c r="O523" s="143"/>
      <c r="P523" s="144"/>
      <c r="Q523" s="144"/>
      <c r="R523" s="141"/>
      <c r="S523" s="142"/>
    </row>
    <row r="524" spans="2:19">
      <c r="B524" s="138"/>
      <c r="C524" s="139"/>
      <c r="D524" s="140"/>
      <c r="E524" s="140"/>
      <c r="F524" s="141"/>
      <c r="G524" s="141"/>
      <c r="H524" s="141"/>
      <c r="I524" s="141"/>
      <c r="J524" s="138"/>
      <c r="K524" s="138"/>
      <c r="L524" s="138"/>
      <c r="M524" s="141"/>
      <c r="N524" s="142"/>
      <c r="O524" s="143"/>
      <c r="P524" s="144"/>
      <c r="Q524" s="144"/>
      <c r="R524" s="141"/>
      <c r="S524" s="142"/>
    </row>
    <row r="525" spans="2:19">
      <c r="B525" s="138"/>
      <c r="C525" s="139"/>
      <c r="D525" s="140"/>
      <c r="E525" s="140"/>
      <c r="F525" s="141"/>
      <c r="G525" s="141"/>
      <c r="H525" s="141"/>
      <c r="I525" s="141"/>
      <c r="J525" s="138"/>
      <c r="K525" s="138"/>
      <c r="L525" s="138"/>
      <c r="M525" s="141"/>
      <c r="N525" s="142"/>
      <c r="O525" s="143"/>
      <c r="P525" s="144"/>
      <c r="Q525" s="144"/>
      <c r="R525" s="141"/>
      <c r="S525" s="142"/>
    </row>
    <row r="526" spans="2:19">
      <c r="B526" s="138"/>
      <c r="C526" s="139"/>
      <c r="D526" s="140"/>
      <c r="E526" s="140"/>
      <c r="F526" s="141"/>
      <c r="G526" s="141"/>
      <c r="H526" s="141"/>
      <c r="I526" s="141"/>
      <c r="J526" s="138"/>
      <c r="K526" s="138"/>
      <c r="L526" s="138"/>
      <c r="M526" s="141"/>
      <c r="N526" s="142"/>
      <c r="O526" s="143"/>
      <c r="P526" s="144"/>
      <c r="Q526" s="144"/>
      <c r="R526" s="141"/>
      <c r="S526" s="142"/>
    </row>
    <row r="527" spans="2:19">
      <c r="B527" s="138"/>
      <c r="C527" s="139"/>
      <c r="D527" s="140"/>
      <c r="E527" s="140"/>
      <c r="F527" s="141"/>
      <c r="G527" s="141"/>
      <c r="H527" s="141"/>
      <c r="I527" s="141"/>
      <c r="J527" s="138"/>
      <c r="K527" s="138"/>
      <c r="L527" s="138"/>
      <c r="M527" s="141"/>
      <c r="N527" s="142"/>
      <c r="O527" s="143"/>
      <c r="P527" s="144"/>
      <c r="Q527" s="144"/>
      <c r="R527" s="141"/>
      <c r="S527" s="142"/>
    </row>
    <row r="528" spans="2:19">
      <c r="B528" s="138"/>
      <c r="C528" s="139"/>
      <c r="D528" s="140"/>
      <c r="E528" s="140"/>
      <c r="F528" s="141"/>
      <c r="G528" s="141"/>
      <c r="H528" s="141"/>
      <c r="I528" s="141"/>
      <c r="J528" s="138"/>
      <c r="K528" s="138"/>
      <c r="L528" s="138"/>
      <c r="M528" s="141"/>
      <c r="N528" s="142"/>
      <c r="O528" s="143"/>
      <c r="P528" s="144"/>
      <c r="Q528" s="144"/>
      <c r="R528" s="141"/>
      <c r="S528" s="142"/>
    </row>
    <row r="529" spans="2:19">
      <c r="B529" s="138"/>
      <c r="C529" s="139"/>
      <c r="D529" s="140"/>
      <c r="E529" s="140"/>
      <c r="F529" s="141"/>
      <c r="G529" s="141"/>
      <c r="H529" s="141"/>
      <c r="I529" s="141"/>
      <c r="J529" s="138"/>
      <c r="K529" s="138"/>
      <c r="L529" s="138"/>
      <c r="M529" s="141"/>
      <c r="N529" s="142"/>
      <c r="O529" s="143"/>
      <c r="P529" s="144"/>
      <c r="Q529" s="144"/>
      <c r="R529" s="141"/>
      <c r="S529" s="142"/>
    </row>
    <row r="530" spans="2:19">
      <c r="B530" s="138"/>
      <c r="C530" s="139"/>
      <c r="D530" s="140"/>
      <c r="E530" s="140"/>
      <c r="F530" s="141"/>
      <c r="G530" s="141"/>
      <c r="H530" s="141"/>
      <c r="I530" s="141"/>
      <c r="J530" s="138"/>
      <c r="K530" s="138"/>
      <c r="L530" s="138"/>
      <c r="M530" s="141"/>
      <c r="N530" s="142"/>
      <c r="O530" s="143"/>
      <c r="P530" s="144"/>
      <c r="Q530" s="144"/>
      <c r="R530" s="141"/>
      <c r="S530" s="142"/>
    </row>
    <row r="531" spans="2:19">
      <c r="B531" s="138"/>
      <c r="C531" s="139"/>
      <c r="D531" s="140"/>
      <c r="E531" s="140"/>
      <c r="F531" s="141"/>
      <c r="G531" s="141"/>
      <c r="H531" s="141"/>
      <c r="I531" s="141"/>
      <c r="J531" s="138"/>
      <c r="K531" s="138"/>
      <c r="L531" s="138"/>
      <c r="M531" s="141"/>
      <c r="N531" s="142"/>
      <c r="O531" s="143"/>
      <c r="P531" s="144"/>
      <c r="Q531" s="144"/>
      <c r="R531" s="141"/>
      <c r="S531" s="142"/>
    </row>
    <row r="532" spans="2:19">
      <c r="B532" s="138"/>
      <c r="C532" s="139"/>
      <c r="D532" s="140"/>
      <c r="E532" s="140"/>
      <c r="F532" s="141"/>
      <c r="G532" s="141"/>
      <c r="H532" s="141"/>
      <c r="I532" s="141"/>
      <c r="J532" s="138"/>
      <c r="K532" s="138"/>
      <c r="L532" s="138"/>
      <c r="M532" s="141"/>
      <c r="N532" s="142"/>
      <c r="O532" s="143"/>
      <c r="P532" s="144"/>
      <c r="Q532" s="144"/>
      <c r="R532" s="141"/>
      <c r="S532" s="142"/>
    </row>
    <row r="533" spans="2:19">
      <c r="B533" s="138"/>
      <c r="C533" s="139"/>
      <c r="D533" s="140"/>
      <c r="E533" s="140"/>
      <c r="F533" s="141"/>
      <c r="G533" s="141"/>
      <c r="H533" s="141"/>
      <c r="I533" s="141"/>
      <c r="J533" s="138"/>
      <c r="K533" s="138"/>
      <c r="L533" s="138"/>
      <c r="M533" s="141"/>
      <c r="N533" s="142"/>
      <c r="O533" s="143"/>
      <c r="P533" s="144"/>
      <c r="Q533" s="144"/>
      <c r="R533" s="141"/>
      <c r="S533" s="142"/>
    </row>
    <row r="534" spans="2:19">
      <c r="B534" s="138"/>
      <c r="C534" s="139"/>
      <c r="D534" s="140"/>
      <c r="E534" s="140"/>
      <c r="F534" s="141"/>
      <c r="G534" s="141"/>
      <c r="H534" s="141"/>
      <c r="I534" s="141"/>
      <c r="J534" s="138"/>
      <c r="K534" s="138"/>
      <c r="L534" s="138"/>
      <c r="M534" s="141"/>
      <c r="N534" s="142"/>
      <c r="O534" s="143"/>
      <c r="P534" s="144"/>
      <c r="Q534" s="144"/>
      <c r="R534" s="141"/>
      <c r="S534" s="142"/>
    </row>
    <row r="535" spans="2:19">
      <c r="B535" s="138"/>
      <c r="C535" s="139"/>
      <c r="D535" s="140"/>
      <c r="E535" s="140"/>
      <c r="F535" s="141"/>
      <c r="G535" s="141"/>
      <c r="H535" s="141"/>
      <c r="I535" s="141"/>
      <c r="J535" s="138"/>
      <c r="K535" s="138"/>
      <c r="L535" s="138"/>
      <c r="M535" s="141"/>
      <c r="N535" s="142"/>
      <c r="O535" s="143"/>
      <c r="P535" s="144"/>
      <c r="Q535" s="144"/>
      <c r="R535" s="141"/>
      <c r="S535" s="142"/>
    </row>
    <row r="536" spans="2:19">
      <c r="B536" s="138"/>
      <c r="C536" s="139"/>
      <c r="D536" s="140"/>
      <c r="E536" s="140"/>
      <c r="F536" s="141"/>
      <c r="G536" s="141"/>
      <c r="H536" s="141"/>
      <c r="I536" s="141"/>
      <c r="J536" s="138"/>
      <c r="K536" s="138"/>
      <c r="L536" s="138"/>
      <c r="M536" s="141"/>
      <c r="N536" s="142"/>
      <c r="O536" s="143"/>
      <c r="P536" s="144"/>
      <c r="Q536" s="144"/>
      <c r="R536" s="141"/>
      <c r="S536" s="142"/>
    </row>
    <row r="537" spans="2:19">
      <c r="B537" s="138"/>
      <c r="C537" s="139"/>
      <c r="D537" s="140"/>
      <c r="E537" s="140"/>
      <c r="F537" s="141"/>
      <c r="G537" s="141"/>
      <c r="H537" s="141"/>
      <c r="I537" s="141"/>
      <c r="J537" s="138"/>
      <c r="K537" s="138"/>
      <c r="L537" s="138"/>
      <c r="M537" s="141"/>
      <c r="N537" s="142"/>
      <c r="O537" s="143"/>
      <c r="P537" s="144"/>
      <c r="Q537" s="144"/>
      <c r="R537" s="141"/>
      <c r="S537" s="142"/>
    </row>
    <row r="538" spans="2:19">
      <c r="B538" s="138"/>
      <c r="C538" s="139"/>
      <c r="D538" s="140"/>
      <c r="E538" s="140"/>
      <c r="F538" s="141"/>
      <c r="G538" s="141"/>
      <c r="H538" s="141"/>
      <c r="I538" s="141"/>
      <c r="J538" s="138"/>
      <c r="K538" s="138"/>
      <c r="L538" s="138"/>
      <c r="M538" s="141"/>
      <c r="N538" s="142"/>
      <c r="O538" s="143"/>
      <c r="P538" s="144"/>
      <c r="Q538" s="144"/>
      <c r="R538" s="141"/>
      <c r="S538" s="142"/>
    </row>
    <row r="539" spans="2:19">
      <c r="B539" s="138"/>
      <c r="C539" s="139"/>
      <c r="D539" s="140"/>
      <c r="E539" s="140"/>
      <c r="F539" s="141"/>
      <c r="G539" s="141"/>
      <c r="H539" s="141"/>
      <c r="I539" s="141"/>
      <c r="J539" s="138"/>
      <c r="K539" s="138"/>
      <c r="L539" s="138"/>
      <c r="M539" s="141"/>
      <c r="N539" s="142"/>
      <c r="O539" s="143"/>
      <c r="P539" s="144"/>
      <c r="Q539" s="144"/>
      <c r="R539" s="141"/>
      <c r="S539" s="142"/>
    </row>
    <row r="540" spans="2:19">
      <c r="B540" s="138"/>
      <c r="C540" s="139"/>
      <c r="D540" s="140"/>
      <c r="E540" s="140"/>
      <c r="F540" s="141"/>
      <c r="G540" s="141"/>
      <c r="H540" s="141"/>
      <c r="I540" s="141"/>
      <c r="J540" s="138"/>
      <c r="K540" s="138"/>
      <c r="L540" s="138"/>
      <c r="M540" s="141"/>
      <c r="N540" s="142"/>
      <c r="O540" s="143"/>
      <c r="P540" s="144"/>
      <c r="Q540" s="144"/>
      <c r="R540" s="141"/>
      <c r="S540" s="142"/>
    </row>
    <row r="541" spans="2:19">
      <c r="B541" s="138"/>
      <c r="C541" s="139"/>
      <c r="D541" s="140"/>
      <c r="E541" s="140"/>
      <c r="F541" s="141"/>
      <c r="G541" s="141"/>
      <c r="H541" s="141"/>
      <c r="I541" s="141"/>
      <c r="J541" s="138"/>
      <c r="K541" s="138"/>
      <c r="L541" s="138"/>
      <c r="M541" s="141"/>
      <c r="N541" s="142"/>
      <c r="O541" s="143"/>
      <c r="P541" s="144"/>
      <c r="Q541" s="144"/>
      <c r="R541" s="141"/>
      <c r="S541" s="142"/>
    </row>
    <row r="542" spans="2:19">
      <c r="B542" s="138"/>
      <c r="C542" s="139"/>
      <c r="D542" s="140"/>
      <c r="E542" s="140"/>
      <c r="F542" s="141"/>
      <c r="G542" s="141"/>
      <c r="H542" s="141"/>
      <c r="I542" s="141"/>
      <c r="J542" s="138"/>
      <c r="K542" s="138"/>
      <c r="L542" s="138"/>
      <c r="M542" s="141"/>
      <c r="N542" s="142"/>
      <c r="O542" s="143"/>
      <c r="P542" s="144"/>
      <c r="Q542" s="144"/>
      <c r="R542" s="141"/>
      <c r="S542" s="142"/>
    </row>
    <row r="543" spans="2:19">
      <c r="B543" s="138"/>
      <c r="C543" s="139"/>
      <c r="D543" s="140"/>
      <c r="E543" s="140"/>
      <c r="F543" s="141"/>
      <c r="G543" s="141"/>
      <c r="H543" s="141"/>
      <c r="I543" s="141"/>
      <c r="J543" s="138"/>
      <c r="K543" s="138"/>
      <c r="L543" s="138"/>
      <c r="M543" s="141"/>
      <c r="N543" s="142"/>
      <c r="O543" s="143"/>
      <c r="P543" s="144"/>
      <c r="Q543" s="144"/>
      <c r="R543" s="141"/>
      <c r="S543" s="142"/>
    </row>
    <row r="544" spans="2:19">
      <c r="B544" s="138"/>
      <c r="C544" s="139"/>
      <c r="D544" s="140"/>
      <c r="E544" s="140"/>
      <c r="F544" s="141"/>
      <c r="G544" s="141"/>
      <c r="H544" s="141"/>
      <c r="I544" s="141"/>
      <c r="J544" s="138"/>
      <c r="K544" s="138"/>
      <c r="L544" s="138"/>
      <c r="M544" s="141"/>
      <c r="N544" s="142"/>
      <c r="O544" s="143"/>
      <c r="P544" s="144"/>
      <c r="Q544" s="144"/>
      <c r="R544" s="141"/>
      <c r="S544" s="142"/>
    </row>
    <row r="545" spans="2:19">
      <c r="B545" s="138"/>
      <c r="C545" s="139"/>
      <c r="D545" s="140"/>
      <c r="E545" s="140"/>
      <c r="F545" s="141"/>
      <c r="G545" s="141"/>
      <c r="H545" s="141"/>
      <c r="I545" s="141"/>
      <c r="J545" s="138"/>
      <c r="K545" s="138"/>
      <c r="L545" s="138"/>
      <c r="M545" s="141"/>
      <c r="N545" s="142"/>
      <c r="O545" s="143"/>
      <c r="P545" s="144"/>
      <c r="Q545" s="144"/>
      <c r="R545" s="141"/>
      <c r="S545" s="142"/>
    </row>
    <row r="546" spans="2:19">
      <c r="B546" s="138"/>
      <c r="C546" s="139"/>
      <c r="D546" s="140"/>
      <c r="E546" s="140"/>
      <c r="F546" s="141"/>
      <c r="G546" s="141"/>
      <c r="H546" s="141"/>
      <c r="I546" s="141"/>
      <c r="J546" s="138"/>
      <c r="K546" s="138"/>
      <c r="L546" s="138"/>
      <c r="M546" s="141"/>
      <c r="N546" s="142"/>
      <c r="O546" s="143"/>
      <c r="P546" s="144"/>
      <c r="Q546" s="144"/>
      <c r="R546" s="141"/>
      <c r="S546" s="142"/>
    </row>
    <row r="547" spans="2:19">
      <c r="B547" s="138"/>
      <c r="C547" s="139"/>
      <c r="D547" s="140"/>
      <c r="E547" s="140"/>
      <c r="F547" s="141"/>
      <c r="G547" s="141"/>
      <c r="H547" s="141"/>
      <c r="I547" s="141"/>
      <c r="J547" s="138"/>
      <c r="K547" s="138"/>
      <c r="L547" s="138"/>
      <c r="M547" s="141"/>
      <c r="N547" s="142"/>
      <c r="O547" s="143"/>
      <c r="P547" s="144"/>
      <c r="Q547" s="144"/>
      <c r="R547" s="141"/>
      <c r="S547" s="142"/>
    </row>
    <row r="548" spans="2:19">
      <c r="B548" s="138"/>
      <c r="C548" s="139"/>
      <c r="D548" s="140"/>
      <c r="E548" s="140"/>
      <c r="F548" s="141"/>
      <c r="G548" s="141"/>
      <c r="H548" s="141"/>
      <c r="I548" s="141"/>
      <c r="J548" s="138"/>
      <c r="K548" s="138"/>
      <c r="L548" s="138"/>
      <c r="M548" s="141"/>
      <c r="N548" s="142"/>
      <c r="O548" s="143"/>
      <c r="P548" s="144"/>
      <c r="Q548" s="144"/>
      <c r="R548" s="141"/>
      <c r="S548" s="142"/>
    </row>
    <row r="549" spans="2:19">
      <c r="B549" s="138"/>
      <c r="C549" s="139"/>
      <c r="D549" s="140"/>
      <c r="E549" s="140"/>
      <c r="F549" s="141"/>
      <c r="G549" s="141"/>
      <c r="H549" s="141"/>
      <c r="I549" s="141"/>
      <c r="J549" s="138"/>
      <c r="K549" s="138"/>
      <c r="L549" s="138"/>
      <c r="M549" s="141"/>
      <c r="N549" s="142"/>
      <c r="O549" s="143"/>
      <c r="P549" s="144"/>
      <c r="Q549" s="144"/>
      <c r="R549" s="141"/>
      <c r="S549" s="142"/>
    </row>
    <row r="550" spans="2:19">
      <c r="B550" s="138"/>
      <c r="C550" s="139"/>
      <c r="D550" s="140"/>
      <c r="E550" s="140"/>
      <c r="F550" s="141"/>
      <c r="G550" s="141"/>
      <c r="H550" s="141"/>
      <c r="I550" s="141"/>
      <c r="J550" s="138"/>
      <c r="K550" s="138"/>
      <c r="L550" s="138"/>
      <c r="M550" s="141"/>
      <c r="N550" s="142"/>
      <c r="O550" s="143"/>
      <c r="P550" s="144"/>
      <c r="Q550" s="144"/>
      <c r="R550" s="141"/>
      <c r="S550" s="142"/>
    </row>
    <row r="551" spans="2:19">
      <c r="B551" s="138"/>
      <c r="C551" s="139"/>
      <c r="D551" s="140"/>
      <c r="E551" s="140"/>
      <c r="F551" s="141"/>
      <c r="G551" s="141"/>
      <c r="H551" s="141"/>
      <c r="I551" s="141"/>
      <c r="J551" s="138"/>
      <c r="K551" s="138"/>
      <c r="L551" s="138"/>
      <c r="M551" s="141"/>
      <c r="N551" s="142"/>
      <c r="O551" s="143"/>
      <c r="P551" s="144"/>
      <c r="Q551" s="144"/>
      <c r="R551" s="141"/>
      <c r="S551" s="142"/>
    </row>
    <row r="552" spans="2:19">
      <c r="B552" s="138"/>
      <c r="C552" s="139"/>
      <c r="D552" s="140"/>
      <c r="E552" s="140"/>
      <c r="F552" s="141"/>
      <c r="G552" s="141"/>
      <c r="H552" s="141"/>
      <c r="I552" s="141"/>
      <c r="J552" s="138"/>
      <c r="K552" s="138"/>
      <c r="L552" s="138"/>
      <c r="M552" s="141"/>
      <c r="N552" s="142"/>
      <c r="O552" s="143"/>
      <c r="P552" s="144"/>
      <c r="Q552" s="144"/>
      <c r="R552" s="141"/>
      <c r="S552" s="142"/>
    </row>
    <row r="553" spans="2:19">
      <c r="B553" s="138"/>
      <c r="C553" s="139"/>
      <c r="D553" s="140"/>
      <c r="E553" s="140"/>
      <c r="F553" s="141"/>
      <c r="G553" s="141"/>
      <c r="H553" s="141"/>
      <c r="I553" s="141"/>
      <c r="J553" s="138"/>
      <c r="K553" s="138"/>
      <c r="L553" s="138"/>
      <c r="M553" s="141"/>
      <c r="N553" s="142"/>
      <c r="O553" s="143"/>
      <c r="P553" s="144"/>
      <c r="Q553" s="144"/>
      <c r="R553" s="141"/>
      <c r="S553" s="142"/>
    </row>
    <row r="554" spans="2:19">
      <c r="B554" s="138"/>
      <c r="C554" s="139"/>
      <c r="D554" s="140"/>
      <c r="E554" s="140"/>
      <c r="F554" s="141"/>
      <c r="G554" s="141"/>
      <c r="H554" s="141"/>
      <c r="I554" s="141"/>
      <c r="J554" s="138"/>
      <c r="K554" s="138"/>
      <c r="L554" s="138"/>
      <c r="M554" s="141"/>
      <c r="N554" s="142"/>
      <c r="O554" s="143"/>
      <c r="P554" s="144"/>
      <c r="Q554" s="144"/>
      <c r="R554" s="141"/>
      <c r="S554" s="142"/>
    </row>
    <row r="555" spans="2:19">
      <c r="B555" s="138"/>
      <c r="C555" s="139"/>
      <c r="D555" s="140"/>
      <c r="E555" s="140"/>
      <c r="F555" s="141"/>
      <c r="G555" s="141"/>
      <c r="H555" s="141"/>
      <c r="I555" s="141"/>
      <c r="J555" s="138"/>
      <c r="K555" s="138"/>
      <c r="L555" s="138"/>
      <c r="M555" s="141"/>
      <c r="N555" s="142"/>
      <c r="O555" s="143"/>
      <c r="P555" s="144"/>
      <c r="Q555" s="144"/>
      <c r="R555" s="141"/>
      <c r="S555" s="142"/>
    </row>
    <row r="556" spans="2:19">
      <c r="B556" s="138"/>
      <c r="C556" s="139"/>
      <c r="D556" s="140"/>
      <c r="E556" s="140"/>
      <c r="F556" s="141"/>
      <c r="G556" s="141"/>
      <c r="H556" s="141"/>
      <c r="I556" s="141"/>
      <c r="J556" s="138"/>
      <c r="K556" s="138"/>
      <c r="L556" s="138"/>
      <c r="M556" s="141"/>
      <c r="N556" s="142"/>
      <c r="O556" s="143"/>
      <c r="P556" s="144"/>
      <c r="Q556" s="144"/>
      <c r="R556" s="141"/>
      <c r="S556" s="142"/>
    </row>
    <row r="557" spans="2:19">
      <c r="B557" s="138"/>
      <c r="C557" s="139"/>
      <c r="D557" s="140"/>
      <c r="E557" s="140"/>
      <c r="F557" s="141"/>
      <c r="G557" s="141"/>
      <c r="H557" s="141"/>
      <c r="I557" s="141"/>
      <c r="J557" s="138"/>
      <c r="K557" s="138"/>
      <c r="L557" s="138"/>
      <c r="M557" s="141"/>
      <c r="N557" s="142"/>
      <c r="O557" s="143"/>
      <c r="P557" s="144"/>
      <c r="Q557" s="144"/>
      <c r="R557" s="141"/>
      <c r="S557" s="142"/>
    </row>
    <row r="558" spans="2:19">
      <c r="B558" s="138"/>
      <c r="C558" s="139"/>
      <c r="D558" s="140"/>
      <c r="E558" s="140"/>
      <c r="F558" s="141"/>
      <c r="G558" s="141"/>
      <c r="H558" s="141"/>
      <c r="I558" s="141"/>
      <c r="J558" s="138"/>
      <c r="K558" s="138"/>
      <c r="L558" s="138"/>
      <c r="M558" s="141"/>
      <c r="N558" s="142"/>
      <c r="O558" s="143"/>
      <c r="P558" s="144"/>
      <c r="Q558" s="144"/>
      <c r="R558" s="141"/>
      <c r="S558" s="142"/>
    </row>
    <row r="559" spans="2:19">
      <c r="B559" s="138"/>
      <c r="C559" s="139"/>
      <c r="D559" s="140"/>
      <c r="E559" s="140"/>
      <c r="F559" s="141"/>
      <c r="G559" s="141"/>
      <c r="H559" s="141"/>
      <c r="I559" s="141"/>
      <c r="J559" s="138"/>
      <c r="K559" s="138"/>
      <c r="L559" s="138"/>
      <c r="M559" s="141"/>
      <c r="N559" s="142"/>
      <c r="O559" s="143"/>
      <c r="P559" s="144"/>
      <c r="Q559" s="144"/>
      <c r="R559" s="141"/>
      <c r="S559" s="142"/>
    </row>
    <row r="560" spans="2:19">
      <c r="B560" s="138"/>
      <c r="C560" s="139"/>
      <c r="D560" s="140"/>
      <c r="E560" s="140"/>
      <c r="F560" s="141"/>
      <c r="G560" s="141"/>
      <c r="H560" s="141"/>
      <c r="I560" s="141"/>
      <c r="J560" s="138"/>
      <c r="K560" s="138"/>
      <c r="L560" s="138"/>
      <c r="M560" s="141"/>
      <c r="N560" s="142"/>
      <c r="O560" s="143"/>
      <c r="P560" s="144"/>
      <c r="Q560" s="144"/>
      <c r="R560" s="141"/>
      <c r="S560" s="142"/>
    </row>
    <row r="561" spans="2:19">
      <c r="B561" s="138"/>
      <c r="C561" s="139"/>
      <c r="D561" s="140"/>
      <c r="E561" s="140"/>
      <c r="F561" s="141"/>
      <c r="G561" s="141"/>
      <c r="H561" s="141"/>
      <c r="I561" s="141"/>
      <c r="J561" s="138"/>
      <c r="K561" s="138"/>
      <c r="L561" s="138"/>
      <c r="M561" s="141"/>
      <c r="N561" s="142"/>
      <c r="O561" s="143"/>
      <c r="P561" s="144"/>
      <c r="Q561" s="144"/>
      <c r="R561" s="141"/>
      <c r="S561" s="142"/>
    </row>
    <row r="562" spans="2:19">
      <c r="B562" s="138"/>
      <c r="C562" s="139"/>
      <c r="D562" s="140"/>
      <c r="E562" s="140"/>
      <c r="F562" s="141"/>
      <c r="G562" s="141"/>
      <c r="H562" s="141"/>
      <c r="I562" s="141"/>
      <c r="J562" s="138"/>
      <c r="K562" s="138"/>
      <c r="L562" s="138"/>
      <c r="M562" s="141"/>
      <c r="N562" s="142"/>
      <c r="O562" s="143"/>
      <c r="P562" s="144"/>
      <c r="Q562" s="144"/>
      <c r="R562" s="141"/>
      <c r="S562" s="142"/>
    </row>
    <row r="563" spans="2:19">
      <c r="B563" s="138"/>
      <c r="C563" s="139"/>
      <c r="D563" s="140"/>
      <c r="E563" s="140"/>
      <c r="F563" s="141"/>
      <c r="G563" s="141"/>
      <c r="H563" s="141"/>
      <c r="I563" s="141"/>
      <c r="J563" s="138"/>
      <c r="K563" s="138"/>
      <c r="L563" s="138"/>
      <c r="M563" s="141"/>
      <c r="N563" s="142"/>
      <c r="O563" s="143"/>
      <c r="P563" s="144"/>
      <c r="Q563" s="144"/>
      <c r="R563" s="141"/>
      <c r="S563" s="142"/>
    </row>
    <row r="564" spans="2:19">
      <c r="B564" s="138"/>
      <c r="C564" s="139"/>
      <c r="D564" s="140"/>
      <c r="E564" s="140"/>
      <c r="F564" s="141"/>
      <c r="G564" s="141"/>
      <c r="H564" s="141"/>
      <c r="I564" s="141"/>
      <c r="J564" s="138"/>
      <c r="K564" s="138"/>
      <c r="L564" s="138"/>
      <c r="M564" s="141"/>
      <c r="N564" s="142"/>
      <c r="O564" s="143"/>
      <c r="P564" s="144"/>
      <c r="Q564" s="144"/>
      <c r="R564" s="141"/>
      <c r="S564" s="142"/>
    </row>
    <row r="565" spans="2:19">
      <c r="B565" s="138"/>
      <c r="C565" s="139"/>
      <c r="D565" s="140"/>
      <c r="E565" s="140"/>
      <c r="F565" s="141"/>
      <c r="G565" s="141"/>
      <c r="H565" s="141"/>
      <c r="I565" s="141"/>
      <c r="J565" s="138"/>
      <c r="K565" s="138"/>
      <c r="L565" s="138"/>
      <c r="M565" s="141"/>
      <c r="N565" s="142"/>
      <c r="O565" s="143"/>
      <c r="P565" s="144"/>
      <c r="Q565" s="144"/>
      <c r="R565" s="141"/>
      <c r="S565" s="142"/>
    </row>
    <row r="566" spans="2:19">
      <c r="B566" s="138"/>
      <c r="C566" s="139"/>
      <c r="D566" s="140"/>
      <c r="E566" s="140"/>
      <c r="F566" s="141"/>
      <c r="G566" s="141"/>
      <c r="H566" s="141"/>
      <c r="I566" s="141"/>
      <c r="J566" s="138"/>
      <c r="K566" s="138"/>
      <c r="L566" s="138"/>
      <c r="M566" s="141"/>
      <c r="N566" s="142"/>
      <c r="O566" s="143"/>
      <c r="P566" s="144"/>
      <c r="Q566" s="144"/>
      <c r="R566" s="141"/>
      <c r="S566" s="142"/>
    </row>
    <row r="567" spans="2:19">
      <c r="B567" s="138"/>
      <c r="C567" s="139"/>
      <c r="D567" s="140"/>
      <c r="E567" s="140"/>
      <c r="F567" s="141"/>
      <c r="G567" s="141"/>
      <c r="H567" s="141"/>
      <c r="I567" s="141"/>
      <c r="J567" s="138"/>
      <c r="K567" s="138"/>
      <c r="L567" s="138"/>
      <c r="M567" s="141"/>
      <c r="N567" s="142"/>
      <c r="O567" s="143"/>
      <c r="P567" s="144"/>
      <c r="Q567" s="144"/>
      <c r="R567" s="141"/>
      <c r="S567" s="142"/>
    </row>
    <row r="568" spans="2:19">
      <c r="B568" s="138"/>
      <c r="C568" s="139"/>
      <c r="D568" s="140"/>
      <c r="E568" s="140"/>
      <c r="F568" s="141"/>
      <c r="G568" s="141"/>
      <c r="H568" s="141"/>
      <c r="I568" s="141"/>
      <c r="J568" s="138"/>
      <c r="K568" s="138"/>
      <c r="L568" s="138"/>
      <c r="M568" s="141"/>
      <c r="N568" s="142"/>
      <c r="O568" s="143"/>
      <c r="P568" s="144"/>
      <c r="Q568" s="144"/>
      <c r="R568" s="141"/>
      <c r="S568" s="142"/>
    </row>
    <row r="569" spans="2:19">
      <c r="B569" s="138"/>
      <c r="C569" s="139"/>
      <c r="D569" s="140"/>
      <c r="E569" s="140"/>
      <c r="F569" s="141"/>
      <c r="G569" s="141"/>
      <c r="H569" s="141"/>
      <c r="I569" s="141"/>
      <c r="J569" s="138"/>
      <c r="K569" s="138"/>
      <c r="L569" s="138"/>
      <c r="M569" s="141"/>
      <c r="N569" s="142"/>
      <c r="O569" s="143"/>
      <c r="P569" s="144"/>
      <c r="Q569" s="144"/>
      <c r="R569" s="141"/>
      <c r="S569" s="142"/>
    </row>
    <row r="570" spans="2:19">
      <c r="B570" s="138"/>
      <c r="C570" s="139"/>
      <c r="D570" s="140"/>
      <c r="E570" s="140"/>
      <c r="F570" s="141"/>
      <c r="G570" s="141"/>
      <c r="H570" s="141"/>
      <c r="I570" s="141"/>
      <c r="J570" s="138"/>
      <c r="K570" s="138"/>
      <c r="L570" s="138"/>
      <c r="M570" s="141"/>
      <c r="N570" s="142"/>
      <c r="O570" s="143"/>
      <c r="P570" s="144"/>
      <c r="Q570" s="144"/>
      <c r="R570" s="141"/>
      <c r="S570" s="142"/>
    </row>
    <row r="571" spans="2:19">
      <c r="B571" s="138"/>
      <c r="C571" s="139"/>
      <c r="D571" s="140"/>
      <c r="E571" s="140"/>
      <c r="F571" s="141"/>
      <c r="G571" s="141"/>
      <c r="H571" s="141"/>
      <c r="I571" s="141"/>
      <c r="J571" s="138"/>
      <c r="K571" s="138"/>
      <c r="L571" s="138"/>
      <c r="M571" s="141"/>
      <c r="N571" s="142"/>
      <c r="O571" s="143"/>
      <c r="P571" s="144"/>
      <c r="Q571" s="144"/>
      <c r="R571" s="141"/>
      <c r="S571" s="142"/>
    </row>
    <row r="572" spans="2:19">
      <c r="B572" s="138"/>
      <c r="C572" s="139"/>
      <c r="D572" s="140"/>
      <c r="E572" s="140"/>
      <c r="F572" s="141"/>
      <c r="G572" s="141"/>
      <c r="H572" s="141"/>
      <c r="I572" s="141"/>
      <c r="J572" s="138"/>
      <c r="K572" s="138"/>
      <c r="L572" s="138"/>
      <c r="M572" s="141"/>
      <c r="N572" s="142"/>
      <c r="O572" s="143"/>
      <c r="P572" s="144"/>
      <c r="Q572" s="144"/>
      <c r="R572" s="141"/>
      <c r="S572" s="142"/>
    </row>
    <row r="573" spans="2:19">
      <c r="B573" s="138"/>
      <c r="C573" s="139"/>
      <c r="D573" s="140"/>
      <c r="E573" s="140"/>
      <c r="F573" s="141"/>
      <c r="G573" s="141"/>
      <c r="H573" s="141"/>
      <c r="I573" s="141"/>
      <c r="J573" s="138"/>
      <c r="K573" s="138"/>
      <c r="L573" s="138"/>
      <c r="M573" s="141"/>
      <c r="N573" s="142"/>
      <c r="O573" s="143"/>
      <c r="P573" s="144"/>
      <c r="Q573" s="144"/>
      <c r="R573" s="141"/>
      <c r="S573" s="142"/>
    </row>
    <row r="574" spans="2:19">
      <c r="B574" s="138"/>
      <c r="C574" s="139"/>
      <c r="D574" s="140"/>
      <c r="E574" s="140"/>
      <c r="F574" s="141"/>
      <c r="G574" s="141"/>
      <c r="H574" s="141"/>
      <c r="I574" s="141"/>
      <c r="J574" s="138"/>
      <c r="K574" s="138"/>
      <c r="L574" s="138"/>
      <c r="M574" s="141"/>
      <c r="N574" s="142"/>
      <c r="O574" s="143"/>
      <c r="P574" s="144"/>
      <c r="Q574" s="144"/>
      <c r="R574" s="141"/>
      <c r="S574" s="142"/>
    </row>
    <row r="575" spans="2:19">
      <c r="B575" s="138"/>
      <c r="C575" s="139"/>
      <c r="D575" s="140"/>
      <c r="E575" s="140"/>
      <c r="F575" s="141"/>
      <c r="G575" s="141"/>
      <c r="H575" s="141"/>
      <c r="I575" s="141"/>
      <c r="J575" s="138"/>
      <c r="K575" s="138"/>
      <c r="L575" s="138"/>
      <c r="M575" s="141"/>
      <c r="N575" s="142"/>
      <c r="O575" s="143"/>
      <c r="P575" s="144"/>
      <c r="Q575" s="144"/>
      <c r="R575" s="141"/>
      <c r="S575" s="142"/>
    </row>
    <row r="576" spans="2:19">
      <c r="B576" s="138"/>
      <c r="C576" s="139"/>
      <c r="D576" s="140"/>
      <c r="E576" s="140"/>
      <c r="F576" s="141"/>
      <c r="G576" s="141"/>
      <c r="H576" s="141"/>
      <c r="I576" s="141"/>
      <c r="J576" s="138"/>
      <c r="K576" s="138"/>
      <c r="L576" s="138"/>
      <c r="M576" s="141"/>
      <c r="N576" s="142"/>
      <c r="O576" s="143"/>
      <c r="P576" s="144"/>
      <c r="Q576" s="144"/>
      <c r="R576" s="141"/>
      <c r="S576" s="142"/>
    </row>
    <row r="577" spans="2:19">
      <c r="B577" s="138"/>
      <c r="C577" s="139"/>
      <c r="D577" s="140"/>
      <c r="E577" s="140"/>
      <c r="F577" s="141"/>
      <c r="G577" s="141"/>
      <c r="H577" s="141"/>
      <c r="I577" s="141"/>
      <c r="J577" s="138"/>
      <c r="K577" s="138"/>
      <c r="L577" s="138"/>
      <c r="M577" s="141"/>
      <c r="N577" s="142"/>
      <c r="O577" s="143"/>
      <c r="P577" s="144"/>
      <c r="Q577" s="144"/>
      <c r="R577" s="141"/>
      <c r="S577" s="142"/>
    </row>
    <row r="578" spans="2:19">
      <c r="B578" s="138"/>
      <c r="C578" s="139"/>
      <c r="D578" s="140"/>
      <c r="E578" s="140"/>
      <c r="F578" s="141"/>
      <c r="G578" s="141"/>
      <c r="H578" s="141"/>
      <c r="I578" s="141"/>
      <c r="J578" s="138"/>
      <c r="K578" s="138"/>
      <c r="L578" s="138"/>
      <c r="M578" s="141"/>
      <c r="N578" s="142"/>
      <c r="O578" s="143"/>
      <c r="P578" s="144"/>
      <c r="Q578" s="144"/>
      <c r="R578" s="141"/>
      <c r="S578" s="142"/>
    </row>
    <row r="579" spans="2:19">
      <c r="B579" s="138"/>
      <c r="C579" s="139"/>
      <c r="D579" s="140"/>
      <c r="E579" s="140"/>
      <c r="F579" s="141"/>
      <c r="G579" s="141"/>
      <c r="H579" s="141"/>
      <c r="I579" s="141"/>
      <c r="J579" s="138"/>
      <c r="K579" s="138"/>
      <c r="L579" s="138"/>
      <c r="M579" s="141"/>
      <c r="N579" s="142"/>
      <c r="O579" s="143"/>
      <c r="P579" s="144"/>
      <c r="Q579" s="144"/>
      <c r="R579" s="141"/>
      <c r="S579" s="142"/>
    </row>
  </sheetData>
  <mergeCells count="2">
    <mergeCell ref="A1:N1"/>
    <mergeCell ref="O1:S1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4"/>
  <dimension ref="A1:AL49"/>
  <sheetViews>
    <sheetView workbookViewId="0">
      <selection activeCell="E12" sqref="E12"/>
    </sheetView>
  </sheetViews>
  <sheetFormatPr defaultRowHeight="12.75"/>
  <cols>
    <col min="1" max="1" width="56.42578125" customWidth="1"/>
    <col min="2" max="2" width="8.7109375" customWidth="1"/>
    <col min="3" max="5" width="20.7109375" customWidth="1"/>
    <col min="6" max="6" width="16" customWidth="1"/>
  </cols>
  <sheetData>
    <row r="1" spans="1:38">
      <c r="B1" t="s">
        <v>79</v>
      </c>
      <c r="C1" t="s">
        <v>73</v>
      </c>
    </row>
    <row r="2" spans="1:38">
      <c r="A2" s="155" t="s">
        <v>74</v>
      </c>
      <c r="B2">
        <v>6</v>
      </c>
      <c r="C2" s="82" t="s">
        <v>89</v>
      </c>
    </row>
    <row r="3" spans="1:38">
      <c r="A3" s="155" t="s">
        <v>75</v>
      </c>
      <c r="B3">
        <v>7</v>
      </c>
      <c r="C3" s="82" t="s">
        <v>89</v>
      </c>
    </row>
    <row r="4" spans="1:38">
      <c r="A4" s="155" t="s">
        <v>76</v>
      </c>
      <c r="B4">
        <v>8</v>
      </c>
      <c r="C4" s="82" t="s">
        <v>89</v>
      </c>
      <c r="D4" s="94" t="s">
        <v>101</v>
      </c>
    </row>
    <row r="5" spans="1:38">
      <c r="A5" s="155" t="s">
        <v>77</v>
      </c>
      <c r="B5">
        <v>9</v>
      </c>
      <c r="C5" s="82" t="s">
        <v>89</v>
      </c>
    </row>
    <row r="6" spans="1:38">
      <c r="A6" s="155" t="s">
        <v>106</v>
      </c>
      <c r="B6">
        <v>10</v>
      </c>
      <c r="C6" s="82" t="s">
        <v>89</v>
      </c>
      <c r="AL6" s="84"/>
    </row>
    <row r="7" spans="1:38">
      <c r="A7" s="155" t="s">
        <v>107</v>
      </c>
      <c r="B7">
        <v>11</v>
      </c>
      <c r="C7" t="s">
        <v>80</v>
      </c>
      <c r="AL7" s="84"/>
    </row>
    <row r="8" spans="1:38">
      <c r="A8" s="155" t="s">
        <v>108</v>
      </c>
      <c r="B8">
        <v>12</v>
      </c>
      <c r="C8" s="82" t="s">
        <v>89</v>
      </c>
      <c r="AL8" s="84"/>
    </row>
    <row r="9" spans="1:38">
      <c r="A9" s="155" t="s">
        <v>78</v>
      </c>
      <c r="B9">
        <v>13</v>
      </c>
      <c r="C9" s="82" t="s">
        <v>89</v>
      </c>
      <c r="AL9" s="84"/>
    </row>
    <row r="10" spans="1:38">
      <c r="A10" s="155" t="s">
        <v>81</v>
      </c>
      <c r="B10">
        <v>14</v>
      </c>
      <c r="C10" t="s">
        <v>80</v>
      </c>
      <c r="AL10" s="84"/>
    </row>
    <row r="11" spans="1:38">
      <c r="A11" s="155" t="s">
        <v>82</v>
      </c>
      <c r="B11">
        <v>15</v>
      </c>
      <c r="C11" s="82" t="s">
        <v>90</v>
      </c>
      <c r="AL11" s="84"/>
    </row>
    <row r="12" spans="1:38">
      <c r="A12" s="155" t="s">
        <v>84</v>
      </c>
      <c r="B12">
        <v>18</v>
      </c>
      <c r="C12" s="89" t="s">
        <v>95</v>
      </c>
      <c r="D12" s="91" t="s">
        <v>96</v>
      </c>
      <c r="E12" s="90" t="s">
        <v>101</v>
      </c>
      <c r="AL12" s="84"/>
    </row>
    <row r="13" spans="1:38">
      <c r="A13" s="155" t="s">
        <v>83</v>
      </c>
      <c r="B13">
        <v>38</v>
      </c>
      <c r="C13" s="88" t="s">
        <v>97</v>
      </c>
      <c r="D13" s="91" t="s">
        <v>102</v>
      </c>
      <c r="E13" s="90" t="s">
        <v>103</v>
      </c>
      <c r="AL13" s="84"/>
    </row>
    <row r="14" spans="1:38">
      <c r="A14" s="155" t="s">
        <v>85</v>
      </c>
      <c r="B14">
        <v>43</v>
      </c>
      <c r="C14" s="100" t="s">
        <v>91</v>
      </c>
    </row>
    <row r="15" spans="1:38">
      <c r="A15" s="155" t="s">
        <v>86</v>
      </c>
      <c r="B15">
        <v>46</v>
      </c>
      <c r="C15" s="83" t="s">
        <v>87</v>
      </c>
      <c r="D15" s="85" t="s">
        <v>88</v>
      </c>
      <c r="E15" s="87" t="s">
        <v>94</v>
      </c>
    </row>
    <row r="16" spans="1:38">
      <c r="A16" s="155" t="s">
        <v>92</v>
      </c>
      <c r="B16">
        <v>55</v>
      </c>
      <c r="C16" t="s">
        <v>80</v>
      </c>
    </row>
    <row r="17" spans="1:5">
      <c r="A17" s="155" t="s">
        <v>98</v>
      </c>
      <c r="B17">
        <v>2</v>
      </c>
      <c r="C17" s="82" t="s">
        <v>89</v>
      </c>
    </row>
    <row r="18" spans="1:5">
      <c r="A18" s="155" t="s">
        <v>99</v>
      </c>
      <c r="B18">
        <v>39</v>
      </c>
      <c r="C18" t="s">
        <v>80</v>
      </c>
    </row>
    <row r="19" spans="1:5">
      <c r="A19" s="155" t="s">
        <v>100</v>
      </c>
      <c r="B19">
        <v>40</v>
      </c>
      <c r="C19" s="99" t="s">
        <v>95</v>
      </c>
      <c r="D19" s="82" t="s">
        <v>96</v>
      </c>
      <c r="E19" s="90" t="s">
        <v>101</v>
      </c>
    </row>
    <row r="20" spans="1:5">
      <c r="A20" s="155" t="s">
        <v>104</v>
      </c>
      <c r="B20">
        <v>45</v>
      </c>
      <c r="C20" s="82" t="s">
        <v>89</v>
      </c>
    </row>
    <row r="21" spans="1:5">
      <c r="A21" s="155" t="s">
        <v>105</v>
      </c>
      <c r="B21">
        <v>44</v>
      </c>
      <c r="C21" s="82" t="s">
        <v>89</v>
      </c>
    </row>
    <row r="49" spans="4:4">
      <c r="D49" s="100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1</vt:i4>
      </vt:variant>
    </vt:vector>
  </HeadingPairs>
  <TitlesOfParts>
    <vt:vector size="6" baseType="lpstr">
      <vt:lpstr>POMOC</vt:lpstr>
      <vt:lpstr>HANDLOWE</vt:lpstr>
      <vt:lpstr>Arkusz1</vt:lpstr>
      <vt:lpstr>Profile</vt:lpstr>
      <vt:lpstr>PARAMETRY</vt:lpstr>
      <vt:lpstr>HANDLOWE!Obszar_wydruku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Jarosław Piwowarski</cp:lastModifiedBy>
  <cp:lastPrinted>2018-12-03T12:08:08Z</cp:lastPrinted>
  <dcterms:created xsi:type="dcterms:W3CDTF">2015-02-11T06:44:04Z</dcterms:created>
  <dcterms:modified xsi:type="dcterms:W3CDTF">2023-07-07T05:11:13Z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2023-03-30T22:00:00Z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31.03.2023</vt:lpwstr>
  </property>
  <property fmtid="{D5CDD505-2E9C-101B-9397-08002B2CF9AE}" pid="5" name="archiwum">
    <vt:i4>0</vt:i4>
  </property>
</Properties>
</file>