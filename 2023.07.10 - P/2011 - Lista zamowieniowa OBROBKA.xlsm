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Z:\3. MS\2011,2013 - VW ECRAFTER   ID BUZ NAR\"/>
    </mc:Choice>
  </mc:AlternateContent>
  <bookViews>
    <workbookView xWindow="-120" yWindow="-120" windowWidth="29040" windowHeight="15840" tabRatio="297" firstSheet="1" activeTab="1"/>
  </bookViews>
  <sheets>
    <sheet name="POMOC" sheetId="1" r:id="rId1"/>
    <sheet name="DETALE" sheetId="4" r:id="rId2"/>
    <sheet name="PARAMETRY" sheetId="7" r:id="rId3"/>
  </sheets>
  <functionGroups builtInGroupCount="18"/>
  <definedNames>
    <definedName name="_xlnm._FilterDatabase" localSheetId="1" hidden="1">DETALE!$A$5:$BD$603</definedName>
    <definedName name="_xlnm.Print_Area" localSheetId="1">DETALE!$A$1:$AS$5</definedName>
  </definedNames>
  <calcPr calcId="152511"/>
  <fileRecoveryPr autoRecover="0"/>
</workbook>
</file>

<file path=xl/calcChain.xml><?xml version="1.0" encoding="utf-8"?>
<calcChain xmlns="http://schemas.openxmlformats.org/spreadsheetml/2006/main">
  <c r="AL609" i="4" l="1"/>
  <c r="AN609" i="4" s="1"/>
  <c r="AM609" i="4"/>
  <c r="AL608" i="4"/>
  <c r="AN608" i="4" s="1"/>
  <c r="AM608" i="4"/>
  <c r="AL607" i="4"/>
  <c r="AM607" i="4"/>
  <c r="AN607" i="4" l="1"/>
  <c r="AL606" i="4" l="1"/>
  <c r="AM606" i="4"/>
  <c r="AL605" i="4"/>
  <c r="AM605" i="4"/>
  <c r="AL604" i="4"/>
  <c r="AM604" i="4"/>
  <c r="AN605" i="4" l="1"/>
  <c r="AN606" i="4"/>
  <c r="AN604" i="4"/>
  <c r="AM575" i="4"/>
  <c r="AM596" i="4"/>
  <c r="AM597" i="4"/>
  <c r="AM567" i="4"/>
  <c r="AM579" i="4"/>
  <c r="AM570" i="4"/>
  <c r="AM572" i="4"/>
  <c r="AM573" i="4"/>
  <c r="AM574" i="4"/>
  <c r="AM582" i="4"/>
  <c r="AM583" i="4"/>
  <c r="AM584" i="4"/>
  <c r="AM591" i="4"/>
  <c r="AM592" i="4"/>
  <c r="AM593" i="4"/>
  <c r="AM585" i="4"/>
  <c r="AM586" i="4"/>
  <c r="AM587" i="4"/>
  <c r="AM588" i="4"/>
  <c r="AM589" i="4"/>
  <c r="AM590" i="4"/>
  <c r="AM571" i="4"/>
  <c r="AM577" i="4"/>
  <c r="AM578" i="4"/>
  <c r="AM594" i="4"/>
  <c r="AM595" i="4"/>
  <c r="AM598" i="4"/>
  <c r="AM576" i="4"/>
  <c r="AM580" i="4"/>
  <c r="AM581" i="4"/>
  <c r="AM599" i="4"/>
  <c r="AM600" i="4"/>
  <c r="AM601" i="4"/>
  <c r="AM602" i="4"/>
  <c r="AM603" i="4"/>
  <c r="AL575" i="4"/>
  <c r="AN575" i="4" s="1"/>
  <c r="AL596" i="4"/>
  <c r="AN596" i="4" s="1"/>
  <c r="AL597" i="4"/>
  <c r="AL567" i="4"/>
  <c r="AL579" i="4"/>
  <c r="AN579" i="4" s="1"/>
  <c r="AL570" i="4"/>
  <c r="AN570" i="4" s="1"/>
  <c r="AL572" i="4"/>
  <c r="AL573" i="4"/>
  <c r="AL574" i="4"/>
  <c r="AN574" i="4" s="1"/>
  <c r="AL582" i="4"/>
  <c r="AN582" i="4" s="1"/>
  <c r="AL583" i="4"/>
  <c r="AL584" i="4"/>
  <c r="AL591" i="4"/>
  <c r="AL592" i="4"/>
  <c r="AL593" i="4"/>
  <c r="AL585" i="4"/>
  <c r="AL586" i="4"/>
  <c r="AN586" i="4" s="1"/>
  <c r="AL587" i="4"/>
  <c r="AN587" i="4" s="1"/>
  <c r="AL588" i="4"/>
  <c r="AL589" i="4"/>
  <c r="AL590" i="4"/>
  <c r="AN590" i="4" s="1"/>
  <c r="AL571" i="4"/>
  <c r="AN571" i="4" s="1"/>
  <c r="AL577" i="4"/>
  <c r="AL578" i="4"/>
  <c r="AL594" i="4"/>
  <c r="AN594" i="4" s="1"/>
  <c r="AL595" i="4"/>
  <c r="AN595" i="4" s="1"/>
  <c r="AL598" i="4"/>
  <c r="AL576" i="4"/>
  <c r="AL580" i="4"/>
  <c r="AL581" i="4"/>
  <c r="AL599" i="4"/>
  <c r="AL600" i="4"/>
  <c r="AL601" i="4"/>
  <c r="AN601" i="4" s="1"/>
  <c r="AL602" i="4"/>
  <c r="AN602" i="4" s="1"/>
  <c r="AL603" i="4"/>
  <c r="AL445" i="4"/>
  <c r="AM445" i="4"/>
  <c r="AL568" i="4"/>
  <c r="AM568" i="4"/>
  <c r="AL569" i="4"/>
  <c r="AM569" i="4"/>
  <c r="AL565" i="4"/>
  <c r="AM565" i="4"/>
  <c r="AL566" i="4"/>
  <c r="AM566" i="4"/>
  <c r="AL553" i="4"/>
  <c r="AM553" i="4"/>
  <c r="AL554" i="4"/>
  <c r="AM554" i="4"/>
  <c r="AL555" i="4"/>
  <c r="AM555" i="4"/>
  <c r="AL556" i="4"/>
  <c r="AM556" i="4"/>
  <c r="AL557" i="4"/>
  <c r="AM557" i="4"/>
  <c r="AL558" i="4"/>
  <c r="AM558" i="4"/>
  <c r="AL559" i="4"/>
  <c r="AM559" i="4"/>
  <c r="AL560" i="4"/>
  <c r="AM560" i="4"/>
  <c r="AL561" i="4"/>
  <c r="AN561" i="4" s="1"/>
  <c r="AM561" i="4"/>
  <c r="AL562" i="4"/>
  <c r="AM562" i="4"/>
  <c r="AL563" i="4"/>
  <c r="AM563" i="4"/>
  <c r="AL564" i="4"/>
  <c r="AM564" i="4"/>
  <c r="AL548" i="4"/>
  <c r="AM548" i="4"/>
  <c r="AL549" i="4"/>
  <c r="AM549" i="4"/>
  <c r="AL550" i="4"/>
  <c r="AM550" i="4"/>
  <c r="AL551" i="4"/>
  <c r="AM551" i="4"/>
  <c r="AL552" i="4"/>
  <c r="AN552" i="4" s="1"/>
  <c r="AM552" i="4"/>
  <c r="AL547" i="4"/>
  <c r="AM547" i="4"/>
  <c r="AL545" i="4"/>
  <c r="AM545" i="4"/>
  <c r="AL546" i="4"/>
  <c r="AM546" i="4"/>
  <c r="AM481" i="4"/>
  <c r="AM482" i="4"/>
  <c r="AM483" i="4"/>
  <c r="AM484" i="4"/>
  <c r="AM485" i="4"/>
  <c r="AM486" i="4"/>
  <c r="AM487" i="4"/>
  <c r="AM488" i="4"/>
  <c r="AM489" i="4"/>
  <c r="AM490" i="4"/>
  <c r="AM491" i="4"/>
  <c r="AM492" i="4"/>
  <c r="AM493" i="4"/>
  <c r="AM494" i="4"/>
  <c r="AM495" i="4"/>
  <c r="AM496" i="4"/>
  <c r="AM497" i="4"/>
  <c r="AM498" i="4"/>
  <c r="AM499" i="4"/>
  <c r="AM500" i="4"/>
  <c r="AM501" i="4"/>
  <c r="AM502" i="4"/>
  <c r="AM503" i="4"/>
  <c r="AM504" i="4"/>
  <c r="AM505" i="4"/>
  <c r="AM506" i="4"/>
  <c r="AM507" i="4"/>
  <c r="AM508" i="4"/>
  <c r="AM509" i="4"/>
  <c r="AM510" i="4"/>
  <c r="AM511" i="4"/>
  <c r="AM512" i="4"/>
  <c r="AM513" i="4"/>
  <c r="AM514" i="4"/>
  <c r="AM515" i="4"/>
  <c r="AM516" i="4"/>
  <c r="AM517" i="4"/>
  <c r="AM518" i="4"/>
  <c r="AM519" i="4"/>
  <c r="AM520" i="4"/>
  <c r="AM521" i="4"/>
  <c r="AM522" i="4"/>
  <c r="AM523" i="4"/>
  <c r="AM524" i="4"/>
  <c r="AM525" i="4"/>
  <c r="AM526" i="4"/>
  <c r="AM527" i="4"/>
  <c r="AM528" i="4"/>
  <c r="AM529" i="4"/>
  <c r="AM530" i="4"/>
  <c r="AM531" i="4"/>
  <c r="AM532" i="4"/>
  <c r="AM533" i="4"/>
  <c r="AM534" i="4"/>
  <c r="AM535" i="4"/>
  <c r="AM536" i="4"/>
  <c r="AM537" i="4"/>
  <c r="AM538" i="4"/>
  <c r="AM539" i="4"/>
  <c r="AM540" i="4"/>
  <c r="AM541" i="4"/>
  <c r="AM542" i="4"/>
  <c r="AM543" i="4"/>
  <c r="AM544" i="4"/>
  <c r="AL481" i="4"/>
  <c r="AL482" i="4"/>
  <c r="AL483" i="4"/>
  <c r="AN483" i="4" s="1"/>
  <c r="AL484" i="4"/>
  <c r="AN484" i="4" s="1"/>
  <c r="AL485" i="4"/>
  <c r="AN485" i="4" s="1"/>
  <c r="AL486" i="4"/>
  <c r="AL487" i="4"/>
  <c r="AL488" i="4"/>
  <c r="AL489" i="4"/>
  <c r="AL490" i="4"/>
  <c r="AN490" i="4" s="1"/>
  <c r="AL491" i="4"/>
  <c r="AN491" i="4" s="1"/>
  <c r="AL492" i="4"/>
  <c r="AN492" i="4" s="1"/>
  <c r="AL493" i="4"/>
  <c r="AN493" i="4" s="1"/>
  <c r="AL494" i="4"/>
  <c r="AN494" i="4" s="1"/>
  <c r="AL495" i="4"/>
  <c r="AN495" i="4" s="1"/>
  <c r="AL496" i="4"/>
  <c r="AN496" i="4" s="1"/>
  <c r="AL497" i="4"/>
  <c r="AN497" i="4" s="1"/>
  <c r="AL498" i="4"/>
  <c r="AL499" i="4"/>
  <c r="AL500" i="4"/>
  <c r="AN500" i="4" s="1"/>
  <c r="AL501" i="4"/>
  <c r="AN501" i="4" s="1"/>
  <c r="AL502" i="4"/>
  <c r="AN502" i="4" s="1"/>
  <c r="AL503" i="4"/>
  <c r="AN503" i="4" s="1"/>
  <c r="AL504" i="4"/>
  <c r="AN504" i="4" s="1"/>
  <c r="AL505" i="4"/>
  <c r="AN505" i="4" s="1"/>
  <c r="AL506" i="4"/>
  <c r="AN506" i="4" s="1"/>
  <c r="AL507" i="4"/>
  <c r="AN507" i="4" s="1"/>
  <c r="AL508" i="4"/>
  <c r="AN508" i="4" s="1"/>
  <c r="AL509" i="4"/>
  <c r="AN509" i="4" s="1"/>
  <c r="AL510" i="4"/>
  <c r="AN510" i="4" s="1"/>
  <c r="AL511" i="4"/>
  <c r="AN511" i="4" s="1"/>
  <c r="AL512" i="4"/>
  <c r="AN512" i="4" s="1"/>
  <c r="AL513" i="4"/>
  <c r="AN513" i="4" s="1"/>
  <c r="AL514" i="4"/>
  <c r="AN514" i="4" s="1"/>
  <c r="AL515" i="4"/>
  <c r="AN515" i="4" s="1"/>
  <c r="AL516" i="4"/>
  <c r="AN516" i="4" s="1"/>
  <c r="AL517" i="4"/>
  <c r="AN517" i="4" s="1"/>
  <c r="AL518" i="4"/>
  <c r="AN518" i="4" s="1"/>
  <c r="AL519" i="4"/>
  <c r="AN519" i="4" s="1"/>
  <c r="AL520" i="4"/>
  <c r="AN520" i="4" s="1"/>
  <c r="AL521" i="4"/>
  <c r="AN521" i="4" s="1"/>
  <c r="AL522" i="4"/>
  <c r="AN522" i="4" s="1"/>
  <c r="AL523" i="4"/>
  <c r="AN523" i="4" s="1"/>
  <c r="AL524" i="4"/>
  <c r="AN524" i="4" s="1"/>
  <c r="AL525" i="4"/>
  <c r="AN525" i="4" s="1"/>
  <c r="AL526" i="4"/>
  <c r="AN526" i="4" s="1"/>
  <c r="AL527" i="4"/>
  <c r="AN527" i="4" s="1"/>
  <c r="AL528" i="4"/>
  <c r="AN528" i="4" s="1"/>
  <c r="AL529" i="4"/>
  <c r="AN529" i="4" s="1"/>
  <c r="AL530" i="4"/>
  <c r="AN530" i="4" s="1"/>
  <c r="AL531" i="4"/>
  <c r="AN531" i="4" s="1"/>
  <c r="AL532" i="4"/>
  <c r="AN532" i="4" s="1"/>
  <c r="AL533" i="4"/>
  <c r="AN533" i="4" s="1"/>
  <c r="AL534" i="4"/>
  <c r="AN534" i="4" s="1"/>
  <c r="AL535" i="4"/>
  <c r="AN535" i="4" s="1"/>
  <c r="AL536" i="4"/>
  <c r="AN536" i="4" s="1"/>
  <c r="AL537" i="4"/>
  <c r="AN537" i="4" s="1"/>
  <c r="AL538" i="4"/>
  <c r="AN538" i="4" s="1"/>
  <c r="AL539" i="4"/>
  <c r="AN539" i="4" s="1"/>
  <c r="AL540" i="4"/>
  <c r="AN540" i="4" s="1"/>
  <c r="AL541" i="4"/>
  <c r="AN541" i="4" s="1"/>
  <c r="AL542" i="4"/>
  <c r="AN542" i="4" s="1"/>
  <c r="AL543" i="4"/>
  <c r="AN543" i="4" s="1"/>
  <c r="AL544" i="4"/>
  <c r="AN544" i="4" s="1"/>
  <c r="AL474" i="4"/>
  <c r="AM474" i="4"/>
  <c r="AL475" i="4"/>
  <c r="AM475" i="4"/>
  <c r="AL476" i="4"/>
  <c r="AM476" i="4"/>
  <c r="AL477" i="4"/>
  <c r="AM477" i="4"/>
  <c r="AL478" i="4"/>
  <c r="AM478" i="4"/>
  <c r="AL479" i="4"/>
  <c r="AM479" i="4"/>
  <c r="AL480" i="4"/>
  <c r="AM480" i="4"/>
  <c r="AL407" i="4"/>
  <c r="AM407" i="4"/>
  <c r="AL408" i="4"/>
  <c r="AM408" i="4"/>
  <c r="AL409" i="4"/>
  <c r="AM409" i="4"/>
  <c r="AL410" i="4"/>
  <c r="AM410" i="4"/>
  <c r="AL411" i="4"/>
  <c r="AM411" i="4"/>
  <c r="AL412" i="4"/>
  <c r="AM412" i="4"/>
  <c r="AL413" i="4"/>
  <c r="AM413" i="4"/>
  <c r="AL414" i="4"/>
  <c r="AM414" i="4"/>
  <c r="AL415" i="4"/>
  <c r="AM415" i="4"/>
  <c r="AL416" i="4"/>
  <c r="AM416" i="4"/>
  <c r="AL417" i="4"/>
  <c r="AM417" i="4"/>
  <c r="AL418" i="4"/>
  <c r="AM418" i="4"/>
  <c r="AL419" i="4"/>
  <c r="AM419" i="4"/>
  <c r="AL420" i="4"/>
  <c r="AM420" i="4"/>
  <c r="AL421" i="4"/>
  <c r="AM421" i="4"/>
  <c r="AL422" i="4"/>
  <c r="AM422" i="4"/>
  <c r="AL423" i="4"/>
  <c r="AM423" i="4"/>
  <c r="AL424" i="4"/>
  <c r="AM424" i="4"/>
  <c r="AL425" i="4"/>
  <c r="AM425" i="4"/>
  <c r="AL426" i="4"/>
  <c r="AM426" i="4"/>
  <c r="AL427" i="4"/>
  <c r="AM427" i="4"/>
  <c r="AL428" i="4"/>
  <c r="AM428" i="4"/>
  <c r="AL429" i="4"/>
  <c r="AM429" i="4"/>
  <c r="AL430" i="4"/>
  <c r="AM430" i="4"/>
  <c r="AL431" i="4"/>
  <c r="AM431" i="4"/>
  <c r="AL432" i="4"/>
  <c r="AM432" i="4"/>
  <c r="AL433" i="4"/>
  <c r="AM433" i="4"/>
  <c r="AL434" i="4"/>
  <c r="AM434" i="4"/>
  <c r="AL435" i="4"/>
  <c r="AM435" i="4"/>
  <c r="AL436" i="4"/>
  <c r="AM436" i="4"/>
  <c r="AL437" i="4"/>
  <c r="AM437" i="4"/>
  <c r="AL438" i="4"/>
  <c r="AM438" i="4"/>
  <c r="AL439" i="4"/>
  <c r="AM439" i="4"/>
  <c r="AL440" i="4"/>
  <c r="AM440" i="4"/>
  <c r="AL441" i="4"/>
  <c r="AM441" i="4"/>
  <c r="AL442" i="4"/>
  <c r="AM442" i="4"/>
  <c r="AL443" i="4"/>
  <c r="AM443" i="4"/>
  <c r="AL444" i="4"/>
  <c r="AM444" i="4"/>
  <c r="AL446" i="4"/>
  <c r="AM446" i="4"/>
  <c r="AL447" i="4"/>
  <c r="AM447" i="4"/>
  <c r="AL448" i="4"/>
  <c r="AM448" i="4"/>
  <c r="AL449" i="4"/>
  <c r="AM449" i="4"/>
  <c r="AL450" i="4"/>
  <c r="AM450" i="4"/>
  <c r="AL451" i="4"/>
  <c r="AM451" i="4"/>
  <c r="AL452" i="4"/>
  <c r="AM452" i="4"/>
  <c r="AL453" i="4"/>
  <c r="AN453" i="4" s="1"/>
  <c r="AM453" i="4"/>
  <c r="AL454" i="4"/>
  <c r="AM454" i="4"/>
  <c r="AL455" i="4"/>
  <c r="AM455" i="4"/>
  <c r="AL456" i="4"/>
  <c r="AM456" i="4"/>
  <c r="AL457" i="4"/>
  <c r="AM457" i="4"/>
  <c r="AL458" i="4"/>
  <c r="AM458" i="4"/>
  <c r="AL459" i="4"/>
  <c r="AM459" i="4"/>
  <c r="AL460" i="4"/>
  <c r="AM460" i="4"/>
  <c r="AL461" i="4"/>
  <c r="AN461" i="4" s="1"/>
  <c r="AM461" i="4"/>
  <c r="AL462" i="4"/>
  <c r="AM462" i="4"/>
  <c r="AL463" i="4"/>
  <c r="AM463" i="4"/>
  <c r="AL464" i="4"/>
  <c r="AM464" i="4"/>
  <c r="AL465" i="4"/>
  <c r="AM465" i="4"/>
  <c r="AL466" i="4"/>
  <c r="AM466" i="4"/>
  <c r="AL467" i="4"/>
  <c r="AM467" i="4"/>
  <c r="AL468" i="4"/>
  <c r="AM468" i="4"/>
  <c r="AL469" i="4"/>
  <c r="AN469" i="4" s="1"/>
  <c r="AM469" i="4"/>
  <c r="AL470" i="4"/>
  <c r="AM470" i="4"/>
  <c r="AL471" i="4"/>
  <c r="AM471" i="4"/>
  <c r="AL472" i="4"/>
  <c r="AM472" i="4"/>
  <c r="AL473" i="4"/>
  <c r="AM473" i="4"/>
  <c r="AM406" i="4"/>
  <c r="AL406" i="4"/>
  <c r="AL403" i="4"/>
  <c r="AM403" i="4"/>
  <c r="AL404" i="4"/>
  <c r="AM404" i="4"/>
  <c r="AL405" i="4"/>
  <c r="AN405" i="4" s="1"/>
  <c r="AM405" i="4"/>
  <c r="AN559" i="4" l="1"/>
  <c r="AN499" i="4"/>
  <c r="AN557" i="4"/>
  <c r="AN413" i="4"/>
  <c r="AN564" i="4"/>
  <c r="AN560" i="4"/>
  <c r="AN556" i="4"/>
  <c r="AN578" i="4"/>
  <c r="AN589" i="4"/>
  <c r="AN573" i="4"/>
  <c r="AN567" i="4"/>
  <c r="AN603" i="4"/>
  <c r="AN598" i="4"/>
  <c r="AN577" i="4"/>
  <c r="AN588" i="4"/>
  <c r="AN583" i="4"/>
  <c r="AN572" i="4"/>
  <c r="AN597" i="4"/>
  <c r="AN437" i="4"/>
  <c r="AN429" i="4"/>
  <c r="AN421" i="4"/>
  <c r="AN566" i="4"/>
  <c r="AN565" i="4"/>
  <c r="AN568" i="4"/>
  <c r="AN465" i="4"/>
  <c r="AN445" i="4"/>
  <c r="AN473" i="4"/>
  <c r="AN449" i="4"/>
  <c r="AN479" i="4"/>
  <c r="AN457" i="4"/>
  <c r="AN558" i="4"/>
  <c r="AN569" i="4"/>
  <c r="AN433" i="4"/>
  <c r="AN563" i="4"/>
  <c r="AN555" i="4"/>
  <c r="AN562" i="4"/>
  <c r="AN554" i="4"/>
  <c r="AN417" i="4"/>
  <c r="AN553" i="4"/>
  <c r="AN600" i="4"/>
  <c r="AN585" i="4"/>
  <c r="AN441" i="4"/>
  <c r="AN599" i="4"/>
  <c r="AN593" i="4"/>
  <c r="AN581" i="4"/>
  <c r="AN592" i="4"/>
  <c r="AN425" i="4"/>
  <c r="AN580" i="4"/>
  <c r="AN591" i="4"/>
  <c r="AN576" i="4"/>
  <c r="AN584" i="4"/>
  <c r="AN488" i="4"/>
  <c r="AN547" i="4"/>
  <c r="AN551" i="4"/>
  <c r="AN550" i="4"/>
  <c r="AN475" i="4"/>
  <c r="AN466" i="4"/>
  <c r="AN458" i="4"/>
  <c r="AN450" i="4"/>
  <c r="AN446" i="4"/>
  <c r="AN434" i="4"/>
  <c r="AN430" i="4"/>
  <c r="AN426" i="4"/>
  <c r="AN418" i="4"/>
  <c r="AN414" i="4"/>
  <c r="AN470" i="4"/>
  <c r="AN462" i="4"/>
  <c r="AN454" i="4"/>
  <c r="AN442" i="4"/>
  <c r="AN422" i="4"/>
  <c r="AN489" i="4"/>
  <c r="AN410" i="4"/>
  <c r="AN459" i="4"/>
  <c r="AN427" i="4"/>
  <c r="AN467" i="4"/>
  <c r="AN455" i="4"/>
  <c r="AN443" i="4"/>
  <c r="AN431" i="4"/>
  <c r="AN419" i="4"/>
  <c r="AN407" i="4"/>
  <c r="AN487" i="4"/>
  <c r="AN482" i="4"/>
  <c r="AN403" i="4"/>
  <c r="AN463" i="4"/>
  <c r="AN447" i="4"/>
  <c r="AN435" i="4"/>
  <c r="AN423" i="4"/>
  <c r="AN415" i="4"/>
  <c r="AN480" i="4"/>
  <c r="AN476" i="4"/>
  <c r="AN545" i="4"/>
  <c r="AN471" i="4"/>
  <c r="AN451" i="4"/>
  <c r="AN439" i="4"/>
  <c r="AN477" i="4"/>
  <c r="AN498" i="4"/>
  <c r="AN472" i="4"/>
  <c r="AN456" i="4"/>
  <c r="AN436" i="4"/>
  <c r="AN424" i="4"/>
  <c r="AN416" i="4"/>
  <c r="AN478" i="4"/>
  <c r="AN404" i="4"/>
  <c r="AN452" i="4"/>
  <c r="AN432" i="4"/>
  <c r="AN420" i="4"/>
  <c r="AN546" i="4"/>
  <c r="AN464" i="4"/>
  <c r="AN448" i="4"/>
  <c r="AN428" i="4"/>
  <c r="AN474" i="4"/>
  <c r="AN406" i="4"/>
  <c r="AN444" i="4"/>
  <c r="AN408" i="4"/>
  <c r="AN460" i="4"/>
  <c r="AN412" i="4"/>
  <c r="AN468" i="4"/>
  <c r="AN440" i="4"/>
  <c r="AN481" i="4"/>
  <c r="AN486" i="4"/>
  <c r="AN411" i="4"/>
  <c r="AN409" i="4"/>
  <c r="AN438" i="4"/>
  <c r="AL402" i="4"/>
  <c r="AM402" i="4"/>
  <c r="AN402" i="4" l="1"/>
  <c r="AL388" i="4"/>
  <c r="AM388" i="4"/>
  <c r="AL389" i="4"/>
  <c r="AM389" i="4"/>
  <c r="AL390" i="4"/>
  <c r="AM390" i="4"/>
  <c r="AL391" i="4"/>
  <c r="AM391" i="4"/>
  <c r="AL392" i="4"/>
  <c r="AM392" i="4"/>
  <c r="AL393" i="4"/>
  <c r="AM393" i="4"/>
  <c r="AL394" i="4"/>
  <c r="AM394" i="4"/>
  <c r="AL395" i="4"/>
  <c r="AM395" i="4"/>
  <c r="AL396" i="4"/>
  <c r="AM396" i="4"/>
  <c r="AL397" i="4"/>
  <c r="AM397" i="4"/>
  <c r="AL398" i="4"/>
  <c r="AM398" i="4"/>
  <c r="AL399" i="4"/>
  <c r="AM399" i="4"/>
  <c r="AL400" i="4"/>
  <c r="AM400" i="4"/>
  <c r="AL401" i="4"/>
  <c r="AM401" i="4"/>
  <c r="AL385" i="4"/>
  <c r="AM385" i="4"/>
  <c r="AL386" i="4"/>
  <c r="AM386" i="4"/>
  <c r="AL387" i="4"/>
  <c r="AM387" i="4"/>
  <c r="AN400" i="4" l="1"/>
  <c r="AN387" i="4"/>
  <c r="AN396" i="4"/>
  <c r="AN398" i="4"/>
  <c r="AN388" i="4"/>
  <c r="AN392" i="4"/>
  <c r="AN386" i="4"/>
  <c r="AN391" i="4"/>
  <c r="AN399" i="4"/>
  <c r="AN395" i="4"/>
  <c r="AN397" i="4"/>
  <c r="AN393" i="4"/>
  <c r="AN401" i="4"/>
  <c r="AN390" i="4"/>
  <c r="AN385" i="4"/>
  <c r="AN389" i="4"/>
  <c r="AN394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12" i="4"/>
  <c r="AM113" i="4"/>
  <c r="AM114" i="4"/>
  <c r="AM115" i="4"/>
  <c r="AM116" i="4"/>
  <c r="AM117" i="4"/>
  <c r="AM118" i="4"/>
  <c r="AM119" i="4"/>
  <c r="AM120" i="4"/>
  <c r="AM121" i="4"/>
  <c r="AM122" i="4"/>
  <c r="AM123" i="4"/>
  <c r="AM124" i="4"/>
  <c r="AM125" i="4"/>
  <c r="AM126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150" i="4"/>
  <c r="AM151" i="4"/>
  <c r="AM152" i="4"/>
  <c r="AM153" i="4"/>
  <c r="AM154" i="4"/>
  <c r="AM155" i="4"/>
  <c r="AM156" i="4"/>
  <c r="AM157" i="4"/>
  <c r="AM158" i="4"/>
  <c r="AM159" i="4"/>
  <c r="AM160" i="4"/>
  <c r="AM161" i="4"/>
  <c r="AM162" i="4"/>
  <c r="AM163" i="4"/>
  <c r="AM164" i="4"/>
  <c r="AM165" i="4"/>
  <c r="AM166" i="4"/>
  <c r="AM167" i="4"/>
  <c r="AM168" i="4"/>
  <c r="AM169" i="4"/>
  <c r="AM170" i="4"/>
  <c r="AM171" i="4"/>
  <c r="AM172" i="4"/>
  <c r="AM173" i="4"/>
  <c r="AM174" i="4"/>
  <c r="AM175" i="4"/>
  <c r="AM176" i="4"/>
  <c r="AM177" i="4"/>
  <c r="AM178" i="4"/>
  <c r="AM179" i="4"/>
  <c r="AM180" i="4"/>
  <c r="AM181" i="4"/>
  <c r="AM182" i="4"/>
  <c r="AM183" i="4"/>
  <c r="AM184" i="4"/>
  <c r="AM185" i="4"/>
  <c r="AM186" i="4"/>
  <c r="AM187" i="4"/>
  <c r="AM188" i="4"/>
  <c r="AM189" i="4"/>
  <c r="AM190" i="4"/>
  <c r="AM191" i="4"/>
  <c r="AM192" i="4"/>
  <c r="AM193" i="4"/>
  <c r="AM194" i="4"/>
  <c r="AM195" i="4"/>
  <c r="AM196" i="4"/>
  <c r="AM197" i="4"/>
  <c r="AM198" i="4"/>
  <c r="AM199" i="4"/>
  <c r="AM200" i="4"/>
  <c r="AM201" i="4"/>
  <c r="AM202" i="4"/>
  <c r="AM203" i="4"/>
  <c r="AM204" i="4"/>
  <c r="AM205" i="4"/>
  <c r="AM206" i="4"/>
  <c r="AM207" i="4"/>
  <c r="AM208" i="4"/>
  <c r="AM209" i="4"/>
  <c r="AM210" i="4"/>
  <c r="AM211" i="4"/>
  <c r="AM212" i="4"/>
  <c r="AM213" i="4"/>
  <c r="AM214" i="4"/>
  <c r="AM10" i="4"/>
  <c r="AM215" i="4"/>
  <c r="AM216" i="4"/>
  <c r="AM217" i="4"/>
  <c r="AM218" i="4"/>
  <c r="AM219" i="4"/>
  <c r="AM220" i="4"/>
  <c r="AM221" i="4"/>
  <c r="AM222" i="4"/>
  <c r="AM223" i="4"/>
  <c r="AM224" i="4"/>
  <c r="AM225" i="4"/>
  <c r="AM226" i="4"/>
  <c r="AM227" i="4"/>
  <c r="AM228" i="4"/>
  <c r="AM229" i="4"/>
  <c r="AM230" i="4"/>
  <c r="AM231" i="4"/>
  <c r="AM232" i="4"/>
  <c r="AM233" i="4"/>
  <c r="AM234" i="4"/>
  <c r="AM235" i="4"/>
  <c r="AM236" i="4"/>
  <c r="AM237" i="4"/>
  <c r="AM238" i="4"/>
  <c r="AM239" i="4"/>
  <c r="AM240" i="4"/>
  <c r="AM241" i="4"/>
  <c r="AM242" i="4"/>
  <c r="AM243" i="4"/>
  <c r="AM244" i="4"/>
  <c r="AM245" i="4"/>
  <c r="AM246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M265" i="4"/>
  <c r="AM266" i="4"/>
  <c r="AM267" i="4"/>
  <c r="AM268" i="4"/>
  <c r="AM269" i="4"/>
  <c r="AM270" i="4"/>
  <c r="AM271" i="4"/>
  <c r="AM272" i="4"/>
  <c r="AM273" i="4"/>
  <c r="AM274" i="4"/>
  <c r="AM275" i="4"/>
  <c r="AM276" i="4"/>
  <c r="AM277" i="4"/>
  <c r="AM278" i="4"/>
  <c r="AM279" i="4"/>
  <c r="AM280" i="4"/>
  <c r="AM281" i="4"/>
  <c r="AM282" i="4"/>
  <c r="AM283" i="4"/>
  <c r="AM284" i="4"/>
  <c r="AM285" i="4"/>
  <c r="AM286" i="4"/>
  <c r="AM287" i="4"/>
  <c r="AM288" i="4"/>
  <c r="AM289" i="4"/>
  <c r="AM290" i="4"/>
  <c r="AM291" i="4"/>
  <c r="AM292" i="4"/>
  <c r="AM293" i="4"/>
  <c r="AM294" i="4"/>
  <c r="AM295" i="4"/>
  <c r="AM296" i="4"/>
  <c r="AM297" i="4"/>
  <c r="AM298" i="4"/>
  <c r="AM299" i="4"/>
  <c r="AM300" i="4"/>
  <c r="AM301" i="4"/>
  <c r="AM302" i="4"/>
  <c r="AM303" i="4"/>
  <c r="AM304" i="4"/>
  <c r="AM305" i="4"/>
  <c r="AM306" i="4"/>
  <c r="AM307" i="4"/>
  <c r="AM308" i="4"/>
  <c r="AM309" i="4"/>
  <c r="AM310" i="4"/>
  <c r="AM311" i="4"/>
  <c r="AM312" i="4"/>
  <c r="AM313" i="4"/>
  <c r="AM314" i="4"/>
  <c r="AM315" i="4"/>
  <c r="AM316" i="4"/>
  <c r="AM317" i="4"/>
  <c r="AM318" i="4"/>
  <c r="AM319" i="4"/>
  <c r="AM320" i="4"/>
  <c r="AM321" i="4"/>
  <c r="AM322" i="4"/>
  <c r="AM323" i="4"/>
  <c r="AM324" i="4"/>
  <c r="AM325" i="4"/>
  <c r="AM326" i="4"/>
  <c r="AM327" i="4"/>
  <c r="AM328" i="4"/>
  <c r="AM329" i="4"/>
  <c r="AM330" i="4"/>
  <c r="AM331" i="4"/>
  <c r="AM332" i="4"/>
  <c r="AM333" i="4"/>
  <c r="AM334" i="4"/>
  <c r="AM335" i="4"/>
  <c r="AM336" i="4"/>
  <c r="AM337" i="4"/>
  <c r="AM338" i="4"/>
  <c r="AM339" i="4"/>
  <c r="AM340" i="4"/>
  <c r="AM341" i="4"/>
  <c r="AM342" i="4"/>
  <c r="AM343" i="4"/>
  <c r="AM344" i="4"/>
  <c r="AM345" i="4"/>
  <c r="AM346" i="4"/>
  <c r="AM347" i="4"/>
  <c r="AM348" i="4"/>
  <c r="AM349" i="4"/>
  <c r="AM350" i="4"/>
  <c r="AM351" i="4"/>
  <c r="AM352" i="4"/>
  <c r="AM353" i="4"/>
  <c r="AM354" i="4"/>
  <c r="AM355" i="4"/>
  <c r="AM356" i="4"/>
  <c r="AM357" i="4"/>
  <c r="AM358" i="4"/>
  <c r="AM359" i="4"/>
  <c r="AM360" i="4"/>
  <c r="AM361" i="4"/>
  <c r="AM362" i="4"/>
  <c r="AM363" i="4"/>
  <c r="AM364" i="4"/>
  <c r="AM365" i="4"/>
  <c r="AM366" i="4"/>
  <c r="AM367" i="4"/>
  <c r="AM368" i="4"/>
  <c r="AM369" i="4"/>
  <c r="AM370" i="4"/>
  <c r="AM371" i="4"/>
  <c r="AM372" i="4"/>
  <c r="AM373" i="4"/>
  <c r="AM374" i="4"/>
  <c r="AM375" i="4"/>
  <c r="AM376" i="4"/>
  <c r="AM377" i="4"/>
  <c r="AM378" i="4"/>
  <c r="AM379" i="4"/>
  <c r="AM380" i="4"/>
  <c r="AM381" i="4"/>
  <c r="AM382" i="4"/>
  <c r="AM383" i="4"/>
  <c r="AM384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10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AL254" i="4" l="1"/>
  <c r="AN254" i="4" s="1"/>
  <c r="AL255" i="4"/>
  <c r="AN255" i="4" s="1"/>
  <c r="AL256" i="4"/>
  <c r="AN256" i="4" s="1"/>
  <c r="AL257" i="4"/>
  <c r="AN257" i="4" s="1"/>
  <c r="AL258" i="4"/>
  <c r="AN258" i="4" s="1"/>
  <c r="AL259" i="4"/>
  <c r="AN259" i="4" s="1"/>
  <c r="AL260" i="4"/>
  <c r="AN260" i="4" s="1"/>
  <c r="AL261" i="4"/>
  <c r="AN261" i="4" s="1"/>
  <c r="AL262" i="4"/>
  <c r="AN262" i="4" s="1"/>
  <c r="AL263" i="4"/>
  <c r="AN263" i="4" s="1"/>
  <c r="AL264" i="4"/>
  <c r="AN264" i="4" s="1"/>
  <c r="AL265" i="4"/>
  <c r="AL266" i="4"/>
  <c r="AN266" i="4" s="1"/>
  <c r="AL267" i="4"/>
  <c r="AN267" i="4" s="1"/>
  <c r="AL268" i="4"/>
  <c r="AN268" i="4" s="1"/>
  <c r="AL269" i="4"/>
  <c r="AN269" i="4" s="1"/>
  <c r="AL270" i="4"/>
  <c r="AN270" i="4" s="1"/>
  <c r="AL271" i="4"/>
  <c r="AN271" i="4" s="1"/>
  <c r="AL272" i="4"/>
  <c r="AN272" i="4" s="1"/>
  <c r="AL273" i="4"/>
  <c r="AN273" i="4" s="1"/>
  <c r="AL274" i="4"/>
  <c r="AN274" i="4" s="1"/>
  <c r="AL275" i="4"/>
  <c r="AN275" i="4" s="1"/>
  <c r="AL276" i="4"/>
  <c r="AN276" i="4" s="1"/>
  <c r="AL277" i="4"/>
  <c r="AN277" i="4" s="1"/>
  <c r="AL278" i="4"/>
  <c r="AN278" i="4" s="1"/>
  <c r="AL279" i="4"/>
  <c r="AN279" i="4" s="1"/>
  <c r="AL280" i="4"/>
  <c r="AN280" i="4" s="1"/>
  <c r="AL281" i="4"/>
  <c r="AL282" i="4"/>
  <c r="AN282" i="4" s="1"/>
  <c r="AL283" i="4"/>
  <c r="AN283" i="4" s="1"/>
  <c r="AL284" i="4"/>
  <c r="AN284" i="4" s="1"/>
  <c r="AL285" i="4"/>
  <c r="AN285" i="4" s="1"/>
  <c r="AL286" i="4"/>
  <c r="AN286" i="4" s="1"/>
  <c r="AL287" i="4"/>
  <c r="AN287" i="4" s="1"/>
  <c r="AL288" i="4"/>
  <c r="AN288" i="4" s="1"/>
  <c r="AL289" i="4"/>
  <c r="AN289" i="4" s="1"/>
  <c r="AL290" i="4"/>
  <c r="AN290" i="4" s="1"/>
  <c r="AL291" i="4"/>
  <c r="AN291" i="4" s="1"/>
  <c r="AL292" i="4"/>
  <c r="AN292" i="4" s="1"/>
  <c r="AL293" i="4"/>
  <c r="AN293" i="4" s="1"/>
  <c r="AL294" i="4"/>
  <c r="AN294" i="4" s="1"/>
  <c r="AL295" i="4"/>
  <c r="AN295" i="4" s="1"/>
  <c r="AL296" i="4"/>
  <c r="AN296" i="4" s="1"/>
  <c r="AL297" i="4"/>
  <c r="AL298" i="4"/>
  <c r="AL299" i="4"/>
  <c r="AN299" i="4" s="1"/>
  <c r="AL300" i="4"/>
  <c r="AN300" i="4" s="1"/>
  <c r="AL301" i="4"/>
  <c r="AN301" i="4" s="1"/>
  <c r="AL302" i="4"/>
  <c r="AN302" i="4" s="1"/>
  <c r="AL303" i="4"/>
  <c r="AN303" i="4" s="1"/>
  <c r="AL304" i="4"/>
  <c r="AN304" i="4" s="1"/>
  <c r="AL305" i="4"/>
  <c r="AL306" i="4"/>
  <c r="AN306" i="4" s="1"/>
  <c r="AL307" i="4"/>
  <c r="AN307" i="4" s="1"/>
  <c r="AL308" i="4"/>
  <c r="AN308" i="4" s="1"/>
  <c r="AL309" i="4"/>
  <c r="AN309" i="4" s="1"/>
  <c r="AL310" i="4"/>
  <c r="AN310" i="4" s="1"/>
  <c r="AL311" i="4"/>
  <c r="AN311" i="4" s="1"/>
  <c r="AL312" i="4"/>
  <c r="AN312" i="4" s="1"/>
  <c r="AL313" i="4"/>
  <c r="AL314" i="4"/>
  <c r="AN314" i="4" s="1"/>
  <c r="AL315" i="4"/>
  <c r="AN315" i="4" s="1"/>
  <c r="AL316" i="4"/>
  <c r="AN316" i="4" s="1"/>
  <c r="AL317" i="4"/>
  <c r="AN317" i="4" s="1"/>
  <c r="AL318" i="4"/>
  <c r="AN318" i="4" s="1"/>
  <c r="AL319" i="4"/>
  <c r="AN319" i="4" s="1"/>
  <c r="AL320" i="4"/>
  <c r="AN320" i="4" s="1"/>
  <c r="AL321" i="4"/>
  <c r="AN321" i="4" s="1"/>
  <c r="AL322" i="4"/>
  <c r="AN322" i="4" s="1"/>
  <c r="AL323" i="4"/>
  <c r="AN323" i="4" s="1"/>
  <c r="AL324" i="4"/>
  <c r="AN324" i="4" s="1"/>
  <c r="AL325" i="4"/>
  <c r="AN325" i="4" s="1"/>
  <c r="AL326" i="4"/>
  <c r="AN326" i="4" s="1"/>
  <c r="AL327" i="4"/>
  <c r="AN327" i="4" s="1"/>
  <c r="AL328" i="4"/>
  <c r="AN328" i="4" s="1"/>
  <c r="AL329" i="4"/>
  <c r="AL330" i="4"/>
  <c r="AL331" i="4"/>
  <c r="AN331" i="4" s="1"/>
  <c r="AL332" i="4"/>
  <c r="AN332" i="4" s="1"/>
  <c r="AL333" i="4"/>
  <c r="AN333" i="4" s="1"/>
  <c r="AL334" i="4"/>
  <c r="AN334" i="4" s="1"/>
  <c r="AL335" i="4"/>
  <c r="AN335" i="4" s="1"/>
  <c r="AL336" i="4"/>
  <c r="AN336" i="4" s="1"/>
  <c r="AL337" i="4"/>
  <c r="AN337" i="4" s="1"/>
  <c r="AL338" i="4"/>
  <c r="AN338" i="4" s="1"/>
  <c r="AL339" i="4"/>
  <c r="AN339" i="4" s="1"/>
  <c r="AL340" i="4"/>
  <c r="AN340" i="4" s="1"/>
  <c r="AL341" i="4"/>
  <c r="AN341" i="4" s="1"/>
  <c r="AL342" i="4"/>
  <c r="AN342" i="4" s="1"/>
  <c r="AL343" i="4"/>
  <c r="AN343" i="4" s="1"/>
  <c r="AL344" i="4"/>
  <c r="AN344" i="4" s="1"/>
  <c r="AL345" i="4"/>
  <c r="AL346" i="4"/>
  <c r="AN346" i="4" s="1"/>
  <c r="AL347" i="4"/>
  <c r="AL348" i="4"/>
  <c r="AN348" i="4" s="1"/>
  <c r="AL349" i="4"/>
  <c r="AN349" i="4" s="1"/>
  <c r="AL350" i="4"/>
  <c r="AN350" i="4" s="1"/>
  <c r="AL351" i="4"/>
  <c r="AN351" i="4" s="1"/>
  <c r="AL352" i="4"/>
  <c r="AN352" i="4" s="1"/>
  <c r="AL353" i="4"/>
  <c r="AN353" i="4" s="1"/>
  <c r="AL354" i="4"/>
  <c r="AN354" i="4" s="1"/>
  <c r="AL355" i="4"/>
  <c r="AN355" i="4" s="1"/>
  <c r="AL356" i="4"/>
  <c r="AN356" i="4" s="1"/>
  <c r="AL357" i="4"/>
  <c r="AL358" i="4"/>
  <c r="AN358" i="4" s="1"/>
  <c r="AL359" i="4"/>
  <c r="AN359" i="4" s="1"/>
  <c r="AL360" i="4"/>
  <c r="AN360" i="4" s="1"/>
  <c r="AL361" i="4"/>
  <c r="AN361" i="4" s="1"/>
  <c r="AL362" i="4"/>
  <c r="AN362" i="4" s="1"/>
  <c r="AL363" i="4"/>
  <c r="AN363" i="4" s="1"/>
  <c r="AL364" i="4"/>
  <c r="AN364" i="4" s="1"/>
  <c r="AL365" i="4"/>
  <c r="AN365" i="4" s="1"/>
  <c r="AL366" i="4"/>
  <c r="AN366" i="4" s="1"/>
  <c r="AL367" i="4"/>
  <c r="AN367" i="4" s="1"/>
  <c r="AL368" i="4"/>
  <c r="AN368" i="4" s="1"/>
  <c r="AL369" i="4"/>
  <c r="AN369" i="4" s="1"/>
  <c r="AL370" i="4"/>
  <c r="AN370" i="4" s="1"/>
  <c r="AL371" i="4"/>
  <c r="AN371" i="4" s="1"/>
  <c r="AL372" i="4"/>
  <c r="AN372" i="4" s="1"/>
  <c r="AL373" i="4"/>
  <c r="AN373" i="4" s="1"/>
  <c r="AL374" i="4"/>
  <c r="AN374" i="4" s="1"/>
  <c r="AL375" i="4"/>
  <c r="AN375" i="4" s="1"/>
  <c r="AL376" i="4"/>
  <c r="AN376" i="4" s="1"/>
  <c r="AL377" i="4"/>
  <c r="AN377" i="4" s="1"/>
  <c r="AL378" i="4"/>
  <c r="AN378" i="4" s="1"/>
  <c r="AL379" i="4"/>
  <c r="AN379" i="4" s="1"/>
  <c r="AL380" i="4"/>
  <c r="AN380" i="4" s="1"/>
  <c r="AL381" i="4"/>
  <c r="AN381" i="4" s="1"/>
  <c r="AL382" i="4"/>
  <c r="AN382" i="4" s="1"/>
  <c r="AL383" i="4"/>
  <c r="AN383" i="4" s="1"/>
  <c r="AL384" i="4"/>
  <c r="AN384" i="4" s="1"/>
  <c r="AN297" i="4" l="1"/>
  <c r="AN265" i="4"/>
  <c r="AN330" i="4"/>
  <c r="AN329" i="4"/>
  <c r="AN281" i="4"/>
  <c r="AN347" i="4"/>
  <c r="AN357" i="4"/>
  <c r="AN305" i="4"/>
  <c r="AN345" i="4"/>
  <c r="AN298" i="4"/>
  <c r="AN313" i="4"/>
  <c r="AL247" i="4"/>
  <c r="AL248" i="4"/>
  <c r="AL249" i="4"/>
  <c r="AN249" i="4" s="1"/>
  <c r="AL250" i="4"/>
  <c r="AL251" i="4"/>
  <c r="AN251" i="4" s="1"/>
  <c r="AL252" i="4"/>
  <c r="AN252" i="4" s="1"/>
  <c r="AL253" i="4"/>
  <c r="AL178" i="4"/>
  <c r="AN178" i="4" s="1"/>
  <c r="AL179" i="4"/>
  <c r="AN179" i="4" s="1"/>
  <c r="AL180" i="4"/>
  <c r="AN180" i="4" s="1"/>
  <c r="AL181" i="4"/>
  <c r="AN181" i="4" s="1"/>
  <c r="AL182" i="4"/>
  <c r="AN182" i="4" s="1"/>
  <c r="AL183" i="4"/>
  <c r="AL184" i="4"/>
  <c r="AL185" i="4"/>
  <c r="AN185" i="4" s="1"/>
  <c r="AL186" i="4"/>
  <c r="AN186" i="4" s="1"/>
  <c r="AL187" i="4"/>
  <c r="AL188" i="4"/>
  <c r="AL189" i="4"/>
  <c r="AN189" i="4" s="1"/>
  <c r="AL190" i="4"/>
  <c r="AN190" i="4" s="1"/>
  <c r="AL191" i="4"/>
  <c r="AN191" i="4" s="1"/>
  <c r="AL192" i="4"/>
  <c r="AL193" i="4"/>
  <c r="AN193" i="4" s="1"/>
  <c r="AL194" i="4"/>
  <c r="AN194" i="4" s="1"/>
  <c r="AL195" i="4"/>
  <c r="AN195" i="4" s="1"/>
  <c r="AL196" i="4"/>
  <c r="AN196" i="4" s="1"/>
  <c r="AL197" i="4"/>
  <c r="AN197" i="4" s="1"/>
  <c r="AL198" i="4"/>
  <c r="AN198" i="4" s="1"/>
  <c r="AL199" i="4"/>
  <c r="AN199" i="4" s="1"/>
  <c r="AL200" i="4"/>
  <c r="AN200" i="4" s="1"/>
  <c r="AL201" i="4"/>
  <c r="AL202" i="4"/>
  <c r="AL203" i="4"/>
  <c r="AN203" i="4" s="1"/>
  <c r="AL204" i="4"/>
  <c r="AL205" i="4"/>
  <c r="AN205" i="4" s="1"/>
  <c r="AL206" i="4"/>
  <c r="AN206" i="4" s="1"/>
  <c r="AL207" i="4"/>
  <c r="AN207" i="4" s="1"/>
  <c r="AL208" i="4"/>
  <c r="AN208" i="4" s="1"/>
  <c r="AL209" i="4"/>
  <c r="AN209" i="4" s="1"/>
  <c r="AL210" i="4"/>
  <c r="AL211" i="4"/>
  <c r="AL212" i="4"/>
  <c r="AN212" i="4" s="1"/>
  <c r="AL213" i="4"/>
  <c r="AN213" i="4" s="1"/>
  <c r="AL214" i="4"/>
  <c r="AN214" i="4" s="1"/>
  <c r="AL10" i="4"/>
  <c r="AN10" i="4" s="1"/>
  <c r="AL215" i="4"/>
  <c r="AN215" i="4" s="1"/>
  <c r="AL216" i="4"/>
  <c r="AN216" i="4" s="1"/>
  <c r="AL217" i="4"/>
  <c r="AN217" i="4" s="1"/>
  <c r="AL218" i="4"/>
  <c r="AN218" i="4" s="1"/>
  <c r="AL219" i="4"/>
  <c r="AL220" i="4"/>
  <c r="AN220" i="4" s="1"/>
  <c r="AL221" i="4"/>
  <c r="AN221" i="4" s="1"/>
  <c r="AL222" i="4"/>
  <c r="AN222" i="4" s="1"/>
  <c r="AL223" i="4"/>
  <c r="AN223" i="4" s="1"/>
  <c r="AL224" i="4"/>
  <c r="AN224" i="4" s="1"/>
  <c r="AL225" i="4"/>
  <c r="AN225" i="4" s="1"/>
  <c r="AL226" i="4"/>
  <c r="AN226" i="4" s="1"/>
  <c r="AL227" i="4"/>
  <c r="AN227" i="4" s="1"/>
  <c r="AL228" i="4"/>
  <c r="AL229" i="4"/>
  <c r="AL230" i="4"/>
  <c r="AL231" i="4"/>
  <c r="AN231" i="4" s="1"/>
  <c r="AL232" i="4"/>
  <c r="AL233" i="4"/>
  <c r="AL234" i="4"/>
  <c r="AL235" i="4"/>
  <c r="AL236" i="4"/>
  <c r="AN236" i="4" s="1"/>
  <c r="AL237" i="4"/>
  <c r="AN237" i="4" s="1"/>
  <c r="AL238" i="4"/>
  <c r="AN238" i="4" s="1"/>
  <c r="AL239" i="4"/>
  <c r="AN239" i="4" s="1"/>
  <c r="AL240" i="4"/>
  <c r="AN240" i="4" s="1"/>
  <c r="AL241" i="4"/>
  <c r="AN241" i="4" s="1"/>
  <c r="AL242" i="4"/>
  <c r="AN242" i="4" s="1"/>
  <c r="AL243" i="4"/>
  <c r="AN243" i="4" s="1"/>
  <c r="AL244" i="4"/>
  <c r="AN244" i="4" s="1"/>
  <c r="AL245" i="4"/>
  <c r="AN245" i="4" s="1"/>
  <c r="AL246" i="4"/>
  <c r="AN246" i="4" s="1"/>
  <c r="AL177" i="4"/>
  <c r="AL176" i="4"/>
  <c r="AL175" i="4"/>
  <c r="AN175" i="4" s="1"/>
  <c r="AL174" i="4"/>
  <c r="AN174" i="4" s="1"/>
  <c r="AL173" i="4"/>
  <c r="AN173" i="4" s="1"/>
  <c r="AL172" i="4"/>
  <c r="AN172" i="4" s="1"/>
  <c r="AL171" i="4"/>
  <c r="AN171" i="4" s="1"/>
  <c r="AL170" i="4"/>
  <c r="AN170" i="4" s="1"/>
  <c r="AL169" i="4"/>
  <c r="AN169" i="4" s="1"/>
  <c r="AL168" i="4"/>
  <c r="AN168" i="4" s="1"/>
  <c r="AL167" i="4"/>
  <c r="AN167" i="4" s="1"/>
  <c r="AL166" i="4"/>
  <c r="AL165" i="4"/>
  <c r="AL164" i="4"/>
  <c r="AL163" i="4"/>
  <c r="AN163" i="4" s="1"/>
  <c r="AL162" i="4"/>
  <c r="AL161" i="4"/>
  <c r="AL160" i="4"/>
  <c r="AL159" i="4"/>
  <c r="AN159" i="4" s="1"/>
  <c r="AL158" i="4"/>
  <c r="AN158" i="4" s="1"/>
  <c r="AL157" i="4"/>
  <c r="AN157" i="4" s="1"/>
  <c r="AL156" i="4"/>
  <c r="AN156" i="4" s="1"/>
  <c r="AL155" i="4"/>
  <c r="AN155" i="4" s="1"/>
  <c r="AL154" i="4"/>
  <c r="AL153" i="4"/>
  <c r="AN153" i="4" s="1"/>
  <c r="AL152" i="4"/>
  <c r="AN152" i="4" s="1"/>
  <c r="AL151" i="4"/>
  <c r="AN151" i="4" s="1"/>
  <c r="AL150" i="4"/>
  <c r="AL149" i="4"/>
  <c r="AL148" i="4"/>
  <c r="AN148" i="4" s="1"/>
  <c r="AL147" i="4"/>
  <c r="AN147" i="4" s="1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B146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S119" i="4"/>
  <c r="S120" i="4"/>
  <c r="S121" i="4"/>
  <c r="S122" i="4"/>
  <c r="S123" i="4"/>
  <c r="T119" i="4"/>
  <c r="T120" i="4"/>
  <c r="T121" i="4"/>
  <c r="T122" i="4"/>
  <c r="T123" i="4"/>
  <c r="W119" i="4"/>
  <c r="W120" i="4"/>
  <c r="W121" i="4"/>
  <c r="W122" i="4"/>
  <c r="W123" i="4"/>
  <c r="X119" i="4"/>
  <c r="X120" i="4"/>
  <c r="X121" i="4"/>
  <c r="X122" i="4"/>
  <c r="X123" i="4"/>
  <c r="Y119" i="4"/>
  <c r="Y120" i="4"/>
  <c r="Y121" i="4"/>
  <c r="Y122" i="4"/>
  <c r="Y123" i="4"/>
  <c r="Z119" i="4"/>
  <c r="Z120" i="4"/>
  <c r="Z121" i="4"/>
  <c r="Z122" i="4"/>
  <c r="Z123" i="4"/>
  <c r="AA119" i="4"/>
  <c r="AA120" i="4"/>
  <c r="AA121" i="4"/>
  <c r="AA122" i="4"/>
  <c r="AA123" i="4"/>
  <c r="AB119" i="4"/>
  <c r="AB120" i="4"/>
  <c r="AB121" i="4"/>
  <c r="AB122" i="4"/>
  <c r="AB123" i="4"/>
  <c r="AC119" i="4"/>
  <c r="AC120" i="4"/>
  <c r="AC121" i="4"/>
  <c r="AC122" i="4"/>
  <c r="AC123" i="4"/>
  <c r="AD119" i="4"/>
  <c r="AD120" i="4"/>
  <c r="AD121" i="4"/>
  <c r="AD122" i="4"/>
  <c r="AD123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B106" i="4"/>
  <c r="AB107" i="4"/>
  <c r="AB108" i="4"/>
  <c r="AB109" i="4"/>
  <c r="AB110" i="4"/>
  <c r="AB111" i="4"/>
  <c r="AB112" i="4"/>
  <c r="AB113" i="4"/>
  <c r="AB114" i="4"/>
  <c r="AB115" i="4"/>
  <c r="AB116" i="4"/>
  <c r="AB117" i="4"/>
  <c r="AB118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C118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S48" i="4"/>
  <c r="T48" i="4"/>
  <c r="V48" i="4"/>
  <c r="W48" i="4"/>
  <c r="X48" i="4"/>
  <c r="Y48" i="4"/>
  <c r="Z48" i="4"/>
  <c r="AA48" i="4"/>
  <c r="AB48" i="4"/>
  <c r="AC48" i="4"/>
  <c r="AD48" i="4"/>
  <c r="S47" i="4"/>
  <c r="T47" i="4"/>
  <c r="V47" i="4"/>
  <c r="W47" i="4"/>
  <c r="X47" i="4"/>
  <c r="Y47" i="4"/>
  <c r="Z47" i="4"/>
  <c r="AA47" i="4"/>
  <c r="AB47" i="4"/>
  <c r="AC47" i="4"/>
  <c r="AD47" i="4"/>
  <c r="S46" i="4"/>
  <c r="T46" i="4"/>
  <c r="V46" i="4"/>
  <c r="W46" i="4"/>
  <c r="X46" i="4"/>
  <c r="Y46" i="4"/>
  <c r="Z46" i="4"/>
  <c r="AA46" i="4"/>
  <c r="AB46" i="4"/>
  <c r="AC46" i="4"/>
  <c r="AD46" i="4"/>
  <c r="S45" i="4"/>
  <c r="T45" i="4"/>
  <c r="V45" i="4"/>
  <c r="W45" i="4"/>
  <c r="X45" i="4"/>
  <c r="Y45" i="4"/>
  <c r="Z45" i="4"/>
  <c r="AA45" i="4"/>
  <c r="AB45" i="4"/>
  <c r="AC45" i="4"/>
  <c r="AD45" i="4"/>
  <c r="S42" i="4"/>
  <c r="S43" i="4"/>
  <c r="S44" i="4"/>
  <c r="T42" i="4"/>
  <c r="T43" i="4"/>
  <c r="T44" i="4"/>
  <c r="V42" i="4"/>
  <c r="V43" i="4"/>
  <c r="V44" i="4"/>
  <c r="W42" i="4"/>
  <c r="W43" i="4"/>
  <c r="W44" i="4"/>
  <c r="X42" i="4"/>
  <c r="X43" i="4"/>
  <c r="X44" i="4"/>
  <c r="Y42" i="4"/>
  <c r="Y43" i="4"/>
  <c r="Y44" i="4"/>
  <c r="Z42" i="4"/>
  <c r="Z43" i="4"/>
  <c r="Z44" i="4"/>
  <c r="AA42" i="4"/>
  <c r="AA43" i="4"/>
  <c r="AA44" i="4"/>
  <c r="AB42" i="4"/>
  <c r="AB43" i="4"/>
  <c r="AB44" i="4"/>
  <c r="AC42" i="4"/>
  <c r="AC43" i="4"/>
  <c r="AC44" i="4"/>
  <c r="AD42" i="4"/>
  <c r="AD43" i="4"/>
  <c r="AD44" i="4"/>
  <c r="S37" i="4"/>
  <c r="S38" i="4"/>
  <c r="S39" i="4"/>
  <c r="S40" i="4"/>
  <c r="S41" i="4"/>
  <c r="T37" i="4"/>
  <c r="T38" i="4"/>
  <c r="T39" i="4"/>
  <c r="T40" i="4"/>
  <c r="T41" i="4"/>
  <c r="V37" i="4"/>
  <c r="V38" i="4"/>
  <c r="V39" i="4"/>
  <c r="V40" i="4"/>
  <c r="V41" i="4"/>
  <c r="W37" i="4"/>
  <c r="W38" i="4"/>
  <c r="W39" i="4"/>
  <c r="W40" i="4"/>
  <c r="W41" i="4"/>
  <c r="X37" i="4"/>
  <c r="X38" i="4"/>
  <c r="X39" i="4"/>
  <c r="X40" i="4"/>
  <c r="X41" i="4"/>
  <c r="Y37" i="4"/>
  <c r="Y38" i="4"/>
  <c r="Y39" i="4"/>
  <c r="Y40" i="4"/>
  <c r="Y41" i="4"/>
  <c r="Z37" i="4"/>
  <c r="Z38" i="4"/>
  <c r="Z39" i="4"/>
  <c r="Z40" i="4"/>
  <c r="Z41" i="4"/>
  <c r="AA37" i="4"/>
  <c r="AA38" i="4"/>
  <c r="AA39" i="4"/>
  <c r="AA40" i="4"/>
  <c r="AA41" i="4"/>
  <c r="AB37" i="4"/>
  <c r="AB38" i="4"/>
  <c r="AB39" i="4"/>
  <c r="AB40" i="4"/>
  <c r="AB41" i="4"/>
  <c r="AC37" i="4"/>
  <c r="AC38" i="4"/>
  <c r="AC39" i="4"/>
  <c r="AC40" i="4"/>
  <c r="AC41" i="4"/>
  <c r="AD37" i="4"/>
  <c r="AD38" i="4"/>
  <c r="AD39" i="4"/>
  <c r="AD40" i="4"/>
  <c r="AD41" i="4"/>
  <c r="S30" i="4"/>
  <c r="S31" i="4"/>
  <c r="S32" i="4"/>
  <c r="S33" i="4"/>
  <c r="S34" i="4"/>
  <c r="S35" i="4"/>
  <c r="S36" i="4"/>
  <c r="T30" i="4"/>
  <c r="T31" i="4"/>
  <c r="T32" i="4"/>
  <c r="T33" i="4"/>
  <c r="T34" i="4"/>
  <c r="T35" i="4"/>
  <c r="T36" i="4"/>
  <c r="V30" i="4"/>
  <c r="V31" i="4"/>
  <c r="V32" i="4"/>
  <c r="V33" i="4"/>
  <c r="V34" i="4"/>
  <c r="V35" i="4"/>
  <c r="V36" i="4"/>
  <c r="W30" i="4"/>
  <c r="W31" i="4"/>
  <c r="W32" i="4"/>
  <c r="W33" i="4"/>
  <c r="W34" i="4"/>
  <c r="W35" i="4"/>
  <c r="W36" i="4"/>
  <c r="X30" i="4"/>
  <c r="X31" i="4"/>
  <c r="X32" i="4"/>
  <c r="X33" i="4"/>
  <c r="X34" i="4"/>
  <c r="X35" i="4"/>
  <c r="X36" i="4"/>
  <c r="Y30" i="4"/>
  <c r="Y31" i="4"/>
  <c r="Y32" i="4"/>
  <c r="Y33" i="4"/>
  <c r="Y34" i="4"/>
  <c r="Y35" i="4"/>
  <c r="Y36" i="4"/>
  <c r="Z30" i="4"/>
  <c r="Z31" i="4"/>
  <c r="Z32" i="4"/>
  <c r="Z33" i="4"/>
  <c r="Z34" i="4"/>
  <c r="Z35" i="4"/>
  <c r="Z36" i="4"/>
  <c r="AA30" i="4"/>
  <c r="AA31" i="4"/>
  <c r="AA32" i="4"/>
  <c r="AA33" i="4"/>
  <c r="AA34" i="4"/>
  <c r="AA35" i="4"/>
  <c r="AA36" i="4"/>
  <c r="AB30" i="4"/>
  <c r="AB31" i="4"/>
  <c r="AB32" i="4"/>
  <c r="AB33" i="4"/>
  <c r="AB34" i="4"/>
  <c r="AB35" i="4"/>
  <c r="AB36" i="4"/>
  <c r="AC30" i="4"/>
  <c r="AC31" i="4"/>
  <c r="AC32" i="4"/>
  <c r="AC33" i="4"/>
  <c r="AC34" i="4"/>
  <c r="AC35" i="4"/>
  <c r="AC36" i="4"/>
  <c r="AD30" i="4"/>
  <c r="AD31" i="4"/>
  <c r="AD32" i="4"/>
  <c r="AD33" i="4"/>
  <c r="AD34" i="4"/>
  <c r="AD35" i="4"/>
  <c r="AD36" i="4"/>
  <c r="R17" i="4"/>
  <c r="R18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U6" i="4"/>
  <c r="V6" i="4"/>
  <c r="U7" i="4"/>
  <c r="V7" i="4"/>
  <c r="U8" i="4"/>
  <c r="V8" i="4"/>
  <c r="U9" i="4"/>
  <c r="V9" i="4"/>
  <c r="V11" i="4"/>
  <c r="V12" i="4"/>
  <c r="V13" i="4"/>
  <c r="V14" i="4"/>
  <c r="V15" i="4"/>
  <c r="V16" i="4"/>
  <c r="AM16" i="4"/>
  <c r="AM15" i="4"/>
  <c r="AM14" i="4"/>
  <c r="AM13" i="4"/>
  <c r="AM12" i="4"/>
  <c r="AM11" i="4"/>
  <c r="AM9" i="4"/>
  <c r="AM8" i="4"/>
  <c r="AM7" i="4"/>
  <c r="AM6" i="4"/>
  <c r="AE6" i="4"/>
  <c r="AF6" i="4"/>
  <c r="AG6" i="4"/>
  <c r="AH6" i="4"/>
  <c r="AI6" i="4"/>
  <c r="AJ6" i="4"/>
  <c r="AK6" i="4"/>
  <c r="AE7" i="4"/>
  <c r="AF7" i="4"/>
  <c r="AG7" i="4"/>
  <c r="AH7" i="4"/>
  <c r="AI7" i="4"/>
  <c r="AJ7" i="4"/>
  <c r="AK7" i="4"/>
  <c r="AE8" i="4"/>
  <c r="AF8" i="4"/>
  <c r="AG8" i="4"/>
  <c r="AH8" i="4"/>
  <c r="AI8" i="4"/>
  <c r="AJ8" i="4"/>
  <c r="AK8" i="4"/>
  <c r="AE9" i="4"/>
  <c r="AF9" i="4"/>
  <c r="AG9" i="4"/>
  <c r="AH9" i="4"/>
  <c r="AI9" i="4"/>
  <c r="AJ9" i="4"/>
  <c r="AK9" i="4"/>
  <c r="AE11" i="4"/>
  <c r="AF11" i="4"/>
  <c r="AG11" i="4"/>
  <c r="AH11" i="4"/>
  <c r="AI11" i="4"/>
  <c r="AJ11" i="4"/>
  <c r="AK11" i="4"/>
  <c r="AE12" i="4"/>
  <c r="AF12" i="4"/>
  <c r="AG12" i="4"/>
  <c r="AH12" i="4"/>
  <c r="AI12" i="4"/>
  <c r="AJ12" i="4"/>
  <c r="AK12" i="4"/>
  <c r="AE13" i="4"/>
  <c r="AF13" i="4"/>
  <c r="AG13" i="4"/>
  <c r="AH13" i="4"/>
  <c r="AI13" i="4"/>
  <c r="AJ13" i="4"/>
  <c r="AK13" i="4"/>
  <c r="AE14" i="4"/>
  <c r="AF14" i="4"/>
  <c r="AG14" i="4"/>
  <c r="AH14" i="4"/>
  <c r="AI14" i="4"/>
  <c r="AJ14" i="4"/>
  <c r="AK14" i="4"/>
  <c r="AE15" i="4"/>
  <c r="AF15" i="4"/>
  <c r="AG15" i="4"/>
  <c r="AH15" i="4"/>
  <c r="AI15" i="4"/>
  <c r="AJ15" i="4"/>
  <c r="AK15" i="4"/>
  <c r="AE16" i="4"/>
  <c r="AF16" i="4"/>
  <c r="AG16" i="4"/>
  <c r="AH16" i="4"/>
  <c r="AI16" i="4"/>
  <c r="AJ16" i="4"/>
  <c r="AK16" i="4"/>
  <c r="R11" i="4"/>
  <c r="R12" i="4"/>
  <c r="R13" i="4"/>
  <c r="R14" i="4"/>
  <c r="R15" i="4"/>
  <c r="R16" i="4"/>
  <c r="S6" i="4"/>
  <c r="S7" i="4"/>
  <c r="S8" i="4"/>
  <c r="S9" i="4"/>
  <c r="S11" i="4"/>
  <c r="S12" i="4"/>
  <c r="S13" i="4"/>
  <c r="S14" i="4"/>
  <c r="S15" i="4"/>
  <c r="S16" i="4"/>
  <c r="T6" i="4"/>
  <c r="T7" i="4"/>
  <c r="T8" i="4"/>
  <c r="T9" i="4"/>
  <c r="T11" i="4"/>
  <c r="T12" i="4"/>
  <c r="T13" i="4"/>
  <c r="T14" i="4"/>
  <c r="T15" i="4"/>
  <c r="T16" i="4"/>
  <c r="W6" i="4"/>
  <c r="W7" i="4"/>
  <c r="W8" i="4"/>
  <c r="W9" i="4"/>
  <c r="W11" i="4"/>
  <c r="W12" i="4"/>
  <c r="W13" i="4"/>
  <c r="W14" i="4"/>
  <c r="W15" i="4"/>
  <c r="W16" i="4"/>
  <c r="X6" i="4"/>
  <c r="X7" i="4"/>
  <c r="X8" i="4"/>
  <c r="X9" i="4"/>
  <c r="X11" i="4"/>
  <c r="X12" i="4"/>
  <c r="X13" i="4"/>
  <c r="X14" i="4"/>
  <c r="X15" i="4"/>
  <c r="X16" i="4"/>
  <c r="Y6" i="4"/>
  <c r="Y7" i="4"/>
  <c r="Y8" i="4"/>
  <c r="Y9" i="4"/>
  <c r="Y11" i="4"/>
  <c r="Y12" i="4"/>
  <c r="Y13" i="4"/>
  <c r="Y14" i="4"/>
  <c r="Y15" i="4"/>
  <c r="Y16" i="4"/>
  <c r="Z6" i="4"/>
  <c r="Z7" i="4"/>
  <c r="Z8" i="4"/>
  <c r="Z9" i="4"/>
  <c r="Z11" i="4"/>
  <c r="Z12" i="4"/>
  <c r="Z13" i="4"/>
  <c r="Z14" i="4"/>
  <c r="Z15" i="4"/>
  <c r="Z16" i="4"/>
  <c r="AA6" i="4"/>
  <c r="AA7" i="4"/>
  <c r="AA8" i="4"/>
  <c r="AA9" i="4"/>
  <c r="AA11" i="4"/>
  <c r="AA12" i="4"/>
  <c r="AA13" i="4"/>
  <c r="AA14" i="4"/>
  <c r="AA15" i="4"/>
  <c r="AA16" i="4"/>
  <c r="AB6" i="4"/>
  <c r="AB7" i="4"/>
  <c r="AB8" i="4"/>
  <c r="AB9" i="4"/>
  <c r="AB11" i="4"/>
  <c r="AB12" i="4"/>
  <c r="AB13" i="4"/>
  <c r="AB14" i="4"/>
  <c r="AB15" i="4"/>
  <c r="AB16" i="4"/>
  <c r="AC6" i="4"/>
  <c r="AC7" i="4"/>
  <c r="AC8" i="4"/>
  <c r="AC9" i="4"/>
  <c r="AC11" i="4"/>
  <c r="AC12" i="4"/>
  <c r="AC13" i="4"/>
  <c r="AC14" i="4"/>
  <c r="AC15" i="4"/>
  <c r="AC16" i="4"/>
  <c r="AD6" i="4"/>
  <c r="AD7" i="4"/>
  <c r="AD8" i="4"/>
  <c r="AD9" i="4"/>
  <c r="AD11" i="4"/>
  <c r="AD12" i="4"/>
  <c r="AD13" i="4"/>
  <c r="AD14" i="4"/>
  <c r="AD15" i="4"/>
  <c r="AD16" i="4"/>
  <c r="A2" i="4"/>
  <c r="AL109" i="4" l="1"/>
  <c r="AN109" i="4" s="1"/>
  <c r="AL140" i="4"/>
  <c r="AN140" i="4" s="1"/>
  <c r="AL118" i="4"/>
  <c r="AN118" i="4" s="1"/>
  <c r="AL111" i="4"/>
  <c r="AN111" i="4" s="1"/>
  <c r="AL41" i="4"/>
  <c r="AN41" i="4" s="1"/>
  <c r="AL48" i="4"/>
  <c r="AN48" i="4" s="1"/>
  <c r="AL99" i="4"/>
  <c r="AN99" i="4" s="1"/>
  <c r="AL38" i="4"/>
  <c r="AN38" i="4" s="1"/>
  <c r="AL77" i="4"/>
  <c r="AN77" i="4" s="1"/>
  <c r="AL137" i="4"/>
  <c r="AN137" i="4" s="1"/>
  <c r="AL56" i="4"/>
  <c r="AN56" i="4" s="1"/>
  <c r="AL139" i="4"/>
  <c r="AN139" i="4" s="1"/>
  <c r="AL58" i="4"/>
  <c r="AN58" i="4" s="1"/>
  <c r="AL123" i="4"/>
  <c r="AN123" i="4" s="1"/>
  <c r="AL135" i="4"/>
  <c r="AN135" i="4" s="1"/>
  <c r="AL122" i="4"/>
  <c r="AN122" i="4" s="1"/>
  <c r="AL65" i="4"/>
  <c r="AN65" i="4" s="1"/>
  <c r="AL121" i="4"/>
  <c r="AN121" i="4" s="1"/>
  <c r="AL64" i="4"/>
  <c r="AN64" i="4" s="1"/>
  <c r="AL30" i="4"/>
  <c r="AN30" i="4" s="1"/>
  <c r="AL71" i="4"/>
  <c r="AN71" i="4" s="1"/>
  <c r="AL51" i="4"/>
  <c r="AN51" i="4" s="1"/>
  <c r="AL47" i="4"/>
  <c r="AN47" i="4" s="1"/>
  <c r="AL90" i="4"/>
  <c r="AN90" i="4" s="1"/>
  <c r="AL124" i="4"/>
  <c r="AN124" i="4" s="1"/>
  <c r="AL133" i="4"/>
  <c r="AN133" i="4" s="1"/>
  <c r="AL69" i="4"/>
  <c r="AN69" i="4" s="1"/>
  <c r="AL32" i="4"/>
  <c r="AN32" i="4" s="1"/>
  <c r="AL33" i="4"/>
  <c r="AN33" i="4" s="1"/>
  <c r="AL11" i="4"/>
  <c r="AN11" i="4" s="1"/>
  <c r="AL120" i="4"/>
  <c r="AN120" i="4" s="1"/>
  <c r="AL39" i="4"/>
  <c r="AN39" i="4" s="1"/>
  <c r="AL116" i="4"/>
  <c r="AN116" i="4" s="1"/>
  <c r="AL114" i="4"/>
  <c r="AN114" i="4" s="1"/>
  <c r="AL113" i="4"/>
  <c r="AN113" i="4" s="1"/>
  <c r="AL106" i="4"/>
  <c r="AN106" i="4" s="1"/>
  <c r="AL145" i="4"/>
  <c r="AN145" i="4" s="1"/>
  <c r="AL20" i="4"/>
  <c r="AN20" i="4" s="1"/>
  <c r="AL88" i="4"/>
  <c r="AN88" i="4" s="1"/>
  <c r="AL81" i="4"/>
  <c r="AN81" i="4" s="1"/>
  <c r="AL61" i="4"/>
  <c r="AN61" i="4" s="1"/>
  <c r="AL144" i="4"/>
  <c r="AN144" i="4" s="1"/>
  <c r="AL93" i="4"/>
  <c r="AN93" i="4" s="1"/>
  <c r="AL96" i="4"/>
  <c r="AN96" i="4" s="1"/>
  <c r="AL94" i="4"/>
  <c r="AN94" i="4" s="1"/>
  <c r="AL108" i="4"/>
  <c r="AN108" i="4" s="1"/>
  <c r="AL91" i="4"/>
  <c r="AN91" i="4" s="1"/>
  <c r="AL68" i="4"/>
  <c r="AN68" i="4" s="1"/>
  <c r="AL55" i="4"/>
  <c r="AN55" i="4" s="1"/>
  <c r="AL92" i="4"/>
  <c r="AN92" i="4" s="1"/>
  <c r="AL40" i="4"/>
  <c r="AN40" i="4" s="1"/>
  <c r="AL15" i="4"/>
  <c r="AN15" i="4" s="1"/>
  <c r="AL44" i="4"/>
  <c r="AN44" i="4" s="1"/>
  <c r="AL72" i="4"/>
  <c r="AN72" i="4" s="1"/>
  <c r="AL49" i="4"/>
  <c r="AN49" i="4" s="1"/>
  <c r="AL142" i="4"/>
  <c r="AN142" i="4" s="1"/>
  <c r="AL19" i="4"/>
  <c r="AN19" i="4" s="1"/>
  <c r="AL25" i="4"/>
  <c r="AN25" i="4" s="1"/>
  <c r="AL31" i="4"/>
  <c r="AN31" i="4" s="1"/>
  <c r="AL70" i="4"/>
  <c r="AN70" i="4" s="1"/>
  <c r="AL46" i="4"/>
  <c r="AN46" i="4" s="1"/>
  <c r="AL73" i="4"/>
  <c r="AN73" i="4" s="1"/>
  <c r="AL117" i="4"/>
  <c r="AN117" i="4" s="1"/>
  <c r="AL43" i="4"/>
  <c r="AN43" i="4" s="1"/>
  <c r="AL36" i="4"/>
  <c r="AN36" i="4" s="1"/>
  <c r="AL52" i="4"/>
  <c r="AN52" i="4" s="1"/>
  <c r="AL105" i="4"/>
  <c r="AN105" i="4" s="1"/>
  <c r="AL66" i="4"/>
  <c r="AN66" i="4" s="1"/>
  <c r="AL125" i="4"/>
  <c r="AN125" i="4" s="1"/>
  <c r="AL134" i="4"/>
  <c r="AN134" i="4" s="1"/>
  <c r="AL131" i="4"/>
  <c r="AN131" i="4" s="1"/>
  <c r="AL29" i="4"/>
  <c r="AN29" i="4" s="1"/>
  <c r="AL22" i="4"/>
  <c r="AN22" i="4" s="1"/>
  <c r="AL35" i="4"/>
  <c r="AN35" i="4" s="1"/>
  <c r="AL86" i="4"/>
  <c r="AN86" i="4" s="1"/>
  <c r="AL85" i="4"/>
  <c r="AN85" i="4" s="1"/>
  <c r="AL132" i="4"/>
  <c r="AN132" i="4" s="1"/>
  <c r="AL130" i="4"/>
  <c r="AN130" i="4" s="1"/>
  <c r="AL7" i="4"/>
  <c r="AN7" i="4" s="1"/>
  <c r="AL76" i="4"/>
  <c r="AN76" i="4" s="1"/>
  <c r="AL84" i="4"/>
  <c r="AN84" i="4" s="1"/>
  <c r="AL141" i="4"/>
  <c r="AN141" i="4" s="1"/>
  <c r="AL6" i="4"/>
  <c r="AN6" i="4" s="1"/>
  <c r="AL21" i="4"/>
  <c r="AN21" i="4" s="1"/>
  <c r="AL27" i="4"/>
  <c r="AN27" i="4" s="1"/>
  <c r="AL103" i="4"/>
  <c r="AN103" i="4" s="1"/>
  <c r="AL83" i="4"/>
  <c r="AN83" i="4" s="1"/>
  <c r="AL63" i="4"/>
  <c r="AN63" i="4" s="1"/>
  <c r="AL146" i="4"/>
  <c r="AN146" i="4" s="1"/>
  <c r="AL127" i="4"/>
  <c r="AN127" i="4" s="1"/>
  <c r="AL16" i="4"/>
  <c r="AN16" i="4" s="1"/>
  <c r="AL26" i="4"/>
  <c r="AN26" i="4" s="1"/>
  <c r="AL102" i="4"/>
  <c r="AN102" i="4" s="1"/>
  <c r="AL82" i="4"/>
  <c r="AN82" i="4" s="1"/>
  <c r="AL62" i="4"/>
  <c r="AN62" i="4" s="1"/>
  <c r="AL18" i="4"/>
  <c r="AN18" i="4" s="1"/>
  <c r="AL59" i="4"/>
  <c r="AN59" i="4" s="1"/>
  <c r="AL112" i="4"/>
  <c r="AN112" i="4" s="1"/>
  <c r="AL119" i="4"/>
  <c r="AN119" i="4" s="1"/>
  <c r="AL126" i="4"/>
  <c r="AN126" i="4" s="1"/>
  <c r="AL138" i="4"/>
  <c r="AN138" i="4" s="1"/>
  <c r="AL17" i="4"/>
  <c r="AN17" i="4" s="1"/>
  <c r="AL45" i="4"/>
  <c r="AN45" i="4" s="1"/>
  <c r="AL100" i="4"/>
  <c r="AN100" i="4" s="1"/>
  <c r="AL80" i="4"/>
  <c r="AN80" i="4" s="1"/>
  <c r="AL60" i="4"/>
  <c r="AN60" i="4" s="1"/>
  <c r="AL110" i="4"/>
  <c r="AN110" i="4" s="1"/>
  <c r="AL42" i="4"/>
  <c r="AN42" i="4" s="1"/>
  <c r="AL128" i="4"/>
  <c r="AN128" i="4" s="1"/>
  <c r="AL129" i="4"/>
  <c r="AN129" i="4" s="1"/>
  <c r="AL24" i="4"/>
  <c r="AN24" i="4" s="1"/>
  <c r="AL23" i="4"/>
  <c r="AN23" i="4" s="1"/>
  <c r="AL98" i="4"/>
  <c r="AN98" i="4" s="1"/>
  <c r="AL79" i="4"/>
  <c r="AN79" i="4" s="1"/>
  <c r="AL136" i="4"/>
  <c r="AN136" i="4" s="1"/>
  <c r="AL9" i="4"/>
  <c r="AN9" i="4" s="1"/>
  <c r="AL95" i="4"/>
  <c r="AN95" i="4" s="1"/>
  <c r="AL8" i="4"/>
  <c r="AN8" i="4" s="1"/>
  <c r="AL37" i="4"/>
  <c r="AN37" i="4" s="1"/>
  <c r="AL57" i="4"/>
  <c r="AN57" i="4" s="1"/>
  <c r="AL74" i="4"/>
  <c r="AN74" i="4" s="1"/>
  <c r="AL78" i="4"/>
  <c r="AN78" i="4" s="1"/>
  <c r="AL75" i="4"/>
  <c r="AN75" i="4" s="1"/>
  <c r="AL54" i="4"/>
  <c r="AN54" i="4" s="1"/>
  <c r="AL143" i="4"/>
  <c r="AN143" i="4" s="1"/>
  <c r="AL28" i="4"/>
  <c r="AN28" i="4" s="1"/>
  <c r="AL14" i="4"/>
  <c r="AN14" i="4" s="1"/>
  <c r="AL89" i="4"/>
  <c r="AN89" i="4" s="1"/>
  <c r="AL50" i="4"/>
  <c r="AN50" i="4" s="1"/>
  <c r="AL107" i="4"/>
  <c r="AN107" i="4" s="1"/>
  <c r="AL13" i="4"/>
  <c r="AN13" i="4" s="1"/>
  <c r="AL12" i="4"/>
  <c r="AN12" i="4" s="1"/>
  <c r="AL34" i="4"/>
  <c r="AN34" i="4" s="1"/>
  <c r="AL53" i="4"/>
  <c r="AN53" i="4" s="1"/>
  <c r="AL87" i="4"/>
  <c r="AN87" i="4" s="1"/>
  <c r="AL67" i="4"/>
  <c r="AN67" i="4" s="1"/>
  <c r="AL104" i="4"/>
  <c r="AN104" i="4" s="1"/>
  <c r="AL101" i="4"/>
  <c r="AN101" i="4" s="1"/>
  <c r="AL97" i="4"/>
  <c r="AN97" i="4" s="1"/>
  <c r="AL115" i="4"/>
  <c r="AN115" i="4" s="1"/>
  <c r="AN164" i="4"/>
  <c r="AN187" i="4"/>
  <c r="AN253" i="4"/>
  <c r="AN204" i="4"/>
  <c r="AN188" i="4"/>
  <c r="AN234" i="4"/>
  <c r="AN219" i="4"/>
  <c r="AN150" i="4"/>
  <c r="AN235" i="4"/>
  <c r="AN232" i="4"/>
  <c r="AN201" i="4"/>
  <c r="AN183" i="4"/>
  <c r="AN248" i="4"/>
  <c r="AN229" i="4"/>
  <c r="AN247" i="4"/>
  <c r="AN211" i="4"/>
  <c r="AN176" i="4"/>
  <c r="AN192" i="4"/>
  <c r="AN162" i="4"/>
  <c r="AN250" i="4"/>
  <c r="AN160" i="4"/>
  <c r="AN233" i="4"/>
  <c r="AN149" i="4"/>
  <c r="AN161" i="4"/>
  <c r="AN230" i="4"/>
  <c r="AN184" i="4"/>
  <c r="AN202" i="4"/>
  <c r="AN165" i="4"/>
  <c r="AN166" i="4"/>
  <c r="AN177" i="4"/>
  <c r="AN228" i="4"/>
  <c r="AN210" i="4"/>
  <c r="AN154" i="4"/>
</calcChain>
</file>

<file path=xl/sharedStrings.xml><?xml version="1.0" encoding="utf-8"?>
<sst xmlns="http://schemas.openxmlformats.org/spreadsheetml/2006/main" count="9788" uniqueCount="1821">
  <si>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</si>
  <si>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</si>
  <si>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</si>
  <si>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</si>
  <si>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</si>
  <si>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</si>
  <si>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</si>
  <si>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</si>
  <si>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</si>
  <si>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</si>
  <si>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</si>
  <si>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</si>
  <si>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</si>
  <si>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</si>
  <si>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</si>
  <si>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</si>
  <si>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</si>
  <si>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</si>
  <si>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</si>
  <si>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</si>
  <si>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</si>
  <si>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</si>
  <si>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</si>
  <si>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</si>
  <si>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</si>
  <si>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</si>
  <si>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</si>
  <si>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</si>
  <si>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</si>
  <si>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</si>
  <si>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</si>
  <si>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</si>
  <si>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</si>
  <si>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</si>
  <si>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</si>
  <si>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</si>
  <si>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</si>
  <si>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</si>
  <si>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</si>
  <si>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</si>
  <si>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</si>
  <si>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</si>
  <si>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</si>
  <si>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</si>
  <si>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</si>
  <si>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</si>
  <si>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</si>
  <si>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</si>
  <si>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</si>
  <si>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</si>
  <si>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</si>
  <si>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</si>
  <si>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 xml:space="preserve">Nr. Części </t>
  </si>
  <si>
    <t>ID. Części</t>
  </si>
  <si>
    <t>Rewizja</t>
  </si>
  <si>
    <t>Komentarz</t>
  </si>
  <si>
    <t>Braki</t>
  </si>
  <si>
    <t>Notatki</t>
  </si>
  <si>
    <t>Data wpisania
dd-mm-yyyy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</si>
  <si>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</si>
  <si>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</si>
  <si>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</si>
  <si>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</si>
  <si>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</si>
  <si>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</si>
  <si>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</si>
  <si>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</si>
  <si>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</si>
  <si>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</si>
  <si>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</si>
  <si>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</si>
  <si>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</si>
  <si>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</si>
  <si>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</si>
  <si>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</si>
  <si>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</si>
  <si>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</si>
  <si>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</si>
  <si>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</si>
  <si>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</si>
  <si>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</si>
  <si>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</si>
  <si>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</si>
  <si>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</si>
  <si>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</si>
  <si>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</si>
  <si>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</si>
  <si>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</si>
  <si>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</si>
  <si>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</si>
  <si>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</si>
  <si>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</si>
  <si>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</si>
  <si>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</si>
  <si>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</si>
  <si>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</si>
  <si>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</si>
  <si>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</si>
  <si>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</si>
  <si>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</si>
  <si>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</si>
  <si>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</si>
  <si>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</si>
  <si>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</si>
  <si>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</si>
  <si>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</si>
  <si>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</si>
  <si>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</si>
  <si>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</si>
  <si>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PRT-A0065981</t>
  </si>
  <si>
    <t>A</t>
  </si>
  <si>
    <t>Osłona 3</t>
  </si>
  <si>
    <t>1704-01-PRT-A0065981-A-Osłona 3</t>
  </si>
  <si>
    <t>PC /poliweglan</t>
  </si>
  <si>
    <t>Laser</t>
  </si>
  <si>
    <t>Modernizacja wygrodzenia 1704 - BMW G60</t>
  </si>
  <si>
    <t>PRT-A0062094</t>
  </si>
  <si>
    <t>Płytka łącząca</t>
  </si>
  <si>
    <t>1927-000-PRT-A0062094-A-Płytka łącząca</t>
  </si>
  <si>
    <t>S235JR/1.0037</t>
  </si>
  <si>
    <t>Malować RAL 7045 (ciemny szary)</t>
  </si>
  <si>
    <t xml:space="preserve">Ilość według listy </t>
  </si>
  <si>
    <t>PRT-A0065974</t>
  </si>
  <si>
    <t>Osłona 2</t>
  </si>
  <si>
    <t>1704-01-PRT-A0065974-A-Osłona 2</t>
  </si>
  <si>
    <t>PRT-A0065972</t>
  </si>
  <si>
    <t>Osłona</t>
  </si>
  <si>
    <t>1704-01-PRT-A0065972-A-Osłona</t>
  </si>
  <si>
    <t>K. Lak</t>
  </si>
  <si>
    <t>3</t>
  </si>
  <si>
    <t>7</t>
  </si>
  <si>
    <t>8</t>
  </si>
  <si>
    <t>10</t>
  </si>
  <si>
    <t>Z:\3. MS\2011,2013 - VW ECRAFTER   ID BUZ NAR\5 - RYSUNKI</t>
  </si>
  <si>
    <t>PDF</t>
  </si>
  <si>
    <t>DXF</t>
  </si>
  <si>
    <t>STEP</t>
  </si>
  <si>
    <t>000 - Elementy Wspólne</t>
  </si>
  <si>
    <t>1704 - Drzwi serwisowe</t>
  </si>
  <si>
    <t>000 - Elementy Wspólne2</t>
  </si>
  <si>
    <t>100 - Podmontaż Dźwigni</t>
  </si>
  <si>
    <t>200 - Podmontaż wspornika</t>
  </si>
  <si>
    <t>300 - Podmontaż mikrostyków</t>
  </si>
  <si>
    <t>400 - Modernizacja Narzędzia ID BUZ na ID BUZ NAR</t>
  </si>
  <si>
    <t>500 - Modernizacja Chwytaków ID BUZ na ID BUZ NAR</t>
  </si>
  <si>
    <t>000.MAG.22.M8</t>
  </si>
  <si>
    <t>Kostka zderzaka</t>
  </si>
  <si>
    <t>45/1.0530</t>
  </si>
  <si>
    <t>Promatik</t>
  </si>
  <si>
    <t>Czernić</t>
  </si>
  <si>
    <t>PRT-A0068851</t>
  </si>
  <si>
    <t>Płyta dolna</t>
  </si>
  <si>
    <t>2011-400-PRT-A0068851-A-Płyta dolna</t>
  </si>
  <si>
    <t>PA6/3.1325</t>
  </si>
  <si>
    <t>Skrawanie</t>
  </si>
  <si>
    <t>Anodować</t>
  </si>
  <si>
    <t>PRT-A0068849</t>
  </si>
  <si>
    <t>Mocowanie siłownika 1</t>
  </si>
  <si>
    <t>2011-400-PRT-A0068849-A-Mocowanie siłownika 1</t>
  </si>
  <si>
    <t>PRT-A0068848</t>
  </si>
  <si>
    <t>Mocowanie siłownika 2</t>
  </si>
  <si>
    <t>2011-400-PRT-A0068848-A-Mocowanie siłownika 2</t>
  </si>
  <si>
    <t>PRT-A0068847</t>
  </si>
  <si>
    <t>Płyta pionowa</t>
  </si>
  <si>
    <t>2011-400-PRT-A0068847-A-Płyta pionowa</t>
  </si>
  <si>
    <t>PRT-A0068852</t>
  </si>
  <si>
    <t xml:space="preserve">Tulejka </t>
  </si>
  <si>
    <t xml:space="preserve">2011-400-PRT-A0068852-A-Tulejka </t>
  </si>
  <si>
    <t>C45/1.0503</t>
  </si>
  <si>
    <t>PRT-A0068850</t>
  </si>
  <si>
    <t>Uchwyt sprzęgła</t>
  </si>
  <si>
    <t>2011-400-PRT-A0068850-A-Uchwyt sprzęgła</t>
  </si>
  <si>
    <t xml:space="preserve"> </t>
  </si>
  <si>
    <t>PRT-A0068846</t>
  </si>
  <si>
    <t>Uchwyt sprzęgła 2</t>
  </si>
  <si>
    <t>2011-400-PRT-A0068846-A-Uchwyt sprzęgła 2</t>
  </si>
  <si>
    <t>PRT-A0068844</t>
  </si>
  <si>
    <t>Płytka boczna</t>
  </si>
  <si>
    <t>2011-400-PRT-A0068844-A-Płytka boczna</t>
  </si>
  <si>
    <t>PRT-A0068842</t>
  </si>
  <si>
    <t>2011-400-PRT-A0068842-A-Mocowanie wypychacza</t>
  </si>
  <si>
    <t>PRT-A0068841</t>
  </si>
  <si>
    <t>Gniazdo górne pina</t>
  </si>
  <si>
    <t>2011-400-PRT-A0068841-A-Gniazdo górne pina</t>
  </si>
  <si>
    <t>Gniazdo górne pina-Lustro</t>
  </si>
  <si>
    <t>2011-400-PRT-A0068841-A-Gniazdo górne pina-Lustro</t>
  </si>
  <si>
    <t>PRT-A0068857</t>
  </si>
  <si>
    <t>Tuleja prowadząca</t>
  </si>
  <si>
    <t>2011-400-PRT-A0068857-A-Tuleja prowadząca</t>
  </si>
  <si>
    <t>B101 /CuSn10P</t>
  </si>
  <si>
    <t>PRT-A0068858</t>
  </si>
  <si>
    <t>Gniazdo pina</t>
  </si>
  <si>
    <t>2011-400-PRT-A0068858-A-Gniazdo pina</t>
  </si>
  <si>
    <t>40H/1.7035</t>
  </si>
  <si>
    <t>PRT-A0068856</t>
  </si>
  <si>
    <t>Tuleja końcowa</t>
  </si>
  <si>
    <t>2011-400-PRT-A0068856-A-Tuleja końcowa</t>
  </si>
  <si>
    <t>PRT-A0068855</t>
  </si>
  <si>
    <t>Wałek gwintowany</t>
  </si>
  <si>
    <t>2011-400-PRT-A0068855-A-Wałek gwintowany</t>
  </si>
  <si>
    <t>PRT-A0068854</t>
  </si>
  <si>
    <t>Nakrętka</t>
  </si>
  <si>
    <t>2011-400-PRT-A0068854-A-Nakrętka</t>
  </si>
  <si>
    <t>PRT-A0068853</t>
  </si>
  <si>
    <t>Nakrętka 2</t>
  </si>
  <si>
    <t>2011-400-PRT-A0068853-A-Nakrętka 2</t>
  </si>
  <si>
    <t>PRT-A0068845</t>
  </si>
  <si>
    <t>Blaszka boczna</t>
  </si>
  <si>
    <t>2011-400-PRT-A0068845-A-Blaszka boczna</t>
  </si>
  <si>
    <t>0H18N9/1.4301</t>
  </si>
  <si>
    <t>M. Ziętal</t>
  </si>
  <si>
    <t>400-Narzędzie Ecrafter tył</t>
  </si>
  <si>
    <t>40 HRC±2HRC</t>
  </si>
  <si>
    <t>Mocowanie wypychacza</t>
  </si>
  <si>
    <t>32 HRC±2HRC</t>
  </si>
  <si>
    <t>PRT-A0068777</t>
  </si>
  <si>
    <t>2011-400-PRT-A0068777-A-Mocowanie prowadnika 2</t>
  </si>
  <si>
    <t>PRT-A0068776</t>
  </si>
  <si>
    <t>2011-400-PRT-A0068776-A-Mocowanie prowadnika</t>
  </si>
  <si>
    <t>PRT-A0068787</t>
  </si>
  <si>
    <t>Wałek docisku</t>
  </si>
  <si>
    <t>2011-400-PRT-A0068787-A-Wałek docisku</t>
  </si>
  <si>
    <t>REXROTH</t>
  </si>
  <si>
    <t>PRT-A0068781</t>
  </si>
  <si>
    <t>Dystans blokady</t>
  </si>
  <si>
    <t>2011-400-PRT-A0068781-A-Dystans blokady</t>
  </si>
  <si>
    <t>PA9/3.4365</t>
  </si>
  <si>
    <t>PRT-A0068785</t>
  </si>
  <si>
    <t>2011-400-PRT-A0068785-A-Płyta pionowa</t>
  </si>
  <si>
    <t>PRT-A0068784</t>
  </si>
  <si>
    <t>Płytka dolna</t>
  </si>
  <si>
    <t>2011-400-PRT-A0068784-A-Płytka dolna</t>
  </si>
  <si>
    <t>PRT-A0068783</t>
  </si>
  <si>
    <t>Płytka przednia</t>
  </si>
  <si>
    <t>2011-400-PRT-A0068783-A-Płytka przednia</t>
  </si>
  <si>
    <t>PRT-A0068782</t>
  </si>
  <si>
    <t>Żebro 2</t>
  </si>
  <si>
    <t>2011-400-PRT-A0068782-A-Żebro 2</t>
  </si>
  <si>
    <t>PRT-A0068780</t>
  </si>
  <si>
    <t>Mocowanie siłownika</t>
  </si>
  <si>
    <t>2011-400-PRT-A0068780-A-Mocowanie siłownika</t>
  </si>
  <si>
    <t>PRT-A0068779</t>
  </si>
  <si>
    <t>Mocowanie sprzęgła</t>
  </si>
  <si>
    <t>2011-400-PRT-A0068779-A-Mocowanie sprzęgła</t>
  </si>
  <si>
    <t>PRT-A0068778</t>
  </si>
  <si>
    <t>Żebro</t>
  </si>
  <si>
    <t>2011-400-PRT-A0068778-A-Żebro</t>
  </si>
  <si>
    <t>PRT-A0068786</t>
  </si>
  <si>
    <t>Oprawa łożysk</t>
  </si>
  <si>
    <t>2011-400-PRT-A0068786-A-Oprawa łożysk</t>
  </si>
  <si>
    <t>Mocowanie prowadnika 2</t>
  </si>
  <si>
    <t>Mocowanie prowadnika</t>
  </si>
  <si>
    <t>PRT-A0068862</t>
  </si>
  <si>
    <t>Płyta narzędzia</t>
  </si>
  <si>
    <t>2011-400-PRT-A0068862-A-Płyta narzędzia</t>
  </si>
  <si>
    <t>PRT-A0068861</t>
  </si>
  <si>
    <t>Płytka narożna</t>
  </si>
  <si>
    <t>2011-400-PRT-A0068861-A-Płytka narożna</t>
  </si>
  <si>
    <t>Cynkować na czarno</t>
  </si>
  <si>
    <t>PRT-A0068860</t>
  </si>
  <si>
    <t>Płytka środkowa</t>
  </si>
  <si>
    <t>2011-400-PRT-A0068860-A-Płytka środkowa</t>
  </si>
  <si>
    <t>PRT-A0068859</t>
  </si>
  <si>
    <t>Ślizg</t>
  </si>
  <si>
    <t>2011-400-PRT-A0068859-A-Ślizg</t>
  </si>
  <si>
    <t>P.P</t>
  </si>
  <si>
    <t>2011-800-PRT-A0069838-A-Uchwyt czujnika</t>
  </si>
  <si>
    <t>Uchwyt czujnika</t>
  </si>
  <si>
    <t>PRT-A0069838</t>
  </si>
  <si>
    <t>PRT-A0069838-Lustro</t>
  </si>
  <si>
    <t>2011-800-PRT-A0069838-A-Uchwyt czujnika-Lustro</t>
  </si>
  <si>
    <t>ZKZ</t>
  </si>
  <si>
    <t>OSŁONY  PC</t>
  </si>
  <si>
    <t>PCz</t>
  </si>
  <si>
    <t xml:space="preserve"> PRT-A0070324 </t>
  </si>
  <si>
    <t>2011-300-PRT-A0070324-A-Uchwyt czujnika</t>
  </si>
  <si>
    <t>Spiroflex</t>
  </si>
  <si>
    <t>Z/2011/laser-cz1/PCz/2023</t>
  </si>
  <si>
    <t>000.MAG.50 - M6 x30</t>
  </si>
  <si>
    <t>H</t>
  </si>
  <si>
    <t>Śruba separująca</t>
  </si>
  <si>
    <t>PROMATIK</t>
  </si>
  <si>
    <t>000.MAG.50 - M5x30</t>
  </si>
  <si>
    <t>C</t>
  </si>
  <si>
    <t>Śruba separujaca</t>
  </si>
  <si>
    <t>000.MAG.22.M6H</t>
  </si>
  <si>
    <t>000.MAG.22.M6</t>
  </si>
  <si>
    <t>B</t>
  </si>
  <si>
    <t>000.MAG.22M6</t>
  </si>
  <si>
    <t>PRT-A0069934</t>
  </si>
  <si>
    <t>Blacha wzmacniająca</t>
  </si>
  <si>
    <t>2011-200-PRT-A0069934-A-Blacha wzmacniająca</t>
  </si>
  <si>
    <t>PRT-A0069927</t>
  </si>
  <si>
    <t>PRT-A0069926</t>
  </si>
  <si>
    <t>PRT-A0069925</t>
  </si>
  <si>
    <t>PRT-A0069923</t>
  </si>
  <si>
    <t>Blaszka amortyzatora</t>
  </si>
  <si>
    <t>2011-200-PRT-A0069923-A-Blaszka amortyzatora</t>
  </si>
  <si>
    <t>PRT-A0069922</t>
  </si>
  <si>
    <t>Blacha amortyzatorów</t>
  </si>
  <si>
    <t>2011-200-PRT-A0069922-A-Blacha amortyzatorów</t>
  </si>
  <si>
    <t>PRT-A0070322</t>
  </si>
  <si>
    <t>Gniazdo RH cz2</t>
  </si>
  <si>
    <t>2011-200-PRT-A0070322-A-Gniazdo RH cz2</t>
  </si>
  <si>
    <t>POM</t>
  </si>
  <si>
    <t>PRT-A0070317</t>
  </si>
  <si>
    <t>Gniazdo RH cz1</t>
  </si>
  <si>
    <t>2011-200-PRT-A0070317-A-Gniazdo RH cz1</t>
  </si>
  <si>
    <t>PRT-A0069982</t>
  </si>
  <si>
    <t>Gniazdo LH cz2</t>
  </si>
  <si>
    <t>2011-200-PRT-A0069982-A-Gniazdo LH cz2</t>
  </si>
  <si>
    <t>PRT-A0069975</t>
  </si>
  <si>
    <t>Gniazdo LH cz1</t>
  </si>
  <si>
    <t>2011-200-PRT-A0069975-A-Gniazdo LH cz1</t>
  </si>
  <si>
    <t>PRT-A0069928</t>
  </si>
  <si>
    <t>2011-200-PRT-A0069928-A-Wspornik siłownika obrotowego</t>
  </si>
  <si>
    <t>PA38/3.2315</t>
  </si>
  <si>
    <t>PRT-A0070378</t>
  </si>
  <si>
    <t>Płytka adaptera</t>
  </si>
  <si>
    <t>2011-200-PRT-A0070378-A-Płytka adaptera</t>
  </si>
  <si>
    <t>PA13/3.3547</t>
  </si>
  <si>
    <t>PRT-A0070366</t>
  </si>
  <si>
    <t>PRT-A0070313</t>
  </si>
  <si>
    <t>2011-200-PRT-A0070313-A-Podstawka gniazda ECrafter RH</t>
  </si>
  <si>
    <t>PRT-A0069974</t>
  </si>
  <si>
    <t>2011-200-PRT-A0069974-A-Podstawka gniazda ECrafter LH</t>
  </si>
  <si>
    <t>PRT-A0069970</t>
  </si>
  <si>
    <t>Płyta pod gniazdami</t>
  </si>
  <si>
    <t>2011-200-PRT-A0069970-A-Płyta pod gniazdami</t>
  </si>
  <si>
    <t>PRT-A0069929</t>
  </si>
  <si>
    <t>Dystans docisku</t>
  </si>
  <si>
    <t>2011-200-PRT-A0069929-A-Dystans docisku</t>
  </si>
  <si>
    <t>PRT-A0069921</t>
  </si>
  <si>
    <t>Podstawa szyny</t>
  </si>
  <si>
    <t>2011-200-PRT-A0069921-A-Podstawa szyny</t>
  </si>
  <si>
    <t>PRT-A0069917</t>
  </si>
  <si>
    <t>Zastrzał osi Z</t>
  </si>
  <si>
    <t>2011-200-PRT-A0069917-A-Zastrzał osi Z</t>
  </si>
  <si>
    <t>PRT-A0069916</t>
  </si>
  <si>
    <t>2011-200-PRT-A0069916-A-Mocowanie sprzęgła oś Z</t>
  </si>
  <si>
    <t>PRT-A0069913</t>
  </si>
  <si>
    <t>Płyta szyn osi Z</t>
  </si>
  <si>
    <t>2011-200-PRT-A0069913-A-Płyta szyn osi Z</t>
  </si>
  <si>
    <t>PRT-A0069912</t>
  </si>
  <si>
    <t>2011-200-PRT-A0069912-A-Podstawa szyny</t>
  </si>
  <si>
    <t>PRT-A0069910</t>
  </si>
  <si>
    <t>Płyta suportu</t>
  </si>
  <si>
    <t>2011-200-PRT-A0069910-A-Płyta suportu</t>
  </si>
  <si>
    <t>PRT-A0069906</t>
  </si>
  <si>
    <t>Płyta prasy</t>
  </si>
  <si>
    <t>2011-200-PRT-A0069906-A-Płyta prasy</t>
  </si>
  <si>
    <t>PRT-A0070388</t>
  </si>
  <si>
    <t>Wspornik siłownika</t>
  </si>
  <si>
    <t>2011-200-PRT-A0070388-A-Wspornik siłownika</t>
  </si>
  <si>
    <t>PRT-A0069915</t>
  </si>
  <si>
    <t>2011-200-PRT-A0069915-A-Adapter stołu obrotowego</t>
  </si>
  <si>
    <t>PRT-A0070506</t>
  </si>
  <si>
    <t>2011-200-PRT-A0070506-A-Osłona dolna podmontażu</t>
  </si>
  <si>
    <t>DC01/1.0330</t>
  </si>
  <si>
    <t>PRT-A0070368</t>
  </si>
  <si>
    <t>Klin</t>
  </si>
  <si>
    <t>2011-200-PRT-A0070368-A-Klin</t>
  </si>
  <si>
    <t>PRT-A0070361</t>
  </si>
  <si>
    <t>2011-200-PRT-A0070361-A-Podstawa gniazda podmontażu</t>
  </si>
  <si>
    <t>PRT-A0070004</t>
  </si>
  <si>
    <t>Kostka podpierajaca</t>
  </si>
  <si>
    <t>2011-200-PRT-A0070004-A-Kostka podpierajaca</t>
  </si>
  <si>
    <t>PRT-A0069999</t>
  </si>
  <si>
    <t>Kosteczka regulacyjna</t>
  </si>
  <si>
    <t>2011-200-PRT-A0069999-A-Kosteczka regulacyjna</t>
  </si>
  <si>
    <t>PRT-A0069937</t>
  </si>
  <si>
    <t>PRT-A0069933</t>
  </si>
  <si>
    <t>2011-200-PRT-A0069933-A-Kostka amortyzatora Z</t>
  </si>
  <si>
    <t>PRT-A0069930</t>
  </si>
  <si>
    <t>2011-200-PRT-A0069930-A-Przedłużka podciśnienia 1</t>
  </si>
  <si>
    <t>PRT-A0069924</t>
  </si>
  <si>
    <t>Kosteczka oporowa</t>
  </si>
  <si>
    <t>2011-200-PRT-A0069924-A-Kosteczka oporowa</t>
  </si>
  <si>
    <t>PRT-A0069908</t>
  </si>
  <si>
    <t>Wałek stempla</t>
  </si>
  <si>
    <t>2011-200-PRT-A0069908-A-Wałek stempla</t>
  </si>
  <si>
    <t>PRT-A0069935</t>
  </si>
  <si>
    <t>Kostka zderzaka osi Z</t>
  </si>
  <si>
    <t>2011-200-PRT-A0069935-A-Kostka zderzaka osi Z</t>
  </si>
  <si>
    <t>PRT-A0069919</t>
  </si>
  <si>
    <t>2011-200-PRT-A0069919-A-Kostka zderzaka</t>
  </si>
  <si>
    <t>PRT-A0070349</t>
  </si>
  <si>
    <t>Gniazdko blaszek</t>
  </si>
  <si>
    <t>2011-200-PRT-A0070349-A-Gniazdko blaszek</t>
  </si>
  <si>
    <t>4H13/1.4034</t>
  </si>
  <si>
    <t>Piaskować</t>
  </si>
  <si>
    <t>PRT-A0070417</t>
  </si>
  <si>
    <t>Osłona siłownika</t>
  </si>
  <si>
    <t>2011-200-PRT-A0070417-A-Osłona siłownika</t>
  </si>
  <si>
    <t>PRT-A0070375</t>
  </si>
  <si>
    <t>Gniazdko switchów</t>
  </si>
  <si>
    <t>2011-200-PRT-A0070375-A-Gniazdko switchów</t>
  </si>
  <si>
    <t>PRT-A0069989</t>
  </si>
  <si>
    <t>Podpórka</t>
  </si>
  <si>
    <t>2011-200-PRT-A0069989-A-Podpórka</t>
  </si>
  <si>
    <t>PRT-A0069907</t>
  </si>
  <si>
    <t>Stempel prasy</t>
  </si>
  <si>
    <t>2011-200-PRT-A0069907-A-Stempel prasy</t>
  </si>
  <si>
    <t>PRT-A0070409</t>
  </si>
  <si>
    <t>Osłonka</t>
  </si>
  <si>
    <t>2011-200-PRT-A0070409-A-Osłonka</t>
  </si>
  <si>
    <t>PRT-A0070407</t>
  </si>
  <si>
    <t>Osłonka boczna</t>
  </si>
  <si>
    <t>2011-200-PRT-A0070407-A-Osłonka boczna</t>
  </si>
  <si>
    <t>PRT-A0070407-Lustro</t>
  </si>
  <si>
    <t>2011-200-PRT-A0070407-Lustro-A-Osłonka boczna</t>
  </si>
  <si>
    <t>PRT-A0070022</t>
  </si>
  <si>
    <t>Uchwyt gniazda</t>
  </si>
  <si>
    <t>2011-200-PRT-A0070022-A-Uchwyt gniazda</t>
  </si>
  <si>
    <t>PRT-A0069918</t>
  </si>
  <si>
    <t>Płytka siłownika osi Y</t>
  </si>
  <si>
    <t>2011-200-PRT-A0069918-A-Płytka siłownika osi Y</t>
  </si>
  <si>
    <t>Płyta pod narzędziem</t>
  </si>
  <si>
    <t>PRT-A0069909</t>
  </si>
  <si>
    <t>2011-200-PRT-A0069909-A-Żebro</t>
  </si>
  <si>
    <t>PRT-A0069932</t>
  </si>
  <si>
    <t>Tulejka dystansowa</t>
  </si>
  <si>
    <t>2011-200-PRT-A0069932-A-Tulejka dystansowa</t>
  </si>
  <si>
    <t>PRT-A0069914</t>
  </si>
  <si>
    <t>Jarzmo</t>
  </si>
  <si>
    <t>2011-200-PRT-A0069914-A-Jarzmo</t>
  </si>
  <si>
    <t>PRT-A0069936</t>
  </si>
  <si>
    <t>Płytka oporowa obrotu</t>
  </si>
  <si>
    <t>2011-200-PRT-A0069936-A-Płytka oporowa obrotu</t>
  </si>
  <si>
    <t>40HM/1.7225</t>
  </si>
  <si>
    <t>R. Swaciak</t>
  </si>
  <si>
    <t>000.MAG.50 - M6X30</t>
  </si>
  <si>
    <t>Blaszka prowadnika poziomego stała</t>
  </si>
  <si>
    <t>2011-200-PRT-A0069927-A-Blaszka prowadnika poziomego stała</t>
  </si>
  <si>
    <t>Blaszka prowadnika poziomego ruchoma</t>
  </si>
  <si>
    <t>2011-200-PRT-A0069926-A-Blaszka prowadnika poziomego ruchoma</t>
  </si>
  <si>
    <t>Blaszka prowadnika pionowego ruchoma</t>
  </si>
  <si>
    <t>2011-200-PRT-A0069925-A-Blaszka prowadnika pionowego ruchoma</t>
  </si>
  <si>
    <t>Wspornik siłownika obrotowego</t>
  </si>
  <si>
    <t>Płytka podstawowa podmontażu blaszek</t>
  </si>
  <si>
    <t>2011-200-PRT-A0070366-A-Płytka podstawowa podmontażu blaszek</t>
  </si>
  <si>
    <t>Podstawka gniazda ECrafter RH</t>
  </si>
  <si>
    <t>Podstawka gniazda ECrafter LH</t>
  </si>
  <si>
    <t>Mocowanie sprzęgła oś Z</t>
  </si>
  <si>
    <t>Adapter stołu obrotowego</t>
  </si>
  <si>
    <t>Osłona dolna podmontażu</t>
  </si>
  <si>
    <t>Podstawa gniazda podmontażu</t>
  </si>
  <si>
    <t>Mocowanie śruby oporowej obrotu</t>
  </si>
  <si>
    <t>2011-200-PRT-A0069937-A-Mocowanie śruby oporowej obrotu</t>
  </si>
  <si>
    <t>Kostka amortyzatora Z</t>
  </si>
  <si>
    <t>Przedłużka podciśnienia 1</t>
  </si>
  <si>
    <t>1.2312 (40CrMnMoS8-6)</t>
  </si>
  <si>
    <t>000.MAG.22.M6-B</t>
  </si>
  <si>
    <t>000.MAG.22.M6H-A</t>
  </si>
  <si>
    <t>000.MAG.50 - M5 x30</t>
  </si>
  <si>
    <t>000.MAG.50 - M6 x30-H</t>
  </si>
  <si>
    <t>200 - Podmontaż styków</t>
  </si>
  <si>
    <t>Dostarczono</t>
  </si>
  <si>
    <t xml:space="preserve"> wybrane przerz PCz 2023-04-25</t>
  </si>
  <si>
    <t>wybrane przez PCz 2023-05-11</t>
  </si>
  <si>
    <t>Zamówienie Z/2011-laser_cz2/PCz/2023</t>
  </si>
  <si>
    <t>PRT-A0069265</t>
  </si>
  <si>
    <t>Uchwyt czujnika 2</t>
  </si>
  <si>
    <t>2011-400-PRT-A0069265-A-Uchwyt czujnika 2</t>
  </si>
  <si>
    <t>PRT-A0068767</t>
  </si>
  <si>
    <t>Uchwyt czujnika 1</t>
  </si>
  <si>
    <t>2011-400-PRT-A0068767-A-Uchwyt czujnika 1</t>
  </si>
  <si>
    <t>PRT-A0069148</t>
  </si>
  <si>
    <t>Łącznik dźwigni</t>
  </si>
  <si>
    <t>NC11LV/1.2379</t>
  </si>
  <si>
    <t>PRT-A0068864</t>
  </si>
  <si>
    <t>Mocowanie wózków</t>
  </si>
  <si>
    <t>2011-400-PRT-A0068864-A-Mocowanie wózków</t>
  </si>
  <si>
    <t>PRT-A0068871</t>
  </si>
  <si>
    <t>Oprawa dźwigni prawa</t>
  </si>
  <si>
    <t>2011-400-PRT-A0068871-A-Oprawa dźwigni prawa</t>
  </si>
  <si>
    <t>PRT-A0069230</t>
  </si>
  <si>
    <t>Gniazdo 10</t>
  </si>
  <si>
    <t>2011-400-PRT-A0069230-A-Gniazdo 10</t>
  </si>
  <si>
    <t>CNC</t>
  </si>
  <si>
    <t>PRT-A0069217</t>
  </si>
  <si>
    <t>Gniazdo 9</t>
  </si>
  <si>
    <t>2011-400-PRT-A0069217-A-Gniazdo 9</t>
  </si>
  <si>
    <t>PRT-A0068814</t>
  </si>
  <si>
    <t>2011-400-PRT-A0068814-A-Płyta dolna</t>
  </si>
  <si>
    <t>PRT-A0068811</t>
  </si>
  <si>
    <t>Płyta pionowa przód</t>
  </si>
  <si>
    <t>2011-400-PRT-A0068811-A-Płyta pionowa przód</t>
  </si>
  <si>
    <t>PRT-A0068810</t>
  </si>
  <si>
    <t>Płyta pionowa tył</t>
  </si>
  <si>
    <t>2011-400-PRT-A0068810-A-Płyta pionowa tył</t>
  </si>
  <si>
    <t>PRT-A0068809</t>
  </si>
  <si>
    <t>Płyta górna</t>
  </si>
  <si>
    <t>2011-400-PRT-A0068809-A-Płyta górna</t>
  </si>
  <si>
    <t>PRT-A0068808</t>
  </si>
  <si>
    <t>Mocowanie szyny</t>
  </si>
  <si>
    <t>2011-400-PRT-A0068808-A-Mocowanie szyny</t>
  </si>
  <si>
    <t>PRT-A0071721</t>
  </si>
  <si>
    <t>2011-400-PRT-A0071721-A-Gniazdo sprężyny prawej</t>
  </si>
  <si>
    <t>PRT-A0069147</t>
  </si>
  <si>
    <t>Dźwignia prawa</t>
  </si>
  <si>
    <t>PRT-A0068775</t>
  </si>
  <si>
    <t>2011-400-PRT-A0068775-A-Gniazdo sprężyny lewej</t>
  </si>
  <si>
    <t>PRT-A0068774</t>
  </si>
  <si>
    <t>Dźwignia lewa</t>
  </si>
  <si>
    <t>2011-400-PRT-A0068774-A-Dźwignia lewa</t>
  </si>
  <si>
    <t>PRT-A0068803</t>
  </si>
  <si>
    <t>2011-400-PRT-A0068803-A-Płyta górna</t>
  </si>
  <si>
    <t>PRT-A0069184</t>
  </si>
  <si>
    <t>2011-400-PRT-A0069184-A-Listwa sprężyny prawa 2</t>
  </si>
  <si>
    <t>50HS/1.5026</t>
  </si>
  <si>
    <t>PRT-A0069182</t>
  </si>
  <si>
    <t>2011-400-PRT-A0069182-A-Listwa sprężyny prawa 1</t>
  </si>
  <si>
    <t>PRT-A0068805</t>
  </si>
  <si>
    <t>Listwa lewa 1</t>
  </si>
  <si>
    <t>2011-400-PRT-A0068805-A-Listwa lewa 1</t>
  </si>
  <si>
    <t>PRT-A0068813</t>
  </si>
  <si>
    <t>Zderzak</t>
  </si>
  <si>
    <t>2011-400-PRT-A0068813-A-Zderzak</t>
  </si>
  <si>
    <t>PRT-A0068804</t>
  </si>
  <si>
    <t>Sprzęgło</t>
  </si>
  <si>
    <t>2011-400-PRT-A0068804-A-Sprzęgło</t>
  </si>
  <si>
    <t>PRT-A0068773</t>
  </si>
  <si>
    <t>Kołek</t>
  </si>
  <si>
    <t>2011-400-PRT-A0068773-A-Kołek</t>
  </si>
  <si>
    <t>PRT-A0068772</t>
  </si>
  <si>
    <t>Oprawa dźwigni</t>
  </si>
  <si>
    <t>2011-400-PRT-A0068772-A-Oprawa dźwigni</t>
  </si>
  <si>
    <t>PRT-A0068771</t>
  </si>
  <si>
    <t>Zaczep</t>
  </si>
  <si>
    <t>2011-400-PRT-A0068771-A-Zaczep</t>
  </si>
  <si>
    <t>PRT-A0068770</t>
  </si>
  <si>
    <t>Kostka łożyska</t>
  </si>
  <si>
    <t>2011-400-PRT-A0068770-A-Kostka łożyska</t>
  </si>
  <si>
    <t>PRT-A0068769</t>
  </si>
  <si>
    <t>Kostka czujnika</t>
  </si>
  <si>
    <t>2011-400-PRT-A0068769-A-Kostka czujnika</t>
  </si>
  <si>
    <t>PRT-A0068768</t>
  </si>
  <si>
    <t>Zderzak siłownika</t>
  </si>
  <si>
    <t>2011-400-PRT-A0068768-A-Zderzak siłownika</t>
  </si>
  <si>
    <t>PRT-A0069205</t>
  </si>
  <si>
    <t>Gniazdo 8</t>
  </si>
  <si>
    <t>2011-400-PRT-A0069205-A-Gniazdo 8</t>
  </si>
  <si>
    <t>PRT-A0069198</t>
  </si>
  <si>
    <t>Gniazdo 7</t>
  </si>
  <si>
    <t>2011-400-PRT-A0069198-A-Gniazdo 7</t>
  </si>
  <si>
    <t>PRT-A0069181</t>
  </si>
  <si>
    <t>2011-400-PRT-A0069181-A-Podpora srężyny prawa</t>
  </si>
  <si>
    <t>PRT-A0068812</t>
  </si>
  <si>
    <t>2011-400-PRT-A0068812-A-Podpora sprężyny lewej</t>
  </si>
  <si>
    <t>PRT-A0068802</t>
  </si>
  <si>
    <t>Podpora środkowa 1</t>
  </si>
  <si>
    <t>2011-400-PRT-A0068802-A-Podpora środkowa 1</t>
  </si>
  <si>
    <t>PRT-A0068801</t>
  </si>
  <si>
    <t>Podpora środkowa 2</t>
  </si>
  <si>
    <t>2011-400-PRT-A0068801-A-Podpora środkowa 2</t>
  </si>
  <si>
    <t>PRT-A0068799</t>
  </si>
  <si>
    <t>Gniazdo 1</t>
  </si>
  <si>
    <t>2011-400-PRT-A0068799-A-Gniazdo 1</t>
  </si>
  <si>
    <t>PRT-A0068798</t>
  </si>
  <si>
    <t>Gniazdo 2</t>
  </si>
  <si>
    <t>2011-400-PRT-A0068798-A-Gniazdo 2</t>
  </si>
  <si>
    <t>PRT-A0068797</t>
  </si>
  <si>
    <t>Gniazdo 3</t>
  </si>
  <si>
    <t>2011-400-PRT-A0068797-A-Gniazdo 3</t>
  </si>
  <si>
    <t>PRT-A0068794</t>
  </si>
  <si>
    <t>Gniazdo 4</t>
  </si>
  <si>
    <t>2011-400-PRT-A0068794-A-Gniazdo 4</t>
  </si>
  <si>
    <t>PRT-A0068791</t>
  </si>
  <si>
    <t>Podpora środkowa 3</t>
  </si>
  <si>
    <t>2011-400-PRT-A0068791-A-Podpora środkowa 3</t>
  </si>
  <si>
    <t>PRT-A0068790</t>
  </si>
  <si>
    <t>Gniazdo 5</t>
  </si>
  <si>
    <t>2011-400-PRT-A0068790-A-Gniazdo 5</t>
  </si>
  <si>
    <t>PRT-A0068789</t>
  </si>
  <si>
    <t>Gniazdo 6</t>
  </si>
  <si>
    <t>2011-400-PRT-A0068789-A-Gniazdo 6</t>
  </si>
  <si>
    <t>Gniazdo sprężyny prawej</t>
  </si>
  <si>
    <t>52 HRC±2HRC</t>
  </si>
  <si>
    <t>Gniazdo sprężyny lewej</t>
  </si>
  <si>
    <t>Listwa sprężyny prawa 2</t>
  </si>
  <si>
    <t>Listwa sprężyny prawa 1</t>
  </si>
  <si>
    <t>Podpora srężyny prawa</t>
  </si>
  <si>
    <t>Podpora sprężyny lewej</t>
  </si>
  <si>
    <t>wybrane przez PCz 2023-05-18</t>
  </si>
  <si>
    <t>Zamówienie Z/2011-laser_cz3/PCz/2023</t>
  </si>
  <si>
    <t>PRT-A0071752</t>
  </si>
  <si>
    <t>Kostka mocująca</t>
  </si>
  <si>
    <t>2011-200-PRT-A0071752-A-Kostka mocująca</t>
  </si>
  <si>
    <t>PRT-A0071269</t>
  </si>
  <si>
    <t>Kostka siłownika</t>
  </si>
  <si>
    <t>2011-200-PRT-A0071269-A-Kostka siłownika</t>
  </si>
  <si>
    <t>PRT-A0070650</t>
  </si>
  <si>
    <t>Płyta montażowa</t>
  </si>
  <si>
    <t>PRT-A0072093</t>
  </si>
  <si>
    <t>2011-200-PRT-A0072093-A-Uchwyt czujnika</t>
  </si>
  <si>
    <t>PRT-A0072092</t>
  </si>
  <si>
    <t>2011-200-PRT-A0072092-A-Uchwyt czujnika</t>
  </si>
  <si>
    <t>PRT-A0072089</t>
  </si>
  <si>
    <t>PRT-A0072085</t>
  </si>
  <si>
    <t>2011-200-PRT-A0072085-A-Ramie reakcyjne siłownika</t>
  </si>
  <si>
    <t>PRT-A0071260</t>
  </si>
  <si>
    <t>Mocowanie chwytaka</t>
  </si>
  <si>
    <t>2011-200-PRT-A0071260-A-Mocowanie chwytaka</t>
  </si>
  <si>
    <t>PRT-A0071141</t>
  </si>
  <si>
    <t>Profil aluminiowy</t>
  </si>
  <si>
    <t>2011-200-PRT-A0071141-A-Profil aluminiowy</t>
  </si>
  <si>
    <t>H. Mech.</t>
  </si>
  <si>
    <t>PRT-A0070671</t>
  </si>
  <si>
    <t>2011-200-PRT-A0070671-A-Mocowanie chwytaka</t>
  </si>
  <si>
    <t>PRT-A0070665</t>
  </si>
  <si>
    <t>Płyta montazowa</t>
  </si>
  <si>
    <t>2011-200-PRT-A0070665-A-Płyta montazowa</t>
  </si>
  <si>
    <t>PRT-A0070662</t>
  </si>
  <si>
    <t>2011-200-PRT-A0070662-A-Płyta montazowa</t>
  </si>
  <si>
    <t>PRT-A0070658</t>
  </si>
  <si>
    <t>2011-200-PRT-A0070658-A-Płyta montażowa</t>
  </si>
  <si>
    <t>PRT-A0070655</t>
  </si>
  <si>
    <t>2011-200-PRT-A0070655-A-Płyta montażowa</t>
  </si>
  <si>
    <t>PRT-A0070624</t>
  </si>
  <si>
    <t>Płyta mocująca</t>
  </si>
  <si>
    <t>2011-200-PRT-A0070624-A-Płyta mocująca</t>
  </si>
  <si>
    <t>PRT-A0070607</t>
  </si>
  <si>
    <t>Płyta monrażowa</t>
  </si>
  <si>
    <t>2011-200-PRT-A0070607-A-Płyta monrażowa</t>
  </si>
  <si>
    <t>PRT-A0070606</t>
  </si>
  <si>
    <t>2011-200-PRT-A0070606-A-Płyta montażowa</t>
  </si>
  <si>
    <t>PRT-A0071416</t>
  </si>
  <si>
    <t>Kostka amortyzatora</t>
  </si>
  <si>
    <t>2011-200-PRT-A0071416-A-Kostka amortyzatora</t>
  </si>
  <si>
    <t>PRT-A0071187</t>
  </si>
  <si>
    <t>Kostka pozycjonująca</t>
  </si>
  <si>
    <t>2011-200-PRT-A0071187-A-Kostka pozycjonująca</t>
  </si>
  <si>
    <t>PRT-A0071168</t>
  </si>
  <si>
    <t>Prowadnica</t>
  </si>
  <si>
    <t>2011-200-PRT-A0071168-A-Prowadnica</t>
  </si>
  <si>
    <t>PRT-A0071749</t>
  </si>
  <si>
    <t>Kostka bazująca</t>
  </si>
  <si>
    <t>2011-200-PRT-A0071749-A-Kostka bazująca</t>
  </si>
  <si>
    <t>PRT-A0070615</t>
  </si>
  <si>
    <t>Support uchwytu</t>
  </si>
  <si>
    <t>2011-200-PRT-A0070615-A-Support uchwytu</t>
  </si>
  <si>
    <t>PRT-A0070614</t>
  </si>
  <si>
    <t>2011-200-PRT-A0070614-A-Support uchwytu</t>
  </si>
  <si>
    <t>PRT-A0070434</t>
  </si>
  <si>
    <t>2011-200-PRT-A0070434-A-Głowica pobierająca detal</t>
  </si>
  <si>
    <t>PRT-A0071764</t>
  </si>
  <si>
    <t>Gniazdo wtyczki V2</t>
  </si>
  <si>
    <t>2011-200-PRT-A0071764-A-Gniazdo wtyczki V2</t>
  </si>
  <si>
    <t>PRT-A0071418</t>
  </si>
  <si>
    <t>Płytka nierdzewna</t>
  </si>
  <si>
    <t>2011-200-PRT-A0071418-A-Płytka nierdzewna</t>
  </si>
  <si>
    <t>PRT-A0070628</t>
  </si>
  <si>
    <t>2011-200-PRT-A0070628-A-Wałek docisku</t>
  </si>
  <si>
    <t>PRT-A0070616</t>
  </si>
  <si>
    <t>2011-200-PRT-A0070616-A-Support uchwytu</t>
  </si>
  <si>
    <t>PRT-A0070613</t>
  </si>
  <si>
    <t>2011-200-PRT-A0070613-A-Support uchwytu</t>
  </si>
  <si>
    <t>PRT-A0070612</t>
  </si>
  <si>
    <t>2011-200-PRT-A0070612-A-Support uchwytu</t>
  </si>
  <si>
    <t>PRT-A0070610</t>
  </si>
  <si>
    <t>2011-200-PRT-A0070610-A-Support uchwytu</t>
  </si>
  <si>
    <t>Ramie reakcyjne siłownika</t>
  </si>
  <si>
    <t>Głowica pobierająca detal</t>
  </si>
  <si>
    <t>32 HRC ±2HRC</t>
  </si>
  <si>
    <t>2011-200-PRT-A0072089-B-Kostka czujnika</t>
  </si>
  <si>
    <t>2011-200-PRT-A0070650-B-Płyta montażowa</t>
  </si>
  <si>
    <t>Profile BR</t>
  </si>
  <si>
    <t>wybrane przez PCz 2023-05-26</t>
  </si>
  <si>
    <t>Bis</t>
  </si>
  <si>
    <t>2011-400-PRT-A0069148-B-Łącznik dźwigni</t>
  </si>
  <si>
    <t>BIS</t>
  </si>
  <si>
    <t>M.Gołuch</t>
  </si>
  <si>
    <t>PRT-A0070118</t>
  </si>
  <si>
    <t>Zabezpieczenie szyny</t>
  </si>
  <si>
    <t>2011-600-PRT-A0070118-A-Zabezpieczenie szyny</t>
  </si>
  <si>
    <t>St3S/1.0038</t>
  </si>
  <si>
    <t>PRT-A0070119</t>
  </si>
  <si>
    <t>2011-600-PRT-A0070119-A-Wspornik płyty prowadnic</t>
  </si>
  <si>
    <t>PRT-A0070117</t>
  </si>
  <si>
    <t>Płyta zespołu dojazdu</t>
  </si>
  <si>
    <t>2011-600-PRT-A0070117-A-Płyta zespołu dojazdu</t>
  </si>
  <si>
    <t>600-Pomiar momentu</t>
  </si>
  <si>
    <t>Wspornik płyty prowadnic</t>
  </si>
  <si>
    <t>PRT-A0070112</t>
  </si>
  <si>
    <t>Adapter łącznika</t>
  </si>
  <si>
    <t>2011-600-PRT-A0070112-A-Adapter łącznika</t>
  </si>
  <si>
    <t>PRT-A0070113</t>
  </si>
  <si>
    <t>2011-600-PRT-A0070113-A-Płyta napędu liniowego</t>
  </si>
  <si>
    <t>Płyta napędu liniowego</t>
  </si>
  <si>
    <t>PRT-A0070116</t>
  </si>
  <si>
    <t>Płyta suportu 1</t>
  </si>
  <si>
    <t>PRT-A0070115</t>
  </si>
  <si>
    <t>2011-600-PRT-A0070115-A-Płyta pionowa supportu</t>
  </si>
  <si>
    <t>PRT-A0070114</t>
  </si>
  <si>
    <t>Wzmocnienie supportu</t>
  </si>
  <si>
    <t>2011-600-PRT-A0070114-A-Wzmocnienie supportu</t>
  </si>
  <si>
    <t xml:space="preserve">Wkręt dociskowy </t>
  </si>
  <si>
    <t>PRT-A0070132</t>
  </si>
  <si>
    <t>Płyta pionowa supportu</t>
  </si>
  <si>
    <t>2011-600-PRT-A0070116-A-Płyta supportu 1</t>
  </si>
  <si>
    <t>2011-600-PRT-A0070132-A-Wkręt dociskowy</t>
  </si>
  <si>
    <t>Wspornik ruchomy prowadnika</t>
  </si>
  <si>
    <t>2011-600-PRT-A0070109-A-Wspornik ruchomy prowadnika</t>
  </si>
  <si>
    <t>PRT-A0070109</t>
  </si>
  <si>
    <t>PRT-A0070487</t>
  </si>
  <si>
    <t>Podpora środkowa</t>
  </si>
  <si>
    <t>2011-600-PRT-A0070487-A-Podpora środkowa</t>
  </si>
  <si>
    <t>Kolor: Czarny</t>
  </si>
  <si>
    <t>PRT-A0070088</t>
  </si>
  <si>
    <t>Tuleja docisku</t>
  </si>
  <si>
    <t>2011-600-PRT-A0070088-A-Tuleja docisku</t>
  </si>
  <si>
    <t>PRT-A0070498</t>
  </si>
  <si>
    <t>2011-600-PRT-A0070498-A-Mocowanie podpory przedniej</t>
  </si>
  <si>
    <t>PRT-A0070489</t>
  </si>
  <si>
    <t>2011-600-PRT-A0070489-A-Mocowanie podpory środkowej</t>
  </si>
  <si>
    <t>PRT-A0070491</t>
  </si>
  <si>
    <t>Wspornik siłownika 2</t>
  </si>
  <si>
    <t>2011-600-PRT-A0070491-A-Wspornik siłownika 2</t>
  </si>
  <si>
    <t>PRT-A0070490</t>
  </si>
  <si>
    <t>Wspornik siłownika 1</t>
  </si>
  <si>
    <t>2011-600-PRT-A0070490-A-Wspornik siłownika 1</t>
  </si>
  <si>
    <t>PRT-A0070107</t>
  </si>
  <si>
    <t>Płyta główna</t>
  </si>
  <si>
    <t>2011-600-PRT-A0070107-A-Płyta główna</t>
  </si>
  <si>
    <t>PRT-A0070090</t>
  </si>
  <si>
    <t>2011-600-PRT-A0070090-A-Wspornik siłownika</t>
  </si>
  <si>
    <t>PRT-A0070492</t>
  </si>
  <si>
    <t>Kostka elektryczna</t>
  </si>
  <si>
    <t>2011-600-PRT-A0070492-A-Kostka elektryczna</t>
  </si>
  <si>
    <t>PRT-A0070089</t>
  </si>
  <si>
    <t>Ramie dociskowe</t>
  </si>
  <si>
    <t>2011-600-PRT-A0070089-A-Ramie dociskowe</t>
  </si>
  <si>
    <t>PRT-A0070499</t>
  </si>
  <si>
    <t>Podpora przednia 2</t>
  </si>
  <si>
    <t>2011-600-PRT-A0070499-A-Podpora przednia 2</t>
  </si>
  <si>
    <t>PRT-A0070494</t>
  </si>
  <si>
    <t>Podpora przednia 1</t>
  </si>
  <si>
    <t>2011-600-PRT-A0070494-A-Podpora przednia 1</t>
  </si>
  <si>
    <t>PRT-A0070546</t>
  </si>
  <si>
    <t>Tuleja bazująca</t>
  </si>
  <si>
    <t>2011-600-PRT-A0070546-A-Tuleja bazująca</t>
  </si>
  <si>
    <t>1.4034 (4H13)</t>
  </si>
  <si>
    <t>PRT-A0070105</t>
  </si>
  <si>
    <t>2011-600-PRT-A0070105-A-Tuleja bazująca</t>
  </si>
  <si>
    <t>2011-600-PRT-A0070494-A-Podpora przednia 1 Lustro</t>
  </si>
  <si>
    <t>2011-600-PRT-A0070499-A-Podpora przednia 2 Lustro</t>
  </si>
  <si>
    <t>2011-600-PRT-A0070487-A-Podpora środkowa Lustro</t>
  </si>
  <si>
    <t>2011-600-PRT-A0070491-A-Wspornik siłownika 2 Lustro</t>
  </si>
  <si>
    <t>Mocowanie podpory przedniej</t>
  </si>
  <si>
    <t>Mocowanie podpory środkowej</t>
  </si>
  <si>
    <t>40 HRC ±2HRC</t>
  </si>
  <si>
    <t>Bakelit</t>
  </si>
  <si>
    <t>2011-600-PRT-A0070105-A-Tuleja bazująca Lustro</t>
  </si>
  <si>
    <t>2011-600-PRT-A0070107-A-Płyta główna Lustro</t>
  </si>
  <si>
    <t>PRT-A0070542</t>
  </si>
  <si>
    <t>2011-600-PRT-A0070542-A-Wspornik siłownika 1</t>
  </si>
  <si>
    <t>PRT-A0071409</t>
  </si>
  <si>
    <t>Płytka blokady</t>
  </si>
  <si>
    <t>2011-600-PRT-A0071409-A-Płytka blokady</t>
  </si>
  <si>
    <t>PRT-A0071429</t>
  </si>
  <si>
    <t>Oś</t>
  </si>
  <si>
    <t>2011-600-PRT-A0071429-A-Oś</t>
  </si>
  <si>
    <t>PRT-A0071415</t>
  </si>
  <si>
    <t>2011-600-PRT-A0071415-A-Oś</t>
  </si>
  <si>
    <t>PRT-A0071413</t>
  </si>
  <si>
    <t>2011-600-PRT-A0071413-A-Oś</t>
  </si>
  <si>
    <t>PRT-A0071433</t>
  </si>
  <si>
    <t>2011-600-PRT-A0071433-A-Płytka łącząca</t>
  </si>
  <si>
    <t>PRT-A0071423</t>
  </si>
  <si>
    <t>Płytka pośrednia</t>
  </si>
  <si>
    <t>2011-600-PRT-A0071423-A-Płytka pośrednia</t>
  </si>
  <si>
    <t>PRT-A0073063</t>
  </si>
  <si>
    <t>Wałeczek gumowy</t>
  </si>
  <si>
    <t>2011-600-PRT-A0073063-A-Wałeczek gumowy</t>
  </si>
  <si>
    <t>PRT-A0071414</t>
  </si>
  <si>
    <t>Ramię docisku</t>
  </si>
  <si>
    <t>2011-600-PRT-A0071414-A-Ramię docisku</t>
  </si>
  <si>
    <t>PRT-A0071419</t>
  </si>
  <si>
    <t>Dociskacz</t>
  </si>
  <si>
    <t>2011-600-PRT-A0071419-A-Dociskacz</t>
  </si>
  <si>
    <t>PRT-A0071410</t>
  </si>
  <si>
    <t>Płytka siłownika</t>
  </si>
  <si>
    <t>2011-600-PRT-A0071410-A-Płytka siłownika</t>
  </si>
  <si>
    <t>PRT-A0071412</t>
  </si>
  <si>
    <t>Ramię małe</t>
  </si>
  <si>
    <t>2011-600-PRT-A0071412-A-Ramię małe</t>
  </si>
  <si>
    <t>PRT-A0071411</t>
  </si>
  <si>
    <t>Ramię</t>
  </si>
  <si>
    <t>2011-600-PRT-A0071411-A-Ramię</t>
  </si>
  <si>
    <t>S355J2+N/1.0562</t>
  </si>
  <si>
    <t>2011-600-PRT-A0071409-A-Płytka blokady Lustro</t>
  </si>
  <si>
    <t>Sznur gumowy</t>
  </si>
  <si>
    <t>PRT-A0073136</t>
  </si>
  <si>
    <t>Mocowanie BSC00PJ</t>
  </si>
  <si>
    <t>2011-600-PRT-A0073136-A-Mocowanie BSC00PJ</t>
  </si>
  <si>
    <t>PRT-A0070430</t>
  </si>
  <si>
    <t>2011-600-PRT-A0070430-A-Płyta główna eCrafter Tył</t>
  </si>
  <si>
    <t>PRT-A0070100</t>
  </si>
  <si>
    <t>Wspornik pinów 1</t>
  </si>
  <si>
    <t>2011-600-PRT-A0070100-A-Wspornik pinów 1</t>
  </si>
  <si>
    <t>PRT-A0070099</t>
  </si>
  <si>
    <t>Wspornik pinów 2</t>
  </si>
  <si>
    <t>2011-600-PRT-A0070099-A-Wspornik pinów 2</t>
  </si>
  <si>
    <t>PRT-A0070098</t>
  </si>
  <si>
    <t>2011-600-PRT-A0070098-A-Kostka elektryczna</t>
  </si>
  <si>
    <t>PRT-A0071455</t>
  </si>
  <si>
    <t>Blokada L</t>
  </si>
  <si>
    <t>2011-600-PRT-A0071455-A-Blokada L</t>
  </si>
  <si>
    <t>PRT-A0071450</t>
  </si>
  <si>
    <t>Blokada P</t>
  </si>
  <si>
    <t>2011-600-PRT-A0071450-A-Blokada P</t>
  </si>
  <si>
    <t>PRT-A0071266</t>
  </si>
  <si>
    <t>Podpora PT</t>
  </si>
  <si>
    <t>2011-600-PRT-A0071266-A-Podpora PT</t>
  </si>
  <si>
    <t>PRT-A0071261</t>
  </si>
  <si>
    <t>Podpora TL</t>
  </si>
  <si>
    <t>2011-600-PRT-A0071261-A-Podpora TL</t>
  </si>
  <si>
    <t>PRT-A0071267</t>
  </si>
  <si>
    <t>Podpora PP</t>
  </si>
  <si>
    <t>2011-600-PRT-A0071267-A-Podpora PP</t>
  </si>
  <si>
    <t>PRT-A0071265</t>
  </si>
  <si>
    <t>Dokładka PP</t>
  </si>
  <si>
    <t>2011-600-PRT-A0071265-A-Dokładka PP</t>
  </si>
  <si>
    <t>PRT-A0071263</t>
  </si>
  <si>
    <t>Dokładka PL</t>
  </si>
  <si>
    <t>2011-600-PRT-A0071263-A-Dokładka PL</t>
  </si>
  <si>
    <t>PRT-A0071262</t>
  </si>
  <si>
    <t>Podpora PL</t>
  </si>
  <si>
    <t>2011-600-PRT-A0071262-A-Podpora PL</t>
  </si>
  <si>
    <t>Płyta główna eCrafter Tył</t>
  </si>
  <si>
    <t>Rynna prowadnika</t>
  </si>
  <si>
    <t>PRT-A0070108</t>
  </si>
  <si>
    <t>2011-600-PRT-A0070108-A-Rynna prowadnika</t>
  </si>
  <si>
    <t>Ściana prawa</t>
  </si>
  <si>
    <t>2011-600-PRT-A0070418-A-Ściana prawa</t>
  </si>
  <si>
    <t>PRT-A0070418</t>
  </si>
  <si>
    <t>2011-600-PRT-A0070548-A-Ściana lewa</t>
  </si>
  <si>
    <t>PRT-A0070548</t>
  </si>
  <si>
    <t>Ściana lewa</t>
  </si>
  <si>
    <t>2011-600-PRT-A0070110-A-Wałek dystansowy</t>
  </si>
  <si>
    <t>PRT-A0070110</t>
  </si>
  <si>
    <t>Wałek dystansowy</t>
  </si>
  <si>
    <t>PRT-A0070121</t>
  </si>
  <si>
    <t>Wpust</t>
  </si>
  <si>
    <t>2011-600-PRT-A0070121-A-Wpust</t>
  </si>
  <si>
    <t>St5/1.0050</t>
  </si>
  <si>
    <t>PRT-A0070125</t>
  </si>
  <si>
    <t>Pokrywa łożyska</t>
  </si>
  <si>
    <t>2011-600-PRT-A0070125-A-Pokrywa łożyska</t>
  </si>
  <si>
    <t>Cynkować na biało</t>
  </si>
  <si>
    <t>PRT-A0070123</t>
  </si>
  <si>
    <t>Pokrywka</t>
  </si>
  <si>
    <t>2011-600-PRT-A0070123-A-Pokrywka</t>
  </si>
  <si>
    <t>Malować RAL 7045</t>
  </si>
  <si>
    <t>PRT-A0070129</t>
  </si>
  <si>
    <t>Korpus</t>
  </si>
  <si>
    <t>2011-600-PRT-A0070129-A-Korpus</t>
  </si>
  <si>
    <t>PRT-A0070127</t>
  </si>
  <si>
    <t>Pierścień dystansowy</t>
  </si>
  <si>
    <t>2011-600-PRT-A0070127-A-Pierścień dystansowy</t>
  </si>
  <si>
    <t>2011--PRT-A0073184-B-Uchwyt siłownika</t>
  </si>
  <si>
    <t>2011--PRT-A0073197-B-Mocowanie siłownika</t>
  </si>
  <si>
    <t>2011--PRT-A0073195-B-Mocowanie siłownika</t>
  </si>
  <si>
    <t>2011--PRT-A0073178-B-Mocowanie siłownika</t>
  </si>
  <si>
    <t>PRT-A0073178</t>
  </si>
  <si>
    <t>PRT-A0073195</t>
  </si>
  <si>
    <t>PRT-A0073197</t>
  </si>
  <si>
    <t>PRT-A0073184</t>
  </si>
  <si>
    <t>40H</t>
  </si>
  <si>
    <t>Uchwyt siłownika</t>
  </si>
  <si>
    <t>WYKONA Promatik</t>
  </si>
  <si>
    <t>HANDLOWY</t>
  </si>
  <si>
    <t>wybrane przez PCz 2023-06-02</t>
  </si>
  <si>
    <t>05/.06.2023</t>
  </si>
  <si>
    <t>PRT-A0070120</t>
  </si>
  <si>
    <t>Odważnik przód</t>
  </si>
  <si>
    <t>2011-600-PRT-A0070120-A-Odważnik przód</t>
  </si>
  <si>
    <t>PRT-A0070126</t>
  </si>
  <si>
    <t>Ramię przód</t>
  </si>
  <si>
    <t>2011-600-PRT-A0070126-A-Ramię przód</t>
  </si>
  <si>
    <t>PRT-A0070122</t>
  </si>
  <si>
    <t>Palec przód</t>
  </si>
  <si>
    <t>2011-600-PRT-A0070122-A-Palec przód</t>
  </si>
  <si>
    <t>4H13/1.4057</t>
  </si>
  <si>
    <t>PRT-A0070576</t>
  </si>
  <si>
    <t>Odważnik tył</t>
  </si>
  <si>
    <t>2011-600-PRT-A0070576-A-Odważnik tył</t>
  </si>
  <si>
    <t>PRT-A0070575</t>
  </si>
  <si>
    <t>Ramię tył</t>
  </si>
  <si>
    <t>2011-600-PRT-A0070575-A-Ramię tył</t>
  </si>
  <si>
    <t>PRT-A0070633</t>
  </si>
  <si>
    <t>Palec tył zapas</t>
  </si>
  <si>
    <t>2011-600-PRT-A0070633-A-Palec tył zapas</t>
  </si>
  <si>
    <t>PRT-A0070128</t>
  </si>
  <si>
    <t>Wałek główny</t>
  </si>
  <si>
    <t>2011-600-PRT-A0070128-A-Wałek główny</t>
  </si>
  <si>
    <t>PRT-A0070124</t>
  </si>
  <si>
    <t>Mocowanie czujników</t>
  </si>
  <si>
    <t>2011-600-PRT-A0070124-A-Mocowanie czujników</t>
  </si>
  <si>
    <t>wybrane przez PCz 2023-06-05</t>
  </si>
  <si>
    <t>zamówienie Z/2011-zewn/PCz/2023</t>
  </si>
  <si>
    <t>Zamówienie  Z/2013-laser_cz2/PCz/2023</t>
  </si>
  <si>
    <t>PRT-A0070449</t>
  </si>
  <si>
    <t>2011-904-PRT-A0070449-A-Wałek docisku</t>
  </si>
  <si>
    <t>PRT-A0068958</t>
  </si>
  <si>
    <t>Pozycjoner</t>
  </si>
  <si>
    <t>2011-901-PRT-A0068958-A-Pozycjoner</t>
  </si>
  <si>
    <t>PRT-A0068945</t>
  </si>
  <si>
    <t>Tuleja popychacza</t>
  </si>
  <si>
    <t>2011-901-PRT-A0068945-A-Tuleja popychacza</t>
  </si>
  <si>
    <t>PRT-A0068931</t>
  </si>
  <si>
    <t>Nakrętka specjalna</t>
  </si>
  <si>
    <t>2011-901-PRT-A0068931-A-Nakrętka specjalna</t>
  </si>
  <si>
    <t>PRT-A0068930</t>
  </si>
  <si>
    <t>2011-901-PRT-A0068930-A-Pozycjoner</t>
  </si>
  <si>
    <t>PRT-A0068929</t>
  </si>
  <si>
    <t>Tulejka</t>
  </si>
  <si>
    <t>2011-901-PRT-A0068929-A-Tulejka</t>
  </si>
  <si>
    <t>PRT-A0068923</t>
  </si>
  <si>
    <t>Popychacz</t>
  </si>
  <si>
    <t>2011-901-PRT-A0068923-A-Popychacz</t>
  </si>
  <si>
    <t>WH-060200</t>
  </si>
  <si>
    <t>Stal węglowa</t>
  </si>
  <si>
    <t>PRT-A0072921</t>
  </si>
  <si>
    <t>Oś obrotu</t>
  </si>
  <si>
    <t>2011-903-PRT-A0072921-A-Oś obrotu</t>
  </si>
  <si>
    <t>PRT-A0069222</t>
  </si>
  <si>
    <t>Tulejka pozycjonująca</t>
  </si>
  <si>
    <t>2011-902-PRT-A0069222-A-Tulejka pozycjonująca</t>
  </si>
  <si>
    <t>PRT-A0073447</t>
  </si>
  <si>
    <t>PRT-A0073447-Lustro</t>
  </si>
  <si>
    <t>PRT-A0073446</t>
  </si>
  <si>
    <t>PRT-A0073446-Lustro</t>
  </si>
  <si>
    <t>PRT-A0073445</t>
  </si>
  <si>
    <t>PRT-A0073445-Lustro</t>
  </si>
  <si>
    <t>PRT-A0073441</t>
  </si>
  <si>
    <t>PRT-A0073441-Lustro</t>
  </si>
  <si>
    <t>PRT-A0073440</t>
  </si>
  <si>
    <t>PRT-A0073440-Lustro</t>
  </si>
  <si>
    <t>PRT-A0072854</t>
  </si>
  <si>
    <t>PRT-A0072854-Lustro</t>
  </si>
  <si>
    <t>PRT-A0072879</t>
  </si>
  <si>
    <t>2011-990-PRT-A0072879-A-Osłona</t>
  </si>
  <si>
    <t>PRT-A0072860</t>
  </si>
  <si>
    <t>2011-990-PRT-A0072860-A-Płyta narzędzia ruchomego</t>
  </si>
  <si>
    <t>PRT-A0072859</t>
  </si>
  <si>
    <t>2011-992-PRT-A0072859-B-Płyta Gniazda eCrafter RH</t>
  </si>
  <si>
    <t>PRT-A0072855</t>
  </si>
  <si>
    <t>Gniazdo eCrafter LH</t>
  </si>
  <si>
    <t>2011-991-PRT-A0072855-C-Gniazdo eCrafter LH</t>
  </si>
  <si>
    <t>PRT-A0072923</t>
  </si>
  <si>
    <t>Dystans siłownika</t>
  </si>
  <si>
    <t>2011-903-PRT-A0072923-A-Dystans siłownika</t>
  </si>
  <si>
    <t>PRT-A0072866</t>
  </si>
  <si>
    <t>2011-990-PRT-A0072866-A-Mocowanie siłownika</t>
  </si>
  <si>
    <t>PRT-A0072864</t>
  </si>
  <si>
    <t>Płyta</t>
  </si>
  <si>
    <t>2011-990-PRT-A0072864-A-Płyta</t>
  </si>
  <si>
    <t>PRT-A0072863</t>
  </si>
  <si>
    <t>2011-990-PRT-A0072863-B-Mocowanie szyny</t>
  </si>
  <si>
    <t>PRT-A0072852</t>
  </si>
  <si>
    <t>2011-990-PRT-A0072852-A-Płyta</t>
  </si>
  <si>
    <t>PRT-A0071396</t>
  </si>
  <si>
    <t>2011-901-PRT-A0071396-A-Płyta pionowa</t>
  </si>
  <si>
    <t>PRT-A0071248</t>
  </si>
  <si>
    <t>2011-904-PRT-A0071248-A-Płyta</t>
  </si>
  <si>
    <t>PRT-A0071207</t>
  </si>
  <si>
    <t>Wałeczek</t>
  </si>
  <si>
    <t>2011-902-PRT-A0071207-A-Wałeczek</t>
  </si>
  <si>
    <t>PRT-A0070448</t>
  </si>
  <si>
    <t>2011-904-PRT-A0070448-A-Żebro</t>
  </si>
  <si>
    <t>PRT-A0070446</t>
  </si>
  <si>
    <t>2011-904-PRT-A0070446-A-Płytka dolna</t>
  </si>
  <si>
    <t>PRT-A0070440</t>
  </si>
  <si>
    <t>2011-904-PRT-A0070440-A-Dystans blokady</t>
  </si>
  <si>
    <t>PRT-A0070031</t>
  </si>
  <si>
    <t>2011-900-PRT-A0070031-A-Płyta narzędzia</t>
  </si>
  <si>
    <t>PRT-A0069228</t>
  </si>
  <si>
    <t>2011-902-PRT-A0069228-A-Mocowanie szyny</t>
  </si>
  <si>
    <t>PRT-A0069227</t>
  </si>
  <si>
    <t>2011-902-PRT-A0069227-A-Mocowanie siłownika</t>
  </si>
  <si>
    <t>PRT-A0069225</t>
  </si>
  <si>
    <t>Mocowanie wózka</t>
  </si>
  <si>
    <t>2011-902-PRT-A0069225-A-Mocowanie wózka</t>
  </si>
  <si>
    <t>PRT-A0068942</t>
  </si>
  <si>
    <t>2011-901-PRT-A0068942-A-Płyta dolna</t>
  </si>
  <si>
    <t>PRT-A0068940</t>
  </si>
  <si>
    <t>2011-901-PRT-A0068940-A-Płytka mocowania siłownika</t>
  </si>
  <si>
    <t>PRT-A0068939</t>
  </si>
  <si>
    <t>2011-901-PRT-A0068939-A-Płyta pionowa</t>
  </si>
  <si>
    <t>PRT-A0069224</t>
  </si>
  <si>
    <t>Trzpień</t>
  </si>
  <si>
    <t>2011-902-PRT-A0069224-A-Trzpień</t>
  </si>
  <si>
    <t>PRT-A0069223</t>
  </si>
  <si>
    <t>Obracak</t>
  </si>
  <si>
    <t>2011-902-PRT-A0069223-A-Obracak</t>
  </si>
  <si>
    <t>PRT-A0068932</t>
  </si>
  <si>
    <t>Łącznik</t>
  </si>
  <si>
    <t>2011-901-PRT-A0068932-A-Łącznik</t>
  </si>
  <si>
    <t>NC6/1.2063</t>
  </si>
  <si>
    <t>PRT-A0068941</t>
  </si>
  <si>
    <t>2011-901-PRT-A0068941-A-Płytka mocowania siłownika</t>
  </si>
  <si>
    <t>PRT-A0072944</t>
  </si>
  <si>
    <t>2011-903-PRT-A0072944-A-Żebro</t>
  </si>
  <si>
    <t>PRT-A0072943</t>
  </si>
  <si>
    <t>Mocowanie</t>
  </si>
  <si>
    <t>2011-903-PRT-A0072943-A-Mocowanie</t>
  </si>
  <si>
    <t>PRT-A0072942</t>
  </si>
  <si>
    <t>2011-903-PRT-A0072942-A-Mocowanie siłownika</t>
  </si>
  <si>
    <t>PRT-A0072940</t>
  </si>
  <si>
    <t>Podkładka</t>
  </si>
  <si>
    <t>2011-903-PRT-A0072940-B-Podkładka</t>
  </si>
  <si>
    <t>PRT-A0072939</t>
  </si>
  <si>
    <t>Podpora</t>
  </si>
  <si>
    <t>2011-903-PRT-A0072939-A-Podpora</t>
  </si>
  <si>
    <t>PRT-A0072938</t>
  </si>
  <si>
    <t>2011-903-PRT-A0072938-A-Mocowanie</t>
  </si>
  <si>
    <t>PRT-A0072937</t>
  </si>
  <si>
    <t>Mocowanie zderzaków</t>
  </si>
  <si>
    <t>2011-903-PRT-A0072937-A-Mocowanie zderzaków</t>
  </si>
  <si>
    <t>PRT-A0072936</t>
  </si>
  <si>
    <t>2011-903-PRT-A0072936-A-Płyta</t>
  </si>
  <si>
    <t>PRT-A0072935</t>
  </si>
  <si>
    <t>2011-903-PRT-A0072935-A-Płyta</t>
  </si>
  <si>
    <t>PRT-A0072934</t>
  </si>
  <si>
    <t>2011-903-PRT-A0072934-A-Żebro</t>
  </si>
  <si>
    <t>PRT-A0072933</t>
  </si>
  <si>
    <t>2011-903-PRT-A0072933-A-Płyta</t>
  </si>
  <si>
    <t>PRT-A0072932</t>
  </si>
  <si>
    <t>2011-903-PRT-A0072932-A-Płyta</t>
  </si>
  <si>
    <t>PRT-A0072930</t>
  </si>
  <si>
    <t>Tulejka centrująca</t>
  </si>
  <si>
    <t>2011-903-PRT-A0072930-A-Tulejka centrująca</t>
  </si>
  <si>
    <t>PRT-A0072922</t>
  </si>
  <si>
    <t>2011-903-PRT-A0072922-A-Obsada blokady sprężynki</t>
  </si>
  <si>
    <t>PRT-A0072920</t>
  </si>
  <si>
    <t>2011-903-PRT-A0072920-A-Kostka zderzaka</t>
  </si>
  <si>
    <t>PRT-A0072919</t>
  </si>
  <si>
    <t>Ogranicznik szyny</t>
  </si>
  <si>
    <t>2011-903-PRT-A0072919-A-Ogranicznik szyny</t>
  </si>
  <si>
    <t>PRT-A0072918</t>
  </si>
  <si>
    <t>Talerzyk</t>
  </si>
  <si>
    <t>2011-903-PRT-A0072918-A-Talerzyk</t>
  </si>
  <si>
    <t>PRT-A0072917</t>
  </si>
  <si>
    <t>2011-903-PRT-A0072917-A-Kostka czujnika</t>
  </si>
  <si>
    <t>PRT-A0072873</t>
  </si>
  <si>
    <t>Wspornik blokady</t>
  </si>
  <si>
    <t>2011-990-PRT-A0072873-A-Wspornik blokady</t>
  </si>
  <si>
    <t>PRT-A0072872</t>
  </si>
  <si>
    <t>2011-990-PRT-A0072872-A-Wspornik blokady</t>
  </si>
  <si>
    <t>PRT-A0072871</t>
  </si>
  <si>
    <t>Mocowanie zderzaka</t>
  </si>
  <si>
    <t>2011-990-PRT-A0072871-A-Mocowanie zderzaka</t>
  </si>
  <si>
    <t>PRT-A0072870</t>
  </si>
  <si>
    <t>2011-990-PRT-A0072870-A-Mocowanie siłownika</t>
  </si>
  <si>
    <t>PRT-A0072862</t>
  </si>
  <si>
    <t>2011-990-PRT-A0072862-B-Wspornik blokady</t>
  </si>
  <si>
    <t>PRT-A0071252</t>
  </si>
  <si>
    <t>2011-904-PRT-A0071252-A-Mocowanie</t>
  </si>
  <si>
    <t>PRT-A0069990</t>
  </si>
  <si>
    <t>2011-901-PRT-A0069990-B-Mocowanie</t>
  </si>
  <si>
    <t>PRT-A0069226</t>
  </si>
  <si>
    <t>Mocowanie odboju</t>
  </si>
  <si>
    <t>2011-902-PRT-A0069226-A-Mocowanie odboju</t>
  </si>
  <si>
    <t>PRT-A0068946</t>
  </si>
  <si>
    <t>Płyta pośrednia</t>
  </si>
  <si>
    <t>2011-901-PRT-A0068946-A-Płyta pośrednia</t>
  </si>
  <si>
    <t>PRT-A0072929</t>
  </si>
  <si>
    <t>Bazwanie</t>
  </si>
  <si>
    <t>2011-903-PRT-A0072929-A-Bazwanie</t>
  </si>
  <si>
    <t>PRT-A0072928</t>
  </si>
  <si>
    <t>Szczęka</t>
  </si>
  <si>
    <t>2011-903-PRT-A0072928-B-Szczęka</t>
  </si>
  <si>
    <t>PRT-A0072927</t>
  </si>
  <si>
    <t>Chwytak beczki</t>
  </si>
  <si>
    <t>2011-903-PRT-A0072927-A-Chwytak beczki</t>
  </si>
  <si>
    <t>PRT-A0072926</t>
  </si>
  <si>
    <t>Gniazdo</t>
  </si>
  <si>
    <t>2011-903-PRT-A0072926-A-Gniazdo</t>
  </si>
  <si>
    <t>PRT-A0069192</t>
  </si>
  <si>
    <t>Bazowanie</t>
  </si>
  <si>
    <t>2011-900-PRT-A0069192-A-Bazowanie</t>
  </si>
  <si>
    <t>PRT-A0069979</t>
  </si>
  <si>
    <t>Element sprzęgający</t>
  </si>
  <si>
    <t>2011-902-PRT-A0069979-A-Element sprzęgający</t>
  </si>
  <si>
    <t>PRT-A0068943</t>
  </si>
  <si>
    <t>2011-901-PRT-A0068943-A-Element sprzęgający</t>
  </si>
  <si>
    <t>PRT-A0072945</t>
  </si>
  <si>
    <t>2011-903-PRT-A0072945-A-Zderzak</t>
  </si>
  <si>
    <t>PRT-A0072916</t>
  </si>
  <si>
    <t>Kostka podporowa</t>
  </si>
  <si>
    <t>2011-903-PRT-A0072916-A-Kostka podporowa</t>
  </si>
  <si>
    <t>PRT-A0072865</t>
  </si>
  <si>
    <t>2011-990-PRT-A0072865-A-Kostka podporowa</t>
  </si>
  <si>
    <t>PRT-A0072861</t>
  </si>
  <si>
    <t>2011-990-PRT-A0072861-B-Kostka podporowa</t>
  </si>
  <si>
    <t>PRT-A0072856</t>
  </si>
  <si>
    <t>Tulejka bazująca</t>
  </si>
  <si>
    <t>2011-992-PRT-A0072856-A-Tulejka bazująca</t>
  </si>
  <si>
    <t>PRT-A0070000</t>
  </si>
  <si>
    <t>2011-902-PRT-A0070000-A-Element sprzęgający</t>
  </si>
  <si>
    <t>PRT-A0069221</t>
  </si>
  <si>
    <t>Dystans</t>
  </si>
  <si>
    <t>2011-902-PRT-A0069221-A-Dystans</t>
  </si>
  <si>
    <t>PRT-A0068951</t>
  </si>
  <si>
    <t>Zabierak</t>
  </si>
  <si>
    <t>2011-901-PRT-A0068951-A-Zabierak</t>
  </si>
  <si>
    <t>PRT-A0068950</t>
  </si>
  <si>
    <t>2011-901-PRT-A0068950-B-Mocowanie popychacza</t>
  </si>
  <si>
    <t>PRT-A0068944</t>
  </si>
  <si>
    <t>2011-901-PRT-A0068944-A-Element sprzęgający</t>
  </si>
  <si>
    <t>PRT-A0068935</t>
  </si>
  <si>
    <t>2011-901-PRT-A0068935-A-Gniazdo pina</t>
  </si>
  <si>
    <t>PRT-A0073444</t>
  </si>
  <si>
    <t>2H13/1.4021</t>
  </si>
  <si>
    <t>PRT-A0073444-Lustro</t>
  </si>
  <si>
    <t>PRT-A0073443</t>
  </si>
  <si>
    <t>PRT-A0073443-Lustro</t>
  </si>
  <si>
    <t>PRT-A0073442</t>
  </si>
  <si>
    <t>PRT-A0073442-Lustro</t>
  </si>
  <si>
    <t>PRT-A0072941</t>
  </si>
  <si>
    <t>Blokada Pinu</t>
  </si>
  <si>
    <t>2011-903-PRT-A0072941-A-Blokada Pinu</t>
  </si>
  <si>
    <t>PRT-A0072931</t>
  </si>
  <si>
    <t>Blokada sprężyny</t>
  </si>
  <si>
    <t>2011-903-PRT-A0072931-A-Blokada sprężyny</t>
  </si>
  <si>
    <t>PRT-A0072924</t>
  </si>
  <si>
    <t>Blokada sprężynki</t>
  </si>
  <si>
    <t>2011-903-PRT-A0072924-A-Blokada sprężynki</t>
  </si>
  <si>
    <t>PRT-A0072913</t>
  </si>
  <si>
    <t>Gniazdo kołeczka</t>
  </si>
  <si>
    <t>2011-903-PRT-A0072913-A-Gniazdo kołeczka</t>
  </si>
  <si>
    <t>PRT-A0072977</t>
  </si>
  <si>
    <t>2011-903-PRT-A0072977-A-Mocowanie prowadnika</t>
  </si>
  <si>
    <t>PRT-A0072975</t>
  </si>
  <si>
    <t>2011-903-PRT-A0072975-A-Mocowanie prowadnika</t>
  </si>
  <si>
    <t>PRT-A0072946</t>
  </si>
  <si>
    <t>2011-903-PRT-A0072946-B-Osłona</t>
  </si>
  <si>
    <t>PRT-A0072878</t>
  </si>
  <si>
    <t>2011-990-PRT-A0072878-A-Mocowanie</t>
  </si>
  <si>
    <t>PRT-A0072875</t>
  </si>
  <si>
    <t>2011-990-PRT-A0072875-A-Mocowanie prowadnika</t>
  </si>
  <si>
    <t>PRT-A0072874</t>
  </si>
  <si>
    <t>2011-990-PRT-A0072874-A-Mocowanie prowadników</t>
  </si>
  <si>
    <t>PRT-A0072869</t>
  </si>
  <si>
    <t>Wanienka na smar</t>
  </si>
  <si>
    <t>2011-990-PRT-A0072869-A-Wanienka na smar</t>
  </si>
  <si>
    <t>PRT-A0072868</t>
  </si>
  <si>
    <t>Przekładka</t>
  </si>
  <si>
    <t>2011-990-PRT-A0072868-A-Przekładka</t>
  </si>
  <si>
    <t>PRT-A0072867</t>
  </si>
  <si>
    <t>2011-990-PRT-A0072867-A-Mocowanie</t>
  </si>
  <si>
    <t>PRT-A0072718</t>
  </si>
  <si>
    <t>2011-902-PRT-A0072718-A-Mocowanie</t>
  </si>
  <si>
    <t>PRT-A0072038</t>
  </si>
  <si>
    <t>2011-902-PRT-A0072038-A-Mocowanie prowadnika</t>
  </si>
  <si>
    <t>PRT-A0072036</t>
  </si>
  <si>
    <t>2011-902-PRT-A0072036-A-Mocowanie prowadnika</t>
  </si>
  <si>
    <t>PRT-A0071206</t>
  </si>
  <si>
    <t>2011-902-PRT-A0071206-A-Osłona</t>
  </si>
  <si>
    <t>PRT-A0070603</t>
  </si>
  <si>
    <t>Pierścień</t>
  </si>
  <si>
    <t>2011-902-PRT-A0070603-A-Pierścień</t>
  </si>
  <si>
    <t>PRT-A0070445</t>
  </si>
  <si>
    <t>2011-904-PRT-A0070445-A-Mocowanie prowadnika</t>
  </si>
  <si>
    <t>PRT-A0070444</t>
  </si>
  <si>
    <t>2011-904-PRT-A0070444-B-Mocowanie prowadnika</t>
  </si>
  <si>
    <t>PRT-A0070438</t>
  </si>
  <si>
    <t>2011-904-PRT-A0070438-A-Oprawa łożysk</t>
  </si>
  <si>
    <t>000.MAG.50 - M8 x 35</t>
  </si>
  <si>
    <t>F</t>
  </si>
  <si>
    <t>000.MAG.69.18</t>
  </si>
  <si>
    <t>000.MAG69.18</t>
  </si>
  <si>
    <t>000.MAG.50 - M6 x40</t>
  </si>
  <si>
    <t>FABORY</t>
  </si>
  <si>
    <t>000.MAG.90.07</t>
  </si>
  <si>
    <t>Tuleja centrująca</t>
  </si>
  <si>
    <t>000.MAG.90.07-B</t>
  </si>
  <si>
    <t>000.MAG.90.06</t>
  </si>
  <si>
    <t>000.MAG.90.06-B</t>
  </si>
  <si>
    <t>000.MAG.50 - M5</t>
  </si>
  <si>
    <t>Nóżka</t>
  </si>
  <si>
    <t>000.MAG.50 - M5-A</t>
  </si>
  <si>
    <t>000.MAG.50 - M8</t>
  </si>
  <si>
    <t>000.MAG.22.M8-A</t>
  </si>
  <si>
    <t>K. Wróblewski</t>
  </si>
  <si>
    <t>Gniazdo Dźwigni eCrafter Przesuwny LH</t>
  </si>
  <si>
    <t>2011-992-PRT-A0073447-B-Gniazdo Dźwigni eCrafter Przesuwny LH</t>
  </si>
  <si>
    <t>Gniazdo Dźwigni eCrafter Przesuwny RH</t>
  </si>
  <si>
    <t>2011-992-PRT-A0073447-Lustro-B-Gniazdo Dźwigni eCrafter Przesuwny RH</t>
  </si>
  <si>
    <t>2011-992-PRT-A0073446-A-Gniazdo Dźwigni eCrafter Przesuwny LH</t>
  </si>
  <si>
    <t>2011-992-PRT-A0073446-Lustro-A-Gniazdo Dźwigni eCrafter Przesuwny RH</t>
  </si>
  <si>
    <t>2011-992-PRT-A0073445-C-Gniazdo Dźwigni eCrafter Przesuwny LH</t>
  </si>
  <si>
    <t>2011-992-PRT-A0073445-Lustro-C-Gniazdo Dźwigni eCrafter Przesuwny RH</t>
  </si>
  <si>
    <t>2011-992-PRT-A0073441-A-Gniazdo Dźwigni eCrafter Przesuwny LH</t>
  </si>
  <si>
    <t>2011-992-PRT-A0073441-Lustro-A-Gniazdo Dźwigni eCrafter Przesuwny RH</t>
  </si>
  <si>
    <t>2011-992-PRT-A0073440-A-Gniazdo Dźwigni eCrafter Przesuwny LH</t>
  </si>
  <si>
    <t>2011-992-PRT-A0073440-Lustro-A-Gniazdo Dźwigni eCrafter Przesuwny RH</t>
  </si>
  <si>
    <t>2011-992-PRT-A0072854-A-Gniazdo Dźwigni eCrafter Przesuwny LH</t>
  </si>
  <si>
    <t>2011-992-PRT-A0072854-Lustro-A-Gniazdo Dźwigni eCrafter Przesuwny RH</t>
  </si>
  <si>
    <t>Płyta narzędzia ruchomego</t>
  </si>
  <si>
    <t>Płyta Gniazda eCrafter RH</t>
  </si>
  <si>
    <t>Płytka mocowania siłownika</t>
  </si>
  <si>
    <t>EN AW 7021/C330</t>
  </si>
  <si>
    <t>Obsada blokady sprężynki</t>
  </si>
  <si>
    <t>40HMQT/1.7225 +QT</t>
  </si>
  <si>
    <t>28 HRC±2HRC</t>
  </si>
  <si>
    <t>60 HRC±2HRC</t>
  </si>
  <si>
    <t>Mocowanie popychacza</t>
  </si>
  <si>
    <t>2011-992-PRT-A0073444-A-Gniazdo Dźwigni eCrafter Przesuwny LH</t>
  </si>
  <si>
    <t>2011-992-PRT-A0073444-Lustro-A-Gniazdo Dźwigni eCrafter Przesuwny RH</t>
  </si>
  <si>
    <t>2011-992-PRT-A0073443-A-Gniazdo Dźwigni eCrafter Przesuwny LH</t>
  </si>
  <si>
    <t>2011-992-PRT-A0073443-Lustro-A-Gniazdo Dźwigni eCrafter Przesuwny RH</t>
  </si>
  <si>
    <t>2011-992-PRT-A0073442-A-Gniazdo Dźwigni eCrafter Przesuwny LH</t>
  </si>
  <si>
    <t>2011-992-PRT-A0073442-Lustro-A-Gniazdo Dźwigni eCrafter Przesuwny RH</t>
  </si>
  <si>
    <t>Mocowanie prowadników</t>
  </si>
  <si>
    <t>Kołek pozycjonujący fi8</t>
  </si>
  <si>
    <t>000.MAG.50 - M6X40</t>
  </si>
  <si>
    <t>brak</t>
  </si>
  <si>
    <t>czernić</t>
  </si>
  <si>
    <t>900 - Podmontaż dźwigni</t>
  </si>
  <si>
    <t>dowyjasnienia</t>
  </si>
  <si>
    <t>2011-400-PRT-A0069147-B-Dźwignia prawa</t>
  </si>
  <si>
    <t>000.MAG.50 - M8-B</t>
  </si>
  <si>
    <t>000.MAG.50 - M8 x L-F</t>
  </si>
  <si>
    <t>000.MAG.50 - M5 x L-C</t>
  </si>
  <si>
    <t>PRT-A0070487-Lustro</t>
  </si>
  <si>
    <t>PRT-A0070491-Lustro</t>
  </si>
  <si>
    <t>PRT-A0070107-Lustro</t>
  </si>
  <si>
    <t>PRT-A0070499-Lustro</t>
  </si>
  <si>
    <t>PRT-A0070494-Lustro</t>
  </si>
  <si>
    <t>PRT-A0070105-Lustro</t>
  </si>
  <si>
    <t>PRT-A0071409-Lustro</t>
  </si>
  <si>
    <t>PRT-A0068841-Lustro</t>
  </si>
  <si>
    <t>Obudowa Fluke 3-3</t>
  </si>
  <si>
    <t>2011-600-PRT-A0073372-A-Obudowa Fluke 3-3</t>
  </si>
  <si>
    <t>Obudowa Fluke 1-3</t>
  </si>
  <si>
    <t>2011-600-PRT-A0073371-A-Obudowa Fluke 1-3</t>
  </si>
  <si>
    <t>Obudowa Fluke 2-3</t>
  </si>
  <si>
    <t>2011-600-PRT-A0073373-A-Obudowa Fluke 2-3</t>
  </si>
  <si>
    <t>PRT-A0073372</t>
  </si>
  <si>
    <t>PRT-A0073371</t>
  </si>
  <si>
    <t>PRT-A0073373</t>
  </si>
  <si>
    <t>2011-600-ASM-A0011301-A-Skrzynka spawana Fluke</t>
  </si>
  <si>
    <t>wg rysunku</t>
  </si>
  <si>
    <t>Spawane</t>
  </si>
  <si>
    <t>PRT-A0073479</t>
  </si>
  <si>
    <t>Kątownik mocujący</t>
  </si>
  <si>
    <t>2011-600-PRT-A0073479-A-Kątownik mocujący</t>
  </si>
  <si>
    <t>Osłona tylna</t>
  </si>
  <si>
    <t>2011-600-PRT-A0073380-A-Osłona tylna</t>
  </si>
  <si>
    <t>Drzwiczki skrzynki</t>
  </si>
  <si>
    <t>2011-600-PRT-A0073374-A-Drzwiczki skrzynki</t>
  </si>
  <si>
    <t>Stopka</t>
  </si>
  <si>
    <t>2011-600-PRT-A0073375-A-Stopka</t>
  </si>
  <si>
    <t>PRT-A0073469</t>
  </si>
  <si>
    <t>Osłona lewa</t>
  </si>
  <si>
    <t>2011-600-PRT-A0073469-A-Osłona lewa</t>
  </si>
  <si>
    <t>PRT-A0073466</t>
  </si>
  <si>
    <t>Osłona prawa</t>
  </si>
  <si>
    <t>2011-600-PRT-A0073466-A-Osłona prawa</t>
  </si>
  <si>
    <t>PRT-A0073465</t>
  </si>
  <si>
    <t>2011-600-PRT-A0073465-A-Osłona</t>
  </si>
  <si>
    <t>Okno</t>
  </si>
  <si>
    <t>2011-600-PRT-A0073377-A-Okno</t>
  </si>
  <si>
    <t>PRT-A0073401</t>
  </si>
  <si>
    <t>Mocowanie magnesu</t>
  </si>
  <si>
    <t>2011-600-PRT-A0073401-A-Mocowanie magnesu</t>
  </si>
  <si>
    <t>Mocowanie ukośne</t>
  </si>
  <si>
    <t>2011-600-PRT-A0073379-A-Mocowanie ukośne</t>
  </si>
  <si>
    <t>Mocowanie przód</t>
  </si>
  <si>
    <t>2011-600-PRT-A0073376-A-Mocowanie przód</t>
  </si>
  <si>
    <t>2011-600-PRT-A0073401-A-Mocowanie magnesu Lustro</t>
  </si>
  <si>
    <t>2011-600-PRT-A0073379-A-Mocowanie ukośne Lustro</t>
  </si>
  <si>
    <t>PRT-A0073379</t>
  </si>
  <si>
    <t>PRT-A0073379 Lustro</t>
  </si>
  <si>
    <t>PRT-A0073401 Lustro</t>
  </si>
  <si>
    <t>Skrzynka spawana Fluke</t>
  </si>
  <si>
    <t>ASM-A0011301</t>
  </si>
  <si>
    <t>PRT-A0073380</t>
  </si>
  <si>
    <t>PRT-A0073374</t>
  </si>
  <si>
    <t>PRT-A0073375</t>
  </si>
  <si>
    <t>PRT-A0073377</t>
  </si>
  <si>
    <t>PRT-A0073376</t>
  </si>
  <si>
    <t>Spawanie</t>
  </si>
  <si>
    <t>Podstawa zespołu</t>
  </si>
  <si>
    <t xml:space="preserve">PRT-A0070131 </t>
  </si>
  <si>
    <t>2011-600-PRT-A0070131-A-Podstawa zespołu</t>
  </si>
  <si>
    <t>Z/2011-zewn_cnc_nierdz/PCz/2023</t>
  </si>
  <si>
    <t>wybrne przez PCz 2023-06-13</t>
  </si>
  <si>
    <t>Z/2011-KW_MG_Laser/2023</t>
  </si>
  <si>
    <t>zamówienie Z/2011-zewn_cnc/PCz/2023</t>
  </si>
  <si>
    <t>Zamówienie Z/2011-zewn_cz2/PCz</t>
  </si>
  <si>
    <t>Zamówienie Z/2011-zewn_cz3/PCz</t>
  </si>
  <si>
    <t>Piast</t>
  </si>
  <si>
    <t>Zamówienie Z/2011-zewn_cnc_2/PCz/2023</t>
  </si>
  <si>
    <t>zamówienie Z/2011-zewn_cnc_2/PCz/2023</t>
  </si>
  <si>
    <t>4H13</t>
  </si>
  <si>
    <t>000.MAG.69.18-A</t>
  </si>
  <si>
    <t>P. Poniewierka</t>
  </si>
  <si>
    <t>PRT-A0072668</t>
  </si>
  <si>
    <t>2011-200-PRT-A0072668-A-Płyta pod narzędziem</t>
  </si>
  <si>
    <t>dostarczono</t>
  </si>
  <si>
    <t>wykona Promatik</t>
  </si>
  <si>
    <t>wybrane przez PCz 2023-06-15</t>
  </si>
  <si>
    <t>PRT-A0073451</t>
  </si>
  <si>
    <t>2011-600-PRT-A0073451-A-Płyta zespołu tensometra</t>
  </si>
  <si>
    <t>PRT-A0073415</t>
  </si>
  <si>
    <t>2011-600-PRT-A0073415-A-Płyta główna</t>
  </si>
  <si>
    <t>PRT-A0073500</t>
  </si>
  <si>
    <t>2011-600-PRT-A0073500-A-Osłona</t>
  </si>
  <si>
    <t>Płyta zespołu tensometra</t>
  </si>
  <si>
    <t>Malować RAL 7045 (Ciemny szary)</t>
  </si>
  <si>
    <t>PRT-A0073182</t>
  </si>
  <si>
    <t>Króciec specjalny</t>
  </si>
  <si>
    <t>2013-100-PRT-A0073182-A-Króciec specjalny</t>
  </si>
  <si>
    <t>PRT-A0073549</t>
  </si>
  <si>
    <t>Tulejka amortyzatora</t>
  </si>
  <si>
    <t>2013-100-PRT-A0073549-A-Tulejka amortyzatora</t>
  </si>
  <si>
    <t>PRT-A0073391</t>
  </si>
  <si>
    <t>2013-100-PRT-A0073391-A-Kostka zderzaka</t>
  </si>
  <si>
    <t>PRT-A0073551</t>
  </si>
  <si>
    <t>2013-100-PRT-A0073551-A-Kostka zderzaka</t>
  </si>
  <si>
    <t>PRT-A0073183</t>
  </si>
  <si>
    <t>Redukcja M5</t>
  </si>
  <si>
    <t>2013-100-PRT-A0073183-A-Redukcja M5</t>
  </si>
  <si>
    <t>PRT-A0073118</t>
  </si>
  <si>
    <t>Osłonka czujnika</t>
  </si>
  <si>
    <t>2013-100-PRT-A0073118-A-Osłonka czujnika</t>
  </si>
  <si>
    <t>PRT-A0073388</t>
  </si>
  <si>
    <t>2013-100-PRT-A0073388-A-Żebro 2</t>
  </si>
  <si>
    <t>PRT-A0073210</t>
  </si>
  <si>
    <t xml:space="preserve">Żebro </t>
  </si>
  <si>
    <t xml:space="preserve">2013-100-PRT-A0073210-A-Żebro </t>
  </si>
  <si>
    <t>PRT-A0073215</t>
  </si>
  <si>
    <t>2013-100-PRT-A0073215-A-Rynna prowadnika</t>
  </si>
  <si>
    <t>PRT-A0073097</t>
  </si>
  <si>
    <t>Dystans zatrzasku</t>
  </si>
  <si>
    <t>2013-100-PRT-A0073097-A-Dystans zatrzasku</t>
  </si>
  <si>
    <t>LustroPRT-A0071391</t>
  </si>
  <si>
    <t>Gniazdo sprężyny</t>
  </si>
  <si>
    <t>2013-100-LustroPRT-A0071391-A-Gniazdo sprężyny</t>
  </si>
  <si>
    <t>4H13/1.4033</t>
  </si>
  <si>
    <t>PRT-A0071391</t>
  </si>
  <si>
    <t>2013-100-PRT-A0071391-A-Gniazdo sprężyny</t>
  </si>
  <si>
    <t>PRT-A0073409</t>
  </si>
  <si>
    <t>Zderzak wahadła</t>
  </si>
  <si>
    <t>2013-100-PRT-A0073409-A-Zderzak wahadła</t>
  </si>
  <si>
    <t>PRT-A0073406</t>
  </si>
  <si>
    <t>2013-100-PRT-A0073406-A-Kostka zderzaka</t>
  </si>
  <si>
    <t>PRT-A0073092</t>
  </si>
  <si>
    <t>Płytka docisku</t>
  </si>
  <si>
    <t>2013-100-PRT-A0073092-A-Płytka docisku</t>
  </si>
  <si>
    <t>PRT-A0072679</t>
  </si>
  <si>
    <t>Oprawa gniazda sprężyny</t>
  </si>
  <si>
    <t>2013-100-PRT-A0072679-A-Oprawa gniazda sprężyny</t>
  </si>
  <si>
    <t>PRT-A0073543</t>
  </si>
  <si>
    <t>Łącznik sprzęgła</t>
  </si>
  <si>
    <t>2013-100-PRT-A0073543-A-Łącznik sprzęgła</t>
  </si>
  <si>
    <t>PRT-A0073417</t>
  </si>
  <si>
    <t>2013-100-PRT-A0073417-A-Kostka zderzaka</t>
  </si>
  <si>
    <t>PRT-A0073196</t>
  </si>
  <si>
    <t>Podstawa docisku</t>
  </si>
  <si>
    <t>2013-100-PRT-A0073196-A-Podstawa docisku</t>
  </si>
  <si>
    <t>PRT-A0073187</t>
  </si>
  <si>
    <t>Pokrywka oringa</t>
  </si>
  <si>
    <t>2013-100-PRT-A0073187-A-Pokrywka oringa</t>
  </si>
  <si>
    <t>PRT-A0073093</t>
  </si>
  <si>
    <t>Podstawa gniazda</t>
  </si>
  <si>
    <t>2013-100-PRT-A0073093-A-Podstawa gniazda</t>
  </si>
  <si>
    <t>LustroPRT-A0072950</t>
  </si>
  <si>
    <t>Żebro docisku</t>
  </si>
  <si>
    <t>2013-100-LustroPRT-A0072950-A-Żebro docisku</t>
  </si>
  <si>
    <t>PRT-A0072950</t>
  </si>
  <si>
    <t>2013-100-PRT-A0072950-A-Żebro docisku</t>
  </si>
  <si>
    <t>PRT-A0072949</t>
  </si>
  <si>
    <t>Płyta docisków</t>
  </si>
  <si>
    <t>2013-100-PRT-A0072949-A-Płyta docisków</t>
  </si>
  <si>
    <t>PRT-A0073400</t>
  </si>
  <si>
    <t>Łącznik wahadła</t>
  </si>
  <si>
    <t>2013-100-PRT-A0073400-A-Łącznik wahadła</t>
  </si>
  <si>
    <t>PRT-A0073982</t>
  </si>
  <si>
    <t>Płytka dyszy</t>
  </si>
  <si>
    <t>2013-100-PRT-A0073982-A-Płytka dyszy</t>
  </si>
  <si>
    <t>PRT-A0073563</t>
  </si>
  <si>
    <t>Uchwyt LRZ</t>
  </si>
  <si>
    <t>2013-100-PRT-A0073563-A-Uchwyt LRZ</t>
  </si>
  <si>
    <t>PRT-A0073386</t>
  </si>
  <si>
    <t>Płyta obrotu</t>
  </si>
  <si>
    <t>2013-100-PRT-A0073386-A-Płyta obrotu</t>
  </si>
  <si>
    <t>PRT-A0073357</t>
  </si>
  <si>
    <t>Płytka wahadła</t>
  </si>
  <si>
    <t>2013-100-PRT-A0073357-A-Płytka wahadła</t>
  </si>
  <si>
    <t>PRT-A0073193</t>
  </si>
  <si>
    <t>Podstawa gniazda bok</t>
  </si>
  <si>
    <t>2013-100-PRT-A0073193-A-Podstawa gniazda bok</t>
  </si>
  <si>
    <t>PRT-A0073119</t>
  </si>
  <si>
    <t>Tulejka czujnika</t>
  </si>
  <si>
    <t>2013-100-PRT-A0073119-A-Tulejka czujnika</t>
  </si>
  <si>
    <t>PRT-A0073085</t>
  </si>
  <si>
    <t>Płytka gniazda</t>
  </si>
  <si>
    <t>2013-100-PRT-A0073085-A-Płytka gniazda</t>
  </si>
  <si>
    <t>PRT-A0072959</t>
  </si>
  <si>
    <t>Płytka ociekacza</t>
  </si>
  <si>
    <t>2013-100-PRT-A0072959-A-Płytka ociekacza</t>
  </si>
  <si>
    <t>PRT-A0072956</t>
  </si>
  <si>
    <t>2013-100-PRT-A0072956-A-Płyta pozioma smarowania</t>
  </si>
  <si>
    <t>PRT-A0072835</t>
  </si>
  <si>
    <t>Tacka ociekowa</t>
  </si>
  <si>
    <t>2013-100-PRT-A0072835-A-Tacka ociekowa</t>
  </si>
  <si>
    <t>PRT-A0073387</t>
  </si>
  <si>
    <t>Płyta obrotu pozioma</t>
  </si>
  <si>
    <t>2013-100-PRT-A0073387-A-Płyta obrotu pozioma</t>
  </si>
  <si>
    <t>PRT-A0073221</t>
  </si>
  <si>
    <t>Płyta pozioma</t>
  </si>
  <si>
    <t>2013-100-PRT-A0073221-A-Płyta pozioma</t>
  </si>
  <si>
    <t>PRT-A0073209</t>
  </si>
  <si>
    <t>Płyta smarowania</t>
  </si>
  <si>
    <t>2013-100-PRT-A0073209-A-Płyta smarowania</t>
  </si>
  <si>
    <t>PRT-A0072678</t>
  </si>
  <si>
    <t>Płytka dojazdu sprężyny</t>
  </si>
  <si>
    <t>2013-100-PRT-A0072678-A-Płytka dojazdu sprężyny</t>
  </si>
  <si>
    <t>PRT-A0073412</t>
  </si>
  <si>
    <t>Śruba zderzak</t>
  </si>
  <si>
    <t>2013-100-PRT-A0073412-A-Śruba zderzak</t>
  </si>
  <si>
    <t>~DIN 916</t>
  </si>
  <si>
    <t>PRT-A0073405</t>
  </si>
  <si>
    <t>2013-100-PRT-A0073405-A-Śruba zderzak</t>
  </si>
  <si>
    <t>LustroPRT-A00729661</t>
  </si>
  <si>
    <t xml:space="preserve">Gniazdo </t>
  </si>
  <si>
    <t xml:space="preserve">2013-100-LustroPRT-A00729661-A-Gniazdo </t>
  </si>
  <si>
    <t>POM czarny</t>
  </si>
  <si>
    <t>PRT-A0072966</t>
  </si>
  <si>
    <t xml:space="preserve">2013-100-PRT-A0072966-A-Gniazdo </t>
  </si>
  <si>
    <t>LustroPRT-A0073538</t>
  </si>
  <si>
    <t>Blacha LRZa</t>
  </si>
  <si>
    <t>2013-100-LustroPRT-A0073538-A-Blacha LRZa</t>
  </si>
  <si>
    <t>PRT-A0073538</t>
  </si>
  <si>
    <t>2013-100-PRT-A0073538-A-Blacha LRZa</t>
  </si>
  <si>
    <t>PRT-A0073530</t>
  </si>
  <si>
    <t>Blacha prowadnika</t>
  </si>
  <si>
    <t>2013-100-PRT-A0073530-A-Blacha prowadnika</t>
  </si>
  <si>
    <t>PRT-A0073327</t>
  </si>
  <si>
    <t>Uchwyt prowadnika</t>
  </si>
  <si>
    <t>2013-100-PRT-A0073327-A-Uchwyt prowadnika</t>
  </si>
  <si>
    <t>S.Gawęcki</t>
  </si>
  <si>
    <t>Płyta pozioma smarowania</t>
  </si>
  <si>
    <t>PRT-A0069075</t>
  </si>
  <si>
    <t>Ramię wbijania</t>
  </si>
  <si>
    <t>2013-100-PRT-A0069075-A-Ramię wbijania</t>
  </si>
  <si>
    <t>PRT-A0069070</t>
  </si>
  <si>
    <t>Dystans wypychacza</t>
  </si>
  <si>
    <t>2013-100-PRT-A0069070-A-Dystans wypychacza</t>
  </si>
  <si>
    <t>PRT-A0069069</t>
  </si>
  <si>
    <t>Oprawka wypychacza</t>
  </si>
  <si>
    <t>2013-100-PRT-A0069069-A-Oprawka wypychacza</t>
  </si>
  <si>
    <t>PRT-A0069068</t>
  </si>
  <si>
    <t>Nakrętka wypychacza</t>
  </si>
  <si>
    <t>2013-100-PRT-A0069068-A-Nakrętka wypychacza</t>
  </si>
  <si>
    <t>PRT-A0069067</t>
  </si>
  <si>
    <t>Uchwyt wypychacza</t>
  </si>
  <si>
    <t>2013-100-PRT-A0069067-A-Uchwyt wypychacza</t>
  </si>
  <si>
    <t>PRT-A0073458</t>
  </si>
  <si>
    <t>2013-100-PRT-A0073458-A-Gniazdo trzpienia górne</t>
  </si>
  <si>
    <t>PRT-A0069081</t>
  </si>
  <si>
    <t>2013-100-PRT-A0069081-A-Gniazdo trzpienia dolne</t>
  </si>
  <si>
    <t>PRT-A0069076</t>
  </si>
  <si>
    <t>Tulejka prowadząca</t>
  </si>
  <si>
    <t>2013-100-PRT-A0069076-A-Tulejka prowadząca</t>
  </si>
  <si>
    <t>PRT-A0069084</t>
  </si>
  <si>
    <t>2013-100-PRT-A0069084-A-Mocowanie siłownika</t>
  </si>
  <si>
    <t>PRT-A0069079</t>
  </si>
  <si>
    <t>2013-100-PRT-A0069079-A-Mocowanie wypychacza</t>
  </si>
  <si>
    <t>PRT-A0069074</t>
  </si>
  <si>
    <t>2013-100-PRT-A0069074-A-Płyta pionowa</t>
  </si>
  <si>
    <t>PRT-A0069071</t>
  </si>
  <si>
    <t>2013-100-PRT-A0069071-A-Płyta pozioma</t>
  </si>
  <si>
    <t>PRT-A0073496</t>
  </si>
  <si>
    <t>Mocowanie kamery IV</t>
  </si>
  <si>
    <t>2013-100-PRT-A0073496-A-Mocowanie kamery IV</t>
  </si>
  <si>
    <t>PRT-A0073485</t>
  </si>
  <si>
    <t>2013-100-PRT-A0073485-A-Zderzak</t>
  </si>
  <si>
    <t>PRT-A0073482</t>
  </si>
  <si>
    <t>Dystans gniazda</t>
  </si>
  <si>
    <t>2013-100-PRT-A0073482-A-Dystans gniazda</t>
  </si>
  <si>
    <t>Gniazdo trzpienia górne</t>
  </si>
  <si>
    <t>Gniazdo trzpienia dolne</t>
  </si>
  <si>
    <t>2013-100-PRT-A0073085-A-Płytka gniazda_</t>
  </si>
  <si>
    <t>--000.MAG.22.M6-B-Kostka zderzaka</t>
  </si>
  <si>
    <t>000.MAG.22.M5</t>
  </si>
  <si>
    <t>0--000.MAG.22.M5-B-Kostka zderzaka</t>
  </si>
  <si>
    <t>PRT-A0073192</t>
  </si>
  <si>
    <t>Kątownik</t>
  </si>
  <si>
    <t>2013-200-PRT-A0073192-A-Kątownik</t>
  </si>
  <si>
    <t>PRT-A0073171</t>
  </si>
  <si>
    <t>2013-200-PRT-A0073171-A-Uchwyt czujnika</t>
  </si>
  <si>
    <t>PRT-A0073172</t>
  </si>
  <si>
    <t>2013-200-PRT-A0073172-A-Kostka czujnika</t>
  </si>
  <si>
    <t>PRT-A0073177</t>
  </si>
  <si>
    <t>Kątownik kamery</t>
  </si>
  <si>
    <t>2013-200-PRT-A0073177-A-Kątownik kamery</t>
  </si>
  <si>
    <t>PRT-A0072978</t>
  </si>
  <si>
    <t>2013-200-PRT-A0072978-A-Płytka narzędzia wstępnego</t>
  </si>
  <si>
    <t>PRT-A0072955</t>
  </si>
  <si>
    <t>2013-200-PRT-A0072955-A-Żebro</t>
  </si>
  <si>
    <t>PRT-A0072954</t>
  </si>
  <si>
    <t>2013-200-PRT-A0072954-A-Żebro</t>
  </si>
  <si>
    <t>PRT-A0072953</t>
  </si>
  <si>
    <t>Płytka</t>
  </si>
  <si>
    <t>2013-200-PRT-A0072953-A-Płytka</t>
  </si>
  <si>
    <t>PRT-A0072951</t>
  </si>
  <si>
    <t>2013-200-PRT-A0072951-A-Płyta</t>
  </si>
  <si>
    <t>PRT-A0072948</t>
  </si>
  <si>
    <t>Adapter dyszy</t>
  </si>
  <si>
    <t>2013-200-PRT-A0072948-A-Adapter dyszy</t>
  </si>
  <si>
    <t>PRT-A0072830</t>
  </si>
  <si>
    <t>2013-200-PRT-A0072830-A-Żebro</t>
  </si>
  <si>
    <t>PRT-A0072829</t>
  </si>
  <si>
    <t>2013-200-PRT-A0072829-A-Płyta pozioma</t>
  </si>
  <si>
    <t>PRT-A0072827</t>
  </si>
  <si>
    <t>2013-200-PRT-A0072827-A-Płyta pionowa</t>
  </si>
  <si>
    <t>PRT-A0072824</t>
  </si>
  <si>
    <t>Łapa siłowinka</t>
  </si>
  <si>
    <t>2013-200-PRT-A0072824-A-Łapa siłowinka</t>
  </si>
  <si>
    <t>PRT-A0072713</t>
  </si>
  <si>
    <t>2013-200-PRT-A0072713-A-Żebro</t>
  </si>
  <si>
    <t>PRT-A0072713-Lustro</t>
  </si>
  <si>
    <t>2013-200-PRT-A0072713-Lustro-A-Żebro</t>
  </si>
  <si>
    <t>PRT-A0072712</t>
  </si>
  <si>
    <t>2013-200-PRT-A0072712-A-Płytka siłownika</t>
  </si>
  <si>
    <t>PRT-A0072054</t>
  </si>
  <si>
    <t>Wspornik</t>
  </si>
  <si>
    <t>2013-200-PRT-A0072054-A-Wspornik</t>
  </si>
  <si>
    <t>PRT-A0071399</t>
  </si>
  <si>
    <t>2013-200-PRT-A0071399-A-Żebro</t>
  </si>
  <si>
    <t>PRT-A0071394</t>
  </si>
  <si>
    <t>Płytka pozioma</t>
  </si>
  <si>
    <t>2013-200-PRT-A0071394-A-Płytka pozioma</t>
  </si>
  <si>
    <t>PRT-A0071392</t>
  </si>
  <si>
    <t>2013-200-PRT-A0071392-A-Płytka</t>
  </si>
  <si>
    <t>PRT-A0070404</t>
  </si>
  <si>
    <t>2013-200-PRT-A0070404-0-Płyta główna</t>
  </si>
  <si>
    <t>PRT-A0070396</t>
  </si>
  <si>
    <t>PRT-A0070396-Lustro</t>
  </si>
  <si>
    <t>PRT-A0072992</t>
  </si>
  <si>
    <t>2013-200-PRT-A0072992-A-Kostka bazująca</t>
  </si>
  <si>
    <t>PRT-A0072989</t>
  </si>
  <si>
    <t>2013-200-PRT-A0072989-A-Kostka bazująca</t>
  </si>
  <si>
    <t>PRT-A0072836</t>
  </si>
  <si>
    <t>2013-200-PRT-A0072836-A-Kostka zderzaka</t>
  </si>
  <si>
    <t>PRT-A0072807</t>
  </si>
  <si>
    <t>Kostka sprzęgła</t>
  </si>
  <si>
    <t>2013-200-PRT-A0072807-A-Kostka sprzęgła</t>
  </si>
  <si>
    <t>PRT-A0072676</t>
  </si>
  <si>
    <t>2013-200-PRT-A0072676-A-Wspornik siłownika</t>
  </si>
  <si>
    <t>PRT-A0072671</t>
  </si>
  <si>
    <t>2013-200-PRT-A0072671-A-Tulejka dystansowa</t>
  </si>
  <si>
    <t>PRT-A0072995</t>
  </si>
  <si>
    <t>2013-200-PRT-A0072995-A-Kostka zderzaka</t>
  </si>
  <si>
    <t>PRT-A0074044</t>
  </si>
  <si>
    <t>2013-200-PRT-A0074044-A-Gniazdo sprężyny ruchome cz1</t>
  </si>
  <si>
    <t>PRT-A0072982</t>
  </si>
  <si>
    <t>2013-200-PRT-A0072982-A-Podpora środkowa</t>
  </si>
  <si>
    <t>PRT-A0072982-Lustro</t>
  </si>
  <si>
    <t>2013-200-PRT-A0072982-Lustro-A-Podpora środkowa</t>
  </si>
  <si>
    <t>PRT-A0072980</t>
  </si>
  <si>
    <t>Podpora I</t>
  </si>
  <si>
    <t>2013-200-PRT-A0072980-A-Podpora I</t>
  </si>
  <si>
    <t>PRT-A0072979</t>
  </si>
  <si>
    <t>Podpora II</t>
  </si>
  <si>
    <t>2013-200-PRT-A0072979-A-Podpora II</t>
  </si>
  <si>
    <t>PRT-A0072056</t>
  </si>
  <si>
    <t>2013-200-PRT-A0072056-A-Podpórka</t>
  </si>
  <si>
    <t>PRT-A0072056-Lustro</t>
  </si>
  <si>
    <t>2013-200-PRT-A0072056-Lustro-A-Podpórka</t>
  </si>
  <si>
    <t>PRT-A0072030</t>
  </si>
  <si>
    <t>Końcówka wbijająca</t>
  </si>
  <si>
    <t>2013-200-PRT-A0072030-A-Końcówka wbijająca</t>
  </si>
  <si>
    <t>PRT-A0070423</t>
  </si>
  <si>
    <t>Gniazdo spręzynki cz2</t>
  </si>
  <si>
    <t>2013-200-PRT-A0070423-A-Gniazdo spręzynki cz2</t>
  </si>
  <si>
    <t>PRT-A0070423-Lustro</t>
  </si>
  <si>
    <t>2013-200-PRT-A0070423-Lustro-A-Gniazdo spręzynki cz2</t>
  </si>
  <si>
    <t>PRT-A0070422</t>
  </si>
  <si>
    <t>Gniazdo sprężyny cz1</t>
  </si>
  <si>
    <t>2013-200-PRT-A0070422-A-Gniazdo sprężyny cz1</t>
  </si>
  <si>
    <t>PRT-A0070422-Lustro</t>
  </si>
  <si>
    <t>2013-200-PRT-A0070422-Lustro-A-Gniazdo sprężyny cz1</t>
  </si>
  <si>
    <t>PRT-A0070403</t>
  </si>
  <si>
    <t>2013-200-PRT-A0070403-A--</t>
  </si>
  <si>
    <t>PRT-A0070403-Lustro</t>
  </si>
  <si>
    <t>2013-200-PRT-A0070403-Lustro-A--</t>
  </si>
  <si>
    <t>PRT-A0070402</t>
  </si>
  <si>
    <t>2013-200-PRT-A0070402-A--</t>
  </si>
  <si>
    <t>PRT-A0070402-Lustro</t>
  </si>
  <si>
    <t>2013-200-PRT-A0070402-Lustro-A--</t>
  </si>
  <si>
    <t>PRT-A0070399</t>
  </si>
  <si>
    <t>2013-200-PRT-A0070399-A--</t>
  </si>
  <si>
    <t>PRT-A0070399-Lustro</t>
  </si>
  <si>
    <t>2013-200-PRT-A0070399-Lustro-A--</t>
  </si>
  <si>
    <t>PRT-A0070398</t>
  </si>
  <si>
    <t>2013-200-PRT-A0070398-A--</t>
  </si>
  <si>
    <t>PRT-A0070398-Lustro</t>
  </si>
  <si>
    <t>2013-200-PRT-A0070398-Lustro-A--</t>
  </si>
  <si>
    <t>PRT-A0070364</t>
  </si>
  <si>
    <t>Kołeczek</t>
  </si>
  <si>
    <t>2013-200-PRT-A0070364-A-Kołeczek</t>
  </si>
  <si>
    <t>PRT-A0074047</t>
  </si>
  <si>
    <t>2013-200-PRT-A0074047-A-Sprzęgło</t>
  </si>
  <si>
    <t>PRT-A0072033</t>
  </si>
  <si>
    <t>Płyta wbijania</t>
  </si>
  <si>
    <t>2013-200-PRT-A0072033-A-Płyta wbijania</t>
  </si>
  <si>
    <t>PRT-A0072031</t>
  </si>
  <si>
    <t>Drążek</t>
  </si>
  <si>
    <t>2013-200-PRT-A0072031-A-Drążek</t>
  </si>
  <si>
    <t>PRT-A0070421</t>
  </si>
  <si>
    <t>2013-200-PRT-A0070421-A-Podstawa gniazd sprężyn</t>
  </si>
  <si>
    <t>PRT-A0075632</t>
  </si>
  <si>
    <t>Wspornik LRZ</t>
  </si>
  <si>
    <t>2013-200-PRT-A0075632-A-Wspornik LRZ</t>
  </si>
  <si>
    <t>PRT-A0075632-Lustro</t>
  </si>
  <si>
    <t>2013-200-PRT-A0075632-Lustro-A-Wspornik LRZ</t>
  </si>
  <si>
    <t>PRT-A0072708</t>
  </si>
  <si>
    <t>Rynienka prowadnika</t>
  </si>
  <si>
    <t>2013-200-PRT-A0072708-A-Rynienka prowadnika</t>
  </si>
  <si>
    <t>2011-200-PRT-A0070022-B-Uchwyt gniazda</t>
  </si>
  <si>
    <t>PRT-A0072672</t>
  </si>
  <si>
    <t>2013-200-PRT-A0072672-A-Wałek docisku</t>
  </si>
  <si>
    <t>PRT-A0072670</t>
  </si>
  <si>
    <t>2013-200-PRT-A0072670-A-Wałek docisku</t>
  </si>
  <si>
    <t>PRT-A0072654</t>
  </si>
  <si>
    <t>2013-200-PRT-A0072654-A-Dystans blokady</t>
  </si>
  <si>
    <t>PRT-A0072675</t>
  </si>
  <si>
    <t>2013-200-PRT-A0072675-A-Płytka dolna</t>
  </si>
  <si>
    <t>PRT-A0072660</t>
  </si>
  <si>
    <t>2013-200-PRT-A0072660-A-Żebro 2</t>
  </si>
  <si>
    <t>PRT-A0072656</t>
  </si>
  <si>
    <t>2013-200-PRT-A0072656-A-Płytka przednia</t>
  </si>
  <si>
    <t>PRT-A0072673</t>
  </si>
  <si>
    <t>2013-200-PRT-A0072673-A-Mocowanie sprzęgła</t>
  </si>
  <si>
    <t>PRT-A0072663</t>
  </si>
  <si>
    <t>2013-200-PRT-A0072663-A-Oprawa łożysk</t>
  </si>
  <si>
    <t>PRT-A0072707</t>
  </si>
  <si>
    <t>2013-200-PRT-A0072707-A-Mocowanie prowadnika</t>
  </si>
  <si>
    <t>Płytka narzędzia wstępnego</t>
  </si>
  <si>
    <t>Podstawa narzędzia wymiennego</t>
  </si>
  <si>
    <t>2013-200-PRT-A0070396-A-Podstawa narzędzia wymiennego</t>
  </si>
  <si>
    <t>2013-200-PRT-A0070396-Lustro-A-Podstawa narzędzia wymiennego</t>
  </si>
  <si>
    <t>Gniazdo sprężyny ruchome cz1</t>
  </si>
  <si>
    <t>Podstawa gniazd sprężyn</t>
  </si>
  <si>
    <t>Rysunek wstawi osoba odpowiedzialna za wykonanie stanowiska</t>
  </si>
  <si>
    <t>000.MAG.22.M5-B</t>
  </si>
  <si>
    <t>Zewnątrz</t>
  </si>
  <si>
    <t>trudne</t>
  </si>
  <si>
    <t>wybrane przez PCz 2023-06-22</t>
  </si>
  <si>
    <t>Zamówienie Z/2011-laser_SG_RS/PCz/2023</t>
  </si>
  <si>
    <t>Zamówienie Z/2011-zewn_SG_RS/PCz/2023</t>
  </si>
  <si>
    <t>wykonamy w PROMATIK</t>
  </si>
  <si>
    <t>Frezmat</t>
  </si>
  <si>
    <t>zamówienie Z/2011/Zewn- RS_SG)cnc/PCz/2023</t>
  </si>
  <si>
    <t>Zamówienie Z/2011/Zewn- RS_SG)cnc/PCz/2023</t>
  </si>
  <si>
    <t>PIAST</t>
  </si>
  <si>
    <t>Zamówienie Z/2011-ST/PCz/2023</t>
  </si>
  <si>
    <t>ANULOWANY</t>
  </si>
  <si>
    <t>K.Ciejka</t>
  </si>
  <si>
    <t xml:space="preserve">2011-903-PRT-A0072927-B-Chwytak beczki  </t>
  </si>
  <si>
    <t xml:space="preserve">2011-903-PRT-A0075769a-A-Chwytak beczki   </t>
  </si>
  <si>
    <t>PRT-A0075769a</t>
  </si>
  <si>
    <t>PRT-A0075945</t>
  </si>
  <si>
    <t>Osłona PC</t>
  </si>
  <si>
    <t>1704-03-PRT-A0075945-A-Osłona PC</t>
  </si>
  <si>
    <t>PRT-A0075877</t>
  </si>
  <si>
    <t>Osłona taśmy transportujacej</t>
  </si>
  <si>
    <t>1704-10-PRT-A0075877-A-Osłona taśmy transportujacej</t>
  </si>
  <si>
    <t>PRT-A0075919</t>
  </si>
  <si>
    <t>Osłona boku transportera</t>
  </si>
  <si>
    <t>1704-10-PRT-A0075919-A-Osłona boku transportera</t>
  </si>
  <si>
    <t>PRT-A0075914</t>
  </si>
  <si>
    <t>1704-01-PRT-A0075914-A-Osłona PC</t>
  </si>
  <si>
    <t>PRT-A0075895</t>
  </si>
  <si>
    <t>1851-11-PRT-A0075895-A-Osłona taśmy transportujacej</t>
  </si>
  <si>
    <t>PRT-A0075888</t>
  </si>
  <si>
    <t>1851-41-PRT-A0075888-A-Osłona taśmy transportujacej</t>
  </si>
  <si>
    <t>PRT-A0075922</t>
  </si>
  <si>
    <t>1851-06-PRT-A0075922-A-Osłona PC</t>
  </si>
  <si>
    <t>PRT-A0075958</t>
  </si>
  <si>
    <t>1851-11-PRT-A0075958-A-Osłona PC</t>
  </si>
  <si>
    <t>K.Rowiński</t>
  </si>
  <si>
    <t>PRT-A0075895-Lustro</t>
  </si>
  <si>
    <t>PRT-A0075888-Lustro</t>
  </si>
  <si>
    <t>ABS</t>
  </si>
  <si>
    <t>Druk 3D</t>
  </si>
  <si>
    <t>transporter stacja 4</t>
  </si>
  <si>
    <t>transporter stacja 6</t>
  </si>
  <si>
    <t xml:space="preserve">podajnik trzpienia </t>
  </si>
  <si>
    <t>1851-11-PRT-A0075964-A-Mocowanie czujnika</t>
  </si>
  <si>
    <t>1851-11-PRT-A0075965-A-Mocowanie lusterka</t>
  </si>
  <si>
    <t>PRT-A0075965</t>
  </si>
  <si>
    <t>PRT-A0075964</t>
  </si>
  <si>
    <t>Mocowanie czujnika</t>
  </si>
  <si>
    <t>Mocowanie lusterka</t>
  </si>
  <si>
    <t>transportter stacja 6</t>
  </si>
  <si>
    <t>1704 Stacja 3</t>
  </si>
  <si>
    <t>1704-01-PRT-A0076016-A-Mocowanie LR86</t>
  </si>
  <si>
    <t>1704-01-PRT-A0076020-A-Mocowanie</t>
  </si>
  <si>
    <t>1704-01-PRT-A0076027-A-Mocowanie czujnika</t>
  </si>
  <si>
    <t>Mocowanie LR86</t>
  </si>
  <si>
    <t>PRT-A0076016</t>
  </si>
  <si>
    <t>PRT-A0076020</t>
  </si>
  <si>
    <t>stacja 1</t>
  </si>
  <si>
    <t>Stacja 2</t>
  </si>
  <si>
    <t>PRT-A0076027</t>
  </si>
  <si>
    <t>PRT-A0072710</t>
  </si>
  <si>
    <t>2011-200-PRT-A0072710-A-Wspornik przycisku START</t>
  </si>
  <si>
    <t>PRT-A0073140</t>
  </si>
  <si>
    <t>Osłona kurtyny</t>
  </si>
  <si>
    <t>Malować RAL 1003 (żółty)</t>
  </si>
  <si>
    <t>PRT-A0073153</t>
  </si>
  <si>
    <t>PRT-A0070511</t>
  </si>
  <si>
    <t>Blat stanowiska</t>
  </si>
  <si>
    <t>2011-200-PRT-A0070511-A-Blat stanowiska</t>
  </si>
  <si>
    <t>PRT-A0072993</t>
  </si>
  <si>
    <t>2011-200-PRT-A0072993-A-Blat stanowiska</t>
  </si>
  <si>
    <t>PRT-A0070512</t>
  </si>
  <si>
    <t>Osłona tył</t>
  </si>
  <si>
    <t>PRT-A0070520</t>
  </si>
  <si>
    <t>Blacha dolna</t>
  </si>
  <si>
    <t>PRT-A0070521</t>
  </si>
  <si>
    <t>PRT-A0070522</t>
  </si>
  <si>
    <t>Osłona boczna</t>
  </si>
  <si>
    <t>PRT-A0073037</t>
  </si>
  <si>
    <t>PRT-A0073041</t>
  </si>
  <si>
    <t>PRT-A0073057</t>
  </si>
  <si>
    <t>PRT-A0073060</t>
  </si>
  <si>
    <t>2011-200-PRT-A0073060-A-Blacha dolna</t>
  </si>
  <si>
    <t>PRT-A0073064</t>
  </si>
  <si>
    <t>PRT-A0073072</t>
  </si>
  <si>
    <t>PRT-A0073009</t>
  </si>
  <si>
    <t>Uchwyt kurtyny</t>
  </si>
  <si>
    <t>2011-200-PRT-A0073009-A-Uchwyt kurtyny</t>
  </si>
  <si>
    <t>PRT-A0070518</t>
  </si>
  <si>
    <t>PRT-A0073045</t>
  </si>
  <si>
    <t>PRT-A0073075</t>
  </si>
  <si>
    <t>PRT-A0070503</t>
  </si>
  <si>
    <t>Dach</t>
  </si>
  <si>
    <t>PCV Spienione</t>
  </si>
  <si>
    <t>PRT-A0073023</t>
  </si>
  <si>
    <t>PRT-A0070519</t>
  </si>
  <si>
    <t>Płyta pneumatyki</t>
  </si>
  <si>
    <t>2011-200-PRT-A0070519-A-Płyta pneumatyki</t>
  </si>
  <si>
    <t>PRT-A0072986 - lustro</t>
  </si>
  <si>
    <t>Kątownik NOK</t>
  </si>
  <si>
    <t>Malować RAL 3020 (czerwony)</t>
  </si>
  <si>
    <t>PRT-A0072986</t>
  </si>
  <si>
    <t>2011-200-PRT-A0072986-A-Kątownik NOK</t>
  </si>
  <si>
    <t>PRT-A0073074</t>
  </si>
  <si>
    <t>Pręt okragły</t>
  </si>
  <si>
    <t>2011-200-PRT-A0073074-A-Pręt okragły</t>
  </si>
  <si>
    <t>PRT-A0073086</t>
  </si>
  <si>
    <t>Blacha osłonowa</t>
  </si>
  <si>
    <t>PRT-A0075977</t>
  </si>
  <si>
    <t>Malować RAL 1003 (Żółty)</t>
  </si>
  <si>
    <t>Stanowisko</t>
  </si>
  <si>
    <t>Wspornik przycisku START</t>
  </si>
  <si>
    <t>2011-200-PRT-A0073057-A-Osłona boczna</t>
  </si>
  <si>
    <t>2011-200-PRT-A0073041-A-Osłona tył</t>
  </si>
  <si>
    <t>2011-200-PRT-A0073037-A-Osłona tylna</t>
  </si>
  <si>
    <t>2011-200-PRT-A0070522-A-Osłona boczna</t>
  </si>
  <si>
    <t>2011-200-PRT-A0070521-A-Osłona tylna</t>
  </si>
  <si>
    <t>2011-200-PRT-A0070520-A-Blacha dolna</t>
  </si>
  <si>
    <t>2011-200-PRT-A0070512-A-Osłona tył</t>
  </si>
  <si>
    <t>2011-200-PRT-A0073064-A-Osłona boczna</t>
  </si>
  <si>
    <t>2011-200-PRT-A0073072-A-Osłona boczna</t>
  </si>
  <si>
    <t>2011-200-PRT-A0073023-A-Dach</t>
  </si>
  <si>
    <t>2011-200-PRT-A0070503-A-Dach</t>
  </si>
  <si>
    <t>2011-200-PRT-A0073075-A-Osłona</t>
  </si>
  <si>
    <t>2011-200-PRT-A0073045-A-Osłona boczna</t>
  </si>
  <si>
    <t>2011-200-PRT-A0070518-A-Osłona boczna</t>
  </si>
  <si>
    <t>2011-200-PRT-A0072986 - lustro-A-Kątownik NOK</t>
  </si>
  <si>
    <t>2011-200-PRT-A0073086-A-Blacha osłonowa</t>
  </si>
  <si>
    <t>2013-600-PRT-A0073140-B-Osłona kurtyny</t>
  </si>
  <si>
    <t>2013-600-PRT-A0073153-B-Osłona kurtyny</t>
  </si>
  <si>
    <t>2013-600-PRT-A0075977-B-Osłona kurtyny</t>
  </si>
  <si>
    <t>2011-200-PRT-A0072957-A-Uchwyt pudełek</t>
  </si>
  <si>
    <t>Uchwyt pudełek</t>
  </si>
  <si>
    <t>PRT-A0072957</t>
  </si>
  <si>
    <t>2011-200-PRT-A0073020-A-Uchwyt pudełek</t>
  </si>
  <si>
    <t>PRT-A0073020</t>
  </si>
  <si>
    <t>2011-200-PRT-A0073030-A-Mocowanie czujnika wizyjnego</t>
  </si>
  <si>
    <t>Mocowanie czujnika wizyjnego</t>
  </si>
  <si>
    <t>PRT-A0073030</t>
  </si>
  <si>
    <t>Zapytanie Z2011-laser_uzup_PP_KR/PCz/2023</t>
  </si>
  <si>
    <t>zapyt Artsteel Investa Spiroflex</t>
  </si>
  <si>
    <t>PRT-A0076072</t>
  </si>
  <si>
    <t>1704 - Osłona podajnika pin</t>
  </si>
  <si>
    <t>PRT-A0076076</t>
  </si>
  <si>
    <t>1704 - Osłona podajnika OK</t>
  </si>
  <si>
    <t>PRT-A0076077</t>
  </si>
  <si>
    <t>1704 - Osłona odajnika bumper</t>
  </si>
  <si>
    <t>PRT-A0076078</t>
  </si>
  <si>
    <t>PRT-A0076079</t>
  </si>
  <si>
    <t>1704-01-PRT-A0076072-A-Osłona</t>
  </si>
  <si>
    <t>1704-01-PRT-A0076076-A-Osłona</t>
  </si>
  <si>
    <t>1704-03-PRT-A0076077-A-Osłona</t>
  </si>
  <si>
    <t>1704-03-PRT-A0076078-B-Osłona</t>
  </si>
  <si>
    <t>1704-03-PRT-A0076079-B-Osłona</t>
  </si>
  <si>
    <t>1851-41-PRT-A0075888-Lustro-A-Osłona taśmy transportujacej</t>
  </si>
  <si>
    <t>PRT-A0075877-Lustro</t>
  </si>
  <si>
    <t>1704-10-PRT-A0075877-Lustro-A-Osłona taśmy transportujacej</t>
  </si>
  <si>
    <t>1851-11-PRT-A0075895-Lustro-A-Osłona taśmy transportujacej</t>
  </si>
  <si>
    <t>DostarczonoPRT-A0058027</t>
  </si>
  <si>
    <t>PRT-A0058027</t>
  </si>
  <si>
    <t>PRT-A0076080</t>
  </si>
  <si>
    <t>1927-300-PRT-A0058027-B-Osłona</t>
  </si>
  <si>
    <t>1927 - Drzwi serwisowe podajnik dźwigni</t>
  </si>
  <si>
    <t>PRT-A0062007</t>
  </si>
  <si>
    <t>PRT-A0076101</t>
  </si>
  <si>
    <t>1927 - Drzwi serwisowe rozładunek</t>
  </si>
  <si>
    <t>1927-804-PRT-A0076101-A-Osłona</t>
  </si>
  <si>
    <t>1927-804-PRT-A0062007-B-Osłona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</si>
</sst>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108" x14ac:knownFonts="1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  <charset val="238"/>
    </font>
    <font>
      <b/>
      <u/>
      <sz val="11"/>
      <name val="Calibri"/>
      <family val="2"/>
      <charset val="238"/>
    </font>
    <font>
      <sz val="16"/>
      <name val="Calibri"/>
      <family val="2"/>
      <charset val="238"/>
    </font>
    <font>
      <sz val="16"/>
      <name val="Arial"/>
      <family val="2"/>
    </font>
    <font>
      <sz val="16"/>
      <name val="Arial"/>
      <family val="2"/>
      <charset val="238"/>
    </font>
    <font>
      <sz val="14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4"/>
      <color rgb="FFA6A6A6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2"/>
      <color rgb="FFA6A6A6"/>
      <name val="Arial"/>
      <family val="2"/>
      <charset val="238"/>
    </font>
    <font>
      <b/>
      <sz val="8"/>
      <color rgb="FF000000"/>
      <name val="Verdana"/>
      <family val="2"/>
      <charset val="238"/>
    </font>
    <font>
      <sz val="14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sz val="16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b/>
      <sz val="22"/>
      <color rgb="FF000000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i/>
      <sz val="14"/>
      <color theme="1"/>
      <name val="Calibri"/>
      <family val="2"/>
      <charset val="238"/>
      <scheme val="minor"/>
    </font>
    <font>
      <i/>
      <sz val="16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</font>
    <font>
      <sz val="14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4"/>
      <color theme="1"/>
      <name val="Verdana"/>
      <family val="2"/>
      <charset val="238"/>
    </font>
    <font>
      <i/>
      <sz val="14"/>
      <color theme="1"/>
      <name val="Verdana"/>
      <family val="2"/>
      <charset val="238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6"/>
      <name val="Calibri"/>
      <family val="2"/>
      <charset val="238"/>
      <scheme val="minor"/>
    </font>
    <font>
      <sz val="16"/>
      <color theme="1"/>
      <name val="Verdana"/>
      <family val="2"/>
      <charset val="238"/>
    </font>
    <font>
      <i/>
      <sz val="16"/>
      <color theme="1"/>
      <name val="Verdana"/>
      <family val="2"/>
      <charset val="238"/>
    </font>
    <font>
      <b/>
      <sz val="16"/>
      <name val="Calibri"/>
      <family val="2"/>
      <charset val="238"/>
      <scheme val="minor"/>
    </font>
    <font>
      <b/>
      <sz val="12"/>
      <color theme="1" tint="4.9989318521683403E-2"/>
      <name val="Arial"/>
      <family val="2"/>
      <charset val="238"/>
    </font>
    <font>
      <sz val="16"/>
      <color rgb="FF000000"/>
      <name val="Calibri"/>
      <family val="2"/>
      <charset val="238"/>
      <scheme val="minor"/>
    </font>
    <font>
      <b/>
      <sz val="18"/>
      <color rgb="FF000000"/>
      <name val="Calibri"/>
      <family val="2"/>
      <charset val="238"/>
      <scheme val="minor"/>
    </font>
    <font>
      <sz val="18"/>
      <color rgb="FFA6A6A6"/>
      <name val="Calibri"/>
      <family val="2"/>
      <charset val="238"/>
      <scheme val="minor"/>
    </font>
    <font>
      <sz val="18"/>
      <name val="Arial"/>
      <family val="2"/>
      <charset val="238"/>
    </font>
    <font>
      <sz val="18"/>
      <color rgb="FFA6A6A6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8"/>
      <color theme="1"/>
      <name val="Arial"/>
      <family val="2"/>
      <charset val="238"/>
    </font>
    <font>
      <sz val="18"/>
      <color rgb="FF000000"/>
      <name val="Arial"/>
      <family val="2"/>
      <charset val="238"/>
    </font>
    <font>
      <b/>
      <sz val="14"/>
      <color rgb="FF000000"/>
      <name val="Verdana"/>
      <family val="2"/>
      <charset val="238"/>
    </font>
    <font>
      <sz val="18"/>
      <color theme="1"/>
      <name val="Calibri"/>
      <family val="2"/>
      <charset val="238"/>
      <scheme val="minor"/>
    </font>
    <font>
      <i/>
      <sz val="18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</font>
    <font>
      <sz val="14"/>
      <color theme="1"/>
      <name val="Arial"/>
      <family val="2"/>
      <charset val="238"/>
    </font>
    <font>
      <sz val="14"/>
      <color theme="1" tint="4.9989318521683403E-2"/>
      <name val="Arial"/>
      <family val="2"/>
      <charset val="238"/>
    </font>
    <font>
      <sz val="14"/>
      <color rgb="FF000000"/>
      <name val="Arial"/>
      <family val="2"/>
      <charset val="238"/>
    </font>
    <font>
      <sz val="12"/>
      <name val="Arial"/>
      <family val="2"/>
      <charset val="238"/>
    </font>
    <font>
      <sz val="16"/>
      <color theme="1"/>
      <name val="Verdana"/>
      <family val="2"/>
      <charset val="238"/>
    </font>
    <font>
      <b/>
      <sz val="18"/>
      <name val="Arial"/>
      <family val="2"/>
      <charset val="238"/>
    </font>
    <font>
      <sz val="9"/>
      <name val="Arial"/>
      <family val="2"/>
      <charset val="238"/>
    </font>
    <font>
      <b/>
      <sz val="9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  <charset val="238"/>
    </font>
    <font>
      <sz val="10"/>
      <color theme="1" tint="4.9989318521683403E-2"/>
      <name val="Arial"/>
      <family val="2"/>
      <charset val="238"/>
    </font>
  </fonts>
  <fills count="56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>
      <alignment horizontal="center"/>
    </xf>
    <xf numFmtId="0" fontId="29" fillId="0" borderId="1"/>
    <xf numFmtId="0" fontId="29" fillId="0" borderId="1">
      <alignment horizontal="center"/>
    </xf>
    <xf numFmtId="0" fontId="29" fillId="0" borderId="1">
      <alignment horizontal="center"/>
    </xf>
    <xf numFmtId="0" fontId="31" fillId="28" borderId="59" applyNumberFormat="0" applyAlignment="0" applyProtection="0"/>
    <xf numFmtId="0" fontId="32" fillId="29" borderId="60" applyNumberFormat="0" applyAlignment="0" applyProtection="0"/>
    <xf numFmtId="0" fontId="33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34" fillId="0" borderId="61" applyNumberFormat="0" applyFill="0" applyAlignment="0" applyProtection="0"/>
    <xf numFmtId="0" fontId="35" fillId="31" borderId="62" applyNumberFormat="0" applyAlignment="0" applyProtection="0"/>
    <xf numFmtId="0" fontId="36" fillId="0" borderId="63" applyNumberFormat="0" applyFill="0" applyAlignment="0" applyProtection="0"/>
    <xf numFmtId="0" fontId="37" fillId="0" borderId="64" applyNumberFormat="0" applyFill="0" applyAlignment="0" applyProtection="0"/>
    <xf numFmtId="0" fontId="38" fillId="0" borderId="65" applyNumberFormat="0" applyFill="0" applyAlignment="0" applyProtection="0"/>
    <xf numFmtId="0" fontId="38" fillId="0" borderId="0" applyNumberFormat="0" applyFill="0" applyBorder="0" applyAlignment="0" applyProtection="0"/>
    <xf numFmtId="0" fontId="39" fillId="32" borderId="0" applyNumberFormat="0" applyBorder="0" applyAlignment="0" applyProtection="0"/>
    <xf numFmtId="0" fontId="29" fillId="0" borderId="0"/>
    <xf numFmtId="0" fontId="29" fillId="0" borderId="0"/>
    <xf numFmtId="0" fontId="40" fillId="29" borderId="59" applyNumberFormat="0" applyAlignment="0" applyProtection="0"/>
    <xf numFmtId="0" fontId="41" fillId="0" borderId="66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9" fillId="33" borderId="67" applyNumberFormat="0" applyFont="0" applyAlignment="0" applyProtection="0"/>
    <xf numFmtId="0" fontId="45" fillId="34" borderId="0" applyNumberFormat="0" applyBorder="0" applyAlignment="0" applyProtection="0"/>
  </cellStyleXfs>
  <cellXfs count="423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46" fillId="0" borderId="0" xfId="0" applyFont="1" applyProtection="1">
      <protection locked="0"/>
    </xf>
    <xf numFmtId="0" fontId="47" fillId="35" borderId="4" xfId="0" applyFont="1" applyFill="1" applyBorder="1" applyAlignment="1" applyProtection="1">
      <alignment horizontal="center" vertical="center" wrapText="1"/>
      <protection locked="0"/>
    </xf>
    <xf numFmtId="0" fontId="47" fillId="35" borderId="5" xfId="0" applyFont="1" applyFill="1" applyBorder="1" applyAlignment="1" applyProtection="1">
      <alignment horizontal="center" vertical="center" wrapText="1"/>
      <protection locked="0"/>
    </xf>
    <xf numFmtId="0" fontId="47" fillId="35" borderId="6" xfId="0" applyFont="1" applyFill="1" applyBorder="1" applyAlignment="1" applyProtection="1">
      <alignment horizontal="center" vertical="center" wrapText="1"/>
      <protection locked="0"/>
    </xf>
    <xf numFmtId="0" fontId="47" fillId="35" borderId="7" xfId="0" applyFont="1" applyFill="1" applyBorder="1" applyAlignment="1" applyProtection="1">
      <alignment horizontal="center" vertical="center" wrapText="1"/>
      <protection locked="0"/>
    </xf>
    <xf numFmtId="0" fontId="48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7" fillId="35" borderId="8" xfId="0" applyFont="1" applyFill="1" applyBorder="1" applyAlignment="1" applyProtection="1">
      <alignment horizontal="center" vertical="center" wrapText="1"/>
      <protection locked="0"/>
    </xf>
    <xf numFmtId="0" fontId="47" fillId="35" borderId="9" xfId="0" applyFont="1" applyFill="1" applyBorder="1" applyAlignment="1" applyProtection="1">
      <alignment horizontal="center" vertical="center" wrapText="1"/>
      <protection locked="0"/>
    </xf>
    <xf numFmtId="0" fontId="47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4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47" fillId="35" borderId="11" xfId="0" applyFont="1" applyFill="1" applyBorder="1" applyAlignment="1" applyProtection="1">
      <alignment horizontal="center" vertical="center" wrapText="1"/>
      <protection locked="0"/>
    </xf>
    <xf numFmtId="0" fontId="47" fillId="35" borderId="12" xfId="0" applyFont="1" applyFill="1" applyBorder="1" applyAlignment="1" applyProtection="1">
      <alignment horizontal="center" vertical="center" wrapText="1"/>
      <protection locked="0"/>
    </xf>
    <xf numFmtId="0" fontId="47" fillId="35" borderId="13" xfId="0" applyFont="1" applyFill="1" applyBorder="1" applyAlignment="1" applyProtection="1">
      <alignment horizontal="center" vertical="center" wrapText="1"/>
      <protection locked="0"/>
    </xf>
    <xf numFmtId="0" fontId="47" fillId="36" borderId="14" xfId="0" applyFont="1" applyFill="1" applyBorder="1" applyAlignment="1" applyProtection="1">
      <alignment horizontal="center" vertical="center" wrapText="1"/>
      <protection locked="0"/>
    </xf>
    <xf numFmtId="0" fontId="18" fillId="35" borderId="15" xfId="0" applyFont="1" applyFill="1" applyBorder="1" applyAlignment="1">
      <alignment horizontal="center" vertical="center" wrapText="1"/>
    </xf>
    <xf numFmtId="0" fontId="47" fillId="35" borderId="15" xfId="0" applyFont="1" applyFill="1" applyBorder="1" applyAlignment="1" applyProtection="1">
      <alignment horizontal="center" vertical="center" wrapText="1"/>
      <protection locked="0"/>
    </xf>
    <xf numFmtId="0" fontId="48" fillId="35" borderId="16" xfId="0" applyFont="1" applyFill="1" applyBorder="1" applyAlignment="1" applyProtection="1">
      <alignment horizontal="center" vertical="center" wrapText="1"/>
      <protection locked="0"/>
    </xf>
    <xf numFmtId="0" fontId="48" fillId="35" borderId="17" xfId="0" applyFont="1" applyFill="1" applyBorder="1" applyAlignment="1" applyProtection="1">
      <alignment horizontal="center" vertical="center" wrapText="1"/>
      <protection locked="0"/>
    </xf>
    <xf numFmtId="0" fontId="0" fillId="0" borderId="19" xfId="0" applyBorder="1" applyAlignment="1">
      <alignment vertical="center" wrapText="1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47" fillId="35" borderId="20" xfId="0" applyFont="1" applyFill="1" applyBorder="1" applyAlignment="1">
      <alignment horizontal="center" vertical="center" wrapText="1"/>
    </xf>
    <xf numFmtId="0" fontId="47" fillId="35" borderId="21" xfId="0" applyFont="1" applyFill="1" applyBorder="1" applyAlignment="1" applyProtection="1">
      <alignment horizontal="center" vertical="center" wrapText="1"/>
      <protection locked="0"/>
    </xf>
    <xf numFmtId="0" fontId="47" fillId="35" borderId="22" xfId="0" applyFont="1" applyFill="1" applyBorder="1" applyAlignment="1" applyProtection="1">
      <alignment horizontal="center" vertical="center" wrapText="1"/>
      <protection locked="0"/>
    </xf>
    <xf numFmtId="0" fontId="48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47" fillId="35" borderId="23" xfId="0" applyFont="1" applyFill="1" applyBorder="1" applyAlignment="1">
      <alignment horizontal="center" vertical="center" wrapText="1"/>
    </xf>
    <xf numFmtId="0" fontId="18" fillId="35" borderId="24" xfId="0" applyFont="1" applyFill="1" applyBorder="1" applyAlignment="1">
      <alignment horizontal="center" vertical="center" wrapText="1"/>
    </xf>
    <xf numFmtId="0" fontId="47" fillId="35" borderId="24" xfId="0" applyFont="1" applyFill="1" applyBorder="1" applyAlignment="1" applyProtection="1">
      <alignment horizontal="center" vertical="center" wrapText="1"/>
      <protection locked="0"/>
    </xf>
    <xf numFmtId="0" fontId="47" fillId="36" borderId="26" xfId="0" applyFont="1" applyFill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>
      <alignment vertical="center" wrapText="1"/>
    </xf>
    <xf numFmtId="0" fontId="1" fillId="0" borderId="28" xfId="0" applyFont="1" applyBorder="1" applyAlignment="1" applyProtection="1">
      <alignment horizontal="center" vertical="center" wrapText="1"/>
      <protection locked="0"/>
    </xf>
    <xf numFmtId="0" fontId="1" fillId="0" borderId="28" xfId="0" applyFont="1" applyBorder="1" applyAlignment="1" applyProtection="1">
      <alignment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18" fillId="43" borderId="0" xfId="0" applyFont="1" applyFill="1"/>
    <xf numFmtId="0" fontId="18" fillId="44" borderId="0" xfId="0" applyFont="1" applyFill="1"/>
    <xf numFmtId="0" fontId="50" fillId="0" borderId="0" xfId="0" quotePrefix="1" applyFont="1"/>
    <xf numFmtId="0" fontId="50" fillId="45" borderId="0" xfId="0" quotePrefix="1" applyFont="1" applyFill="1"/>
    <xf numFmtId="0" fontId="18" fillId="39" borderId="0" xfId="0" quotePrefix="1" applyFont="1" applyFill="1"/>
    <xf numFmtId="0" fontId="5" fillId="0" borderId="19" xfId="0" applyFont="1" applyBorder="1" applyAlignment="1">
      <alignment horizontal="left" vertical="center" wrapText="1"/>
    </xf>
    <xf numFmtId="0" fontId="46" fillId="46" borderId="0" xfId="0" applyFont="1" applyFill="1" applyProtection="1">
      <protection locked="0"/>
    </xf>
    <xf numFmtId="0" fontId="0" fillId="47" borderId="0" xfId="0" quotePrefix="1" applyFill="1"/>
    <xf numFmtId="0" fontId="18" fillId="0" borderId="0" xfId="0" quotePrefix="1" applyFont="1"/>
    <xf numFmtId="0" fontId="0" fillId="48" borderId="0" xfId="0" applyFill="1"/>
    <xf numFmtId="0" fontId="47" fillId="35" borderId="24" xfId="0" applyFont="1" applyFill="1" applyBorder="1" applyAlignment="1" applyProtection="1">
      <alignment horizontal="left" vertical="center" wrapText="1"/>
      <protection locked="0"/>
    </xf>
    <xf numFmtId="0" fontId="47" fillId="35" borderId="15" xfId="0" applyFont="1" applyFill="1" applyBorder="1" applyAlignment="1" applyProtection="1">
      <alignment horizontal="left" vertical="center" wrapText="1"/>
      <protection locked="0"/>
    </xf>
    <xf numFmtId="49" fontId="0" fillId="49" borderId="30" xfId="0" applyNumberFormat="1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47" fillId="35" borderId="24" xfId="0" applyNumberFormat="1" applyFont="1" applyFill="1" applyBorder="1" applyAlignment="1" applyProtection="1">
      <alignment horizontal="left" vertical="center"/>
      <protection locked="0"/>
    </xf>
    <xf numFmtId="49" fontId="47" fillId="35" borderId="15" xfId="0" applyNumberFormat="1" applyFont="1" applyFill="1" applyBorder="1" applyAlignment="1" applyProtection="1">
      <alignment horizontal="left" vertical="center"/>
      <protection locked="0"/>
    </xf>
    <xf numFmtId="0" fontId="51" fillId="35" borderId="15" xfId="0" applyFont="1" applyFill="1" applyBorder="1" applyAlignment="1">
      <alignment horizontal="left" vertical="center"/>
    </xf>
    <xf numFmtId="0" fontId="11" fillId="0" borderId="15" xfId="39" applyNumberFormat="1" applyFont="1" applyFill="1" applyBorder="1" applyAlignment="1" applyProtection="1">
      <alignment horizontal="center" vertical="center" wrapText="1"/>
    </xf>
    <xf numFmtId="0" fontId="53" fillId="50" borderId="15" xfId="0" applyFont="1" applyFill="1" applyBorder="1" applyAlignment="1" applyProtection="1">
      <alignment horizontal="center" vertical="center" wrapText="1"/>
      <protection locked="0"/>
    </xf>
    <xf numFmtId="0" fontId="7" fillId="51" borderId="15" xfId="45" applyFill="1" applyBorder="1" applyAlignment="1" applyProtection="1">
      <alignment horizontal="center" vertical="center"/>
    </xf>
    <xf numFmtId="14" fontId="24" fillId="52" borderId="15" xfId="45" applyNumberFormat="1" applyFont="1" applyFill="1" applyBorder="1" applyAlignment="1" applyProtection="1">
      <alignment horizontal="center" vertical="center"/>
      <protection locked="0"/>
    </xf>
    <xf numFmtId="0" fontId="0" fillId="52" borderId="15" xfId="0" applyFill="1" applyBorder="1" applyAlignment="1">
      <alignment horizontal="center" vertical="center"/>
    </xf>
    <xf numFmtId="0" fontId="52" fillId="48" borderId="15" xfId="0" applyFont="1" applyFill="1" applyBorder="1" applyAlignment="1" applyProtection="1">
      <alignment horizontal="left" vertical="center" wrapText="1"/>
      <protection locked="0"/>
    </xf>
    <xf numFmtId="0" fontId="46" fillId="48" borderId="0" xfId="0" applyFont="1" applyFill="1" applyProtection="1">
      <protection locked="0"/>
    </xf>
    <xf numFmtId="0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1" fillId="52" borderId="15" xfId="45" applyNumberFormat="1" applyFont="1" applyFill="1" applyBorder="1" applyAlignment="1" applyProtection="1">
      <alignment horizontal="center" vertical="center"/>
      <protection locked="0"/>
    </xf>
    <xf numFmtId="0" fontId="54" fillId="44" borderId="15" xfId="0" applyFont="1" applyFill="1" applyBorder="1" applyAlignment="1" applyProtection="1">
      <alignment horizontal="center" vertical="center" wrapText="1"/>
      <protection locked="0"/>
    </xf>
    <xf numFmtId="0" fontId="7" fillId="52" borderId="15" xfId="45" applyFill="1" applyBorder="1" applyAlignment="1" applyProtection="1">
      <alignment horizontal="center" vertical="center"/>
    </xf>
    <xf numFmtId="0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56" fillId="50" borderId="15" xfId="0" applyFont="1" applyFill="1" applyBorder="1" applyAlignment="1" applyProtection="1">
      <alignment horizontal="center" vertical="center"/>
      <protection locked="0"/>
    </xf>
    <xf numFmtId="0" fontId="57" fillId="44" borderId="15" xfId="0" applyFont="1" applyFill="1" applyBorder="1" applyAlignment="1">
      <alignment horizontal="center" vertical="center" wrapText="1"/>
    </xf>
    <xf numFmtId="0" fontId="58" fillId="48" borderId="15" xfId="0" applyFont="1" applyFill="1" applyBorder="1" applyAlignment="1" applyProtection="1">
      <alignment horizontal="center" vertical="center" wrapText="1"/>
      <protection locked="0"/>
    </xf>
    <xf numFmtId="0" fontId="54" fillId="44" borderId="15" xfId="0" applyFont="1" applyFill="1" applyBorder="1" applyAlignment="1">
      <alignment horizontal="center" vertical="center" wrapText="1"/>
    </xf>
    <xf numFmtId="0" fontId="19" fillId="0" borderId="15" xfId="39" applyNumberFormat="1" applyFont="1" applyFill="1" applyBorder="1" applyAlignment="1" applyProtection="1">
      <alignment horizontal="center" vertical="center" wrapText="1"/>
    </xf>
    <xf numFmtId="0" fontId="59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center" vertical="center" wrapText="1"/>
      <protection locked="0"/>
    </xf>
    <xf numFmtId="0" fontId="61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0" applyFont="1" applyFill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 applyProtection="1">
      <alignment horizontal="center" vertical="center"/>
      <protection locked="0"/>
    </xf>
    <xf numFmtId="0" fontId="64" fillId="48" borderId="15" xfId="0" applyFont="1" applyFill="1" applyBorder="1" applyAlignment="1" applyProtection="1">
      <alignment horizontal="center" vertical="center" wrapText="1"/>
      <protection locked="0"/>
    </xf>
    <xf numFmtId="0" fontId="23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left" vertical="center" wrapText="1"/>
      <protection locked="0"/>
    </xf>
    <xf numFmtId="0" fontId="65" fillId="48" borderId="15" xfId="0" applyFont="1" applyFill="1" applyBorder="1" applyAlignment="1" applyProtection="1">
      <alignment horizontal="center" vertical="center"/>
      <protection locked="0"/>
    </xf>
    <xf numFmtId="0" fontId="47" fillId="35" borderId="31" xfId="0" applyFont="1" applyFill="1" applyBorder="1" applyAlignment="1">
      <alignment horizontal="center" vertical="center" wrapText="1"/>
    </xf>
    <xf numFmtId="0" fontId="18" fillId="35" borderId="32" xfId="0" applyFont="1" applyFill="1" applyBorder="1" applyAlignment="1">
      <alignment horizontal="center" vertical="center" wrapText="1"/>
    </xf>
    <xf numFmtId="0" fontId="47" fillId="35" borderId="32" xfId="0" applyFont="1" applyFill="1" applyBorder="1" applyAlignment="1" applyProtection="1">
      <alignment horizontal="center" vertical="center" wrapText="1"/>
      <protection locked="0"/>
    </xf>
    <xf numFmtId="0" fontId="67" fillId="35" borderId="34" xfId="0" applyFont="1" applyFill="1" applyBorder="1" applyAlignment="1" applyProtection="1">
      <alignment horizontal="center" vertical="center" textRotation="90" wrapText="1"/>
      <protection locked="0"/>
    </xf>
    <xf numFmtId="0" fontId="67" fillId="35" borderId="35" xfId="0" applyFont="1" applyFill="1" applyBorder="1" applyAlignment="1" applyProtection="1">
      <alignment horizontal="center" vertical="center" textRotation="90" wrapText="1"/>
      <protection locked="0"/>
    </xf>
    <xf numFmtId="0" fontId="67" fillId="35" borderId="32" xfId="0" applyFont="1" applyFill="1" applyBorder="1" applyAlignment="1" applyProtection="1">
      <alignment horizontal="center" vertical="center" textRotation="90" wrapText="1"/>
      <protection locked="0"/>
    </xf>
    <xf numFmtId="0" fontId="67" fillId="35" borderId="36" xfId="0" applyFont="1" applyFill="1" applyBorder="1" applyAlignment="1" applyProtection="1">
      <alignment horizontal="center" vertical="center" textRotation="90" wrapText="1"/>
      <protection locked="0"/>
    </xf>
    <xf numFmtId="0" fontId="67" fillId="35" borderId="31" xfId="0" applyFont="1" applyFill="1" applyBorder="1" applyAlignment="1" applyProtection="1">
      <alignment horizontal="center" vertical="center" textRotation="90" wrapText="1"/>
      <protection locked="0"/>
    </xf>
    <xf numFmtId="0" fontId="47" fillId="36" borderId="37" xfId="0" applyFont="1" applyFill="1" applyBorder="1" applyAlignment="1" applyProtection="1">
      <alignment horizontal="center" vertical="center" wrapText="1"/>
      <protection locked="0"/>
    </xf>
    <xf numFmtId="0" fontId="47" fillId="35" borderId="38" xfId="0" applyFont="1" applyFill="1" applyBorder="1" applyAlignment="1" applyProtection="1">
      <alignment horizontal="center" vertical="center" wrapText="1"/>
      <protection locked="0"/>
    </xf>
    <xf numFmtId="0" fontId="47" fillId="35" borderId="39" xfId="0" applyFont="1" applyFill="1" applyBorder="1" applyAlignment="1" applyProtection="1">
      <alignment horizontal="center" vertical="center" wrapText="1"/>
      <protection locked="0"/>
    </xf>
    <xf numFmtId="0" fontId="47" fillId="35" borderId="40" xfId="0" applyFont="1" applyFill="1" applyBorder="1" applyAlignment="1" applyProtection="1">
      <alignment horizontal="center" vertical="center" wrapText="1"/>
      <protection locked="0"/>
    </xf>
    <xf numFmtId="0" fontId="48" fillId="35" borderId="41" xfId="0" applyFont="1" applyFill="1" applyBorder="1" applyAlignment="1" applyProtection="1">
      <alignment horizontal="center" vertical="center" wrapText="1"/>
      <protection locked="0"/>
    </xf>
    <xf numFmtId="0" fontId="48" fillId="35" borderId="0" xfId="0" applyFont="1" applyFill="1" applyAlignment="1" applyProtection="1">
      <alignment horizontal="center" vertical="center" wrapText="1"/>
      <protection locked="0"/>
    </xf>
    <xf numFmtId="0" fontId="47" fillId="35" borderId="42" xfId="0" applyFont="1" applyFill="1" applyBorder="1" applyAlignment="1" applyProtection="1">
      <alignment horizontal="center" vertical="center" wrapText="1"/>
      <protection locked="0"/>
    </xf>
    <xf numFmtId="0" fontId="47" fillId="35" borderId="41" xfId="0" applyFont="1" applyFill="1" applyBorder="1" applyAlignment="1" applyProtection="1">
      <alignment horizontal="center" vertical="center" wrapText="1"/>
      <protection locked="0"/>
    </xf>
    <xf numFmtId="0" fontId="47" fillId="35" borderId="43" xfId="0" applyFont="1" applyFill="1" applyBorder="1" applyAlignment="1" applyProtection="1">
      <alignment horizontal="center" vertical="center" wrapText="1"/>
      <protection locked="0"/>
    </xf>
    <xf numFmtId="14" fontId="8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9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>
      <alignment horizontal="center" vertical="center" wrapText="1"/>
    </xf>
    <xf numFmtId="14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>
      <alignment horizontal="center" vertical="center" wrapText="1"/>
    </xf>
    <xf numFmtId="0" fontId="64" fillId="48" borderId="15" xfId="0" applyFont="1" applyFill="1" applyBorder="1" applyAlignment="1" applyProtection="1">
      <alignment horizontal="left" vertical="center"/>
      <protection locked="0"/>
    </xf>
    <xf numFmtId="0" fontId="70" fillId="48" borderId="15" xfId="0" applyFont="1" applyFill="1" applyBorder="1" applyAlignment="1" applyProtection="1">
      <alignment horizontal="center" vertical="center" wrapText="1"/>
      <protection locked="0"/>
    </xf>
    <xf numFmtId="0" fontId="68" fillId="48" borderId="15" xfId="0" applyFont="1" applyFill="1" applyBorder="1" applyAlignment="1">
      <alignment horizontal="center" vertical="center" wrapText="1"/>
    </xf>
    <xf numFmtId="14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>
      <alignment horizontal="center" vertical="center" wrapText="1"/>
    </xf>
    <xf numFmtId="0" fontId="58" fillId="48" borderId="15" xfId="0" applyFont="1" applyFill="1" applyBorder="1" applyAlignment="1" applyProtection="1">
      <alignment horizontal="left" vertical="center"/>
      <protection locked="0"/>
    </xf>
    <xf numFmtId="0" fontId="64" fillId="48" borderId="15" xfId="0" applyFont="1" applyFill="1" applyBorder="1" applyAlignment="1" applyProtection="1">
      <alignment horizontal="left" vertical="center" wrapText="1"/>
      <protection locked="0"/>
    </xf>
    <xf numFmtId="14" fontId="25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left" vertical="center" wrapText="1"/>
      <protection locked="0"/>
    </xf>
    <xf numFmtId="0" fontId="64" fillId="48" borderId="15" xfId="0" applyFont="1" applyFill="1" applyBorder="1" applyAlignment="1">
      <alignment horizontal="center" vertical="center" wrapText="1"/>
    </xf>
    <xf numFmtId="0" fontId="70" fillId="48" borderId="15" xfId="0" applyFont="1" applyFill="1" applyBorder="1" applyAlignment="1">
      <alignment horizontal="center" vertical="center" wrapText="1"/>
    </xf>
    <xf numFmtId="14" fontId="0" fillId="48" borderId="15" xfId="0" applyNumberFormat="1" applyFill="1" applyBorder="1" applyAlignment="1" applyProtection="1">
      <alignment horizontal="center"/>
      <protection locked="0"/>
    </xf>
    <xf numFmtId="0" fontId="28" fillId="48" borderId="15" xfId="0" applyFont="1" applyFill="1" applyBorder="1" applyAlignment="1" applyProtection="1">
      <alignment horizontal="center" vertical="center"/>
      <protection locked="0"/>
    </xf>
    <xf numFmtId="0" fontId="75" fillId="48" borderId="15" xfId="0" applyFont="1" applyFill="1" applyBorder="1" applyAlignment="1">
      <alignment horizontal="center" vertical="center" wrapText="1"/>
    </xf>
    <xf numFmtId="0" fontId="76" fillId="48" borderId="15" xfId="0" applyFont="1" applyFill="1" applyBorder="1" applyAlignment="1">
      <alignment horizontal="center" vertical="center" wrapText="1"/>
    </xf>
    <xf numFmtId="0" fontId="74" fillId="48" borderId="15" xfId="0" applyFont="1" applyFill="1" applyBorder="1" applyAlignment="1" applyProtection="1">
      <alignment horizontal="center" vertical="top"/>
      <protection locked="0"/>
    </xf>
    <xf numFmtId="0" fontId="73" fillId="48" borderId="15" xfId="0" applyFont="1" applyFill="1" applyBorder="1" applyAlignment="1" applyProtection="1">
      <alignment horizontal="center" vertical="center"/>
      <protection locked="0"/>
    </xf>
    <xf numFmtId="0" fontId="5" fillId="48" borderId="15" xfId="0" applyFont="1" applyFill="1" applyBorder="1" applyAlignment="1" applyProtection="1">
      <alignment horizontal="center" vertical="center"/>
      <protection locked="0"/>
    </xf>
    <xf numFmtId="0" fontId="3" fillId="48" borderId="15" xfId="0" applyFont="1" applyFill="1" applyBorder="1" applyAlignment="1" applyProtection="1">
      <alignment horizontal="center" vertical="center"/>
      <protection locked="0"/>
    </xf>
    <xf numFmtId="0" fontId="9" fillId="48" borderId="15" xfId="0" applyFont="1" applyFill="1" applyBorder="1" applyAlignment="1" applyProtection="1">
      <alignment horizontal="center" vertical="center"/>
      <protection locked="0"/>
    </xf>
    <xf numFmtId="0" fontId="8" fillId="48" borderId="15" xfId="0" applyFont="1" applyFill="1" applyBorder="1" applyAlignment="1" applyProtection="1">
      <alignment horizontal="center" vertical="center"/>
      <protection locked="0"/>
    </xf>
    <xf numFmtId="0" fontId="46" fillId="48" borderId="15" xfId="0" applyFont="1" applyFill="1" applyBorder="1" applyProtection="1">
      <protection locked="0"/>
    </xf>
    <xf numFmtId="0" fontId="72" fillId="48" borderId="15" xfId="0" applyFont="1" applyFill="1" applyBorder="1" applyAlignment="1" applyProtection="1">
      <alignment horizontal="center" vertical="center"/>
      <protection locked="0"/>
    </xf>
    <xf numFmtId="0" fontId="77" fillId="38" borderId="15" xfId="0" applyFont="1" applyFill="1" applyBorder="1" applyAlignment="1" applyProtection="1">
      <alignment horizontal="center" vertical="center"/>
      <protection locked="0"/>
    </xf>
    <xf numFmtId="0" fontId="56" fillId="50" borderId="44" xfId="0" applyFont="1" applyFill="1" applyBorder="1" applyAlignment="1" applyProtection="1">
      <alignment horizontal="center" vertical="center"/>
      <protection locked="0"/>
    </xf>
    <xf numFmtId="0" fontId="78" fillId="44" borderId="15" xfId="0" applyFont="1" applyFill="1" applyBorder="1" applyAlignment="1" applyProtection="1">
      <alignment horizontal="center" vertical="center"/>
      <protection locked="0"/>
    </xf>
    <xf numFmtId="0" fontId="3" fillId="52" borderId="15" xfId="0" applyFont="1" applyFill="1" applyBorder="1" applyAlignment="1" applyProtection="1">
      <alignment horizontal="center" vertical="center"/>
      <protection locked="0"/>
    </xf>
    <xf numFmtId="0" fontId="5" fillId="52" borderId="15" xfId="0" applyFont="1" applyFill="1" applyBorder="1" applyAlignment="1" applyProtection="1">
      <alignment horizontal="center" vertical="center"/>
      <protection locked="0"/>
    </xf>
    <xf numFmtId="0" fontId="27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5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3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0" fillId="48" borderId="15" xfId="0" applyFont="1" applyFill="1" applyBorder="1" applyAlignment="1" applyProtection="1">
      <alignment horizontal="left" vertical="center" wrapText="1"/>
      <protection locked="0"/>
    </xf>
    <xf numFmtId="0" fontId="27" fillId="48" borderId="15" xfId="0" applyFont="1" applyFill="1" applyBorder="1" applyAlignment="1" applyProtection="1">
      <alignment horizontal="center" vertical="center"/>
      <protection locked="0"/>
    </xf>
    <xf numFmtId="0" fontId="80" fillId="48" borderId="15" xfId="0" applyFont="1" applyFill="1" applyBorder="1" applyAlignment="1">
      <alignment horizontal="center" vertical="center" wrapText="1"/>
    </xf>
    <xf numFmtId="0" fontId="81" fillId="48" borderId="15" xfId="0" applyFont="1" applyFill="1" applyBorder="1" applyAlignment="1">
      <alignment horizontal="center" vertical="center" wrapText="1"/>
    </xf>
    <xf numFmtId="0" fontId="79" fillId="48" borderId="15" xfId="0" applyFont="1" applyFill="1" applyBorder="1" applyAlignment="1" applyProtection="1">
      <alignment horizontal="center" vertical="center"/>
      <protection locked="0"/>
    </xf>
    <xf numFmtId="0" fontId="82" fillId="48" borderId="15" xfId="0" applyFont="1" applyFill="1" applyBorder="1" applyAlignment="1" applyProtection="1">
      <alignment horizontal="center" vertical="top"/>
      <protection locked="0"/>
    </xf>
    <xf numFmtId="0" fontId="5" fillId="48" borderId="15" xfId="0" applyFont="1" applyFill="1" applyBorder="1" applyAlignment="1">
      <alignment horizontal="center" vertical="center"/>
    </xf>
    <xf numFmtId="0" fontId="27" fillId="48" borderId="15" xfId="0" applyFont="1" applyFill="1" applyBorder="1" applyAlignment="1" applyProtection="1">
      <alignment horizontal="left" vertical="center"/>
      <protection locked="0"/>
    </xf>
    <xf numFmtId="49" fontId="27" fillId="48" borderId="15" xfId="0" applyNumberFormat="1" applyFont="1" applyFill="1" applyBorder="1" applyAlignment="1" applyProtection="1">
      <alignment horizontal="left" vertical="center"/>
      <protection locked="0"/>
    </xf>
    <xf numFmtId="0" fontId="27" fillId="48" borderId="0" xfId="0" applyFont="1" applyFill="1" applyAlignment="1" applyProtection="1">
      <alignment horizontal="center" vertical="center"/>
      <protection locked="0"/>
    </xf>
    <xf numFmtId="0" fontId="0" fillId="48" borderId="15" xfId="0" applyFill="1" applyBorder="1" applyAlignment="1" applyProtection="1">
      <alignment horizontal="center"/>
      <protection locked="0"/>
    </xf>
    <xf numFmtId="0" fontId="84" fillId="48" borderId="15" xfId="0" applyFont="1" applyFill="1" applyBorder="1" applyAlignment="1" applyProtection="1">
      <alignment horizontal="center" vertical="center"/>
      <protection locked="0"/>
    </xf>
    <xf numFmtId="0" fontId="85" fillId="44" borderId="15" xfId="0" applyFont="1" applyFill="1" applyBorder="1" applyAlignment="1" applyProtection="1">
      <alignment horizontal="center" vertical="center"/>
      <protection locked="0"/>
    </xf>
    <xf numFmtId="0" fontId="53" fillId="50" borderId="44" xfId="0" applyFont="1" applyFill="1" applyBorder="1" applyAlignment="1" applyProtection="1">
      <alignment horizontal="center" vertical="center" wrapText="1"/>
      <protection locked="0"/>
    </xf>
    <xf numFmtId="0" fontId="54" fillId="44" borderId="68" xfId="0" applyFont="1" applyFill="1" applyBorder="1" applyAlignment="1" applyProtection="1">
      <alignment horizontal="center" vertical="center" wrapText="1"/>
      <protection locked="0"/>
    </xf>
    <xf numFmtId="0" fontId="53" fillId="50" borderId="68" xfId="0" applyFont="1" applyFill="1" applyBorder="1" applyAlignment="1" applyProtection="1">
      <alignment horizontal="center" vertical="center" wrapText="1"/>
      <protection locked="0"/>
    </xf>
    <xf numFmtId="0" fontId="53" fillId="50" borderId="18" xfId="0" applyFont="1" applyFill="1" applyBorder="1" applyAlignment="1" applyProtection="1">
      <alignment horizontal="center" vertical="center" wrapText="1"/>
      <protection locked="0"/>
    </xf>
    <xf numFmtId="0" fontId="56" fillId="50" borderId="18" xfId="0" applyFont="1" applyFill="1" applyBorder="1" applyAlignment="1" applyProtection="1">
      <alignment horizontal="center" vertical="center"/>
      <protection locked="0"/>
    </xf>
    <xf numFmtId="0" fontId="53" fillId="50" borderId="20" xfId="0" applyFont="1" applyFill="1" applyBorder="1" applyAlignment="1" applyProtection="1">
      <alignment horizontal="center" vertical="center" wrapText="1"/>
      <protection locked="0"/>
    </xf>
    <xf numFmtId="0" fontId="56" fillId="50" borderId="20" xfId="0" applyFont="1" applyFill="1" applyBorder="1" applyAlignment="1" applyProtection="1">
      <alignment horizontal="center" vertical="center"/>
      <protection locked="0"/>
    </xf>
    <xf numFmtId="0" fontId="78" fillId="44" borderId="20" xfId="0" applyFont="1" applyFill="1" applyBorder="1" applyAlignment="1" applyProtection="1">
      <alignment horizontal="center" vertical="center"/>
      <protection locked="0"/>
    </xf>
    <xf numFmtId="0" fontId="67" fillId="35" borderId="33" xfId="0" applyFont="1" applyFill="1" applyBorder="1" applyAlignment="1" applyProtection="1">
      <alignment horizontal="center" vertical="center" textRotation="90" wrapText="1"/>
      <protection locked="0"/>
    </xf>
    <xf numFmtId="14" fontId="55" fillId="0" borderId="44" xfId="39" applyNumberFormat="1" applyFont="1" applyFill="1" applyBorder="1" applyAlignment="1" applyProtection="1">
      <alignment horizontal="center" vertical="center" wrapText="1"/>
      <protection locked="0"/>
    </xf>
    <xf numFmtId="14" fontId="55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52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60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73" fillId="48" borderId="44" xfId="0" applyNumberFormat="1" applyFont="1" applyFill="1" applyBorder="1" applyAlignment="1" applyProtection="1">
      <alignment vertical="top"/>
      <protection locked="0"/>
    </xf>
    <xf numFmtId="14" fontId="79" fillId="48" borderId="44" xfId="0" applyNumberFormat="1" applyFont="1" applyFill="1" applyBorder="1" applyAlignment="1" applyProtection="1">
      <alignment vertical="top"/>
      <protection locked="0"/>
    </xf>
    <xf numFmtId="0" fontId="79" fillId="48" borderId="44" xfId="0" applyFont="1" applyFill="1" applyBorder="1" applyAlignment="1" applyProtection="1">
      <alignment vertical="top"/>
      <protection locked="0"/>
    </xf>
    <xf numFmtId="0" fontId="17" fillId="0" borderId="69" xfId="0" applyFont="1" applyBorder="1" applyAlignment="1" applyProtection="1">
      <alignment horizontal="center" vertical="center" wrapText="1"/>
      <protection locked="0"/>
    </xf>
    <xf numFmtId="0" fontId="17" fillId="0" borderId="70" xfId="0" applyFont="1" applyBorder="1" applyAlignment="1" applyProtection="1">
      <alignment horizontal="center" vertical="center" wrapText="1"/>
      <protection locked="0"/>
    </xf>
    <xf numFmtId="0" fontId="17" fillId="0" borderId="71" xfId="0" applyFont="1" applyBorder="1" applyAlignment="1" applyProtection="1">
      <alignment horizontal="center" vertical="center"/>
      <protection locked="0"/>
    </xf>
    <xf numFmtId="0" fontId="17" fillId="0" borderId="72" xfId="0" applyFont="1" applyBorder="1" applyAlignment="1" applyProtection="1">
      <alignment horizontal="center" vertical="center"/>
      <protection locked="0"/>
    </xf>
    <xf numFmtId="0" fontId="47" fillId="36" borderId="73" xfId="0" applyFont="1" applyFill="1" applyBorder="1" applyAlignment="1" applyProtection="1">
      <alignment horizontal="center" vertical="center" wrapText="1"/>
      <protection locked="0"/>
    </xf>
    <xf numFmtId="0" fontId="47" fillId="36" borderId="74" xfId="0" applyFont="1" applyFill="1" applyBorder="1" applyAlignment="1" applyProtection="1">
      <alignment horizontal="center" vertical="center" wrapText="1"/>
      <protection locked="0"/>
    </xf>
    <xf numFmtId="0" fontId="47" fillId="36" borderId="75" xfId="0" applyFont="1" applyFill="1" applyBorder="1" applyAlignment="1" applyProtection="1">
      <alignment horizontal="center" vertical="center" wrapText="1"/>
      <protection locked="0"/>
    </xf>
    <xf numFmtId="0" fontId="47" fillId="36" borderId="76" xfId="0" applyFont="1" applyFill="1" applyBorder="1" applyAlignment="1" applyProtection="1">
      <alignment horizontal="center" vertical="center" wrapText="1"/>
      <protection locked="0"/>
    </xf>
    <xf numFmtId="0" fontId="47" fillId="36" borderId="77" xfId="0" applyFont="1" applyFill="1" applyBorder="1" applyAlignment="1" applyProtection="1">
      <alignment horizontal="center" vertical="center" wrapText="1"/>
      <protection locked="0"/>
    </xf>
    <xf numFmtId="0" fontId="47" fillId="36" borderId="78" xfId="0" applyFont="1" applyFill="1" applyBorder="1" applyAlignment="1" applyProtection="1">
      <alignment horizontal="center" vertical="center" wrapText="1"/>
      <protection locked="0"/>
    </xf>
    <xf numFmtId="0" fontId="54" fillId="43" borderId="20" xfId="39" applyNumberFormat="1" applyFont="1" applyFill="1" applyBorder="1" applyAlignment="1" applyProtection="1">
      <alignment horizontal="center" vertical="center" wrapText="1"/>
    </xf>
    <xf numFmtId="0" fontId="62" fillId="50" borderId="79" xfId="39" applyNumberFormat="1" applyFont="1" applyFill="1" applyBorder="1" applyAlignment="1" applyProtection="1">
      <alignment horizontal="center" vertical="center" wrapText="1"/>
    </xf>
    <xf numFmtId="0" fontId="54" fillId="50" borderId="79" xfId="39" applyNumberFormat="1" applyFont="1" applyFill="1" applyBorder="1" applyAlignment="1" applyProtection="1">
      <alignment horizontal="center" vertical="center" wrapText="1"/>
    </xf>
    <xf numFmtId="0" fontId="66" fillId="50" borderId="79" xfId="39" applyNumberFormat="1" applyFont="1" applyFill="1" applyBorder="1" applyAlignment="1" applyProtection="1">
      <alignment horizontal="center" vertical="center" wrapText="1"/>
    </xf>
    <xf numFmtId="0" fontId="86" fillId="50" borderId="15" xfId="0" applyFont="1" applyFill="1" applyBorder="1" applyAlignment="1" applyProtection="1">
      <alignment horizontal="center" vertical="center"/>
      <protection locked="0"/>
    </xf>
    <xf numFmtId="0" fontId="88" fillId="50" borderId="68" xfId="0" applyFont="1" applyFill="1" applyBorder="1" applyAlignment="1" applyProtection="1">
      <alignment horizontal="center" vertical="center" wrapText="1"/>
      <protection locked="0"/>
    </xf>
    <xf numFmtId="0" fontId="88" fillId="50" borderId="15" xfId="0" applyFont="1" applyFill="1" applyBorder="1" applyAlignment="1" applyProtection="1">
      <alignment horizontal="center" vertical="center"/>
      <protection locked="0"/>
    </xf>
    <xf numFmtId="0" fontId="88" fillId="50" borderId="18" xfId="0" applyFont="1" applyFill="1" applyBorder="1" applyAlignment="1" applyProtection="1">
      <alignment horizontal="center" vertical="center"/>
      <protection locked="0"/>
    </xf>
    <xf numFmtId="0" fontId="88" fillId="50" borderId="20" xfId="0" applyFont="1" applyFill="1" applyBorder="1" applyAlignment="1" applyProtection="1">
      <alignment horizontal="center" vertical="center"/>
      <protection locked="0"/>
    </xf>
    <xf numFmtId="0" fontId="89" fillId="43" borderId="20" xfId="39" applyNumberFormat="1" applyFont="1" applyFill="1" applyBorder="1" applyAlignment="1" applyProtection="1">
      <alignment horizontal="center" vertical="center" wrapText="1"/>
    </xf>
    <xf numFmtId="0" fontId="15" fillId="0" borderId="15" xfId="39" applyNumberFormat="1" applyFont="1" applyFill="1" applyBorder="1" applyAlignment="1" applyProtection="1">
      <alignment horizontal="center" vertical="center" wrapText="1"/>
    </xf>
    <xf numFmtId="0" fontId="89" fillId="50" borderId="79" xfId="39" applyNumberFormat="1" applyFont="1" applyFill="1" applyBorder="1" applyAlignment="1" applyProtection="1">
      <alignment horizontal="center" vertical="center" wrapText="1"/>
    </xf>
    <xf numFmtId="0" fontId="89" fillId="44" borderId="15" xfId="0" applyFont="1" applyFill="1" applyBorder="1" applyAlignment="1" applyProtection="1">
      <alignment horizontal="center" vertical="center"/>
      <protection locked="0"/>
    </xf>
    <xf numFmtId="0" fontId="87" fillId="48" borderId="15" xfId="0" applyFont="1" applyFill="1" applyBorder="1" applyAlignment="1" applyProtection="1">
      <alignment horizontal="center" vertical="center"/>
      <protection locked="0"/>
    </xf>
    <xf numFmtId="0" fontId="87" fillId="48" borderId="15" xfId="0" applyFont="1" applyFill="1" applyBorder="1" applyAlignment="1" applyProtection="1">
      <alignment horizontal="left" vertical="center"/>
      <protection locked="0"/>
    </xf>
    <xf numFmtId="49" fontId="87" fillId="48" borderId="15" xfId="0" applyNumberFormat="1" applyFont="1" applyFill="1" applyBorder="1" applyAlignment="1" applyProtection="1">
      <alignment horizontal="left" vertical="center"/>
      <protection locked="0"/>
    </xf>
    <xf numFmtId="14" fontId="10" fillId="48" borderId="44" xfId="0" applyNumberFormat="1" applyFont="1" applyFill="1" applyBorder="1" applyAlignment="1" applyProtection="1">
      <alignment vertical="top"/>
      <protection locked="0"/>
    </xf>
    <xf numFmtId="0" fontId="15" fillId="48" borderId="15" xfId="0" applyFont="1" applyFill="1" applyBorder="1" applyAlignment="1" applyProtection="1">
      <alignment horizontal="center" vertical="top"/>
      <protection locked="0"/>
    </xf>
    <xf numFmtId="0" fontId="15" fillId="48" borderId="15" xfId="0" applyFont="1" applyFill="1" applyBorder="1" applyAlignment="1" applyProtection="1">
      <alignment horizontal="center" vertical="center"/>
      <protection locked="0"/>
    </xf>
    <xf numFmtId="0" fontId="90" fillId="48" borderId="15" xfId="0" applyFont="1" applyFill="1" applyBorder="1" applyAlignment="1" applyProtection="1">
      <alignment horizontal="center" vertical="center" wrapText="1"/>
      <protection locked="0"/>
    </xf>
    <xf numFmtId="0" fontId="91" fillId="38" borderId="15" xfId="0" applyFont="1" applyFill="1" applyBorder="1" applyAlignment="1" applyProtection="1">
      <alignment horizontal="center" vertical="center"/>
      <protection locked="0"/>
    </xf>
    <xf numFmtId="0" fontId="7" fillId="39" borderId="15" xfId="45" applyFill="1" applyBorder="1" applyAlignment="1" applyProtection="1">
      <alignment horizontal="center" vertical="center"/>
    </xf>
    <xf numFmtId="0" fontId="16" fillId="0" borderId="28" xfId="0" applyFont="1" applyBorder="1" applyAlignment="1" applyProtection="1">
      <alignment horizontal="center" vertical="center" wrapText="1"/>
      <protection locked="0"/>
    </xf>
    <xf numFmtId="0" fontId="16" fillId="37" borderId="29" xfId="0" applyFont="1" applyFill="1" applyBorder="1" applyAlignment="1" applyProtection="1">
      <alignment horizontal="center" vertical="center" wrapText="1"/>
      <protection locked="0"/>
    </xf>
    <xf numFmtId="0" fontId="20" fillId="49" borderId="27" xfId="0" applyFont="1" applyFill="1" applyBorder="1" applyAlignment="1">
      <alignment horizontal="center" vertical="center"/>
    </xf>
    <xf numFmtId="49" fontId="27" fillId="48" borderId="15" xfId="0" applyNumberFormat="1" applyFont="1" applyFill="1" applyBorder="1" applyAlignment="1" applyProtection="1">
      <alignment horizontal="center" vertical="center"/>
      <protection locked="0"/>
    </xf>
    <xf numFmtId="0" fontId="0" fillId="49" borderId="19" xfId="0" applyFill="1" applyBorder="1" applyAlignment="1">
      <alignment horizontal="left" vertical="center" wrapText="1"/>
    </xf>
    <xf numFmtId="0" fontId="20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45" applyNumberFormat="1" applyFill="1" applyBorder="1" applyAlignment="1" applyProtection="1">
      <alignment horizontal="left" vertical="center"/>
      <protection locked="0"/>
    </xf>
    <xf numFmtId="0" fontId="47" fillId="35" borderId="32" xfId="0" applyFont="1" applyFill="1" applyBorder="1" applyAlignment="1" applyProtection="1">
      <alignment horizontal="left" vertical="center"/>
      <protection locked="0"/>
    </xf>
    <xf numFmtId="0" fontId="47" fillId="35" borderId="32" xfId="0" applyFont="1" applyFill="1" applyBorder="1" applyAlignment="1" applyProtection="1">
      <alignment horizontal="left" vertical="center" wrapText="1"/>
      <protection locked="0"/>
    </xf>
    <xf numFmtId="0" fontId="69" fillId="48" borderId="15" xfId="0" applyFont="1" applyFill="1" applyBorder="1" applyAlignment="1" applyProtection="1">
      <alignment horizontal="left" vertical="center" wrapText="1"/>
      <protection locked="0"/>
    </xf>
    <xf numFmtId="0" fontId="58" fillId="48" borderId="15" xfId="0" applyFont="1" applyFill="1" applyBorder="1" applyAlignment="1" applyProtection="1">
      <alignment horizontal="left" vertical="center" wrapText="1"/>
      <protection locked="0"/>
    </xf>
    <xf numFmtId="0" fontId="70" fillId="48" borderId="15" xfId="0" applyFont="1" applyFill="1" applyBorder="1" applyAlignment="1">
      <alignment horizontal="left" vertical="center" wrapText="1"/>
    </xf>
    <xf numFmtId="0" fontId="64" fillId="48" borderId="15" xfId="0" applyFont="1" applyFill="1" applyBorder="1" applyAlignment="1">
      <alignment horizontal="left" vertical="center" wrapText="1"/>
    </xf>
    <xf numFmtId="0" fontId="81" fillId="48" borderId="15" xfId="0" applyFont="1" applyFill="1" applyBorder="1" applyAlignment="1">
      <alignment horizontal="left" vertical="center" wrapText="1"/>
    </xf>
    <xf numFmtId="0" fontId="80" fillId="48" borderId="15" xfId="0" applyFont="1" applyFill="1" applyBorder="1" applyAlignment="1">
      <alignment horizontal="left" vertical="center" wrapText="1"/>
    </xf>
    <xf numFmtId="0" fontId="76" fillId="48" borderId="15" xfId="0" applyFont="1" applyFill="1" applyBorder="1" applyAlignment="1">
      <alignment horizontal="left" vertical="center" wrapText="1"/>
    </xf>
    <xf numFmtId="0" fontId="75" fillId="48" borderId="15" xfId="0" applyFont="1" applyFill="1" applyBorder="1" applyAlignment="1">
      <alignment horizontal="left" vertical="center" wrapText="1"/>
    </xf>
    <xf numFmtId="0" fontId="3" fillId="0" borderId="0" xfId="0" applyFont="1" applyAlignment="1" applyProtection="1">
      <alignment horizontal="left" vertical="center"/>
      <protection locked="0"/>
    </xf>
    <xf numFmtId="0" fontId="91" fillId="48" borderId="15" xfId="0" applyFont="1" applyFill="1" applyBorder="1" applyAlignment="1" applyProtection="1">
      <alignment horizontal="center" vertical="center"/>
      <protection locked="0"/>
    </xf>
    <xf numFmtId="0" fontId="0" fillId="39" borderId="15" xfId="0" applyFill="1" applyBorder="1" applyAlignment="1">
      <alignment horizontal="center" vertical="center"/>
    </xf>
    <xf numFmtId="0" fontId="92" fillId="44" borderId="15" xfId="0" applyFont="1" applyFill="1" applyBorder="1" applyAlignment="1">
      <alignment horizontal="center" vertical="center" wrapText="1"/>
    </xf>
    <xf numFmtId="0" fontId="22" fillId="0" borderId="15" xfId="39" applyNumberFormat="1" applyFont="1" applyFill="1" applyBorder="1" applyAlignment="1" applyProtection="1">
      <alignment horizontal="center" vertical="center" wrapText="1"/>
      <protection locked="0"/>
    </xf>
    <xf numFmtId="14" fontId="27" fillId="48" borderId="44" xfId="0" applyNumberFormat="1" applyFont="1" applyFill="1" applyBorder="1" applyAlignment="1" applyProtection="1">
      <alignment vertical="top"/>
      <protection locked="0"/>
    </xf>
    <xf numFmtId="0" fontId="93" fillId="48" borderId="15" xfId="0" applyFont="1" applyFill="1" applyBorder="1" applyAlignment="1">
      <alignment horizontal="center" vertical="center" wrapText="1"/>
    </xf>
    <xf numFmtId="0" fontId="73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93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94" fillId="48" borderId="15" xfId="0" applyFont="1" applyFill="1" applyBorder="1" applyAlignment="1" applyProtection="1">
      <alignment horizontal="center" vertical="center" wrapText="1"/>
      <protection locked="0"/>
    </xf>
    <xf numFmtId="0" fontId="93" fillId="48" borderId="15" xfId="45" applyNumberFormat="1" applyFont="1" applyFill="1" applyBorder="1" applyAlignment="1" applyProtection="1">
      <alignment horizontal="left" vertical="center" wrapText="1"/>
      <protection locked="0"/>
    </xf>
    <xf numFmtId="0" fontId="94" fillId="48" borderId="15" xfId="0" applyFont="1" applyFill="1" applyBorder="1" applyAlignment="1" applyProtection="1">
      <alignment horizontal="left" vertical="center" wrapText="1"/>
      <protection locked="0"/>
    </xf>
    <xf numFmtId="0" fontId="93" fillId="48" borderId="15" xfId="0" applyFont="1" applyFill="1" applyBorder="1" applyAlignment="1" applyProtection="1">
      <alignment horizontal="left" vertical="center" wrapText="1"/>
      <protection locked="0"/>
    </xf>
    <xf numFmtId="0" fontId="93" fillId="48" borderId="15" xfId="0" applyFont="1" applyFill="1" applyBorder="1" applyAlignment="1" applyProtection="1">
      <alignment horizontal="center" vertical="center" wrapText="1"/>
      <protection locked="0"/>
    </xf>
    <xf numFmtId="0" fontId="19" fillId="48" borderId="15" xfId="0" applyFont="1" applyFill="1" applyBorder="1" applyAlignment="1" applyProtection="1">
      <alignment horizontal="center" vertical="top"/>
      <protection locked="0"/>
    </xf>
    <xf numFmtId="0" fontId="17" fillId="48" borderId="15" xfId="0" applyFont="1" applyFill="1" applyBorder="1" applyAlignment="1" applyProtection="1">
      <alignment horizontal="center" vertical="top"/>
      <protection locked="0"/>
    </xf>
    <xf numFmtId="0" fontId="96" fillId="48" borderId="15" xfId="0" applyFont="1" applyFill="1" applyBorder="1" applyAlignment="1" applyProtection="1">
      <alignment horizontal="center" vertical="center"/>
      <protection locked="0"/>
    </xf>
    <xf numFmtId="49" fontId="27" fillId="48" borderId="0" xfId="0" applyNumberFormat="1" applyFont="1" applyFill="1" applyAlignment="1" applyProtection="1">
      <alignment horizontal="left" vertical="center"/>
      <protection locked="0"/>
    </xf>
    <xf numFmtId="0" fontId="27" fillId="48" borderId="0" xfId="0" applyFont="1" applyFill="1" applyAlignment="1" applyProtection="1">
      <alignment horizontal="left" vertical="center"/>
      <protection locked="0"/>
    </xf>
    <xf numFmtId="0" fontId="79" fillId="48" borderId="0" xfId="0" applyFont="1" applyFill="1" applyAlignment="1" applyProtection="1">
      <alignment horizontal="center" vertical="center"/>
      <protection locked="0"/>
    </xf>
    <xf numFmtId="0" fontId="95" fillId="48" borderId="0" xfId="0" applyFont="1" applyFill="1" applyAlignment="1">
      <alignment horizontal="center" vertical="center" wrapText="1"/>
    </xf>
    <xf numFmtId="0" fontId="73" fillId="48" borderId="44" xfId="0" applyFont="1" applyFill="1" applyBorder="1" applyAlignment="1" applyProtection="1">
      <alignment horizontal="center" vertical="center"/>
      <protection locked="0"/>
    </xf>
    <xf numFmtId="0" fontId="92" fillId="44" borderId="0" xfId="0" applyFont="1" applyFill="1" applyAlignment="1">
      <alignment horizontal="center" vertical="center" wrapText="1"/>
    </xf>
    <xf numFmtId="0" fontId="97" fillId="48" borderId="15" xfId="0" applyFont="1" applyFill="1" applyBorder="1" applyAlignment="1">
      <alignment horizontal="center" vertical="center" wrapText="1"/>
    </xf>
    <xf numFmtId="14" fontId="28" fillId="48" borderId="15" xfId="0" applyNumberFormat="1" applyFont="1" applyFill="1" applyBorder="1" applyAlignment="1" applyProtection="1">
      <alignment horizontal="center"/>
      <protection locked="0"/>
    </xf>
    <xf numFmtId="0" fontId="28" fillId="48" borderId="15" xfId="0" applyFont="1" applyFill="1" applyBorder="1" applyAlignment="1" applyProtection="1">
      <alignment horizontal="left" vertical="center"/>
      <protection locked="0"/>
    </xf>
    <xf numFmtId="0" fontId="98" fillId="48" borderId="15" xfId="0" applyFont="1" applyFill="1" applyBorder="1" applyProtection="1">
      <protection locked="0"/>
    </xf>
    <xf numFmtId="14" fontId="28" fillId="48" borderId="15" xfId="0" applyNumberFormat="1" applyFont="1" applyFill="1" applyBorder="1" applyAlignment="1" applyProtection="1">
      <alignment vertical="top"/>
      <protection locked="0"/>
    </xf>
    <xf numFmtId="0" fontId="91" fillId="48" borderId="15" xfId="0" applyFont="1" applyFill="1" applyBorder="1"/>
    <xf numFmtId="14" fontId="73" fillId="48" borderId="44" xfId="0" applyNumberFormat="1" applyFont="1" applyFill="1" applyBorder="1" applyAlignment="1" applyProtection="1">
      <alignment horizontal="center"/>
      <protection locked="0"/>
    </xf>
    <xf numFmtId="14" fontId="73" fillId="48" borderId="44" xfId="0" applyNumberFormat="1" applyFont="1" applyFill="1" applyBorder="1" applyAlignment="1" applyProtection="1">
      <alignment horizontal="center" vertical="center"/>
      <protection locked="0"/>
    </xf>
    <xf numFmtId="14" fontId="73" fillId="48" borderId="15" xfId="0" applyNumberFormat="1" applyFont="1" applyFill="1" applyBorder="1" applyAlignment="1" applyProtection="1">
      <alignment horizontal="center" vertical="center"/>
      <protection locked="0"/>
    </xf>
    <xf numFmtId="14" fontId="93" fillId="48" borderId="44" xfId="39" applyNumberFormat="1" applyFont="1" applyFill="1" applyBorder="1" applyAlignment="1" applyProtection="1">
      <alignment horizontal="center" wrapText="1"/>
      <protection locked="0"/>
    </xf>
    <xf numFmtId="14" fontId="25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99" fillId="38" borderId="15" xfId="0" applyFont="1" applyFill="1" applyBorder="1" applyAlignment="1" applyProtection="1">
      <alignment horizontal="center" vertical="center"/>
      <protection locked="0"/>
    </xf>
    <xf numFmtId="0" fontId="28" fillId="39" borderId="15" xfId="0" applyFont="1" applyFill="1" applyBorder="1" applyAlignment="1" applyProtection="1">
      <alignment horizontal="center" vertical="center"/>
      <protection locked="0"/>
    </xf>
    <xf numFmtId="0" fontId="28" fillId="38" borderId="15" xfId="0" applyFont="1" applyFill="1" applyBorder="1" applyAlignment="1" applyProtection="1">
      <alignment horizontal="left" vertical="center"/>
      <protection locked="0"/>
    </xf>
    <xf numFmtId="0" fontId="80" fillId="38" borderId="15" xfId="0" applyFont="1" applyFill="1" applyBorder="1" applyAlignment="1">
      <alignment horizontal="center" vertical="center" wrapText="1"/>
    </xf>
    <xf numFmtId="0" fontId="54" fillId="44" borderId="15" xfId="0" applyFont="1" applyFill="1" applyBorder="1" applyAlignment="1" applyProtection="1">
      <alignment horizontal="center" vertical="center"/>
      <protection locked="0"/>
    </xf>
    <xf numFmtId="0" fontId="56" fillId="50" borderId="68" xfId="0" applyFont="1" applyFill="1" applyBorder="1" applyAlignment="1" applyProtection="1">
      <alignment horizontal="center" vertical="center"/>
      <protection locked="0"/>
    </xf>
    <xf numFmtId="14" fontId="6" fillId="48" borderId="15" xfId="0" applyNumberFormat="1" applyFont="1" applyFill="1" applyBorder="1" applyAlignment="1" applyProtection="1">
      <alignment vertical="top"/>
      <protection locked="0"/>
    </xf>
    <xf numFmtId="14" fontId="6" fillId="48" borderId="44" xfId="0" applyNumberFormat="1" applyFont="1" applyFill="1" applyBorder="1" applyAlignment="1" applyProtection="1">
      <alignment vertical="top"/>
      <protection locked="0"/>
    </xf>
    <xf numFmtId="0" fontId="54" fillId="44" borderId="34" xfId="0" applyFont="1" applyFill="1" applyBorder="1" applyAlignment="1" applyProtection="1">
      <alignment horizontal="center" vertical="center" wrapText="1"/>
      <protection locked="0"/>
    </xf>
    <xf numFmtId="0" fontId="89" fillId="43" borderId="31" xfId="39" applyNumberFormat="1" applyFont="1" applyFill="1" applyBorder="1" applyAlignment="1" applyProtection="1">
      <alignment horizontal="center" vertical="center" wrapText="1"/>
    </xf>
    <xf numFmtId="0" fontId="15" fillId="0" borderId="32" xfId="39" applyNumberFormat="1" applyFont="1" applyFill="1" applyBorder="1" applyAlignment="1" applyProtection="1">
      <alignment horizontal="center" vertical="center" wrapText="1"/>
    </xf>
    <xf numFmtId="0" fontId="89" fillId="50" borderId="36" xfId="39" applyNumberFormat="1" applyFont="1" applyFill="1" applyBorder="1" applyAlignment="1" applyProtection="1">
      <alignment horizontal="center" vertical="center" wrapText="1"/>
    </xf>
    <xf numFmtId="0" fontId="102" fillId="0" borderId="32" xfId="39" applyNumberFormat="1" applyFont="1" applyFill="1" applyBorder="1" applyAlignment="1" applyProtection="1">
      <alignment horizontal="center" vertical="center" wrapText="1"/>
    </xf>
    <xf numFmtId="0" fontId="5" fillId="0" borderId="19" xfId="0" applyFont="1" applyBorder="1" applyAlignment="1" applyProtection="1">
      <alignment horizontal="left" vertical="center"/>
      <protection locked="0"/>
    </xf>
    <xf numFmtId="0" fontId="47" fillId="35" borderId="25" xfId="0" applyFont="1" applyFill="1" applyBorder="1" applyAlignment="1" applyProtection="1">
      <alignment horizontal="left" vertical="center" wrapText="1"/>
      <protection locked="0"/>
    </xf>
    <xf numFmtId="0" fontId="47" fillId="35" borderId="18" xfId="0" applyFont="1" applyFill="1" applyBorder="1" applyAlignment="1" applyProtection="1">
      <alignment horizontal="left" vertical="center" wrapText="1"/>
      <protection locked="0"/>
    </xf>
    <xf numFmtId="0" fontId="47" fillId="35" borderId="33" xfId="0" applyFont="1" applyFill="1" applyBorder="1" applyAlignment="1" applyProtection="1">
      <alignment horizontal="left" vertical="center" wrapText="1"/>
      <protection locked="0"/>
    </xf>
    <xf numFmtId="0" fontId="64" fillId="48" borderId="18" xfId="0" applyFont="1" applyFill="1" applyBorder="1" applyAlignment="1" applyProtection="1">
      <alignment horizontal="left" vertical="center" wrapText="1"/>
      <protection locked="0"/>
    </xf>
    <xf numFmtId="0" fontId="79" fillId="48" borderId="18" xfId="0" applyFont="1" applyFill="1" applyBorder="1" applyAlignment="1" applyProtection="1">
      <alignment horizontal="left" vertical="center"/>
      <protection locked="0"/>
    </xf>
    <xf numFmtId="0" fontId="58" fillId="48" borderId="18" xfId="0" applyFont="1" applyFill="1" applyBorder="1" applyAlignment="1" applyProtection="1">
      <alignment horizontal="left" vertical="center" wrapText="1"/>
      <protection locked="0"/>
    </xf>
    <xf numFmtId="0" fontId="64" fillId="48" borderId="18" xfId="0" applyFont="1" applyFill="1" applyBorder="1" applyAlignment="1" applyProtection="1">
      <alignment horizontal="left" vertical="center"/>
      <protection locked="0"/>
    </xf>
    <xf numFmtId="0" fontId="8" fillId="48" borderId="15" xfId="45" applyNumberFormat="1" applyFont="1" applyFill="1" applyBorder="1" applyAlignment="1" applyProtection="1">
      <alignment horizontal="left" vertical="center" wrapText="1"/>
      <protection locked="0"/>
    </xf>
    <xf numFmtId="0" fontId="79" fillId="48" borderId="15" xfId="0" applyFont="1" applyFill="1" applyBorder="1" applyAlignment="1" applyProtection="1">
      <alignment horizontal="left" vertical="center"/>
      <protection locked="0"/>
    </xf>
    <xf numFmtId="0" fontId="72" fillId="48" borderId="15" xfId="0" applyFont="1" applyFill="1" applyBorder="1" applyAlignment="1" applyProtection="1">
      <alignment horizontal="left" vertical="center"/>
      <protection locked="0"/>
    </xf>
    <xf numFmtId="0" fontId="72" fillId="48" borderId="18" xfId="0" applyFont="1" applyFill="1" applyBorder="1" applyAlignment="1" applyProtection="1">
      <alignment horizontal="left" vertical="center"/>
      <protection locked="0"/>
    </xf>
    <xf numFmtId="0" fontId="79" fillId="48" borderId="0" xfId="0" applyFont="1" applyFill="1" applyAlignment="1" applyProtection="1">
      <alignment horizontal="left" vertical="center"/>
      <protection locked="0"/>
    </xf>
    <xf numFmtId="0" fontId="73" fillId="48" borderId="15" xfId="0" applyFont="1" applyFill="1" applyBorder="1" applyAlignment="1" applyProtection="1">
      <alignment horizontal="left" vertical="center"/>
      <protection locked="0"/>
    </xf>
    <xf numFmtId="0" fontId="93" fillId="48" borderId="15" xfId="0" applyFont="1" applyFill="1" applyBorder="1" applyAlignment="1" applyProtection="1">
      <alignment horizontal="left" vertical="center"/>
      <protection locked="0"/>
    </xf>
    <xf numFmtId="0" fontId="68" fillId="0" borderId="15" xfId="0" applyFont="1" applyFill="1" applyBorder="1" applyAlignment="1">
      <alignment horizontal="center" vertical="center" wrapText="1"/>
    </xf>
    <xf numFmtId="0" fontId="64" fillId="0" borderId="15" xfId="0" applyFont="1" applyFill="1" applyBorder="1" applyAlignment="1" applyProtection="1">
      <alignment horizontal="center" vertical="center" wrapText="1"/>
      <protection locked="0"/>
    </xf>
    <xf numFmtId="0" fontId="63" fillId="0" borderId="15" xfId="0" applyFont="1" applyFill="1" applyBorder="1" applyAlignment="1">
      <alignment horizontal="center" vertical="center" wrapText="1"/>
    </xf>
    <xf numFmtId="0" fontId="64" fillId="0" borderId="15" xfId="0" applyFont="1" applyFill="1" applyBorder="1" applyAlignment="1" applyProtection="1">
      <alignment horizontal="left" vertical="center" wrapText="1"/>
      <protection locked="0"/>
    </xf>
    <xf numFmtId="0" fontId="70" fillId="0" borderId="15" xfId="0" applyFont="1" applyFill="1" applyBorder="1" applyAlignment="1" applyProtection="1">
      <alignment horizontal="left" vertical="center" wrapText="1"/>
      <protection locked="0"/>
    </xf>
    <xf numFmtId="0" fontId="64" fillId="0" borderId="18" xfId="0" applyFont="1" applyFill="1" applyBorder="1" applyAlignment="1" applyProtection="1">
      <alignment horizontal="left" vertical="center" wrapText="1"/>
      <protection locked="0"/>
    </xf>
    <xf numFmtId="0" fontId="55" fillId="0" borderId="15" xfId="0" applyFont="1" applyFill="1" applyBorder="1" applyAlignment="1" applyProtection="1">
      <alignment horizontal="center" vertical="center" wrapText="1"/>
      <protection locked="0"/>
    </xf>
    <xf numFmtId="0" fontId="63" fillId="0" borderId="15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 wrapText="1"/>
      <protection locked="0"/>
    </xf>
    <xf numFmtId="0" fontId="52" fillId="0" borderId="15" xfId="0" applyFont="1" applyFill="1" applyBorder="1" applyAlignment="1" applyProtection="1">
      <alignment horizontal="left" vertical="center" wrapText="1"/>
      <protection locked="0"/>
    </xf>
    <xf numFmtId="0" fontId="46" fillId="0" borderId="0" xfId="0" applyFont="1" applyFill="1" applyProtection="1">
      <protection locked="0"/>
    </xf>
    <xf numFmtId="0" fontId="55" fillId="0" borderId="15" xfId="0" applyFont="1" applyFill="1" applyBorder="1" applyAlignment="1">
      <alignment horizontal="center" vertical="center" wrapText="1"/>
    </xf>
    <xf numFmtId="0" fontId="64" fillId="0" borderId="15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>
      <alignment horizontal="center" vertical="center"/>
    </xf>
    <xf numFmtId="14" fontId="0" fillId="0" borderId="15" xfId="0" applyNumberFormat="1" applyFill="1" applyBorder="1" applyAlignment="1" applyProtection="1">
      <alignment horizontal="center"/>
      <protection locked="0"/>
    </xf>
    <xf numFmtId="0" fontId="27" fillId="0" borderId="15" xfId="0" applyFont="1" applyFill="1" applyBorder="1" applyAlignment="1" applyProtection="1">
      <alignment horizontal="center" vertical="center"/>
      <protection locked="0"/>
    </xf>
    <xf numFmtId="49" fontId="27" fillId="0" borderId="15" xfId="0" applyNumberFormat="1" applyFont="1" applyFill="1" applyBorder="1" applyAlignment="1" applyProtection="1">
      <alignment horizontal="left" vertical="center"/>
      <protection locked="0"/>
    </xf>
    <xf numFmtId="0" fontId="27" fillId="0" borderId="15" xfId="0" applyFont="1" applyFill="1" applyBorder="1" applyAlignment="1" applyProtection="1">
      <alignment horizontal="left" vertical="center"/>
      <protection locked="0"/>
    </xf>
    <xf numFmtId="0" fontId="79" fillId="0" borderId="15" xfId="0" applyFont="1" applyFill="1" applyBorder="1" applyAlignment="1" applyProtection="1">
      <alignment horizontal="center" vertical="center"/>
      <protection locked="0"/>
    </xf>
    <xf numFmtId="14" fontId="79" fillId="0" borderId="44" xfId="0" applyNumberFormat="1" applyFont="1" applyFill="1" applyBorder="1" applyAlignment="1" applyProtection="1">
      <alignment vertical="top"/>
      <protection locked="0"/>
    </xf>
    <xf numFmtId="0" fontId="82" fillId="0" borderId="15" xfId="0" applyFont="1" applyFill="1" applyBorder="1" applyAlignment="1" applyProtection="1">
      <alignment horizontal="center" vertical="top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9" fillId="0" borderId="15" xfId="0" applyFont="1" applyFill="1" applyBorder="1" applyAlignment="1" applyProtection="1">
      <alignment horizontal="center" vertical="center"/>
      <protection locked="0"/>
    </xf>
    <xf numFmtId="0" fontId="8" fillId="0" borderId="15" xfId="0" applyFont="1" applyFill="1" applyBorder="1" applyAlignment="1" applyProtection="1">
      <alignment horizontal="center" vertical="center"/>
      <protection locked="0"/>
    </xf>
    <xf numFmtId="0" fontId="46" fillId="0" borderId="15" xfId="0" applyFont="1" applyFill="1" applyBorder="1" applyProtection="1">
      <protection locked="0"/>
    </xf>
    <xf numFmtId="14" fontId="73" fillId="0" borderId="44" xfId="0" applyNumberFormat="1" applyFont="1" applyFill="1" applyBorder="1" applyAlignment="1" applyProtection="1">
      <alignment vertical="top"/>
      <protection locked="0"/>
    </xf>
    <xf numFmtId="0" fontId="74" fillId="0" borderId="15" xfId="0" applyFont="1" applyFill="1" applyBorder="1" applyAlignment="1" applyProtection="1">
      <alignment horizontal="center" vertical="top"/>
      <protection locked="0"/>
    </xf>
    <xf numFmtId="0" fontId="87" fillId="0" borderId="15" xfId="0" applyFont="1" applyFill="1" applyBorder="1" applyAlignment="1" applyProtection="1">
      <alignment horizontal="center" vertical="center"/>
      <protection locked="0"/>
    </xf>
    <xf numFmtId="0" fontId="64" fillId="0" borderId="15" xfId="0" applyFont="1" applyFill="1" applyBorder="1" applyAlignment="1">
      <alignment horizontal="center" vertical="center" wrapText="1"/>
    </xf>
    <xf numFmtId="0" fontId="70" fillId="0" borderId="15" xfId="0" applyFont="1" applyFill="1" applyBorder="1" applyAlignment="1">
      <alignment horizontal="center" vertical="center" wrapText="1"/>
    </xf>
    <xf numFmtId="0" fontId="70" fillId="0" borderId="15" xfId="0" applyFont="1" applyFill="1" applyBorder="1" applyAlignment="1">
      <alignment horizontal="left" vertical="center" wrapText="1"/>
    </xf>
    <xf numFmtId="0" fontId="64" fillId="0" borderId="15" xfId="0" applyFont="1" applyFill="1" applyBorder="1" applyAlignment="1">
      <alignment horizontal="left" vertical="center" wrapText="1"/>
    </xf>
    <xf numFmtId="0" fontId="80" fillId="0" borderId="15" xfId="0" applyFont="1" applyFill="1" applyBorder="1" applyAlignment="1">
      <alignment horizontal="center" vertical="center" wrapText="1"/>
    </xf>
    <xf numFmtId="0" fontId="81" fillId="0" borderId="15" xfId="0" applyFont="1" applyFill="1" applyBorder="1" applyAlignment="1">
      <alignment horizontal="center" vertical="center" wrapText="1"/>
    </xf>
    <xf numFmtId="0" fontId="79" fillId="0" borderId="15" xfId="0" applyFont="1" applyFill="1" applyBorder="1" applyAlignment="1" applyProtection="1">
      <alignment horizontal="left" vertical="center"/>
      <protection locked="0"/>
    </xf>
    <xf numFmtId="0" fontId="28" fillId="0" borderId="15" xfId="0" applyFont="1" applyFill="1" applyBorder="1" applyAlignment="1" applyProtection="1">
      <alignment horizontal="center" vertical="center"/>
      <protection locked="0"/>
    </xf>
    <xf numFmtId="0" fontId="75" fillId="0" borderId="15" xfId="0" applyFont="1" applyFill="1" applyBorder="1" applyAlignment="1">
      <alignment horizontal="center" vertical="center" wrapText="1"/>
    </xf>
    <xf numFmtId="0" fontId="76" fillId="0" borderId="15" xfId="0" applyFont="1" applyFill="1" applyBorder="1" applyAlignment="1">
      <alignment horizontal="center" vertical="center" wrapText="1"/>
    </xf>
    <xf numFmtId="0" fontId="76" fillId="0" borderId="15" xfId="0" applyFont="1" applyFill="1" applyBorder="1" applyAlignment="1">
      <alignment horizontal="left" vertical="center" wrapText="1"/>
    </xf>
    <xf numFmtId="0" fontId="75" fillId="0" borderId="15" xfId="0" applyFont="1" applyFill="1" applyBorder="1" applyAlignment="1">
      <alignment horizontal="left" vertical="center" wrapText="1"/>
    </xf>
    <xf numFmtId="0" fontId="72" fillId="0" borderId="15" xfId="0" applyFont="1" applyFill="1" applyBorder="1" applyAlignment="1" applyProtection="1">
      <alignment horizontal="center" vertical="center"/>
      <protection locked="0"/>
    </xf>
    <xf numFmtId="0" fontId="72" fillId="0" borderId="15" xfId="0" applyFont="1" applyFill="1" applyBorder="1" applyAlignment="1" applyProtection="1">
      <alignment horizontal="left" vertical="center"/>
      <protection locked="0"/>
    </xf>
    <xf numFmtId="0" fontId="73" fillId="0" borderId="15" xfId="0" applyFont="1" applyFill="1" applyBorder="1" applyAlignment="1" applyProtection="1">
      <alignment horizontal="center" vertical="center"/>
      <protection locked="0"/>
    </xf>
    <xf numFmtId="0" fontId="73" fillId="0" borderId="15" xfId="0" applyFont="1" applyFill="1" applyBorder="1" applyAlignment="1" applyProtection="1">
      <alignment horizontal="left" vertical="center"/>
      <protection locked="0"/>
    </xf>
    <xf numFmtId="49" fontId="87" fillId="0" borderId="15" xfId="0" applyNumberFormat="1" applyFont="1" applyFill="1" applyBorder="1" applyAlignment="1" applyProtection="1">
      <alignment horizontal="left" vertical="center"/>
      <protection locked="0"/>
    </xf>
    <xf numFmtId="0" fontId="87" fillId="0" borderId="15" xfId="0" applyFont="1" applyFill="1" applyBorder="1" applyAlignment="1" applyProtection="1">
      <alignment horizontal="left" vertical="center"/>
      <protection locked="0"/>
    </xf>
    <xf numFmtId="14" fontId="73" fillId="0" borderId="44" xfId="0" applyNumberFormat="1" applyFont="1" applyFill="1" applyBorder="1" applyAlignment="1" applyProtection="1">
      <alignment horizontal="center" vertical="center"/>
      <protection locked="0"/>
    </xf>
    <xf numFmtId="0" fontId="15" fillId="0" borderId="15" xfId="0" applyFont="1" applyFill="1" applyBorder="1" applyAlignment="1" applyProtection="1">
      <alignment horizontal="center" vertical="center"/>
      <protection locked="0"/>
    </xf>
    <xf numFmtId="0" fontId="73" fillId="0" borderId="44" xfId="0" applyFont="1" applyFill="1" applyBorder="1" applyAlignment="1" applyProtection="1">
      <alignment horizontal="center" vertical="center"/>
      <protection locked="0"/>
    </xf>
    <xf numFmtId="0" fontId="17" fillId="0" borderId="15" xfId="0" applyFont="1" applyFill="1" applyBorder="1" applyAlignment="1" applyProtection="1">
      <alignment horizontal="center" vertical="top"/>
      <protection locked="0"/>
    </xf>
    <xf numFmtId="0" fontId="90" fillId="0" borderId="15" xfId="0" applyFont="1" applyFill="1" applyBorder="1" applyAlignment="1" applyProtection="1">
      <alignment horizontal="center" vertical="center" wrapText="1"/>
      <protection locked="0"/>
    </xf>
    <xf numFmtId="0" fontId="91" fillId="0" borderId="15" xfId="0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vertical="top"/>
      <protection locked="0"/>
    </xf>
    <xf numFmtId="14" fontId="27" fillId="0" borderId="44" xfId="0" applyNumberFormat="1" applyFont="1" applyFill="1" applyBorder="1" applyAlignment="1" applyProtection="1">
      <alignment vertical="top"/>
      <protection locked="0"/>
    </xf>
    <xf numFmtId="0" fontId="93" fillId="0" borderId="15" xfId="0" applyFont="1" applyFill="1" applyBorder="1" applyAlignment="1">
      <alignment horizontal="center" vertical="center" wrapText="1"/>
    </xf>
    <xf numFmtId="0" fontId="19" fillId="0" borderId="15" xfId="0" applyFont="1" applyFill="1" applyBorder="1" applyAlignment="1" applyProtection="1">
      <alignment horizontal="center" vertical="top"/>
      <protection locked="0"/>
    </xf>
    <xf numFmtId="0" fontId="93" fillId="0" borderId="15" xfId="0" applyFont="1" applyFill="1" applyBorder="1" applyAlignment="1" applyProtection="1">
      <alignment horizontal="left" vertical="center" wrapText="1"/>
      <protection locked="0"/>
    </xf>
    <xf numFmtId="0" fontId="28" fillId="0" borderId="15" xfId="0" applyFont="1" applyFill="1" applyBorder="1" applyAlignment="1" applyProtection="1">
      <alignment horizontal="left" vertical="center"/>
      <protection locked="0"/>
    </xf>
    <xf numFmtId="0" fontId="89" fillId="39" borderId="20" xfId="39" applyNumberFormat="1" applyFont="1" applyFill="1" applyBorder="1" applyAlignment="1" applyProtection="1">
      <alignment horizontal="center" vertical="center" wrapText="1"/>
    </xf>
    <xf numFmtId="0" fontId="6" fillId="0" borderId="15" xfId="0" applyFont="1" applyFill="1" applyBorder="1" applyAlignment="1" applyProtection="1">
      <alignment vertical="top"/>
      <protection locked="0"/>
    </xf>
    <xf numFmtId="49" fontId="5" fillId="0" borderId="15" xfId="0" applyNumberFormat="1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32" xfId="0" applyFont="1" applyFill="1" applyBorder="1" applyAlignment="1">
      <alignment horizontal="center" vertical="center"/>
    </xf>
    <xf numFmtId="14" fontId="0" fillId="0" borderId="32" xfId="0" applyNumberFormat="1" applyFill="1" applyBorder="1" applyAlignment="1" applyProtection="1">
      <alignment horizontal="center"/>
      <protection locked="0"/>
    </xf>
    <xf numFmtId="0" fontId="5" fillId="0" borderId="32" xfId="0" applyFont="1" applyFill="1" applyBorder="1" applyAlignment="1" applyProtection="1">
      <alignment horizontal="center" vertical="center"/>
      <protection locked="0"/>
    </xf>
    <xf numFmtId="49" fontId="5" fillId="0" borderId="32" xfId="0" applyNumberFormat="1" applyFont="1" applyFill="1" applyBorder="1" applyAlignment="1" applyProtection="1">
      <alignment horizontal="left" vertical="center"/>
      <protection locked="0"/>
    </xf>
    <xf numFmtId="0" fontId="5" fillId="0" borderId="32" xfId="0" applyFont="1" applyFill="1" applyBorder="1" applyAlignment="1" applyProtection="1">
      <alignment horizontal="left" vertical="center"/>
      <protection locked="0"/>
    </xf>
    <xf numFmtId="0" fontId="80" fillId="0" borderId="32" xfId="0" applyFont="1" applyFill="1" applyBorder="1" applyAlignment="1">
      <alignment horizontal="center" vertical="center" wrapText="1"/>
    </xf>
    <xf numFmtId="0" fontId="6" fillId="0" borderId="32" xfId="0" applyFont="1" applyFill="1" applyBorder="1" applyAlignment="1" applyProtection="1">
      <alignment vertical="top"/>
      <protection locked="0"/>
    </xf>
    <xf numFmtId="0" fontId="17" fillId="0" borderId="32" xfId="0" applyFont="1" applyFill="1" applyBorder="1" applyAlignment="1" applyProtection="1">
      <alignment horizontal="center" vertical="top"/>
      <protection locked="0"/>
    </xf>
    <xf numFmtId="0" fontId="3" fillId="0" borderId="32" xfId="0" applyFont="1" applyFill="1" applyBorder="1" applyAlignment="1" applyProtection="1">
      <alignment horizontal="center" vertical="center"/>
      <protection locked="0"/>
    </xf>
    <xf numFmtId="0" fontId="9" fillId="0" borderId="32" xfId="0" applyFont="1" applyFill="1" applyBorder="1" applyAlignment="1" applyProtection="1">
      <alignment horizontal="center" vertical="center"/>
      <protection locked="0"/>
    </xf>
    <xf numFmtId="0" fontId="8" fillId="0" borderId="32" xfId="0" applyFont="1" applyFill="1" applyBorder="1" applyAlignment="1" applyProtection="1">
      <alignment horizontal="center" vertical="center"/>
      <protection locked="0"/>
    </xf>
    <xf numFmtId="0" fontId="46" fillId="0" borderId="32" xfId="0" applyFont="1" applyFill="1" applyBorder="1" applyProtection="1">
      <protection locked="0"/>
    </xf>
    <xf numFmtId="0" fontId="100" fillId="0" borderId="32" xfId="0" applyFont="1" applyFill="1" applyBorder="1" applyAlignment="1" applyProtection="1">
      <alignment horizontal="center" vertical="center"/>
      <protection locked="0"/>
    </xf>
    <xf numFmtId="49" fontId="100" fillId="0" borderId="32" xfId="0" applyNumberFormat="1" applyFont="1" applyFill="1" applyBorder="1" applyAlignment="1" applyProtection="1">
      <alignment horizontal="left" vertical="center"/>
      <protection locked="0"/>
    </xf>
    <xf numFmtId="0" fontId="100" fillId="0" borderId="32" xfId="0" applyFont="1" applyFill="1" applyBorder="1" applyAlignment="1" applyProtection="1">
      <alignment horizontal="left" vertical="center"/>
      <protection locked="0"/>
    </xf>
    <xf numFmtId="0" fontId="101" fillId="0" borderId="32" xfId="0" applyFont="1" applyFill="1" applyBorder="1" applyAlignment="1" applyProtection="1">
      <alignment horizontal="center" vertical="center" wrapText="1"/>
      <protection locked="0"/>
    </xf>
    <xf numFmtId="0" fontId="103" fillId="0" borderId="32" xfId="0" applyFont="1" applyFill="1" applyBorder="1" applyAlignment="1" applyProtection="1">
      <alignment vertical="top"/>
      <protection locked="0"/>
    </xf>
    <xf numFmtId="0" fontId="104" fillId="0" borderId="32" xfId="0" applyFont="1" applyFill="1" applyBorder="1" applyAlignment="1" applyProtection="1">
      <alignment horizontal="center" vertical="top"/>
      <protection locked="0"/>
    </xf>
    <xf numFmtId="0" fontId="105" fillId="0" borderId="32" xfId="0" applyFont="1" applyFill="1" applyBorder="1" applyAlignment="1" applyProtection="1">
      <alignment horizontal="center" vertical="center"/>
      <protection locked="0"/>
    </xf>
    <xf numFmtId="0" fontId="106" fillId="0" borderId="32" xfId="0" applyFont="1" applyFill="1" applyBorder="1" applyAlignment="1" applyProtection="1">
      <alignment horizontal="center" vertical="center"/>
      <protection locked="0"/>
    </xf>
    <xf numFmtId="0" fontId="107" fillId="0" borderId="32" xfId="0" applyFont="1" applyFill="1" applyBorder="1" applyProtection="1">
      <protection locked="0"/>
    </xf>
    <xf numFmtId="0" fontId="80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32" xfId="0" applyFont="1" applyFill="1" applyBorder="1" applyAlignment="1" applyProtection="1">
      <alignment horizontal="center" vertical="center"/>
      <protection locked="0"/>
    </xf>
    <xf numFmtId="0" fontId="67" fillId="36" borderId="45" xfId="0" applyFont="1" applyFill="1" applyBorder="1" applyAlignment="1" applyProtection="1">
      <alignment horizontal="center" vertical="center" wrapText="1"/>
      <protection locked="0"/>
    </xf>
    <xf numFmtId="0" fontId="67" fillId="36" borderId="46" xfId="0" applyFont="1" applyFill="1" applyBorder="1" applyAlignment="1" applyProtection="1">
      <alignment horizontal="center" vertical="center" wrapText="1"/>
      <protection locked="0"/>
    </xf>
    <xf numFmtId="0" fontId="67" fillId="36" borderId="47" xfId="0" applyFont="1" applyFill="1" applyBorder="1" applyAlignment="1" applyProtection="1">
      <alignment horizontal="center" vertical="center" wrapText="1"/>
      <protection locked="0"/>
    </xf>
    <xf numFmtId="0" fontId="67" fillId="36" borderId="48" xfId="0" applyFont="1" applyFill="1" applyBorder="1" applyAlignment="1" applyProtection="1">
      <alignment horizontal="center" vertical="center" wrapText="1"/>
      <protection locked="0"/>
    </xf>
    <xf numFmtId="0" fontId="67" fillId="36" borderId="16" xfId="0" applyFont="1" applyFill="1" applyBorder="1" applyAlignment="1" applyProtection="1">
      <alignment horizontal="center" vertical="center" wrapText="1"/>
      <protection locked="0"/>
    </xf>
    <xf numFmtId="0" fontId="67" fillId="36" borderId="49" xfId="0" applyFont="1" applyFill="1" applyBorder="1" applyAlignment="1" applyProtection="1">
      <alignment horizontal="center" vertical="center" wrapText="1"/>
      <protection locked="0"/>
    </xf>
    <xf numFmtId="0" fontId="83" fillId="53" borderId="50" xfId="0" applyFont="1" applyFill="1" applyBorder="1" applyAlignment="1" applyProtection="1">
      <alignment horizontal="center" vertical="center" shrinkToFit="1"/>
      <protection locked="0"/>
    </xf>
    <xf numFmtId="0" fontId="83" fillId="53" borderId="51" xfId="0" applyFont="1" applyFill="1" applyBorder="1" applyAlignment="1" applyProtection="1">
      <alignment horizontal="center" vertical="center" shrinkToFit="1"/>
      <protection locked="0"/>
    </xf>
    <xf numFmtId="0" fontId="10" fillId="54" borderId="46" xfId="0" applyFont="1" applyFill="1" applyBorder="1" applyAlignment="1" applyProtection="1">
      <alignment horizontal="center" vertical="center" wrapText="1"/>
      <protection locked="0"/>
    </xf>
    <xf numFmtId="0" fontId="10" fillId="54" borderId="53" xfId="0" applyFont="1" applyFill="1" applyBorder="1" applyAlignment="1" applyProtection="1">
      <alignment horizontal="center" vertical="center" wrapText="1"/>
      <protection locked="0"/>
    </xf>
    <xf numFmtId="0" fontId="10" fillId="54" borderId="55" xfId="0" applyFont="1" applyFill="1" applyBorder="1" applyAlignment="1" applyProtection="1">
      <alignment horizontal="center" vertical="center" wrapText="1"/>
      <protection locked="0"/>
    </xf>
    <xf numFmtId="0" fontId="10" fillId="54" borderId="56" xfId="0" applyFont="1" applyFill="1" applyBorder="1" applyAlignment="1" applyProtection="1">
      <alignment horizontal="center" vertical="center" wrapText="1"/>
      <protection locked="0"/>
    </xf>
    <xf numFmtId="0" fontId="12" fillId="55" borderId="52" xfId="0" applyFont="1" applyFill="1" applyBorder="1" applyAlignment="1" applyProtection="1">
      <alignment horizontal="center" vertical="center" wrapText="1"/>
      <protection locked="0"/>
    </xf>
    <xf numFmtId="0" fontId="12" fillId="55" borderId="46" xfId="0" applyFont="1" applyFill="1" applyBorder="1" applyAlignment="1" applyProtection="1">
      <alignment horizontal="center" vertical="center" wrapText="1"/>
      <protection locked="0"/>
    </xf>
    <xf numFmtId="0" fontId="12" fillId="55" borderId="53" xfId="0" applyFont="1" applyFill="1" applyBorder="1" applyAlignment="1" applyProtection="1">
      <alignment horizontal="center" vertical="center" wrapText="1"/>
      <protection locked="0"/>
    </xf>
    <xf numFmtId="0" fontId="12" fillId="55" borderId="54" xfId="0" applyFont="1" applyFill="1" applyBorder="1" applyAlignment="1" applyProtection="1">
      <alignment horizontal="center" vertical="center" wrapText="1"/>
      <protection locked="0"/>
    </xf>
    <xf numFmtId="0" fontId="12" fillId="55" borderId="55" xfId="0" applyFont="1" applyFill="1" applyBorder="1" applyAlignment="1" applyProtection="1">
      <alignment horizontal="center" vertical="center" wrapText="1"/>
      <protection locked="0"/>
    </xf>
    <xf numFmtId="0" fontId="12" fillId="55" borderId="56" xfId="0" applyFont="1" applyFill="1" applyBorder="1" applyAlignment="1" applyProtection="1">
      <alignment horizontal="center" vertical="center" wrapText="1"/>
      <protection locked="0"/>
    </xf>
    <xf numFmtId="0" fontId="83" fillId="53" borderId="52" xfId="0" applyFont="1" applyFill="1" applyBorder="1" applyAlignment="1" applyProtection="1">
      <alignment horizontal="center" vertical="center" shrinkToFit="1"/>
      <protection locked="0"/>
    </xf>
    <xf numFmtId="0" fontId="83" fillId="53" borderId="53" xfId="0" applyFont="1" applyFill="1" applyBorder="1" applyAlignment="1" applyProtection="1">
      <alignment horizontal="center" vertical="center" shrinkToFit="1"/>
      <protection locked="0"/>
    </xf>
    <xf numFmtId="0" fontId="83" fillId="53" borderId="54" xfId="0" applyFont="1" applyFill="1" applyBorder="1" applyAlignment="1" applyProtection="1">
      <alignment horizontal="center" vertical="center" shrinkToFit="1"/>
      <protection locked="0"/>
    </xf>
    <xf numFmtId="0" fontId="83" fillId="53" borderId="56" xfId="0" applyFont="1" applyFill="1" applyBorder="1" applyAlignment="1" applyProtection="1">
      <alignment horizontal="center" vertical="center" shrinkToFit="1"/>
      <protection locked="0"/>
    </xf>
    <xf numFmtId="0" fontId="15" fillId="0" borderId="52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67" fillId="36" borderId="57" xfId="0" applyFont="1" applyFill="1" applyBorder="1" applyAlignment="1" applyProtection="1">
      <alignment horizontal="center" vertical="center" wrapText="1"/>
      <protection locked="0"/>
    </xf>
    <xf numFmtId="0" fontId="67" fillId="36" borderId="58" xfId="0" applyFont="1" applyFill="1" applyBorder="1" applyAlignment="1" applyProtection="1">
      <alignment horizontal="center" vertical="center" wrapText="1"/>
      <protection locked="0"/>
    </xf>
  </cellXfs>
  <cellStyles count="62">
    <cellStyle name="20% — akcent 1" xfId="1" builtinId="30" customBuiltin="1"/>
    <cellStyle name="20% — akcent 2" xfId="2" builtinId="34" customBuiltin="1"/>
    <cellStyle name="20% — akcent 3" xfId="3" builtinId="38" customBuiltin="1"/>
    <cellStyle name="20% — akcent 4" xfId="4" builtinId="42" customBuiltin="1"/>
    <cellStyle name="20% — akcent 5" xfId="5" builtinId="46" customBuiltin="1"/>
    <cellStyle name="20% — akcent 6" xfId="6" builtinId="50" customBuiltin="1"/>
    <cellStyle name="40% — akcent 1" xfId="7" builtinId="31" customBuiltin="1"/>
    <cellStyle name="40% — akcent 2" xfId="8" builtinId="35" customBuiltin="1"/>
    <cellStyle name="40% — akcent 3" xfId="9" builtinId="39" customBuiltin="1"/>
    <cellStyle name="40% — akcent 4" xfId="10" builtinId="43" customBuiltin="1"/>
    <cellStyle name="40% — akcent 5" xfId="11" builtinId="47" customBuiltin="1"/>
    <cellStyle name="40% — akcent 6" xfId="12" builtinId="51" customBuiltin="1"/>
    <cellStyle name="60% — akcent 1" xfId="13" builtinId="32" customBuiltin="1"/>
    <cellStyle name="60% — akcent 2" xfId="14" builtinId="36" customBuiltin="1"/>
    <cellStyle name="60% — akcent 3" xfId="15" builtinId="40" customBuiltin="1"/>
    <cellStyle name="60% — akcent 4" xfId="16" builtinId="44" customBuiltin="1"/>
    <cellStyle name="60% — akcent 5" xfId="17" builtinId="48" customBuiltin="1"/>
    <cellStyle name="60% —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y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y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y" xfId="61" builtinId="27" customBuiltin="1"/>
  </cellStyles>
  <dxfs count="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Arial"/>
        <scheme val="none"/>
      </font>
      <numFmt numFmtId="0" formatCode="General"/>
      <fill>
        <patternFill patternType="solid">
          <fgColor indexed="64"/>
          <bgColor rgb="FFF0EA00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scheme val="none"/>
      </font>
      <fill>
        <patternFill patternType="solid">
          <fgColor indexed="64"/>
          <bgColor rgb="FFFFFF66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Verdana"/>
        <scheme val="none"/>
      </font>
      <fill>
        <patternFill patternType="solid">
          <fgColor indexed="64"/>
          <bgColor rgb="FFFF66CC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Verdan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Verdan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Verdan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rgb="FF008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rgb="FF008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rgb="FF008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168275</xdr:colOff>
      <xdr:row>1</xdr:row>
      <xdr:rowOff>114300</xdr:rowOff>
    </xdr:from>
    <xdr:to>
      <xdr:col>21</xdr:col>
      <xdr:colOff>339725</xdr:colOff>
      <xdr:row>27</xdr:row>
      <xdr:rowOff>57104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936626</xdr:colOff>
      <xdr:row>8</xdr:row>
      <xdr:rowOff>76200</xdr:rowOff>
    </xdr:from>
    <xdr:ext cx="6202097" cy="3485973"/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1" name="Tabela1" displayName="Tabela1" ref="A5:AZ609" totalsRowShown="0" tableBorderDxfId="52">
  <autoFilter ref="A5:AZ609"/>
  <tableColumns count="52">
    <tableColumn id="1" name="Lp" dataDxfId="51"/>
    <tableColumn id="2" name="Data wpisania_x000a_dd-mm-yyyy" dataDxfId="50"/>
    <tableColumn id="3" name=".PDF" dataDxfId="49" dataCellStyle="Hiperłącze"/>
    <tableColumn id="4" name=".DXF" dataDxfId="48" dataCellStyle="Hiperłącze"/>
    <tableColumn id="5" name=".STEP" dataDxfId="47" dataCellStyle="Hiperłącze"/>
    <tableColumn id="6" name="Konstruktor" dataDxfId="46"/>
    <tableColumn id="7" name="ID. Części" dataDxfId="45"/>
    <tableColumn id="8" name="Rewizja" dataDxfId="44"/>
    <tableColumn id="9" name="Opis" dataDxfId="43"/>
    <tableColumn id="10" name="Nr. Części " dataDxfId="42"/>
    <tableColumn id="11" name="Nr. Kat." dataDxfId="41"/>
    <tableColumn id="12" name="Materiał" dataDxfId="40"/>
    <tableColumn id="13" name="Obróbka" dataDxfId="39"/>
    <tableColumn id="14" name="Obróbka cieplna" dataDxfId="38"/>
    <tableColumn id="15" name="Powłoka" dataDxfId="37"/>
    <tableColumn id="16" name="Komentarz" dataDxfId="36"/>
    <tableColumn id="17" name="Uwagi:" dataDxfId="35"/>
    <tableColumn id="18" name="1704 - Drzwi serwisowe" dataDxfId="34"/>
    <tableColumn id="19" name="000 - Elementy Wspólne" dataDxfId="33"/>
    <tableColumn id="20" name="3" dataDxfId="32"/>
    <tableColumn id="21" name="400-Narzędzie Ecrafter tył" dataDxfId="31"/>
    <tableColumn id="22" name="200 - Podmontaż styków" dataDxfId="30"/>
    <tableColumn id="23" name="600-Pomiar momentu" dataDxfId="29"/>
    <tableColumn id="24" name="7" dataDxfId="28"/>
    <tableColumn id="25" name="8" dataDxfId="27"/>
    <tableColumn id="26" name="900 - Podmontaż dźwigni" dataDxfId="26"/>
    <tableColumn id="27" name="10" dataDxfId="25"/>
    <tableColumn id="28" name="000 - Elementy Wspólne2" dataDxfId="24"/>
    <tableColumn id="29" name="100 - Podmontaż Dźwigni" dataDxfId="23"/>
    <tableColumn id="30" name="200 - Podmontaż wspornika" dataDxfId="22"/>
    <tableColumn id="31" name="300 - Podmontaż mikrostyków" dataDxfId="21"/>
    <tableColumn id="32" name="400 - Modernizacja Narzędzia ID BUZ na ID BUZ NAR" dataDxfId="20"/>
    <tableColumn id="33" name="500 - Modernizacja Chwytaków ID BUZ na ID BUZ NAR" dataDxfId="19"/>
    <tableColumn id="34" name="17" dataDxfId="18"/>
    <tableColumn id="35" name="18" dataDxfId="17"/>
    <tableColumn id="36" name="19" dataDxfId="16"/>
    <tableColumn id="37" name="20" dataDxfId="15"/>
    <tableColumn id="38" name="ilość sztuk_x000a_SUMA" dataDxfId="14" dataCellStyle="Dobry">
      <calculatedColumnFormula>SUM(R6:AK6)</calculatedColumnFormula>
    </tableColumn>
    <tableColumn id="39" name="MAGAZYN" dataDxfId="13" dataCellStyle="Dobry">
      <calculatedColumnFormula>0</calculatedColumnFormula>
    </tableColumn>
    <tableColumn id="40" name="Do Zamówienia" dataDxfId="12" dataCellStyle="Dobry">
      <calculatedColumnFormula>AL6-AM6</calculatedColumnFormula>
    </tableColumn>
    <tableColumn id="41" name="Data zamówienia:_x000a_yyyy-mm-dd" dataDxfId="11"/>
    <tableColumn id="42" name="Osoba kupująca" dataDxfId="10"/>
    <tableColumn id="43" name="Numer zamówienia" dataDxfId="9"/>
    <tableColumn id="44" name="DOSTAWCA" dataDxfId="8"/>
    <tableColumn id="45" name="Wymagana data dostawy _x000a_" dataDxfId="7"/>
    <tableColumn id="46" name="Uwagi do zamówienia" dataDxfId="6"/>
    <tableColumn id="47" name="Ilość dostarczona" dataDxfId="5"/>
    <tableColumn id="48" name="Braki" dataDxfId="4"/>
    <tableColumn id="49" name="Uwagi" dataDxfId="3"/>
    <tableColumn id="50" name="Data inspekcji" dataDxfId="2"/>
    <tableColumn id="51" name="Uwagi Inspektora" dataDxfId="1"/>
    <tableColumn id="52" name="Notatki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hyperlink" Target="5%20-%20RYSUNKI/000.MAG.22.M5-B.PDF" TargetMode="External"/><Relationship Id="rId21" Type="http://schemas.openxmlformats.org/officeDocument/2006/relationships/hyperlink" Target="5%20-%20RYSUNKI/2011-400-PRT-A0068851-A-P&#322;yta%20dolna.STEP" TargetMode="External"/><Relationship Id="rId170" Type="http://schemas.openxmlformats.org/officeDocument/2006/relationships/hyperlink" Target="5%20-%20RYSUNKI/2011-200-PRT-A0070378-A-P&#322;ytka%20adaptera.DXF" TargetMode="External"/><Relationship Id="rId268" Type="http://schemas.openxmlformats.org/officeDocument/2006/relationships/hyperlink" Target="5%20-%20RYSUNKI/2011-200-PRT-A0070407-A-Os&#322;onka%20boczna.PDF" TargetMode="External"/><Relationship Id="rId475" Type="http://schemas.openxmlformats.org/officeDocument/2006/relationships/hyperlink" Target="5%20-%20RYSUNKI/2011-200-PRT-A0071168-A-Prowadnica.STEP" TargetMode="External"/><Relationship Id="rId682" Type="http://schemas.openxmlformats.org/officeDocument/2006/relationships/hyperlink" Target="5%20-%20RYSUNKI/2011-600-PRT-A0070129-A-Korpus.STEP" TargetMode="External"/><Relationship Id="rId128" Type="http://schemas.openxmlformats.org/officeDocument/2006/relationships/hyperlink" Target="5%20-%20RYSUNKI/000.MAG.50%20-%20M5%20x30.DXF" TargetMode="External"/><Relationship Id="rId335" Type="http://schemas.openxmlformats.org/officeDocument/2006/relationships/hyperlink" Target="5%20-%20RYSUNKI/2011-400-PRT-A0068775-A-Gniazdo%20spr&#281;&#380;yny%20lewej.PDF" TargetMode="External"/><Relationship Id="rId542" Type="http://schemas.openxmlformats.org/officeDocument/2006/relationships/hyperlink" Target="5%20-%20RYSUNKI/2011-600-PRT-A0070487-A-Podpora%20&#347;rodkowa.PDF" TargetMode="External"/><Relationship Id="rId987" Type="http://schemas.openxmlformats.org/officeDocument/2006/relationships/hyperlink" Target="5%20-%20RYSUNKI/2011-992-PRT-A0073444-A-Gniazdo%20D&#378;wigni%20eCrafter%20Przesuwny%20LH.STEP" TargetMode="External"/><Relationship Id="rId1172" Type="http://schemas.openxmlformats.org/officeDocument/2006/relationships/hyperlink" Target="5%20-%20RYSUNKI/2013-100-PRT-A0073215-A-Rynna%20prowadnika.STEP" TargetMode="External"/><Relationship Id="rId402" Type="http://schemas.openxmlformats.org/officeDocument/2006/relationships/hyperlink" Target="5%20-%20RYSUNKI/2011-400-PRT-A0068797-A-Gniazdo%203.DXF" TargetMode="External"/><Relationship Id="rId847" Type="http://schemas.openxmlformats.org/officeDocument/2006/relationships/hyperlink" Target="5%20-%20RYSUNKI/2011-901-PRT-A0068941-A-P&#322;ytka%20mocowania%20si&#322;ownika.PDF" TargetMode="External"/><Relationship Id="rId1032" Type="http://schemas.openxmlformats.org/officeDocument/2006/relationships/hyperlink" Target="5%20-%20RYSUNKI/2011-990-PRT-A0072868-A-Przek&#322;adka.STEP" TargetMode="External"/><Relationship Id="rId1477" Type="http://schemas.openxmlformats.org/officeDocument/2006/relationships/hyperlink" Target="5%20-%20RYSUNKI/2013-200-PRT-A0072031-A-Dr&#261;&#380;ek.DXF" TargetMode="External"/><Relationship Id="rId1684" Type="http://schemas.openxmlformats.org/officeDocument/2006/relationships/hyperlink" Target="5%20-%20RYSUNKI/1927-804-PRT-A0062007-B-Os&#322;ona.STEP" TargetMode="External"/><Relationship Id="rId707" Type="http://schemas.openxmlformats.org/officeDocument/2006/relationships/hyperlink" Target="5%20-%20RYSUNKI/2011-600-PRT-A0070576-A-Odwa&#380;nik%20ty&#322;.PDF" TargetMode="External"/><Relationship Id="rId914" Type="http://schemas.openxmlformats.org/officeDocument/2006/relationships/hyperlink" Target="5%20-%20RYSUNKI/2011-990-PRT-A0072870-A-Mocowanie%20si&#322;ownika.DXF" TargetMode="External"/><Relationship Id="rId1337" Type="http://schemas.openxmlformats.org/officeDocument/2006/relationships/hyperlink" Target="5%20-%20RYSUNKI/2013-200-PRT-A0073192-A-K&#261;townik.PDF" TargetMode="External"/><Relationship Id="rId1544" Type="http://schemas.openxmlformats.org/officeDocument/2006/relationships/hyperlink" Target="5%20-%20RYSUNKI/1704-10-PRT-A0075877-A-Os&#322;ona%20ta&#347;my%20transportujacej.DXF" TargetMode="External"/><Relationship Id="rId43" Type="http://schemas.openxmlformats.org/officeDocument/2006/relationships/hyperlink" Target="5%20-%20RYSUNKI/2011-400-PRT-A0068842-A-Mocowanie%20wypychacza.PDF" TargetMode="External"/><Relationship Id="rId1404" Type="http://schemas.openxmlformats.org/officeDocument/2006/relationships/hyperlink" Target="5%20-%20RYSUNKI/2013-200-PRT-A0072992-A-Kostka%20bazuj&#261;ca.STEP" TargetMode="External"/><Relationship Id="rId1611" Type="http://schemas.openxmlformats.org/officeDocument/2006/relationships/hyperlink" Target="5%20-%20RYSUNKI/2011-200-PRT-A0073041-A-Os&#322;ona%20ty&#322;.DXF" TargetMode="External"/><Relationship Id="rId192" Type="http://schemas.openxmlformats.org/officeDocument/2006/relationships/hyperlink" Target="5%20-%20RYSUNKI/2011-200-PRT-A0069917-A-Zastrza&#322;%20osi%20Z.STEP" TargetMode="External"/><Relationship Id="rId497" Type="http://schemas.openxmlformats.org/officeDocument/2006/relationships/hyperlink" Target="5%20-%20RYSUNKI/2011-200-PRT-A0070616-A-Support%20uchwytu.PDF" TargetMode="External"/><Relationship Id="rId357" Type="http://schemas.openxmlformats.org/officeDocument/2006/relationships/hyperlink" Target="5%20-%20RYSUNKI/2011-400-PRT-A0068804-A-Sprz&#281;g&#322;o.DXF" TargetMode="External"/><Relationship Id="rId1194" Type="http://schemas.openxmlformats.org/officeDocument/2006/relationships/hyperlink" Target="5%20-%20RYSUNKI/2013-100-PRT-A0073543-A-&#321;&#261;cznik%20sprz&#281;g&#322;a.STEP" TargetMode="External"/><Relationship Id="rId217" Type="http://schemas.openxmlformats.org/officeDocument/2006/relationships/hyperlink" Target="5%20-%20RYSUNKI/2011-200-PRT-A0070368-A-Klin.PDF" TargetMode="External"/><Relationship Id="rId564" Type="http://schemas.openxmlformats.org/officeDocument/2006/relationships/hyperlink" Target="5%20-%20RYSUNKI/2011-600-PRT-A0070090-A-Wspornik%20si&#322;ownika.DXF" TargetMode="External"/><Relationship Id="rId771" Type="http://schemas.openxmlformats.org/officeDocument/2006/relationships/hyperlink" Target="5%20-%20RYSUNKI/2011-992-PRT-A0072854-Lustro-A-Gniazdo%20D&#378;wigni%20eCrafter%20Przesuwny%20RH.STEP" TargetMode="External"/><Relationship Id="rId869" Type="http://schemas.openxmlformats.org/officeDocument/2006/relationships/hyperlink" Target="5%20-%20RYSUNKI/2011-903-PRT-A0072937-A-Mocowanie%20zderzak&#243;w.DXF" TargetMode="External"/><Relationship Id="rId1499" Type="http://schemas.openxmlformats.org/officeDocument/2006/relationships/hyperlink" Target="5%20-%20RYSUNKI/2013-200-PRT-A0072654-A-Dystans%20blokady.DXF" TargetMode="External"/><Relationship Id="rId424" Type="http://schemas.openxmlformats.org/officeDocument/2006/relationships/hyperlink" Target="5%20-%20RYSUNKI/2011-200-PRT-A0070650-B-P&#322;yta%20monta&#380;owa.STEP" TargetMode="External"/><Relationship Id="rId631" Type="http://schemas.openxmlformats.org/officeDocument/2006/relationships/hyperlink" Target="5%20-%20RYSUNKI/2011-600-PRT-A0070099-A-Wspornik%20pin&#243;w%202.STEP" TargetMode="External"/><Relationship Id="rId729" Type="http://schemas.openxmlformats.org/officeDocument/2006/relationships/hyperlink" Target="5%20-%20RYSUNKI/2011-901-PRT-A0068945-A-Tuleja%20popychacza.DXF" TargetMode="External"/><Relationship Id="rId1054" Type="http://schemas.openxmlformats.org/officeDocument/2006/relationships/hyperlink" Target="5%20-%20RYSUNKI/2011-904-PRT-A0070444-B-Mocowanie%20prowadnika.PDF" TargetMode="External"/><Relationship Id="rId1261" Type="http://schemas.openxmlformats.org/officeDocument/2006/relationships/hyperlink" Target="5%20-%20RYSUNKI/2013-100-PRT-A0072678-A-P&#322;ytka%20dojazdu%20spr&#281;&#380;yny.DXF" TargetMode="External"/><Relationship Id="rId1359" Type="http://schemas.openxmlformats.org/officeDocument/2006/relationships/hyperlink" Target="5%20-%20RYSUNKI/2013-200-PRT-A0072953-A-P&#322;ytka.DXF" TargetMode="External"/><Relationship Id="rId936" Type="http://schemas.openxmlformats.org/officeDocument/2006/relationships/hyperlink" Target="5%20-%20RYSUNKI/2011-903-PRT-A0072928-B-Szcz&#281;ka.STEP" TargetMode="External"/><Relationship Id="rId1121" Type="http://schemas.openxmlformats.org/officeDocument/2006/relationships/hyperlink" Target="5%20-%20RYSUNKI/2011-600-PRT-A0073465-A-Os&#322;ona.STEP" TargetMode="External"/><Relationship Id="rId1219" Type="http://schemas.openxmlformats.org/officeDocument/2006/relationships/hyperlink" Target="5%20-%20RYSUNKI/2013-100-PRT-A0073982-A-P&#322;ytka%20dyszy.STEP" TargetMode="External"/><Relationship Id="rId1566" Type="http://schemas.openxmlformats.org/officeDocument/2006/relationships/hyperlink" Target="5%20-%20RYSUNKI/2011-200-PRT-A0070511-A-Blat%20stanowiska.STEP" TargetMode="External"/><Relationship Id="rId65" Type="http://schemas.openxmlformats.org/officeDocument/2006/relationships/hyperlink" Target="5%20-%20RYSUNKI/2011-400-PRT-A0068853-A-Nakr&#281;tka%202.DXF" TargetMode="External"/><Relationship Id="rId1426" Type="http://schemas.openxmlformats.org/officeDocument/2006/relationships/hyperlink" Target="5%20-%20RYSUNKI/2013-200-PRT-A0072982-A-Podpora%20&#347;rodkowa.PDF" TargetMode="External"/><Relationship Id="rId1633" Type="http://schemas.openxmlformats.org/officeDocument/2006/relationships/hyperlink" Target="5%20-%20RYSUNKI/2011-200-PRT-A0073023-A-Dach.STEP" TargetMode="External"/><Relationship Id="rId281" Type="http://schemas.openxmlformats.org/officeDocument/2006/relationships/hyperlink" Target="5%20-%20RYSUNKI/2011-200-PRT-A0069909-A-&#379;ebro.PDF" TargetMode="External"/><Relationship Id="rId141" Type="http://schemas.openxmlformats.org/officeDocument/2006/relationships/hyperlink" Target="5%20-%20RYSUNKI/2011-200-PRT-A0069927-A-Blaszka%20prowadnika%20poziomego%20sta&#322;a.STEP" TargetMode="External"/><Relationship Id="rId379" Type="http://schemas.openxmlformats.org/officeDocument/2006/relationships/hyperlink" Target="5%20-%20RYSUNKI/2011-400-PRT-A0069205-A-Gniazdo%208.STEP" TargetMode="External"/><Relationship Id="rId586" Type="http://schemas.openxmlformats.org/officeDocument/2006/relationships/hyperlink" Target="5%20-%20RYSUNKI/2011-600-PRT-A0070542-A-Wspornik%20si&#322;ownika%201.STEP" TargetMode="External"/><Relationship Id="rId793" Type="http://schemas.openxmlformats.org/officeDocument/2006/relationships/hyperlink" Target="5%20-%20RYSUNKI/2011-990-PRT-A0072863-B-Mocowanie%20szyny.PDF" TargetMode="External"/><Relationship Id="rId7" Type="http://schemas.openxmlformats.org/officeDocument/2006/relationships/hyperlink" Target="5%20-%20RYSUNKI/1704-01-PRT-A0065974-A-Os&#322;ona%202.PDF" TargetMode="External"/><Relationship Id="rId239" Type="http://schemas.openxmlformats.org/officeDocument/2006/relationships/hyperlink" Target="5%20-%20RYSUNKI/2011-200-PRT-A0069924-A-Kosteczka%20oporowa.DXF" TargetMode="External"/><Relationship Id="rId446" Type="http://schemas.openxmlformats.org/officeDocument/2006/relationships/hyperlink" Target="5%20-%20RYSUNKI/2011-200-PRT-A0070665-A-P&#322;yta%20montazowa.PDF" TargetMode="External"/><Relationship Id="rId653" Type="http://schemas.openxmlformats.org/officeDocument/2006/relationships/hyperlink" Target="5%20-%20RYSUNKI/2011-600-PRT-A0071263-A-Dok&#322;adka%20PL.PDF" TargetMode="External"/><Relationship Id="rId1076" Type="http://schemas.openxmlformats.org/officeDocument/2006/relationships/hyperlink" Target="5%20-%20RYSUNKI/000.MAG.90.07-B.DXF" TargetMode="External"/><Relationship Id="rId1283" Type="http://schemas.openxmlformats.org/officeDocument/2006/relationships/hyperlink" Target="5%20-%20RYSUNKI/2013-100-PRT-A0069075-A-Rami&#281;%20wbijania.PDF" TargetMode="External"/><Relationship Id="rId1490" Type="http://schemas.openxmlformats.org/officeDocument/2006/relationships/hyperlink" Target="5%20-%20RYSUNKI/2011-200-PRT-A0070022-B-Uchwyt%20gniazda.DXF" TargetMode="External"/><Relationship Id="rId306" Type="http://schemas.openxmlformats.org/officeDocument/2006/relationships/hyperlink" Target="5%20-%20RYSUNKI/2011-400-PRT-A0068871-A-Oprawa%20d&#378;wigni%20prawa.DXF" TargetMode="External"/><Relationship Id="rId860" Type="http://schemas.openxmlformats.org/officeDocument/2006/relationships/hyperlink" Target="5%20-%20RYSUNKI/2011-903-PRT-A0072940-B-Podk&#322;adka.DXF" TargetMode="External"/><Relationship Id="rId958" Type="http://schemas.openxmlformats.org/officeDocument/2006/relationships/hyperlink" Target="5%20-%20RYSUNKI/2011-990-PRT-A0072865-A-Kostka%20podporowa.PDF" TargetMode="External"/><Relationship Id="rId1143" Type="http://schemas.openxmlformats.org/officeDocument/2006/relationships/hyperlink" Target="5%20-%20RYSUNKI/2011-600-PRT-A0073500-A-Os&#322;ona.PDF" TargetMode="External"/><Relationship Id="rId1588" Type="http://schemas.openxmlformats.org/officeDocument/2006/relationships/hyperlink" Target="5%20-%20RYSUNKI/2011-200-PRT-A0072710-A-Wspornik%20przycisku%20START.PDF" TargetMode="External"/><Relationship Id="rId87" Type="http://schemas.openxmlformats.org/officeDocument/2006/relationships/hyperlink" Target="5%20-%20RYSUNKI/2011-400-PRT-A0068784-A-P&#322;ytka%20dolna.STEP" TargetMode="External"/><Relationship Id="rId513" Type="http://schemas.openxmlformats.org/officeDocument/2006/relationships/hyperlink" Target="5%20-%20RYSUNKI/2011-600-PRT-A0070119-A-Wspornik%20p&#322;yty%20prowadnic.DXF" TargetMode="External"/><Relationship Id="rId720" Type="http://schemas.openxmlformats.org/officeDocument/2006/relationships/hyperlink" Target="5%20-%20RYSUNKI/2011-600-PRT-A0070124-A-Mocowanie%20czujnik&#243;w.DXF" TargetMode="External"/><Relationship Id="rId818" Type="http://schemas.openxmlformats.org/officeDocument/2006/relationships/hyperlink" Target="5%20-%20RYSUNKI/2011-900-PRT-A0070031-A-P&#322;yta%20narz&#281;dzia.DXF" TargetMode="External"/><Relationship Id="rId1350" Type="http://schemas.openxmlformats.org/officeDocument/2006/relationships/hyperlink" Target="5%20-%20RYSUNKI/2013-200-PRT-A0072978-A-P&#322;ytka%20narz&#281;dzia%20wst&#281;pnego.DXF" TargetMode="External"/><Relationship Id="rId1448" Type="http://schemas.openxmlformats.org/officeDocument/2006/relationships/hyperlink" Target="5%20-%20RYSUNKI/2013-200-PRT-A0070422-A-Gniazdo%20spr&#281;&#380;yny%20cz1.DXF" TargetMode="External"/><Relationship Id="rId1655" Type="http://schemas.openxmlformats.org/officeDocument/2006/relationships/hyperlink" Target="5%20-%20RYSUNKI/2013-600-PRT-A0075977-B-Os&#322;ona%20kurtyny.PDF" TargetMode="External"/><Relationship Id="rId1003" Type="http://schemas.openxmlformats.org/officeDocument/2006/relationships/hyperlink" Target="5%20-%20RYSUNKI/2011-903-PRT-A0072924-A-Blokada%20spr&#281;&#380;ynki.PDF" TargetMode="External"/><Relationship Id="rId1210" Type="http://schemas.openxmlformats.org/officeDocument/2006/relationships/hyperlink" Target="5%20-%20RYSUNKI/2013-100-PRT-A0072950-A-&#379;ebro%20docisku.STEP" TargetMode="External"/><Relationship Id="rId1308" Type="http://schemas.openxmlformats.org/officeDocument/2006/relationships/hyperlink" Target="5%20-%20RYSUNKI/2013-100-PRT-A0069084-A-Mocowanie%20si&#322;ownika.DXF" TargetMode="External"/><Relationship Id="rId1515" Type="http://schemas.openxmlformats.org/officeDocument/2006/relationships/hyperlink" Target="5%20-%20RYSUNKI/2013-200-PRT-A0072663-A-Oprawa%20&#322;o&#380;ysk.STEP" TargetMode="External"/><Relationship Id="rId14" Type="http://schemas.openxmlformats.org/officeDocument/2006/relationships/hyperlink" Target="5%20-%20RYSUNKI/2011-600-PRT-A0071433-A-P&#322;ytka%20&#322;&#261;cz&#261;ca.DXF" TargetMode="External"/><Relationship Id="rId163" Type="http://schemas.openxmlformats.org/officeDocument/2006/relationships/hyperlink" Target="5%20-%20RYSUNKI/2011-200-PRT-A0069975-A-Gniazdo%20LH%20cz1.PDF" TargetMode="External"/><Relationship Id="rId370" Type="http://schemas.openxmlformats.org/officeDocument/2006/relationships/hyperlink" Target="5%20-%20RYSUNKI/2011-400-PRT-A0068770-A-Kostka%20&#322;o&#380;yska.STEP" TargetMode="External"/><Relationship Id="rId230" Type="http://schemas.openxmlformats.org/officeDocument/2006/relationships/hyperlink" Target="5%20-%20RYSUNKI/2011-200-PRT-A0069937-A-Mocowanie%20&#347;ruby%20oporowej%20obrotu.DXF" TargetMode="External"/><Relationship Id="rId468" Type="http://schemas.openxmlformats.org/officeDocument/2006/relationships/hyperlink" Target="5%20-%20RYSUNKI/2011-200-PRT-A0071416-A-Kostka%20amortyzatora.DXF" TargetMode="External"/><Relationship Id="rId675" Type="http://schemas.openxmlformats.org/officeDocument/2006/relationships/hyperlink" Target="5%20-%20RYSUNKI/2011-600-PRT-A0070125-A-Pokrywa%20&#322;o&#380;yska.DXF" TargetMode="External"/><Relationship Id="rId882" Type="http://schemas.openxmlformats.org/officeDocument/2006/relationships/hyperlink" Target="5%20-%20RYSUNKI/2011-903-PRT-A0072933-A-P&#322;yta.STEP" TargetMode="External"/><Relationship Id="rId1098" Type="http://schemas.openxmlformats.org/officeDocument/2006/relationships/hyperlink" Target="5%20-%20RYSUNKI/2011-600-PRT-A0073373-A-Obudowa%20Fluke%202-3.STEP" TargetMode="External"/><Relationship Id="rId328" Type="http://schemas.openxmlformats.org/officeDocument/2006/relationships/hyperlink" Target="5%20-%20RYSUNKI/2011-400-PRT-A0068808-A-Mocowanie%20szyny.STEP" TargetMode="External"/><Relationship Id="rId535" Type="http://schemas.openxmlformats.org/officeDocument/2006/relationships/hyperlink" Target="5%20-%20RYSUNKI/2011-600-PRT-A0070114-A-Wzmocnienie%20supportu.STEP" TargetMode="External"/><Relationship Id="rId742" Type="http://schemas.openxmlformats.org/officeDocument/2006/relationships/hyperlink" Target="5%20-%20RYSUNKI/2011-901-PRT-A0068923-A-Popychacz.STEP" TargetMode="External"/><Relationship Id="rId1165" Type="http://schemas.openxmlformats.org/officeDocument/2006/relationships/hyperlink" Target="5%20-%20RYSUNKI/2013-100-PRT-A0073388-A-&#379;ebro%202.DXF" TargetMode="External"/><Relationship Id="rId1372" Type="http://schemas.openxmlformats.org/officeDocument/2006/relationships/hyperlink" Target="5%20-%20RYSUNKI/2013-200-PRT-A0072829-A-P&#322;yta%20pozioma.STEP" TargetMode="External"/><Relationship Id="rId602" Type="http://schemas.openxmlformats.org/officeDocument/2006/relationships/hyperlink" Target="5%20-%20RYSUNKI/2011-600-PRT-A0073063-A-Wa&#322;eczek%20gumowy.PDF" TargetMode="External"/><Relationship Id="rId1025" Type="http://schemas.openxmlformats.org/officeDocument/2006/relationships/hyperlink" Target="5%20-%20RYSUNKI/2011-990-PRT-A0072874-A-Mocowanie%20prowadnik&#243;w.DXF" TargetMode="External"/><Relationship Id="rId1232" Type="http://schemas.openxmlformats.org/officeDocument/2006/relationships/hyperlink" Target="5%20-%20RYSUNKI/2013-100-PRT-A0073119-A-Tulejka%20czujnika.PDF" TargetMode="External"/><Relationship Id="rId1677" Type="http://schemas.openxmlformats.org/officeDocument/2006/relationships/hyperlink" Target="5%20-%20RYSUNKI/1927-300-PRT-A0058027-B-Os&#322;ona.DXF" TargetMode="External"/><Relationship Id="rId907" Type="http://schemas.openxmlformats.org/officeDocument/2006/relationships/hyperlink" Target="5%20-%20RYSUNKI/2011-990-PRT-A0072872-A-Wspornik%20blokady.PDF" TargetMode="External"/><Relationship Id="rId1537" Type="http://schemas.openxmlformats.org/officeDocument/2006/relationships/hyperlink" Target="5%20-%20RYSUNKI/1704-10-PRT-A0075919-A-Os&#322;ona%20boku%20transportera.PDF" TargetMode="External"/><Relationship Id="rId36" Type="http://schemas.openxmlformats.org/officeDocument/2006/relationships/hyperlink" Target="5%20-%20RYSUNKI/2011-400-PRT-A0068850-A-Uchwyt%20sprz&#281;g&#322;a.STEP" TargetMode="External"/><Relationship Id="rId1604" Type="http://schemas.openxmlformats.org/officeDocument/2006/relationships/hyperlink" Target="5%20-%20RYSUNKI/2011-200-PRT-A0073030-A-Mocowanie%20czujnika%20wizyjnego.PDF" TargetMode="External"/><Relationship Id="rId185" Type="http://schemas.openxmlformats.org/officeDocument/2006/relationships/hyperlink" Target="5%20-%20RYSUNKI/2011-200-PRT-A0069929-A-Dystans%20docisku.DXF" TargetMode="External"/><Relationship Id="rId392" Type="http://schemas.openxmlformats.org/officeDocument/2006/relationships/hyperlink" Target="5%20-%20RYSUNKI/2011-400-PRT-A0068801-A-Podpora%20&#347;rodkowa%202.PDF" TargetMode="External"/><Relationship Id="rId697" Type="http://schemas.openxmlformats.org/officeDocument/2006/relationships/hyperlink" Target="5%20-%20RYSUNKI/2011--PRT-A0073178-B-Mocowanie%20si&#322;ownika.STEP" TargetMode="External"/><Relationship Id="rId252" Type="http://schemas.openxmlformats.org/officeDocument/2006/relationships/hyperlink" Target="5%20-%20RYSUNKI/2011-200-PRT-A0070349-A-Gniazdko%20blaszek.STEP" TargetMode="External"/><Relationship Id="rId1187" Type="http://schemas.openxmlformats.org/officeDocument/2006/relationships/hyperlink" Target="5%20-%20RYSUNKI/2013-100-PRT-A0073092-A-P&#322;ytka%20docisku.DXF" TargetMode="External"/><Relationship Id="rId112" Type="http://schemas.openxmlformats.org/officeDocument/2006/relationships/hyperlink" Target="5%20-%20RYSUNKI/2011-400-PRT-A0068860-A-P&#322;ytka%20&#347;rodkowa.PDF" TargetMode="External"/><Relationship Id="rId557" Type="http://schemas.openxmlformats.org/officeDocument/2006/relationships/hyperlink" Target="5%20-%20RYSUNKI/2011-600-PRT-A0070490-A-Wspornik%20si&#322;ownika%201.PDF" TargetMode="External"/><Relationship Id="rId764" Type="http://schemas.openxmlformats.org/officeDocument/2006/relationships/hyperlink" Target="5%20-%20RYSUNKI/2011-992-PRT-A0073440-A-Gniazdo%20D&#378;wigni%20eCrafter%20Przesuwny%20LH.PDF" TargetMode="External"/><Relationship Id="rId971" Type="http://schemas.openxmlformats.org/officeDocument/2006/relationships/hyperlink" Target="5%20-%20RYSUNKI/2011-902-PRT-A0069221-A-Dystans.DXF" TargetMode="External"/><Relationship Id="rId1394" Type="http://schemas.openxmlformats.org/officeDocument/2006/relationships/hyperlink" Target="5%20-%20RYSUNKI/2013-200-PRT-A0071394-A-P&#322;ytka%20pozioma.STEP" TargetMode="External"/><Relationship Id="rId417" Type="http://schemas.openxmlformats.org/officeDocument/2006/relationships/hyperlink" Target="5%20-%20RYSUNKI/2011-200-PRT-A0071752-A-Kostka%20mocuj&#261;ca.DXF" TargetMode="External"/><Relationship Id="rId624" Type="http://schemas.openxmlformats.org/officeDocument/2006/relationships/hyperlink" Target="5%20-%20RYSUNKI/2011-600-PRT-A0070430-A-P&#322;yta%20g&#322;&#243;wna%20eCrafter%20Ty&#322;.DXF" TargetMode="External"/><Relationship Id="rId831" Type="http://schemas.openxmlformats.org/officeDocument/2006/relationships/hyperlink" Target="5%20-%20RYSUNKI/2011-901-PRT-A0068942-A-P&#322;yta%20dolna.STEP" TargetMode="External"/><Relationship Id="rId1047" Type="http://schemas.openxmlformats.org/officeDocument/2006/relationships/hyperlink" Target="5%20-%20RYSUNKI/2011-902-PRT-A0071206-A-Os&#322;ona.STEP" TargetMode="External"/><Relationship Id="rId1254" Type="http://schemas.openxmlformats.org/officeDocument/2006/relationships/hyperlink" Target="5%20-%20RYSUNKI/2013-100-PRT-A0073209-A-P&#322;yta%20smarowania.PDF" TargetMode="External"/><Relationship Id="rId1461" Type="http://schemas.openxmlformats.org/officeDocument/2006/relationships/hyperlink" Target="5%20-%20RYSUNKI/2013-200-PRT-A0070399-A--.STEP" TargetMode="External"/><Relationship Id="rId929" Type="http://schemas.openxmlformats.org/officeDocument/2006/relationships/hyperlink" Target="5%20-%20RYSUNKI/2011-901-PRT-A0068946-A-P&#322;yta%20po&#347;rednia.DXF" TargetMode="External"/><Relationship Id="rId1114" Type="http://schemas.openxmlformats.org/officeDocument/2006/relationships/hyperlink" Target="5%20-%20RYSUNKI/2011-600-PRT-A0073469-A-Os&#322;ona%20lewa.DXF" TargetMode="External"/><Relationship Id="rId1321" Type="http://schemas.openxmlformats.org/officeDocument/2006/relationships/hyperlink" Target="5%20-%20RYSUNKI/2013-100-PRT-A0073496-A-Mocowanie%20kamery%20IV.STEP" TargetMode="External"/><Relationship Id="rId1559" Type="http://schemas.openxmlformats.org/officeDocument/2006/relationships/hyperlink" Target="5%20-%20RYSUNKI/1851-11-PRT-A0075964-A-Mocowanie%20czujnika.DXF" TargetMode="External"/><Relationship Id="rId58" Type="http://schemas.openxmlformats.org/officeDocument/2006/relationships/hyperlink" Target="5%20-%20RYSUNKI/2011-400-PRT-A0068855-A-Wa&#322;ek%20gwintowany.PDF" TargetMode="External"/><Relationship Id="rId1419" Type="http://schemas.openxmlformats.org/officeDocument/2006/relationships/hyperlink" Target="5%20-%20RYSUNKI/2013-200-PRT-A0072671-A-Tulejka%20dystansowa.STEP" TargetMode="External"/><Relationship Id="rId1626" Type="http://schemas.openxmlformats.org/officeDocument/2006/relationships/hyperlink" Target="5%20-%20RYSUNKI/2011-200-PRT-A0073075-A-Os&#322;ona.DXF" TargetMode="External"/><Relationship Id="rId274" Type="http://schemas.openxmlformats.org/officeDocument/2006/relationships/hyperlink" Target="5%20-%20RYSUNKI/2011-200-PRT-A0070022-A-Uchwyt%20gniazda.STEP" TargetMode="External"/><Relationship Id="rId481" Type="http://schemas.openxmlformats.org/officeDocument/2006/relationships/hyperlink" Target="5%20-%20RYSUNKI/2011-200-PRT-A0070615-A-Support%20uchwytu.STEP" TargetMode="External"/><Relationship Id="rId134" Type="http://schemas.openxmlformats.org/officeDocument/2006/relationships/hyperlink" Target="5%20-%20RYSUNKI/000.MAG.22.M6-B.DXF" TargetMode="External"/><Relationship Id="rId579" Type="http://schemas.openxmlformats.org/officeDocument/2006/relationships/hyperlink" Target="5%20-%20RYSUNKI/2011-600-PRT-A0070546-A-Tuleja%20bazuj&#261;ca.DXF" TargetMode="External"/><Relationship Id="rId786" Type="http://schemas.openxmlformats.org/officeDocument/2006/relationships/hyperlink" Target="5%20-%20RYSUNKI/2011-903-PRT-A0072923-A-Dystans%20si&#322;ownika.STEP" TargetMode="External"/><Relationship Id="rId993" Type="http://schemas.openxmlformats.org/officeDocument/2006/relationships/hyperlink" Target="5%20-%20RYSUNKI/2011-992-PRT-A0073442-A-Gniazdo%20D&#378;wigni%20eCrafter%20Przesuwny%20LH.PDF" TargetMode="External"/><Relationship Id="rId341" Type="http://schemas.openxmlformats.org/officeDocument/2006/relationships/hyperlink" Target="5%20-%20RYSUNKI/2011-400-PRT-A0068803-A-P&#322;yta%20g&#243;rna.PDF" TargetMode="External"/><Relationship Id="rId439" Type="http://schemas.openxmlformats.org/officeDocument/2006/relationships/hyperlink" Target="5%20-%20RYSUNKI/2011-200-PRT-A0071260-A-Mocowanie%20chwytaka.STEP" TargetMode="External"/><Relationship Id="rId646" Type="http://schemas.openxmlformats.org/officeDocument/2006/relationships/hyperlink" Target="5%20-%20RYSUNKI/2011-600-PRT-A0071261-A-Podpora%20TL.STEP" TargetMode="External"/><Relationship Id="rId1069" Type="http://schemas.openxmlformats.org/officeDocument/2006/relationships/hyperlink" Target="5%20-%20RYSUNKI/000.MAG.69.18-A.PDF" TargetMode="External"/><Relationship Id="rId1276" Type="http://schemas.openxmlformats.org/officeDocument/2006/relationships/hyperlink" Target="5%20-%20RYSUNKI/2013-100-PRT-A0073538-A-Blacha%20LRZa.STEP" TargetMode="External"/><Relationship Id="rId1483" Type="http://schemas.openxmlformats.org/officeDocument/2006/relationships/hyperlink" Target="5%20-%20RYSUNKI/2013-200-PRT-A0075632-A-Wspornik%20LRZ.DXF" TargetMode="External"/><Relationship Id="rId201" Type="http://schemas.openxmlformats.org/officeDocument/2006/relationships/hyperlink" Target="5%20-%20RYSUNKI/2011-200-PRT-A0069912-A-Podstawa%20szyny.STEP" TargetMode="External"/><Relationship Id="rId506" Type="http://schemas.openxmlformats.org/officeDocument/2006/relationships/hyperlink" Target="5%20-%20RYSUNKI/2011-200-PRT-A0070610-A-Support%20uchwytu.PDF" TargetMode="External"/><Relationship Id="rId853" Type="http://schemas.openxmlformats.org/officeDocument/2006/relationships/hyperlink" Target="5%20-%20RYSUNKI/2011-903-PRT-A0072943-A-Mocowanie.PDF" TargetMode="External"/><Relationship Id="rId1136" Type="http://schemas.openxmlformats.org/officeDocument/2006/relationships/hyperlink" Target="5%20-%20RYSUNKI/2011-600-PRT-A0070131-A-Podstawa%20zespo&#322;u.STEP" TargetMode="External"/><Relationship Id="rId1690" Type="http://schemas.openxmlformats.org/officeDocument/2006/relationships/hyperlink" Target="5%20-%20RYSUNKI/1927-000-PRT-A0062094-A-P&#322;ytka%20&#322;&#261;cz&#261;ca.STEP" TargetMode="External"/><Relationship Id="rId713" Type="http://schemas.openxmlformats.org/officeDocument/2006/relationships/hyperlink" Target="5%20-%20RYSUNKI/2011-600-PRT-A0070633-A-Palec%20ty&#322;%20zapas.PDF" TargetMode="External"/><Relationship Id="rId920" Type="http://schemas.openxmlformats.org/officeDocument/2006/relationships/hyperlink" Target="5%20-%20RYSUNKI/2011-904-PRT-A0071252-A-Mocowanie.DXF" TargetMode="External"/><Relationship Id="rId1343" Type="http://schemas.openxmlformats.org/officeDocument/2006/relationships/hyperlink" Target="5%20-%20RYSUNKI/2013-200-PRT-A0073172-A-Kostka%20czujnika.PDF" TargetMode="External"/><Relationship Id="rId1550" Type="http://schemas.openxmlformats.org/officeDocument/2006/relationships/hyperlink" Target="5%20-%20RYSUNKI/1851-41-PRT-A0075888-A-Os&#322;ona%20ta&#347;my%20transportujacej.DXF" TargetMode="External"/><Relationship Id="rId1648" Type="http://schemas.openxmlformats.org/officeDocument/2006/relationships/hyperlink" Target="5%20-%20RYSUNKI/2011-200-PRT-A0073086-A-Blacha%20os&#322;onowa.STEP" TargetMode="External"/><Relationship Id="rId1203" Type="http://schemas.openxmlformats.org/officeDocument/2006/relationships/hyperlink" Target="5%20-%20RYSUNKI/2013-100-PRT-A0073187-A-Pokrywka%20oringa.STEP" TargetMode="External"/><Relationship Id="rId1410" Type="http://schemas.openxmlformats.org/officeDocument/2006/relationships/hyperlink" Target="5%20-%20RYSUNKI/2013-200-PRT-A0072836-A-Kostka%20zderzaka.STEP" TargetMode="External"/><Relationship Id="rId1508" Type="http://schemas.openxmlformats.org/officeDocument/2006/relationships/hyperlink" Target="5%20-%20RYSUNKI/2013-200-PRT-A0072656-A-P&#322;ytka%20przednia.DXF" TargetMode="External"/><Relationship Id="rId296" Type="http://schemas.openxmlformats.org/officeDocument/2006/relationships/hyperlink" Target="5%20-%20RYSUNKI/2011-400-PRT-A0068767-A-Uchwyt%20czujnika%201.PDF" TargetMode="External"/><Relationship Id="rId156" Type="http://schemas.openxmlformats.org/officeDocument/2006/relationships/hyperlink" Target="5%20-%20RYSUNKI/2011-200-PRT-A0070322-A-Gniazdo%20RH%20cz2.STEP" TargetMode="External"/><Relationship Id="rId363" Type="http://schemas.openxmlformats.org/officeDocument/2006/relationships/hyperlink" Target="5%20-%20RYSUNKI/2011-400-PRT-A0068772-A-Oprawa%20d&#378;wigni.DXF" TargetMode="External"/><Relationship Id="rId570" Type="http://schemas.openxmlformats.org/officeDocument/2006/relationships/hyperlink" Target="5%20-%20RYSUNKI/2011-600-PRT-A0070089-A-Ramie%20dociskowe.DXF" TargetMode="External"/><Relationship Id="rId223" Type="http://schemas.openxmlformats.org/officeDocument/2006/relationships/hyperlink" Target="5%20-%20RYSUNKI/2011-200-PRT-A0070004-A-Kostka%20podpierajaca.PDF" TargetMode="External"/><Relationship Id="rId430" Type="http://schemas.openxmlformats.org/officeDocument/2006/relationships/hyperlink" Target="5%20-%20RYSUNKI/2011-200-PRT-A0072092-A-Uchwyt%20czujnika.STEP" TargetMode="External"/><Relationship Id="rId668" Type="http://schemas.openxmlformats.org/officeDocument/2006/relationships/hyperlink" Target="5%20-%20RYSUNKI/2011-600-PRT-A0070110-A-Wa&#322;ek%20dystansowy.PDF" TargetMode="External"/><Relationship Id="rId875" Type="http://schemas.openxmlformats.org/officeDocument/2006/relationships/hyperlink" Target="5%20-%20RYSUNKI/2011-903-PRT-A0072935-A-P&#322;yta.DXF" TargetMode="External"/><Relationship Id="rId1060" Type="http://schemas.openxmlformats.org/officeDocument/2006/relationships/hyperlink" Target="5%20-%20RYSUNKI/000.MAG.50%20-%20M8%20x%20L-F.PDF" TargetMode="External"/><Relationship Id="rId1298" Type="http://schemas.openxmlformats.org/officeDocument/2006/relationships/hyperlink" Target="5%20-%20RYSUNKI/2013-100-PRT-A0073458-A-Gniazdo%20trzpienia%20g&#243;rne.PDF" TargetMode="External"/><Relationship Id="rId528" Type="http://schemas.openxmlformats.org/officeDocument/2006/relationships/hyperlink" Target="5%20-%20RYSUNKI/2011-600-PRT-A0070116-A-P&#322;yta%20supportu%201.DXF" TargetMode="External"/><Relationship Id="rId735" Type="http://schemas.openxmlformats.org/officeDocument/2006/relationships/hyperlink" Target="5%20-%20RYSUNKI/2011-901-PRT-A0068930-A-Pozycjoner.DXF" TargetMode="External"/><Relationship Id="rId942" Type="http://schemas.openxmlformats.org/officeDocument/2006/relationships/hyperlink" Target="5%20-%20RYSUNKI/2011-903-PRT-A0072926-A-Gniazdo.STEP" TargetMode="External"/><Relationship Id="rId1158" Type="http://schemas.openxmlformats.org/officeDocument/2006/relationships/hyperlink" Target="5%20-%20RYSUNKI/2013-100-PRT-A0073183-A-Redukcja%20M5.PDF" TargetMode="External"/><Relationship Id="rId1365" Type="http://schemas.openxmlformats.org/officeDocument/2006/relationships/hyperlink" Target="5%20-%20RYSUNKI/2013-200-PRT-A0072948-A-Adapter%20dyszy.DXF" TargetMode="External"/><Relationship Id="rId1572" Type="http://schemas.openxmlformats.org/officeDocument/2006/relationships/hyperlink" Target="5%20-%20RYSUNKI/1704-01-PRT-A0076027-A-Mocowanie%20czujnika.STEP" TargetMode="External"/><Relationship Id="rId1018" Type="http://schemas.openxmlformats.org/officeDocument/2006/relationships/hyperlink" Target="5%20-%20RYSUNKI/2011-990-PRT-A0072878-A-Mocowanie.PDF" TargetMode="External"/><Relationship Id="rId1225" Type="http://schemas.openxmlformats.org/officeDocument/2006/relationships/hyperlink" Target="5%20-%20RYSUNKI/2013-100-PRT-A0073386-A-P&#322;yta%20obrotu.STEP" TargetMode="External"/><Relationship Id="rId1432" Type="http://schemas.openxmlformats.org/officeDocument/2006/relationships/hyperlink" Target="5%20-%20RYSUNKI/2013-200-PRT-A0072980-A-Podpora%20I.STEP" TargetMode="External"/><Relationship Id="rId71" Type="http://schemas.openxmlformats.org/officeDocument/2006/relationships/hyperlink" Target="5%20-%20RYSUNKI/2011-400-PRT-A0068777-A-Mocowanie%20prowadnika%202.DXF" TargetMode="External"/><Relationship Id="rId802" Type="http://schemas.openxmlformats.org/officeDocument/2006/relationships/hyperlink" Target="5%20-%20RYSUNKI/2011-904-PRT-A0071248-A-P&#322;yta.PDF" TargetMode="External"/><Relationship Id="rId29" Type="http://schemas.openxmlformats.org/officeDocument/2006/relationships/hyperlink" Target="5%20-%20RYSUNKI/2011-400-PRT-A0068847-A-P&#322;yta%20pionowa.DXF" TargetMode="External"/><Relationship Id="rId178" Type="http://schemas.openxmlformats.org/officeDocument/2006/relationships/hyperlink" Target="5%20-%20RYSUNKI/2011-200-PRT-A0069974-A-Podstawka%20gniazda%20ECrafter%20LH.PDF" TargetMode="External"/><Relationship Id="rId385" Type="http://schemas.openxmlformats.org/officeDocument/2006/relationships/hyperlink" Target="5%20-%20RYSUNKI/2011-400-PRT-A0069181-A-Podpora%20sr&#281;&#380;yny%20prawa.STEP" TargetMode="External"/><Relationship Id="rId592" Type="http://schemas.openxmlformats.org/officeDocument/2006/relationships/hyperlink" Target="5%20-%20RYSUNKI/2011-600-PRT-A0071429-A-O&#347;.STEP" TargetMode="External"/><Relationship Id="rId245" Type="http://schemas.openxmlformats.org/officeDocument/2006/relationships/hyperlink" Target="5%20-%20RYSUNKI/2011-200-PRT-A0069935-A-Kostka%20zderzaka%20osi%20Z.DXF" TargetMode="External"/><Relationship Id="rId452" Type="http://schemas.openxmlformats.org/officeDocument/2006/relationships/hyperlink" Target="5%20-%20RYSUNKI/2011-200-PRT-A0070658-A-P&#322;yta%20monta&#380;owa.PDF" TargetMode="External"/><Relationship Id="rId897" Type="http://schemas.openxmlformats.org/officeDocument/2006/relationships/hyperlink" Target="5%20-%20RYSUNKI/2011-903-PRT-A0072919-A-Ogranicznik%20szyny.STEP" TargetMode="External"/><Relationship Id="rId1082" Type="http://schemas.openxmlformats.org/officeDocument/2006/relationships/hyperlink" Target="5%20-%20RYSUNKI/000.MAG.50%20-%20M5-A.DXF" TargetMode="External"/><Relationship Id="rId105" Type="http://schemas.openxmlformats.org/officeDocument/2006/relationships/hyperlink" Target="5%20-%20RYSUNKI/2011-400-PRT-A0068786-A-Oprawa%20&#322;o&#380;ysk.STEP" TargetMode="External"/><Relationship Id="rId312" Type="http://schemas.openxmlformats.org/officeDocument/2006/relationships/hyperlink" Target="5%20-%20RYSUNKI/2011-400-PRT-A0069217-A-Gniazdo%209.DXF" TargetMode="External"/><Relationship Id="rId757" Type="http://schemas.openxmlformats.org/officeDocument/2006/relationships/hyperlink" Target="5%20-%20RYSUNKI/2011-992-PRT-A0073445-C-Gniazdo%20D&#378;wigni%20eCrafter%20Przesuwny%20LH.PDF" TargetMode="External"/><Relationship Id="rId964" Type="http://schemas.openxmlformats.org/officeDocument/2006/relationships/hyperlink" Target="5%20-%20RYSUNKI/2011-992-PRT-A0072856-A-Tulejka%20bazuj&#261;ca.PDF" TargetMode="External"/><Relationship Id="rId1387" Type="http://schemas.openxmlformats.org/officeDocument/2006/relationships/hyperlink" Target="5%20-%20RYSUNKI/2013-200-PRT-A0072054-A-Wspornik.DXF" TargetMode="External"/><Relationship Id="rId1594" Type="http://schemas.openxmlformats.org/officeDocument/2006/relationships/hyperlink" Target="5%20-%20RYSUNKI/2011-200-PRT-A0072986%20-%20lustro-A-K&#261;townik%20NOK.STEP" TargetMode="External"/><Relationship Id="rId93" Type="http://schemas.openxmlformats.org/officeDocument/2006/relationships/hyperlink" Target="5%20-%20RYSUNKI/2011-400-PRT-A0068782-A-&#379;ebro%202.STEP" TargetMode="External"/><Relationship Id="rId617" Type="http://schemas.openxmlformats.org/officeDocument/2006/relationships/hyperlink" Target="5%20-%20RYSUNKI/2011-600-PRT-A0071411-A-Rami&#281;.PDF" TargetMode="External"/><Relationship Id="rId824" Type="http://schemas.openxmlformats.org/officeDocument/2006/relationships/hyperlink" Target="5%20-%20RYSUNKI/2011-902-PRT-A0069227-A-Mocowanie%20si&#322;ownika.DXF" TargetMode="External"/><Relationship Id="rId1247" Type="http://schemas.openxmlformats.org/officeDocument/2006/relationships/hyperlink" Target="5%20-%20RYSUNKI/2013-100-PRT-A0072835-A-Tacka%20ociekowa.STEP" TargetMode="External"/><Relationship Id="rId1454" Type="http://schemas.openxmlformats.org/officeDocument/2006/relationships/hyperlink" Target="5%20-%20RYSUNKI/2013-200-PRT-A0070403-Lustro-A--.STEP" TargetMode="External"/><Relationship Id="rId1661" Type="http://schemas.openxmlformats.org/officeDocument/2006/relationships/hyperlink" Target="5%20-%20RYSUNKI/1704-01-PRT-A0076076-A-Os&#322;ona.PDF" TargetMode="External"/><Relationship Id="rId1107" Type="http://schemas.openxmlformats.org/officeDocument/2006/relationships/hyperlink" Target="5%20-%20RYSUNKI/2011-600-PRT-A0073374-A-Drzwiczki%20skrzynki.PDF" TargetMode="External"/><Relationship Id="rId1314" Type="http://schemas.openxmlformats.org/officeDocument/2006/relationships/hyperlink" Target="5%20-%20RYSUNKI/2013-100-PRT-A0069074-A-P&#322;yta%20pionowa.DXF" TargetMode="External"/><Relationship Id="rId1521" Type="http://schemas.openxmlformats.org/officeDocument/2006/relationships/hyperlink" Target="5%20-%20RYSUNKI/000.MAG.50%20-%20M5-A.STEP" TargetMode="External"/><Relationship Id="rId1619" Type="http://schemas.openxmlformats.org/officeDocument/2006/relationships/hyperlink" Target="5%20-%20RYSUNKI/2011-200-PRT-A0070518-A-Os&#322;ona%20boczna.PDF" TargetMode="External"/><Relationship Id="rId20" Type="http://schemas.openxmlformats.org/officeDocument/2006/relationships/hyperlink" Target="5%20-%20RYSUNKI/2011-400-PRT-A0068851-A-P&#322;yta%20dolna.DXF" TargetMode="External"/><Relationship Id="rId267" Type="http://schemas.openxmlformats.org/officeDocument/2006/relationships/hyperlink" Target="5%20-%20RYSUNKI/2011-200-PRT-A0070409-A-Os&#322;onka.STEP" TargetMode="External"/><Relationship Id="rId474" Type="http://schemas.openxmlformats.org/officeDocument/2006/relationships/hyperlink" Target="5%20-%20RYSUNKI/2011-200-PRT-A0071168-A-Prowadnica.DXF" TargetMode="External"/><Relationship Id="rId127" Type="http://schemas.openxmlformats.org/officeDocument/2006/relationships/hyperlink" Target="5%20-%20RYSUNKI/000.MAG.50%20-%20M5%20x30.PDF" TargetMode="External"/><Relationship Id="rId681" Type="http://schemas.openxmlformats.org/officeDocument/2006/relationships/hyperlink" Target="5%20-%20RYSUNKI/2011-600-PRT-A0070129-A-Korpus.DXF" TargetMode="External"/><Relationship Id="rId779" Type="http://schemas.openxmlformats.org/officeDocument/2006/relationships/hyperlink" Target="5%20-%20RYSUNKI/2011-992-PRT-A0072859-B-P&#322;yta%20Gniazda%20eCrafter%20RH.DXF" TargetMode="External"/><Relationship Id="rId986" Type="http://schemas.openxmlformats.org/officeDocument/2006/relationships/hyperlink" Target="5%20-%20RYSUNKI/2011-992-PRT-A0073444-A-Gniazdo%20D&#378;wigni%20eCrafter%20Przesuwny%20LH.DXF" TargetMode="External"/><Relationship Id="rId334" Type="http://schemas.openxmlformats.org/officeDocument/2006/relationships/hyperlink" Target="5%20-%20RYSUNKI/2011-400-PRT-A0069147-B-D&#378;wignia%20prawa.STEP" TargetMode="External"/><Relationship Id="rId541" Type="http://schemas.openxmlformats.org/officeDocument/2006/relationships/hyperlink" Target="5%20-%20RYSUNKI/2011-600-PRT-A0070109-A-Wspornik%20ruchomy%20prowadnika.STEP" TargetMode="External"/><Relationship Id="rId639" Type="http://schemas.openxmlformats.org/officeDocument/2006/relationships/hyperlink" Target="5%20-%20RYSUNKI/2011-600-PRT-A0071450-A-Blokada%20P.DXF" TargetMode="External"/><Relationship Id="rId1171" Type="http://schemas.openxmlformats.org/officeDocument/2006/relationships/hyperlink" Target="5%20-%20RYSUNKI/2013-100-PRT-A0073215-A-Rynna%20prowadnika.DXF" TargetMode="External"/><Relationship Id="rId1269" Type="http://schemas.openxmlformats.org/officeDocument/2006/relationships/hyperlink" Target="5%20-%20RYSUNKI/2013-100-LustroPRT-A00729661-A-Gniazdo%20.STEP" TargetMode="External"/><Relationship Id="rId1476" Type="http://schemas.openxmlformats.org/officeDocument/2006/relationships/hyperlink" Target="5%20-%20RYSUNKI/2013-200-PRT-A0072031-A-Dr&#261;&#380;ek.PDF" TargetMode="External"/><Relationship Id="rId401" Type="http://schemas.openxmlformats.org/officeDocument/2006/relationships/hyperlink" Target="5%20-%20RYSUNKI/2011-400-PRT-A0068797-A-Gniazdo%203.PDF" TargetMode="External"/><Relationship Id="rId846" Type="http://schemas.openxmlformats.org/officeDocument/2006/relationships/hyperlink" Target="5%20-%20RYSUNKI/2011-901-PRT-A0068932-A-&#321;&#261;cznik.STEP" TargetMode="External"/><Relationship Id="rId1031" Type="http://schemas.openxmlformats.org/officeDocument/2006/relationships/hyperlink" Target="5%20-%20RYSUNKI/2011-990-PRT-A0072868-A-Przek&#322;adka.DXF" TargetMode="External"/><Relationship Id="rId1129" Type="http://schemas.openxmlformats.org/officeDocument/2006/relationships/hyperlink" Target="5%20-%20RYSUNKI/2011-600-PRT-A0073379-A-Mocowanie%20uko&#347;ne.DXF" TargetMode="External"/><Relationship Id="rId1683" Type="http://schemas.openxmlformats.org/officeDocument/2006/relationships/hyperlink" Target="5%20-%20RYSUNKI/1927-804-PRT-A0062007-B-Os&#322;ona.DXF" TargetMode="External"/><Relationship Id="rId706" Type="http://schemas.openxmlformats.org/officeDocument/2006/relationships/hyperlink" Target="5%20-%20RYSUNKI/2011-600-PRT-A0070122-A-Palec%20prz&#243;d.STEP" TargetMode="External"/><Relationship Id="rId913" Type="http://schemas.openxmlformats.org/officeDocument/2006/relationships/hyperlink" Target="5%20-%20RYSUNKI/2011-990-PRT-A0072870-A-Mocowanie%20si&#322;ownika.PDF" TargetMode="External"/><Relationship Id="rId1336" Type="http://schemas.openxmlformats.org/officeDocument/2006/relationships/hyperlink" Target="5%20-%20RYSUNKI/2013-100-PRT-A0073405-A-&#346;ruba%20zderzak.STEP" TargetMode="External"/><Relationship Id="rId1543" Type="http://schemas.openxmlformats.org/officeDocument/2006/relationships/hyperlink" Target="5%20-%20RYSUNKI/1704-10-PRT-A0075877-A-Os&#322;ona%20ta&#347;my%20transportujacej.PDF" TargetMode="External"/><Relationship Id="rId42" Type="http://schemas.openxmlformats.org/officeDocument/2006/relationships/hyperlink" Target="5%20-%20RYSUNKI/2011-400-PRT-A0068844-A-P&#322;ytka%20boczna.STEP" TargetMode="External"/><Relationship Id="rId1403" Type="http://schemas.openxmlformats.org/officeDocument/2006/relationships/hyperlink" Target="5%20-%20RYSUNKI/2013-200-PRT-A0072992-A-Kostka%20bazuj&#261;ca.DXF" TargetMode="External"/><Relationship Id="rId1610" Type="http://schemas.openxmlformats.org/officeDocument/2006/relationships/hyperlink" Target="5%20-%20RYSUNKI/2011-200-PRT-A0073041-A-Os&#322;ona%20ty&#322;.PDF" TargetMode="External"/><Relationship Id="rId191" Type="http://schemas.openxmlformats.org/officeDocument/2006/relationships/hyperlink" Target="5%20-%20RYSUNKI/2011-200-PRT-A0069917-A-Zastrza&#322;%20osi%20Z.DXF" TargetMode="External"/><Relationship Id="rId289" Type="http://schemas.openxmlformats.org/officeDocument/2006/relationships/hyperlink" Target="5%20-%20RYSUNKI/2011-200-PRT-A0069914-A-Jarzmo.STEP" TargetMode="External"/><Relationship Id="rId496" Type="http://schemas.openxmlformats.org/officeDocument/2006/relationships/hyperlink" Target="5%20-%20RYSUNKI/2011-200-PRT-A0070628-A-Wa&#322;ek%20docisku.STEP" TargetMode="External"/><Relationship Id="rId149" Type="http://schemas.openxmlformats.org/officeDocument/2006/relationships/hyperlink" Target="5%20-%20RYSUNKI/2011-200-PRT-A0069923-A-Blaszka%20amortyzatora.DXF" TargetMode="External"/><Relationship Id="rId356" Type="http://schemas.openxmlformats.org/officeDocument/2006/relationships/hyperlink" Target="5%20-%20RYSUNKI/2011-400-PRT-A0068804-A-Sprz&#281;g&#322;o.PDF" TargetMode="External"/><Relationship Id="rId563" Type="http://schemas.openxmlformats.org/officeDocument/2006/relationships/hyperlink" Target="5%20-%20RYSUNKI/2011-600-PRT-A0070090-A-Wspornik%20si&#322;ownika.PDF" TargetMode="External"/><Relationship Id="rId770" Type="http://schemas.openxmlformats.org/officeDocument/2006/relationships/hyperlink" Target="5%20-%20RYSUNKI/2011-992-PRT-A0072854-A-Gniazdo%20D&#378;wigni%20eCrafter%20Przesuwny%20LH.STEP" TargetMode="External"/><Relationship Id="rId1193" Type="http://schemas.openxmlformats.org/officeDocument/2006/relationships/hyperlink" Target="5%20-%20RYSUNKI/2013-100-PRT-A0073543-A-&#321;&#261;cznik%20sprz&#281;g&#322;a.DXF" TargetMode="External"/><Relationship Id="rId216" Type="http://schemas.openxmlformats.org/officeDocument/2006/relationships/hyperlink" Target="5%20-%20RYSUNKI/2011-200-PRT-A0070506-A-Os&#322;ona%20dolna%20podmonta&#380;u.STEP" TargetMode="External"/><Relationship Id="rId423" Type="http://schemas.openxmlformats.org/officeDocument/2006/relationships/hyperlink" Target="5%20-%20RYSUNKI/2011-200-PRT-A0070650-B-P&#322;yta%20monta&#380;owa.DXF" TargetMode="External"/><Relationship Id="rId868" Type="http://schemas.openxmlformats.org/officeDocument/2006/relationships/hyperlink" Target="5%20-%20RYSUNKI/2011-903-PRT-A0072937-A-Mocowanie%20zderzak&#243;w.PDF" TargetMode="External"/><Relationship Id="rId1053" Type="http://schemas.openxmlformats.org/officeDocument/2006/relationships/hyperlink" Target="5%20-%20RYSUNKI/2011-904-PRT-A0070445-A-Mocowanie%20prowadnika.STEP" TargetMode="External"/><Relationship Id="rId1260" Type="http://schemas.openxmlformats.org/officeDocument/2006/relationships/hyperlink" Target="5%20-%20RYSUNKI/2013-100-PRT-A0072678-A-P&#322;ytka%20dojazdu%20spr&#281;&#380;yny.PDF" TargetMode="External"/><Relationship Id="rId1498" Type="http://schemas.openxmlformats.org/officeDocument/2006/relationships/hyperlink" Target="5%20-%20RYSUNKI/2013-200-PRT-A0072654-A-Dystans%20blokady.PDF" TargetMode="External"/><Relationship Id="rId630" Type="http://schemas.openxmlformats.org/officeDocument/2006/relationships/hyperlink" Target="5%20-%20RYSUNKI/2011-600-PRT-A0070099-A-Wspornik%20pin&#243;w%202.DXF" TargetMode="External"/><Relationship Id="rId728" Type="http://schemas.openxmlformats.org/officeDocument/2006/relationships/hyperlink" Target="5%20-%20RYSUNKI/2011-901-PRT-A0068945-A-Tuleja%20popychacza.PDF" TargetMode="External"/><Relationship Id="rId935" Type="http://schemas.openxmlformats.org/officeDocument/2006/relationships/hyperlink" Target="5%20-%20RYSUNKI/2011-903-PRT-A0072928-B-Szcz&#281;ka.DXF" TargetMode="External"/><Relationship Id="rId1358" Type="http://schemas.openxmlformats.org/officeDocument/2006/relationships/hyperlink" Target="5%20-%20RYSUNKI/2013-200-PRT-A0072953-A-P&#322;ytka.PDF" TargetMode="External"/><Relationship Id="rId1565" Type="http://schemas.openxmlformats.org/officeDocument/2006/relationships/hyperlink" Target="5%20-%20RYSUNKI/2011-200-PRT-A0070511-A-Blat%20stanowiska.DXF" TargetMode="External"/><Relationship Id="rId64" Type="http://schemas.openxmlformats.org/officeDocument/2006/relationships/hyperlink" Target="5%20-%20RYSUNKI/2011-400-PRT-A0068853-A-Nakr&#281;tka%202.PDF" TargetMode="External"/><Relationship Id="rId1120" Type="http://schemas.openxmlformats.org/officeDocument/2006/relationships/hyperlink" Target="5%20-%20RYSUNKI/2011-600-PRT-A0073465-A-Os&#322;ona.DXF" TargetMode="External"/><Relationship Id="rId1218" Type="http://schemas.openxmlformats.org/officeDocument/2006/relationships/hyperlink" Target="5%20-%20RYSUNKI/2013-100-PRT-A0073982-A-P&#322;ytka%20dyszy.DXF" TargetMode="External"/><Relationship Id="rId1425" Type="http://schemas.openxmlformats.org/officeDocument/2006/relationships/hyperlink" Target="5%20-%20RYSUNKI/2013-200-PRT-A0074044-A-Gniazdo%20spr&#281;&#380;yny%20ruchome%20cz1.STEP" TargetMode="External"/><Relationship Id="rId1632" Type="http://schemas.openxmlformats.org/officeDocument/2006/relationships/hyperlink" Target="5%20-%20RYSUNKI/2011-200-PRT-A0073023-A-Dach.DXF" TargetMode="External"/><Relationship Id="rId280" Type="http://schemas.openxmlformats.org/officeDocument/2006/relationships/hyperlink" Target="5%20-%20RYSUNKI/2011-200-PRT-A0072668-A-P&#322;yta%20pod%20narz&#281;dziem.STEP" TargetMode="External"/><Relationship Id="rId140" Type="http://schemas.openxmlformats.org/officeDocument/2006/relationships/hyperlink" Target="5%20-%20RYSUNKI/2011-200-PRT-A0069927-A-Blaszka%20prowadnika%20poziomego%20sta&#322;a.DXF" TargetMode="External"/><Relationship Id="rId378" Type="http://schemas.openxmlformats.org/officeDocument/2006/relationships/hyperlink" Target="5%20-%20RYSUNKI/2011-400-PRT-A0069205-A-Gniazdo%208.DXF" TargetMode="External"/><Relationship Id="rId585" Type="http://schemas.openxmlformats.org/officeDocument/2006/relationships/hyperlink" Target="5%20-%20RYSUNKI/2011-600-PRT-A0070542-A-Wspornik%20si&#322;ownika%201.DXF" TargetMode="External"/><Relationship Id="rId792" Type="http://schemas.openxmlformats.org/officeDocument/2006/relationships/hyperlink" Target="5%20-%20RYSUNKI/2011-990-PRT-A0072864-A-P&#322;yta.STEP" TargetMode="External"/><Relationship Id="rId6" Type="http://schemas.openxmlformats.org/officeDocument/2006/relationships/hyperlink" Target="5%20-%20RYSUNKI/1927-000-PRT-A0062094-A-P&#322;ytka%20&#322;&#261;cz&#261;ca.STEP" TargetMode="External"/><Relationship Id="rId238" Type="http://schemas.openxmlformats.org/officeDocument/2006/relationships/hyperlink" Target="5%20-%20RYSUNKI/2011-200-PRT-A0069924-A-Kosteczka%20oporowa.PDF" TargetMode="External"/><Relationship Id="rId445" Type="http://schemas.openxmlformats.org/officeDocument/2006/relationships/hyperlink" Target="5%20-%20RYSUNKI/2011-200-PRT-A0070671-A-Mocowanie%20chwytaka.STEP" TargetMode="External"/><Relationship Id="rId652" Type="http://schemas.openxmlformats.org/officeDocument/2006/relationships/hyperlink" Target="5%20-%20RYSUNKI/2011-600-PRT-A0071265-A-Dok&#322;adka%20PP.STEP" TargetMode="External"/><Relationship Id="rId1075" Type="http://schemas.openxmlformats.org/officeDocument/2006/relationships/hyperlink" Target="5%20-%20RYSUNKI/000.MAG.90.07-B.PDF" TargetMode="External"/><Relationship Id="rId1282" Type="http://schemas.openxmlformats.org/officeDocument/2006/relationships/hyperlink" Target="5%20-%20RYSUNKI/2013-100-PRT-A0073327-A-Uchwyt%20prowadnika.STEP" TargetMode="External"/><Relationship Id="rId305" Type="http://schemas.openxmlformats.org/officeDocument/2006/relationships/hyperlink" Target="5%20-%20RYSUNKI/2011-400-PRT-A0068871-A-Oprawa%20d&#378;wigni%20prawa.PDF" TargetMode="External"/><Relationship Id="rId512" Type="http://schemas.openxmlformats.org/officeDocument/2006/relationships/hyperlink" Target="5%20-%20RYSUNKI/2011-600-PRT-A0070119-A-Wspornik%20p&#322;yty%20prowadnic.PDF" TargetMode="External"/><Relationship Id="rId957" Type="http://schemas.openxmlformats.org/officeDocument/2006/relationships/hyperlink" Target="5%20-%20RYSUNKI/2011-903-PRT-A0072916-A-Kostka%20podporowa.STEP" TargetMode="External"/><Relationship Id="rId1142" Type="http://schemas.openxmlformats.org/officeDocument/2006/relationships/hyperlink" Target="5%20-%20RYSUNKI/2011-600-PRT-A0073415-A-P&#322;yta%20g&#322;&#243;wna.STEP" TargetMode="External"/><Relationship Id="rId1587" Type="http://schemas.openxmlformats.org/officeDocument/2006/relationships/hyperlink" Target="5%20-%20RYSUNKI/2011-200-PRT-A0070522-A-Os&#322;ona%20boczna.STEP" TargetMode="External"/><Relationship Id="rId86" Type="http://schemas.openxmlformats.org/officeDocument/2006/relationships/hyperlink" Target="5%20-%20RYSUNKI/2011-400-PRT-A0068784-A-P&#322;ytka%20dolna.DXF" TargetMode="External"/><Relationship Id="rId817" Type="http://schemas.openxmlformats.org/officeDocument/2006/relationships/hyperlink" Target="5%20-%20RYSUNKI/2011-900-PRT-A0070031-A-P&#322;yta%20narz&#281;dzia.PDF" TargetMode="External"/><Relationship Id="rId1002" Type="http://schemas.openxmlformats.org/officeDocument/2006/relationships/hyperlink" Target="5%20-%20RYSUNKI/2011-903-PRT-A0072931-A-Blokada%20spr&#281;&#380;yny.STEP" TargetMode="External"/><Relationship Id="rId1447" Type="http://schemas.openxmlformats.org/officeDocument/2006/relationships/hyperlink" Target="5%20-%20RYSUNKI/2013-200-PRT-A0070422-A-Gniazdo%20spr&#281;&#380;yny%20cz1.PDF" TargetMode="External"/><Relationship Id="rId1654" Type="http://schemas.openxmlformats.org/officeDocument/2006/relationships/hyperlink" Target="5%20-%20RYSUNKI/2013-600-PRT-A0073153-B-Os&#322;ona%20kurtyny.STEP" TargetMode="External"/><Relationship Id="rId1307" Type="http://schemas.openxmlformats.org/officeDocument/2006/relationships/hyperlink" Target="5%20-%20RYSUNKI/2013-100-PRT-A0069084-A-Mocowanie%20si&#322;ownika.PDF" TargetMode="External"/><Relationship Id="rId1514" Type="http://schemas.openxmlformats.org/officeDocument/2006/relationships/hyperlink" Target="5%20-%20RYSUNKI/2013-200-PRT-A0072663-A-Oprawa%20&#322;o&#380;ysk.DXF" TargetMode="External"/><Relationship Id="rId13" Type="http://schemas.openxmlformats.org/officeDocument/2006/relationships/hyperlink" Target="5%20-%20RYSUNKI/2011-600-PRT-A0071433-A-P&#322;ytka%20&#322;&#261;cz&#261;ca.PDF" TargetMode="External"/><Relationship Id="rId162" Type="http://schemas.openxmlformats.org/officeDocument/2006/relationships/hyperlink" Target="5%20-%20RYSUNKI/2011-200-PRT-A0069982-A-Gniazdo%20LH%20cz2.STEP" TargetMode="External"/><Relationship Id="rId467" Type="http://schemas.openxmlformats.org/officeDocument/2006/relationships/hyperlink" Target="5%20-%20RYSUNKI/2011-200-PRT-A0071416-A-Kostka%20amortyzatora.PDF" TargetMode="External"/><Relationship Id="rId1097" Type="http://schemas.openxmlformats.org/officeDocument/2006/relationships/hyperlink" Target="5%20-%20RYSUNKI/2011-600-PRT-A0073373-A-Obudowa%20Fluke%202-3.DXF" TargetMode="External"/><Relationship Id="rId674" Type="http://schemas.openxmlformats.org/officeDocument/2006/relationships/hyperlink" Target="5%20-%20RYSUNKI/2011-600-PRT-A0070125-A-Pokrywa%20&#322;o&#380;yska.PDF" TargetMode="External"/><Relationship Id="rId881" Type="http://schemas.openxmlformats.org/officeDocument/2006/relationships/hyperlink" Target="5%20-%20RYSUNKI/2011-903-PRT-A0072933-A-P&#322;yta.DXF" TargetMode="External"/><Relationship Id="rId979" Type="http://schemas.openxmlformats.org/officeDocument/2006/relationships/hyperlink" Target="5%20-%20RYSUNKI/2011-901-PRT-A0068944-A-Element%20sprz&#281;gaj&#261;cy.PDF" TargetMode="External"/><Relationship Id="rId327" Type="http://schemas.openxmlformats.org/officeDocument/2006/relationships/hyperlink" Target="5%20-%20RYSUNKI/2011-400-PRT-A0068808-A-Mocowanie%20szyny.DXF" TargetMode="External"/><Relationship Id="rId534" Type="http://schemas.openxmlformats.org/officeDocument/2006/relationships/hyperlink" Target="5%20-%20RYSUNKI/2011-600-PRT-A0070114-A-Wzmocnienie%20supportu.DXF" TargetMode="External"/><Relationship Id="rId741" Type="http://schemas.openxmlformats.org/officeDocument/2006/relationships/hyperlink" Target="5%20-%20RYSUNKI/2011-901-PRT-A0068923-A-Popychacz.DXF" TargetMode="External"/><Relationship Id="rId839" Type="http://schemas.openxmlformats.org/officeDocument/2006/relationships/hyperlink" Target="5%20-%20RYSUNKI/2011-902-PRT-A0069224-A-Trzpie&#324;.DXF" TargetMode="External"/><Relationship Id="rId1164" Type="http://schemas.openxmlformats.org/officeDocument/2006/relationships/hyperlink" Target="5%20-%20RYSUNKI/2013-100-PRT-A0073388-A-&#379;ebro%202.PDF" TargetMode="External"/><Relationship Id="rId1371" Type="http://schemas.openxmlformats.org/officeDocument/2006/relationships/hyperlink" Target="5%20-%20RYSUNKI/2013-200-PRT-A0072829-A-P&#322;yta%20pozioma.DXF" TargetMode="External"/><Relationship Id="rId1469" Type="http://schemas.openxmlformats.org/officeDocument/2006/relationships/hyperlink" Target="5%20-%20RYSUNKI/2013-200-PRT-A0070364-A-Ko&#322;eczek.STEP" TargetMode="External"/><Relationship Id="rId601" Type="http://schemas.openxmlformats.org/officeDocument/2006/relationships/hyperlink" Target="5%20-%20RYSUNKI/2011-600-PRT-A0071423-A-P&#322;ytka%20po&#347;rednia.STEP" TargetMode="External"/><Relationship Id="rId1024" Type="http://schemas.openxmlformats.org/officeDocument/2006/relationships/hyperlink" Target="5%20-%20RYSUNKI/2011-990-PRT-A0072874-A-Mocowanie%20prowadnik&#243;w.PDF" TargetMode="External"/><Relationship Id="rId1231" Type="http://schemas.openxmlformats.org/officeDocument/2006/relationships/hyperlink" Target="5%20-%20RYSUNKI/2013-100-PRT-A0073193-A-Podstawa%20gniazda%20bok.STEP" TargetMode="External"/><Relationship Id="rId1676" Type="http://schemas.openxmlformats.org/officeDocument/2006/relationships/hyperlink" Target="5%20-%20RYSUNKI/1927-300-PRT-A0058027-B-Os&#322;ona.PDF" TargetMode="External"/><Relationship Id="rId906" Type="http://schemas.openxmlformats.org/officeDocument/2006/relationships/hyperlink" Target="5%20-%20RYSUNKI/2011-990-PRT-A0072873-A-Wspornik%20blokady.STEP" TargetMode="External"/><Relationship Id="rId1329" Type="http://schemas.openxmlformats.org/officeDocument/2006/relationships/hyperlink" Target="5%20-%20RYSUNKI/2013-100-PRT-A0073482-A-Dystans%20gniazda.DXF" TargetMode="External"/><Relationship Id="rId1536" Type="http://schemas.openxmlformats.org/officeDocument/2006/relationships/hyperlink" Target="5%20-%20RYSUNKI/1704-10-PRT-A0075877-A-Os&#322;ona%20ta&#347;my%20transportujacej.STEP" TargetMode="External"/><Relationship Id="rId35" Type="http://schemas.openxmlformats.org/officeDocument/2006/relationships/hyperlink" Target="5%20-%20RYSUNKI/2011-400-PRT-A0068850-A-Uchwyt%20sprz&#281;g&#322;a.DXF" TargetMode="External"/><Relationship Id="rId1603" Type="http://schemas.openxmlformats.org/officeDocument/2006/relationships/hyperlink" Target="5%20-%20RYSUNKI/2011-200-PRT-A0073020-A-Uchwyt%20pude&#322;ek.STEP" TargetMode="External"/><Relationship Id="rId184" Type="http://schemas.openxmlformats.org/officeDocument/2006/relationships/hyperlink" Target="5%20-%20RYSUNKI/2011-200-PRT-A0069929-A-Dystans%20docisku.PDF" TargetMode="External"/><Relationship Id="rId391" Type="http://schemas.openxmlformats.org/officeDocument/2006/relationships/hyperlink" Target="5%20-%20RYSUNKI/2011-400-PRT-A0068802-A-Podpora%20&#347;rodkowa%201.STEP" TargetMode="External"/><Relationship Id="rId251" Type="http://schemas.openxmlformats.org/officeDocument/2006/relationships/hyperlink" Target="5%20-%20RYSUNKI/2011-200-PRT-A0070349-A-Gniazdko%20blaszek.DXF" TargetMode="External"/><Relationship Id="rId489" Type="http://schemas.openxmlformats.org/officeDocument/2006/relationships/hyperlink" Target="5%20-%20RYSUNKI/2011-200-PRT-A0071764-A-Gniazdo%20wtyczki%20V2.DXF" TargetMode="External"/><Relationship Id="rId696" Type="http://schemas.openxmlformats.org/officeDocument/2006/relationships/hyperlink" Target="5%20-%20RYSUNKI/2011--PRT-A0073178-B-Mocowanie%20si&#322;ownika.DXF" TargetMode="External"/><Relationship Id="rId349" Type="http://schemas.openxmlformats.org/officeDocument/2006/relationships/hyperlink" Target="5%20-%20RYSUNKI/2011-400-PRT-A0069182-A-Listwa%20spr&#281;&#380;yny%20prawa%201.STEP" TargetMode="External"/><Relationship Id="rId556" Type="http://schemas.openxmlformats.org/officeDocument/2006/relationships/hyperlink" Target="5%20-%20RYSUNKI/2011-600-PRT-A0070491-A-Wspornik%20si&#322;ownika%202.STEP" TargetMode="External"/><Relationship Id="rId763" Type="http://schemas.openxmlformats.org/officeDocument/2006/relationships/hyperlink" Target="5%20-%20RYSUNKI/2011-992-PRT-A0073441-Lustro-A-Gniazdo%20D&#378;wigni%20eCrafter%20Przesuwny%20RH.STEP" TargetMode="External"/><Relationship Id="rId1186" Type="http://schemas.openxmlformats.org/officeDocument/2006/relationships/hyperlink" Target="5%20-%20RYSUNKI/2013-100-PRT-A0073092-A-P&#322;ytka%20docisku.PDF" TargetMode="External"/><Relationship Id="rId1393" Type="http://schemas.openxmlformats.org/officeDocument/2006/relationships/hyperlink" Target="5%20-%20RYSUNKI/2013-200-PRT-A0071394-A-P&#322;ytka%20pozioma.DXF" TargetMode="External"/><Relationship Id="rId111" Type="http://schemas.openxmlformats.org/officeDocument/2006/relationships/hyperlink" Target="5%20-%20RYSUNKI/2011-400-PRT-A0068861-A-P&#322;ytka%20naro&#380;na.STEP" TargetMode="External"/><Relationship Id="rId209" Type="http://schemas.openxmlformats.org/officeDocument/2006/relationships/hyperlink" Target="5%20-%20RYSUNKI/2011-200-PRT-A0070388-A-Wspornik%20si&#322;ownika.DXF" TargetMode="External"/><Relationship Id="rId416" Type="http://schemas.openxmlformats.org/officeDocument/2006/relationships/hyperlink" Target="5%20-%20RYSUNKI/2011-200-PRT-A0071752-A-Kostka%20mocuj&#261;ca.PDF" TargetMode="External"/><Relationship Id="rId970" Type="http://schemas.openxmlformats.org/officeDocument/2006/relationships/hyperlink" Target="5%20-%20RYSUNKI/2011-902-PRT-A0069221-A-Dystans.PDF" TargetMode="External"/><Relationship Id="rId1046" Type="http://schemas.openxmlformats.org/officeDocument/2006/relationships/hyperlink" Target="5%20-%20RYSUNKI/2011-902-PRT-A0071206-A-Os&#322;ona.DXF" TargetMode="External"/><Relationship Id="rId1253" Type="http://schemas.openxmlformats.org/officeDocument/2006/relationships/hyperlink" Target="5%20-%20RYSUNKI/2013-100-PRT-A0073221-A-P&#322;yta%20pozioma.STEP" TargetMode="External"/><Relationship Id="rId623" Type="http://schemas.openxmlformats.org/officeDocument/2006/relationships/hyperlink" Target="5%20-%20RYSUNKI/2011-600-PRT-A0070430-A-P&#322;yta%20g&#322;&#243;wna%20eCrafter%20Ty&#322;.PDF" TargetMode="External"/><Relationship Id="rId830" Type="http://schemas.openxmlformats.org/officeDocument/2006/relationships/hyperlink" Target="5%20-%20RYSUNKI/2011-901-PRT-A0068942-A-P&#322;yta%20dolna.DXF" TargetMode="External"/><Relationship Id="rId928" Type="http://schemas.openxmlformats.org/officeDocument/2006/relationships/hyperlink" Target="5%20-%20RYSUNKI/2011-901-PRT-A0068946-A-P&#322;yta%20po&#347;rednia.PDF" TargetMode="External"/><Relationship Id="rId1460" Type="http://schemas.openxmlformats.org/officeDocument/2006/relationships/hyperlink" Target="5%20-%20RYSUNKI/2013-200-PRT-A0070399-A--.DXF" TargetMode="External"/><Relationship Id="rId1558" Type="http://schemas.openxmlformats.org/officeDocument/2006/relationships/hyperlink" Target="5%20-%20RYSUNKI/1851-11-PRT-A0075964-A-Mocowanie%20czujnika.PDF" TargetMode="External"/><Relationship Id="rId57" Type="http://schemas.openxmlformats.org/officeDocument/2006/relationships/hyperlink" Target="5%20-%20RYSUNKI/2011-400-PRT-A0068856-A-Tuleja%20ko&#324;cowa.STEP" TargetMode="External"/><Relationship Id="rId1113" Type="http://schemas.openxmlformats.org/officeDocument/2006/relationships/hyperlink" Target="5%20-%20RYSUNKI/2011-600-PRT-A0073469-A-Os&#322;ona%20lewa.PDF" TargetMode="External"/><Relationship Id="rId1320" Type="http://schemas.openxmlformats.org/officeDocument/2006/relationships/hyperlink" Target="5%20-%20RYSUNKI/2013-100-PRT-A0073496-A-Mocowanie%20kamery%20IV.DXF" TargetMode="External"/><Relationship Id="rId1418" Type="http://schemas.openxmlformats.org/officeDocument/2006/relationships/hyperlink" Target="5%20-%20RYSUNKI/2013-200-PRT-A0072671-A-Tulejka%20dystansowa.DXF" TargetMode="External"/><Relationship Id="rId1625" Type="http://schemas.openxmlformats.org/officeDocument/2006/relationships/hyperlink" Target="5%20-%20RYSUNKI/2011-200-PRT-A0073075-A-Os&#322;ona.PDF" TargetMode="External"/><Relationship Id="rId273" Type="http://schemas.openxmlformats.org/officeDocument/2006/relationships/hyperlink" Target="5%20-%20RYSUNKI/2011-200-PRT-A0070022-A-Uchwyt%20gniazda.DXF" TargetMode="External"/><Relationship Id="rId480" Type="http://schemas.openxmlformats.org/officeDocument/2006/relationships/hyperlink" Target="5%20-%20RYSUNKI/2011-200-PRT-A0070615-A-Support%20uchwytu.DXF" TargetMode="External"/><Relationship Id="rId133" Type="http://schemas.openxmlformats.org/officeDocument/2006/relationships/hyperlink" Target="5%20-%20RYSUNKI/000.MAG.22.M6-B.PDF" TargetMode="External"/><Relationship Id="rId340" Type="http://schemas.openxmlformats.org/officeDocument/2006/relationships/hyperlink" Target="5%20-%20RYSUNKI/2011-400-PRT-A0068774-A-D&#378;wignia%20lewa.STEP" TargetMode="External"/><Relationship Id="rId578" Type="http://schemas.openxmlformats.org/officeDocument/2006/relationships/hyperlink" Target="5%20-%20RYSUNKI/2011-600-PRT-A0070546-A-Tuleja%20bazuj&#261;ca.PDF" TargetMode="External"/><Relationship Id="rId785" Type="http://schemas.openxmlformats.org/officeDocument/2006/relationships/hyperlink" Target="5%20-%20RYSUNKI/2011-903-PRT-A0072923-A-Dystans%20si&#322;ownika.DXF" TargetMode="External"/><Relationship Id="rId992" Type="http://schemas.openxmlformats.org/officeDocument/2006/relationships/hyperlink" Target="5%20-%20RYSUNKI/2011-992-PRT-A0073443-Lustro-A-Gniazdo%20D&#378;wigni%20eCrafter%20Przesuwny%20RH.STEP" TargetMode="External"/><Relationship Id="rId200" Type="http://schemas.openxmlformats.org/officeDocument/2006/relationships/hyperlink" Target="5%20-%20RYSUNKI/2011-200-PRT-A0069912-A-Podstawa%20szyny.DXF" TargetMode="External"/><Relationship Id="rId438" Type="http://schemas.openxmlformats.org/officeDocument/2006/relationships/hyperlink" Target="5%20-%20RYSUNKI/2011-200-PRT-A0071260-A-Mocowanie%20chwytaka.DXF" TargetMode="External"/><Relationship Id="rId645" Type="http://schemas.openxmlformats.org/officeDocument/2006/relationships/hyperlink" Target="5%20-%20RYSUNKI/2011-600-PRT-A0071261-A-Podpora%20TL.DXF" TargetMode="External"/><Relationship Id="rId852" Type="http://schemas.openxmlformats.org/officeDocument/2006/relationships/hyperlink" Target="5%20-%20RYSUNKI/2011-903-PRT-A0072944-A-&#379;ebro.STEP" TargetMode="External"/><Relationship Id="rId1068" Type="http://schemas.openxmlformats.org/officeDocument/2006/relationships/hyperlink" Target="5%20-%20RYSUNKI/000.MAG.50%20-%20M5%20x%20L-C.STEP" TargetMode="External"/><Relationship Id="rId1275" Type="http://schemas.openxmlformats.org/officeDocument/2006/relationships/hyperlink" Target="5%20-%20RYSUNKI/2013-100-PRT-A0073538-A-Blacha%20LRZa.DXF" TargetMode="External"/><Relationship Id="rId1482" Type="http://schemas.openxmlformats.org/officeDocument/2006/relationships/hyperlink" Target="5%20-%20RYSUNKI/2013-200-PRT-A0075632-A-Wspornik%20LRZ.PDF" TargetMode="External"/><Relationship Id="rId505" Type="http://schemas.openxmlformats.org/officeDocument/2006/relationships/hyperlink" Target="5%20-%20RYSUNKI/2011-200-PRT-A0070612-A-Support%20uchwytu.STEP" TargetMode="External"/><Relationship Id="rId712" Type="http://schemas.openxmlformats.org/officeDocument/2006/relationships/hyperlink" Target="5%20-%20RYSUNKI/2011-600-PRT-A0070575-A-Rami&#281;%20ty&#322;.STEP" TargetMode="External"/><Relationship Id="rId1135" Type="http://schemas.openxmlformats.org/officeDocument/2006/relationships/hyperlink" Target="5%20-%20RYSUNKI/2011-600-PRT-A0070131-A-Podstawa%20zespo&#322;u.DXF" TargetMode="External"/><Relationship Id="rId1342" Type="http://schemas.openxmlformats.org/officeDocument/2006/relationships/hyperlink" Target="5%20-%20RYSUNKI/2013-200-PRT-A0073171-A-Uchwyt%20czujnika.STEP" TargetMode="External"/><Relationship Id="rId79" Type="http://schemas.openxmlformats.org/officeDocument/2006/relationships/hyperlink" Target="5%20-%20RYSUNKI/2011-400-PRT-A0068781-A-Dystans%20blokady.PDF" TargetMode="External"/><Relationship Id="rId1202" Type="http://schemas.openxmlformats.org/officeDocument/2006/relationships/hyperlink" Target="5%20-%20RYSUNKI/2013-100-PRT-A0073187-A-Pokrywka%20oringa.DXF" TargetMode="External"/><Relationship Id="rId1647" Type="http://schemas.openxmlformats.org/officeDocument/2006/relationships/hyperlink" Target="5%20-%20RYSUNKI/2011-200-PRT-A0073086-A-Blacha%20os&#322;onowa.DXF" TargetMode="External"/><Relationship Id="rId1507" Type="http://schemas.openxmlformats.org/officeDocument/2006/relationships/hyperlink" Target="5%20-%20RYSUNKI/2013-200-PRT-A0072656-A-P&#322;ytka%20przednia.PDF" TargetMode="External"/><Relationship Id="rId295" Type="http://schemas.openxmlformats.org/officeDocument/2006/relationships/hyperlink" Target="5%20-%20RYSUNKI/2011-400-PRT-A0069265-A-Uchwyt%20czujnika%202.STEP" TargetMode="External"/><Relationship Id="rId155" Type="http://schemas.openxmlformats.org/officeDocument/2006/relationships/hyperlink" Target="5%20-%20RYSUNKI/2011-200-PRT-A0070322-A-Gniazdo%20RH%20cz2.DXF" TargetMode="External"/><Relationship Id="rId362" Type="http://schemas.openxmlformats.org/officeDocument/2006/relationships/hyperlink" Target="5%20-%20RYSUNKI/2011-400-PRT-A0068772-A-Oprawa%20d&#378;wigni.PDF" TargetMode="External"/><Relationship Id="rId1297" Type="http://schemas.openxmlformats.org/officeDocument/2006/relationships/hyperlink" Target="5%20-%20RYSUNKI/2013-100-PRT-A0069067-A-Uchwyt%20wypychacza.STEP" TargetMode="External"/><Relationship Id="rId222" Type="http://schemas.openxmlformats.org/officeDocument/2006/relationships/hyperlink" Target="5%20-%20RYSUNKI/2011-200-PRT-A0070361-A-Podstawa%20gniazda%20podmonta&#380;u.STEP" TargetMode="External"/><Relationship Id="rId667" Type="http://schemas.openxmlformats.org/officeDocument/2006/relationships/hyperlink" Target="5%20-%20RYSUNKI/2011-600-PRT-A0070548-A-&#346;ciana%20lewa.STEP" TargetMode="External"/><Relationship Id="rId874" Type="http://schemas.openxmlformats.org/officeDocument/2006/relationships/hyperlink" Target="5%20-%20RYSUNKI/2011-903-PRT-A0072935-A-P&#322;yta.PDF" TargetMode="External"/><Relationship Id="rId527" Type="http://schemas.openxmlformats.org/officeDocument/2006/relationships/hyperlink" Target="5%20-%20RYSUNKI/2011-600-PRT-A0070116-A-P&#322;yta%20supportu%201.PDF" TargetMode="External"/><Relationship Id="rId734" Type="http://schemas.openxmlformats.org/officeDocument/2006/relationships/hyperlink" Target="5%20-%20RYSUNKI/2011-901-PRT-A0068930-A-Pozycjoner.PDF" TargetMode="External"/><Relationship Id="rId941" Type="http://schemas.openxmlformats.org/officeDocument/2006/relationships/hyperlink" Target="5%20-%20RYSUNKI/2011-903-PRT-A0072926-A-Gniazdo.DXF" TargetMode="External"/><Relationship Id="rId1157" Type="http://schemas.openxmlformats.org/officeDocument/2006/relationships/hyperlink" Target="5%20-%20RYSUNKI/2013-100-PRT-A0073551-A-Kostka%20zderzaka.STEP" TargetMode="External"/><Relationship Id="rId1364" Type="http://schemas.openxmlformats.org/officeDocument/2006/relationships/hyperlink" Target="5%20-%20RYSUNKI/2013-200-PRT-A0072948-A-Adapter%20dyszy.PDF" TargetMode="External"/><Relationship Id="rId1571" Type="http://schemas.openxmlformats.org/officeDocument/2006/relationships/hyperlink" Target="5%20-%20RYSUNKI/1704-01-PRT-A0076027-A-Mocowanie%20czujnika.DXF" TargetMode="External"/><Relationship Id="rId70" Type="http://schemas.openxmlformats.org/officeDocument/2006/relationships/hyperlink" Target="5%20-%20RYSUNKI/2011-400-PRT-A0068777-A-Mocowanie%20prowadnika%202.PDF" TargetMode="External"/><Relationship Id="rId801" Type="http://schemas.openxmlformats.org/officeDocument/2006/relationships/hyperlink" Target="5%20-%20RYSUNKI/2011-901-PRT-A0071396-A-P&#322;yta%20pionowa.STEP" TargetMode="External"/><Relationship Id="rId1017" Type="http://schemas.openxmlformats.org/officeDocument/2006/relationships/hyperlink" Target="5%20-%20RYSUNKI/2011-903-PRT-A0072946-B-Os&#322;ona.STEP" TargetMode="External"/><Relationship Id="rId1224" Type="http://schemas.openxmlformats.org/officeDocument/2006/relationships/hyperlink" Target="5%20-%20RYSUNKI/2013-100-PRT-A0073386-A-P&#322;yta%20obrotu.DXF" TargetMode="External"/><Relationship Id="rId1431" Type="http://schemas.openxmlformats.org/officeDocument/2006/relationships/hyperlink" Target="5%20-%20RYSUNKI/2013-200-PRT-A0072980-A-Podpora%20I.DXF" TargetMode="External"/><Relationship Id="rId1669" Type="http://schemas.openxmlformats.org/officeDocument/2006/relationships/hyperlink" Target="5%20-%20RYSUNKI/1704-03-PRT-A0076078-B-Os&#322;ona.STEP" TargetMode="External"/><Relationship Id="rId1529" Type="http://schemas.openxmlformats.org/officeDocument/2006/relationships/hyperlink" Target="5%20-%20RYSUNKI/1704-03-PRT-A0075945-A-Os&#322;ona%20PC.DXF" TargetMode="External"/><Relationship Id="rId28" Type="http://schemas.openxmlformats.org/officeDocument/2006/relationships/hyperlink" Target="5%20-%20RYSUNKI/2011-400-PRT-A0068847-A-P&#322;yta%20pionowa.PDF" TargetMode="External"/><Relationship Id="rId177" Type="http://schemas.openxmlformats.org/officeDocument/2006/relationships/hyperlink" Target="5%20-%20RYSUNKI/2011-200-PRT-A0070313-A-Podstawka%20gniazda%20ECrafter%20RH.STEP" TargetMode="External"/><Relationship Id="rId384" Type="http://schemas.openxmlformats.org/officeDocument/2006/relationships/hyperlink" Target="5%20-%20RYSUNKI/2011-400-PRT-A0069181-A-Podpora%20sr&#281;&#380;yny%20prawa.DXF" TargetMode="External"/><Relationship Id="rId591" Type="http://schemas.openxmlformats.org/officeDocument/2006/relationships/hyperlink" Target="5%20-%20RYSUNKI/2011-600-PRT-A0071429-A-O&#347;.DXF" TargetMode="External"/><Relationship Id="rId244" Type="http://schemas.openxmlformats.org/officeDocument/2006/relationships/hyperlink" Target="5%20-%20RYSUNKI/2011-200-PRT-A0069935-A-Kostka%20zderzaka%20osi%20Z.PDF" TargetMode="External"/><Relationship Id="rId689" Type="http://schemas.openxmlformats.org/officeDocument/2006/relationships/hyperlink" Target="5%20-%20RYSUNKI/2011--PRT-A0073197-B-Mocowanie%20si&#322;ownika.PDF" TargetMode="External"/><Relationship Id="rId896" Type="http://schemas.openxmlformats.org/officeDocument/2006/relationships/hyperlink" Target="5%20-%20RYSUNKI/2011-903-PRT-A0072919-A-Ogranicznik%20szyny.DXF" TargetMode="External"/><Relationship Id="rId1081" Type="http://schemas.openxmlformats.org/officeDocument/2006/relationships/hyperlink" Target="5%20-%20RYSUNKI/000.MAG.50%20-%20M5-A.PDF" TargetMode="External"/><Relationship Id="rId451" Type="http://schemas.openxmlformats.org/officeDocument/2006/relationships/hyperlink" Target="5%20-%20RYSUNKI/2011-200-PRT-A0070662-A-P&#322;yta%20montazowa.STEP" TargetMode="External"/><Relationship Id="rId549" Type="http://schemas.openxmlformats.org/officeDocument/2006/relationships/hyperlink" Target="5%20-%20RYSUNKI/2011-600-PRT-A0070498-A-Mocowanie%20podpory%20przedniej.DXF" TargetMode="External"/><Relationship Id="rId756" Type="http://schemas.openxmlformats.org/officeDocument/2006/relationships/hyperlink" Target="5%20-%20RYSUNKI/2011-992-PRT-A0073446-Lustro-A-Gniazdo%20D&#378;wigni%20eCrafter%20Przesuwny%20RH.STEP" TargetMode="External"/><Relationship Id="rId1179" Type="http://schemas.openxmlformats.org/officeDocument/2006/relationships/hyperlink" Target="5%20-%20RYSUNKI/2013-100-PRT-A0071391-A-Gniazdo%20spr&#281;&#380;yny.STEP" TargetMode="External"/><Relationship Id="rId1386" Type="http://schemas.openxmlformats.org/officeDocument/2006/relationships/hyperlink" Target="5%20-%20RYSUNKI/2013-200-PRT-A0072054-A-Wspornik.PDF" TargetMode="External"/><Relationship Id="rId1593" Type="http://schemas.openxmlformats.org/officeDocument/2006/relationships/hyperlink" Target="5%20-%20RYSUNKI/2011-200-PRT-A0072957-A-Uchwyt%20pude&#322;ek.STEP" TargetMode="External"/><Relationship Id="rId104" Type="http://schemas.openxmlformats.org/officeDocument/2006/relationships/hyperlink" Target="5%20-%20RYSUNKI/2011-400-PRT-A0068786-A-Oprawa%20&#322;o&#380;ysk.DXF" TargetMode="External"/><Relationship Id="rId311" Type="http://schemas.openxmlformats.org/officeDocument/2006/relationships/hyperlink" Target="5%20-%20RYSUNKI/2011-400-PRT-A0069217-A-Gniazdo%209.PDF" TargetMode="External"/><Relationship Id="rId409" Type="http://schemas.openxmlformats.org/officeDocument/2006/relationships/hyperlink" Target="5%20-%20RYSUNKI/2011-400-PRT-A0068791-A-Podpora%20&#347;rodkowa%203.STEP" TargetMode="External"/><Relationship Id="rId963" Type="http://schemas.openxmlformats.org/officeDocument/2006/relationships/hyperlink" Target="5%20-%20RYSUNKI/2011-990-PRT-A0072861-B-Kostka%20podporowa.STEP" TargetMode="External"/><Relationship Id="rId1039" Type="http://schemas.openxmlformats.org/officeDocument/2006/relationships/hyperlink" Target="5%20-%20RYSUNKI/2011-902-PRT-A0072038-A-Mocowanie%20prowadnika.PDF" TargetMode="External"/><Relationship Id="rId1246" Type="http://schemas.openxmlformats.org/officeDocument/2006/relationships/hyperlink" Target="5%20-%20RYSUNKI/2013-100-PRT-A0072835-A-Tacka%20ociekowa.DXF" TargetMode="External"/><Relationship Id="rId92" Type="http://schemas.openxmlformats.org/officeDocument/2006/relationships/hyperlink" Target="5%20-%20RYSUNKI/2011-400-PRT-A0068782-A-&#379;ebro%202.DXF" TargetMode="External"/><Relationship Id="rId616" Type="http://schemas.openxmlformats.org/officeDocument/2006/relationships/hyperlink" Target="5%20-%20RYSUNKI/2011-600-PRT-A0071412-A-Rami&#281;%20ma&#322;e.STEP" TargetMode="External"/><Relationship Id="rId823" Type="http://schemas.openxmlformats.org/officeDocument/2006/relationships/hyperlink" Target="5%20-%20RYSUNKI/2011-902-PRT-A0069227-A-Mocowanie%20si&#322;ownika.PDF" TargetMode="External"/><Relationship Id="rId1453" Type="http://schemas.openxmlformats.org/officeDocument/2006/relationships/hyperlink" Target="5%20-%20RYSUNKI/2013-200-PRT-A0070403-A--.STEP" TargetMode="External"/><Relationship Id="rId1660" Type="http://schemas.openxmlformats.org/officeDocument/2006/relationships/hyperlink" Target="5%20-%20RYSUNKI/1704-01-PRT-A0076072-A-Os&#322;ona.STEP" TargetMode="External"/><Relationship Id="rId1106" Type="http://schemas.openxmlformats.org/officeDocument/2006/relationships/hyperlink" Target="5%20-%20RYSUNKI/2011-600-PRT-A0073380-A-Os&#322;ona%20tylna.STEP" TargetMode="External"/><Relationship Id="rId1313" Type="http://schemas.openxmlformats.org/officeDocument/2006/relationships/hyperlink" Target="5%20-%20RYSUNKI/2013-100-PRT-A0069074-A-P&#322;yta%20pionowa.PDF" TargetMode="External"/><Relationship Id="rId1520" Type="http://schemas.openxmlformats.org/officeDocument/2006/relationships/hyperlink" Target="5%20-%20RYSUNKI/000.MAG.50%20-%20M5-A.DXF" TargetMode="External"/><Relationship Id="rId1618" Type="http://schemas.openxmlformats.org/officeDocument/2006/relationships/hyperlink" Target="5%20-%20RYSUNKI/2011-200-PRT-A0073009-A-Uchwyt%20kurtyny.STEP" TargetMode="External"/><Relationship Id="rId199" Type="http://schemas.openxmlformats.org/officeDocument/2006/relationships/hyperlink" Target="5%20-%20RYSUNKI/2011-200-PRT-A0069912-A-Podstawa%20szyny.PDF" TargetMode="External"/><Relationship Id="rId266" Type="http://schemas.openxmlformats.org/officeDocument/2006/relationships/hyperlink" Target="5%20-%20RYSUNKI/2011-200-PRT-A0070409-A-Os&#322;onka.DXF" TargetMode="External"/><Relationship Id="rId473" Type="http://schemas.openxmlformats.org/officeDocument/2006/relationships/hyperlink" Target="5%20-%20RYSUNKI/2011-200-PRT-A0071168-A-Prowadnica.PDF" TargetMode="External"/><Relationship Id="rId680" Type="http://schemas.openxmlformats.org/officeDocument/2006/relationships/hyperlink" Target="5%20-%20RYSUNKI/2011-600-PRT-A0070129-A-Korpus.PDF" TargetMode="External"/><Relationship Id="rId126" Type="http://schemas.openxmlformats.org/officeDocument/2006/relationships/hyperlink" Target="5%20-%20RYSUNKI/000.MAG.50%20-%20M6%20x30-H.STEP" TargetMode="External"/><Relationship Id="rId333" Type="http://schemas.openxmlformats.org/officeDocument/2006/relationships/hyperlink" Target="5%20-%20RYSUNKI/2011-400-PRT-A0069147-B-D&#378;wignia%20prawa.DXF" TargetMode="External"/><Relationship Id="rId540" Type="http://schemas.openxmlformats.org/officeDocument/2006/relationships/hyperlink" Target="5%20-%20RYSUNKI/2011-600-PRT-A0070109-A-Wspornik%20ruchomy%20prowadnika.DXF" TargetMode="External"/><Relationship Id="rId778" Type="http://schemas.openxmlformats.org/officeDocument/2006/relationships/hyperlink" Target="5%20-%20RYSUNKI/2011-992-PRT-A0072859-B-P&#322;yta%20Gniazda%20eCrafter%20RH.PDF" TargetMode="External"/><Relationship Id="rId985" Type="http://schemas.openxmlformats.org/officeDocument/2006/relationships/hyperlink" Target="5%20-%20RYSUNKI/2011-992-PRT-A0073444-A-Gniazdo%20D&#378;wigni%20eCrafter%20Przesuwny%20LH.PDF" TargetMode="External"/><Relationship Id="rId1170" Type="http://schemas.openxmlformats.org/officeDocument/2006/relationships/hyperlink" Target="5%20-%20RYSUNKI/2013-100-PRT-A0073215-A-Rynna%20prowadnika.PDF" TargetMode="External"/><Relationship Id="rId638" Type="http://schemas.openxmlformats.org/officeDocument/2006/relationships/hyperlink" Target="5%20-%20RYSUNKI/2011-600-PRT-A0071450-A-Blokada%20P.PDF" TargetMode="External"/><Relationship Id="rId845" Type="http://schemas.openxmlformats.org/officeDocument/2006/relationships/hyperlink" Target="5%20-%20RYSUNKI/2011-901-PRT-A0068932-A-&#321;&#261;cznik.DXF" TargetMode="External"/><Relationship Id="rId1030" Type="http://schemas.openxmlformats.org/officeDocument/2006/relationships/hyperlink" Target="5%20-%20RYSUNKI/2011-990-PRT-A0072868-A-Przek&#322;adka.PDF" TargetMode="External"/><Relationship Id="rId1268" Type="http://schemas.openxmlformats.org/officeDocument/2006/relationships/hyperlink" Target="5%20-%20RYSUNKI/2013-100-PRT-A0073405-A-&#346;ruba%20zderzak.STEP" TargetMode="External"/><Relationship Id="rId1475" Type="http://schemas.openxmlformats.org/officeDocument/2006/relationships/hyperlink" Target="5%20-%20RYSUNKI/2013-200-PRT-A0072033-A-P&#322;yta%20wbijania.STEP" TargetMode="External"/><Relationship Id="rId1682" Type="http://schemas.openxmlformats.org/officeDocument/2006/relationships/hyperlink" Target="5%20-%20RYSUNKI/1927-804-PRT-A0062007-B-Os&#322;ona.PDF" TargetMode="External"/><Relationship Id="rId400" Type="http://schemas.openxmlformats.org/officeDocument/2006/relationships/hyperlink" Target="5%20-%20RYSUNKI/2011-400-PRT-A0068798-A-Gniazdo%202.STEP" TargetMode="External"/><Relationship Id="rId705" Type="http://schemas.openxmlformats.org/officeDocument/2006/relationships/hyperlink" Target="5%20-%20RYSUNKI/2011-600-PRT-A0070122-A-Palec%20prz&#243;d.DXF" TargetMode="External"/><Relationship Id="rId1128" Type="http://schemas.openxmlformats.org/officeDocument/2006/relationships/hyperlink" Target="5%20-%20RYSUNKI/2011-600-PRT-A0073379-A-Mocowanie%20uko&#347;ne.PDF" TargetMode="External"/><Relationship Id="rId1335" Type="http://schemas.openxmlformats.org/officeDocument/2006/relationships/hyperlink" Target="5%20-%20RYSUNKI/2013-100-PRT-A0073405-A-&#346;ruba%20zderzak.DXF" TargetMode="External"/><Relationship Id="rId1542" Type="http://schemas.openxmlformats.org/officeDocument/2006/relationships/hyperlink" Target="5%20-%20RYSUNKI/1704-01-PRT-A0075914-A-Os&#322;ona%20PC.STEP" TargetMode="External"/><Relationship Id="rId912" Type="http://schemas.openxmlformats.org/officeDocument/2006/relationships/hyperlink" Target="5%20-%20RYSUNKI/2011-990-PRT-A0072871-A-Mocowanie%20zderzaka.STEP" TargetMode="External"/><Relationship Id="rId41" Type="http://schemas.openxmlformats.org/officeDocument/2006/relationships/hyperlink" Target="5%20-%20RYSUNKI/2011-400-PRT-A0068844-A-P&#322;ytka%20boczna.DXF" TargetMode="External"/><Relationship Id="rId1402" Type="http://schemas.openxmlformats.org/officeDocument/2006/relationships/hyperlink" Target="5%20-%20RYSUNKI/2013-200-PRT-A0072992-A-Kostka%20bazuj&#261;ca.PDF" TargetMode="External"/><Relationship Id="rId190" Type="http://schemas.openxmlformats.org/officeDocument/2006/relationships/hyperlink" Target="5%20-%20RYSUNKI/2011-200-PRT-A0069917-A-Zastrza&#322;%20osi%20Z.PDF" TargetMode="External"/><Relationship Id="rId288" Type="http://schemas.openxmlformats.org/officeDocument/2006/relationships/hyperlink" Target="5%20-%20RYSUNKI/2011-200-PRT-A0069914-A-Jarzmo.DXF" TargetMode="External"/><Relationship Id="rId495" Type="http://schemas.openxmlformats.org/officeDocument/2006/relationships/hyperlink" Target="5%20-%20RYSUNKI/2011-200-PRT-A0070628-A-Wa&#322;ek%20docisku.DXF" TargetMode="External"/><Relationship Id="rId148" Type="http://schemas.openxmlformats.org/officeDocument/2006/relationships/hyperlink" Target="5%20-%20RYSUNKI/2011-200-PRT-A0069923-A-Blaszka%20amortyzatora.PDF" TargetMode="External"/><Relationship Id="rId355" Type="http://schemas.openxmlformats.org/officeDocument/2006/relationships/hyperlink" Target="5%20-%20RYSUNKI/2011-400-PRT-A0068813-A-Zderzak.STEP" TargetMode="External"/><Relationship Id="rId562" Type="http://schemas.openxmlformats.org/officeDocument/2006/relationships/hyperlink" Target="5%20-%20RYSUNKI/2011-600-PRT-A0070107-A-P&#322;yta%20g&#322;&#243;wna.STEP" TargetMode="External"/><Relationship Id="rId1192" Type="http://schemas.openxmlformats.org/officeDocument/2006/relationships/hyperlink" Target="5%20-%20RYSUNKI/2013-100-PRT-A0073543-A-&#321;&#261;cznik%20sprz&#281;g&#322;a.PDF" TargetMode="External"/><Relationship Id="rId215" Type="http://schemas.openxmlformats.org/officeDocument/2006/relationships/hyperlink" Target="5%20-%20RYSUNKI/2011-200-PRT-A0070506-A-Os&#322;ona%20dolna%20podmonta&#380;u.DXF" TargetMode="External"/><Relationship Id="rId422" Type="http://schemas.openxmlformats.org/officeDocument/2006/relationships/hyperlink" Target="5%20-%20RYSUNKI/2011-200-PRT-A0070650-B-P&#322;yta%20monta&#380;owa.PDF" TargetMode="External"/><Relationship Id="rId867" Type="http://schemas.openxmlformats.org/officeDocument/2006/relationships/hyperlink" Target="5%20-%20RYSUNKI/2011-903-PRT-A0072938-A-Mocowanie.STEP" TargetMode="External"/><Relationship Id="rId1052" Type="http://schemas.openxmlformats.org/officeDocument/2006/relationships/hyperlink" Target="5%20-%20RYSUNKI/2011-904-PRT-A0070445-A-Mocowanie%20prowadnika.DXF" TargetMode="External"/><Relationship Id="rId1497" Type="http://schemas.openxmlformats.org/officeDocument/2006/relationships/hyperlink" Target="5%20-%20RYSUNKI/2013-200-PRT-A0072670-A-Wa&#322;ek%20docisku.STEP" TargetMode="External"/><Relationship Id="rId727" Type="http://schemas.openxmlformats.org/officeDocument/2006/relationships/hyperlink" Target="5%20-%20RYSUNKI/2011-901-PRT-A0068958-A-Pozycjoner.STEP" TargetMode="External"/><Relationship Id="rId934" Type="http://schemas.openxmlformats.org/officeDocument/2006/relationships/hyperlink" Target="5%20-%20RYSUNKI/2011-903-PRT-A0072928-B-Szcz&#281;ka.PDF" TargetMode="External"/><Relationship Id="rId1357" Type="http://schemas.openxmlformats.org/officeDocument/2006/relationships/hyperlink" Target="5%20-%20RYSUNKI/2013-200-PRT-A0072954-A-&#379;ebro.STEP" TargetMode="External"/><Relationship Id="rId1564" Type="http://schemas.openxmlformats.org/officeDocument/2006/relationships/hyperlink" Target="5%20-%20RYSUNKI/2011-200-PRT-A0070511-A-Blat%20stanowiska.PDF" TargetMode="External"/><Relationship Id="rId63" Type="http://schemas.openxmlformats.org/officeDocument/2006/relationships/hyperlink" Target="5%20-%20RYSUNKI/2011-400-PRT-A0068854-A-Nakr&#281;tka.STEP" TargetMode="External"/><Relationship Id="rId1217" Type="http://schemas.openxmlformats.org/officeDocument/2006/relationships/hyperlink" Target="5%20-%20RYSUNKI/2013-100-PRT-A0073982-A-P&#322;ytka%20dyszy.PDF" TargetMode="External"/><Relationship Id="rId1424" Type="http://schemas.openxmlformats.org/officeDocument/2006/relationships/hyperlink" Target="5%20-%20RYSUNKI/2013-200-PRT-A0074044-A-Gniazdo%20spr&#281;&#380;yny%20ruchome%20cz1.DXF" TargetMode="External"/><Relationship Id="rId1631" Type="http://schemas.openxmlformats.org/officeDocument/2006/relationships/hyperlink" Target="5%20-%20RYSUNKI/2011-200-PRT-A0073023-A-Dach.PDF" TargetMode="External"/><Relationship Id="rId377" Type="http://schemas.openxmlformats.org/officeDocument/2006/relationships/hyperlink" Target="5%20-%20RYSUNKI/2011-400-PRT-A0069205-A-Gniazdo%208.PDF" TargetMode="External"/><Relationship Id="rId584" Type="http://schemas.openxmlformats.org/officeDocument/2006/relationships/hyperlink" Target="5%20-%20RYSUNKI/2011-600-PRT-A0070542-A-Wspornik%20si&#322;ownika%201.PDF" TargetMode="External"/><Relationship Id="rId5" Type="http://schemas.openxmlformats.org/officeDocument/2006/relationships/hyperlink" Target="5%20-%20RYSUNKI/1927-000-PRT-A0062094-A-P&#322;ytka%20&#322;&#261;cz&#261;ca.DXF" TargetMode="External"/><Relationship Id="rId237" Type="http://schemas.openxmlformats.org/officeDocument/2006/relationships/hyperlink" Target="5%20-%20RYSUNKI/2011-200-PRT-A0069930-A-Przed&#322;u&#380;ka%20podci&#347;nienia%201.STEP" TargetMode="External"/><Relationship Id="rId791" Type="http://schemas.openxmlformats.org/officeDocument/2006/relationships/hyperlink" Target="5%20-%20RYSUNKI/2011-990-PRT-A0072864-A-P&#322;yta.DXF" TargetMode="External"/><Relationship Id="rId889" Type="http://schemas.openxmlformats.org/officeDocument/2006/relationships/hyperlink" Target="5%20-%20RYSUNKI/2011-903-PRT-A0072922-A-Obsada%20blokady%20spr&#281;&#380;ynki.PDF" TargetMode="External"/><Relationship Id="rId1074" Type="http://schemas.openxmlformats.org/officeDocument/2006/relationships/hyperlink" Target="5%20-%20RYSUNKI/000.MAG.50%20-%20M6%20x30-H.STEP" TargetMode="External"/><Relationship Id="rId444" Type="http://schemas.openxmlformats.org/officeDocument/2006/relationships/hyperlink" Target="5%20-%20RYSUNKI/2011-200-PRT-A0070671-A-Mocowanie%20chwytaka.DXF" TargetMode="External"/><Relationship Id="rId651" Type="http://schemas.openxmlformats.org/officeDocument/2006/relationships/hyperlink" Target="5%20-%20RYSUNKI/2011-600-PRT-A0071265-A-Dok&#322;adka%20PP.DXF" TargetMode="External"/><Relationship Id="rId749" Type="http://schemas.openxmlformats.org/officeDocument/2006/relationships/hyperlink" Target="5%20-%20RYSUNKI/2011-992-PRT-A0073447-B-Gniazdo%20D&#378;wigni%20eCrafter%20Przesuwny%20LH.PDF" TargetMode="External"/><Relationship Id="rId1281" Type="http://schemas.openxmlformats.org/officeDocument/2006/relationships/hyperlink" Target="5%20-%20RYSUNKI/2013-100-PRT-A0073327-A-Uchwyt%20prowadnika.DXF" TargetMode="External"/><Relationship Id="rId1379" Type="http://schemas.openxmlformats.org/officeDocument/2006/relationships/hyperlink" Target="5%20-%20RYSUNKI/2013-200-PRT-A0072713-A-&#379;ebro.PDF" TargetMode="External"/><Relationship Id="rId1586" Type="http://schemas.openxmlformats.org/officeDocument/2006/relationships/hyperlink" Target="5%20-%20RYSUNKI/2011-200-PRT-A0070522-A-Os&#322;ona%20boczna.DXF" TargetMode="External"/><Relationship Id="rId304" Type="http://schemas.openxmlformats.org/officeDocument/2006/relationships/hyperlink" Target="5%20-%20RYSUNKI/2011-400-PRT-A0068864-A-Mocowanie%20w&#243;zk&#243;w.STEP" TargetMode="External"/><Relationship Id="rId511" Type="http://schemas.openxmlformats.org/officeDocument/2006/relationships/hyperlink" Target="5%20-%20RYSUNKI/2011-600-PRT-A0070118-A-Zabezpieczenie%20szyny.STEP" TargetMode="External"/><Relationship Id="rId609" Type="http://schemas.openxmlformats.org/officeDocument/2006/relationships/hyperlink" Target="5%20-%20RYSUNKI/2011-600-PRT-A0071419-A-Dociskacz.DXF" TargetMode="External"/><Relationship Id="rId956" Type="http://schemas.openxmlformats.org/officeDocument/2006/relationships/hyperlink" Target="5%20-%20RYSUNKI/2011-903-PRT-A0072916-A-Kostka%20podporowa.DXF" TargetMode="External"/><Relationship Id="rId1141" Type="http://schemas.openxmlformats.org/officeDocument/2006/relationships/hyperlink" Target="5%20-%20RYSUNKI/2011-600-PRT-A0073415-A-P&#322;yta%20g&#322;&#243;wna.DXF" TargetMode="External"/><Relationship Id="rId1239" Type="http://schemas.openxmlformats.org/officeDocument/2006/relationships/hyperlink" Target="5%20-%20RYSUNKI/2013-100-PRT-A0072959-A-P&#322;ytka%20ociekacza.PDF" TargetMode="External"/><Relationship Id="rId85" Type="http://schemas.openxmlformats.org/officeDocument/2006/relationships/hyperlink" Target="5%20-%20RYSUNKI/2011-400-PRT-A0068784-A-P&#322;ytka%20dolna.PDF" TargetMode="External"/><Relationship Id="rId816" Type="http://schemas.openxmlformats.org/officeDocument/2006/relationships/hyperlink" Target="5%20-%20RYSUNKI/2011-904-PRT-A0070440-A-Dystans%20blokady.STEP" TargetMode="External"/><Relationship Id="rId1001" Type="http://schemas.openxmlformats.org/officeDocument/2006/relationships/hyperlink" Target="5%20-%20RYSUNKI/2011-903-PRT-A0072931-A-Blokada%20spr&#281;&#380;yny.DXF" TargetMode="External"/><Relationship Id="rId1446" Type="http://schemas.openxmlformats.org/officeDocument/2006/relationships/hyperlink" Target="5%20-%20RYSUNKI/2013-200-PRT-A0070423-Lustro-A-Gniazdo%20spr&#281;zynki%20cz2.STEP" TargetMode="External"/><Relationship Id="rId1653" Type="http://schemas.openxmlformats.org/officeDocument/2006/relationships/hyperlink" Target="5%20-%20RYSUNKI/2013-600-PRT-A0073153-B-Os&#322;ona%20kurtyny.DXF" TargetMode="External"/><Relationship Id="rId1306" Type="http://schemas.openxmlformats.org/officeDocument/2006/relationships/hyperlink" Target="5%20-%20RYSUNKI/2013-100-PRT-A0069076-A-Tulejka%20prowadz&#261;ca.STEP" TargetMode="External"/><Relationship Id="rId1513" Type="http://schemas.openxmlformats.org/officeDocument/2006/relationships/hyperlink" Target="5%20-%20RYSUNKI/2013-200-PRT-A0072663-A-Oprawa%20&#322;o&#380;ysk.PDF" TargetMode="External"/><Relationship Id="rId12" Type="http://schemas.openxmlformats.org/officeDocument/2006/relationships/hyperlink" Target="5%20-%20RYSUNKI/1704-01-PRT-A0065972-A-Os&#322;ona.STEP" TargetMode="External"/><Relationship Id="rId161" Type="http://schemas.openxmlformats.org/officeDocument/2006/relationships/hyperlink" Target="5%20-%20RYSUNKI/2011-200-PRT-A0069982-A-Gniazdo%20LH%20cz2.DXF" TargetMode="External"/><Relationship Id="rId399" Type="http://schemas.openxmlformats.org/officeDocument/2006/relationships/hyperlink" Target="5%20-%20RYSUNKI/2011-400-PRT-A0068798-A-Gniazdo%202.DXF" TargetMode="External"/><Relationship Id="rId259" Type="http://schemas.openxmlformats.org/officeDocument/2006/relationships/hyperlink" Target="5%20-%20RYSUNKI/2011-200-PRT-A0069989-A-Podp&#243;rka.PDF" TargetMode="External"/><Relationship Id="rId466" Type="http://schemas.openxmlformats.org/officeDocument/2006/relationships/hyperlink" Target="5%20-%20RYSUNKI/2011-200-PRT-A0070606-A-P&#322;yta%20monta&#380;owa.STEP" TargetMode="External"/><Relationship Id="rId673" Type="http://schemas.openxmlformats.org/officeDocument/2006/relationships/hyperlink" Target="5%20-%20RYSUNKI/2011-600-PRT-A0070121-A-Wpust.STEP" TargetMode="External"/><Relationship Id="rId880" Type="http://schemas.openxmlformats.org/officeDocument/2006/relationships/hyperlink" Target="5%20-%20RYSUNKI/2011-903-PRT-A0072933-A-P&#322;yta.PDF" TargetMode="External"/><Relationship Id="rId1096" Type="http://schemas.openxmlformats.org/officeDocument/2006/relationships/hyperlink" Target="5%20-%20RYSUNKI/2011-600-PRT-A0073373-A-Obudowa%20Fluke%202-3.PDF" TargetMode="External"/><Relationship Id="rId119" Type="http://schemas.openxmlformats.org/officeDocument/2006/relationships/hyperlink" Target="5%20-%20RYSUNKI/2011-800-PRT-A0069838-A-Uchwyt%20czujnika.DXF" TargetMode="External"/><Relationship Id="rId326" Type="http://schemas.openxmlformats.org/officeDocument/2006/relationships/hyperlink" Target="5%20-%20RYSUNKI/2011-400-PRT-A0068808-A-Mocowanie%20szyny.PDF" TargetMode="External"/><Relationship Id="rId533" Type="http://schemas.openxmlformats.org/officeDocument/2006/relationships/hyperlink" Target="5%20-%20RYSUNKI/2011-600-PRT-A0070114-A-Wzmocnienie%20supportu.PDF" TargetMode="External"/><Relationship Id="rId978" Type="http://schemas.openxmlformats.org/officeDocument/2006/relationships/hyperlink" Target="5%20-%20RYSUNKI/2011-901-PRT-A0068950-B-Mocowanie%20popychacza.STEP" TargetMode="External"/><Relationship Id="rId1163" Type="http://schemas.openxmlformats.org/officeDocument/2006/relationships/hyperlink" Target="5%20-%20RYSUNKI/2013-100-PRT-A0073118-A-Os&#322;onka%20czujnika.STEP" TargetMode="External"/><Relationship Id="rId1370" Type="http://schemas.openxmlformats.org/officeDocument/2006/relationships/hyperlink" Target="5%20-%20RYSUNKI/2013-200-PRT-A0072829-A-P&#322;yta%20pozioma.PDF" TargetMode="External"/><Relationship Id="rId740" Type="http://schemas.openxmlformats.org/officeDocument/2006/relationships/hyperlink" Target="5%20-%20RYSUNKI/2011-901-PRT-A0068923-A-Popychacz.PDF" TargetMode="External"/><Relationship Id="rId838" Type="http://schemas.openxmlformats.org/officeDocument/2006/relationships/hyperlink" Target="5%20-%20RYSUNKI/2011-902-PRT-A0069224-A-Trzpie&#324;.PDF" TargetMode="External"/><Relationship Id="rId1023" Type="http://schemas.openxmlformats.org/officeDocument/2006/relationships/hyperlink" Target="5%20-%20RYSUNKI/2011-990-PRT-A0072875-A-Mocowanie%20prowadnika.STEP" TargetMode="External"/><Relationship Id="rId1468" Type="http://schemas.openxmlformats.org/officeDocument/2006/relationships/hyperlink" Target="5%20-%20RYSUNKI/2013-200-PRT-A0070364-A-Ko&#322;eczek.DXF" TargetMode="External"/><Relationship Id="rId1675" Type="http://schemas.openxmlformats.org/officeDocument/2006/relationships/hyperlink" Target="5%20-%20RYSUNKI/1704-03-PRT-A0076079-B-Os&#322;ona.STEP" TargetMode="External"/><Relationship Id="rId600" Type="http://schemas.openxmlformats.org/officeDocument/2006/relationships/hyperlink" Target="5%20-%20RYSUNKI/2011-600-PRT-A0071423-A-P&#322;ytka%20po&#347;rednia.DXF" TargetMode="External"/><Relationship Id="rId1230" Type="http://schemas.openxmlformats.org/officeDocument/2006/relationships/hyperlink" Target="5%20-%20RYSUNKI/2013-100-PRT-A0073193-A-Podstawa%20gniazda%20bok.DXF" TargetMode="External"/><Relationship Id="rId1328" Type="http://schemas.openxmlformats.org/officeDocument/2006/relationships/hyperlink" Target="5%20-%20RYSUNKI/2013-100-PRT-A0073482-A-Dystans%20gniazda.PDF" TargetMode="External"/><Relationship Id="rId1535" Type="http://schemas.openxmlformats.org/officeDocument/2006/relationships/hyperlink" Target="5%20-%20RYSUNKI/1704-10-PRT-A0075877-A-Os&#322;ona%20ta&#347;my%20transportujacej.DXF" TargetMode="External"/><Relationship Id="rId905" Type="http://schemas.openxmlformats.org/officeDocument/2006/relationships/hyperlink" Target="5%20-%20RYSUNKI/2011-990-PRT-A0072873-A-Wspornik%20blokady.DXF" TargetMode="External"/><Relationship Id="rId34" Type="http://schemas.openxmlformats.org/officeDocument/2006/relationships/hyperlink" Target="5%20-%20RYSUNKI/2011-400-PRT-A0068850-A-Uchwyt%20sprz&#281;g&#322;a.PDF" TargetMode="External"/><Relationship Id="rId1602" Type="http://schemas.openxmlformats.org/officeDocument/2006/relationships/hyperlink" Target="5%20-%20RYSUNKI/2011-200-PRT-A0073020-A-Uchwyt%20pude&#322;ek.DXF" TargetMode="External"/><Relationship Id="rId183" Type="http://schemas.openxmlformats.org/officeDocument/2006/relationships/hyperlink" Target="5%20-%20RYSUNKI/2011-200-PRT-A0069970-A-P&#322;yta%20pod%20gniazdami.STEP" TargetMode="External"/><Relationship Id="rId390" Type="http://schemas.openxmlformats.org/officeDocument/2006/relationships/hyperlink" Target="5%20-%20RYSUNKI/2011-400-PRT-A0068802-A-Podpora%20&#347;rodkowa%201.DXF" TargetMode="External"/><Relationship Id="rId250" Type="http://schemas.openxmlformats.org/officeDocument/2006/relationships/hyperlink" Target="5%20-%20RYSUNKI/2011-200-PRT-A0070349-A-Gniazdko%20blaszek.PDF" TargetMode="External"/><Relationship Id="rId488" Type="http://schemas.openxmlformats.org/officeDocument/2006/relationships/hyperlink" Target="5%20-%20RYSUNKI/2011-200-PRT-A0071764-A-Gniazdo%20wtyczki%20V2.PDF" TargetMode="External"/><Relationship Id="rId695" Type="http://schemas.openxmlformats.org/officeDocument/2006/relationships/hyperlink" Target="5%20-%20RYSUNKI/2011--PRT-A0073178-B-Mocowanie%20si&#322;ownika.PDF" TargetMode="External"/><Relationship Id="rId110" Type="http://schemas.openxmlformats.org/officeDocument/2006/relationships/hyperlink" Target="5%20-%20RYSUNKI/2011-400-PRT-A0068861-A-P&#322;ytka%20naro&#380;na.DXF" TargetMode="External"/><Relationship Id="rId348" Type="http://schemas.openxmlformats.org/officeDocument/2006/relationships/hyperlink" Target="5%20-%20RYSUNKI/2011-400-PRT-A0069182-A-Listwa%20spr&#281;&#380;yny%20prawa%201.DXF" TargetMode="External"/><Relationship Id="rId555" Type="http://schemas.openxmlformats.org/officeDocument/2006/relationships/hyperlink" Target="5%20-%20RYSUNKI/2011-600-PRT-A0070491-A-Wspornik%20si&#322;ownika%202.DXF" TargetMode="External"/><Relationship Id="rId762" Type="http://schemas.openxmlformats.org/officeDocument/2006/relationships/hyperlink" Target="5%20-%20RYSUNKI/2011-992-PRT-A0073441-A-Gniazdo%20D&#378;wigni%20eCrafter%20Przesuwny%20LH.STEP" TargetMode="External"/><Relationship Id="rId1185" Type="http://schemas.openxmlformats.org/officeDocument/2006/relationships/hyperlink" Target="5%20-%20RYSUNKI/2013-100-PRT-A0073406-A-Kostka%20zderzaka.STEP" TargetMode="External"/><Relationship Id="rId1392" Type="http://schemas.openxmlformats.org/officeDocument/2006/relationships/hyperlink" Target="5%20-%20RYSUNKI/2013-200-PRT-A0071394-A-P&#322;ytka%20pozioma.PDF" TargetMode="External"/><Relationship Id="rId208" Type="http://schemas.openxmlformats.org/officeDocument/2006/relationships/hyperlink" Target="5%20-%20RYSUNKI/2011-200-PRT-A0070388-A-Wspornik%20si&#322;ownika.PDF" TargetMode="External"/><Relationship Id="rId415" Type="http://schemas.openxmlformats.org/officeDocument/2006/relationships/hyperlink" Target="5%20-%20RYSUNKI/2011-400-PRT-A0068789-A-Gniazdo%206.STEP" TargetMode="External"/><Relationship Id="rId622" Type="http://schemas.openxmlformats.org/officeDocument/2006/relationships/hyperlink" Target="5%20-%20RYSUNKI/2011-600-PRT-A0073136-A-Mocowanie%20BSC00PJ.STEP" TargetMode="External"/><Relationship Id="rId1045" Type="http://schemas.openxmlformats.org/officeDocument/2006/relationships/hyperlink" Target="5%20-%20RYSUNKI/2011-902-PRT-A0071206-A-Os&#322;ona.PDF" TargetMode="External"/><Relationship Id="rId1252" Type="http://schemas.openxmlformats.org/officeDocument/2006/relationships/hyperlink" Target="5%20-%20RYSUNKI/2013-100-PRT-A0073221-A-P&#322;yta%20pozioma.DXF" TargetMode="External"/><Relationship Id="rId927" Type="http://schemas.openxmlformats.org/officeDocument/2006/relationships/hyperlink" Target="5%20-%20RYSUNKI/2011-902-PRT-A0069226-A-Mocowanie%20odboju.STEP" TargetMode="External"/><Relationship Id="rId1112" Type="http://schemas.openxmlformats.org/officeDocument/2006/relationships/hyperlink" Target="5%20-%20RYSUNKI/2011-600-PRT-A0073375-A-Stopka.STEP" TargetMode="External"/><Relationship Id="rId1557" Type="http://schemas.openxmlformats.org/officeDocument/2006/relationships/hyperlink" Target="5%20-%20RYSUNKI/1851-11-PRT-A0075958-A-Os&#322;ona%20PC.STEP" TargetMode="External"/><Relationship Id="rId56" Type="http://schemas.openxmlformats.org/officeDocument/2006/relationships/hyperlink" Target="5%20-%20RYSUNKI/2011-400-PRT-A0068856-A-Tuleja%20ko&#324;cowa.DXF" TargetMode="External"/><Relationship Id="rId1417" Type="http://schemas.openxmlformats.org/officeDocument/2006/relationships/hyperlink" Target="5%20-%20RYSUNKI/2013-200-PRT-A0072671-A-Tulejka%20dystansowa.PDF" TargetMode="External"/><Relationship Id="rId1624" Type="http://schemas.openxmlformats.org/officeDocument/2006/relationships/hyperlink" Target="5%20-%20RYSUNKI/2011-200-PRT-A0073045-A-Os&#322;ona%20boczna.STEP" TargetMode="External"/><Relationship Id="rId272" Type="http://schemas.openxmlformats.org/officeDocument/2006/relationships/hyperlink" Target="5%20-%20RYSUNKI/2011-200-PRT-A0070022-A-Uchwyt%20gniazda.PDF" TargetMode="External"/><Relationship Id="rId577" Type="http://schemas.openxmlformats.org/officeDocument/2006/relationships/hyperlink" Target="5%20-%20RYSUNKI/2011-600-PRT-A0070494-A-Podpora%20przednia%201.STEP" TargetMode="External"/><Relationship Id="rId132" Type="http://schemas.openxmlformats.org/officeDocument/2006/relationships/hyperlink" Target="5%20-%20RYSUNKI/000.MAG.22.M6H-A.STEP" TargetMode="External"/><Relationship Id="rId784" Type="http://schemas.openxmlformats.org/officeDocument/2006/relationships/hyperlink" Target="5%20-%20RYSUNKI/2011-903-PRT-A0072923-A-Dystans%20si&#322;ownika.PDF" TargetMode="External"/><Relationship Id="rId991" Type="http://schemas.openxmlformats.org/officeDocument/2006/relationships/hyperlink" Target="5%20-%20RYSUNKI/2011-992-PRT-A0073443-A-Gniazdo%20D&#378;wigni%20eCrafter%20Przesuwny%20LH.STEP" TargetMode="External"/><Relationship Id="rId1067" Type="http://schemas.openxmlformats.org/officeDocument/2006/relationships/hyperlink" Target="5%20-%20RYSUNKI/000.MAG.50%20-%20M5%20x%20L-C.DXF" TargetMode="External"/><Relationship Id="rId437" Type="http://schemas.openxmlformats.org/officeDocument/2006/relationships/hyperlink" Target="5%20-%20RYSUNKI/2011-200-PRT-A0071260-A-Mocowanie%20chwytaka.PDF" TargetMode="External"/><Relationship Id="rId644" Type="http://schemas.openxmlformats.org/officeDocument/2006/relationships/hyperlink" Target="5%20-%20RYSUNKI/2011-600-PRT-A0071261-A-Podpora%20TL.PDF" TargetMode="External"/><Relationship Id="rId851" Type="http://schemas.openxmlformats.org/officeDocument/2006/relationships/hyperlink" Target="5%20-%20RYSUNKI/2011-903-PRT-A0072944-A-&#379;ebro.DXF" TargetMode="External"/><Relationship Id="rId1274" Type="http://schemas.openxmlformats.org/officeDocument/2006/relationships/hyperlink" Target="5%20-%20RYSUNKI/2013-100-PRT-A0073538-A-Blacha%20LRZa.PDF" TargetMode="External"/><Relationship Id="rId1481" Type="http://schemas.openxmlformats.org/officeDocument/2006/relationships/hyperlink" Target="5%20-%20RYSUNKI/2013-200-PRT-A0070421-A-Podstawa%20gniazd%20spr&#281;&#380;yn.STEP" TargetMode="External"/><Relationship Id="rId1579" Type="http://schemas.openxmlformats.org/officeDocument/2006/relationships/hyperlink" Target="5%20-%20RYSUNKI/2011-200-PRT-A0070520-A-Blacha%20dolna.PDF" TargetMode="External"/><Relationship Id="rId504" Type="http://schemas.openxmlformats.org/officeDocument/2006/relationships/hyperlink" Target="5%20-%20RYSUNKI/2011-200-PRT-A0070612-A-Support%20uchwytu.DXF" TargetMode="External"/><Relationship Id="rId711" Type="http://schemas.openxmlformats.org/officeDocument/2006/relationships/hyperlink" Target="5%20-%20RYSUNKI/2011-600-PRT-A0070575-A-Rami&#281;%20ty&#322;.DXF" TargetMode="External"/><Relationship Id="rId949" Type="http://schemas.openxmlformats.org/officeDocument/2006/relationships/hyperlink" Target="5%20-%20RYSUNKI/2011-901-PRT-A0068943-A-Element%20sprz&#281;gaj&#261;cy.PDF" TargetMode="External"/><Relationship Id="rId1134" Type="http://schemas.openxmlformats.org/officeDocument/2006/relationships/hyperlink" Target="5%20-%20RYSUNKI/2011-600-PRT-A0070131-A-Podstawa%20zespo&#322;u.PDF" TargetMode="External"/><Relationship Id="rId1341" Type="http://schemas.openxmlformats.org/officeDocument/2006/relationships/hyperlink" Target="5%20-%20RYSUNKI/2013-200-PRT-A0073171-A-Uchwyt%20czujnika.DXF" TargetMode="External"/><Relationship Id="rId78" Type="http://schemas.openxmlformats.org/officeDocument/2006/relationships/hyperlink" Target="5%20-%20RYSUNKI/2011-400-PRT-A0068787-A-Wa&#322;ek%20docisku.STEP" TargetMode="External"/><Relationship Id="rId809" Type="http://schemas.openxmlformats.org/officeDocument/2006/relationships/hyperlink" Target="5%20-%20RYSUNKI/2011-904-PRT-A0070448-A-&#379;ebro.DXF" TargetMode="External"/><Relationship Id="rId1201" Type="http://schemas.openxmlformats.org/officeDocument/2006/relationships/hyperlink" Target="5%20-%20RYSUNKI/2013-100-PRT-A0073187-A-Pokrywka%20oringa.PDF" TargetMode="External"/><Relationship Id="rId1439" Type="http://schemas.openxmlformats.org/officeDocument/2006/relationships/hyperlink" Target="5%20-%20RYSUNKI/2013-200-PRT-A0072056-Lustro-A-Podp&#243;rka.STEP" TargetMode="External"/><Relationship Id="rId1646" Type="http://schemas.openxmlformats.org/officeDocument/2006/relationships/hyperlink" Target="5%20-%20RYSUNKI/2011-200-PRT-A0073086-A-Blacha%20os&#322;onowa.PDF" TargetMode="External"/><Relationship Id="rId1506" Type="http://schemas.openxmlformats.org/officeDocument/2006/relationships/hyperlink" Target="5%20-%20RYSUNKI/2013-200-PRT-A0072660-A-&#379;ebro%202.STEP" TargetMode="External"/><Relationship Id="rId294" Type="http://schemas.openxmlformats.org/officeDocument/2006/relationships/hyperlink" Target="5%20-%20RYSUNKI/2011-400-PRT-A0069265-A-Uchwyt%20czujnika%202.DXF" TargetMode="External"/><Relationship Id="rId154" Type="http://schemas.openxmlformats.org/officeDocument/2006/relationships/hyperlink" Target="5%20-%20RYSUNKI/2011-200-PRT-A0070322-A-Gniazdo%20RH%20cz2.PDF" TargetMode="External"/><Relationship Id="rId361" Type="http://schemas.openxmlformats.org/officeDocument/2006/relationships/hyperlink" Target="5%20-%20RYSUNKI/2011-400-PRT-A0068773-A-Ko&#322;ek.STEP" TargetMode="External"/><Relationship Id="rId599" Type="http://schemas.openxmlformats.org/officeDocument/2006/relationships/hyperlink" Target="5%20-%20RYSUNKI/2011-600-PRT-A0071423-A-P&#322;ytka%20po&#347;rednia.PDF" TargetMode="External"/><Relationship Id="rId459" Type="http://schemas.openxmlformats.org/officeDocument/2006/relationships/hyperlink" Target="5%20-%20RYSUNKI/2011-200-PRT-A0070624-A-P&#322;yta%20mocuj&#261;ca.DXF" TargetMode="External"/><Relationship Id="rId666" Type="http://schemas.openxmlformats.org/officeDocument/2006/relationships/hyperlink" Target="5%20-%20RYSUNKI/2011-600-PRT-A0070548-A-&#346;ciana%20lewa.DXF" TargetMode="External"/><Relationship Id="rId873" Type="http://schemas.openxmlformats.org/officeDocument/2006/relationships/hyperlink" Target="5%20-%20RYSUNKI/2011-903-PRT-A0072936-A-P&#322;yta.STEP" TargetMode="External"/><Relationship Id="rId1089" Type="http://schemas.openxmlformats.org/officeDocument/2006/relationships/hyperlink" Target="5%20-%20RYSUNKI/000.MAG.22.M8-A.STEP" TargetMode="External"/><Relationship Id="rId1296" Type="http://schemas.openxmlformats.org/officeDocument/2006/relationships/hyperlink" Target="5%20-%20RYSUNKI/2013-100-PRT-A0069067-A-Uchwyt%20wypychacza.DXF" TargetMode="External"/><Relationship Id="rId221" Type="http://schemas.openxmlformats.org/officeDocument/2006/relationships/hyperlink" Target="5%20-%20RYSUNKI/2011-200-PRT-A0070361-A-Podstawa%20gniazda%20podmonta&#380;u.DXF" TargetMode="External"/><Relationship Id="rId319" Type="http://schemas.openxmlformats.org/officeDocument/2006/relationships/hyperlink" Target="5%20-%20RYSUNKI/2011-400-PRT-A0068811-A-P&#322;yta%20pionowa%20prz&#243;d.STEP" TargetMode="External"/><Relationship Id="rId526" Type="http://schemas.openxmlformats.org/officeDocument/2006/relationships/hyperlink" Target="5%20-%20RYSUNKI/2011-600-PRT-A0070112-A-Adapter%20&#322;&#261;cznika.STEP" TargetMode="External"/><Relationship Id="rId1156" Type="http://schemas.openxmlformats.org/officeDocument/2006/relationships/hyperlink" Target="5%20-%20RYSUNKI/2013-100-PRT-A0073551-A-Kostka%20zderzaka.DXF" TargetMode="External"/><Relationship Id="rId1363" Type="http://schemas.openxmlformats.org/officeDocument/2006/relationships/hyperlink" Target="5%20-%20RYSUNKI/2013-200-PRT-A0072951-A-P&#322;yta.STEP" TargetMode="External"/><Relationship Id="rId733" Type="http://schemas.openxmlformats.org/officeDocument/2006/relationships/hyperlink" Target="5%20-%20RYSUNKI/2011-901-PRT-A0068931-A-Nakr&#281;tka%20specjalna.STEP" TargetMode="External"/><Relationship Id="rId940" Type="http://schemas.openxmlformats.org/officeDocument/2006/relationships/hyperlink" Target="5%20-%20RYSUNKI/2011-903-PRT-A0072926-A-Gniazdo.PDF" TargetMode="External"/><Relationship Id="rId1016" Type="http://schemas.openxmlformats.org/officeDocument/2006/relationships/hyperlink" Target="5%20-%20RYSUNKI/2011-903-PRT-A0072946-B-Os&#322;ona.DXF" TargetMode="External"/><Relationship Id="rId1570" Type="http://schemas.openxmlformats.org/officeDocument/2006/relationships/hyperlink" Target="5%20-%20RYSUNKI/1704-01-PRT-A0076027-A-Mocowanie%20czujnika.PDF" TargetMode="External"/><Relationship Id="rId1668" Type="http://schemas.openxmlformats.org/officeDocument/2006/relationships/hyperlink" Target="5%20-%20RYSUNKI/1704-03-PRT-A0076078-B-Os&#322;ona.DXF" TargetMode="External"/><Relationship Id="rId800" Type="http://schemas.openxmlformats.org/officeDocument/2006/relationships/hyperlink" Target="5%20-%20RYSUNKI/2011-901-PRT-A0071396-A-P&#322;yta%20pionowa.DXF" TargetMode="External"/><Relationship Id="rId1223" Type="http://schemas.openxmlformats.org/officeDocument/2006/relationships/hyperlink" Target="5%20-%20RYSUNKI/2013-100-PRT-A0073386-A-P&#322;yta%20obrotu.PDF" TargetMode="External"/><Relationship Id="rId1430" Type="http://schemas.openxmlformats.org/officeDocument/2006/relationships/hyperlink" Target="5%20-%20RYSUNKI/2013-200-PRT-A0072980-A-Podpora%20I.PDF" TargetMode="External"/><Relationship Id="rId1528" Type="http://schemas.openxmlformats.org/officeDocument/2006/relationships/hyperlink" Target="5%20-%20RYSUNKI/1704-03-PRT-A0075945-A-Os&#322;ona%20PC.PDF" TargetMode="External"/><Relationship Id="rId27" Type="http://schemas.openxmlformats.org/officeDocument/2006/relationships/hyperlink" Target="5%20-%20RYSUNKI/2011-400-PRT-A0068848-A-Mocowanie%20si&#322;ownika%202.STEP" TargetMode="External"/><Relationship Id="rId80" Type="http://schemas.openxmlformats.org/officeDocument/2006/relationships/hyperlink" Target="5%20-%20RYSUNKI/2011-400-PRT-A0068781-A-Dystans%20blokady.DXF" TargetMode="External"/><Relationship Id="rId176" Type="http://schemas.openxmlformats.org/officeDocument/2006/relationships/hyperlink" Target="5%20-%20RYSUNKI/2011-200-PRT-A0070313-A-Podstawka%20gniazda%20ECrafter%20RH.DXF" TargetMode="External"/><Relationship Id="rId383" Type="http://schemas.openxmlformats.org/officeDocument/2006/relationships/hyperlink" Target="5%20-%20RYSUNKI/2011-400-PRT-A0069181-A-Podpora%20sr&#281;&#380;yny%20prawa.PDF" TargetMode="External"/><Relationship Id="rId590" Type="http://schemas.openxmlformats.org/officeDocument/2006/relationships/hyperlink" Target="5%20-%20RYSUNKI/2011-600-PRT-A0071429-A-O&#347;.PDF" TargetMode="External"/><Relationship Id="rId604" Type="http://schemas.openxmlformats.org/officeDocument/2006/relationships/hyperlink" Target="5%20-%20RYSUNKI/2011-600-PRT-A0073063-A-Wa&#322;eczek%20gumowy.STEP" TargetMode="External"/><Relationship Id="rId811" Type="http://schemas.openxmlformats.org/officeDocument/2006/relationships/hyperlink" Target="5%20-%20RYSUNKI/2011-904-PRT-A0070446-A-P&#322;ytka%20dolna.PDF" TargetMode="External"/><Relationship Id="rId1027" Type="http://schemas.openxmlformats.org/officeDocument/2006/relationships/hyperlink" Target="5%20-%20RYSUNKI/2011-990-PRT-A0072869-A-Wanienka%20na%20smar.PDF" TargetMode="External"/><Relationship Id="rId1234" Type="http://schemas.openxmlformats.org/officeDocument/2006/relationships/hyperlink" Target="5%20-%20RYSUNKI/2013-100-PRT-A0073119-A-Tulejka%20czujnika.STEP" TargetMode="External"/><Relationship Id="rId1441" Type="http://schemas.openxmlformats.org/officeDocument/2006/relationships/hyperlink" Target="5%20-%20RYSUNKI/2013-200-PRT-A0072030-A-Ko&#324;c&#243;wka%20wbijaj&#261;ca.DXF" TargetMode="External"/><Relationship Id="rId243" Type="http://schemas.openxmlformats.org/officeDocument/2006/relationships/hyperlink" Target="5%20-%20RYSUNKI/2011-200-PRT-A0069908-A-Wa&#322;ek%20stempla.STEP" TargetMode="External"/><Relationship Id="rId450" Type="http://schemas.openxmlformats.org/officeDocument/2006/relationships/hyperlink" Target="5%20-%20RYSUNKI/2011-200-PRT-A0070662-A-P&#322;yta%20montazowa.DXF" TargetMode="External"/><Relationship Id="rId688" Type="http://schemas.openxmlformats.org/officeDocument/2006/relationships/hyperlink" Target="5%20-%20RYSUNKI/2011--PRT-A0073184-B-Uchwyt%20si&#322;ownika.STEP" TargetMode="External"/><Relationship Id="rId895" Type="http://schemas.openxmlformats.org/officeDocument/2006/relationships/hyperlink" Target="5%20-%20RYSUNKI/2011-903-PRT-A0072919-A-Ogranicznik%20szyny.PDF" TargetMode="External"/><Relationship Id="rId909" Type="http://schemas.openxmlformats.org/officeDocument/2006/relationships/hyperlink" Target="5%20-%20RYSUNKI/2011-990-PRT-A0072872-A-Wspornik%20blokady.STEP" TargetMode="External"/><Relationship Id="rId1080" Type="http://schemas.openxmlformats.org/officeDocument/2006/relationships/hyperlink" Target="5%20-%20RYSUNKI/000.MAG.90.06-B.STEP" TargetMode="External"/><Relationship Id="rId1301" Type="http://schemas.openxmlformats.org/officeDocument/2006/relationships/hyperlink" Target="5%20-%20RYSUNKI/2013-100-PRT-A0069081-A-Gniazdo%20trzpienia%20dolne.PDF" TargetMode="External"/><Relationship Id="rId1539" Type="http://schemas.openxmlformats.org/officeDocument/2006/relationships/hyperlink" Target="5%20-%20RYSUNKI/1704-10-PRT-A0075919-A-Os&#322;ona%20boku%20transportera.STEP" TargetMode="External"/><Relationship Id="rId38" Type="http://schemas.openxmlformats.org/officeDocument/2006/relationships/hyperlink" Target="5%20-%20RYSUNKI/2011-400-PRT-A0068846-A-Uchwyt%20sprz&#281;g&#322;a%202.DXF" TargetMode="External"/><Relationship Id="rId103" Type="http://schemas.openxmlformats.org/officeDocument/2006/relationships/hyperlink" Target="5%20-%20RYSUNKI/2011-400-PRT-A0068786-A-Oprawa%20&#322;o&#380;ysk.PDF" TargetMode="External"/><Relationship Id="rId310" Type="http://schemas.openxmlformats.org/officeDocument/2006/relationships/hyperlink" Target="5%20-%20RYSUNKI/2011-400-PRT-A0069230-A-Gniazdo%2010.STEP" TargetMode="External"/><Relationship Id="rId548" Type="http://schemas.openxmlformats.org/officeDocument/2006/relationships/hyperlink" Target="5%20-%20RYSUNKI/2011-600-PRT-A0070498-A-Mocowanie%20podpory%20przedniej.PDF" TargetMode="External"/><Relationship Id="rId755" Type="http://schemas.openxmlformats.org/officeDocument/2006/relationships/hyperlink" Target="5%20-%20RYSUNKI/2011-992-PRT-A0073446-A-Gniazdo%20D&#378;wigni%20eCrafter%20Przesuwny%20LH.STEP" TargetMode="External"/><Relationship Id="rId962" Type="http://schemas.openxmlformats.org/officeDocument/2006/relationships/hyperlink" Target="5%20-%20RYSUNKI/2011-990-PRT-A0072861-B-Kostka%20podporowa.DXF" TargetMode="External"/><Relationship Id="rId1178" Type="http://schemas.openxmlformats.org/officeDocument/2006/relationships/hyperlink" Target="5%20-%20RYSUNKI/2013-100-PRT-A0071391-A-Gniazdo%20spr&#281;&#380;yny.DXF" TargetMode="External"/><Relationship Id="rId1385" Type="http://schemas.openxmlformats.org/officeDocument/2006/relationships/hyperlink" Target="5%20-%20RYSUNKI/2013-200-PRT-A0072712-A-P&#322;ytka%20si&#322;ownika.STEP" TargetMode="External"/><Relationship Id="rId1592" Type="http://schemas.openxmlformats.org/officeDocument/2006/relationships/hyperlink" Target="5%20-%20RYSUNKI/2011-200-PRT-A0072957-A-Uchwyt%20pude&#322;ek.DXF" TargetMode="External"/><Relationship Id="rId1606" Type="http://schemas.openxmlformats.org/officeDocument/2006/relationships/hyperlink" Target="5%20-%20RYSUNKI/2011-200-PRT-A0073030-A-Mocowanie%20czujnika%20wizyjnego.STEP" TargetMode="External"/><Relationship Id="rId91" Type="http://schemas.openxmlformats.org/officeDocument/2006/relationships/hyperlink" Target="5%20-%20RYSUNKI/2011-400-PRT-A0068782-A-&#379;ebro%202.PDF" TargetMode="External"/><Relationship Id="rId187" Type="http://schemas.openxmlformats.org/officeDocument/2006/relationships/hyperlink" Target="5%20-%20RYSUNKI/2011-200-PRT-A0069921-A-Podstawa%20szyny.PDF" TargetMode="External"/><Relationship Id="rId394" Type="http://schemas.openxmlformats.org/officeDocument/2006/relationships/hyperlink" Target="5%20-%20RYSUNKI/2011-400-PRT-A0068801-A-Podpora%20&#347;rodkowa%202.STEP" TargetMode="External"/><Relationship Id="rId408" Type="http://schemas.openxmlformats.org/officeDocument/2006/relationships/hyperlink" Target="5%20-%20RYSUNKI/2011-400-PRT-A0068791-A-Podpora%20&#347;rodkowa%203.DXF" TargetMode="External"/><Relationship Id="rId615" Type="http://schemas.openxmlformats.org/officeDocument/2006/relationships/hyperlink" Target="5%20-%20RYSUNKI/2011-600-PRT-A0071412-A-Rami&#281;%20ma&#322;e.DXF" TargetMode="External"/><Relationship Id="rId822" Type="http://schemas.openxmlformats.org/officeDocument/2006/relationships/hyperlink" Target="5%20-%20RYSUNKI/2011-902-PRT-A0069228-A-Mocowanie%20szyny.STEP" TargetMode="External"/><Relationship Id="rId1038" Type="http://schemas.openxmlformats.org/officeDocument/2006/relationships/hyperlink" Target="5%20-%20RYSUNKI/2011-902-PRT-A0072718-A-Mocowanie.STEP" TargetMode="External"/><Relationship Id="rId1245" Type="http://schemas.openxmlformats.org/officeDocument/2006/relationships/hyperlink" Target="5%20-%20RYSUNKI/2013-100-PRT-A0072835-A-Tacka%20ociekowa.PDF" TargetMode="External"/><Relationship Id="rId1452" Type="http://schemas.openxmlformats.org/officeDocument/2006/relationships/hyperlink" Target="5%20-%20RYSUNKI/2013-200-PRT-A0070403-A--.DXF" TargetMode="External"/><Relationship Id="rId254" Type="http://schemas.openxmlformats.org/officeDocument/2006/relationships/hyperlink" Target="5%20-%20RYSUNKI/2011-200-PRT-A0070417-A-Os&#322;ona%20si&#322;ownika.DXF" TargetMode="External"/><Relationship Id="rId699" Type="http://schemas.openxmlformats.org/officeDocument/2006/relationships/hyperlink" Target="5%20-%20RYSUNKI/2011-600-PRT-A0070120-A-Odwa&#380;nik%20prz&#243;d.DXF" TargetMode="External"/><Relationship Id="rId1091" Type="http://schemas.openxmlformats.org/officeDocument/2006/relationships/hyperlink" Target="5%20-%20RYSUNKI/2011-600-PRT-A0073372-A-Obudowa%20Fluke%203-3.DXF" TargetMode="External"/><Relationship Id="rId1105" Type="http://schemas.openxmlformats.org/officeDocument/2006/relationships/hyperlink" Target="5%20-%20RYSUNKI/2011-600-PRT-A0073380-A-Os&#322;ona%20tylna.DXF" TargetMode="External"/><Relationship Id="rId1312" Type="http://schemas.openxmlformats.org/officeDocument/2006/relationships/hyperlink" Target="5%20-%20RYSUNKI/2013-100-PRT-A0069079-A-Mocowanie%20wypychacza.STEP" TargetMode="External"/><Relationship Id="rId49" Type="http://schemas.openxmlformats.org/officeDocument/2006/relationships/hyperlink" Target="5%20-%20RYSUNKI/2011-400-PRT-A0068857-A-Tuleja%20prowadz&#261;ca.PDF" TargetMode="External"/><Relationship Id="rId114" Type="http://schemas.openxmlformats.org/officeDocument/2006/relationships/hyperlink" Target="5%20-%20RYSUNKI/2011-400-PRT-A0068860-A-P&#322;ytka%20&#347;rodkowa.STEP" TargetMode="External"/><Relationship Id="rId461" Type="http://schemas.openxmlformats.org/officeDocument/2006/relationships/hyperlink" Target="5%20-%20RYSUNKI/2011-200-PRT-A0070607-A-P&#322;yta%20monra&#380;owa.PDF" TargetMode="External"/><Relationship Id="rId559" Type="http://schemas.openxmlformats.org/officeDocument/2006/relationships/hyperlink" Target="5%20-%20RYSUNKI/2011-600-PRT-A0070490-A-Wspornik%20si&#322;ownika%201.STEP" TargetMode="External"/><Relationship Id="rId766" Type="http://schemas.openxmlformats.org/officeDocument/2006/relationships/hyperlink" Target="5%20-%20RYSUNKI/2011-992-PRT-A0073440-A-Gniazdo%20D&#378;wigni%20eCrafter%20Przesuwny%20LH.STEP" TargetMode="External"/><Relationship Id="rId1189" Type="http://schemas.openxmlformats.org/officeDocument/2006/relationships/hyperlink" Target="5%20-%20RYSUNKI/2013-100-PRT-A0072679-A-Oprawa%20gniazda%20spr&#281;&#380;yny.PDF" TargetMode="External"/><Relationship Id="rId1396" Type="http://schemas.openxmlformats.org/officeDocument/2006/relationships/hyperlink" Target="5%20-%20RYSUNKI/2013-200-PRT-A0071392-A-P&#322;ytka.DXF" TargetMode="External"/><Relationship Id="rId1617" Type="http://schemas.openxmlformats.org/officeDocument/2006/relationships/hyperlink" Target="5%20-%20RYSUNKI/2011-200-PRT-A0073009-A-Uchwyt%20kurtyny.DXF" TargetMode="External"/><Relationship Id="rId198" Type="http://schemas.openxmlformats.org/officeDocument/2006/relationships/hyperlink" Target="5%20-%20RYSUNKI/2011-200-PRT-A0069913-A-P&#322;yta%20szyn%20osi%20Z.STEP" TargetMode="External"/><Relationship Id="rId321" Type="http://schemas.openxmlformats.org/officeDocument/2006/relationships/hyperlink" Target="5%20-%20RYSUNKI/2011-400-PRT-A0068810-A-P&#322;yta%20pionowa%20ty&#322;.DXF" TargetMode="External"/><Relationship Id="rId419" Type="http://schemas.openxmlformats.org/officeDocument/2006/relationships/hyperlink" Target="5%20-%20RYSUNKI/2011-200-PRT-A0071269-A-Kostka%20si&#322;ownika.PDF" TargetMode="External"/><Relationship Id="rId626" Type="http://schemas.openxmlformats.org/officeDocument/2006/relationships/hyperlink" Target="5%20-%20RYSUNKI/2011-600-PRT-A0070100-A-Wspornik%20pin&#243;w%201.PDF" TargetMode="External"/><Relationship Id="rId973" Type="http://schemas.openxmlformats.org/officeDocument/2006/relationships/hyperlink" Target="5%20-%20RYSUNKI/2011-901-PRT-A0068951-A-Zabierak.PDF" TargetMode="External"/><Relationship Id="rId1049" Type="http://schemas.openxmlformats.org/officeDocument/2006/relationships/hyperlink" Target="5%20-%20RYSUNKI/2011-902-PRT-A0070603-A-Pier&#347;cie&#324;.DXF" TargetMode="External"/><Relationship Id="rId1256" Type="http://schemas.openxmlformats.org/officeDocument/2006/relationships/hyperlink" Target="5%20-%20RYSUNKI/2013-100-PRT-A0073209-A-P&#322;yta%20smarowania.STEP" TargetMode="External"/><Relationship Id="rId833" Type="http://schemas.openxmlformats.org/officeDocument/2006/relationships/hyperlink" Target="5%20-%20RYSUNKI/2011-901-PRT-A0068940-A-P&#322;ytka%20mocowania%20si&#322;ownika.DXF" TargetMode="External"/><Relationship Id="rId1116" Type="http://schemas.openxmlformats.org/officeDocument/2006/relationships/hyperlink" Target="5%20-%20RYSUNKI/2011-600-PRT-A0073466-A-Os&#322;ona%20prawa.PDF" TargetMode="External"/><Relationship Id="rId1463" Type="http://schemas.openxmlformats.org/officeDocument/2006/relationships/hyperlink" Target="5%20-%20RYSUNKI/2013-200-PRT-A0070398-A--.PDF" TargetMode="External"/><Relationship Id="rId1670" Type="http://schemas.openxmlformats.org/officeDocument/2006/relationships/hyperlink" Target="5%20-%20RYSUNKI/1704-03-PRT-A0076079-B-Os&#322;ona.PDF" TargetMode="External"/><Relationship Id="rId265" Type="http://schemas.openxmlformats.org/officeDocument/2006/relationships/hyperlink" Target="5%20-%20RYSUNKI/2011-200-PRT-A0070409-A-Os&#322;onka.PDF" TargetMode="External"/><Relationship Id="rId472" Type="http://schemas.openxmlformats.org/officeDocument/2006/relationships/hyperlink" Target="5%20-%20RYSUNKI/2011-200-PRT-A0071187-A-Kostka%20pozycjonuj&#261;ca.STEP" TargetMode="External"/><Relationship Id="rId900" Type="http://schemas.openxmlformats.org/officeDocument/2006/relationships/hyperlink" Target="5%20-%20RYSUNKI/2011-903-PRT-A0072918-A-Talerzyk.STEP" TargetMode="External"/><Relationship Id="rId1323" Type="http://schemas.openxmlformats.org/officeDocument/2006/relationships/hyperlink" Target="5%20-%20RYSUNKI/2013-100-PRT-A0073485-A-Zderzak.DXF" TargetMode="External"/><Relationship Id="rId1530" Type="http://schemas.openxmlformats.org/officeDocument/2006/relationships/hyperlink" Target="5%20-%20RYSUNKI/1704-03-PRT-A0075945-A-Os&#322;ona%20PC.STEP" TargetMode="External"/><Relationship Id="rId1628" Type="http://schemas.openxmlformats.org/officeDocument/2006/relationships/hyperlink" Target="5%20-%20RYSUNKI/2011-200-PRT-A0070503-A-Dach.PDF" TargetMode="External"/><Relationship Id="rId125" Type="http://schemas.openxmlformats.org/officeDocument/2006/relationships/hyperlink" Target="5%20-%20RYSUNKI/000.MAG.50%20-%20M6%20x30-H.DXF" TargetMode="External"/><Relationship Id="rId332" Type="http://schemas.openxmlformats.org/officeDocument/2006/relationships/hyperlink" Target="5%20-%20RYSUNKI/2011-400-PRT-A0069147-B-D&#378;wignia%20prawa.PDF" TargetMode="External"/><Relationship Id="rId777" Type="http://schemas.openxmlformats.org/officeDocument/2006/relationships/hyperlink" Target="5%20-%20RYSUNKI/2011-990-PRT-A0072860-A-P&#322;yta%20narz&#281;dzia%20ruchomego.STEP" TargetMode="External"/><Relationship Id="rId984" Type="http://schemas.openxmlformats.org/officeDocument/2006/relationships/hyperlink" Target="5%20-%20RYSUNKI/2011-901-PRT-A0068935-A-Gniazdo%20pina.STEP" TargetMode="External"/><Relationship Id="rId637" Type="http://schemas.openxmlformats.org/officeDocument/2006/relationships/hyperlink" Target="5%20-%20RYSUNKI/2011-600-PRT-A0071455-A-Blokada%20L.STEP" TargetMode="External"/><Relationship Id="rId844" Type="http://schemas.openxmlformats.org/officeDocument/2006/relationships/hyperlink" Target="5%20-%20RYSUNKI/2011-901-PRT-A0068932-A-&#321;&#261;cznik.PDF" TargetMode="External"/><Relationship Id="rId1267" Type="http://schemas.openxmlformats.org/officeDocument/2006/relationships/hyperlink" Target="5%20-%20RYSUNKI/2013-100-PRT-A0073405-A-&#346;ruba%20zderzak.DXF" TargetMode="External"/><Relationship Id="rId1474" Type="http://schemas.openxmlformats.org/officeDocument/2006/relationships/hyperlink" Target="5%20-%20RYSUNKI/2013-200-PRT-A0072033-A-P&#322;yta%20wbijania.DXF" TargetMode="External"/><Relationship Id="rId1681" Type="http://schemas.openxmlformats.org/officeDocument/2006/relationships/hyperlink" Target="5%20-%20RYSUNKI/1927-000-PRT-A0062094-A-P&#322;ytka%20&#322;&#261;cz&#261;ca.STEP" TargetMode="External"/><Relationship Id="rId276" Type="http://schemas.openxmlformats.org/officeDocument/2006/relationships/hyperlink" Target="5%20-%20RYSUNKI/2011-200-PRT-A0069918-A-P&#322;ytka%20si&#322;ownika%20osi%20Y.DXF" TargetMode="External"/><Relationship Id="rId483" Type="http://schemas.openxmlformats.org/officeDocument/2006/relationships/hyperlink" Target="5%20-%20RYSUNKI/2011-200-PRT-A0070614-A-Support%20uchwytu.DXF" TargetMode="External"/><Relationship Id="rId690" Type="http://schemas.openxmlformats.org/officeDocument/2006/relationships/hyperlink" Target="5%20-%20RYSUNKI/2011--PRT-A0073197-B-Mocowanie%20si&#322;ownika.DXF" TargetMode="External"/><Relationship Id="rId704" Type="http://schemas.openxmlformats.org/officeDocument/2006/relationships/hyperlink" Target="5%20-%20RYSUNKI/2011-600-PRT-A0070122-A-Palec%20prz&#243;d.PDF" TargetMode="External"/><Relationship Id="rId911" Type="http://schemas.openxmlformats.org/officeDocument/2006/relationships/hyperlink" Target="5%20-%20RYSUNKI/2011-990-PRT-A0072871-A-Mocowanie%20zderzaka.DXF" TargetMode="External"/><Relationship Id="rId1127" Type="http://schemas.openxmlformats.org/officeDocument/2006/relationships/hyperlink" Target="5%20-%20RYSUNKI/2011-600-PRT-A0073401-A-Mocowanie%20magnesu.STEP" TargetMode="External"/><Relationship Id="rId1334" Type="http://schemas.openxmlformats.org/officeDocument/2006/relationships/hyperlink" Target="5%20-%20RYSUNKI/2013-100-PRT-A0073405-A-&#346;ruba%20zderzak.PDF" TargetMode="External"/><Relationship Id="rId1541" Type="http://schemas.openxmlformats.org/officeDocument/2006/relationships/hyperlink" Target="5%20-%20RYSUNKI/1704-01-PRT-A0075914-A-Os&#322;ona%20PC.DXF" TargetMode="External"/><Relationship Id="rId40" Type="http://schemas.openxmlformats.org/officeDocument/2006/relationships/hyperlink" Target="5%20-%20RYSUNKI/2011-400-PRT-A0068844-A-P&#322;ytka%20boczna.PDF" TargetMode="External"/><Relationship Id="rId136" Type="http://schemas.openxmlformats.org/officeDocument/2006/relationships/hyperlink" Target="5%20-%20RYSUNKI/2011-200-PRT-A0069934-A-Blacha%20wzmacniaj&#261;ca.PDF" TargetMode="External"/><Relationship Id="rId343" Type="http://schemas.openxmlformats.org/officeDocument/2006/relationships/hyperlink" Target="5%20-%20RYSUNKI/2011-400-PRT-A0068803-A-P&#322;yta%20g&#243;rna.STEP" TargetMode="External"/><Relationship Id="rId550" Type="http://schemas.openxmlformats.org/officeDocument/2006/relationships/hyperlink" Target="5%20-%20RYSUNKI/2011-600-PRT-A0070498-A-Mocowanie%20podpory%20przedniej.STEP" TargetMode="External"/><Relationship Id="rId788" Type="http://schemas.openxmlformats.org/officeDocument/2006/relationships/hyperlink" Target="5%20-%20RYSUNKI/2011-990-PRT-A0072866-A-Mocowanie%20si&#322;ownika.DXF" TargetMode="External"/><Relationship Id="rId995" Type="http://schemas.openxmlformats.org/officeDocument/2006/relationships/hyperlink" Target="5%20-%20RYSUNKI/2011-992-PRT-A0073442-A-Gniazdo%20D&#378;wigni%20eCrafter%20Przesuwny%20LH.STEP" TargetMode="External"/><Relationship Id="rId1180" Type="http://schemas.openxmlformats.org/officeDocument/2006/relationships/hyperlink" Target="5%20-%20RYSUNKI/2013-100-PRT-A0073409-A-Zderzak%20wahad&#322;a.PDF" TargetMode="External"/><Relationship Id="rId1401" Type="http://schemas.openxmlformats.org/officeDocument/2006/relationships/hyperlink" Target="5%20-%20RYSUNKI/2013-200-PRT-A0070396-Lustro-A-Podstawa%20narz&#281;dzia%20wymiennego.STEP" TargetMode="External"/><Relationship Id="rId1639" Type="http://schemas.openxmlformats.org/officeDocument/2006/relationships/hyperlink" Target="5%20-%20RYSUNKI/2011-200-PRT-A0073064-A-Os&#322;ona%20boczna.STEP" TargetMode="External"/><Relationship Id="rId203" Type="http://schemas.openxmlformats.org/officeDocument/2006/relationships/hyperlink" Target="5%20-%20RYSUNKI/2011-200-PRT-A0069910-A-P&#322;yta%20suportu.DXF" TargetMode="External"/><Relationship Id="rId648" Type="http://schemas.openxmlformats.org/officeDocument/2006/relationships/hyperlink" Target="5%20-%20RYSUNKI/2011-600-PRT-A0071267-A-Podpora%20PP.DXF" TargetMode="External"/><Relationship Id="rId855" Type="http://schemas.openxmlformats.org/officeDocument/2006/relationships/hyperlink" Target="5%20-%20RYSUNKI/2011-903-PRT-A0072943-A-Mocowanie.STEP" TargetMode="External"/><Relationship Id="rId1040" Type="http://schemas.openxmlformats.org/officeDocument/2006/relationships/hyperlink" Target="5%20-%20RYSUNKI/2011-902-PRT-A0072038-A-Mocowanie%20prowadnika.DXF" TargetMode="External"/><Relationship Id="rId1278" Type="http://schemas.openxmlformats.org/officeDocument/2006/relationships/hyperlink" Target="5%20-%20RYSUNKI/2013-100-PRT-A0073530-A-Blacha%20prowadnika.DXF" TargetMode="External"/><Relationship Id="rId1485" Type="http://schemas.openxmlformats.org/officeDocument/2006/relationships/hyperlink" Target="5%20-%20RYSUNKI/2013-200-PRT-A0075632-Lustro-A-Wspornik%20LRZ.STEP" TargetMode="External"/><Relationship Id="rId1692" Type="http://schemas.openxmlformats.org/officeDocument/2006/relationships/drawing" Target="../drawings/drawing1.xml"/><Relationship Id="rId287" Type="http://schemas.openxmlformats.org/officeDocument/2006/relationships/hyperlink" Target="5%20-%20RYSUNKI/2011-200-PRT-A0069914-A-Jarzmo.PDF" TargetMode="External"/><Relationship Id="rId410" Type="http://schemas.openxmlformats.org/officeDocument/2006/relationships/hyperlink" Target="5%20-%20RYSUNKI/2011-400-PRT-A0068790-A-Gniazdo%205.PDF" TargetMode="External"/><Relationship Id="rId494" Type="http://schemas.openxmlformats.org/officeDocument/2006/relationships/hyperlink" Target="5%20-%20RYSUNKI/2011-200-PRT-A0070628-A-Wa&#322;ek%20docisku.PDF" TargetMode="External"/><Relationship Id="rId508" Type="http://schemas.openxmlformats.org/officeDocument/2006/relationships/hyperlink" Target="5%20-%20RYSUNKI/2011-200-PRT-A0070610-A-Support%20uchwytu.STEP" TargetMode="External"/><Relationship Id="rId715" Type="http://schemas.openxmlformats.org/officeDocument/2006/relationships/hyperlink" Target="5%20-%20RYSUNKI/2011-600-PRT-A0070633-A-Palec%20ty&#322;%20zapas.STEP" TargetMode="External"/><Relationship Id="rId922" Type="http://schemas.openxmlformats.org/officeDocument/2006/relationships/hyperlink" Target="5%20-%20RYSUNKI/2011-901-PRT-A0069990-B-Mocowanie.PDF" TargetMode="External"/><Relationship Id="rId1138" Type="http://schemas.openxmlformats.org/officeDocument/2006/relationships/hyperlink" Target="5%20-%20RYSUNKI/2011-600-PRT-A0073451-A-P&#322;yta%20zespo&#322;u%20tensometra.DXF" TargetMode="External"/><Relationship Id="rId1345" Type="http://schemas.openxmlformats.org/officeDocument/2006/relationships/hyperlink" Target="5%20-%20RYSUNKI/2013-200-PRT-A0073172-A-Kostka%20czujnika.STEP" TargetMode="External"/><Relationship Id="rId1552" Type="http://schemas.openxmlformats.org/officeDocument/2006/relationships/hyperlink" Target="5%20-%20RYSUNKI/1851-06-PRT-A0075922-A-Os&#322;ona%20PC.PDF" TargetMode="External"/><Relationship Id="rId147" Type="http://schemas.openxmlformats.org/officeDocument/2006/relationships/hyperlink" Target="5%20-%20RYSUNKI/2011-200-PRT-A0069925-A-Blaszka%20prowadnika%20pionowego%20ruchoma.STEP" TargetMode="External"/><Relationship Id="rId354" Type="http://schemas.openxmlformats.org/officeDocument/2006/relationships/hyperlink" Target="5%20-%20RYSUNKI/2011-400-PRT-A0068813-A-Zderzak.DXF" TargetMode="External"/><Relationship Id="rId799" Type="http://schemas.openxmlformats.org/officeDocument/2006/relationships/hyperlink" Target="5%20-%20RYSUNKI/2011-901-PRT-A0071396-A-P&#322;yta%20pionowa.PDF" TargetMode="External"/><Relationship Id="rId1191" Type="http://schemas.openxmlformats.org/officeDocument/2006/relationships/hyperlink" Target="5%20-%20RYSUNKI/2013-100-PRT-A0072679-A-Oprawa%20gniazda%20spr&#281;&#380;yny.STEP" TargetMode="External"/><Relationship Id="rId1205" Type="http://schemas.openxmlformats.org/officeDocument/2006/relationships/hyperlink" Target="5%20-%20RYSUNKI/2013-100-PRT-A0073093-A-Podstawa%20gniazda.DXF" TargetMode="External"/><Relationship Id="rId51" Type="http://schemas.openxmlformats.org/officeDocument/2006/relationships/hyperlink" Target="5%20-%20RYSUNKI/2011-400-PRT-A0068857-A-Tuleja%20prowadz&#261;ca.STEP" TargetMode="External"/><Relationship Id="rId561" Type="http://schemas.openxmlformats.org/officeDocument/2006/relationships/hyperlink" Target="5%20-%20RYSUNKI/2011-600-PRT-A0070107-A-P&#322;yta%20g&#322;&#243;wna.DXF" TargetMode="External"/><Relationship Id="rId659" Type="http://schemas.openxmlformats.org/officeDocument/2006/relationships/hyperlink" Target="5%20-%20RYSUNKI/2011-600-PRT-A0070108-A-Rynna%20prowadnika.PDF" TargetMode="External"/><Relationship Id="rId866" Type="http://schemas.openxmlformats.org/officeDocument/2006/relationships/hyperlink" Target="5%20-%20RYSUNKI/2011-903-PRT-A0072938-A-Mocowanie.DXF" TargetMode="External"/><Relationship Id="rId1289" Type="http://schemas.openxmlformats.org/officeDocument/2006/relationships/hyperlink" Target="5%20-%20RYSUNKI/2013-100-PRT-A0069069-A-Oprawka%20wypychacza.PDF" TargetMode="External"/><Relationship Id="rId1412" Type="http://schemas.openxmlformats.org/officeDocument/2006/relationships/hyperlink" Target="5%20-%20RYSUNKI/2013-200-PRT-A0072807-A-Kostka%20sprz&#281;g&#322;a.DXF" TargetMode="External"/><Relationship Id="rId1496" Type="http://schemas.openxmlformats.org/officeDocument/2006/relationships/hyperlink" Target="5%20-%20RYSUNKI/2013-200-PRT-A0072670-A-Wa&#322;ek%20docisku.DXF" TargetMode="External"/><Relationship Id="rId214" Type="http://schemas.openxmlformats.org/officeDocument/2006/relationships/hyperlink" Target="5%20-%20RYSUNKI/2011-200-PRT-A0070506-A-Os&#322;ona%20dolna%20podmonta&#380;u.PDF" TargetMode="External"/><Relationship Id="rId298" Type="http://schemas.openxmlformats.org/officeDocument/2006/relationships/hyperlink" Target="5%20-%20RYSUNKI/2011-400-PRT-A0068767-A-Uchwyt%20czujnika%201.STEP" TargetMode="External"/><Relationship Id="rId421" Type="http://schemas.openxmlformats.org/officeDocument/2006/relationships/hyperlink" Target="5%20-%20RYSUNKI/2011-200-PRT-A0071269-A-Kostka%20si&#322;ownika.STEP" TargetMode="External"/><Relationship Id="rId519" Type="http://schemas.openxmlformats.org/officeDocument/2006/relationships/hyperlink" Target="5%20-%20RYSUNKI/2011-600-PRT-A0070112-A-Adapter%20&#322;&#261;cznika.DXF" TargetMode="External"/><Relationship Id="rId1051" Type="http://schemas.openxmlformats.org/officeDocument/2006/relationships/hyperlink" Target="5%20-%20RYSUNKI/2011-904-PRT-A0070445-A-Mocowanie%20prowadnika.PDF" TargetMode="External"/><Relationship Id="rId1149" Type="http://schemas.openxmlformats.org/officeDocument/2006/relationships/hyperlink" Target="5%20-%20RYSUNKI/2013-100-PRT-A0073549-A-Tulejka%20amortyzatora.PDF" TargetMode="External"/><Relationship Id="rId1356" Type="http://schemas.openxmlformats.org/officeDocument/2006/relationships/hyperlink" Target="5%20-%20RYSUNKI/2013-200-PRT-A0072954-A-&#379;ebro.DXF" TargetMode="External"/><Relationship Id="rId158" Type="http://schemas.openxmlformats.org/officeDocument/2006/relationships/hyperlink" Target="5%20-%20RYSUNKI/2011-200-PRT-A0070317-A-Gniazdo%20RH%20cz1.DXF" TargetMode="External"/><Relationship Id="rId726" Type="http://schemas.openxmlformats.org/officeDocument/2006/relationships/hyperlink" Target="5%20-%20RYSUNKI/2011-901-PRT-A0068958-A-Pozycjoner.DXF" TargetMode="External"/><Relationship Id="rId933" Type="http://schemas.openxmlformats.org/officeDocument/2006/relationships/hyperlink" Target="5%20-%20RYSUNKI/2011-903-PRT-A0072929-A-Bazwanie.STEP" TargetMode="External"/><Relationship Id="rId1009" Type="http://schemas.openxmlformats.org/officeDocument/2006/relationships/hyperlink" Target="5%20-%20RYSUNKI/2011-903-PRT-A0072977-A-Mocowanie%20prowadnika.PDF" TargetMode="External"/><Relationship Id="rId1563" Type="http://schemas.openxmlformats.org/officeDocument/2006/relationships/hyperlink" Target="5%20-%20RYSUNKI/1851-11-PRT-A0075965-A-Mocowanie%20lusterka.STEP" TargetMode="External"/><Relationship Id="rId62" Type="http://schemas.openxmlformats.org/officeDocument/2006/relationships/hyperlink" Target="5%20-%20RYSUNKI/2011-400-PRT-A0068854-A-Nakr&#281;tka.DXF" TargetMode="External"/><Relationship Id="rId365" Type="http://schemas.openxmlformats.org/officeDocument/2006/relationships/hyperlink" Target="5%20-%20RYSUNKI/2011-400-PRT-A0068771-A-Zaczep.PDF" TargetMode="External"/><Relationship Id="rId572" Type="http://schemas.openxmlformats.org/officeDocument/2006/relationships/hyperlink" Target="5%20-%20RYSUNKI/2011-600-PRT-A0070499-A-Podpora%20przednia%202.PDF" TargetMode="External"/><Relationship Id="rId1216" Type="http://schemas.openxmlformats.org/officeDocument/2006/relationships/hyperlink" Target="5%20-%20RYSUNKI/2013-100-PRT-A0073400-A-&#321;&#261;cznik%20wahad&#322;a.STEP" TargetMode="External"/><Relationship Id="rId1423" Type="http://schemas.openxmlformats.org/officeDocument/2006/relationships/hyperlink" Target="5%20-%20RYSUNKI/2013-200-PRT-A0074044-A-Gniazdo%20spr&#281;&#380;yny%20ruchome%20cz1.PDF" TargetMode="External"/><Relationship Id="rId1630" Type="http://schemas.openxmlformats.org/officeDocument/2006/relationships/hyperlink" Target="5%20-%20RYSUNKI/2011-200-PRT-A0070503-A-Dach.STEP" TargetMode="External"/><Relationship Id="rId225" Type="http://schemas.openxmlformats.org/officeDocument/2006/relationships/hyperlink" Target="5%20-%20RYSUNKI/2011-200-PRT-A0070004-A-Kostka%20podpierajaca.STEP" TargetMode="External"/><Relationship Id="rId432" Type="http://schemas.openxmlformats.org/officeDocument/2006/relationships/hyperlink" Target="5%20-%20RYSUNKI/2011-200-PRT-A0072089-B-Kostka%20czujnika.DXF" TargetMode="External"/><Relationship Id="rId877" Type="http://schemas.openxmlformats.org/officeDocument/2006/relationships/hyperlink" Target="5%20-%20RYSUNKI/2011-903-PRT-A0072934-A-&#379;ebro.PDF" TargetMode="External"/><Relationship Id="rId1062" Type="http://schemas.openxmlformats.org/officeDocument/2006/relationships/hyperlink" Target="5%20-%20RYSUNKI/000.MAG.50%20-%20M8%20x%20L-F.STEP" TargetMode="External"/><Relationship Id="rId737" Type="http://schemas.openxmlformats.org/officeDocument/2006/relationships/hyperlink" Target="5%20-%20RYSUNKI/2011-901-PRT-A0068929-A-Tulejka.PDF" TargetMode="External"/><Relationship Id="rId944" Type="http://schemas.openxmlformats.org/officeDocument/2006/relationships/hyperlink" Target="5%20-%20RYSUNKI/2011-900-PRT-A0069192-A-Bazowanie.DXF" TargetMode="External"/><Relationship Id="rId1367" Type="http://schemas.openxmlformats.org/officeDocument/2006/relationships/hyperlink" Target="5%20-%20RYSUNKI/2013-200-PRT-A0072830-A-&#379;ebro.PDF" TargetMode="External"/><Relationship Id="rId1574" Type="http://schemas.openxmlformats.org/officeDocument/2006/relationships/hyperlink" Target="5%20-%20RYSUNKI/2011-200-PRT-A0070512-A-Os&#322;ona%20ty&#322;.DXF" TargetMode="External"/><Relationship Id="rId73" Type="http://schemas.openxmlformats.org/officeDocument/2006/relationships/hyperlink" Target="5%20-%20RYSUNKI/2011-400-PRT-A0068776-A-Mocowanie%20prowadnika.PDF" TargetMode="External"/><Relationship Id="rId169" Type="http://schemas.openxmlformats.org/officeDocument/2006/relationships/hyperlink" Target="5%20-%20RYSUNKI/2011-200-PRT-A0070378-A-P&#322;ytka%20adaptera.PDF" TargetMode="External"/><Relationship Id="rId376" Type="http://schemas.openxmlformats.org/officeDocument/2006/relationships/hyperlink" Target="5%20-%20RYSUNKI/2011-400-PRT-A0068768-A-Zderzak%20si&#322;ownika.STEP" TargetMode="External"/><Relationship Id="rId583" Type="http://schemas.openxmlformats.org/officeDocument/2006/relationships/hyperlink" Target="5%20-%20RYSUNKI/2011-600-PRT-A0070105-A-Tuleja%20bazuj&#261;ca.STEP" TargetMode="External"/><Relationship Id="rId790" Type="http://schemas.openxmlformats.org/officeDocument/2006/relationships/hyperlink" Target="5%20-%20RYSUNKI/2011-990-PRT-A0072864-A-P&#322;yta.PDF" TargetMode="External"/><Relationship Id="rId804" Type="http://schemas.openxmlformats.org/officeDocument/2006/relationships/hyperlink" Target="5%20-%20RYSUNKI/2011-904-PRT-A0071248-A-P&#322;yta.STEP" TargetMode="External"/><Relationship Id="rId1227" Type="http://schemas.openxmlformats.org/officeDocument/2006/relationships/hyperlink" Target="5%20-%20RYSUNKI/2013-100-PRT-A0073357-A-P&#322;ytka%20wahad&#322;a.DXF" TargetMode="External"/><Relationship Id="rId1434" Type="http://schemas.openxmlformats.org/officeDocument/2006/relationships/hyperlink" Target="5%20-%20RYSUNKI/2013-200-PRT-A0072979-A-Podpora%20II.DXF" TargetMode="External"/><Relationship Id="rId1641" Type="http://schemas.openxmlformats.org/officeDocument/2006/relationships/hyperlink" Target="5%20-%20RYSUNKI/2011-200-PRT-A0073072-A-Os&#322;ona%20boczna.DXF" TargetMode="External"/><Relationship Id="rId4" Type="http://schemas.openxmlformats.org/officeDocument/2006/relationships/hyperlink" Target="5%20-%20RYSUNKI/1927-000-PRT-A0062094-A-P&#322;ytka%20&#322;&#261;cz&#261;ca.PDF" TargetMode="External"/><Relationship Id="rId236" Type="http://schemas.openxmlformats.org/officeDocument/2006/relationships/hyperlink" Target="5%20-%20RYSUNKI/2011-200-PRT-A0069930-A-Przed&#322;u&#380;ka%20podci&#347;nienia%201.DXF" TargetMode="External"/><Relationship Id="rId443" Type="http://schemas.openxmlformats.org/officeDocument/2006/relationships/hyperlink" Target="5%20-%20RYSUNKI/2011-200-PRT-A0070671-A-Mocowanie%20chwytaka.PDF" TargetMode="External"/><Relationship Id="rId650" Type="http://schemas.openxmlformats.org/officeDocument/2006/relationships/hyperlink" Target="5%20-%20RYSUNKI/2011-600-PRT-A0071265-A-Dok&#322;adka%20PP.PDF" TargetMode="External"/><Relationship Id="rId888" Type="http://schemas.openxmlformats.org/officeDocument/2006/relationships/hyperlink" Target="5%20-%20RYSUNKI/2011-903-PRT-A0072930-A-Tulejka%20centruj&#261;ca.STEP" TargetMode="External"/><Relationship Id="rId1073" Type="http://schemas.openxmlformats.org/officeDocument/2006/relationships/hyperlink" Target="5%20-%20RYSUNKI/000.MAG.50%20-%20M6%20x30-H.DXF" TargetMode="External"/><Relationship Id="rId1280" Type="http://schemas.openxmlformats.org/officeDocument/2006/relationships/hyperlink" Target="5%20-%20RYSUNKI/2013-100-PRT-A0073327-A-Uchwyt%20prowadnika.PDF" TargetMode="External"/><Relationship Id="rId1501" Type="http://schemas.openxmlformats.org/officeDocument/2006/relationships/hyperlink" Target="5%20-%20RYSUNKI/2013-200-PRT-A0072675-A-P&#322;ytka%20dolna.PDF" TargetMode="External"/><Relationship Id="rId303" Type="http://schemas.openxmlformats.org/officeDocument/2006/relationships/hyperlink" Target="5%20-%20RYSUNKI/2011-400-PRT-A0068864-A-Mocowanie%20w&#243;zk&#243;w.DXF" TargetMode="External"/><Relationship Id="rId748" Type="http://schemas.openxmlformats.org/officeDocument/2006/relationships/hyperlink" Target="5%20-%20RYSUNKI/2011-902-PRT-A0069222-A-Tulejka%20pozycjonuj&#261;ca.STEP" TargetMode="External"/><Relationship Id="rId955" Type="http://schemas.openxmlformats.org/officeDocument/2006/relationships/hyperlink" Target="5%20-%20RYSUNKI/2011-903-PRT-A0072916-A-Kostka%20podporowa.PDF" TargetMode="External"/><Relationship Id="rId1140" Type="http://schemas.openxmlformats.org/officeDocument/2006/relationships/hyperlink" Target="5%20-%20RYSUNKI/2011-600-PRT-A0073415-A-P&#322;yta%20g&#322;&#243;wna.PDF" TargetMode="External"/><Relationship Id="rId1378" Type="http://schemas.openxmlformats.org/officeDocument/2006/relationships/hyperlink" Target="5%20-%20RYSUNKI/2013-200-PRT-A0072824-A-&#321;apa%20si&#322;owinka.STEP" TargetMode="External"/><Relationship Id="rId1585" Type="http://schemas.openxmlformats.org/officeDocument/2006/relationships/hyperlink" Target="5%20-%20RYSUNKI/2011-200-PRT-A0070522-A-Os&#322;ona%20boczna.PDF" TargetMode="External"/><Relationship Id="rId84" Type="http://schemas.openxmlformats.org/officeDocument/2006/relationships/hyperlink" Target="5%20-%20RYSUNKI/2011-400-PRT-A0068785-A-P&#322;yta%20pionowa.STEP" TargetMode="External"/><Relationship Id="rId387" Type="http://schemas.openxmlformats.org/officeDocument/2006/relationships/hyperlink" Target="5%20-%20RYSUNKI/2011-400-PRT-A0068812-A-Podpora%20spr&#281;&#380;yny%20lewej.DXF" TargetMode="External"/><Relationship Id="rId510" Type="http://schemas.openxmlformats.org/officeDocument/2006/relationships/hyperlink" Target="5%20-%20RYSUNKI/2011-600-PRT-A0070118-A-Zabezpieczenie%20szyny.DXF" TargetMode="External"/><Relationship Id="rId594" Type="http://schemas.openxmlformats.org/officeDocument/2006/relationships/hyperlink" Target="5%20-%20RYSUNKI/2011-600-PRT-A0071415-A-O&#347;.DXF" TargetMode="External"/><Relationship Id="rId608" Type="http://schemas.openxmlformats.org/officeDocument/2006/relationships/hyperlink" Target="5%20-%20RYSUNKI/2011-600-PRT-A0071419-A-Dociskacz.PDF" TargetMode="External"/><Relationship Id="rId815" Type="http://schemas.openxmlformats.org/officeDocument/2006/relationships/hyperlink" Target="5%20-%20RYSUNKI/2011-904-PRT-A0070440-A-Dystans%20blokady.DXF" TargetMode="External"/><Relationship Id="rId1238" Type="http://schemas.openxmlformats.org/officeDocument/2006/relationships/hyperlink" Target="5%20-%20RYSUNKI/2013-100-PRT-A0073085-A-P&#322;ytka%20gniazda_.STEP" TargetMode="External"/><Relationship Id="rId1445" Type="http://schemas.openxmlformats.org/officeDocument/2006/relationships/hyperlink" Target="5%20-%20RYSUNKI/2013-200-PRT-A0070423-A-Gniazdo%20spr&#281;zynki%20cz2.STEP" TargetMode="External"/><Relationship Id="rId1652" Type="http://schemas.openxmlformats.org/officeDocument/2006/relationships/hyperlink" Target="5%20-%20RYSUNKI/2013-600-PRT-A0073153-B-Os&#322;ona%20kurtyny.PDF" TargetMode="External"/><Relationship Id="rId247" Type="http://schemas.openxmlformats.org/officeDocument/2006/relationships/hyperlink" Target="5%20-%20RYSUNKI/2011-200-PRT-A0069919-A-Kostka%20zderzaka.PDF" TargetMode="External"/><Relationship Id="rId899" Type="http://schemas.openxmlformats.org/officeDocument/2006/relationships/hyperlink" Target="5%20-%20RYSUNKI/2011-903-PRT-A0072918-A-Talerzyk.DXF" TargetMode="External"/><Relationship Id="rId1000" Type="http://schemas.openxmlformats.org/officeDocument/2006/relationships/hyperlink" Target="5%20-%20RYSUNKI/2011-903-PRT-A0072931-A-Blokada%20spr&#281;&#380;yny.PDF" TargetMode="External"/><Relationship Id="rId1084" Type="http://schemas.openxmlformats.org/officeDocument/2006/relationships/hyperlink" Target="5%20-%20RYSUNKI/000.MAG.50%20-%20M8-B.PDF" TargetMode="External"/><Relationship Id="rId1305" Type="http://schemas.openxmlformats.org/officeDocument/2006/relationships/hyperlink" Target="5%20-%20RYSUNKI/2013-100-PRT-A0069076-A-Tulejka%20prowadz&#261;ca.DXF" TargetMode="External"/><Relationship Id="rId107" Type="http://schemas.openxmlformats.org/officeDocument/2006/relationships/hyperlink" Target="5%20-%20RYSUNKI/2011-400-PRT-A0068862-A-P&#322;yta%20narz&#281;dzia.DXF" TargetMode="External"/><Relationship Id="rId454" Type="http://schemas.openxmlformats.org/officeDocument/2006/relationships/hyperlink" Target="5%20-%20RYSUNKI/2011-200-PRT-A0070658-A-P&#322;yta%20monta&#380;owa.STEP" TargetMode="External"/><Relationship Id="rId661" Type="http://schemas.openxmlformats.org/officeDocument/2006/relationships/hyperlink" Target="5%20-%20RYSUNKI/2011-600-PRT-A0070108-A-Rynna%20prowadnika.STEP" TargetMode="External"/><Relationship Id="rId759" Type="http://schemas.openxmlformats.org/officeDocument/2006/relationships/hyperlink" Target="5%20-%20RYSUNKI/2011-992-PRT-A0073445-C-Gniazdo%20D&#378;wigni%20eCrafter%20Przesuwny%20LH.STEP" TargetMode="External"/><Relationship Id="rId966" Type="http://schemas.openxmlformats.org/officeDocument/2006/relationships/hyperlink" Target="5%20-%20RYSUNKI/2011-992-PRT-A0072856-A-Tulejka%20bazuj&#261;ca.STEP" TargetMode="External"/><Relationship Id="rId1291" Type="http://schemas.openxmlformats.org/officeDocument/2006/relationships/hyperlink" Target="5%20-%20RYSUNKI/2013-100-PRT-A0069069-A-Oprawka%20wypychacza.STEP" TargetMode="External"/><Relationship Id="rId1389" Type="http://schemas.openxmlformats.org/officeDocument/2006/relationships/hyperlink" Target="5%20-%20RYSUNKI/2013-200-PRT-A0071399-A-&#379;ebro.PDF" TargetMode="External"/><Relationship Id="rId1512" Type="http://schemas.openxmlformats.org/officeDocument/2006/relationships/hyperlink" Target="5%20-%20RYSUNKI/2013-200-PRT-A0072673-A-Mocowanie%20sprz&#281;g&#322;a.STEP" TargetMode="External"/><Relationship Id="rId1596" Type="http://schemas.openxmlformats.org/officeDocument/2006/relationships/hyperlink" Target="5%20-%20RYSUNKI/2011-200-PRT-A0072986-A-K&#261;townik%20NOK.DXF" TargetMode="External"/><Relationship Id="rId11" Type="http://schemas.openxmlformats.org/officeDocument/2006/relationships/hyperlink" Target="5%20-%20RYSUNKI/1704-01-PRT-A0065972-A-Os&#322;ona.DXF" TargetMode="External"/><Relationship Id="rId314" Type="http://schemas.openxmlformats.org/officeDocument/2006/relationships/hyperlink" Target="5%20-%20RYSUNKI/2011-400-PRT-A0068814-A-P&#322;yta%20dolna.PDF" TargetMode="External"/><Relationship Id="rId398" Type="http://schemas.openxmlformats.org/officeDocument/2006/relationships/hyperlink" Target="5%20-%20RYSUNKI/2011-400-PRT-A0068798-A-Gniazdo%202.PDF" TargetMode="External"/><Relationship Id="rId521" Type="http://schemas.openxmlformats.org/officeDocument/2006/relationships/hyperlink" Target="5%20-%20RYSUNKI/2011-600-PRT-A0070113-A-P&#322;yta%20nap&#281;du%20liniowego.PDF" TargetMode="External"/><Relationship Id="rId619" Type="http://schemas.openxmlformats.org/officeDocument/2006/relationships/hyperlink" Target="5%20-%20RYSUNKI/2011-600-PRT-A0071411-A-Rami&#281;.STEP" TargetMode="External"/><Relationship Id="rId1151" Type="http://schemas.openxmlformats.org/officeDocument/2006/relationships/hyperlink" Target="5%20-%20RYSUNKI/2013-100-PRT-A0073549-A-Tulejka%20amortyzatora.STEP" TargetMode="External"/><Relationship Id="rId1249" Type="http://schemas.openxmlformats.org/officeDocument/2006/relationships/hyperlink" Target="5%20-%20RYSUNKI/2013-100-PRT-A0073387-A-P&#322;yta%20obrotu%20pozioma.DXF" TargetMode="External"/><Relationship Id="rId95" Type="http://schemas.openxmlformats.org/officeDocument/2006/relationships/hyperlink" Target="5%20-%20RYSUNKI/2011-400-PRT-A0068780-A-Mocowanie%20si&#322;ownika.DXF" TargetMode="External"/><Relationship Id="rId160" Type="http://schemas.openxmlformats.org/officeDocument/2006/relationships/hyperlink" Target="5%20-%20RYSUNKI/2011-200-PRT-A0069982-A-Gniazdo%20LH%20cz2.PDF" TargetMode="External"/><Relationship Id="rId826" Type="http://schemas.openxmlformats.org/officeDocument/2006/relationships/hyperlink" Target="5%20-%20RYSUNKI/2011-902-PRT-A0069225-A-Mocowanie%20w&#243;zka.PDF" TargetMode="External"/><Relationship Id="rId1011" Type="http://schemas.openxmlformats.org/officeDocument/2006/relationships/hyperlink" Target="5%20-%20RYSUNKI/2011-903-PRT-A0072977-A-Mocowanie%20prowadnika.STEP" TargetMode="External"/><Relationship Id="rId1109" Type="http://schemas.openxmlformats.org/officeDocument/2006/relationships/hyperlink" Target="5%20-%20RYSUNKI/2011-600-PRT-A0073374-A-Drzwiczki%20skrzynki.STEP" TargetMode="External"/><Relationship Id="rId1456" Type="http://schemas.openxmlformats.org/officeDocument/2006/relationships/hyperlink" Target="5%20-%20RYSUNKI/2013-200-PRT-A0070402-A--.DXF" TargetMode="External"/><Relationship Id="rId1663" Type="http://schemas.openxmlformats.org/officeDocument/2006/relationships/hyperlink" Target="5%20-%20RYSUNKI/1704-01-PRT-A0076076-A-Os&#322;ona.STEP" TargetMode="External"/><Relationship Id="rId258" Type="http://schemas.openxmlformats.org/officeDocument/2006/relationships/hyperlink" Target="5%20-%20RYSUNKI/2011-200-PRT-A0070375-A-Gniazdko%20switch&#243;w.STEP" TargetMode="External"/><Relationship Id="rId465" Type="http://schemas.openxmlformats.org/officeDocument/2006/relationships/hyperlink" Target="5%20-%20RYSUNKI/2011-200-PRT-A0070606-A-P&#322;yta%20monta&#380;owa.DXF" TargetMode="External"/><Relationship Id="rId672" Type="http://schemas.openxmlformats.org/officeDocument/2006/relationships/hyperlink" Target="5%20-%20RYSUNKI/2011-600-PRT-A0070121-A-Wpust.DXF" TargetMode="External"/><Relationship Id="rId1095" Type="http://schemas.openxmlformats.org/officeDocument/2006/relationships/hyperlink" Target="5%20-%20RYSUNKI/2011-600-PRT-A0073371-A-Obudowa%20Fluke%201-3.STEP" TargetMode="External"/><Relationship Id="rId1316" Type="http://schemas.openxmlformats.org/officeDocument/2006/relationships/hyperlink" Target="5%20-%20RYSUNKI/2013-100-PRT-A0069071-A-P&#322;yta%20pozioma.PDF" TargetMode="External"/><Relationship Id="rId1523" Type="http://schemas.openxmlformats.org/officeDocument/2006/relationships/hyperlink" Target="5%20-%20RYSUNKI/000.MAG.22.M5-B.DXF" TargetMode="External"/><Relationship Id="rId22" Type="http://schemas.openxmlformats.org/officeDocument/2006/relationships/hyperlink" Target="5%20-%20RYSUNKI/2011-400-PRT-A0068849-A-Mocowanie%20si&#322;ownika%201.PDF" TargetMode="External"/><Relationship Id="rId118" Type="http://schemas.openxmlformats.org/officeDocument/2006/relationships/hyperlink" Target="5%20-%20RYSUNKI/2011-800-PRT-A0069838-A-Uchwyt%20czujnika.PDF" TargetMode="External"/><Relationship Id="rId325" Type="http://schemas.openxmlformats.org/officeDocument/2006/relationships/hyperlink" Target="5%20-%20RYSUNKI/2011-400-PRT-A0068809-A-P&#322;yta%20g&#243;rna.STEP" TargetMode="External"/><Relationship Id="rId532" Type="http://schemas.openxmlformats.org/officeDocument/2006/relationships/hyperlink" Target="5%20-%20RYSUNKI/2011-600-PRT-A0070115-A-P&#322;yta%20pionowa%20supportu.STEP" TargetMode="External"/><Relationship Id="rId977" Type="http://schemas.openxmlformats.org/officeDocument/2006/relationships/hyperlink" Target="5%20-%20RYSUNKI/2011-901-PRT-A0068950-B-Mocowanie%20popychacza.DXF" TargetMode="External"/><Relationship Id="rId1162" Type="http://schemas.openxmlformats.org/officeDocument/2006/relationships/hyperlink" Target="5%20-%20RYSUNKI/2013-100-PRT-A0073118-A-Os&#322;onka%20czujnika.DXF" TargetMode="External"/><Relationship Id="rId171" Type="http://schemas.openxmlformats.org/officeDocument/2006/relationships/hyperlink" Target="5%20-%20RYSUNKI/2011-200-PRT-A0070378-A-P&#322;ytka%20adaptera.STEP" TargetMode="External"/><Relationship Id="rId837" Type="http://schemas.openxmlformats.org/officeDocument/2006/relationships/hyperlink" Target="5%20-%20RYSUNKI/2011-901-PRT-A0068939-A-P&#322;yta%20pionowa.STEP" TargetMode="External"/><Relationship Id="rId1022" Type="http://schemas.openxmlformats.org/officeDocument/2006/relationships/hyperlink" Target="5%20-%20RYSUNKI/2011-990-PRT-A0072875-A-Mocowanie%20prowadnika.DXF" TargetMode="External"/><Relationship Id="rId1467" Type="http://schemas.openxmlformats.org/officeDocument/2006/relationships/hyperlink" Target="5%20-%20RYSUNKI/2013-200-PRT-A0070364-A-Ko&#322;eczek.PDF" TargetMode="External"/><Relationship Id="rId1674" Type="http://schemas.openxmlformats.org/officeDocument/2006/relationships/hyperlink" Target="5%20-%20RYSUNKI/1704-03-PRT-A0076079-B-Os&#322;ona.DXF" TargetMode="External"/><Relationship Id="rId269" Type="http://schemas.openxmlformats.org/officeDocument/2006/relationships/hyperlink" Target="5%20-%20RYSUNKI/2011-200-PRT-A0070407-A-Os&#322;onka%20boczna.DXF" TargetMode="External"/><Relationship Id="rId476" Type="http://schemas.openxmlformats.org/officeDocument/2006/relationships/hyperlink" Target="5%20-%20RYSUNKI/2011-200-PRT-A0071749-A-Kostka%20bazuj&#261;ca.PDF" TargetMode="External"/><Relationship Id="rId683" Type="http://schemas.openxmlformats.org/officeDocument/2006/relationships/hyperlink" Target="5%20-%20RYSUNKI/2011-600-PRT-A0070127-A-Pier&#347;cie&#324;%20dystansowy.PDF" TargetMode="External"/><Relationship Id="rId890" Type="http://schemas.openxmlformats.org/officeDocument/2006/relationships/hyperlink" Target="5%20-%20RYSUNKI/2011-903-PRT-A0072922-A-Obsada%20blokady%20spr&#281;&#380;ynki.DXF" TargetMode="External"/><Relationship Id="rId904" Type="http://schemas.openxmlformats.org/officeDocument/2006/relationships/hyperlink" Target="5%20-%20RYSUNKI/2011-990-PRT-A0072873-A-Wspornik%20blokady.PDF" TargetMode="External"/><Relationship Id="rId1327" Type="http://schemas.openxmlformats.org/officeDocument/2006/relationships/hyperlink" Target="5%20-%20RYSUNKI/2013-100-PRT-A0073406-A-Kostka%20zderzaka.STEP" TargetMode="External"/><Relationship Id="rId1534" Type="http://schemas.openxmlformats.org/officeDocument/2006/relationships/hyperlink" Target="5%20-%20RYSUNKI/1704-10-PRT-A0075877-A-Os&#322;ona%20ta&#347;my%20transportujacej.PDF" TargetMode="External"/><Relationship Id="rId33" Type="http://schemas.openxmlformats.org/officeDocument/2006/relationships/hyperlink" Target="5%20-%20RYSUNKI/2011-400-PRT-A0068852-A-Tulejka%20.STEP" TargetMode="External"/><Relationship Id="rId129" Type="http://schemas.openxmlformats.org/officeDocument/2006/relationships/hyperlink" Target="5%20-%20RYSUNKI/000.MAG.50%20-%20M5%20x30.STEP" TargetMode="External"/><Relationship Id="rId336" Type="http://schemas.openxmlformats.org/officeDocument/2006/relationships/hyperlink" Target="5%20-%20RYSUNKI/2011-400-PRT-A0068775-A-Gniazdo%20spr&#281;&#380;yny%20lewej.DXF" TargetMode="External"/><Relationship Id="rId543" Type="http://schemas.openxmlformats.org/officeDocument/2006/relationships/hyperlink" Target="5%20-%20RYSUNKI/2011-600-PRT-A0070487-A-Podpora%20&#347;rodkowa.DXF" TargetMode="External"/><Relationship Id="rId988" Type="http://schemas.openxmlformats.org/officeDocument/2006/relationships/hyperlink" Target="5%20-%20RYSUNKI/2011-992-PRT-A0073444-Lustro-A-Gniazdo%20D&#378;wigni%20eCrafter%20Przesuwny%20RH.STEP" TargetMode="External"/><Relationship Id="rId1173" Type="http://schemas.openxmlformats.org/officeDocument/2006/relationships/hyperlink" Target="5%20-%20RYSUNKI/2013-100-PRT-A0073097-A-Dystans%20zatrzasku.PDF" TargetMode="External"/><Relationship Id="rId1380" Type="http://schemas.openxmlformats.org/officeDocument/2006/relationships/hyperlink" Target="5%20-%20RYSUNKI/2013-200-PRT-A0072713-A-&#379;ebro.DXF" TargetMode="External"/><Relationship Id="rId1601" Type="http://schemas.openxmlformats.org/officeDocument/2006/relationships/hyperlink" Target="5%20-%20RYSUNKI/2011-200-PRT-A0073020-A-Uchwyt%20pude&#322;ek.PDF" TargetMode="External"/><Relationship Id="rId182" Type="http://schemas.openxmlformats.org/officeDocument/2006/relationships/hyperlink" Target="5%20-%20RYSUNKI/2011-200-PRT-A0069970-A-P&#322;yta%20pod%20gniazdami.DXF" TargetMode="External"/><Relationship Id="rId403" Type="http://schemas.openxmlformats.org/officeDocument/2006/relationships/hyperlink" Target="5%20-%20RYSUNKI/2011-400-PRT-A0068797-A-Gniazdo%203.STEP" TargetMode="External"/><Relationship Id="rId750" Type="http://schemas.openxmlformats.org/officeDocument/2006/relationships/hyperlink" Target="5%20-%20RYSUNKI/2011-992-PRT-A0073447-B-Gniazdo%20D&#378;wigni%20eCrafter%20Przesuwny%20LH.DXF" TargetMode="External"/><Relationship Id="rId848" Type="http://schemas.openxmlformats.org/officeDocument/2006/relationships/hyperlink" Target="5%20-%20RYSUNKI/2011-901-PRT-A0068941-A-P&#322;ytka%20mocowania%20si&#322;ownika.DXF" TargetMode="External"/><Relationship Id="rId1033" Type="http://schemas.openxmlformats.org/officeDocument/2006/relationships/hyperlink" Target="5%20-%20RYSUNKI/2011-990-PRT-A0072867-A-Mocowanie.PDF" TargetMode="External"/><Relationship Id="rId1478" Type="http://schemas.openxmlformats.org/officeDocument/2006/relationships/hyperlink" Target="5%20-%20RYSUNKI/2013-200-PRT-A0072031-A-Dr&#261;&#380;ek.STEP" TargetMode="External"/><Relationship Id="rId1685" Type="http://schemas.openxmlformats.org/officeDocument/2006/relationships/hyperlink" Target="5%20-%20RYSUNKI/1927-804-PRT-A0076101-A-Os&#322;ona.PDF" TargetMode="External"/><Relationship Id="rId487" Type="http://schemas.openxmlformats.org/officeDocument/2006/relationships/hyperlink" Target="5%20-%20RYSUNKI/2011-200-PRT-A0070434-A-G&#322;owica%20pobieraj&#261;ca%20detal.STEP" TargetMode="External"/><Relationship Id="rId610" Type="http://schemas.openxmlformats.org/officeDocument/2006/relationships/hyperlink" Target="5%20-%20RYSUNKI/2011-600-PRT-A0071419-A-Dociskacz.STEP" TargetMode="External"/><Relationship Id="rId694" Type="http://schemas.openxmlformats.org/officeDocument/2006/relationships/hyperlink" Target="5%20-%20RYSUNKI/2011--PRT-A0073195-B-Mocowanie%20si&#322;ownika.STEP" TargetMode="External"/><Relationship Id="rId708" Type="http://schemas.openxmlformats.org/officeDocument/2006/relationships/hyperlink" Target="5%20-%20RYSUNKI/2011-600-PRT-A0070576-A-Odwa&#380;nik%20ty&#322;.DXF" TargetMode="External"/><Relationship Id="rId915" Type="http://schemas.openxmlformats.org/officeDocument/2006/relationships/hyperlink" Target="5%20-%20RYSUNKI/2011-990-PRT-A0072870-A-Mocowanie%20si&#322;ownika.STEP" TargetMode="External"/><Relationship Id="rId1240" Type="http://schemas.openxmlformats.org/officeDocument/2006/relationships/hyperlink" Target="5%20-%20RYSUNKI/2013-100-PRT-A0072959-A-P&#322;ytka%20ociekacza.DXF" TargetMode="External"/><Relationship Id="rId1338" Type="http://schemas.openxmlformats.org/officeDocument/2006/relationships/hyperlink" Target="5%20-%20RYSUNKI/2013-200-PRT-A0073192-A-K&#261;townik.DXF" TargetMode="External"/><Relationship Id="rId1545" Type="http://schemas.openxmlformats.org/officeDocument/2006/relationships/hyperlink" Target="5%20-%20RYSUNKI/1704-10-PRT-A0075877-A-Os&#322;ona%20ta&#347;my%20transportujacej.STEP" TargetMode="External"/><Relationship Id="rId347" Type="http://schemas.openxmlformats.org/officeDocument/2006/relationships/hyperlink" Target="5%20-%20RYSUNKI/2011-400-PRT-A0069182-A-Listwa%20spr&#281;&#380;yny%20prawa%201.PDF" TargetMode="External"/><Relationship Id="rId999" Type="http://schemas.openxmlformats.org/officeDocument/2006/relationships/hyperlink" Target="5%20-%20RYSUNKI/2011-903-PRT-A0072941-A-Blokada%20Pinu.STEP" TargetMode="External"/><Relationship Id="rId1100" Type="http://schemas.openxmlformats.org/officeDocument/2006/relationships/hyperlink" Target="5%20-%20RYSUNKI/2011-600-ASM-A0011301-A-Skrzynka%20spawana%20Fluke.DXF" TargetMode="External"/><Relationship Id="rId1184" Type="http://schemas.openxmlformats.org/officeDocument/2006/relationships/hyperlink" Target="5%20-%20RYSUNKI/2013-100-PRT-A0073406-A-Kostka%20zderzaka.DXF" TargetMode="External"/><Relationship Id="rId1405" Type="http://schemas.openxmlformats.org/officeDocument/2006/relationships/hyperlink" Target="5%20-%20RYSUNKI/2013-200-PRT-A0072989-A-Kostka%20bazuj&#261;ca.PDF" TargetMode="External"/><Relationship Id="rId44" Type="http://schemas.openxmlformats.org/officeDocument/2006/relationships/hyperlink" Target="5%20-%20RYSUNKI/2011-400-PRT-A0068842-A-Mocowanie%20wypychacza.DXF" TargetMode="External"/><Relationship Id="rId554" Type="http://schemas.openxmlformats.org/officeDocument/2006/relationships/hyperlink" Target="5%20-%20RYSUNKI/2011-600-PRT-A0070491-A-Wspornik%20si&#322;ownika%202.PDF" TargetMode="External"/><Relationship Id="rId761" Type="http://schemas.openxmlformats.org/officeDocument/2006/relationships/hyperlink" Target="5%20-%20RYSUNKI/2011-992-PRT-A0073441-A-Gniazdo%20D&#378;wigni%20eCrafter%20Przesuwny%20LH.DXF" TargetMode="External"/><Relationship Id="rId859" Type="http://schemas.openxmlformats.org/officeDocument/2006/relationships/hyperlink" Target="5%20-%20RYSUNKI/2011-903-PRT-A0072940-B-Podk&#322;adka.PDF" TargetMode="External"/><Relationship Id="rId1391" Type="http://schemas.openxmlformats.org/officeDocument/2006/relationships/hyperlink" Target="5%20-%20RYSUNKI/2013-200-PRT-A0071399-A-&#379;ebro.STEP" TargetMode="External"/><Relationship Id="rId1489" Type="http://schemas.openxmlformats.org/officeDocument/2006/relationships/hyperlink" Target="5%20-%20RYSUNKI/2011-200-PRT-A0070022-B-Uchwyt%20gniazda.PDF" TargetMode="External"/><Relationship Id="rId1612" Type="http://schemas.openxmlformats.org/officeDocument/2006/relationships/hyperlink" Target="5%20-%20RYSUNKI/2011-200-PRT-A0073041-A-Os&#322;ona%20ty&#322;.STEP" TargetMode="External"/><Relationship Id="rId193" Type="http://schemas.openxmlformats.org/officeDocument/2006/relationships/hyperlink" Target="5%20-%20RYSUNKI/2011-200-PRT-A0069916-A-Mocowanie%20sprz&#281;g&#322;a%20o&#347;%20Z.PDF" TargetMode="External"/><Relationship Id="rId207" Type="http://schemas.openxmlformats.org/officeDocument/2006/relationships/hyperlink" Target="5%20-%20RYSUNKI/2011-200-PRT-A0069906-A-P&#322;yta%20prasy.STEP" TargetMode="External"/><Relationship Id="rId414" Type="http://schemas.openxmlformats.org/officeDocument/2006/relationships/hyperlink" Target="5%20-%20RYSUNKI/2011-400-PRT-A0068789-A-Gniazdo%206.DXF" TargetMode="External"/><Relationship Id="rId498" Type="http://schemas.openxmlformats.org/officeDocument/2006/relationships/hyperlink" Target="5%20-%20RYSUNKI/2011-200-PRT-A0070616-A-Support%20uchwytu.DXF" TargetMode="External"/><Relationship Id="rId621" Type="http://schemas.openxmlformats.org/officeDocument/2006/relationships/hyperlink" Target="5%20-%20RYSUNKI/2011-600-PRT-A0073136-A-Mocowanie%20BSC00PJ.DXF" TargetMode="External"/><Relationship Id="rId1044" Type="http://schemas.openxmlformats.org/officeDocument/2006/relationships/hyperlink" Target="5%20-%20RYSUNKI/2011-902-PRT-A0072036-A-Mocowanie%20prowadnika.STEP" TargetMode="External"/><Relationship Id="rId1251" Type="http://schemas.openxmlformats.org/officeDocument/2006/relationships/hyperlink" Target="5%20-%20RYSUNKI/2013-100-PRT-A0073221-A-P&#322;yta%20pozioma.PDF" TargetMode="External"/><Relationship Id="rId1349" Type="http://schemas.openxmlformats.org/officeDocument/2006/relationships/hyperlink" Target="5%20-%20RYSUNKI/2013-200-PRT-A0072978-A-P&#322;ytka%20narz&#281;dzia%20wst&#281;pnego.PDF" TargetMode="External"/><Relationship Id="rId260" Type="http://schemas.openxmlformats.org/officeDocument/2006/relationships/hyperlink" Target="5%20-%20RYSUNKI/2011-200-PRT-A0069989-A-Podp&#243;rka.DXF" TargetMode="External"/><Relationship Id="rId719" Type="http://schemas.openxmlformats.org/officeDocument/2006/relationships/hyperlink" Target="5%20-%20RYSUNKI/2011-600-PRT-A0070124-A-Mocowanie%20czujnik&#243;w.PDF" TargetMode="External"/><Relationship Id="rId926" Type="http://schemas.openxmlformats.org/officeDocument/2006/relationships/hyperlink" Target="5%20-%20RYSUNKI/2011-902-PRT-A0069226-A-Mocowanie%20odboju.DXF" TargetMode="External"/><Relationship Id="rId1111" Type="http://schemas.openxmlformats.org/officeDocument/2006/relationships/hyperlink" Target="5%20-%20RYSUNKI/2011-600-PRT-A0073375-A-Stopka.DXF" TargetMode="External"/><Relationship Id="rId1556" Type="http://schemas.openxmlformats.org/officeDocument/2006/relationships/hyperlink" Target="5%20-%20RYSUNKI/1851-11-PRT-A0075958-A-Os&#322;ona%20PC.DXF" TargetMode="External"/><Relationship Id="rId55" Type="http://schemas.openxmlformats.org/officeDocument/2006/relationships/hyperlink" Target="5%20-%20RYSUNKI/2011-400-PRT-A0068856-A-Tuleja%20ko&#324;cowa.PDF" TargetMode="External"/><Relationship Id="rId120" Type="http://schemas.openxmlformats.org/officeDocument/2006/relationships/hyperlink" Target="5%20-%20RYSUNKI/2011-800-PRT-A0069838-A-Uchwyt%20czujnika.STEP" TargetMode="External"/><Relationship Id="rId358" Type="http://schemas.openxmlformats.org/officeDocument/2006/relationships/hyperlink" Target="5%20-%20RYSUNKI/2011-400-PRT-A0068804-A-Sprz&#281;g&#322;o.STEP" TargetMode="External"/><Relationship Id="rId565" Type="http://schemas.openxmlformats.org/officeDocument/2006/relationships/hyperlink" Target="5%20-%20RYSUNKI/2011-600-PRT-A0070090-A-Wspornik%20si&#322;ownika.STEP" TargetMode="External"/><Relationship Id="rId772" Type="http://schemas.openxmlformats.org/officeDocument/2006/relationships/hyperlink" Target="5%20-%20RYSUNKI/2011-990-PRT-A0072879-A-Os&#322;ona.PDF" TargetMode="External"/><Relationship Id="rId1195" Type="http://schemas.openxmlformats.org/officeDocument/2006/relationships/hyperlink" Target="5%20-%20RYSUNKI/2013-100-PRT-A0073417-A-Kostka%20zderzaka.PDF" TargetMode="External"/><Relationship Id="rId1209" Type="http://schemas.openxmlformats.org/officeDocument/2006/relationships/hyperlink" Target="5%20-%20RYSUNKI/2013-100-PRT-A0072950-A-&#379;ebro%20docisku.DXF" TargetMode="External"/><Relationship Id="rId1416" Type="http://schemas.openxmlformats.org/officeDocument/2006/relationships/hyperlink" Target="5%20-%20RYSUNKI/2013-200-PRT-A0072676-A-Wspornik%20si&#322;ownika.STEP" TargetMode="External"/><Relationship Id="rId1623" Type="http://schemas.openxmlformats.org/officeDocument/2006/relationships/hyperlink" Target="5%20-%20RYSUNKI/2011-200-PRT-A0073045-A-Os&#322;ona%20boczna.DXF" TargetMode="External"/><Relationship Id="rId218" Type="http://schemas.openxmlformats.org/officeDocument/2006/relationships/hyperlink" Target="5%20-%20RYSUNKI/2011-200-PRT-A0070368-A-Klin.DXF" TargetMode="External"/><Relationship Id="rId425" Type="http://schemas.openxmlformats.org/officeDocument/2006/relationships/hyperlink" Target="5%20-%20RYSUNKI/2011-200-PRT-A0072093-A-Uchwyt%20czujnika.PDF" TargetMode="External"/><Relationship Id="rId632" Type="http://schemas.openxmlformats.org/officeDocument/2006/relationships/hyperlink" Target="5%20-%20RYSUNKI/2011-600-PRT-A0070098-A-Kostka%20elektryczna.PDF" TargetMode="External"/><Relationship Id="rId1055" Type="http://schemas.openxmlformats.org/officeDocument/2006/relationships/hyperlink" Target="5%20-%20RYSUNKI/2011-904-PRT-A0070444-B-Mocowanie%20prowadnika.DXF" TargetMode="External"/><Relationship Id="rId1262" Type="http://schemas.openxmlformats.org/officeDocument/2006/relationships/hyperlink" Target="5%20-%20RYSUNKI/2013-100-PRT-A0072678-A-P&#322;ytka%20dojazdu%20spr&#281;&#380;yny.STEP" TargetMode="External"/><Relationship Id="rId271" Type="http://schemas.openxmlformats.org/officeDocument/2006/relationships/hyperlink" Target="5%20-%20RYSUNKI/2011-200-PRT-A0070407-Lustro-A-Os&#322;onka%20boczna.STEP" TargetMode="External"/><Relationship Id="rId937" Type="http://schemas.openxmlformats.org/officeDocument/2006/relationships/hyperlink" Target="5%20-%20RYSUNKI/2011-903-PRT-A0072927-A-Chwytak%20beczki.PDF" TargetMode="External"/><Relationship Id="rId1122" Type="http://schemas.openxmlformats.org/officeDocument/2006/relationships/hyperlink" Target="5%20-%20RYSUNKI/2011-600-PRT-A0073377-A-Okno.PDF" TargetMode="External"/><Relationship Id="rId1567" Type="http://schemas.openxmlformats.org/officeDocument/2006/relationships/hyperlink" Target="5%20-%20RYSUNKI/1704-01-PRT-A0076020-A-Mocowanie.PDF" TargetMode="External"/><Relationship Id="rId66" Type="http://schemas.openxmlformats.org/officeDocument/2006/relationships/hyperlink" Target="5%20-%20RYSUNKI/2011-400-PRT-A0068853-A-Nakr&#281;tka%202.STEP" TargetMode="External"/><Relationship Id="rId131" Type="http://schemas.openxmlformats.org/officeDocument/2006/relationships/hyperlink" Target="5%20-%20RYSUNKI/000.MAG.22.M6H-A.DXF" TargetMode="External"/><Relationship Id="rId369" Type="http://schemas.openxmlformats.org/officeDocument/2006/relationships/hyperlink" Target="5%20-%20RYSUNKI/2011-400-PRT-A0068770-A-Kostka%20&#322;o&#380;yska.DXF" TargetMode="External"/><Relationship Id="rId576" Type="http://schemas.openxmlformats.org/officeDocument/2006/relationships/hyperlink" Target="5%20-%20RYSUNKI/2011-600-PRT-A0070494-A-Podpora%20przednia%201.DXF" TargetMode="External"/><Relationship Id="rId783" Type="http://schemas.openxmlformats.org/officeDocument/2006/relationships/hyperlink" Target="5%20-%20RYSUNKI/2011-991-PRT-A0072855-C-Gniazdo%20eCrafter%20LH.STEP" TargetMode="External"/><Relationship Id="rId990" Type="http://schemas.openxmlformats.org/officeDocument/2006/relationships/hyperlink" Target="5%20-%20RYSUNKI/2011-992-PRT-A0073443-A-Gniazdo%20D&#378;wigni%20eCrafter%20Przesuwny%20LH.DXF" TargetMode="External"/><Relationship Id="rId1427" Type="http://schemas.openxmlformats.org/officeDocument/2006/relationships/hyperlink" Target="5%20-%20RYSUNKI/2013-200-PRT-A0072982-A-Podpora%20&#347;rodkowa.DXF" TargetMode="External"/><Relationship Id="rId1634" Type="http://schemas.openxmlformats.org/officeDocument/2006/relationships/hyperlink" Target="5%20-%20RYSUNKI/2011-200-PRT-A0073060-A-Blacha%20dolna.PDF" TargetMode="External"/><Relationship Id="rId229" Type="http://schemas.openxmlformats.org/officeDocument/2006/relationships/hyperlink" Target="5%20-%20RYSUNKI/2011-200-PRT-A0069937-A-Mocowanie%20&#347;ruby%20oporowej%20obrotu.PDF" TargetMode="External"/><Relationship Id="rId436" Type="http://schemas.openxmlformats.org/officeDocument/2006/relationships/hyperlink" Target="5%20-%20RYSUNKI/2011-200-PRT-A0072085-A-Ramie%20reakcyjne%20si&#322;ownika.STEP" TargetMode="External"/><Relationship Id="rId643" Type="http://schemas.openxmlformats.org/officeDocument/2006/relationships/hyperlink" Target="5%20-%20RYSUNKI/2011-600-PRT-A0071266-A-Podpora%20PT.STEP" TargetMode="External"/><Relationship Id="rId1066" Type="http://schemas.openxmlformats.org/officeDocument/2006/relationships/hyperlink" Target="5%20-%20RYSUNKI/000.MAG.50%20-%20M5%20x%20L-C.PDF" TargetMode="External"/><Relationship Id="rId1273" Type="http://schemas.openxmlformats.org/officeDocument/2006/relationships/hyperlink" Target="5%20-%20RYSUNKI/2013-100-LustroPRT-A0073538-A-Blacha%20LRZa.STEP" TargetMode="External"/><Relationship Id="rId1480" Type="http://schemas.openxmlformats.org/officeDocument/2006/relationships/hyperlink" Target="5%20-%20RYSUNKI/2013-200-PRT-A0070421-A-Podstawa%20gniazd%20spr&#281;&#380;yn.DXF" TargetMode="External"/><Relationship Id="rId850" Type="http://schemas.openxmlformats.org/officeDocument/2006/relationships/hyperlink" Target="5%20-%20RYSUNKI/2011-903-PRT-A0072944-A-&#379;ebro.PDF" TargetMode="External"/><Relationship Id="rId948" Type="http://schemas.openxmlformats.org/officeDocument/2006/relationships/hyperlink" Target="5%20-%20RYSUNKI/2011-902-PRT-A0069979-A-Element%20sprz&#281;gaj&#261;cy.STEP" TargetMode="External"/><Relationship Id="rId1133" Type="http://schemas.openxmlformats.org/officeDocument/2006/relationships/hyperlink" Target="5%20-%20RYSUNKI/2011-600-PRT-A0073376-A-Mocowanie%20prz&#243;d.STEP" TargetMode="External"/><Relationship Id="rId1578" Type="http://schemas.openxmlformats.org/officeDocument/2006/relationships/hyperlink" Target="5%20-%20RYSUNKI/2011-200-PRT-A0070519-A-P&#322;yta%20pneumatyki.STEP" TargetMode="External"/><Relationship Id="rId77" Type="http://schemas.openxmlformats.org/officeDocument/2006/relationships/hyperlink" Target="5%20-%20RYSUNKI/2011-400-PRT-A0068787-A-Wa&#322;ek%20docisku.DXF" TargetMode="External"/><Relationship Id="rId282" Type="http://schemas.openxmlformats.org/officeDocument/2006/relationships/hyperlink" Target="5%20-%20RYSUNKI/2011-200-PRT-A0069909-A-&#379;ebro.DXF" TargetMode="External"/><Relationship Id="rId503" Type="http://schemas.openxmlformats.org/officeDocument/2006/relationships/hyperlink" Target="5%20-%20RYSUNKI/2011-200-PRT-A0070612-A-Support%20uchwytu.PDF" TargetMode="External"/><Relationship Id="rId587" Type="http://schemas.openxmlformats.org/officeDocument/2006/relationships/hyperlink" Target="5%20-%20RYSUNKI/2011-600-PRT-A0071409-A-P&#322;ytka%20blokady.PDF" TargetMode="External"/><Relationship Id="rId710" Type="http://schemas.openxmlformats.org/officeDocument/2006/relationships/hyperlink" Target="5%20-%20RYSUNKI/2011-600-PRT-A0070575-A-Rami&#281;%20ty&#322;.PDF" TargetMode="External"/><Relationship Id="rId808" Type="http://schemas.openxmlformats.org/officeDocument/2006/relationships/hyperlink" Target="5%20-%20RYSUNKI/2011-904-PRT-A0070448-A-&#379;ebro.PDF" TargetMode="External"/><Relationship Id="rId1340" Type="http://schemas.openxmlformats.org/officeDocument/2006/relationships/hyperlink" Target="5%20-%20RYSUNKI/2013-200-PRT-A0073171-A-Uchwyt%20czujnika.PDF" TargetMode="External"/><Relationship Id="rId1438" Type="http://schemas.openxmlformats.org/officeDocument/2006/relationships/hyperlink" Target="5%20-%20RYSUNKI/2013-200-PRT-A0072056-A-Podp&#243;rka.STEP" TargetMode="External"/><Relationship Id="rId1645" Type="http://schemas.openxmlformats.org/officeDocument/2006/relationships/hyperlink" Target="5%20-%20RYSUNKI/2011-200-PRT-A0073074-A-Pr&#281;t%20okrag&#322;y.STEP" TargetMode="External"/><Relationship Id="rId8" Type="http://schemas.openxmlformats.org/officeDocument/2006/relationships/hyperlink" Target="5%20-%20RYSUNKI/1704-01-PRT-A0065974-A-Os&#322;ona%202.DXF" TargetMode="External"/><Relationship Id="rId142" Type="http://schemas.openxmlformats.org/officeDocument/2006/relationships/hyperlink" Target="5%20-%20RYSUNKI/2011-200-PRT-A0069926-A-Blaszka%20prowadnika%20poziomego%20ruchoma.PDF" TargetMode="External"/><Relationship Id="rId447" Type="http://schemas.openxmlformats.org/officeDocument/2006/relationships/hyperlink" Target="5%20-%20RYSUNKI/2011-200-PRT-A0070665-A-P&#322;yta%20montazowa.DXF" TargetMode="External"/><Relationship Id="rId794" Type="http://schemas.openxmlformats.org/officeDocument/2006/relationships/hyperlink" Target="5%20-%20RYSUNKI/2011-990-PRT-A0072863-B-Mocowanie%20szyny.DXF" TargetMode="External"/><Relationship Id="rId1077" Type="http://schemas.openxmlformats.org/officeDocument/2006/relationships/hyperlink" Target="5%20-%20RYSUNKI/000.MAG.90.07-B.STEP" TargetMode="External"/><Relationship Id="rId1200" Type="http://schemas.openxmlformats.org/officeDocument/2006/relationships/hyperlink" Target="5%20-%20RYSUNKI/2013-100-PRT-A0073196-A-Podstawa%20docisku.STEP" TargetMode="External"/><Relationship Id="rId654" Type="http://schemas.openxmlformats.org/officeDocument/2006/relationships/hyperlink" Target="5%20-%20RYSUNKI/2011-600-PRT-A0071263-A-Dok&#322;adka%20PL.DXF" TargetMode="External"/><Relationship Id="rId861" Type="http://schemas.openxmlformats.org/officeDocument/2006/relationships/hyperlink" Target="5%20-%20RYSUNKI/2011-903-PRT-A0072940-B-Podk&#322;adka.STEP" TargetMode="External"/><Relationship Id="rId959" Type="http://schemas.openxmlformats.org/officeDocument/2006/relationships/hyperlink" Target="5%20-%20RYSUNKI/2011-990-PRT-A0072865-A-Kostka%20podporowa.DXF" TargetMode="External"/><Relationship Id="rId1284" Type="http://schemas.openxmlformats.org/officeDocument/2006/relationships/hyperlink" Target="5%20-%20RYSUNKI/2013-100-PRT-A0069075-A-Rami&#281;%20wbijania.DXF" TargetMode="External"/><Relationship Id="rId1491" Type="http://schemas.openxmlformats.org/officeDocument/2006/relationships/hyperlink" Target="5%20-%20RYSUNKI/2011-200-PRT-A0070022-B-Uchwyt%20gniazda.STEP" TargetMode="External"/><Relationship Id="rId1505" Type="http://schemas.openxmlformats.org/officeDocument/2006/relationships/hyperlink" Target="5%20-%20RYSUNKI/2013-200-PRT-A0072660-A-&#379;ebro%202.DXF" TargetMode="External"/><Relationship Id="rId1589" Type="http://schemas.openxmlformats.org/officeDocument/2006/relationships/hyperlink" Target="5%20-%20RYSUNKI/2011-200-PRT-A0072710-A-Wspornik%20przycisku%20START.DXF" TargetMode="External"/><Relationship Id="rId293" Type="http://schemas.openxmlformats.org/officeDocument/2006/relationships/hyperlink" Target="5%20-%20RYSUNKI/2011-400-PRT-A0069265-A-Uchwyt%20czujnika%202.PDF" TargetMode="External"/><Relationship Id="rId307" Type="http://schemas.openxmlformats.org/officeDocument/2006/relationships/hyperlink" Target="5%20-%20RYSUNKI/2011-400-PRT-A0068871-A-Oprawa%20d&#378;wigni%20prawa.STEP" TargetMode="External"/><Relationship Id="rId514" Type="http://schemas.openxmlformats.org/officeDocument/2006/relationships/hyperlink" Target="5%20-%20RYSUNKI/2011-600-PRT-A0070119-A-Wspornik%20p&#322;yty%20prowadnic.STEP" TargetMode="External"/><Relationship Id="rId721" Type="http://schemas.openxmlformats.org/officeDocument/2006/relationships/hyperlink" Target="5%20-%20RYSUNKI/2011-600-PRT-A0070124-A-Mocowanie%20czujnik&#243;w.STEP" TargetMode="External"/><Relationship Id="rId1144" Type="http://schemas.openxmlformats.org/officeDocument/2006/relationships/hyperlink" Target="5%20-%20RYSUNKI/2011-600-PRT-A0073500-A-Os&#322;ona.DXF" TargetMode="External"/><Relationship Id="rId1351" Type="http://schemas.openxmlformats.org/officeDocument/2006/relationships/hyperlink" Target="5%20-%20RYSUNKI/2013-200-PRT-A0072978-A-P&#322;ytka%20narz&#281;dzia%20wst&#281;pnego.STEP" TargetMode="External"/><Relationship Id="rId1449" Type="http://schemas.openxmlformats.org/officeDocument/2006/relationships/hyperlink" Target="5%20-%20RYSUNKI/2013-200-PRT-A0070422-A-Gniazdo%20spr&#281;&#380;yny%20cz1.STEP" TargetMode="External"/><Relationship Id="rId88" Type="http://schemas.openxmlformats.org/officeDocument/2006/relationships/hyperlink" Target="5%20-%20RYSUNKI/2011-400-PRT-A0068783-A-P&#322;ytka%20przednia.PDF" TargetMode="External"/><Relationship Id="rId153" Type="http://schemas.openxmlformats.org/officeDocument/2006/relationships/hyperlink" Target="5%20-%20RYSUNKI/2011-200-PRT-A0069922-A-Blacha%20amortyzator&#243;w.STEP" TargetMode="External"/><Relationship Id="rId360" Type="http://schemas.openxmlformats.org/officeDocument/2006/relationships/hyperlink" Target="5%20-%20RYSUNKI/2011-400-PRT-A0068773-A-Ko&#322;ek.DXF" TargetMode="External"/><Relationship Id="rId598" Type="http://schemas.openxmlformats.org/officeDocument/2006/relationships/hyperlink" Target="5%20-%20RYSUNKI/2011-600-PRT-A0071413-A-O&#347;.STEP" TargetMode="External"/><Relationship Id="rId819" Type="http://schemas.openxmlformats.org/officeDocument/2006/relationships/hyperlink" Target="5%20-%20RYSUNKI/2011-900-PRT-A0070031-A-P&#322;yta%20narz&#281;dzia.STEP" TargetMode="External"/><Relationship Id="rId1004" Type="http://schemas.openxmlformats.org/officeDocument/2006/relationships/hyperlink" Target="5%20-%20RYSUNKI/2011-903-PRT-A0072924-A-Blokada%20spr&#281;&#380;ynki.DXF" TargetMode="External"/><Relationship Id="rId1211" Type="http://schemas.openxmlformats.org/officeDocument/2006/relationships/hyperlink" Target="5%20-%20RYSUNKI/2013-100-PRT-A0072949-A-P&#322;yta%20docisk&#243;w.PDF" TargetMode="External"/><Relationship Id="rId1656" Type="http://schemas.openxmlformats.org/officeDocument/2006/relationships/hyperlink" Target="5%20-%20RYSUNKI/2013-600-PRT-A0075977-B-Os&#322;ona%20kurtyny.DXF" TargetMode="External"/><Relationship Id="rId220" Type="http://schemas.openxmlformats.org/officeDocument/2006/relationships/hyperlink" Target="5%20-%20RYSUNKI/2011-200-PRT-A0070361-A-Podstawa%20gniazda%20podmonta&#380;u.PDF" TargetMode="External"/><Relationship Id="rId458" Type="http://schemas.openxmlformats.org/officeDocument/2006/relationships/hyperlink" Target="5%20-%20RYSUNKI/2011-200-PRT-A0070624-A-P&#322;yta%20mocuj&#261;ca.PDF" TargetMode="External"/><Relationship Id="rId665" Type="http://schemas.openxmlformats.org/officeDocument/2006/relationships/hyperlink" Target="5%20-%20RYSUNKI/2011-600-PRT-A0070548-A-&#346;ciana%20lewa.PDF" TargetMode="External"/><Relationship Id="rId872" Type="http://schemas.openxmlformats.org/officeDocument/2006/relationships/hyperlink" Target="5%20-%20RYSUNKI/2011-903-PRT-A0072936-A-P&#322;yta.DXF" TargetMode="External"/><Relationship Id="rId1088" Type="http://schemas.openxmlformats.org/officeDocument/2006/relationships/hyperlink" Target="5%20-%20RYSUNKI/000.MAG.22.M8-A.DXF" TargetMode="External"/><Relationship Id="rId1295" Type="http://schemas.openxmlformats.org/officeDocument/2006/relationships/hyperlink" Target="5%20-%20RYSUNKI/2013-100-PRT-A0069067-A-Uchwyt%20wypychacza.PDF" TargetMode="External"/><Relationship Id="rId1309" Type="http://schemas.openxmlformats.org/officeDocument/2006/relationships/hyperlink" Target="5%20-%20RYSUNKI/2013-100-PRT-A0069084-A-Mocowanie%20si&#322;ownika.STEP" TargetMode="External"/><Relationship Id="rId1516" Type="http://schemas.openxmlformats.org/officeDocument/2006/relationships/hyperlink" Target="5%20-%20RYSUNKI/2013-200-PRT-A0072707-A-Mocowanie%20prowadnika.PDF" TargetMode="External"/><Relationship Id="rId15" Type="http://schemas.openxmlformats.org/officeDocument/2006/relationships/hyperlink" Target="5%20-%20RYSUNKI/2011-600-PRT-A0071433-A-P&#322;ytka%20&#322;&#261;cz&#261;ca.STEP" TargetMode="External"/><Relationship Id="rId318" Type="http://schemas.openxmlformats.org/officeDocument/2006/relationships/hyperlink" Target="5%20-%20RYSUNKI/2011-400-PRT-A0068811-A-P&#322;yta%20pionowa%20prz&#243;d.DXF" TargetMode="External"/><Relationship Id="rId525" Type="http://schemas.openxmlformats.org/officeDocument/2006/relationships/hyperlink" Target="5%20-%20RYSUNKI/2011-600-PRT-A0070112-A-Adapter%20&#322;&#261;cznika.DXF" TargetMode="External"/><Relationship Id="rId732" Type="http://schemas.openxmlformats.org/officeDocument/2006/relationships/hyperlink" Target="5%20-%20RYSUNKI/2011-901-PRT-A0068931-A-Nakr&#281;tka%20specjalna.DXF" TargetMode="External"/><Relationship Id="rId1155" Type="http://schemas.openxmlformats.org/officeDocument/2006/relationships/hyperlink" Target="5%20-%20RYSUNKI/2013-100-PRT-A0073551-A-Kostka%20zderzaka.PDF" TargetMode="External"/><Relationship Id="rId1362" Type="http://schemas.openxmlformats.org/officeDocument/2006/relationships/hyperlink" Target="5%20-%20RYSUNKI/2013-200-PRT-A0072951-A-P&#322;yta.DXF" TargetMode="External"/><Relationship Id="rId99" Type="http://schemas.openxmlformats.org/officeDocument/2006/relationships/hyperlink" Target="5%20-%20RYSUNKI/2011-400-PRT-A0068779-A-Mocowanie%20sprz&#281;g&#322;a.STEP" TargetMode="External"/><Relationship Id="rId164" Type="http://schemas.openxmlformats.org/officeDocument/2006/relationships/hyperlink" Target="5%20-%20RYSUNKI/2011-200-PRT-A0069975-A-Gniazdo%20LH%20cz1.DXF" TargetMode="External"/><Relationship Id="rId371" Type="http://schemas.openxmlformats.org/officeDocument/2006/relationships/hyperlink" Target="5%20-%20RYSUNKI/2011-400-PRT-A0068769-A-Kostka%20czujnika.PDF" TargetMode="External"/><Relationship Id="rId1015" Type="http://schemas.openxmlformats.org/officeDocument/2006/relationships/hyperlink" Target="5%20-%20RYSUNKI/2011-903-PRT-A0072946-B-Os&#322;ona.PDF" TargetMode="External"/><Relationship Id="rId1222" Type="http://schemas.openxmlformats.org/officeDocument/2006/relationships/hyperlink" Target="5%20-%20RYSUNKI/2013-100-PRT-A0073563-A-Uchwyt%20LRZ.STEP" TargetMode="External"/><Relationship Id="rId1667" Type="http://schemas.openxmlformats.org/officeDocument/2006/relationships/hyperlink" Target="5%20-%20RYSUNKI/1704-03-PRT-A0076078-B-Os&#322;ona.PDF" TargetMode="External"/><Relationship Id="rId469" Type="http://schemas.openxmlformats.org/officeDocument/2006/relationships/hyperlink" Target="5%20-%20RYSUNKI/2011-200-PRT-A0071416-A-Kostka%20amortyzatora.STEP" TargetMode="External"/><Relationship Id="rId676" Type="http://schemas.openxmlformats.org/officeDocument/2006/relationships/hyperlink" Target="5%20-%20RYSUNKI/2011-600-PRT-A0070125-A-Pokrywa%20&#322;o&#380;yska.STEP" TargetMode="External"/><Relationship Id="rId883" Type="http://schemas.openxmlformats.org/officeDocument/2006/relationships/hyperlink" Target="5%20-%20RYSUNKI/2011-903-PRT-A0072932-A-P&#322;yta.PDF" TargetMode="External"/><Relationship Id="rId1099" Type="http://schemas.openxmlformats.org/officeDocument/2006/relationships/hyperlink" Target="5%20-%20RYSUNKI/2011-600-ASM-A0011301-A-Skrzynka%20spawana%20Fluke.PDF" TargetMode="External"/><Relationship Id="rId1527" Type="http://schemas.openxmlformats.org/officeDocument/2006/relationships/hyperlink" Target="5%20-%20RYSUNKI/000.MAG.50%20-%20M6%20x30-H.STEP" TargetMode="External"/><Relationship Id="rId26" Type="http://schemas.openxmlformats.org/officeDocument/2006/relationships/hyperlink" Target="5%20-%20RYSUNKI/2011-400-PRT-A0068848-A-Mocowanie%20si&#322;ownika%202.DXF" TargetMode="External"/><Relationship Id="rId231" Type="http://schemas.openxmlformats.org/officeDocument/2006/relationships/hyperlink" Target="5%20-%20RYSUNKI/2011-200-PRT-A0069937-A-Mocowanie%20&#347;ruby%20oporowej%20obrotu.STEP" TargetMode="External"/><Relationship Id="rId329" Type="http://schemas.openxmlformats.org/officeDocument/2006/relationships/hyperlink" Target="5%20-%20RYSUNKI/2011-400-PRT-A0071721-A-Gniazdo%20spr&#281;&#380;yny%20prawej.PDF" TargetMode="External"/><Relationship Id="rId536" Type="http://schemas.openxmlformats.org/officeDocument/2006/relationships/hyperlink" Target="5%20-%20RYSUNKI/2011-600-PRT-A0070132-A-Wkr&#281;t%20dociskowy.PDF" TargetMode="External"/><Relationship Id="rId1166" Type="http://schemas.openxmlformats.org/officeDocument/2006/relationships/hyperlink" Target="5%20-%20RYSUNKI/2013-100-PRT-A0073388-A-&#379;ebro%202.STEP" TargetMode="External"/><Relationship Id="rId1373" Type="http://schemas.openxmlformats.org/officeDocument/2006/relationships/hyperlink" Target="5%20-%20RYSUNKI/2013-200-PRT-A0072827-A-P&#322;yta%20pionowa.PDF" TargetMode="External"/><Relationship Id="rId175" Type="http://schemas.openxmlformats.org/officeDocument/2006/relationships/hyperlink" Target="5%20-%20RYSUNKI/2011-200-PRT-A0070313-A-Podstawka%20gniazda%20ECrafter%20RH.PDF" TargetMode="External"/><Relationship Id="rId743" Type="http://schemas.openxmlformats.org/officeDocument/2006/relationships/hyperlink" Target="5%20-%20RYSUNKI/2011-903-PRT-A0072921-A-O&#347;%20obrotu.PDF" TargetMode="External"/><Relationship Id="rId950" Type="http://schemas.openxmlformats.org/officeDocument/2006/relationships/hyperlink" Target="5%20-%20RYSUNKI/2011-901-PRT-A0068943-A-Element%20sprz&#281;gaj&#261;cy.DXF" TargetMode="External"/><Relationship Id="rId1026" Type="http://schemas.openxmlformats.org/officeDocument/2006/relationships/hyperlink" Target="5%20-%20RYSUNKI/2011-990-PRT-A0072874-A-Mocowanie%20prowadnik&#243;w.STEP" TargetMode="External"/><Relationship Id="rId1580" Type="http://schemas.openxmlformats.org/officeDocument/2006/relationships/hyperlink" Target="5%20-%20RYSUNKI/2011-200-PRT-A0070520-A-Blacha%20dolna.DXF" TargetMode="External"/><Relationship Id="rId1678" Type="http://schemas.openxmlformats.org/officeDocument/2006/relationships/hyperlink" Target="5%20-%20RYSUNKI/1927-300-PRT-A0058027-B-Os&#322;ona.STEP" TargetMode="External"/><Relationship Id="rId382" Type="http://schemas.openxmlformats.org/officeDocument/2006/relationships/hyperlink" Target="5%20-%20RYSUNKI/2011-400-PRT-A0069198-A-Gniazdo%207.STEP" TargetMode="External"/><Relationship Id="rId603" Type="http://schemas.openxmlformats.org/officeDocument/2006/relationships/hyperlink" Target="5%20-%20RYSUNKI/2011-600-PRT-A0073063-A-Wa&#322;eczek%20gumowy.DXF" TargetMode="External"/><Relationship Id="rId687" Type="http://schemas.openxmlformats.org/officeDocument/2006/relationships/hyperlink" Target="5%20-%20RYSUNKI/2011--PRT-A0073184-B-Uchwyt%20si&#322;ownika.DXF" TargetMode="External"/><Relationship Id="rId810" Type="http://schemas.openxmlformats.org/officeDocument/2006/relationships/hyperlink" Target="5%20-%20RYSUNKI/2011-904-PRT-A0070448-A-&#379;ebro.STEP" TargetMode="External"/><Relationship Id="rId908" Type="http://schemas.openxmlformats.org/officeDocument/2006/relationships/hyperlink" Target="5%20-%20RYSUNKI/2011-990-PRT-A0072872-A-Wspornik%20blokady.DXF" TargetMode="External"/><Relationship Id="rId1233" Type="http://schemas.openxmlformats.org/officeDocument/2006/relationships/hyperlink" Target="5%20-%20RYSUNKI/2013-100-PRT-A0073119-A-Tulejka%20czujnika.DXF" TargetMode="External"/><Relationship Id="rId1440" Type="http://schemas.openxmlformats.org/officeDocument/2006/relationships/hyperlink" Target="5%20-%20RYSUNKI/2013-200-PRT-A0072030-A-Ko&#324;c&#243;wka%20wbijaj&#261;ca.PDF" TargetMode="External"/><Relationship Id="rId1538" Type="http://schemas.openxmlformats.org/officeDocument/2006/relationships/hyperlink" Target="5%20-%20RYSUNKI/1704-10-PRT-A0075919-A-Os&#322;ona%20boku%20transportera.DXF" TargetMode="External"/><Relationship Id="rId242" Type="http://schemas.openxmlformats.org/officeDocument/2006/relationships/hyperlink" Target="5%20-%20RYSUNKI/2011-200-PRT-A0069908-A-Wa&#322;ek%20stempla.DXF" TargetMode="External"/><Relationship Id="rId894" Type="http://schemas.openxmlformats.org/officeDocument/2006/relationships/hyperlink" Target="5%20-%20RYSUNKI/2011-903-PRT-A0072920-A-Kostka%20zderzaka.STEP" TargetMode="External"/><Relationship Id="rId1177" Type="http://schemas.openxmlformats.org/officeDocument/2006/relationships/hyperlink" Target="5%20-%20RYSUNKI/2013-100-PRT-A0071391-A-Gniazdo%20spr&#281;&#380;yny.PDF" TargetMode="External"/><Relationship Id="rId1300" Type="http://schemas.openxmlformats.org/officeDocument/2006/relationships/hyperlink" Target="5%20-%20RYSUNKI/2013-100-PRT-A0073458-A-Gniazdo%20trzpienia%20g&#243;rne.STEP" TargetMode="External"/><Relationship Id="rId37" Type="http://schemas.openxmlformats.org/officeDocument/2006/relationships/hyperlink" Target="5%20-%20RYSUNKI/2011-400-PRT-A0068846-A-Uchwyt%20sprz&#281;g&#322;a%202.PDF" TargetMode="External"/><Relationship Id="rId102" Type="http://schemas.openxmlformats.org/officeDocument/2006/relationships/hyperlink" Target="5%20-%20RYSUNKI/2011-400-PRT-A0068778-A-&#379;ebro.STEP" TargetMode="External"/><Relationship Id="rId547" Type="http://schemas.openxmlformats.org/officeDocument/2006/relationships/hyperlink" Target="5%20-%20RYSUNKI/2011-600-PRT-A0070088-A-Tuleja%20docisku.STEP" TargetMode="External"/><Relationship Id="rId754" Type="http://schemas.openxmlformats.org/officeDocument/2006/relationships/hyperlink" Target="5%20-%20RYSUNKI/2011-992-PRT-A0073446-A-Gniazdo%20D&#378;wigni%20eCrafter%20Przesuwny%20LH.DXF" TargetMode="External"/><Relationship Id="rId961" Type="http://schemas.openxmlformats.org/officeDocument/2006/relationships/hyperlink" Target="5%20-%20RYSUNKI/2011-990-PRT-A0072861-B-Kostka%20podporowa.PDF" TargetMode="External"/><Relationship Id="rId1384" Type="http://schemas.openxmlformats.org/officeDocument/2006/relationships/hyperlink" Target="5%20-%20RYSUNKI/2013-200-PRT-A0072712-A-P&#322;ytka%20si&#322;ownika.DXF" TargetMode="External"/><Relationship Id="rId1591" Type="http://schemas.openxmlformats.org/officeDocument/2006/relationships/hyperlink" Target="5%20-%20RYSUNKI/2011-200-PRT-A0072957-A-Uchwyt%20pude&#322;ek.PDF" TargetMode="External"/><Relationship Id="rId1605" Type="http://schemas.openxmlformats.org/officeDocument/2006/relationships/hyperlink" Target="5%20-%20RYSUNKI/2011-200-PRT-A0073030-A-Mocowanie%20czujnika%20wizyjnego.DXF" TargetMode="External"/><Relationship Id="rId1689" Type="http://schemas.openxmlformats.org/officeDocument/2006/relationships/hyperlink" Target="5%20-%20RYSUNKI/1927-000-PRT-A0062094-A-P&#322;ytka%20&#322;&#261;cz&#261;ca.DXF" TargetMode="External"/><Relationship Id="rId90" Type="http://schemas.openxmlformats.org/officeDocument/2006/relationships/hyperlink" Target="5%20-%20RYSUNKI/2011-400-PRT-A0068783-A-P&#322;ytka%20przednia.STEP" TargetMode="External"/><Relationship Id="rId186" Type="http://schemas.openxmlformats.org/officeDocument/2006/relationships/hyperlink" Target="5%20-%20RYSUNKI/2011-200-PRT-A0069929-A-Dystans%20docisku.STEP" TargetMode="External"/><Relationship Id="rId393" Type="http://schemas.openxmlformats.org/officeDocument/2006/relationships/hyperlink" Target="5%20-%20RYSUNKI/2011-400-PRT-A0068801-A-Podpora%20&#347;rodkowa%202.DXF" TargetMode="External"/><Relationship Id="rId407" Type="http://schemas.openxmlformats.org/officeDocument/2006/relationships/hyperlink" Target="5%20-%20RYSUNKI/2011-400-PRT-A0068791-A-Podpora%20&#347;rodkowa%203.PDF" TargetMode="External"/><Relationship Id="rId614" Type="http://schemas.openxmlformats.org/officeDocument/2006/relationships/hyperlink" Target="5%20-%20RYSUNKI/2011-600-PRT-A0071412-A-Rami&#281;%20ma&#322;e.PDF" TargetMode="External"/><Relationship Id="rId821" Type="http://schemas.openxmlformats.org/officeDocument/2006/relationships/hyperlink" Target="5%20-%20RYSUNKI/2011-902-PRT-A0069228-A-Mocowanie%20szyny.DXF" TargetMode="External"/><Relationship Id="rId1037" Type="http://schemas.openxmlformats.org/officeDocument/2006/relationships/hyperlink" Target="5%20-%20RYSUNKI/2011-902-PRT-A0072718-A-Mocowanie.DXF" TargetMode="External"/><Relationship Id="rId1244" Type="http://schemas.openxmlformats.org/officeDocument/2006/relationships/hyperlink" Target="5%20-%20RYSUNKI/2013-100-PRT-A0072956-A-P&#322;yta%20pozioma%20smarowania.STEP" TargetMode="External"/><Relationship Id="rId1451" Type="http://schemas.openxmlformats.org/officeDocument/2006/relationships/hyperlink" Target="5%20-%20RYSUNKI/2013-200-PRT-A0070403-A--.PDF" TargetMode="External"/><Relationship Id="rId253" Type="http://schemas.openxmlformats.org/officeDocument/2006/relationships/hyperlink" Target="5%20-%20RYSUNKI/2011-200-PRT-A0070417-A-Os&#322;ona%20si&#322;ownika.PDF" TargetMode="External"/><Relationship Id="rId460" Type="http://schemas.openxmlformats.org/officeDocument/2006/relationships/hyperlink" Target="5%20-%20RYSUNKI/2011-200-PRT-A0070624-A-P&#322;yta%20mocuj&#261;ca.STEP" TargetMode="External"/><Relationship Id="rId698" Type="http://schemas.openxmlformats.org/officeDocument/2006/relationships/hyperlink" Target="5%20-%20RYSUNKI/2011-600-PRT-A0070120-A-Odwa&#380;nik%20prz&#243;d.PDF" TargetMode="External"/><Relationship Id="rId919" Type="http://schemas.openxmlformats.org/officeDocument/2006/relationships/hyperlink" Target="5%20-%20RYSUNKI/2011-904-PRT-A0071252-A-Mocowanie.PDF" TargetMode="External"/><Relationship Id="rId1090" Type="http://schemas.openxmlformats.org/officeDocument/2006/relationships/hyperlink" Target="5%20-%20RYSUNKI/2011-600-PRT-A0073372-A-Obudowa%20Fluke%203-3.PDF" TargetMode="External"/><Relationship Id="rId1104" Type="http://schemas.openxmlformats.org/officeDocument/2006/relationships/hyperlink" Target="5%20-%20RYSUNKI/2011-600-PRT-A0073380-A-Os&#322;ona%20tylna.PDF" TargetMode="External"/><Relationship Id="rId1311" Type="http://schemas.openxmlformats.org/officeDocument/2006/relationships/hyperlink" Target="5%20-%20RYSUNKI/2013-100-PRT-A0069079-A-Mocowanie%20wypychacza.DXF" TargetMode="External"/><Relationship Id="rId1549" Type="http://schemas.openxmlformats.org/officeDocument/2006/relationships/hyperlink" Target="5%20-%20RYSUNKI/1851-41-PRT-A0075888-A-Os&#322;ona%20ta&#347;my%20transportujacej.PDF" TargetMode="External"/><Relationship Id="rId48" Type="http://schemas.openxmlformats.org/officeDocument/2006/relationships/hyperlink" Target="5%20-%20RYSUNKI/2011-400-PRT-A0068841-A-Gniazdo%20g&#243;rne%20pina.STEP" TargetMode="External"/><Relationship Id="rId113" Type="http://schemas.openxmlformats.org/officeDocument/2006/relationships/hyperlink" Target="5%20-%20RYSUNKI/2011-400-PRT-A0068860-A-P&#322;ytka%20&#347;rodkowa.DXF" TargetMode="External"/><Relationship Id="rId320" Type="http://schemas.openxmlformats.org/officeDocument/2006/relationships/hyperlink" Target="5%20-%20RYSUNKI/2011-400-PRT-A0068810-A-P&#322;yta%20pionowa%20ty&#322;.PDF" TargetMode="External"/><Relationship Id="rId558" Type="http://schemas.openxmlformats.org/officeDocument/2006/relationships/hyperlink" Target="5%20-%20RYSUNKI/2011-600-PRT-A0070490-A-Wspornik%20si&#322;ownika%201.DXF" TargetMode="External"/><Relationship Id="rId765" Type="http://schemas.openxmlformats.org/officeDocument/2006/relationships/hyperlink" Target="5%20-%20RYSUNKI/2011-992-PRT-A0073440-A-Gniazdo%20D&#378;wigni%20eCrafter%20Przesuwny%20LH.DXF" TargetMode="External"/><Relationship Id="rId972" Type="http://schemas.openxmlformats.org/officeDocument/2006/relationships/hyperlink" Target="5%20-%20RYSUNKI/2011-902-PRT-A0069221-A-Dystans.STEP" TargetMode="External"/><Relationship Id="rId1188" Type="http://schemas.openxmlformats.org/officeDocument/2006/relationships/hyperlink" Target="5%20-%20RYSUNKI/2013-100-PRT-A0073092-A-P&#322;ytka%20docisku.STEP" TargetMode="External"/><Relationship Id="rId1395" Type="http://schemas.openxmlformats.org/officeDocument/2006/relationships/hyperlink" Target="5%20-%20RYSUNKI/2013-200-PRT-A0071392-A-P&#322;ytka.PDF" TargetMode="External"/><Relationship Id="rId1409" Type="http://schemas.openxmlformats.org/officeDocument/2006/relationships/hyperlink" Target="5%20-%20RYSUNKI/2013-200-PRT-A0072836-A-Kostka%20zderzaka.DXF" TargetMode="External"/><Relationship Id="rId1616" Type="http://schemas.openxmlformats.org/officeDocument/2006/relationships/hyperlink" Target="5%20-%20RYSUNKI/2011-200-PRT-A0073009-A-Uchwyt%20kurtyny.PDF" TargetMode="External"/><Relationship Id="rId197" Type="http://schemas.openxmlformats.org/officeDocument/2006/relationships/hyperlink" Target="5%20-%20RYSUNKI/2011-200-PRT-A0069913-A-P&#322;yta%20szyn%20osi%20Z.DXF" TargetMode="External"/><Relationship Id="rId418" Type="http://schemas.openxmlformats.org/officeDocument/2006/relationships/hyperlink" Target="5%20-%20RYSUNKI/2011-200-PRT-A0071752-A-Kostka%20mocuj&#261;ca.STEP" TargetMode="External"/><Relationship Id="rId625" Type="http://schemas.openxmlformats.org/officeDocument/2006/relationships/hyperlink" Target="5%20-%20RYSUNKI/2011-600-PRT-A0070430-A-P&#322;yta%20g&#322;&#243;wna%20eCrafter%20Ty&#322;.STEP" TargetMode="External"/><Relationship Id="rId832" Type="http://schemas.openxmlformats.org/officeDocument/2006/relationships/hyperlink" Target="5%20-%20RYSUNKI/2011-901-PRT-A0068940-A-P&#322;ytka%20mocowania%20si&#322;ownika.PDF" TargetMode="External"/><Relationship Id="rId1048" Type="http://schemas.openxmlformats.org/officeDocument/2006/relationships/hyperlink" Target="5%20-%20RYSUNKI/2011-902-PRT-A0070603-A-Pier&#347;cie&#324;.PDF" TargetMode="External"/><Relationship Id="rId1255" Type="http://schemas.openxmlformats.org/officeDocument/2006/relationships/hyperlink" Target="5%20-%20RYSUNKI/2013-100-PRT-A0073209-A-P&#322;yta%20smarowania.DXF" TargetMode="External"/><Relationship Id="rId1462" Type="http://schemas.openxmlformats.org/officeDocument/2006/relationships/hyperlink" Target="5%20-%20RYSUNKI/2013-200-PRT-A0070399-Lustro-A--.STEP" TargetMode="External"/><Relationship Id="rId264" Type="http://schemas.openxmlformats.org/officeDocument/2006/relationships/hyperlink" Target="5%20-%20RYSUNKI/2011-200-PRT-A0069907-A-Stempel%20prasy.STEP" TargetMode="External"/><Relationship Id="rId471" Type="http://schemas.openxmlformats.org/officeDocument/2006/relationships/hyperlink" Target="5%20-%20RYSUNKI/2011-200-PRT-A0071187-A-Kostka%20pozycjonuj&#261;ca.DXF" TargetMode="External"/><Relationship Id="rId1115" Type="http://schemas.openxmlformats.org/officeDocument/2006/relationships/hyperlink" Target="5%20-%20RYSUNKI/2011-600-PRT-A0073469-A-Os&#322;ona%20lewa.STEP" TargetMode="External"/><Relationship Id="rId1322" Type="http://schemas.openxmlformats.org/officeDocument/2006/relationships/hyperlink" Target="5%20-%20RYSUNKI/2013-100-PRT-A0073485-A-Zderzak.PDF" TargetMode="External"/><Relationship Id="rId59" Type="http://schemas.openxmlformats.org/officeDocument/2006/relationships/hyperlink" Target="5%20-%20RYSUNKI/2011-400-PRT-A0068855-A-Wa&#322;ek%20gwintowany.DXF" TargetMode="External"/><Relationship Id="rId124" Type="http://schemas.openxmlformats.org/officeDocument/2006/relationships/hyperlink" Target="5%20-%20RYSUNKI/000.MAG.50%20-%20M6%20x30-H.PDF" TargetMode="External"/><Relationship Id="rId569" Type="http://schemas.openxmlformats.org/officeDocument/2006/relationships/hyperlink" Target="5%20-%20RYSUNKI/2011-600-PRT-A0070089-A-Ramie%20dociskowe.PDF" TargetMode="External"/><Relationship Id="rId776" Type="http://schemas.openxmlformats.org/officeDocument/2006/relationships/hyperlink" Target="5%20-%20RYSUNKI/2011-990-PRT-A0072860-A-P&#322;yta%20narz&#281;dzia%20ruchomego.DXF" TargetMode="External"/><Relationship Id="rId983" Type="http://schemas.openxmlformats.org/officeDocument/2006/relationships/hyperlink" Target="5%20-%20RYSUNKI/2011-901-PRT-A0068935-A-Gniazdo%20pina.DXF" TargetMode="External"/><Relationship Id="rId1199" Type="http://schemas.openxmlformats.org/officeDocument/2006/relationships/hyperlink" Target="5%20-%20RYSUNKI/2013-100-PRT-A0073196-A-Podstawa%20docisku.DXF" TargetMode="External"/><Relationship Id="rId1627" Type="http://schemas.openxmlformats.org/officeDocument/2006/relationships/hyperlink" Target="5%20-%20RYSUNKI/2011-200-PRT-A0073075-A-Os&#322;ona.STEP" TargetMode="External"/><Relationship Id="rId331" Type="http://schemas.openxmlformats.org/officeDocument/2006/relationships/hyperlink" Target="5%20-%20RYSUNKI/2011-400-PRT-A0071721-A-Gniazdo%20spr&#281;&#380;yny%20prawej.STEP" TargetMode="External"/><Relationship Id="rId429" Type="http://schemas.openxmlformats.org/officeDocument/2006/relationships/hyperlink" Target="5%20-%20RYSUNKI/2011-200-PRT-A0072092-A-Uchwyt%20czujnika.DXF" TargetMode="External"/><Relationship Id="rId636" Type="http://schemas.openxmlformats.org/officeDocument/2006/relationships/hyperlink" Target="5%20-%20RYSUNKI/2011-600-PRT-A0071455-A-Blokada%20L.DXF" TargetMode="External"/><Relationship Id="rId1059" Type="http://schemas.openxmlformats.org/officeDocument/2006/relationships/hyperlink" Target="5%20-%20RYSUNKI/2011-904-PRT-A0070438-A-Oprawa%20&#322;o&#380;ysk.STEP" TargetMode="External"/><Relationship Id="rId1266" Type="http://schemas.openxmlformats.org/officeDocument/2006/relationships/hyperlink" Target="5%20-%20RYSUNKI/2013-100-PRT-A0073405-A-&#346;ruba%20zderzak.PDF" TargetMode="External"/><Relationship Id="rId1473" Type="http://schemas.openxmlformats.org/officeDocument/2006/relationships/hyperlink" Target="5%20-%20RYSUNKI/2013-200-PRT-A0072033-A-P&#322;yta%20wbijania.PDF" TargetMode="External"/><Relationship Id="rId843" Type="http://schemas.openxmlformats.org/officeDocument/2006/relationships/hyperlink" Target="5%20-%20RYSUNKI/2011-902-PRT-A0069223-A-Obracak.STEP" TargetMode="External"/><Relationship Id="rId1126" Type="http://schemas.openxmlformats.org/officeDocument/2006/relationships/hyperlink" Target="5%20-%20RYSUNKI/2011-600-PRT-A0073401-A-Mocowanie%20magnesu.DXF" TargetMode="External"/><Relationship Id="rId1680" Type="http://schemas.openxmlformats.org/officeDocument/2006/relationships/hyperlink" Target="5%20-%20RYSUNKI/1927-000-PRT-A0062094-A-P&#322;ytka%20&#322;&#261;cz&#261;ca.DXF" TargetMode="External"/><Relationship Id="rId275" Type="http://schemas.openxmlformats.org/officeDocument/2006/relationships/hyperlink" Target="5%20-%20RYSUNKI/2011-200-PRT-A0069918-A-P&#322;ytka%20si&#322;ownika%20osi%20Y.PDF" TargetMode="External"/><Relationship Id="rId482" Type="http://schemas.openxmlformats.org/officeDocument/2006/relationships/hyperlink" Target="5%20-%20RYSUNKI/2011-200-PRT-A0070614-A-Support%20uchwytu.PDF" TargetMode="External"/><Relationship Id="rId703" Type="http://schemas.openxmlformats.org/officeDocument/2006/relationships/hyperlink" Target="5%20-%20RYSUNKI/2011-600-PRT-A0070126-A-Rami&#281;%20prz&#243;d.STEP" TargetMode="External"/><Relationship Id="rId910" Type="http://schemas.openxmlformats.org/officeDocument/2006/relationships/hyperlink" Target="5%20-%20RYSUNKI/2011-990-PRT-A0072871-A-Mocowanie%20zderzaka.PDF" TargetMode="External"/><Relationship Id="rId1333" Type="http://schemas.openxmlformats.org/officeDocument/2006/relationships/hyperlink" Target="5%20-%20RYSUNKI/2013-100-PRT-A0073412-A-&#346;ruba%20zderzak.STEP" TargetMode="External"/><Relationship Id="rId1540" Type="http://schemas.openxmlformats.org/officeDocument/2006/relationships/hyperlink" Target="5%20-%20RYSUNKI/1704-01-PRT-A0075914-A-Os&#322;ona%20PC.PDF" TargetMode="External"/><Relationship Id="rId1638" Type="http://schemas.openxmlformats.org/officeDocument/2006/relationships/hyperlink" Target="5%20-%20RYSUNKI/2011-200-PRT-A0073064-A-Os&#322;ona%20boczna.DXF" TargetMode="External"/><Relationship Id="rId135" Type="http://schemas.openxmlformats.org/officeDocument/2006/relationships/hyperlink" Target="5%20-%20RYSUNKI/000.MAG.22.M6-B.STEP" TargetMode="External"/><Relationship Id="rId342" Type="http://schemas.openxmlformats.org/officeDocument/2006/relationships/hyperlink" Target="5%20-%20RYSUNKI/2011-400-PRT-A0068803-A-P&#322;yta%20g&#243;rna.DXF" TargetMode="External"/><Relationship Id="rId787" Type="http://schemas.openxmlformats.org/officeDocument/2006/relationships/hyperlink" Target="5%20-%20RYSUNKI/2011-990-PRT-A0072866-A-Mocowanie%20si&#322;ownika.PDF" TargetMode="External"/><Relationship Id="rId994" Type="http://schemas.openxmlformats.org/officeDocument/2006/relationships/hyperlink" Target="5%20-%20RYSUNKI/2011-992-PRT-A0073442-A-Gniazdo%20D&#378;wigni%20eCrafter%20Przesuwny%20LH.DXF" TargetMode="External"/><Relationship Id="rId1400" Type="http://schemas.openxmlformats.org/officeDocument/2006/relationships/hyperlink" Target="5%20-%20RYSUNKI/2013-200-PRT-A0070396-A-Podstawa%20narz&#281;dzia%20wymiennego.STEP" TargetMode="External"/><Relationship Id="rId202" Type="http://schemas.openxmlformats.org/officeDocument/2006/relationships/hyperlink" Target="5%20-%20RYSUNKI/2011-200-PRT-A0069910-A-P&#322;yta%20suportu.PDF" TargetMode="External"/><Relationship Id="rId647" Type="http://schemas.openxmlformats.org/officeDocument/2006/relationships/hyperlink" Target="5%20-%20RYSUNKI/2011-600-PRT-A0071267-A-Podpora%20PP.PDF" TargetMode="External"/><Relationship Id="rId854" Type="http://schemas.openxmlformats.org/officeDocument/2006/relationships/hyperlink" Target="5%20-%20RYSUNKI/2011-903-PRT-A0072943-A-Mocowanie.DXF" TargetMode="External"/><Relationship Id="rId1277" Type="http://schemas.openxmlformats.org/officeDocument/2006/relationships/hyperlink" Target="5%20-%20RYSUNKI/2013-100-PRT-A0073530-A-Blacha%20prowadnika.PDF" TargetMode="External"/><Relationship Id="rId1484" Type="http://schemas.openxmlformats.org/officeDocument/2006/relationships/hyperlink" Target="5%20-%20RYSUNKI/2013-200-PRT-A0075632-A-Wspornik%20LRZ.STEP" TargetMode="External"/><Relationship Id="rId1691" Type="http://schemas.openxmlformats.org/officeDocument/2006/relationships/printerSettings" Target="../printerSettings/printerSettings2.bin"/><Relationship Id="rId286" Type="http://schemas.openxmlformats.org/officeDocument/2006/relationships/hyperlink" Target="5%20-%20RYSUNKI/2011-200-PRT-A0069932-A-Tulejka%20dystansowa.STEP" TargetMode="External"/><Relationship Id="rId493" Type="http://schemas.openxmlformats.org/officeDocument/2006/relationships/hyperlink" Target="5%20-%20RYSUNKI/2011-200-PRT-A0071418-A-P&#322;ytka%20nierdzewna.STEP" TargetMode="External"/><Relationship Id="rId507" Type="http://schemas.openxmlformats.org/officeDocument/2006/relationships/hyperlink" Target="5%20-%20RYSUNKI/2011-200-PRT-A0070610-A-Support%20uchwytu.DXF" TargetMode="External"/><Relationship Id="rId714" Type="http://schemas.openxmlformats.org/officeDocument/2006/relationships/hyperlink" Target="5%20-%20RYSUNKI/2011-600-PRT-A0070633-A-Palec%20ty&#322;%20zapas.DXF" TargetMode="External"/><Relationship Id="rId921" Type="http://schemas.openxmlformats.org/officeDocument/2006/relationships/hyperlink" Target="5%20-%20RYSUNKI/2011-904-PRT-A0071252-A-Mocowanie.STEP" TargetMode="External"/><Relationship Id="rId1137" Type="http://schemas.openxmlformats.org/officeDocument/2006/relationships/hyperlink" Target="5%20-%20RYSUNKI/2011-600-PRT-A0073451-A-P&#322;yta%20zespo&#322;u%20tensometra.PDF" TargetMode="External"/><Relationship Id="rId1344" Type="http://schemas.openxmlformats.org/officeDocument/2006/relationships/hyperlink" Target="5%20-%20RYSUNKI/2013-200-PRT-A0073172-A-Kostka%20czujnika.DXF" TargetMode="External"/><Relationship Id="rId1551" Type="http://schemas.openxmlformats.org/officeDocument/2006/relationships/hyperlink" Target="5%20-%20RYSUNKI/1851-41-PRT-A0075888-A-Os&#322;ona%20ta&#347;my%20transportujacej.STEP" TargetMode="External"/><Relationship Id="rId50" Type="http://schemas.openxmlformats.org/officeDocument/2006/relationships/hyperlink" Target="5%20-%20RYSUNKI/2011-400-PRT-A0068857-A-Tuleja%20prowadz&#261;ca.DXF" TargetMode="External"/><Relationship Id="rId146" Type="http://schemas.openxmlformats.org/officeDocument/2006/relationships/hyperlink" Target="5%20-%20RYSUNKI/2011-200-PRT-A0069925-A-Blaszka%20prowadnika%20pionowego%20ruchoma.DXF" TargetMode="External"/><Relationship Id="rId353" Type="http://schemas.openxmlformats.org/officeDocument/2006/relationships/hyperlink" Target="5%20-%20RYSUNKI/2011-400-PRT-A0068813-A-Zderzak.PDF" TargetMode="External"/><Relationship Id="rId560" Type="http://schemas.openxmlformats.org/officeDocument/2006/relationships/hyperlink" Target="5%20-%20RYSUNKI/2011-600-PRT-A0070107-A-P&#322;yta%20g&#322;&#243;wna.PDF" TargetMode="External"/><Relationship Id="rId798" Type="http://schemas.openxmlformats.org/officeDocument/2006/relationships/hyperlink" Target="5%20-%20RYSUNKI/2011-990-PRT-A0072852-A-P&#322;yta.STEP" TargetMode="External"/><Relationship Id="rId1190" Type="http://schemas.openxmlformats.org/officeDocument/2006/relationships/hyperlink" Target="5%20-%20RYSUNKI/2013-100-PRT-A0072679-A-Oprawa%20gniazda%20spr&#281;&#380;yny.DXF" TargetMode="External"/><Relationship Id="rId1204" Type="http://schemas.openxmlformats.org/officeDocument/2006/relationships/hyperlink" Target="5%20-%20RYSUNKI/2013-100-PRT-A0073093-A-Podstawa%20gniazda.PDF" TargetMode="External"/><Relationship Id="rId1411" Type="http://schemas.openxmlformats.org/officeDocument/2006/relationships/hyperlink" Target="5%20-%20RYSUNKI/2013-200-PRT-A0072807-A-Kostka%20sprz&#281;g&#322;a.PDF" TargetMode="External"/><Relationship Id="rId1649" Type="http://schemas.openxmlformats.org/officeDocument/2006/relationships/hyperlink" Target="5%20-%20RYSUNKI/2013-600-PRT-A0073140-B-Os&#322;ona%20kurtyny.PDF" TargetMode="External"/><Relationship Id="rId213" Type="http://schemas.openxmlformats.org/officeDocument/2006/relationships/hyperlink" Target="5%20-%20RYSUNKI/2011-200-PRT-A0069915-A-Adapter%20sto&#322;u%20obrotowego.STEP" TargetMode="External"/><Relationship Id="rId420" Type="http://schemas.openxmlformats.org/officeDocument/2006/relationships/hyperlink" Target="5%20-%20RYSUNKI/2011-200-PRT-A0071269-A-Kostka%20si&#322;ownika.DXF" TargetMode="External"/><Relationship Id="rId658" Type="http://schemas.openxmlformats.org/officeDocument/2006/relationships/hyperlink" Target="5%20-%20RYSUNKI/2011-600-PRT-A0071262-A-Podpora%20PL.STEP" TargetMode="External"/><Relationship Id="rId865" Type="http://schemas.openxmlformats.org/officeDocument/2006/relationships/hyperlink" Target="5%20-%20RYSUNKI/2011-903-PRT-A0072938-A-Mocowanie.PDF" TargetMode="External"/><Relationship Id="rId1050" Type="http://schemas.openxmlformats.org/officeDocument/2006/relationships/hyperlink" Target="5%20-%20RYSUNKI/2011-902-PRT-A0070603-A-Pier&#347;cie&#324;.STEP" TargetMode="External"/><Relationship Id="rId1288" Type="http://schemas.openxmlformats.org/officeDocument/2006/relationships/hyperlink" Target="5%20-%20RYSUNKI/2013-100-PRT-A0069070-A-Dystans%20wypychacza.STEP" TargetMode="External"/><Relationship Id="rId1495" Type="http://schemas.openxmlformats.org/officeDocument/2006/relationships/hyperlink" Target="5%20-%20RYSUNKI/2013-200-PRT-A0072670-A-Wa&#322;ek%20docisku.PDF" TargetMode="External"/><Relationship Id="rId1509" Type="http://schemas.openxmlformats.org/officeDocument/2006/relationships/hyperlink" Target="5%20-%20RYSUNKI/2013-200-PRT-A0072656-A-P&#322;ytka%20przednia.STEP" TargetMode="External"/><Relationship Id="rId297" Type="http://schemas.openxmlformats.org/officeDocument/2006/relationships/hyperlink" Target="5%20-%20RYSUNKI/2011-400-PRT-A0068767-A-Uchwyt%20czujnika%201.DXF" TargetMode="External"/><Relationship Id="rId518" Type="http://schemas.openxmlformats.org/officeDocument/2006/relationships/hyperlink" Target="5%20-%20RYSUNKI/2011-600-PRT-A0070112-A-Adapter%20&#322;&#261;cznika.PDF" TargetMode="External"/><Relationship Id="rId725" Type="http://schemas.openxmlformats.org/officeDocument/2006/relationships/hyperlink" Target="5%20-%20RYSUNKI/2011-901-PRT-A0068958-A-Pozycjoner.PDF" TargetMode="External"/><Relationship Id="rId932" Type="http://schemas.openxmlformats.org/officeDocument/2006/relationships/hyperlink" Target="5%20-%20RYSUNKI/2011-903-PRT-A0072929-A-Bazwanie.DXF" TargetMode="External"/><Relationship Id="rId1148" Type="http://schemas.openxmlformats.org/officeDocument/2006/relationships/hyperlink" Target="5%20-%20RYSUNKI/2013-100-PRT-A0073182-A-Kr&#243;ciec%20specjalny.STEP" TargetMode="External"/><Relationship Id="rId1355" Type="http://schemas.openxmlformats.org/officeDocument/2006/relationships/hyperlink" Target="5%20-%20RYSUNKI/2013-200-PRT-A0072954-A-&#379;ebro.PDF" TargetMode="External"/><Relationship Id="rId1562" Type="http://schemas.openxmlformats.org/officeDocument/2006/relationships/hyperlink" Target="5%20-%20RYSUNKI/1851-11-PRT-A0075965-A-Mocowanie%20lusterka.DXF" TargetMode="External"/><Relationship Id="rId157" Type="http://schemas.openxmlformats.org/officeDocument/2006/relationships/hyperlink" Target="5%20-%20RYSUNKI/2011-200-PRT-A0070317-A-Gniazdo%20RH%20cz1.PDF" TargetMode="External"/><Relationship Id="rId364" Type="http://schemas.openxmlformats.org/officeDocument/2006/relationships/hyperlink" Target="5%20-%20RYSUNKI/2011-400-PRT-A0068772-A-Oprawa%20d&#378;wigni.STEP" TargetMode="External"/><Relationship Id="rId1008" Type="http://schemas.openxmlformats.org/officeDocument/2006/relationships/hyperlink" Target="5%20-%20RYSUNKI/2011-903-PRT-A0072913-A-Gniazdo%20ko&#322;eczka.STEP" TargetMode="External"/><Relationship Id="rId1215" Type="http://schemas.openxmlformats.org/officeDocument/2006/relationships/hyperlink" Target="5%20-%20RYSUNKI/2013-100-PRT-A0073400-A-&#321;&#261;cznik%20wahad&#322;a.DXF" TargetMode="External"/><Relationship Id="rId1422" Type="http://schemas.openxmlformats.org/officeDocument/2006/relationships/hyperlink" Target="5%20-%20RYSUNKI/2013-200-PRT-A0072995-A-Kostka%20zderzaka.STEP" TargetMode="External"/><Relationship Id="rId61" Type="http://schemas.openxmlformats.org/officeDocument/2006/relationships/hyperlink" Target="5%20-%20RYSUNKI/2011-400-PRT-A0068854-A-Nakr&#281;tka.PDF" TargetMode="External"/><Relationship Id="rId571" Type="http://schemas.openxmlformats.org/officeDocument/2006/relationships/hyperlink" Target="5%20-%20RYSUNKI/2011-600-PRT-A0070089-A-Ramie%20dociskowe.STEP" TargetMode="External"/><Relationship Id="rId669" Type="http://schemas.openxmlformats.org/officeDocument/2006/relationships/hyperlink" Target="5%20-%20RYSUNKI/2011-600-PRT-A0070110-A-Wa&#322;ek%20dystansowy.DXF" TargetMode="External"/><Relationship Id="rId876" Type="http://schemas.openxmlformats.org/officeDocument/2006/relationships/hyperlink" Target="5%20-%20RYSUNKI/2011-903-PRT-A0072935-A-P&#322;yta.STEP" TargetMode="External"/><Relationship Id="rId1299" Type="http://schemas.openxmlformats.org/officeDocument/2006/relationships/hyperlink" Target="5%20-%20RYSUNKI/2013-100-PRT-A0073458-A-Gniazdo%20trzpienia%20g&#243;rne.DXF" TargetMode="External"/><Relationship Id="rId19" Type="http://schemas.openxmlformats.org/officeDocument/2006/relationships/hyperlink" Target="5%20-%20RYSUNKI/2011-400-PRT-A0068851-A-P&#322;yta%20dolna.PDF" TargetMode="External"/><Relationship Id="rId224" Type="http://schemas.openxmlformats.org/officeDocument/2006/relationships/hyperlink" Target="5%20-%20RYSUNKI/2011-200-PRT-A0070004-A-Kostka%20podpierajaca.DXF" TargetMode="External"/><Relationship Id="rId431" Type="http://schemas.openxmlformats.org/officeDocument/2006/relationships/hyperlink" Target="5%20-%20RYSUNKI/2011-200-PRT-A0072089-B-Kostka%20czujnika.PDF" TargetMode="External"/><Relationship Id="rId529" Type="http://schemas.openxmlformats.org/officeDocument/2006/relationships/hyperlink" Target="5%20-%20RYSUNKI/2011-600-PRT-A0070116-A-P&#322;yta%20supportu%201.STEP" TargetMode="External"/><Relationship Id="rId736" Type="http://schemas.openxmlformats.org/officeDocument/2006/relationships/hyperlink" Target="5%20-%20RYSUNKI/2011-901-PRT-A0068930-A-Pozycjoner.STEP" TargetMode="External"/><Relationship Id="rId1061" Type="http://schemas.openxmlformats.org/officeDocument/2006/relationships/hyperlink" Target="5%20-%20RYSUNKI/000.MAG.50%20-%20M8%20x%20L-F.DXF" TargetMode="External"/><Relationship Id="rId1159" Type="http://schemas.openxmlformats.org/officeDocument/2006/relationships/hyperlink" Target="5%20-%20RYSUNKI/2013-100-PRT-A0073183-A-Redukcja%20M5.DXF" TargetMode="External"/><Relationship Id="rId1366" Type="http://schemas.openxmlformats.org/officeDocument/2006/relationships/hyperlink" Target="5%20-%20RYSUNKI/2013-200-PRT-A0072948-A-Adapter%20dyszy.STEP" TargetMode="External"/><Relationship Id="rId168" Type="http://schemas.openxmlformats.org/officeDocument/2006/relationships/hyperlink" Target="5%20-%20RYSUNKI/2011-200-PRT-A0069928-A-Wspornik%20si&#322;ownika%20obrotowego.STEP" TargetMode="External"/><Relationship Id="rId943" Type="http://schemas.openxmlformats.org/officeDocument/2006/relationships/hyperlink" Target="5%20-%20RYSUNKI/2011-900-PRT-A0069192-A-Bazowanie.PDF" TargetMode="External"/><Relationship Id="rId1019" Type="http://schemas.openxmlformats.org/officeDocument/2006/relationships/hyperlink" Target="5%20-%20RYSUNKI/2011-990-PRT-A0072878-A-Mocowanie.DXF" TargetMode="External"/><Relationship Id="rId1573" Type="http://schemas.openxmlformats.org/officeDocument/2006/relationships/hyperlink" Target="5%20-%20RYSUNKI/2011-200-PRT-A0070512-A-Os&#322;ona%20ty&#322;.PDF" TargetMode="External"/><Relationship Id="rId72" Type="http://schemas.openxmlformats.org/officeDocument/2006/relationships/hyperlink" Target="5%20-%20RYSUNKI/2011-400-PRT-A0068777-A-Mocowanie%20prowadnika%202.STEP" TargetMode="External"/><Relationship Id="rId375" Type="http://schemas.openxmlformats.org/officeDocument/2006/relationships/hyperlink" Target="5%20-%20RYSUNKI/2011-400-PRT-A0068768-A-Zderzak%20si&#322;ownika.DXF" TargetMode="External"/><Relationship Id="rId582" Type="http://schemas.openxmlformats.org/officeDocument/2006/relationships/hyperlink" Target="5%20-%20RYSUNKI/2011-600-PRT-A0070105-A-Tuleja%20bazuj&#261;ca.DXF" TargetMode="External"/><Relationship Id="rId803" Type="http://schemas.openxmlformats.org/officeDocument/2006/relationships/hyperlink" Target="5%20-%20RYSUNKI/2011-904-PRT-A0071248-A-P&#322;yta.DXF" TargetMode="External"/><Relationship Id="rId1226" Type="http://schemas.openxmlformats.org/officeDocument/2006/relationships/hyperlink" Target="5%20-%20RYSUNKI/2013-100-PRT-A0073357-A-P&#322;ytka%20wahad&#322;a.PDF" TargetMode="External"/><Relationship Id="rId1433" Type="http://schemas.openxmlformats.org/officeDocument/2006/relationships/hyperlink" Target="5%20-%20RYSUNKI/2013-200-PRT-A0072979-A-Podpora%20II.PDF" TargetMode="External"/><Relationship Id="rId1640" Type="http://schemas.openxmlformats.org/officeDocument/2006/relationships/hyperlink" Target="5%20-%20RYSUNKI/2011-200-PRT-A0073072-A-Os&#322;ona%20boczna.PDF" TargetMode="External"/><Relationship Id="rId3" Type="http://schemas.openxmlformats.org/officeDocument/2006/relationships/hyperlink" Target="5%20-%20RYSUNKI/1704-01-PRT-A0065981-A-Os&#322;ona%203.STEP" TargetMode="External"/><Relationship Id="rId235" Type="http://schemas.openxmlformats.org/officeDocument/2006/relationships/hyperlink" Target="5%20-%20RYSUNKI/2011-200-PRT-A0069930-A-Przed&#322;u&#380;ka%20podci&#347;nienia%201.PDF" TargetMode="External"/><Relationship Id="rId442" Type="http://schemas.openxmlformats.org/officeDocument/2006/relationships/hyperlink" Target="5%20-%20RYSUNKI/2011-200-PRT-A0071141-A-Profil%20aluminiowy.STEP" TargetMode="External"/><Relationship Id="rId887" Type="http://schemas.openxmlformats.org/officeDocument/2006/relationships/hyperlink" Target="5%20-%20RYSUNKI/2011-903-PRT-A0072930-A-Tulejka%20centruj&#261;ca.DXF" TargetMode="External"/><Relationship Id="rId1072" Type="http://schemas.openxmlformats.org/officeDocument/2006/relationships/hyperlink" Target="5%20-%20RYSUNKI/000.MAG.50%20-%20M6%20x30-H.PDF" TargetMode="External"/><Relationship Id="rId1500" Type="http://schemas.openxmlformats.org/officeDocument/2006/relationships/hyperlink" Target="5%20-%20RYSUNKI/2013-200-PRT-A0072654-A-Dystans%20blokady.STEP" TargetMode="External"/><Relationship Id="rId302" Type="http://schemas.openxmlformats.org/officeDocument/2006/relationships/hyperlink" Target="5%20-%20RYSUNKI/2011-400-PRT-A0068864-A-Mocowanie%20w&#243;zk&#243;w.PDF" TargetMode="External"/><Relationship Id="rId747" Type="http://schemas.openxmlformats.org/officeDocument/2006/relationships/hyperlink" Target="5%20-%20RYSUNKI/2011-902-PRT-A0069222-A-Tulejka%20pozycjonuj&#261;ca.DXF" TargetMode="External"/><Relationship Id="rId954" Type="http://schemas.openxmlformats.org/officeDocument/2006/relationships/hyperlink" Target="5%20-%20RYSUNKI/2011-903-PRT-A0072945-A-Zderzak.STEP" TargetMode="External"/><Relationship Id="rId1377" Type="http://schemas.openxmlformats.org/officeDocument/2006/relationships/hyperlink" Target="5%20-%20RYSUNKI/2013-200-PRT-A0072824-A-&#321;apa%20si&#322;owinka.DXF" TargetMode="External"/><Relationship Id="rId1584" Type="http://schemas.openxmlformats.org/officeDocument/2006/relationships/hyperlink" Target="5%20-%20RYSUNKI/2011-200-PRT-A0070521-A-Os&#322;ona%20tylna.STEP" TargetMode="External"/><Relationship Id="rId83" Type="http://schemas.openxmlformats.org/officeDocument/2006/relationships/hyperlink" Target="5%20-%20RYSUNKI/2011-400-PRT-A0068785-A-P&#322;yta%20pionowa.DXF" TargetMode="External"/><Relationship Id="rId179" Type="http://schemas.openxmlformats.org/officeDocument/2006/relationships/hyperlink" Target="5%20-%20RYSUNKI/2011-200-PRT-A0069974-A-Podstawka%20gniazda%20ECrafter%20LH.DXF" TargetMode="External"/><Relationship Id="rId386" Type="http://schemas.openxmlformats.org/officeDocument/2006/relationships/hyperlink" Target="5%20-%20RYSUNKI/2011-400-PRT-A0068812-A-Podpora%20spr&#281;&#380;yny%20lewej.PDF" TargetMode="External"/><Relationship Id="rId593" Type="http://schemas.openxmlformats.org/officeDocument/2006/relationships/hyperlink" Target="5%20-%20RYSUNKI/2011-600-PRT-A0071415-A-O&#347;.PDF" TargetMode="External"/><Relationship Id="rId607" Type="http://schemas.openxmlformats.org/officeDocument/2006/relationships/hyperlink" Target="5%20-%20RYSUNKI/2011-600-PRT-A0071414-A-Rami&#281;%20docisku.STEP" TargetMode="External"/><Relationship Id="rId814" Type="http://schemas.openxmlformats.org/officeDocument/2006/relationships/hyperlink" Target="5%20-%20RYSUNKI/2011-904-PRT-A0070440-A-Dystans%20blokady.PDF" TargetMode="External"/><Relationship Id="rId1237" Type="http://schemas.openxmlformats.org/officeDocument/2006/relationships/hyperlink" Target="5%20-%20RYSUNKI/2013-100-PRT-A0073085-A-P&#322;ytka%20gniazda.STEP" TargetMode="External"/><Relationship Id="rId1444" Type="http://schemas.openxmlformats.org/officeDocument/2006/relationships/hyperlink" Target="5%20-%20RYSUNKI/2013-200-PRT-A0070423-A-Gniazdo%20spr&#281;zynki%20cz2.DXF" TargetMode="External"/><Relationship Id="rId1651" Type="http://schemas.openxmlformats.org/officeDocument/2006/relationships/hyperlink" Target="5%20-%20RYSUNKI/2013-600-PRT-A0073140-B-Os&#322;ona%20kurtyny.STEP" TargetMode="External"/><Relationship Id="rId246" Type="http://schemas.openxmlformats.org/officeDocument/2006/relationships/hyperlink" Target="5%20-%20RYSUNKI/2011-200-PRT-A0069935-A-Kostka%20zderzaka%20osi%20Z.STEP" TargetMode="External"/><Relationship Id="rId453" Type="http://schemas.openxmlformats.org/officeDocument/2006/relationships/hyperlink" Target="5%20-%20RYSUNKI/2011-200-PRT-A0070658-A-P&#322;yta%20monta&#380;owa.DXF" TargetMode="External"/><Relationship Id="rId660" Type="http://schemas.openxmlformats.org/officeDocument/2006/relationships/hyperlink" Target="5%20-%20RYSUNKI/2011-600-PRT-A0070108-A-Rynna%20prowadnika.DXF" TargetMode="External"/><Relationship Id="rId898" Type="http://schemas.openxmlformats.org/officeDocument/2006/relationships/hyperlink" Target="5%20-%20RYSUNKI/2011-903-PRT-A0072918-A-Talerzyk.PDF" TargetMode="External"/><Relationship Id="rId1083" Type="http://schemas.openxmlformats.org/officeDocument/2006/relationships/hyperlink" Target="5%20-%20RYSUNKI/000.MAG.50%20-%20M5-A.STEP" TargetMode="External"/><Relationship Id="rId1290" Type="http://schemas.openxmlformats.org/officeDocument/2006/relationships/hyperlink" Target="5%20-%20RYSUNKI/2013-100-PRT-A0069069-A-Oprawka%20wypychacza.DXF" TargetMode="External"/><Relationship Id="rId1304" Type="http://schemas.openxmlformats.org/officeDocument/2006/relationships/hyperlink" Target="5%20-%20RYSUNKI/2013-100-PRT-A0069076-A-Tulejka%20prowadz&#261;ca.PDF" TargetMode="External"/><Relationship Id="rId1511" Type="http://schemas.openxmlformats.org/officeDocument/2006/relationships/hyperlink" Target="5%20-%20RYSUNKI/2013-200-PRT-A0072673-A-Mocowanie%20sprz&#281;g&#322;a.DXF" TargetMode="External"/><Relationship Id="rId106" Type="http://schemas.openxmlformats.org/officeDocument/2006/relationships/hyperlink" Target="5%20-%20RYSUNKI/2011-400-PRT-A0068862-A-P&#322;yta%20narz&#281;dzia.PDF" TargetMode="External"/><Relationship Id="rId313" Type="http://schemas.openxmlformats.org/officeDocument/2006/relationships/hyperlink" Target="5%20-%20RYSUNKI/2011-400-PRT-A0069217-A-Gniazdo%209.STEP" TargetMode="External"/><Relationship Id="rId758" Type="http://schemas.openxmlformats.org/officeDocument/2006/relationships/hyperlink" Target="5%20-%20RYSUNKI/2011-992-PRT-A0073445-C-Gniazdo%20D&#378;wigni%20eCrafter%20Przesuwny%20LH.DXF" TargetMode="External"/><Relationship Id="rId965" Type="http://schemas.openxmlformats.org/officeDocument/2006/relationships/hyperlink" Target="5%20-%20RYSUNKI/2011-992-PRT-A0072856-A-Tulejka%20bazuj&#261;ca.DXF" TargetMode="External"/><Relationship Id="rId1150" Type="http://schemas.openxmlformats.org/officeDocument/2006/relationships/hyperlink" Target="5%20-%20RYSUNKI/2013-100-PRT-A0073549-A-Tulejka%20amortyzatora.DXF" TargetMode="External"/><Relationship Id="rId1388" Type="http://schemas.openxmlformats.org/officeDocument/2006/relationships/hyperlink" Target="5%20-%20RYSUNKI/2013-200-PRT-A0072054-A-Wspornik.STEP" TargetMode="External"/><Relationship Id="rId1595" Type="http://schemas.openxmlformats.org/officeDocument/2006/relationships/hyperlink" Target="5%20-%20RYSUNKI/2011-200-PRT-A0072986-A-K&#261;townik%20NOK.PDF" TargetMode="External"/><Relationship Id="rId1609" Type="http://schemas.openxmlformats.org/officeDocument/2006/relationships/hyperlink" Target="5%20-%20RYSUNKI/2011-200-PRT-A0073037-A-Os&#322;ona%20tylna.STEP" TargetMode="External"/><Relationship Id="rId10" Type="http://schemas.openxmlformats.org/officeDocument/2006/relationships/hyperlink" Target="5%20-%20RYSUNKI/1704-01-PRT-A0065972-A-Os&#322;ona.PDF" TargetMode="External"/><Relationship Id="rId94" Type="http://schemas.openxmlformats.org/officeDocument/2006/relationships/hyperlink" Target="5%20-%20RYSUNKI/2011-400-PRT-A0068780-A-Mocowanie%20si&#322;ownika.PDF" TargetMode="External"/><Relationship Id="rId397" Type="http://schemas.openxmlformats.org/officeDocument/2006/relationships/hyperlink" Target="5%20-%20RYSUNKI/2011-400-PRT-A0068799-A-Gniazdo%201.STEP" TargetMode="External"/><Relationship Id="rId520" Type="http://schemas.openxmlformats.org/officeDocument/2006/relationships/hyperlink" Target="5%20-%20RYSUNKI/2011-600-PRT-A0070112-A-Adapter%20&#322;&#261;cznika.STEP" TargetMode="External"/><Relationship Id="rId618" Type="http://schemas.openxmlformats.org/officeDocument/2006/relationships/hyperlink" Target="5%20-%20RYSUNKI/2011-600-PRT-A0071411-A-Rami&#281;.DXF" TargetMode="External"/><Relationship Id="rId825" Type="http://schemas.openxmlformats.org/officeDocument/2006/relationships/hyperlink" Target="5%20-%20RYSUNKI/2011-902-PRT-A0069227-A-Mocowanie%20si&#322;ownika.STEP" TargetMode="External"/><Relationship Id="rId1248" Type="http://schemas.openxmlformats.org/officeDocument/2006/relationships/hyperlink" Target="5%20-%20RYSUNKI/2013-100-PRT-A0073387-A-P&#322;yta%20obrotu%20pozioma.PDF" TargetMode="External"/><Relationship Id="rId1455" Type="http://schemas.openxmlformats.org/officeDocument/2006/relationships/hyperlink" Target="5%20-%20RYSUNKI/2013-200-PRT-A0070402-A--.PDF" TargetMode="External"/><Relationship Id="rId1662" Type="http://schemas.openxmlformats.org/officeDocument/2006/relationships/hyperlink" Target="5%20-%20RYSUNKI/1704-01-PRT-A0076076-A-Os&#322;ona.DXF" TargetMode="External"/><Relationship Id="rId257" Type="http://schemas.openxmlformats.org/officeDocument/2006/relationships/hyperlink" Target="5%20-%20RYSUNKI/2011-200-PRT-A0070375-A-Gniazdko%20switch&#243;w.DXF" TargetMode="External"/><Relationship Id="rId464" Type="http://schemas.openxmlformats.org/officeDocument/2006/relationships/hyperlink" Target="5%20-%20RYSUNKI/2011-200-PRT-A0070606-A-P&#322;yta%20monta&#380;owa.PDF" TargetMode="External"/><Relationship Id="rId1010" Type="http://schemas.openxmlformats.org/officeDocument/2006/relationships/hyperlink" Target="5%20-%20RYSUNKI/2011-903-PRT-A0072977-A-Mocowanie%20prowadnika.DXF" TargetMode="External"/><Relationship Id="rId1094" Type="http://schemas.openxmlformats.org/officeDocument/2006/relationships/hyperlink" Target="5%20-%20RYSUNKI/2011-600-PRT-A0073371-A-Obudowa%20Fluke%201-3.DXF" TargetMode="External"/><Relationship Id="rId1108" Type="http://schemas.openxmlformats.org/officeDocument/2006/relationships/hyperlink" Target="5%20-%20RYSUNKI/2011-600-PRT-A0073374-A-Drzwiczki%20skrzynki.DXF" TargetMode="External"/><Relationship Id="rId1315" Type="http://schemas.openxmlformats.org/officeDocument/2006/relationships/hyperlink" Target="5%20-%20RYSUNKI/2013-100-PRT-A0069074-A-P&#322;yta%20pionowa.STEP" TargetMode="External"/><Relationship Id="rId117" Type="http://schemas.openxmlformats.org/officeDocument/2006/relationships/hyperlink" Target="5%20-%20RYSUNKI/2011-400-PRT-A0068859-A-&#346;lizg.STEP" TargetMode="External"/><Relationship Id="rId671" Type="http://schemas.openxmlformats.org/officeDocument/2006/relationships/hyperlink" Target="5%20-%20RYSUNKI/2011-600-PRT-A0070121-A-Wpust.PDF" TargetMode="External"/><Relationship Id="rId769" Type="http://schemas.openxmlformats.org/officeDocument/2006/relationships/hyperlink" Target="5%20-%20RYSUNKI/2011-992-PRT-A0072854-A-Gniazdo%20D&#378;wigni%20eCrafter%20Przesuwny%20LH.DXF" TargetMode="External"/><Relationship Id="rId976" Type="http://schemas.openxmlformats.org/officeDocument/2006/relationships/hyperlink" Target="5%20-%20RYSUNKI/2011-901-PRT-A0068950-B-Mocowanie%20popychacza.PDF" TargetMode="External"/><Relationship Id="rId1399" Type="http://schemas.openxmlformats.org/officeDocument/2006/relationships/hyperlink" Target="5%20-%20RYSUNKI/2013-200-PRT-A0070396-A-Podstawa%20narz&#281;dzia%20wymiennego.DXF" TargetMode="External"/><Relationship Id="rId324" Type="http://schemas.openxmlformats.org/officeDocument/2006/relationships/hyperlink" Target="5%20-%20RYSUNKI/2011-400-PRT-A0068809-A-P&#322;yta%20g&#243;rna.DXF" TargetMode="External"/><Relationship Id="rId531" Type="http://schemas.openxmlformats.org/officeDocument/2006/relationships/hyperlink" Target="5%20-%20RYSUNKI/2011-600-PRT-A0070115-A-P&#322;yta%20pionowa%20supportu.DXF" TargetMode="External"/><Relationship Id="rId629" Type="http://schemas.openxmlformats.org/officeDocument/2006/relationships/hyperlink" Target="5%20-%20RYSUNKI/2011-600-PRT-A0070099-A-Wspornik%20pin&#243;w%202.PDF" TargetMode="External"/><Relationship Id="rId1161" Type="http://schemas.openxmlformats.org/officeDocument/2006/relationships/hyperlink" Target="5%20-%20RYSUNKI/2013-100-PRT-A0073118-A-Os&#322;onka%20czujnika.PDF" TargetMode="External"/><Relationship Id="rId1259" Type="http://schemas.openxmlformats.org/officeDocument/2006/relationships/hyperlink" Target="5%20-%20RYSUNKI/1704-01-PRT-A0076016-A-Mocowanie%20LR86.STEP" TargetMode="External"/><Relationship Id="rId1466" Type="http://schemas.openxmlformats.org/officeDocument/2006/relationships/hyperlink" Target="5%20-%20RYSUNKI/2013-200-PRT-A0070398-Lustro-A--.STEP" TargetMode="External"/><Relationship Id="rId836" Type="http://schemas.openxmlformats.org/officeDocument/2006/relationships/hyperlink" Target="5%20-%20RYSUNKI/2011-901-PRT-A0068939-A-P&#322;yta%20pionowa.DXF" TargetMode="External"/><Relationship Id="rId1021" Type="http://schemas.openxmlformats.org/officeDocument/2006/relationships/hyperlink" Target="5%20-%20RYSUNKI/2011-990-PRT-A0072875-A-Mocowanie%20prowadnika.PDF" TargetMode="External"/><Relationship Id="rId1119" Type="http://schemas.openxmlformats.org/officeDocument/2006/relationships/hyperlink" Target="5%20-%20RYSUNKI/2011-600-PRT-A0073465-A-Os&#322;ona.PDF" TargetMode="External"/><Relationship Id="rId1673" Type="http://schemas.openxmlformats.org/officeDocument/2006/relationships/hyperlink" Target="5%20-%20RYSUNKI/1704-03-PRT-A0076079-B-Os&#322;ona.PDF" TargetMode="External"/><Relationship Id="rId903" Type="http://schemas.openxmlformats.org/officeDocument/2006/relationships/hyperlink" Target="5%20-%20RYSUNKI/2011-903-PRT-A0072917-A-Kostka%20czujnika.STEP" TargetMode="External"/><Relationship Id="rId1326" Type="http://schemas.openxmlformats.org/officeDocument/2006/relationships/hyperlink" Target="5%20-%20RYSUNKI/2013-100-PRT-A0073406-A-Kostka%20zderzaka.DXF" TargetMode="External"/><Relationship Id="rId1533" Type="http://schemas.openxmlformats.org/officeDocument/2006/relationships/hyperlink" Target="5%20-%20RYSUNKI/1704-10-PRT-A0075877-A-Os&#322;ona%20ta&#347;my%20transportujacej.STEP" TargetMode="External"/><Relationship Id="rId32" Type="http://schemas.openxmlformats.org/officeDocument/2006/relationships/hyperlink" Target="5%20-%20RYSUNKI/2011-400-PRT-A0068852-A-Tulejka%20.DXF" TargetMode="External"/><Relationship Id="rId1600" Type="http://schemas.openxmlformats.org/officeDocument/2006/relationships/hyperlink" Target="5%20-%20RYSUNKI/2011-200-PRT-A0072993-A-Blat%20stanowiska.STEP" TargetMode="External"/><Relationship Id="rId181" Type="http://schemas.openxmlformats.org/officeDocument/2006/relationships/hyperlink" Target="5%20-%20RYSUNKI/2011-200-PRT-A0069970-A-P&#322;yta%20pod%20gniazdami.PDF" TargetMode="External"/><Relationship Id="rId279" Type="http://schemas.openxmlformats.org/officeDocument/2006/relationships/hyperlink" Target="5%20-%20RYSUNKI/2011-200-PRT-A0072668-A-P&#322;yta%20pod%20narz&#281;dziem.DXF" TargetMode="External"/><Relationship Id="rId486" Type="http://schemas.openxmlformats.org/officeDocument/2006/relationships/hyperlink" Target="5%20-%20RYSUNKI/2011-200-PRT-A0070434-A-G&#322;owica%20pobieraj&#261;ca%20detal.DXF" TargetMode="External"/><Relationship Id="rId693" Type="http://schemas.openxmlformats.org/officeDocument/2006/relationships/hyperlink" Target="5%20-%20RYSUNKI/2011--PRT-A0073195-B-Mocowanie%20si&#322;ownika.DXF" TargetMode="External"/><Relationship Id="rId139" Type="http://schemas.openxmlformats.org/officeDocument/2006/relationships/hyperlink" Target="5%20-%20RYSUNKI/2011-200-PRT-A0069927-A-Blaszka%20prowadnika%20poziomego%20sta&#322;a.PDF" TargetMode="External"/><Relationship Id="rId346" Type="http://schemas.openxmlformats.org/officeDocument/2006/relationships/hyperlink" Target="5%20-%20RYSUNKI/2011-400-PRT-A0069184-A-Listwa%20spr&#281;&#380;yny%20prawa%202.STEP" TargetMode="External"/><Relationship Id="rId553" Type="http://schemas.openxmlformats.org/officeDocument/2006/relationships/hyperlink" Target="5%20-%20RYSUNKI/2011-600-PRT-A0070489-A-Mocowanie%20podpory%20&#347;rodkowej.STEP" TargetMode="External"/><Relationship Id="rId760" Type="http://schemas.openxmlformats.org/officeDocument/2006/relationships/hyperlink" Target="5%20-%20RYSUNKI/2011-992-PRT-A0073441-A-Gniazdo%20D&#378;wigni%20eCrafter%20Przesuwny%20LH.PDF" TargetMode="External"/><Relationship Id="rId998" Type="http://schemas.openxmlformats.org/officeDocument/2006/relationships/hyperlink" Target="5%20-%20RYSUNKI/2011-903-PRT-A0072941-A-Blokada%20Pinu.DXF" TargetMode="External"/><Relationship Id="rId1183" Type="http://schemas.openxmlformats.org/officeDocument/2006/relationships/hyperlink" Target="5%20-%20RYSUNKI/2013-100-PRT-A0073406-A-Kostka%20zderzaka.PDF" TargetMode="External"/><Relationship Id="rId1390" Type="http://schemas.openxmlformats.org/officeDocument/2006/relationships/hyperlink" Target="5%20-%20RYSUNKI/2013-200-PRT-A0071399-A-&#379;ebro.DXF" TargetMode="External"/><Relationship Id="rId206" Type="http://schemas.openxmlformats.org/officeDocument/2006/relationships/hyperlink" Target="5%20-%20RYSUNKI/2011-200-PRT-A0069906-A-P&#322;yta%20prasy.DXF" TargetMode="External"/><Relationship Id="rId413" Type="http://schemas.openxmlformats.org/officeDocument/2006/relationships/hyperlink" Target="5%20-%20RYSUNKI/2011-400-PRT-A0068789-A-Gniazdo%206.PDF" TargetMode="External"/><Relationship Id="rId858" Type="http://schemas.openxmlformats.org/officeDocument/2006/relationships/hyperlink" Target="5%20-%20RYSUNKI/2011-903-PRT-A0072942-A-Mocowanie%20si&#322;ownika.STEP" TargetMode="External"/><Relationship Id="rId1043" Type="http://schemas.openxmlformats.org/officeDocument/2006/relationships/hyperlink" Target="5%20-%20RYSUNKI/2011-902-PRT-A0072036-A-Mocowanie%20prowadnika.DXF" TargetMode="External"/><Relationship Id="rId1488" Type="http://schemas.openxmlformats.org/officeDocument/2006/relationships/hyperlink" Target="5%20-%20RYSUNKI/2013-200-PRT-A0072708-A-Rynienka%20prowadnika.STEP" TargetMode="External"/><Relationship Id="rId620" Type="http://schemas.openxmlformats.org/officeDocument/2006/relationships/hyperlink" Target="5%20-%20RYSUNKI/2011-600-PRT-A0073136-A-Mocowanie%20BSC00PJ.PDF" TargetMode="External"/><Relationship Id="rId718" Type="http://schemas.openxmlformats.org/officeDocument/2006/relationships/hyperlink" Target="5%20-%20RYSUNKI/2011-600-PRT-A0070128-A-Wa&#322;ek%20g&#322;&#243;wny.STEP" TargetMode="External"/><Relationship Id="rId925" Type="http://schemas.openxmlformats.org/officeDocument/2006/relationships/hyperlink" Target="5%20-%20RYSUNKI/2011-902-PRT-A0069226-A-Mocowanie%20odboju.PDF" TargetMode="External"/><Relationship Id="rId1250" Type="http://schemas.openxmlformats.org/officeDocument/2006/relationships/hyperlink" Target="5%20-%20RYSUNKI/2013-100-PRT-A0073387-A-P&#322;yta%20obrotu%20pozioma.STEP" TargetMode="External"/><Relationship Id="rId1348" Type="http://schemas.openxmlformats.org/officeDocument/2006/relationships/hyperlink" Target="5%20-%20RYSUNKI/2013-200-PRT-A0073177-A-K&#261;townik%20kamery.STEP" TargetMode="External"/><Relationship Id="rId1555" Type="http://schemas.openxmlformats.org/officeDocument/2006/relationships/hyperlink" Target="5%20-%20RYSUNKI/1851-11-PRT-A0075958-A-Os&#322;ona%20PC.PDF" TargetMode="External"/><Relationship Id="rId1110" Type="http://schemas.openxmlformats.org/officeDocument/2006/relationships/hyperlink" Target="5%20-%20RYSUNKI/2011-600-PRT-A0073375-A-Stopka.PDF" TargetMode="External"/><Relationship Id="rId1208" Type="http://schemas.openxmlformats.org/officeDocument/2006/relationships/hyperlink" Target="5%20-%20RYSUNKI/2013-100-PRT-A0072950-A-&#379;ebro%20docisku.PDF" TargetMode="External"/><Relationship Id="rId1415" Type="http://schemas.openxmlformats.org/officeDocument/2006/relationships/hyperlink" Target="5%20-%20RYSUNKI/2013-200-PRT-A0072676-A-Wspornik%20si&#322;ownika.DXF" TargetMode="External"/><Relationship Id="rId54" Type="http://schemas.openxmlformats.org/officeDocument/2006/relationships/hyperlink" Target="5%20-%20RYSUNKI/2011-400-PRT-A0068858-A-Gniazdo%20pina.STEP" TargetMode="External"/><Relationship Id="rId1622" Type="http://schemas.openxmlformats.org/officeDocument/2006/relationships/hyperlink" Target="5%20-%20RYSUNKI/2011-200-PRT-A0073045-A-Os&#322;ona%20boczna.PDF" TargetMode="External"/><Relationship Id="rId270" Type="http://schemas.openxmlformats.org/officeDocument/2006/relationships/hyperlink" Target="5%20-%20RYSUNKI/2011-200-PRT-A0070407-A-Os&#322;onka%20boczna.STEP" TargetMode="External"/><Relationship Id="rId130" Type="http://schemas.openxmlformats.org/officeDocument/2006/relationships/hyperlink" Target="5%20-%20RYSUNKI/000.MAG.22.M6H-A.PDF" TargetMode="External"/><Relationship Id="rId368" Type="http://schemas.openxmlformats.org/officeDocument/2006/relationships/hyperlink" Target="5%20-%20RYSUNKI/2011-400-PRT-A0068770-A-Kostka%20&#322;o&#380;yska.PDF" TargetMode="External"/><Relationship Id="rId575" Type="http://schemas.openxmlformats.org/officeDocument/2006/relationships/hyperlink" Target="5%20-%20RYSUNKI/2011-600-PRT-A0070494-A-Podpora%20przednia%201.PDF" TargetMode="External"/><Relationship Id="rId782" Type="http://schemas.openxmlformats.org/officeDocument/2006/relationships/hyperlink" Target="5%20-%20RYSUNKI/2011-991-PRT-A0072855-C-Gniazdo%20eCrafter%20LH.DXF" TargetMode="External"/><Relationship Id="rId228" Type="http://schemas.openxmlformats.org/officeDocument/2006/relationships/hyperlink" Target="5%20-%20RYSUNKI/2011-200-PRT-A0069999-A-Kosteczka%20regulacyjna.STEP" TargetMode="External"/><Relationship Id="rId435" Type="http://schemas.openxmlformats.org/officeDocument/2006/relationships/hyperlink" Target="5%20-%20RYSUNKI/2011-200-PRT-A0072085-A-Ramie%20reakcyjne%20si&#322;ownika.DXF" TargetMode="External"/><Relationship Id="rId642" Type="http://schemas.openxmlformats.org/officeDocument/2006/relationships/hyperlink" Target="5%20-%20RYSUNKI/2011-600-PRT-A0071266-A-Podpora%20PT.DXF" TargetMode="External"/><Relationship Id="rId1065" Type="http://schemas.openxmlformats.org/officeDocument/2006/relationships/hyperlink" Target="5%20-%20RYSUNKI/000.MAG.50%20-%20M6%20x30-H.STEP" TargetMode="External"/><Relationship Id="rId1272" Type="http://schemas.openxmlformats.org/officeDocument/2006/relationships/hyperlink" Target="5%20-%20RYSUNKI/2013-100-PRT-A0072966-A-Gniazdo%20.STEP" TargetMode="External"/><Relationship Id="rId502" Type="http://schemas.openxmlformats.org/officeDocument/2006/relationships/hyperlink" Target="5%20-%20RYSUNKI/2011-200-PRT-A0070613-A-Support%20uchwytu.STEP" TargetMode="External"/><Relationship Id="rId947" Type="http://schemas.openxmlformats.org/officeDocument/2006/relationships/hyperlink" Target="5%20-%20RYSUNKI/2011-902-PRT-A0069979-A-Element%20sprz&#281;gaj&#261;cy.DXF" TargetMode="External"/><Relationship Id="rId1132" Type="http://schemas.openxmlformats.org/officeDocument/2006/relationships/hyperlink" Target="5%20-%20RYSUNKI/2011-600-PRT-A0073376-A-Mocowanie%20prz&#243;d.DXF" TargetMode="External"/><Relationship Id="rId1577" Type="http://schemas.openxmlformats.org/officeDocument/2006/relationships/hyperlink" Target="5%20-%20RYSUNKI/2011-200-PRT-A0070519-A-P&#322;yta%20pneumatyki.DXF" TargetMode="External"/><Relationship Id="rId76" Type="http://schemas.openxmlformats.org/officeDocument/2006/relationships/hyperlink" Target="5%20-%20RYSUNKI/2011-400-PRT-A0068787-A-Wa&#322;ek%20docisku.PDF" TargetMode="External"/><Relationship Id="rId807" Type="http://schemas.openxmlformats.org/officeDocument/2006/relationships/hyperlink" Target="5%20-%20RYSUNKI/2011-902-PRT-A0071207-A-Wa&#322;eczek.STEP" TargetMode="External"/><Relationship Id="rId1437" Type="http://schemas.openxmlformats.org/officeDocument/2006/relationships/hyperlink" Target="5%20-%20RYSUNKI/2013-200-PRT-A0072056-A-Podp&#243;rka.DXF" TargetMode="External"/><Relationship Id="rId1644" Type="http://schemas.openxmlformats.org/officeDocument/2006/relationships/hyperlink" Target="5%20-%20RYSUNKI/2011-200-PRT-A0073074-A-Pr&#281;t%20okrag&#322;y.DXF" TargetMode="External"/><Relationship Id="rId1504" Type="http://schemas.openxmlformats.org/officeDocument/2006/relationships/hyperlink" Target="5%20-%20RYSUNKI/2013-200-PRT-A0072660-A-&#379;ebro%202.PDF" TargetMode="External"/><Relationship Id="rId292" Type="http://schemas.openxmlformats.org/officeDocument/2006/relationships/hyperlink" Target="5%20-%20RYSUNKI/2011-200-PRT-A0069936-A-P&#322;ytka%20oporowa%20obrotu.STEP" TargetMode="External"/><Relationship Id="rId597" Type="http://schemas.openxmlformats.org/officeDocument/2006/relationships/hyperlink" Target="5%20-%20RYSUNKI/2011-600-PRT-A0071413-A-O&#347;.DXF" TargetMode="External"/><Relationship Id="rId152" Type="http://schemas.openxmlformats.org/officeDocument/2006/relationships/hyperlink" Target="5%20-%20RYSUNKI/2011-200-PRT-A0069922-A-Blacha%20amortyzator&#243;w.DXF" TargetMode="External"/><Relationship Id="rId457" Type="http://schemas.openxmlformats.org/officeDocument/2006/relationships/hyperlink" Target="5%20-%20RYSUNKI/2011-200-PRT-A0070655-A-P&#322;yta%20monta&#380;owa.STEP" TargetMode="External"/><Relationship Id="rId1087" Type="http://schemas.openxmlformats.org/officeDocument/2006/relationships/hyperlink" Target="5%20-%20RYSUNKI/000.MAG.22.M8-A.PDF" TargetMode="External"/><Relationship Id="rId1294" Type="http://schemas.openxmlformats.org/officeDocument/2006/relationships/hyperlink" Target="5%20-%20RYSUNKI/2013-100-PRT-A0069068-A-Nakr&#281;tka%20wypychacza.STEP" TargetMode="External"/><Relationship Id="rId664" Type="http://schemas.openxmlformats.org/officeDocument/2006/relationships/hyperlink" Target="5%20-%20RYSUNKI/2011-600-PRT-A0070418-A-&#346;ciana%20prawa.STEP" TargetMode="External"/><Relationship Id="rId871" Type="http://schemas.openxmlformats.org/officeDocument/2006/relationships/hyperlink" Target="5%20-%20RYSUNKI/2011-903-PRT-A0072936-A-P&#322;yta.PDF" TargetMode="External"/><Relationship Id="rId969" Type="http://schemas.openxmlformats.org/officeDocument/2006/relationships/hyperlink" Target="5%20-%20RYSUNKI/2011-902-PRT-A0070000-A-Element%20sprz&#281;gaj&#261;cy.STEP" TargetMode="External"/><Relationship Id="rId1599" Type="http://schemas.openxmlformats.org/officeDocument/2006/relationships/hyperlink" Target="5%20-%20RYSUNKI/2011-200-PRT-A0072993-A-Blat%20stanowiska.DXF" TargetMode="External"/><Relationship Id="rId317" Type="http://schemas.openxmlformats.org/officeDocument/2006/relationships/hyperlink" Target="5%20-%20RYSUNKI/2011-400-PRT-A0068811-A-P&#322;yta%20pionowa%20prz&#243;d.PDF" TargetMode="External"/><Relationship Id="rId524" Type="http://schemas.openxmlformats.org/officeDocument/2006/relationships/hyperlink" Target="5%20-%20RYSUNKI/2011-600-PRT-A0070112-A-Adapter%20&#322;&#261;cznika.PDF" TargetMode="External"/><Relationship Id="rId731" Type="http://schemas.openxmlformats.org/officeDocument/2006/relationships/hyperlink" Target="5%20-%20RYSUNKI/2011-901-PRT-A0068931-A-Nakr&#281;tka%20specjalna.PDF" TargetMode="External"/><Relationship Id="rId1154" Type="http://schemas.openxmlformats.org/officeDocument/2006/relationships/hyperlink" Target="5%20-%20RYSUNKI/2013-100-PRT-A0073391-A-Kostka%20zderzaka.STEP" TargetMode="External"/><Relationship Id="rId1361" Type="http://schemas.openxmlformats.org/officeDocument/2006/relationships/hyperlink" Target="5%20-%20RYSUNKI/2013-200-PRT-A0072951-A-P&#322;yta.PDF" TargetMode="External"/><Relationship Id="rId1459" Type="http://schemas.openxmlformats.org/officeDocument/2006/relationships/hyperlink" Target="5%20-%20RYSUNKI/2013-200-PRT-A0070399-A--.PDF" TargetMode="External"/><Relationship Id="rId98" Type="http://schemas.openxmlformats.org/officeDocument/2006/relationships/hyperlink" Target="5%20-%20RYSUNKI/2011-400-PRT-A0068779-A-Mocowanie%20sprz&#281;g&#322;a.DXF" TargetMode="External"/><Relationship Id="rId829" Type="http://schemas.openxmlformats.org/officeDocument/2006/relationships/hyperlink" Target="5%20-%20RYSUNKI/2011-901-PRT-A0068942-A-P&#322;yta%20dolna.PDF" TargetMode="External"/><Relationship Id="rId1014" Type="http://schemas.openxmlformats.org/officeDocument/2006/relationships/hyperlink" Target="5%20-%20RYSUNKI/2011-903-PRT-A0072975-A-Mocowanie%20prowadnika.STEP" TargetMode="External"/><Relationship Id="rId1221" Type="http://schemas.openxmlformats.org/officeDocument/2006/relationships/hyperlink" Target="5%20-%20RYSUNKI/2013-100-PRT-A0073563-A-Uchwyt%20LRZ.DXF" TargetMode="External"/><Relationship Id="rId1666" Type="http://schemas.openxmlformats.org/officeDocument/2006/relationships/hyperlink" Target="5%20-%20RYSUNKI/1704-03-PRT-A0076077-A-Os&#322;ona.STEP" TargetMode="External"/><Relationship Id="rId1319" Type="http://schemas.openxmlformats.org/officeDocument/2006/relationships/hyperlink" Target="5%20-%20RYSUNKI/2013-100-PRT-A0073496-A-Mocowanie%20kamery%20IV.PDF" TargetMode="External"/><Relationship Id="rId1526" Type="http://schemas.openxmlformats.org/officeDocument/2006/relationships/hyperlink" Target="5%20-%20RYSUNKI/000.MAG.50%20-%20M6%20x30-H.DXF" TargetMode="External"/><Relationship Id="rId25" Type="http://schemas.openxmlformats.org/officeDocument/2006/relationships/hyperlink" Target="5%20-%20RYSUNKI/2011-400-PRT-A0068848-A-Mocowanie%20si&#322;ownika%202.PDF" TargetMode="External"/><Relationship Id="rId174" Type="http://schemas.openxmlformats.org/officeDocument/2006/relationships/hyperlink" Target="5%20-%20RYSUNKI/2011-200-PRT-A0070366-A-P&#322;ytka%20podstawowa%20podmonta&#380;u%20blaszek.STEP" TargetMode="External"/><Relationship Id="rId381" Type="http://schemas.openxmlformats.org/officeDocument/2006/relationships/hyperlink" Target="5%20-%20RYSUNKI/2011-400-PRT-A0069198-A-Gniazdo%207.DXF" TargetMode="External"/><Relationship Id="rId241" Type="http://schemas.openxmlformats.org/officeDocument/2006/relationships/hyperlink" Target="5%20-%20RYSUNKI/2011-200-PRT-A0069908-A-Wa&#322;ek%20stempla.PDF" TargetMode="External"/><Relationship Id="rId479" Type="http://schemas.openxmlformats.org/officeDocument/2006/relationships/hyperlink" Target="5%20-%20RYSUNKI/2011-200-PRT-A0070615-A-Support%20uchwytu.PDF" TargetMode="External"/><Relationship Id="rId686" Type="http://schemas.openxmlformats.org/officeDocument/2006/relationships/hyperlink" Target="5%20-%20RYSUNKI/2011--PRT-A0073184-B-Uchwyt%20si&#322;ownika.PDF" TargetMode="External"/><Relationship Id="rId893" Type="http://schemas.openxmlformats.org/officeDocument/2006/relationships/hyperlink" Target="5%20-%20RYSUNKI/2011-903-PRT-A0072920-A-Kostka%20zderzaka.DXF" TargetMode="External"/><Relationship Id="rId339" Type="http://schemas.openxmlformats.org/officeDocument/2006/relationships/hyperlink" Target="5%20-%20RYSUNKI/2011-400-PRT-A0068774-A-D&#378;wignia%20lewa.DXF" TargetMode="External"/><Relationship Id="rId546" Type="http://schemas.openxmlformats.org/officeDocument/2006/relationships/hyperlink" Target="5%20-%20RYSUNKI/2011-600-PRT-A0070088-A-Tuleja%20docisku.DXF" TargetMode="External"/><Relationship Id="rId753" Type="http://schemas.openxmlformats.org/officeDocument/2006/relationships/hyperlink" Target="5%20-%20RYSUNKI/2011-992-PRT-A0073446-A-Gniazdo%20D&#378;wigni%20eCrafter%20Przesuwny%20LH.PDF" TargetMode="External"/><Relationship Id="rId1176" Type="http://schemas.openxmlformats.org/officeDocument/2006/relationships/hyperlink" Target="5%20-%20RYSUNKI/2013-100-LustroPRT-A0071391-A-Gniazdo%20spr&#281;&#380;yny.STEP" TargetMode="External"/><Relationship Id="rId1383" Type="http://schemas.openxmlformats.org/officeDocument/2006/relationships/hyperlink" Target="5%20-%20RYSUNKI/2013-200-PRT-A0072712-A-P&#322;ytka%20si&#322;ownika.PDF" TargetMode="External"/><Relationship Id="rId101" Type="http://schemas.openxmlformats.org/officeDocument/2006/relationships/hyperlink" Target="5%20-%20RYSUNKI/2011-400-PRT-A0068778-A-&#379;ebro.DXF" TargetMode="External"/><Relationship Id="rId406" Type="http://schemas.openxmlformats.org/officeDocument/2006/relationships/hyperlink" Target="5%20-%20RYSUNKI/2011-400-PRT-A0068794-A-Gniazdo%204.STEP" TargetMode="External"/><Relationship Id="rId960" Type="http://schemas.openxmlformats.org/officeDocument/2006/relationships/hyperlink" Target="5%20-%20RYSUNKI/2011-990-PRT-A0072865-A-Kostka%20podporowa.STEP" TargetMode="External"/><Relationship Id="rId1036" Type="http://schemas.openxmlformats.org/officeDocument/2006/relationships/hyperlink" Target="5%20-%20RYSUNKI/2011-902-PRT-A0072718-A-Mocowanie.PDF" TargetMode="External"/><Relationship Id="rId1243" Type="http://schemas.openxmlformats.org/officeDocument/2006/relationships/hyperlink" Target="5%20-%20RYSUNKI/2013-100-PRT-A0072956-A-P&#322;yta%20pozioma%20smarowania.DXF" TargetMode="External"/><Relationship Id="rId1590" Type="http://schemas.openxmlformats.org/officeDocument/2006/relationships/hyperlink" Target="5%20-%20RYSUNKI/2011-200-PRT-A0072710-A-Wspornik%20przycisku%20START.STEP" TargetMode="External"/><Relationship Id="rId1688" Type="http://schemas.openxmlformats.org/officeDocument/2006/relationships/hyperlink" Target="5%20-%20RYSUNKI/1927-000-PRT-A0062094-A-P&#322;ytka%20&#322;&#261;cz&#261;ca.PDF" TargetMode="External"/><Relationship Id="rId613" Type="http://schemas.openxmlformats.org/officeDocument/2006/relationships/hyperlink" Target="5%20-%20RYSUNKI/2011-600-PRT-A0071410-A-P&#322;ytka%20si&#322;ownika.STEP" TargetMode="External"/><Relationship Id="rId820" Type="http://schemas.openxmlformats.org/officeDocument/2006/relationships/hyperlink" Target="5%20-%20RYSUNKI/2011-902-PRT-A0069228-A-Mocowanie%20szyny.PDF" TargetMode="External"/><Relationship Id="rId918" Type="http://schemas.openxmlformats.org/officeDocument/2006/relationships/hyperlink" Target="5%20-%20RYSUNKI/2011-990-PRT-A0072862-B-Wspornik%20blokady.STEP" TargetMode="External"/><Relationship Id="rId1450" Type="http://schemas.openxmlformats.org/officeDocument/2006/relationships/hyperlink" Target="5%20-%20RYSUNKI/2013-200-PRT-A0070422-Lustro-A-Gniazdo%20spr&#281;&#380;yny%20cz1.STEP" TargetMode="External"/><Relationship Id="rId1548" Type="http://schemas.openxmlformats.org/officeDocument/2006/relationships/hyperlink" Target="5%20-%20RYSUNKI/1851-11-PRT-A0075895-A-Os&#322;ona%20ta&#347;my%20transportujacej.STEP" TargetMode="External"/><Relationship Id="rId1103" Type="http://schemas.openxmlformats.org/officeDocument/2006/relationships/hyperlink" Target="5%20-%20RYSUNKI/2011-600-PRT-A0073479-A-K&#261;townik%20mocuj&#261;cy.STEP" TargetMode="External"/><Relationship Id="rId1310" Type="http://schemas.openxmlformats.org/officeDocument/2006/relationships/hyperlink" Target="5%20-%20RYSUNKI/2013-100-PRT-A0069079-A-Mocowanie%20wypychacza.PDF" TargetMode="External"/><Relationship Id="rId1408" Type="http://schemas.openxmlformats.org/officeDocument/2006/relationships/hyperlink" Target="5%20-%20RYSUNKI/2013-200-PRT-A0072836-A-Kostka%20zderzaka.PDF" TargetMode="External"/><Relationship Id="rId47" Type="http://schemas.openxmlformats.org/officeDocument/2006/relationships/hyperlink" Target="5%20-%20RYSUNKI/2011-400-PRT-A0068841-A-Gniazdo%20g&#243;rne%20pina.DXF" TargetMode="External"/><Relationship Id="rId1615" Type="http://schemas.openxmlformats.org/officeDocument/2006/relationships/hyperlink" Target="5%20-%20RYSUNKI/2011-200-PRT-A0073057-A-Os&#322;ona%20boczna.STEP" TargetMode="External"/><Relationship Id="rId196" Type="http://schemas.openxmlformats.org/officeDocument/2006/relationships/hyperlink" Target="5%20-%20RYSUNKI/2011-200-PRT-A0069913-A-P&#322;yta%20szyn%20osi%20Z.PDF" TargetMode="External"/><Relationship Id="rId263" Type="http://schemas.openxmlformats.org/officeDocument/2006/relationships/hyperlink" Target="5%20-%20RYSUNKI/2011-200-PRT-A0069907-A-Stempel%20prasy.DXF" TargetMode="External"/><Relationship Id="rId470" Type="http://schemas.openxmlformats.org/officeDocument/2006/relationships/hyperlink" Target="5%20-%20RYSUNKI/2011-200-PRT-A0071187-A-Kostka%20pozycjonuj&#261;ca.PDF" TargetMode="External"/><Relationship Id="rId123" Type="http://schemas.openxmlformats.org/officeDocument/2006/relationships/hyperlink" Target="5%20-%20RYSUNKI/2011-300-PRT-A0070324-A-Uchwyt%20czujnika.STEP" TargetMode="External"/><Relationship Id="rId330" Type="http://schemas.openxmlformats.org/officeDocument/2006/relationships/hyperlink" Target="5%20-%20RYSUNKI/2011-400-PRT-A0071721-A-Gniazdo%20spr&#281;&#380;yny%20prawej.DXF" TargetMode="External"/><Relationship Id="rId568" Type="http://schemas.openxmlformats.org/officeDocument/2006/relationships/hyperlink" Target="5%20-%20RYSUNKI/2011-600-PRT-A0070492-A-Kostka%20elektryczna.STEP" TargetMode="External"/><Relationship Id="rId775" Type="http://schemas.openxmlformats.org/officeDocument/2006/relationships/hyperlink" Target="5%20-%20RYSUNKI/2011-990-PRT-A0072860-A-P&#322;yta%20narz&#281;dzia%20ruchomego.PDF" TargetMode="External"/><Relationship Id="rId982" Type="http://schemas.openxmlformats.org/officeDocument/2006/relationships/hyperlink" Target="5%20-%20RYSUNKI/2011-901-PRT-A0068935-A-Gniazdo%20pina.PDF" TargetMode="External"/><Relationship Id="rId1198" Type="http://schemas.openxmlformats.org/officeDocument/2006/relationships/hyperlink" Target="5%20-%20RYSUNKI/2013-100-PRT-A0073196-A-Podstawa%20docisku.PDF" TargetMode="External"/><Relationship Id="rId428" Type="http://schemas.openxmlformats.org/officeDocument/2006/relationships/hyperlink" Target="5%20-%20RYSUNKI/2011-200-PRT-A0072092-A-Uchwyt%20czujnika.PDF" TargetMode="External"/><Relationship Id="rId635" Type="http://schemas.openxmlformats.org/officeDocument/2006/relationships/hyperlink" Target="5%20-%20RYSUNKI/2011-600-PRT-A0071455-A-Blokada%20L.PDF" TargetMode="External"/><Relationship Id="rId842" Type="http://schemas.openxmlformats.org/officeDocument/2006/relationships/hyperlink" Target="5%20-%20RYSUNKI/2011-902-PRT-A0069223-A-Obracak.DXF" TargetMode="External"/><Relationship Id="rId1058" Type="http://schemas.openxmlformats.org/officeDocument/2006/relationships/hyperlink" Target="5%20-%20RYSUNKI/2011-904-PRT-A0070438-A-Oprawa%20&#322;o&#380;ysk.DXF" TargetMode="External"/><Relationship Id="rId1265" Type="http://schemas.openxmlformats.org/officeDocument/2006/relationships/hyperlink" Target="5%20-%20RYSUNKI/2013-100-PRT-A0073412-A-&#346;ruba%20zderzak.STEP" TargetMode="External"/><Relationship Id="rId1472" Type="http://schemas.openxmlformats.org/officeDocument/2006/relationships/hyperlink" Target="5%20-%20RYSUNKI/2013-200-PRT-A0074047-A-Sprz&#281;g&#322;o.STEP" TargetMode="External"/><Relationship Id="rId702" Type="http://schemas.openxmlformats.org/officeDocument/2006/relationships/hyperlink" Target="5%20-%20RYSUNKI/2011-600-PRT-A0070126-A-Rami&#281;%20prz&#243;d.DXF" TargetMode="External"/><Relationship Id="rId1125" Type="http://schemas.openxmlformats.org/officeDocument/2006/relationships/hyperlink" Target="5%20-%20RYSUNKI/2011-600-PRT-A0073401-A-Mocowanie%20magnesu.PDF" TargetMode="External"/><Relationship Id="rId1332" Type="http://schemas.openxmlformats.org/officeDocument/2006/relationships/hyperlink" Target="5%20-%20RYSUNKI/2013-100-PRT-A0073412-A-&#346;ruba%20zderzak.DXF" TargetMode="External"/><Relationship Id="rId69" Type="http://schemas.openxmlformats.org/officeDocument/2006/relationships/hyperlink" Target="5%20-%20RYSUNKI/2011-400-PRT-A0068845-A-Blaszka%20boczna.STEP" TargetMode="External"/><Relationship Id="rId1637" Type="http://schemas.openxmlformats.org/officeDocument/2006/relationships/hyperlink" Target="5%20-%20RYSUNKI/2011-200-PRT-A0073064-A-Os&#322;ona%20boczna.PDF" TargetMode="External"/><Relationship Id="rId285" Type="http://schemas.openxmlformats.org/officeDocument/2006/relationships/hyperlink" Target="5%20-%20RYSUNKI/2011-200-PRT-A0069932-A-Tulejka%20dystansowa.DXF" TargetMode="External"/><Relationship Id="rId492" Type="http://schemas.openxmlformats.org/officeDocument/2006/relationships/hyperlink" Target="5%20-%20RYSUNKI/2011-200-PRT-A0071418-A-P&#322;ytka%20nierdzewna.DXF" TargetMode="External"/><Relationship Id="rId797" Type="http://schemas.openxmlformats.org/officeDocument/2006/relationships/hyperlink" Target="5%20-%20RYSUNKI/2011-990-PRT-A0072852-A-P&#322;yta.DXF" TargetMode="External"/><Relationship Id="rId145" Type="http://schemas.openxmlformats.org/officeDocument/2006/relationships/hyperlink" Target="5%20-%20RYSUNKI/2011-200-PRT-A0069925-A-Blaszka%20prowadnika%20pionowego%20ruchoma.PDF" TargetMode="External"/><Relationship Id="rId352" Type="http://schemas.openxmlformats.org/officeDocument/2006/relationships/hyperlink" Target="5%20-%20RYSUNKI/2011-400-PRT-A0068805-A-Listwa%20lewa%201.STEP" TargetMode="External"/><Relationship Id="rId1287" Type="http://schemas.openxmlformats.org/officeDocument/2006/relationships/hyperlink" Target="5%20-%20RYSUNKI/2013-100-PRT-A0069070-A-Dystans%20wypychacza.DXF" TargetMode="External"/><Relationship Id="rId212" Type="http://schemas.openxmlformats.org/officeDocument/2006/relationships/hyperlink" Target="5%20-%20RYSUNKI/2011-200-PRT-A0069915-A-Adapter%20sto&#322;u%20obrotowego.DXF" TargetMode="External"/><Relationship Id="rId657" Type="http://schemas.openxmlformats.org/officeDocument/2006/relationships/hyperlink" Target="5%20-%20RYSUNKI/2011-600-PRT-A0071262-A-Podpora%20PL.DXF" TargetMode="External"/><Relationship Id="rId864" Type="http://schemas.openxmlformats.org/officeDocument/2006/relationships/hyperlink" Target="5%20-%20RYSUNKI/2011-903-PRT-A0072939-A-Podpora.STEP" TargetMode="External"/><Relationship Id="rId1494" Type="http://schemas.openxmlformats.org/officeDocument/2006/relationships/hyperlink" Target="5%20-%20RYSUNKI/2013-200-PRT-A0072672-A-Wa&#322;ek%20docisku.STEP" TargetMode="External"/><Relationship Id="rId517" Type="http://schemas.openxmlformats.org/officeDocument/2006/relationships/hyperlink" Target="5%20-%20RYSUNKI/2011-600-PRT-A0070117-A-P&#322;yta%20zespo&#322;u%20dojazdu.STEP" TargetMode="External"/><Relationship Id="rId724" Type="http://schemas.openxmlformats.org/officeDocument/2006/relationships/hyperlink" Target="5%20-%20RYSUNKI/2011-904-PRT-A0070449-A-Wa&#322;ek%20docisku.STEP" TargetMode="External"/><Relationship Id="rId931" Type="http://schemas.openxmlformats.org/officeDocument/2006/relationships/hyperlink" Target="5%20-%20RYSUNKI/2011-903-PRT-A0072929-A-Bazwanie.PDF" TargetMode="External"/><Relationship Id="rId1147" Type="http://schemas.openxmlformats.org/officeDocument/2006/relationships/hyperlink" Target="5%20-%20RYSUNKI/2013-100-PRT-A0073182-A-Kr&#243;ciec%20specjalny.DXF" TargetMode="External"/><Relationship Id="rId1354" Type="http://schemas.openxmlformats.org/officeDocument/2006/relationships/hyperlink" Target="5%20-%20RYSUNKI/2013-200-PRT-A0072955-A-&#379;ebro.STEP" TargetMode="External"/><Relationship Id="rId1561" Type="http://schemas.openxmlformats.org/officeDocument/2006/relationships/hyperlink" Target="5%20-%20RYSUNKI/1851-11-PRT-A0075965-A-Mocowanie%20lusterka.PDF" TargetMode="External"/><Relationship Id="rId60" Type="http://schemas.openxmlformats.org/officeDocument/2006/relationships/hyperlink" Target="5%20-%20RYSUNKI/2011-400-PRT-A0068855-A-Wa&#322;ek%20gwintowany.STEP" TargetMode="External"/><Relationship Id="rId1007" Type="http://schemas.openxmlformats.org/officeDocument/2006/relationships/hyperlink" Target="5%20-%20RYSUNKI/2011-903-PRT-A0072913-A-Gniazdo%20ko&#322;eczka.DXF" TargetMode="External"/><Relationship Id="rId1214" Type="http://schemas.openxmlformats.org/officeDocument/2006/relationships/hyperlink" Target="5%20-%20RYSUNKI/2013-100-PRT-A0073400-A-&#321;&#261;cznik%20wahad&#322;a.PDF" TargetMode="External"/><Relationship Id="rId1421" Type="http://schemas.openxmlformats.org/officeDocument/2006/relationships/hyperlink" Target="5%20-%20RYSUNKI/2013-200-PRT-A0072995-A-Kostka%20zderzaka.DXF" TargetMode="External"/><Relationship Id="rId1659" Type="http://schemas.openxmlformats.org/officeDocument/2006/relationships/hyperlink" Target="5%20-%20RYSUNKI/1704-01-PRT-A0076072-A-Os&#322;ona.DXF" TargetMode="External"/><Relationship Id="rId1519" Type="http://schemas.openxmlformats.org/officeDocument/2006/relationships/hyperlink" Target="5%20-%20RYSUNKI/000.MAG.50%20-%20M5-A.PDF" TargetMode="External"/><Relationship Id="rId18" Type="http://schemas.openxmlformats.org/officeDocument/2006/relationships/hyperlink" Target="5%20-%20RYSUNKI/000.MAG.22.M8-A.STEP" TargetMode="External"/><Relationship Id="rId167" Type="http://schemas.openxmlformats.org/officeDocument/2006/relationships/hyperlink" Target="5%20-%20RYSUNKI/2011-200-PRT-A0069928-A-Wspornik%20si&#322;ownika%20obrotowego.DXF" TargetMode="External"/><Relationship Id="rId374" Type="http://schemas.openxmlformats.org/officeDocument/2006/relationships/hyperlink" Target="5%20-%20RYSUNKI/2011-400-PRT-A0068768-A-Zderzak%20si&#322;ownika.PDF" TargetMode="External"/><Relationship Id="rId581" Type="http://schemas.openxmlformats.org/officeDocument/2006/relationships/hyperlink" Target="5%20-%20RYSUNKI/2011-600-PRT-A0070105-A-Tuleja%20bazuj&#261;ca.PDF" TargetMode="External"/><Relationship Id="rId234" Type="http://schemas.openxmlformats.org/officeDocument/2006/relationships/hyperlink" Target="5%20-%20RYSUNKI/2011-200-PRT-A0069933-A-Kostka%20amortyzatora%20Z.STEP" TargetMode="External"/><Relationship Id="rId679" Type="http://schemas.openxmlformats.org/officeDocument/2006/relationships/hyperlink" Target="5%20-%20RYSUNKI/2011-600-PRT-A0070123-A-Pokrywka.STEP" TargetMode="External"/><Relationship Id="rId886" Type="http://schemas.openxmlformats.org/officeDocument/2006/relationships/hyperlink" Target="5%20-%20RYSUNKI/2011-903-PRT-A0072930-A-Tulejka%20centruj&#261;ca.PDF" TargetMode="External"/><Relationship Id="rId2" Type="http://schemas.openxmlformats.org/officeDocument/2006/relationships/hyperlink" Target="5%20-%20RYSUNKI/1704-01-PRT-A0065981-A-Os&#322;ona%203.DXF" TargetMode="External"/><Relationship Id="rId441" Type="http://schemas.openxmlformats.org/officeDocument/2006/relationships/hyperlink" Target="5%20-%20RYSUNKI/2011-200-PRT-A0071141-A-Profil%20aluminiowy.DXF" TargetMode="External"/><Relationship Id="rId539" Type="http://schemas.openxmlformats.org/officeDocument/2006/relationships/hyperlink" Target="5%20-%20RYSUNKI/2011-600-PRT-A0070109-A-Wspornik%20ruchomy%20prowadnika.PDF" TargetMode="External"/><Relationship Id="rId746" Type="http://schemas.openxmlformats.org/officeDocument/2006/relationships/hyperlink" Target="5%20-%20RYSUNKI/2011-902-PRT-A0069222-A-Tulejka%20pozycjonuj&#261;ca.PDF" TargetMode="External"/><Relationship Id="rId1071" Type="http://schemas.openxmlformats.org/officeDocument/2006/relationships/hyperlink" Target="5%20-%20RYSUNKI/000.MAG.69.18-A.STEP" TargetMode="External"/><Relationship Id="rId1169" Type="http://schemas.openxmlformats.org/officeDocument/2006/relationships/hyperlink" Target="5%20-%20RYSUNKI/2013-100-PRT-A0073210-A-&#379;ebro%20.STEP" TargetMode="External"/><Relationship Id="rId1376" Type="http://schemas.openxmlformats.org/officeDocument/2006/relationships/hyperlink" Target="5%20-%20RYSUNKI/2013-200-PRT-A0072824-A-&#321;apa%20si&#322;owinka.PDF" TargetMode="External"/><Relationship Id="rId1583" Type="http://schemas.openxmlformats.org/officeDocument/2006/relationships/hyperlink" Target="5%20-%20RYSUNKI/2011-200-PRT-A0070521-A-Os&#322;ona%20tylna.DXF" TargetMode="External"/><Relationship Id="rId301" Type="http://schemas.openxmlformats.org/officeDocument/2006/relationships/hyperlink" Target="5%20-%20RYSUNKI/2011-400-PRT-A0069148-B-&#321;&#261;cznik%20d&#378;wigni.STEP" TargetMode="External"/><Relationship Id="rId953" Type="http://schemas.openxmlformats.org/officeDocument/2006/relationships/hyperlink" Target="5%20-%20RYSUNKI/2011-903-PRT-A0072945-A-Zderzak.DXF" TargetMode="External"/><Relationship Id="rId1029" Type="http://schemas.openxmlformats.org/officeDocument/2006/relationships/hyperlink" Target="5%20-%20RYSUNKI/2011-990-PRT-A0072869-A-Wanienka%20na%20smar.STEP" TargetMode="External"/><Relationship Id="rId1236" Type="http://schemas.openxmlformats.org/officeDocument/2006/relationships/hyperlink" Target="5%20-%20RYSUNKI/2013-100-PRT-A0073085-A-P&#322;ytka%20gniazda.DXF" TargetMode="External"/><Relationship Id="rId82" Type="http://schemas.openxmlformats.org/officeDocument/2006/relationships/hyperlink" Target="5%20-%20RYSUNKI/2011-400-PRT-A0068785-A-P&#322;yta%20pionowa.PDF" TargetMode="External"/><Relationship Id="rId606" Type="http://schemas.openxmlformats.org/officeDocument/2006/relationships/hyperlink" Target="5%20-%20RYSUNKI/2011-600-PRT-A0071414-A-Rami&#281;%20docisku.DXF" TargetMode="External"/><Relationship Id="rId813" Type="http://schemas.openxmlformats.org/officeDocument/2006/relationships/hyperlink" Target="5%20-%20RYSUNKI/2011-904-PRT-A0070446-A-P&#322;ytka%20dolna.STEP" TargetMode="External"/><Relationship Id="rId1443" Type="http://schemas.openxmlformats.org/officeDocument/2006/relationships/hyperlink" Target="5%20-%20RYSUNKI/2013-200-PRT-A0070423-A-Gniazdo%20spr&#281;zynki%20cz2.PDF" TargetMode="External"/><Relationship Id="rId1650" Type="http://schemas.openxmlformats.org/officeDocument/2006/relationships/hyperlink" Target="5%20-%20RYSUNKI/2013-600-PRT-A0073140-B-Os&#322;ona%20kurtyny.DXF" TargetMode="External"/><Relationship Id="rId1303" Type="http://schemas.openxmlformats.org/officeDocument/2006/relationships/hyperlink" Target="5%20-%20RYSUNKI/2013-100-PRT-A0069081-A-Gniazdo%20trzpienia%20dolne.STEP" TargetMode="External"/><Relationship Id="rId1510" Type="http://schemas.openxmlformats.org/officeDocument/2006/relationships/hyperlink" Target="5%20-%20RYSUNKI/2013-200-PRT-A0072673-A-Mocowanie%20sprz&#281;g&#322;a.PDF" TargetMode="External"/><Relationship Id="rId1608" Type="http://schemas.openxmlformats.org/officeDocument/2006/relationships/hyperlink" Target="5%20-%20RYSUNKI/2011-200-PRT-A0073037-A-Os&#322;ona%20tylna.DXF" TargetMode="External"/><Relationship Id="rId189" Type="http://schemas.openxmlformats.org/officeDocument/2006/relationships/hyperlink" Target="5%20-%20RYSUNKI/2011-200-PRT-A0069921-A-Podstawa%20szyny.STEP" TargetMode="External"/><Relationship Id="rId396" Type="http://schemas.openxmlformats.org/officeDocument/2006/relationships/hyperlink" Target="5%20-%20RYSUNKI/2011-400-PRT-A0068799-A-Gniazdo%201.DXF" TargetMode="External"/><Relationship Id="rId256" Type="http://schemas.openxmlformats.org/officeDocument/2006/relationships/hyperlink" Target="5%20-%20RYSUNKI/2011-200-PRT-A0070375-A-Gniazdko%20switch&#243;w.PDF" TargetMode="External"/><Relationship Id="rId463" Type="http://schemas.openxmlformats.org/officeDocument/2006/relationships/hyperlink" Target="5%20-%20RYSUNKI/2011-200-PRT-A0070607-A-P&#322;yta%20monra&#380;owa.STEP" TargetMode="External"/><Relationship Id="rId670" Type="http://schemas.openxmlformats.org/officeDocument/2006/relationships/hyperlink" Target="5%20-%20RYSUNKI/2011-600-PRT-A0070110-A-Wa&#322;ek%20dystansowy.STEP" TargetMode="External"/><Relationship Id="rId1093" Type="http://schemas.openxmlformats.org/officeDocument/2006/relationships/hyperlink" Target="5%20-%20RYSUNKI/2011-600-PRT-A0073371-A-Obudowa%20Fluke%201-3.PDF" TargetMode="External"/><Relationship Id="rId116" Type="http://schemas.openxmlformats.org/officeDocument/2006/relationships/hyperlink" Target="5%20-%20RYSUNKI/2011-400-PRT-A0068859-A-&#346;lizg.DXF" TargetMode="External"/><Relationship Id="rId323" Type="http://schemas.openxmlformats.org/officeDocument/2006/relationships/hyperlink" Target="5%20-%20RYSUNKI/2011-400-PRT-A0068809-A-P&#322;yta%20g&#243;rna.PDF" TargetMode="External"/><Relationship Id="rId530" Type="http://schemas.openxmlformats.org/officeDocument/2006/relationships/hyperlink" Target="5%20-%20RYSUNKI/2011-600-PRT-A0070115-A-P&#322;yta%20pionowa%20supportu.PDF" TargetMode="External"/><Relationship Id="rId768" Type="http://schemas.openxmlformats.org/officeDocument/2006/relationships/hyperlink" Target="5%20-%20RYSUNKI/2011-992-PRT-A0072854-A-Gniazdo%20D&#378;wigni%20eCrafter%20Przesuwny%20LH.PDF" TargetMode="External"/><Relationship Id="rId975" Type="http://schemas.openxmlformats.org/officeDocument/2006/relationships/hyperlink" Target="5%20-%20RYSUNKI/2011-901-PRT-A0068951-A-Zabierak.STEP" TargetMode="External"/><Relationship Id="rId1160" Type="http://schemas.openxmlformats.org/officeDocument/2006/relationships/hyperlink" Target="5%20-%20RYSUNKI/2013-100-PRT-A0073183-A-Redukcja%20M5.STEP" TargetMode="External"/><Relationship Id="rId1398" Type="http://schemas.openxmlformats.org/officeDocument/2006/relationships/hyperlink" Target="5%20-%20RYSUNKI/2013-200-PRT-A0070396-A-Podstawa%20narz&#281;dzia%20wymiennego.PDF" TargetMode="External"/><Relationship Id="rId628" Type="http://schemas.openxmlformats.org/officeDocument/2006/relationships/hyperlink" Target="5%20-%20RYSUNKI/2011-600-PRT-A0070100-A-Wspornik%20pin&#243;w%201.STEP" TargetMode="External"/><Relationship Id="rId835" Type="http://schemas.openxmlformats.org/officeDocument/2006/relationships/hyperlink" Target="5%20-%20RYSUNKI/2011-901-PRT-A0068939-A-P&#322;yta%20pionowa.PDF" TargetMode="External"/><Relationship Id="rId1258" Type="http://schemas.openxmlformats.org/officeDocument/2006/relationships/hyperlink" Target="5%20-%20RYSUNKI/1704-01-PRT-A0076016-A-Mocowanie%20LR86.DXF" TargetMode="External"/><Relationship Id="rId1465" Type="http://schemas.openxmlformats.org/officeDocument/2006/relationships/hyperlink" Target="5%20-%20RYSUNKI/2013-200-PRT-A0070398-A--.STEP" TargetMode="External"/><Relationship Id="rId1672" Type="http://schemas.openxmlformats.org/officeDocument/2006/relationships/hyperlink" Target="5%20-%20RYSUNKI/1704-03-PRT-A0076079-B-Os&#322;ona.STEP" TargetMode="External"/><Relationship Id="rId1020" Type="http://schemas.openxmlformats.org/officeDocument/2006/relationships/hyperlink" Target="5%20-%20RYSUNKI/2011-990-PRT-A0072878-A-Mocowanie.STEP" TargetMode="External"/><Relationship Id="rId1118" Type="http://schemas.openxmlformats.org/officeDocument/2006/relationships/hyperlink" Target="5%20-%20RYSUNKI/2011-600-PRT-A0073466-A-Os&#322;ona%20prawa.STEP" TargetMode="External"/><Relationship Id="rId1325" Type="http://schemas.openxmlformats.org/officeDocument/2006/relationships/hyperlink" Target="5%20-%20RYSUNKI/2013-100-PRT-A0073406-A-Kostka%20zderzaka.PDF" TargetMode="External"/><Relationship Id="rId1532" Type="http://schemas.openxmlformats.org/officeDocument/2006/relationships/hyperlink" Target="5%20-%20RYSUNKI/1704-10-PRT-A0075877-A-Os&#322;ona%20ta&#347;my%20transportujacej.DXF" TargetMode="External"/><Relationship Id="rId902" Type="http://schemas.openxmlformats.org/officeDocument/2006/relationships/hyperlink" Target="5%20-%20RYSUNKI/2011-903-PRT-A0072917-A-Kostka%20czujnika.DXF" TargetMode="External"/><Relationship Id="rId31" Type="http://schemas.openxmlformats.org/officeDocument/2006/relationships/hyperlink" Target="5%20-%20RYSUNKI/2011-400-PRT-A0068852-A-Tulejka%20.PDF" TargetMode="External"/><Relationship Id="rId180" Type="http://schemas.openxmlformats.org/officeDocument/2006/relationships/hyperlink" Target="5%20-%20RYSUNKI/2011-200-PRT-A0069974-A-Podstawka%20gniazda%20ECrafter%20LH.STEP" TargetMode="External"/><Relationship Id="rId278" Type="http://schemas.openxmlformats.org/officeDocument/2006/relationships/hyperlink" Target="5%20-%20RYSUNKI/2011-200-PRT-A0072668-A-P&#322;yta%20pod%20narz&#281;dziem.PDF" TargetMode="External"/><Relationship Id="rId485" Type="http://schemas.openxmlformats.org/officeDocument/2006/relationships/hyperlink" Target="5%20-%20RYSUNKI/2011-200-PRT-A0070434-A-G&#322;owica%20pobieraj&#261;ca%20detal.PDF" TargetMode="External"/><Relationship Id="rId692" Type="http://schemas.openxmlformats.org/officeDocument/2006/relationships/hyperlink" Target="5%20-%20RYSUNKI/2011--PRT-A0073195-B-Mocowanie%20si&#322;ownika.PDF" TargetMode="External"/><Relationship Id="rId138" Type="http://schemas.openxmlformats.org/officeDocument/2006/relationships/hyperlink" Target="5%20-%20RYSUNKI/2011-200-PRT-A0069934-A-Blacha%20wzmacniaj&#261;ca.STEP" TargetMode="External"/><Relationship Id="rId345" Type="http://schemas.openxmlformats.org/officeDocument/2006/relationships/hyperlink" Target="5%20-%20RYSUNKI/2011-400-PRT-A0069184-A-Listwa%20spr&#281;&#380;yny%20prawa%202.DXF" TargetMode="External"/><Relationship Id="rId552" Type="http://schemas.openxmlformats.org/officeDocument/2006/relationships/hyperlink" Target="5%20-%20RYSUNKI/2011-600-PRT-A0070489-A-Mocowanie%20podpory%20&#347;rodkowej.DXF" TargetMode="External"/><Relationship Id="rId997" Type="http://schemas.openxmlformats.org/officeDocument/2006/relationships/hyperlink" Target="5%20-%20RYSUNKI/2011-903-PRT-A0072941-A-Blokada%20Pinu.PDF" TargetMode="External"/><Relationship Id="rId1182" Type="http://schemas.openxmlformats.org/officeDocument/2006/relationships/hyperlink" Target="5%20-%20RYSUNKI/2013-100-PRT-A0073409-A-Zderzak%20wahad&#322;a.STEP" TargetMode="External"/><Relationship Id="rId205" Type="http://schemas.openxmlformats.org/officeDocument/2006/relationships/hyperlink" Target="5%20-%20RYSUNKI/2011-200-PRT-A0069906-A-P&#322;yta%20prasy.PDF" TargetMode="External"/><Relationship Id="rId412" Type="http://schemas.openxmlformats.org/officeDocument/2006/relationships/hyperlink" Target="5%20-%20RYSUNKI/2011-400-PRT-A0068790-A-Gniazdo%205.STEP" TargetMode="External"/><Relationship Id="rId857" Type="http://schemas.openxmlformats.org/officeDocument/2006/relationships/hyperlink" Target="5%20-%20RYSUNKI/2011-903-PRT-A0072942-A-Mocowanie%20si&#322;ownika.DXF" TargetMode="External"/><Relationship Id="rId1042" Type="http://schemas.openxmlformats.org/officeDocument/2006/relationships/hyperlink" Target="5%20-%20RYSUNKI/2011-902-PRT-A0072036-A-Mocowanie%20prowadnika.PDF" TargetMode="External"/><Relationship Id="rId1487" Type="http://schemas.openxmlformats.org/officeDocument/2006/relationships/hyperlink" Target="5%20-%20RYSUNKI/2013-200-PRT-A0072708-A-Rynienka%20prowadnika.DXF" TargetMode="External"/><Relationship Id="rId717" Type="http://schemas.openxmlformats.org/officeDocument/2006/relationships/hyperlink" Target="5%20-%20RYSUNKI/2011-600-PRT-A0070128-A-Wa&#322;ek%20g&#322;&#243;wny.DXF" TargetMode="External"/><Relationship Id="rId924" Type="http://schemas.openxmlformats.org/officeDocument/2006/relationships/hyperlink" Target="5%20-%20RYSUNKI/2011-901-PRT-A0069990-B-Mocowanie.STEP" TargetMode="External"/><Relationship Id="rId1347" Type="http://schemas.openxmlformats.org/officeDocument/2006/relationships/hyperlink" Target="5%20-%20RYSUNKI/2013-200-PRT-A0073177-A-K&#261;townik%20kamery.DXF" TargetMode="External"/><Relationship Id="rId1554" Type="http://schemas.openxmlformats.org/officeDocument/2006/relationships/hyperlink" Target="5%20-%20RYSUNKI/1851-06-PRT-A0075922-A-Os&#322;ona%20PC.STEP" TargetMode="External"/><Relationship Id="rId53" Type="http://schemas.openxmlformats.org/officeDocument/2006/relationships/hyperlink" Target="5%20-%20RYSUNKI/2011-400-PRT-A0068858-A-Gniazdo%20pina.DXF" TargetMode="External"/><Relationship Id="rId1207" Type="http://schemas.openxmlformats.org/officeDocument/2006/relationships/hyperlink" Target="5%20-%20RYSUNKI/2013-100-LustroPRT-A0072950-A-&#379;ebro%20docisku.STEP" TargetMode="External"/><Relationship Id="rId1414" Type="http://schemas.openxmlformats.org/officeDocument/2006/relationships/hyperlink" Target="5%20-%20RYSUNKI/2013-200-PRT-A0072676-A-Wspornik%20si&#322;ownika.PDF" TargetMode="External"/><Relationship Id="rId1621" Type="http://schemas.openxmlformats.org/officeDocument/2006/relationships/hyperlink" Target="5%20-%20RYSUNKI/2011-200-PRT-A0070518-A-Os&#322;ona%20boczna.STEP" TargetMode="External"/><Relationship Id="rId367" Type="http://schemas.openxmlformats.org/officeDocument/2006/relationships/hyperlink" Target="5%20-%20RYSUNKI/2011-400-PRT-A0068771-A-Zaczep.STEP" TargetMode="External"/><Relationship Id="rId574" Type="http://schemas.openxmlformats.org/officeDocument/2006/relationships/hyperlink" Target="5%20-%20RYSUNKI/2011-600-PRT-A0070499-A-Podpora%20przednia%202.STEP" TargetMode="External"/><Relationship Id="rId227" Type="http://schemas.openxmlformats.org/officeDocument/2006/relationships/hyperlink" Target="5%20-%20RYSUNKI/2011-200-PRT-A0069999-A-Kosteczka%20regulacyjna.DXF" TargetMode="External"/><Relationship Id="rId781" Type="http://schemas.openxmlformats.org/officeDocument/2006/relationships/hyperlink" Target="5%20-%20RYSUNKI/2011-991-PRT-A0072855-C-Gniazdo%20eCrafter%20LH.PDF" TargetMode="External"/><Relationship Id="rId879" Type="http://schemas.openxmlformats.org/officeDocument/2006/relationships/hyperlink" Target="5%20-%20RYSUNKI/2011-903-PRT-A0072934-A-&#379;ebro.STEP" TargetMode="External"/><Relationship Id="rId434" Type="http://schemas.openxmlformats.org/officeDocument/2006/relationships/hyperlink" Target="5%20-%20RYSUNKI/2011-200-PRT-A0072085-A-Ramie%20reakcyjne%20si&#322;ownika.PDF" TargetMode="External"/><Relationship Id="rId641" Type="http://schemas.openxmlformats.org/officeDocument/2006/relationships/hyperlink" Target="5%20-%20RYSUNKI/2011-600-PRT-A0071266-A-Podpora%20PT.PDF" TargetMode="External"/><Relationship Id="rId739" Type="http://schemas.openxmlformats.org/officeDocument/2006/relationships/hyperlink" Target="5%20-%20RYSUNKI/2011-901-PRT-A0068929-A-Tulejka.STEP" TargetMode="External"/><Relationship Id="rId1064" Type="http://schemas.openxmlformats.org/officeDocument/2006/relationships/hyperlink" Target="5%20-%20RYSUNKI/000.MAG.50%20-%20M6%20x30-H.DXF" TargetMode="External"/><Relationship Id="rId1271" Type="http://schemas.openxmlformats.org/officeDocument/2006/relationships/hyperlink" Target="5%20-%20RYSUNKI/2013-100-PRT-A0072966-A-Gniazdo%20.DXF" TargetMode="External"/><Relationship Id="rId1369" Type="http://schemas.openxmlformats.org/officeDocument/2006/relationships/hyperlink" Target="5%20-%20RYSUNKI/2013-200-PRT-A0072830-A-&#379;ebro.STEP" TargetMode="External"/><Relationship Id="rId1576" Type="http://schemas.openxmlformats.org/officeDocument/2006/relationships/hyperlink" Target="5%20-%20RYSUNKI/2011-200-PRT-A0070519-A-P&#322;yta%20pneumatyki.PDF" TargetMode="External"/><Relationship Id="rId501" Type="http://schemas.openxmlformats.org/officeDocument/2006/relationships/hyperlink" Target="5%20-%20RYSUNKI/2011-200-PRT-A0070613-A-Support%20uchwytu.DXF" TargetMode="External"/><Relationship Id="rId946" Type="http://schemas.openxmlformats.org/officeDocument/2006/relationships/hyperlink" Target="5%20-%20RYSUNKI/2011-902-PRT-A0069979-A-Element%20sprz&#281;gaj&#261;cy.PDF" TargetMode="External"/><Relationship Id="rId1131" Type="http://schemas.openxmlformats.org/officeDocument/2006/relationships/hyperlink" Target="5%20-%20RYSUNKI/2011-600-PRT-A0073376-A-Mocowanie%20prz&#243;d.PDF" TargetMode="External"/><Relationship Id="rId1229" Type="http://schemas.openxmlformats.org/officeDocument/2006/relationships/hyperlink" Target="5%20-%20RYSUNKI/2013-100-PRT-A0073193-A-Podstawa%20gniazda%20bok.PDF" TargetMode="External"/><Relationship Id="rId75" Type="http://schemas.openxmlformats.org/officeDocument/2006/relationships/hyperlink" Target="5%20-%20RYSUNKI/2011-400-PRT-A0068776-A-Mocowanie%20prowadnika.STEP" TargetMode="External"/><Relationship Id="rId806" Type="http://schemas.openxmlformats.org/officeDocument/2006/relationships/hyperlink" Target="5%20-%20RYSUNKI/2011-902-PRT-A0071207-A-Wa&#322;eczek.DXF" TargetMode="External"/><Relationship Id="rId1436" Type="http://schemas.openxmlformats.org/officeDocument/2006/relationships/hyperlink" Target="5%20-%20RYSUNKI/2013-200-PRT-A0072056-A-Podp&#243;rka.PDF" TargetMode="External"/><Relationship Id="rId1643" Type="http://schemas.openxmlformats.org/officeDocument/2006/relationships/hyperlink" Target="5%20-%20RYSUNKI/2011-200-PRT-A0073074-A-Pr&#281;t%20okrag&#322;y.PDF" TargetMode="External"/><Relationship Id="rId1503" Type="http://schemas.openxmlformats.org/officeDocument/2006/relationships/hyperlink" Target="5%20-%20RYSUNKI/2013-200-PRT-A0072675-A-P&#322;ytka%20dolna.STEP" TargetMode="External"/><Relationship Id="rId291" Type="http://schemas.openxmlformats.org/officeDocument/2006/relationships/hyperlink" Target="5%20-%20RYSUNKI/2011-200-PRT-A0069936-A-P&#322;ytka%20oporowa%20obrotu.DXF" TargetMode="External"/><Relationship Id="rId151" Type="http://schemas.openxmlformats.org/officeDocument/2006/relationships/hyperlink" Target="5%20-%20RYSUNKI/2011-200-PRT-A0069922-A-Blacha%20amortyzator&#243;w.PDF" TargetMode="External"/><Relationship Id="rId389" Type="http://schemas.openxmlformats.org/officeDocument/2006/relationships/hyperlink" Target="5%20-%20RYSUNKI/2011-400-PRT-A0068802-A-Podpora%20&#347;rodkowa%201.PDF" TargetMode="External"/><Relationship Id="rId596" Type="http://schemas.openxmlformats.org/officeDocument/2006/relationships/hyperlink" Target="5%20-%20RYSUNKI/2011-600-PRT-A0071413-A-O&#347;.PDF" TargetMode="External"/><Relationship Id="rId249" Type="http://schemas.openxmlformats.org/officeDocument/2006/relationships/hyperlink" Target="5%20-%20RYSUNKI/2011-200-PRT-A0069919-A-Kostka%20zderzaka.STEP" TargetMode="External"/><Relationship Id="rId456" Type="http://schemas.openxmlformats.org/officeDocument/2006/relationships/hyperlink" Target="5%20-%20RYSUNKI/2011-200-PRT-A0070655-A-P&#322;yta%20monta&#380;owa.DXF" TargetMode="External"/><Relationship Id="rId663" Type="http://schemas.openxmlformats.org/officeDocument/2006/relationships/hyperlink" Target="5%20-%20RYSUNKI/2011-600-PRT-A0070418-A-&#346;ciana%20prawa.DXF" TargetMode="External"/><Relationship Id="rId870" Type="http://schemas.openxmlformats.org/officeDocument/2006/relationships/hyperlink" Target="5%20-%20RYSUNKI/2011-903-PRT-A0072937-A-Mocowanie%20zderzak&#243;w.STEP" TargetMode="External"/><Relationship Id="rId1086" Type="http://schemas.openxmlformats.org/officeDocument/2006/relationships/hyperlink" Target="5%20-%20RYSUNKI/000.MAG.50%20-%20M8-B.STEP" TargetMode="External"/><Relationship Id="rId1293" Type="http://schemas.openxmlformats.org/officeDocument/2006/relationships/hyperlink" Target="5%20-%20RYSUNKI/2013-100-PRT-A0069068-A-Nakr&#281;tka%20wypychacza.DXF" TargetMode="External"/><Relationship Id="rId109" Type="http://schemas.openxmlformats.org/officeDocument/2006/relationships/hyperlink" Target="5%20-%20RYSUNKI/2011-400-PRT-A0068861-A-P&#322;ytka%20naro&#380;na.PDF" TargetMode="External"/><Relationship Id="rId316" Type="http://schemas.openxmlformats.org/officeDocument/2006/relationships/hyperlink" Target="5%20-%20RYSUNKI/2011-400-PRT-A0068814-A-P&#322;yta%20dolna.STEP" TargetMode="External"/><Relationship Id="rId523" Type="http://schemas.openxmlformats.org/officeDocument/2006/relationships/hyperlink" Target="5%20-%20RYSUNKI/2011-600-PRT-A0070113-A-P&#322;yta%20nap&#281;du%20liniowego.STEP" TargetMode="External"/><Relationship Id="rId968" Type="http://schemas.openxmlformats.org/officeDocument/2006/relationships/hyperlink" Target="5%20-%20RYSUNKI/2011-902-PRT-A0070000-A-Element%20sprz&#281;gaj&#261;cy.DXF" TargetMode="External"/><Relationship Id="rId1153" Type="http://schemas.openxmlformats.org/officeDocument/2006/relationships/hyperlink" Target="5%20-%20RYSUNKI/2013-100-PRT-A0073391-A-Kostka%20zderzaka.DXF" TargetMode="External"/><Relationship Id="rId1598" Type="http://schemas.openxmlformats.org/officeDocument/2006/relationships/hyperlink" Target="5%20-%20RYSUNKI/2011-200-PRT-A0072993-A-Blat%20stanowiska.PDF" TargetMode="External"/><Relationship Id="rId97" Type="http://schemas.openxmlformats.org/officeDocument/2006/relationships/hyperlink" Target="5%20-%20RYSUNKI/2011-400-PRT-A0068779-A-Mocowanie%20sprz&#281;g&#322;a.PDF" TargetMode="External"/><Relationship Id="rId730" Type="http://schemas.openxmlformats.org/officeDocument/2006/relationships/hyperlink" Target="5%20-%20RYSUNKI/2011-901-PRT-A0068945-A-Tuleja%20popychacza.STEP" TargetMode="External"/><Relationship Id="rId828" Type="http://schemas.openxmlformats.org/officeDocument/2006/relationships/hyperlink" Target="5%20-%20RYSUNKI/2011-902-PRT-A0069225-A-Mocowanie%20w&#243;zka.STEP" TargetMode="External"/><Relationship Id="rId1013" Type="http://schemas.openxmlformats.org/officeDocument/2006/relationships/hyperlink" Target="5%20-%20RYSUNKI/2011-903-PRT-A0072975-A-Mocowanie%20prowadnika.DXF" TargetMode="External"/><Relationship Id="rId1360" Type="http://schemas.openxmlformats.org/officeDocument/2006/relationships/hyperlink" Target="5%20-%20RYSUNKI/2013-200-PRT-A0072953-A-P&#322;ytka.STEP" TargetMode="External"/><Relationship Id="rId1458" Type="http://schemas.openxmlformats.org/officeDocument/2006/relationships/hyperlink" Target="5%20-%20RYSUNKI/2013-200-PRT-A0070402-Lustro-A--.STEP" TargetMode="External"/><Relationship Id="rId1665" Type="http://schemas.openxmlformats.org/officeDocument/2006/relationships/hyperlink" Target="5%20-%20RYSUNKI/1704-03-PRT-A0076077-A-Os&#322;ona.DXF" TargetMode="External"/><Relationship Id="rId1220" Type="http://schemas.openxmlformats.org/officeDocument/2006/relationships/hyperlink" Target="5%20-%20RYSUNKI/2013-100-PRT-A0073563-A-Uchwyt%20LRZ.PDF" TargetMode="External"/><Relationship Id="rId1318" Type="http://schemas.openxmlformats.org/officeDocument/2006/relationships/hyperlink" Target="5%20-%20RYSUNKI/2013-100-PRT-A0069071-A-P&#322;yta%20pozioma.STEP" TargetMode="External"/><Relationship Id="rId1525" Type="http://schemas.openxmlformats.org/officeDocument/2006/relationships/hyperlink" Target="5%20-%20RYSUNKI/000.MAG.50%20-%20M6%20x30-H.PDF" TargetMode="External"/><Relationship Id="rId24" Type="http://schemas.openxmlformats.org/officeDocument/2006/relationships/hyperlink" Target="5%20-%20RYSUNKI/2011-400-PRT-A0068849-A-Mocowanie%20si&#322;ownika%201.STEP" TargetMode="External"/><Relationship Id="rId173" Type="http://schemas.openxmlformats.org/officeDocument/2006/relationships/hyperlink" Target="5%20-%20RYSUNKI/2011-200-PRT-A0070366-A-P&#322;ytka%20podstawowa%20podmonta&#380;u%20blaszek.DXF" TargetMode="External"/><Relationship Id="rId380" Type="http://schemas.openxmlformats.org/officeDocument/2006/relationships/hyperlink" Target="5%20-%20RYSUNKI/2011-400-PRT-A0069198-A-Gniazdo%207.PDF" TargetMode="External"/><Relationship Id="rId240" Type="http://schemas.openxmlformats.org/officeDocument/2006/relationships/hyperlink" Target="5%20-%20RYSUNKI/2011-200-PRT-A0069924-A-Kosteczka%20oporowa.STEP" TargetMode="External"/><Relationship Id="rId478" Type="http://schemas.openxmlformats.org/officeDocument/2006/relationships/hyperlink" Target="5%20-%20RYSUNKI/2011-200-PRT-A0071749-A-Kostka%20bazuj&#261;ca.STEP" TargetMode="External"/><Relationship Id="rId685" Type="http://schemas.openxmlformats.org/officeDocument/2006/relationships/hyperlink" Target="5%20-%20RYSUNKI/2011-600-PRT-A0070127-A-Pier&#347;cie&#324;%20dystansowy.STEP" TargetMode="External"/><Relationship Id="rId892" Type="http://schemas.openxmlformats.org/officeDocument/2006/relationships/hyperlink" Target="5%20-%20RYSUNKI/2011-903-PRT-A0072920-A-Kostka%20zderzaka.PDF" TargetMode="External"/><Relationship Id="rId100" Type="http://schemas.openxmlformats.org/officeDocument/2006/relationships/hyperlink" Target="5%20-%20RYSUNKI/2011-400-PRT-A0068778-A-&#379;ebro.PDF" TargetMode="External"/><Relationship Id="rId338" Type="http://schemas.openxmlformats.org/officeDocument/2006/relationships/hyperlink" Target="5%20-%20RYSUNKI/2011-400-PRT-A0068774-A-D&#378;wignia%20lewa.PDF" TargetMode="External"/><Relationship Id="rId545" Type="http://schemas.openxmlformats.org/officeDocument/2006/relationships/hyperlink" Target="5%20-%20RYSUNKI/2011-600-PRT-A0070088-A-Tuleja%20docisku.PDF" TargetMode="External"/><Relationship Id="rId752" Type="http://schemas.openxmlformats.org/officeDocument/2006/relationships/hyperlink" Target="5%20-%20RYSUNKI/2011-992-PRT-A0073447-Lustro-B-Gniazdo%20D&#378;wigni%20eCrafter%20Przesuwny%20RH.STEP" TargetMode="External"/><Relationship Id="rId1175" Type="http://schemas.openxmlformats.org/officeDocument/2006/relationships/hyperlink" Target="5%20-%20RYSUNKI/2013-100-PRT-A0073097-A-Dystans%20zatrzasku.STEP" TargetMode="External"/><Relationship Id="rId1382" Type="http://schemas.openxmlformats.org/officeDocument/2006/relationships/hyperlink" Target="5%20-%20RYSUNKI/2013-200-PRT-A0072713-Lustro-A-&#379;ebro.STEP" TargetMode="External"/><Relationship Id="rId405" Type="http://schemas.openxmlformats.org/officeDocument/2006/relationships/hyperlink" Target="5%20-%20RYSUNKI/2011-400-PRT-A0068794-A-Gniazdo%204.DXF" TargetMode="External"/><Relationship Id="rId612" Type="http://schemas.openxmlformats.org/officeDocument/2006/relationships/hyperlink" Target="5%20-%20RYSUNKI/2011-600-PRT-A0071410-A-P&#322;ytka%20si&#322;ownika.DXF" TargetMode="External"/><Relationship Id="rId1035" Type="http://schemas.openxmlformats.org/officeDocument/2006/relationships/hyperlink" Target="5%20-%20RYSUNKI/2011-990-PRT-A0072867-A-Mocowanie.STEP" TargetMode="External"/><Relationship Id="rId1242" Type="http://schemas.openxmlformats.org/officeDocument/2006/relationships/hyperlink" Target="5%20-%20RYSUNKI/2013-100-PRT-A0072956-A-P&#322;yta%20pozioma%20smarowania.PDF" TargetMode="External"/><Relationship Id="rId1687" Type="http://schemas.openxmlformats.org/officeDocument/2006/relationships/hyperlink" Target="5%20-%20RYSUNKI/1927-804-PRT-A0076101-A-Os&#322;ona.STEP" TargetMode="External"/><Relationship Id="rId917" Type="http://schemas.openxmlformats.org/officeDocument/2006/relationships/hyperlink" Target="5%20-%20RYSUNKI/2011-990-PRT-A0072862-B-Wspornik%20blokady.DXF" TargetMode="External"/><Relationship Id="rId1102" Type="http://schemas.openxmlformats.org/officeDocument/2006/relationships/hyperlink" Target="5%20-%20RYSUNKI/2011-600-PRT-A0073479-A-K&#261;townik%20mocuj&#261;cy.DXF" TargetMode="External"/><Relationship Id="rId1547" Type="http://schemas.openxmlformats.org/officeDocument/2006/relationships/hyperlink" Target="5%20-%20RYSUNKI/1851-11-PRT-A0075895-A-Os&#322;ona%20ta&#347;my%20transportujacej.DXF" TargetMode="External"/><Relationship Id="rId46" Type="http://schemas.openxmlformats.org/officeDocument/2006/relationships/hyperlink" Target="5%20-%20RYSUNKI/2011-400-PRT-A0068841-A-Gniazdo%20g&#243;rne%20pina.PDF" TargetMode="External"/><Relationship Id="rId1407" Type="http://schemas.openxmlformats.org/officeDocument/2006/relationships/hyperlink" Target="5%20-%20RYSUNKI/2013-200-PRT-A0072989-A-Kostka%20bazuj&#261;ca.STEP" TargetMode="External"/><Relationship Id="rId1614" Type="http://schemas.openxmlformats.org/officeDocument/2006/relationships/hyperlink" Target="5%20-%20RYSUNKI/2011-200-PRT-A0073057-A-Os&#322;ona%20boczna.DXF" TargetMode="External"/><Relationship Id="rId195" Type="http://schemas.openxmlformats.org/officeDocument/2006/relationships/hyperlink" Target="5%20-%20RYSUNKI/2011-200-PRT-A0069916-A-Mocowanie%20sprz&#281;g&#322;a%20o&#347;%20Z.STEP" TargetMode="External"/><Relationship Id="rId262" Type="http://schemas.openxmlformats.org/officeDocument/2006/relationships/hyperlink" Target="5%20-%20RYSUNKI/2011-200-PRT-A0069907-A-Stempel%20prasy.PDF" TargetMode="External"/><Relationship Id="rId567" Type="http://schemas.openxmlformats.org/officeDocument/2006/relationships/hyperlink" Target="5%20-%20RYSUNKI/2011-600-PRT-A0070492-A-Kostka%20elektryczna.DXF" TargetMode="External"/><Relationship Id="rId1197" Type="http://schemas.openxmlformats.org/officeDocument/2006/relationships/hyperlink" Target="5%20-%20RYSUNKI/2013-100-PRT-A0073417-A-Kostka%20zderzaka.STEP" TargetMode="External"/><Relationship Id="rId122" Type="http://schemas.openxmlformats.org/officeDocument/2006/relationships/hyperlink" Target="5%20-%20RYSUNKI/2011-300-PRT-A0070324-A-Uchwyt%20czujnika.DXF" TargetMode="External"/><Relationship Id="rId774" Type="http://schemas.openxmlformats.org/officeDocument/2006/relationships/hyperlink" Target="5%20-%20RYSUNKI/2011-990-PRT-A0072879-A-Os&#322;ona.STEP" TargetMode="External"/><Relationship Id="rId981" Type="http://schemas.openxmlformats.org/officeDocument/2006/relationships/hyperlink" Target="5%20-%20RYSUNKI/2011-901-PRT-A0068944-A-Element%20sprz&#281;gaj&#261;cy.STEP" TargetMode="External"/><Relationship Id="rId1057" Type="http://schemas.openxmlformats.org/officeDocument/2006/relationships/hyperlink" Target="5%20-%20RYSUNKI/2011-904-PRT-A0070438-A-Oprawa%20&#322;o&#380;ysk.PDF" TargetMode="External"/><Relationship Id="rId427" Type="http://schemas.openxmlformats.org/officeDocument/2006/relationships/hyperlink" Target="5%20-%20RYSUNKI/2011-200-PRT-A0072093-A-Uchwyt%20czujnika.STEP" TargetMode="External"/><Relationship Id="rId634" Type="http://schemas.openxmlformats.org/officeDocument/2006/relationships/hyperlink" Target="5%20-%20RYSUNKI/2011-600-PRT-A0070098-A-Kostka%20elektryczna.STEP" TargetMode="External"/><Relationship Id="rId841" Type="http://schemas.openxmlformats.org/officeDocument/2006/relationships/hyperlink" Target="5%20-%20RYSUNKI/2011-902-PRT-A0069223-A-Obracak.PDF" TargetMode="External"/><Relationship Id="rId1264" Type="http://schemas.openxmlformats.org/officeDocument/2006/relationships/hyperlink" Target="5%20-%20RYSUNKI/2013-100-PRT-A0073412-A-&#346;ruba%20zderzak.DXF" TargetMode="External"/><Relationship Id="rId1471" Type="http://schemas.openxmlformats.org/officeDocument/2006/relationships/hyperlink" Target="5%20-%20RYSUNKI/2013-200-PRT-A0074047-A-Sprz&#281;g&#322;o.DXF" TargetMode="External"/><Relationship Id="rId1569" Type="http://schemas.openxmlformats.org/officeDocument/2006/relationships/hyperlink" Target="5%20-%20RYSUNKI/1704-01-PRT-A0076020-A-Mocowanie.STEP" TargetMode="External"/><Relationship Id="rId701" Type="http://schemas.openxmlformats.org/officeDocument/2006/relationships/hyperlink" Target="5%20-%20RYSUNKI/2011-600-PRT-A0070126-A-Rami&#281;%20prz&#243;d.PDF" TargetMode="External"/><Relationship Id="rId939" Type="http://schemas.openxmlformats.org/officeDocument/2006/relationships/hyperlink" Target="5%20-%20RYSUNKI/2011-903-PRT-A0072927-A-Chwytak%20beczki.STEP" TargetMode="External"/><Relationship Id="rId1124" Type="http://schemas.openxmlformats.org/officeDocument/2006/relationships/hyperlink" Target="5%20-%20RYSUNKI/2011-600-PRT-A0073377-A-Okno.STEP" TargetMode="External"/><Relationship Id="rId1331" Type="http://schemas.openxmlformats.org/officeDocument/2006/relationships/hyperlink" Target="5%20-%20RYSUNKI/2013-100-PRT-A0073412-A-&#346;ruba%20zderzak.PDF" TargetMode="External"/><Relationship Id="rId68" Type="http://schemas.openxmlformats.org/officeDocument/2006/relationships/hyperlink" Target="5%20-%20RYSUNKI/2011-400-PRT-A0068845-A-Blaszka%20boczna.DXF" TargetMode="External"/><Relationship Id="rId1429" Type="http://schemas.openxmlformats.org/officeDocument/2006/relationships/hyperlink" Target="5%20-%20RYSUNKI/2013-200-PRT-A0072982-Lustro-A-Podpora%20&#347;rodkowa.STEP" TargetMode="External"/><Relationship Id="rId1636" Type="http://schemas.openxmlformats.org/officeDocument/2006/relationships/hyperlink" Target="5%20-%20RYSUNKI/2011-200-PRT-A0073060-A-Blacha%20dolna.STEP" TargetMode="External"/><Relationship Id="rId284" Type="http://schemas.openxmlformats.org/officeDocument/2006/relationships/hyperlink" Target="5%20-%20RYSUNKI/2011-200-PRT-A0069932-A-Tulejka%20dystansowa.PDF" TargetMode="External"/><Relationship Id="rId491" Type="http://schemas.openxmlformats.org/officeDocument/2006/relationships/hyperlink" Target="5%20-%20RYSUNKI/2011-200-PRT-A0071418-A-P&#322;ytka%20nierdzewna.PDF" TargetMode="External"/><Relationship Id="rId144" Type="http://schemas.openxmlformats.org/officeDocument/2006/relationships/hyperlink" Target="5%20-%20RYSUNKI/2011-200-PRT-A0069926-A-Blaszka%20prowadnika%20poziomego%20ruchoma.STEP" TargetMode="External"/><Relationship Id="rId589" Type="http://schemas.openxmlformats.org/officeDocument/2006/relationships/hyperlink" Target="5%20-%20RYSUNKI/2011-600-PRT-A0071409-A-P&#322;ytka%20blokady.STEP" TargetMode="External"/><Relationship Id="rId796" Type="http://schemas.openxmlformats.org/officeDocument/2006/relationships/hyperlink" Target="5%20-%20RYSUNKI/2011-990-PRT-A0072852-A-P&#322;yta.PDF" TargetMode="External"/><Relationship Id="rId351" Type="http://schemas.openxmlformats.org/officeDocument/2006/relationships/hyperlink" Target="5%20-%20RYSUNKI/2011-400-PRT-A0068805-A-Listwa%20lewa%201.DXF" TargetMode="External"/><Relationship Id="rId449" Type="http://schemas.openxmlformats.org/officeDocument/2006/relationships/hyperlink" Target="5%20-%20RYSUNKI/2011-200-PRT-A0070662-A-P&#322;yta%20montazowa.PDF" TargetMode="External"/><Relationship Id="rId656" Type="http://schemas.openxmlformats.org/officeDocument/2006/relationships/hyperlink" Target="5%20-%20RYSUNKI/2011-600-PRT-A0071262-A-Podpora%20PL.PDF" TargetMode="External"/><Relationship Id="rId863" Type="http://schemas.openxmlformats.org/officeDocument/2006/relationships/hyperlink" Target="5%20-%20RYSUNKI/2011-903-PRT-A0072939-A-Podpora.DXF" TargetMode="External"/><Relationship Id="rId1079" Type="http://schemas.openxmlformats.org/officeDocument/2006/relationships/hyperlink" Target="5%20-%20RYSUNKI/000.MAG.90.06-B.DXF" TargetMode="External"/><Relationship Id="rId1286" Type="http://schemas.openxmlformats.org/officeDocument/2006/relationships/hyperlink" Target="5%20-%20RYSUNKI/2013-100-PRT-A0069070-A-Dystans%20wypychacza.PDF" TargetMode="External"/><Relationship Id="rId1493" Type="http://schemas.openxmlformats.org/officeDocument/2006/relationships/hyperlink" Target="5%20-%20RYSUNKI/2013-200-PRT-A0072672-A-Wa&#322;ek%20docisku.DXF" TargetMode="External"/><Relationship Id="rId211" Type="http://schemas.openxmlformats.org/officeDocument/2006/relationships/hyperlink" Target="5%20-%20RYSUNKI/2011-200-PRT-A0069915-A-Adapter%20sto&#322;u%20obrotowego.PDF" TargetMode="External"/><Relationship Id="rId309" Type="http://schemas.openxmlformats.org/officeDocument/2006/relationships/hyperlink" Target="5%20-%20RYSUNKI/2011-400-PRT-A0069230-A-Gniazdo%2010.DXF" TargetMode="External"/><Relationship Id="rId516" Type="http://schemas.openxmlformats.org/officeDocument/2006/relationships/hyperlink" Target="5%20-%20RYSUNKI/2011-600-PRT-A0070117-A-P&#322;yta%20zespo&#322;u%20dojazdu.DXF" TargetMode="External"/><Relationship Id="rId1146" Type="http://schemas.openxmlformats.org/officeDocument/2006/relationships/hyperlink" Target="5%20-%20RYSUNKI/2013-100-PRT-A0073182-A-Kr&#243;ciec%20specjalny.PDF" TargetMode="External"/><Relationship Id="rId723" Type="http://schemas.openxmlformats.org/officeDocument/2006/relationships/hyperlink" Target="5%20-%20RYSUNKI/2011-904-PRT-A0070449-A-Wa&#322;ek%20docisku.DXF" TargetMode="External"/><Relationship Id="rId930" Type="http://schemas.openxmlformats.org/officeDocument/2006/relationships/hyperlink" Target="5%20-%20RYSUNKI/2011-901-PRT-A0068946-A-P&#322;yta%20po&#347;rednia.STEP" TargetMode="External"/><Relationship Id="rId1006" Type="http://schemas.openxmlformats.org/officeDocument/2006/relationships/hyperlink" Target="5%20-%20RYSUNKI/2011-903-PRT-A0072913-A-Gniazdo%20ko&#322;eczka.PDF" TargetMode="External"/><Relationship Id="rId1353" Type="http://schemas.openxmlformats.org/officeDocument/2006/relationships/hyperlink" Target="5%20-%20RYSUNKI/2013-200-PRT-A0072955-A-&#379;ebro.DXF" TargetMode="External"/><Relationship Id="rId1560" Type="http://schemas.openxmlformats.org/officeDocument/2006/relationships/hyperlink" Target="5%20-%20RYSUNKI/1851-11-PRT-A0075964-A-Mocowanie%20czujnika.STEP" TargetMode="External"/><Relationship Id="rId1658" Type="http://schemas.openxmlformats.org/officeDocument/2006/relationships/hyperlink" Target="5%20-%20RYSUNKI/1704-01-PRT-A0076072-A-Os&#322;ona.PDF" TargetMode="External"/><Relationship Id="rId1213" Type="http://schemas.openxmlformats.org/officeDocument/2006/relationships/hyperlink" Target="5%20-%20RYSUNKI/2013-100-PRT-A0072949-A-P&#322;yta%20docisk&#243;w.STEP" TargetMode="External"/><Relationship Id="rId1420" Type="http://schemas.openxmlformats.org/officeDocument/2006/relationships/hyperlink" Target="5%20-%20RYSUNKI/2013-200-PRT-A0072995-A-Kostka%20zderzaka.PDF" TargetMode="External"/><Relationship Id="rId1518" Type="http://schemas.openxmlformats.org/officeDocument/2006/relationships/hyperlink" Target="5%20-%20RYSUNKI/2013-200-PRT-A0072707-A-Mocowanie%20prowadnika.STEP" TargetMode="External"/><Relationship Id="rId17" Type="http://schemas.openxmlformats.org/officeDocument/2006/relationships/hyperlink" Target="5%20-%20RYSUNKI/000.MAG.22.M8-A.DXF" TargetMode="External"/><Relationship Id="rId166" Type="http://schemas.openxmlformats.org/officeDocument/2006/relationships/hyperlink" Target="5%20-%20RYSUNKI/2011-200-PRT-A0069928-A-Wspornik%20si&#322;ownika%20obrotowego.PDF" TargetMode="External"/><Relationship Id="rId373" Type="http://schemas.openxmlformats.org/officeDocument/2006/relationships/hyperlink" Target="5%20-%20RYSUNKI/2011-400-PRT-A0068769-A-Kostka%20czujnika.STEP" TargetMode="External"/><Relationship Id="rId580" Type="http://schemas.openxmlformats.org/officeDocument/2006/relationships/hyperlink" Target="5%20-%20RYSUNKI/2011-600-PRT-A0070546-A-Tuleja%20bazuj&#261;ca.STEP" TargetMode="External"/><Relationship Id="rId1" Type="http://schemas.openxmlformats.org/officeDocument/2006/relationships/hyperlink" Target="5%20-%20RYSUNKI/1704-01-PRT-A0065981-A-Os&#322;ona%203.PDF" TargetMode="External"/><Relationship Id="rId233" Type="http://schemas.openxmlformats.org/officeDocument/2006/relationships/hyperlink" Target="5%20-%20RYSUNKI/2011-200-PRT-A0069933-A-Kostka%20amortyzatora%20Z.DXF" TargetMode="External"/><Relationship Id="rId440" Type="http://schemas.openxmlformats.org/officeDocument/2006/relationships/hyperlink" Target="5%20-%20RYSUNKI/2011-200-PRT-A0071141-A-Profil%20aluminiowy.PDF" TargetMode="External"/><Relationship Id="rId678" Type="http://schemas.openxmlformats.org/officeDocument/2006/relationships/hyperlink" Target="5%20-%20RYSUNKI/2011-600-PRT-A0070123-A-Pokrywka.DXF" TargetMode="External"/><Relationship Id="rId885" Type="http://schemas.openxmlformats.org/officeDocument/2006/relationships/hyperlink" Target="5%20-%20RYSUNKI/2011-903-PRT-A0072932-A-P&#322;yta.STEP" TargetMode="External"/><Relationship Id="rId1070" Type="http://schemas.openxmlformats.org/officeDocument/2006/relationships/hyperlink" Target="5%20-%20RYSUNKI/000.MAG.69.18-A.DXF" TargetMode="External"/><Relationship Id="rId300" Type="http://schemas.openxmlformats.org/officeDocument/2006/relationships/hyperlink" Target="5%20-%20RYSUNKI/2011-400-PRT-A0069148-B-&#321;&#261;cznik%20d&#378;wigni.DXF" TargetMode="External"/><Relationship Id="rId538" Type="http://schemas.openxmlformats.org/officeDocument/2006/relationships/hyperlink" Target="5%20-%20RYSUNKI/2011-600-PRT-A0070132-A-Wkr&#281;t%20dociskowy.STEP" TargetMode="External"/><Relationship Id="rId745" Type="http://schemas.openxmlformats.org/officeDocument/2006/relationships/hyperlink" Target="5%20-%20RYSUNKI/2011-903-PRT-A0072921-A-O&#347;%20obrotu.STEP" TargetMode="External"/><Relationship Id="rId952" Type="http://schemas.openxmlformats.org/officeDocument/2006/relationships/hyperlink" Target="5%20-%20RYSUNKI/2011-903-PRT-A0072945-A-Zderzak.PDF" TargetMode="External"/><Relationship Id="rId1168" Type="http://schemas.openxmlformats.org/officeDocument/2006/relationships/hyperlink" Target="5%20-%20RYSUNKI/2013-100-PRT-A0073210-A-&#379;ebro%20.DXF" TargetMode="External"/><Relationship Id="rId1375" Type="http://schemas.openxmlformats.org/officeDocument/2006/relationships/hyperlink" Target="5%20-%20RYSUNKI/2013-200-PRT-A0072827-A-P&#322;yta%20pionowa.STEP" TargetMode="External"/><Relationship Id="rId1582" Type="http://schemas.openxmlformats.org/officeDocument/2006/relationships/hyperlink" Target="5%20-%20RYSUNKI/2011-200-PRT-A0070521-A-Os&#322;ona%20tylna.PDF" TargetMode="External"/><Relationship Id="rId81" Type="http://schemas.openxmlformats.org/officeDocument/2006/relationships/hyperlink" Target="5%20-%20RYSUNKI/2011-400-PRT-A0068781-A-Dystans%20blokady.STEP" TargetMode="External"/><Relationship Id="rId605" Type="http://schemas.openxmlformats.org/officeDocument/2006/relationships/hyperlink" Target="5%20-%20RYSUNKI/2011-600-PRT-A0071414-A-Rami&#281;%20docisku.PDF" TargetMode="External"/><Relationship Id="rId812" Type="http://schemas.openxmlformats.org/officeDocument/2006/relationships/hyperlink" Target="5%20-%20RYSUNKI/2011-904-PRT-A0070446-A-P&#322;ytka%20dolna.DXF" TargetMode="External"/><Relationship Id="rId1028" Type="http://schemas.openxmlformats.org/officeDocument/2006/relationships/hyperlink" Target="5%20-%20RYSUNKI/2011-990-PRT-A0072869-A-Wanienka%20na%20smar.DXF" TargetMode="External"/><Relationship Id="rId1235" Type="http://schemas.openxmlformats.org/officeDocument/2006/relationships/hyperlink" Target="5%20-%20RYSUNKI/2013-100-PRT-A0073085-A-P&#322;ytka%20gniazda.PDF" TargetMode="External"/><Relationship Id="rId1442" Type="http://schemas.openxmlformats.org/officeDocument/2006/relationships/hyperlink" Target="5%20-%20RYSUNKI/2013-200-PRT-A0072030-A-Ko&#324;c&#243;wka%20wbijaj&#261;ca.STEP" TargetMode="External"/><Relationship Id="rId1302" Type="http://schemas.openxmlformats.org/officeDocument/2006/relationships/hyperlink" Target="5%20-%20RYSUNKI/2013-100-PRT-A0069081-A-Gniazdo%20trzpienia%20dolne.DXF" TargetMode="External"/><Relationship Id="rId39" Type="http://schemas.openxmlformats.org/officeDocument/2006/relationships/hyperlink" Target="5%20-%20RYSUNKI/2011-400-PRT-A0068846-A-Uchwyt%20sprz&#281;g&#322;a%202.STEP" TargetMode="External"/><Relationship Id="rId1607" Type="http://schemas.openxmlformats.org/officeDocument/2006/relationships/hyperlink" Target="5%20-%20RYSUNKI/2011-200-PRT-A0073037-A-Os&#322;ona%20tylna.PDF" TargetMode="External"/><Relationship Id="rId188" Type="http://schemas.openxmlformats.org/officeDocument/2006/relationships/hyperlink" Target="5%20-%20RYSUNKI/2011-200-PRT-A0069921-A-Podstawa%20szyny.DXF" TargetMode="External"/><Relationship Id="rId395" Type="http://schemas.openxmlformats.org/officeDocument/2006/relationships/hyperlink" Target="5%20-%20RYSUNKI/2011-400-PRT-A0068799-A-Gniazdo%201.PDF" TargetMode="External"/><Relationship Id="rId255" Type="http://schemas.openxmlformats.org/officeDocument/2006/relationships/hyperlink" Target="5%20-%20RYSUNKI/2011-200-PRT-A0070417-A-Os&#322;ona%20si&#322;ownika.STEP" TargetMode="External"/><Relationship Id="rId462" Type="http://schemas.openxmlformats.org/officeDocument/2006/relationships/hyperlink" Target="5%20-%20RYSUNKI/2011-200-PRT-A0070607-A-P&#322;yta%20monra&#380;owa.DXF" TargetMode="External"/><Relationship Id="rId1092" Type="http://schemas.openxmlformats.org/officeDocument/2006/relationships/hyperlink" Target="5%20-%20RYSUNKI/2011-600-PRT-A0073372-A-Obudowa%20Fluke%203-3.STEP" TargetMode="External"/><Relationship Id="rId1397" Type="http://schemas.openxmlformats.org/officeDocument/2006/relationships/hyperlink" Target="5%20-%20RYSUNKI/2013-200-PRT-A0071392-A-P&#322;ytka.STEP" TargetMode="External"/><Relationship Id="rId115" Type="http://schemas.openxmlformats.org/officeDocument/2006/relationships/hyperlink" Target="5%20-%20RYSUNKI/2011-400-PRT-A0068859-A-&#346;lizg.PDF" TargetMode="External"/><Relationship Id="rId322" Type="http://schemas.openxmlformats.org/officeDocument/2006/relationships/hyperlink" Target="5%20-%20RYSUNKI/2011-400-PRT-A0068810-A-P&#322;yta%20pionowa%20ty&#322;.STEP" TargetMode="External"/><Relationship Id="rId767" Type="http://schemas.openxmlformats.org/officeDocument/2006/relationships/hyperlink" Target="5%20-%20RYSUNKI/2011-992-PRT-A0073440-Lustro-A-Gniazdo%20D&#378;wigni%20eCrafter%20Przesuwny%20RH.STEP" TargetMode="External"/><Relationship Id="rId974" Type="http://schemas.openxmlformats.org/officeDocument/2006/relationships/hyperlink" Target="5%20-%20RYSUNKI/2011-901-PRT-A0068951-A-Zabierak.DXF" TargetMode="External"/><Relationship Id="rId627" Type="http://schemas.openxmlformats.org/officeDocument/2006/relationships/hyperlink" Target="5%20-%20RYSUNKI/2011-600-PRT-A0070100-A-Wspornik%20pin&#243;w%201.DXF" TargetMode="External"/><Relationship Id="rId834" Type="http://schemas.openxmlformats.org/officeDocument/2006/relationships/hyperlink" Target="5%20-%20RYSUNKI/2011-901-PRT-A0068940-A-P&#322;ytka%20mocowania%20si&#322;ownika.STEP" TargetMode="External"/><Relationship Id="rId1257" Type="http://schemas.openxmlformats.org/officeDocument/2006/relationships/hyperlink" Target="5%20-%20RYSUNKI/1704-01-PRT-A0076016-A-Mocowanie%20LR86.PDF" TargetMode="External"/><Relationship Id="rId1464" Type="http://schemas.openxmlformats.org/officeDocument/2006/relationships/hyperlink" Target="5%20-%20RYSUNKI/2013-200-PRT-A0070398-A--.DXF" TargetMode="External"/><Relationship Id="rId1671" Type="http://schemas.openxmlformats.org/officeDocument/2006/relationships/hyperlink" Target="5%20-%20RYSUNKI/1704-03-PRT-A0076079-B-Os&#322;ona.DXF" TargetMode="External"/><Relationship Id="rId901" Type="http://schemas.openxmlformats.org/officeDocument/2006/relationships/hyperlink" Target="5%20-%20RYSUNKI/2011-903-PRT-A0072917-A-Kostka%20czujnika.PDF" TargetMode="External"/><Relationship Id="rId1117" Type="http://schemas.openxmlformats.org/officeDocument/2006/relationships/hyperlink" Target="5%20-%20RYSUNKI/2011-600-PRT-A0073466-A-Os&#322;ona%20prawa.DXF" TargetMode="External"/><Relationship Id="rId1324" Type="http://schemas.openxmlformats.org/officeDocument/2006/relationships/hyperlink" Target="5%20-%20RYSUNKI/2013-100-PRT-A0073485-A-Zderzak.STEP" TargetMode="External"/><Relationship Id="rId1531" Type="http://schemas.openxmlformats.org/officeDocument/2006/relationships/hyperlink" Target="5%20-%20RYSUNKI/1704-10-PRT-A0075877-A-Os&#322;ona%20ta&#347;my%20transportujacej.PDF" TargetMode="External"/><Relationship Id="rId30" Type="http://schemas.openxmlformats.org/officeDocument/2006/relationships/hyperlink" Target="5%20-%20RYSUNKI/2011-400-PRT-A0068847-A-P&#322;yta%20pionowa.STEP" TargetMode="External"/><Relationship Id="rId1629" Type="http://schemas.openxmlformats.org/officeDocument/2006/relationships/hyperlink" Target="5%20-%20RYSUNKI/2011-200-PRT-A0070503-A-Dach.DXF" TargetMode="External"/><Relationship Id="rId277" Type="http://schemas.openxmlformats.org/officeDocument/2006/relationships/hyperlink" Target="5%20-%20RYSUNKI/2011-200-PRT-A0069918-A-P&#322;ytka%20si&#322;ownika%20osi%20Y.STEP" TargetMode="External"/><Relationship Id="rId484" Type="http://schemas.openxmlformats.org/officeDocument/2006/relationships/hyperlink" Target="5%20-%20RYSUNKI/2011-200-PRT-A0070614-A-Support%20uchwytu.STEP" TargetMode="External"/><Relationship Id="rId137" Type="http://schemas.openxmlformats.org/officeDocument/2006/relationships/hyperlink" Target="5%20-%20RYSUNKI/2011-200-PRT-A0069934-A-Blacha%20wzmacniaj&#261;ca.DXF" TargetMode="External"/><Relationship Id="rId344" Type="http://schemas.openxmlformats.org/officeDocument/2006/relationships/hyperlink" Target="5%20-%20RYSUNKI/2011-400-PRT-A0069184-A-Listwa%20spr&#281;&#380;yny%20prawa%202.PDF" TargetMode="External"/><Relationship Id="rId691" Type="http://schemas.openxmlformats.org/officeDocument/2006/relationships/hyperlink" Target="5%20-%20RYSUNKI/2011--PRT-A0073197-B-Mocowanie%20si&#322;ownika.STEP" TargetMode="External"/><Relationship Id="rId789" Type="http://schemas.openxmlformats.org/officeDocument/2006/relationships/hyperlink" Target="5%20-%20RYSUNKI/2011-990-PRT-A0072866-A-Mocowanie%20si&#322;ownika.STEP" TargetMode="External"/><Relationship Id="rId996" Type="http://schemas.openxmlformats.org/officeDocument/2006/relationships/hyperlink" Target="5%20-%20RYSUNKI/2011-992-PRT-A0073442-Lustro-A-Gniazdo%20D&#378;wigni%20eCrafter%20Przesuwny%20RH.STEP" TargetMode="External"/><Relationship Id="rId551" Type="http://schemas.openxmlformats.org/officeDocument/2006/relationships/hyperlink" Target="5%20-%20RYSUNKI/2011-600-PRT-A0070489-A-Mocowanie%20podpory%20&#347;rodkowej.PDF" TargetMode="External"/><Relationship Id="rId649" Type="http://schemas.openxmlformats.org/officeDocument/2006/relationships/hyperlink" Target="5%20-%20RYSUNKI/2011-600-PRT-A0071267-A-Podpora%20PP.STEP" TargetMode="External"/><Relationship Id="rId856" Type="http://schemas.openxmlformats.org/officeDocument/2006/relationships/hyperlink" Target="5%20-%20RYSUNKI/2011-903-PRT-A0072942-A-Mocowanie%20si&#322;ownika.PDF" TargetMode="External"/><Relationship Id="rId1181" Type="http://schemas.openxmlformats.org/officeDocument/2006/relationships/hyperlink" Target="5%20-%20RYSUNKI/2013-100-PRT-A0073409-A-Zderzak%20wahad&#322;a.DXF" TargetMode="External"/><Relationship Id="rId1279" Type="http://schemas.openxmlformats.org/officeDocument/2006/relationships/hyperlink" Target="5%20-%20RYSUNKI/2013-100-PRT-A0073530-A-Blacha%20prowadnika.STEP" TargetMode="External"/><Relationship Id="rId1486" Type="http://schemas.openxmlformats.org/officeDocument/2006/relationships/hyperlink" Target="5%20-%20RYSUNKI/2013-200-PRT-A0072708-A-Rynienka%20prowadnika.PDF" TargetMode="External"/><Relationship Id="rId204" Type="http://schemas.openxmlformats.org/officeDocument/2006/relationships/hyperlink" Target="5%20-%20RYSUNKI/2011-200-PRT-A0069910-A-P&#322;yta%20suportu.STEP" TargetMode="External"/><Relationship Id="rId411" Type="http://schemas.openxmlformats.org/officeDocument/2006/relationships/hyperlink" Target="5%20-%20RYSUNKI/2011-400-PRT-A0068790-A-Gniazdo%205.DXF" TargetMode="External"/><Relationship Id="rId509" Type="http://schemas.openxmlformats.org/officeDocument/2006/relationships/hyperlink" Target="5%20-%20RYSUNKI/2011-600-PRT-A0070118-A-Zabezpieczenie%20szyny.PDF" TargetMode="External"/><Relationship Id="rId1041" Type="http://schemas.openxmlformats.org/officeDocument/2006/relationships/hyperlink" Target="5%20-%20RYSUNKI/2011-902-PRT-A0072038-A-Mocowanie%20prowadnika.STEP" TargetMode="External"/><Relationship Id="rId1139" Type="http://schemas.openxmlformats.org/officeDocument/2006/relationships/hyperlink" Target="5%20-%20RYSUNKI/2011-600-PRT-A0073451-A-P&#322;yta%20zespo&#322;u%20tensometra.STEP" TargetMode="External"/><Relationship Id="rId1346" Type="http://schemas.openxmlformats.org/officeDocument/2006/relationships/hyperlink" Target="5%20-%20RYSUNKI/2013-200-PRT-A0073177-A-K&#261;townik%20kamery.PDF" TargetMode="External"/><Relationship Id="rId1693" Type="http://schemas.openxmlformats.org/officeDocument/2006/relationships/table" Target="../tables/table1.xml"/><Relationship Id="rId716" Type="http://schemas.openxmlformats.org/officeDocument/2006/relationships/hyperlink" Target="5%20-%20RYSUNKI/2011-600-PRT-A0070128-A-Wa&#322;ek%20g&#322;&#243;wny.PDF" TargetMode="External"/><Relationship Id="rId923" Type="http://schemas.openxmlformats.org/officeDocument/2006/relationships/hyperlink" Target="5%20-%20RYSUNKI/2011-901-PRT-A0069990-B-Mocowanie.DXF" TargetMode="External"/><Relationship Id="rId1553" Type="http://schemas.openxmlformats.org/officeDocument/2006/relationships/hyperlink" Target="5%20-%20RYSUNKI/1851-06-PRT-A0075922-A-Os&#322;ona%20PC.DXF" TargetMode="External"/><Relationship Id="rId52" Type="http://schemas.openxmlformats.org/officeDocument/2006/relationships/hyperlink" Target="5%20-%20RYSUNKI/2011-400-PRT-A0068858-A-Gniazdo%20pina.PDF" TargetMode="External"/><Relationship Id="rId1206" Type="http://schemas.openxmlformats.org/officeDocument/2006/relationships/hyperlink" Target="5%20-%20RYSUNKI/2013-100-PRT-A0073093-A-Podstawa%20gniazda.STEP" TargetMode="External"/><Relationship Id="rId1413" Type="http://schemas.openxmlformats.org/officeDocument/2006/relationships/hyperlink" Target="5%20-%20RYSUNKI/2013-200-PRT-A0072807-A-Kostka%20sprz&#281;g&#322;a.STEP" TargetMode="External"/><Relationship Id="rId1620" Type="http://schemas.openxmlformats.org/officeDocument/2006/relationships/hyperlink" Target="5%20-%20RYSUNKI/2011-200-PRT-A0070518-A-Os&#322;ona%20boczna.DXF" TargetMode="External"/><Relationship Id="rId299" Type="http://schemas.openxmlformats.org/officeDocument/2006/relationships/hyperlink" Target="5%20-%20RYSUNKI/2011-400-PRT-A0069148-B-&#321;&#261;cznik%20d&#378;wigni.PDF" TargetMode="External"/><Relationship Id="rId159" Type="http://schemas.openxmlformats.org/officeDocument/2006/relationships/hyperlink" Target="5%20-%20RYSUNKI/2011-200-PRT-A0070317-A-Gniazdo%20RH%20cz1.STEP" TargetMode="External"/><Relationship Id="rId366" Type="http://schemas.openxmlformats.org/officeDocument/2006/relationships/hyperlink" Target="5%20-%20RYSUNKI/2011-400-PRT-A0068771-A-Zaczep.DXF" TargetMode="External"/><Relationship Id="rId573" Type="http://schemas.openxmlformats.org/officeDocument/2006/relationships/hyperlink" Target="5%20-%20RYSUNKI/2011-600-PRT-A0070499-A-Podpora%20przednia%202.DXF" TargetMode="External"/><Relationship Id="rId780" Type="http://schemas.openxmlformats.org/officeDocument/2006/relationships/hyperlink" Target="5%20-%20RYSUNKI/2011-992-PRT-A0072859-B-P&#322;yta%20Gniazda%20eCrafter%20RH.STEP" TargetMode="External"/><Relationship Id="rId226" Type="http://schemas.openxmlformats.org/officeDocument/2006/relationships/hyperlink" Target="5%20-%20RYSUNKI/2011-200-PRT-A0069999-A-Kosteczka%20regulacyjna.PDF" TargetMode="External"/><Relationship Id="rId433" Type="http://schemas.openxmlformats.org/officeDocument/2006/relationships/hyperlink" Target="5%20-%20RYSUNKI/2011-200-PRT-A0072089-B-Kostka%20czujnika.STEP" TargetMode="External"/><Relationship Id="rId878" Type="http://schemas.openxmlformats.org/officeDocument/2006/relationships/hyperlink" Target="5%20-%20RYSUNKI/2011-903-PRT-A0072934-A-&#379;ebro.DXF" TargetMode="External"/><Relationship Id="rId1063" Type="http://schemas.openxmlformats.org/officeDocument/2006/relationships/hyperlink" Target="5%20-%20RYSUNKI/000.MAG.50%20-%20M6%20x30-H.PDF" TargetMode="External"/><Relationship Id="rId1270" Type="http://schemas.openxmlformats.org/officeDocument/2006/relationships/hyperlink" Target="5%20-%20RYSUNKI/2013-100-PRT-A0072966-A-Gniazdo%20.PDF" TargetMode="External"/><Relationship Id="rId640" Type="http://schemas.openxmlformats.org/officeDocument/2006/relationships/hyperlink" Target="5%20-%20RYSUNKI/2011-600-PRT-A0071450-A-Blokada%20P.STEP" TargetMode="External"/><Relationship Id="rId738" Type="http://schemas.openxmlformats.org/officeDocument/2006/relationships/hyperlink" Target="5%20-%20RYSUNKI/2011-901-PRT-A0068929-A-Tulejka.DXF" TargetMode="External"/><Relationship Id="rId945" Type="http://schemas.openxmlformats.org/officeDocument/2006/relationships/hyperlink" Target="5%20-%20RYSUNKI/2011-900-PRT-A0069192-A-Bazowanie.STEP" TargetMode="External"/><Relationship Id="rId1368" Type="http://schemas.openxmlformats.org/officeDocument/2006/relationships/hyperlink" Target="5%20-%20RYSUNKI/2013-200-PRT-A0072830-A-&#379;ebro.DXF" TargetMode="External"/><Relationship Id="rId1575" Type="http://schemas.openxmlformats.org/officeDocument/2006/relationships/hyperlink" Target="5%20-%20RYSUNKI/2011-200-PRT-A0070512-A-Os&#322;ona%20ty&#322;.STEP" TargetMode="External"/><Relationship Id="rId74" Type="http://schemas.openxmlformats.org/officeDocument/2006/relationships/hyperlink" Target="5%20-%20RYSUNKI/2011-400-PRT-A0068776-A-Mocowanie%20prowadnika.DXF" TargetMode="External"/><Relationship Id="rId500" Type="http://schemas.openxmlformats.org/officeDocument/2006/relationships/hyperlink" Target="5%20-%20RYSUNKI/2011-200-PRT-A0070613-A-Support%20uchwytu.PDF" TargetMode="External"/><Relationship Id="rId805" Type="http://schemas.openxmlformats.org/officeDocument/2006/relationships/hyperlink" Target="5%20-%20RYSUNKI/2011-902-PRT-A0071207-A-Wa&#322;eczek.PDF" TargetMode="External"/><Relationship Id="rId1130" Type="http://schemas.openxmlformats.org/officeDocument/2006/relationships/hyperlink" Target="5%20-%20RYSUNKI/2011-600-PRT-A0073379-A-Mocowanie%20uko&#347;ne.STEP" TargetMode="External"/><Relationship Id="rId1228" Type="http://schemas.openxmlformats.org/officeDocument/2006/relationships/hyperlink" Target="5%20-%20RYSUNKI/2013-100-PRT-A0073357-A-P&#322;ytka%20wahad&#322;a.STEP" TargetMode="External"/><Relationship Id="rId1435" Type="http://schemas.openxmlformats.org/officeDocument/2006/relationships/hyperlink" Target="5%20-%20RYSUNKI/2013-200-PRT-A0072979-A-Podpora%20II.STEP" TargetMode="External"/><Relationship Id="rId1642" Type="http://schemas.openxmlformats.org/officeDocument/2006/relationships/hyperlink" Target="5%20-%20RYSUNKI/2011-200-PRT-A0073072-A-Os&#322;ona%20boczna.STEP" TargetMode="External"/><Relationship Id="rId1502" Type="http://schemas.openxmlformats.org/officeDocument/2006/relationships/hyperlink" Target="5%20-%20RYSUNKI/2013-200-PRT-A0072675-A-P&#322;ytka%20dolna.DXF" TargetMode="External"/><Relationship Id="rId290" Type="http://schemas.openxmlformats.org/officeDocument/2006/relationships/hyperlink" Target="5%20-%20RYSUNKI/2011-200-PRT-A0069936-A-P&#322;ytka%20oporowa%20obrotu.PDF" TargetMode="External"/><Relationship Id="rId388" Type="http://schemas.openxmlformats.org/officeDocument/2006/relationships/hyperlink" Target="5%20-%20RYSUNKI/2011-400-PRT-A0068812-A-Podpora%20spr&#281;&#380;yny%20lewej.STEP" TargetMode="External"/><Relationship Id="rId150" Type="http://schemas.openxmlformats.org/officeDocument/2006/relationships/hyperlink" Target="5%20-%20RYSUNKI/2011-200-PRT-A0069923-A-Blaszka%20amortyzatora.STEP" TargetMode="External"/><Relationship Id="rId595" Type="http://schemas.openxmlformats.org/officeDocument/2006/relationships/hyperlink" Target="5%20-%20RYSUNKI/2011-600-PRT-A0071415-A-O&#347;.STEP" TargetMode="External"/><Relationship Id="rId248" Type="http://schemas.openxmlformats.org/officeDocument/2006/relationships/hyperlink" Target="5%20-%20RYSUNKI/2011-200-PRT-A0069919-A-Kostka%20zderzaka.DXF" TargetMode="External"/><Relationship Id="rId455" Type="http://schemas.openxmlformats.org/officeDocument/2006/relationships/hyperlink" Target="5%20-%20RYSUNKI/2011-200-PRT-A0070655-A-P&#322;yta%20monta&#380;owa.PDF" TargetMode="External"/><Relationship Id="rId662" Type="http://schemas.openxmlformats.org/officeDocument/2006/relationships/hyperlink" Target="5%20-%20RYSUNKI/2011-600-PRT-A0070418-A-&#346;ciana%20prawa.PDF" TargetMode="External"/><Relationship Id="rId1085" Type="http://schemas.openxmlformats.org/officeDocument/2006/relationships/hyperlink" Target="5%20-%20RYSUNKI/000.MAG.50%20-%20M8-B.DXF" TargetMode="External"/><Relationship Id="rId1292" Type="http://schemas.openxmlformats.org/officeDocument/2006/relationships/hyperlink" Target="5%20-%20RYSUNKI/2013-100-PRT-A0069068-A-Nakr&#281;tka%20wypychacza.PDF" TargetMode="External"/><Relationship Id="rId108" Type="http://schemas.openxmlformats.org/officeDocument/2006/relationships/hyperlink" Target="5%20-%20RYSUNKI/2011-400-PRT-A0068862-A-P&#322;yta%20narz&#281;dzia.STEP" TargetMode="External"/><Relationship Id="rId315" Type="http://schemas.openxmlformats.org/officeDocument/2006/relationships/hyperlink" Target="5%20-%20RYSUNKI/2011-400-PRT-A0068814-A-P&#322;yta%20dolna.DXF" TargetMode="External"/><Relationship Id="rId522" Type="http://schemas.openxmlformats.org/officeDocument/2006/relationships/hyperlink" Target="5%20-%20RYSUNKI/2011-600-PRT-A0070113-A-P&#322;yta%20nap&#281;du%20liniowego.DXF" TargetMode="External"/><Relationship Id="rId967" Type="http://schemas.openxmlformats.org/officeDocument/2006/relationships/hyperlink" Target="5%20-%20RYSUNKI/2011-902-PRT-A0070000-A-Element%20sprz&#281;gaj&#261;cy.PDF" TargetMode="External"/><Relationship Id="rId1152" Type="http://schemas.openxmlformats.org/officeDocument/2006/relationships/hyperlink" Target="5%20-%20RYSUNKI/2013-100-PRT-A0073391-A-Kostka%20zderzaka.PDF" TargetMode="External"/><Relationship Id="rId1597" Type="http://schemas.openxmlformats.org/officeDocument/2006/relationships/hyperlink" Target="5%20-%20RYSUNKI/2011-200-PRT-A0072986-A-K&#261;townik%20NOK.STEP" TargetMode="External"/><Relationship Id="rId96" Type="http://schemas.openxmlformats.org/officeDocument/2006/relationships/hyperlink" Target="5%20-%20RYSUNKI/2011-400-PRT-A0068780-A-Mocowanie%20si&#322;ownika.STEP" TargetMode="External"/><Relationship Id="rId827" Type="http://schemas.openxmlformats.org/officeDocument/2006/relationships/hyperlink" Target="5%20-%20RYSUNKI/2011-902-PRT-A0069225-A-Mocowanie%20w&#243;zka.DXF" TargetMode="External"/><Relationship Id="rId1012" Type="http://schemas.openxmlformats.org/officeDocument/2006/relationships/hyperlink" Target="5%20-%20RYSUNKI/2011-903-PRT-A0072975-A-Mocowanie%20prowadnika.PDF" TargetMode="External"/><Relationship Id="rId1457" Type="http://schemas.openxmlformats.org/officeDocument/2006/relationships/hyperlink" Target="5%20-%20RYSUNKI/2013-200-PRT-A0070402-A--.STEP" TargetMode="External"/><Relationship Id="rId1664" Type="http://schemas.openxmlformats.org/officeDocument/2006/relationships/hyperlink" Target="5%20-%20RYSUNKI/1704-03-PRT-A0076077-A-Os&#322;ona.PDF" TargetMode="External"/><Relationship Id="rId1317" Type="http://schemas.openxmlformats.org/officeDocument/2006/relationships/hyperlink" Target="5%20-%20RYSUNKI/2013-100-PRT-A0069071-A-P&#322;yta%20pozioma.DXF" TargetMode="External"/><Relationship Id="rId1524" Type="http://schemas.openxmlformats.org/officeDocument/2006/relationships/hyperlink" Target="5%20-%20RYSUNKI/000.MAG.22.M5-B.STEP" TargetMode="External"/><Relationship Id="rId23" Type="http://schemas.openxmlformats.org/officeDocument/2006/relationships/hyperlink" Target="5%20-%20RYSUNKI/2011-400-PRT-A0068849-A-Mocowanie%20si&#322;ownika%201.DXF" TargetMode="External"/><Relationship Id="rId172" Type="http://schemas.openxmlformats.org/officeDocument/2006/relationships/hyperlink" Target="5%20-%20RYSUNKI/2011-200-PRT-A0070366-A-P&#322;ytka%20podstawowa%20podmonta&#380;u%20blaszek.PDF" TargetMode="External"/><Relationship Id="rId477" Type="http://schemas.openxmlformats.org/officeDocument/2006/relationships/hyperlink" Target="5%20-%20RYSUNKI/2011-200-PRT-A0071749-A-Kostka%20bazuj&#261;ca.DXF" TargetMode="External"/><Relationship Id="rId684" Type="http://schemas.openxmlformats.org/officeDocument/2006/relationships/hyperlink" Target="5%20-%20RYSUNKI/2011-600-PRT-A0070127-A-Pier&#347;cie&#324;%20dystansowy.DXF" TargetMode="External"/><Relationship Id="rId337" Type="http://schemas.openxmlformats.org/officeDocument/2006/relationships/hyperlink" Target="5%20-%20RYSUNKI/2011-400-PRT-A0068775-A-Gniazdo%20spr&#281;&#380;yny%20lewej.STEP" TargetMode="External"/><Relationship Id="rId891" Type="http://schemas.openxmlformats.org/officeDocument/2006/relationships/hyperlink" Target="5%20-%20RYSUNKI/2011-903-PRT-A0072922-A-Obsada%20blokady%20spr&#281;&#380;ynki.STEP" TargetMode="External"/><Relationship Id="rId989" Type="http://schemas.openxmlformats.org/officeDocument/2006/relationships/hyperlink" Target="5%20-%20RYSUNKI/2011-992-PRT-A0073443-A-Gniazdo%20D&#378;wigni%20eCrafter%20Przesuwny%20LH.PDF" TargetMode="External"/><Relationship Id="rId544" Type="http://schemas.openxmlformats.org/officeDocument/2006/relationships/hyperlink" Target="5%20-%20RYSUNKI/2011-600-PRT-A0070487-A-Podpora%20&#347;rodkowa.STEP" TargetMode="External"/><Relationship Id="rId751" Type="http://schemas.openxmlformats.org/officeDocument/2006/relationships/hyperlink" Target="5%20-%20RYSUNKI/2011-992-PRT-A0073447-B-Gniazdo%20D&#378;wigni%20eCrafter%20Przesuwny%20LH.STEP" TargetMode="External"/><Relationship Id="rId849" Type="http://schemas.openxmlformats.org/officeDocument/2006/relationships/hyperlink" Target="5%20-%20RYSUNKI/2011-901-PRT-A0068941-A-P&#322;ytka%20mocowania%20si&#322;ownika.STEP" TargetMode="External"/><Relationship Id="rId1174" Type="http://schemas.openxmlformats.org/officeDocument/2006/relationships/hyperlink" Target="5%20-%20RYSUNKI/2013-100-PRT-A0073097-A-Dystans%20zatrzasku.DXF" TargetMode="External"/><Relationship Id="rId1381" Type="http://schemas.openxmlformats.org/officeDocument/2006/relationships/hyperlink" Target="5%20-%20RYSUNKI/2013-200-PRT-A0072713-A-&#379;ebro.STEP" TargetMode="External"/><Relationship Id="rId1479" Type="http://schemas.openxmlformats.org/officeDocument/2006/relationships/hyperlink" Target="5%20-%20RYSUNKI/2013-200-PRT-A0070421-A-Podstawa%20gniazd%20spr&#281;&#380;yn.PDF" TargetMode="External"/><Relationship Id="rId1686" Type="http://schemas.openxmlformats.org/officeDocument/2006/relationships/hyperlink" Target="5%20-%20RYSUNKI/1927-804-PRT-A0076101-A-Os&#322;ona.DXF" TargetMode="External"/><Relationship Id="rId404" Type="http://schemas.openxmlformats.org/officeDocument/2006/relationships/hyperlink" Target="5%20-%20RYSUNKI/2011-400-PRT-A0068794-A-Gniazdo%204.PDF" TargetMode="External"/><Relationship Id="rId611" Type="http://schemas.openxmlformats.org/officeDocument/2006/relationships/hyperlink" Target="5%20-%20RYSUNKI/2011-600-PRT-A0071410-A-P&#322;ytka%20si&#322;ownika.PDF" TargetMode="External"/><Relationship Id="rId1034" Type="http://schemas.openxmlformats.org/officeDocument/2006/relationships/hyperlink" Target="5%20-%20RYSUNKI/2011-990-PRT-A0072867-A-Mocowanie.DXF" TargetMode="External"/><Relationship Id="rId1241" Type="http://schemas.openxmlformats.org/officeDocument/2006/relationships/hyperlink" Target="5%20-%20RYSUNKI/2013-100-PRT-A0072959-A-P&#322;ytka%20ociekacza.STEP" TargetMode="External"/><Relationship Id="rId1339" Type="http://schemas.openxmlformats.org/officeDocument/2006/relationships/hyperlink" Target="5%20-%20RYSUNKI/2013-200-PRT-A0073192-A-K&#261;townik.STEP" TargetMode="External"/><Relationship Id="rId709" Type="http://schemas.openxmlformats.org/officeDocument/2006/relationships/hyperlink" Target="5%20-%20RYSUNKI/2011-600-PRT-A0070576-A-Odwa&#380;nik%20ty&#322;.STEP" TargetMode="External"/><Relationship Id="rId916" Type="http://schemas.openxmlformats.org/officeDocument/2006/relationships/hyperlink" Target="5%20-%20RYSUNKI/2011-990-PRT-A0072862-B-Wspornik%20blokady.PDF" TargetMode="External"/><Relationship Id="rId1101" Type="http://schemas.openxmlformats.org/officeDocument/2006/relationships/hyperlink" Target="5%20-%20RYSUNKI/2011-600-PRT-A0073479-A-K&#261;townik%20mocuj&#261;cy.PDF" TargetMode="External"/><Relationship Id="rId1546" Type="http://schemas.openxmlformats.org/officeDocument/2006/relationships/hyperlink" Target="5%20-%20RYSUNKI/1851-11-PRT-A0075895-A-Os&#322;ona%20ta&#347;my%20transportujacej.PDF" TargetMode="External"/><Relationship Id="rId45" Type="http://schemas.openxmlformats.org/officeDocument/2006/relationships/hyperlink" Target="5%20-%20RYSUNKI/2011-400-PRT-A0068842-A-Mocowanie%20wypychacza.STEP" TargetMode="External"/><Relationship Id="rId1406" Type="http://schemas.openxmlformats.org/officeDocument/2006/relationships/hyperlink" Target="5%20-%20RYSUNKI/2013-200-PRT-A0072989-A-Kostka%20bazuj&#261;ca.DXF" TargetMode="External"/><Relationship Id="rId1613" Type="http://schemas.openxmlformats.org/officeDocument/2006/relationships/hyperlink" Target="5%20-%20RYSUNKI/2011-200-PRT-A0073057-A-Os&#322;ona%20boczna.PDF" TargetMode="External"/><Relationship Id="rId194" Type="http://schemas.openxmlformats.org/officeDocument/2006/relationships/hyperlink" Target="5%20-%20RYSUNKI/2011-200-PRT-A0069916-A-Mocowanie%20sprz&#281;g&#322;a%20o&#347;%20Z.DXF" TargetMode="External"/><Relationship Id="rId261" Type="http://schemas.openxmlformats.org/officeDocument/2006/relationships/hyperlink" Target="5%20-%20RYSUNKI/2011-200-PRT-A0069989-A-Podp&#243;rka.STEP" TargetMode="External"/><Relationship Id="rId499" Type="http://schemas.openxmlformats.org/officeDocument/2006/relationships/hyperlink" Target="5%20-%20RYSUNKI/2011-200-PRT-A0070616-A-Support%20uchwytu.STEP" TargetMode="External"/><Relationship Id="rId359" Type="http://schemas.openxmlformats.org/officeDocument/2006/relationships/hyperlink" Target="5%20-%20RYSUNKI/2011-400-PRT-A0068773-A-Ko&#322;ek.PDF" TargetMode="External"/><Relationship Id="rId566" Type="http://schemas.openxmlformats.org/officeDocument/2006/relationships/hyperlink" Target="5%20-%20RYSUNKI/2011-600-PRT-A0070492-A-Kostka%20elektryczna.PDF" TargetMode="External"/><Relationship Id="rId773" Type="http://schemas.openxmlformats.org/officeDocument/2006/relationships/hyperlink" Target="5%20-%20RYSUNKI/2011-990-PRT-A0072879-A-Os&#322;ona.DXF" TargetMode="External"/><Relationship Id="rId1196" Type="http://schemas.openxmlformats.org/officeDocument/2006/relationships/hyperlink" Target="5%20-%20RYSUNKI/2013-100-PRT-A0073417-A-Kostka%20zderzaka.DXF" TargetMode="External"/><Relationship Id="rId121" Type="http://schemas.openxmlformats.org/officeDocument/2006/relationships/hyperlink" Target="5%20-%20RYSUNKI/2011-300-PRT-A0070324-A-Uchwyt%20czujnika.PDF" TargetMode="External"/><Relationship Id="rId219" Type="http://schemas.openxmlformats.org/officeDocument/2006/relationships/hyperlink" Target="5%20-%20RYSUNKI/2011-200-PRT-A0070368-A-Klin.STEP" TargetMode="External"/><Relationship Id="rId426" Type="http://schemas.openxmlformats.org/officeDocument/2006/relationships/hyperlink" Target="5%20-%20RYSUNKI/2011-200-PRT-A0072093-A-Uchwyt%20czujnika.DXF" TargetMode="External"/><Relationship Id="rId633" Type="http://schemas.openxmlformats.org/officeDocument/2006/relationships/hyperlink" Target="5%20-%20RYSUNKI/2011-600-PRT-A0070098-A-Kostka%20elektryczna.DXF" TargetMode="External"/><Relationship Id="rId980" Type="http://schemas.openxmlformats.org/officeDocument/2006/relationships/hyperlink" Target="5%20-%20RYSUNKI/2011-901-PRT-A0068944-A-Element%20sprz&#281;gaj&#261;cy.DXF" TargetMode="External"/><Relationship Id="rId1056" Type="http://schemas.openxmlformats.org/officeDocument/2006/relationships/hyperlink" Target="5%20-%20RYSUNKI/2011-904-PRT-A0070444-B-Mocowanie%20prowadnika.STEP" TargetMode="External"/><Relationship Id="rId1263" Type="http://schemas.openxmlformats.org/officeDocument/2006/relationships/hyperlink" Target="5%20-%20RYSUNKI/2013-100-PRT-A0073412-A-&#346;ruba%20zderzak.PDF" TargetMode="External"/><Relationship Id="rId840" Type="http://schemas.openxmlformats.org/officeDocument/2006/relationships/hyperlink" Target="5%20-%20RYSUNKI/2011-902-PRT-A0069224-A-Trzpie&#324;.STEP" TargetMode="External"/><Relationship Id="rId938" Type="http://schemas.openxmlformats.org/officeDocument/2006/relationships/hyperlink" Target="5%20-%20RYSUNKI/2011-903-PRT-A0072927-A-Chwytak%20beczki.DXF" TargetMode="External"/><Relationship Id="rId1470" Type="http://schemas.openxmlformats.org/officeDocument/2006/relationships/hyperlink" Target="5%20-%20RYSUNKI/2013-200-PRT-A0074047-A-Sprz&#281;g&#322;o.PDF" TargetMode="External"/><Relationship Id="rId1568" Type="http://schemas.openxmlformats.org/officeDocument/2006/relationships/hyperlink" Target="5%20-%20RYSUNKI/1704-01-PRT-A0076020-A-Mocowanie.DXF" TargetMode="External"/><Relationship Id="rId67" Type="http://schemas.openxmlformats.org/officeDocument/2006/relationships/hyperlink" Target="5%20-%20RYSUNKI/2011-400-PRT-A0068845-A-Blaszka%20boczna.PDF" TargetMode="External"/><Relationship Id="rId700" Type="http://schemas.openxmlformats.org/officeDocument/2006/relationships/hyperlink" Target="5%20-%20RYSUNKI/2011-600-PRT-A0070120-A-Odwa&#380;nik%20prz&#243;d.STEP" TargetMode="External"/><Relationship Id="rId1123" Type="http://schemas.openxmlformats.org/officeDocument/2006/relationships/hyperlink" Target="5%20-%20RYSUNKI/2011-600-PRT-A0073377-A-Okno.DXF" TargetMode="External"/><Relationship Id="rId1330" Type="http://schemas.openxmlformats.org/officeDocument/2006/relationships/hyperlink" Target="5%20-%20RYSUNKI/2013-100-PRT-A0073482-A-Dystans%20gniazda.STEP" TargetMode="External"/><Relationship Id="rId1428" Type="http://schemas.openxmlformats.org/officeDocument/2006/relationships/hyperlink" Target="5%20-%20RYSUNKI/2013-200-PRT-A0072982-A-Podpora%20&#347;rodkowa.STEP" TargetMode="External"/><Relationship Id="rId1635" Type="http://schemas.openxmlformats.org/officeDocument/2006/relationships/hyperlink" Target="5%20-%20RYSUNKI/2011-200-PRT-A0073060-A-Blacha%20dolna.DXF" TargetMode="External"/><Relationship Id="rId283" Type="http://schemas.openxmlformats.org/officeDocument/2006/relationships/hyperlink" Target="5%20-%20RYSUNKI/2011-200-PRT-A0069909-A-&#379;ebro.STEP" TargetMode="External"/><Relationship Id="rId490" Type="http://schemas.openxmlformats.org/officeDocument/2006/relationships/hyperlink" Target="5%20-%20RYSUNKI/2011-200-PRT-A0071764-A-Gniazdo%20wtyczki%20V2.STEP" TargetMode="External"/><Relationship Id="rId143" Type="http://schemas.openxmlformats.org/officeDocument/2006/relationships/hyperlink" Target="5%20-%20RYSUNKI/2011-200-PRT-A0069926-A-Blaszka%20prowadnika%20poziomego%20ruchoma.DXF" TargetMode="External"/><Relationship Id="rId350" Type="http://schemas.openxmlformats.org/officeDocument/2006/relationships/hyperlink" Target="5%20-%20RYSUNKI/2011-400-PRT-A0068805-A-Listwa%20lewa%201.PDF" TargetMode="External"/><Relationship Id="rId588" Type="http://schemas.openxmlformats.org/officeDocument/2006/relationships/hyperlink" Target="5%20-%20RYSUNKI/2011-600-PRT-A0071409-A-P&#322;ytka%20blokady.DXF" TargetMode="External"/><Relationship Id="rId795" Type="http://schemas.openxmlformats.org/officeDocument/2006/relationships/hyperlink" Target="5%20-%20RYSUNKI/2011-990-PRT-A0072863-B-Mocowanie%20szyny.STEP" TargetMode="External"/><Relationship Id="rId9" Type="http://schemas.openxmlformats.org/officeDocument/2006/relationships/hyperlink" Target="5%20-%20RYSUNKI/1704-01-PRT-A0065974-A-Os&#322;ona%202.STEP" TargetMode="External"/><Relationship Id="rId210" Type="http://schemas.openxmlformats.org/officeDocument/2006/relationships/hyperlink" Target="5%20-%20RYSUNKI/2011-200-PRT-A0070388-A-Wspornik%20si&#322;ownika.STEP" TargetMode="External"/><Relationship Id="rId448" Type="http://schemas.openxmlformats.org/officeDocument/2006/relationships/hyperlink" Target="5%20-%20RYSUNKI/2011-200-PRT-A0070665-A-P&#322;yta%20montazowa.STEP" TargetMode="External"/><Relationship Id="rId655" Type="http://schemas.openxmlformats.org/officeDocument/2006/relationships/hyperlink" Target="5%20-%20RYSUNKI/2011-600-PRT-A0071263-A-Dok&#322;adka%20PL.STEP" TargetMode="External"/><Relationship Id="rId862" Type="http://schemas.openxmlformats.org/officeDocument/2006/relationships/hyperlink" Target="5%20-%20RYSUNKI/2011-903-PRT-A0072939-A-Podpora.PDF" TargetMode="External"/><Relationship Id="rId1078" Type="http://schemas.openxmlformats.org/officeDocument/2006/relationships/hyperlink" Target="5%20-%20RYSUNKI/000.MAG.90.06-B.PDF" TargetMode="External"/><Relationship Id="rId1285" Type="http://schemas.openxmlformats.org/officeDocument/2006/relationships/hyperlink" Target="5%20-%20RYSUNKI/2013-100-PRT-A0069075-A-Rami&#281;%20wbijania.STEP" TargetMode="External"/><Relationship Id="rId1492" Type="http://schemas.openxmlformats.org/officeDocument/2006/relationships/hyperlink" Target="5%20-%20RYSUNKI/2013-200-PRT-A0072672-A-Wa&#322;ek%20docisku.PDF" TargetMode="External"/><Relationship Id="rId308" Type="http://schemas.openxmlformats.org/officeDocument/2006/relationships/hyperlink" Target="5%20-%20RYSUNKI/2011-400-PRT-A0069230-A-Gniazdo%2010.PDF" TargetMode="External"/><Relationship Id="rId515" Type="http://schemas.openxmlformats.org/officeDocument/2006/relationships/hyperlink" Target="5%20-%20RYSUNKI/2011-600-PRT-A0070117-A-P&#322;yta%20zespo&#322;u%20dojazdu.PDF" TargetMode="External"/><Relationship Id="rId722" Type="http://schemas.openxmlformats.org/officeDocument/2006/relationships/hyperlink" Target="5%20-%20RYSUNKI/2011-904-PRT-A0070449-A-Wa&#322;ek%20docisku.PDF" TargetMode="External"/><Relationship Id="rId1145" Type="http://schemas.openxmlformats.org/officeDocument/2006/relationships/hyperlink" Target="5%20-%20RYSUNKI/2011-600-PRT-A0073500-A-Os&#322;ona.STEP" TargetMode="External"/><Relationship Id="rId1352" Type="http://schemas.openxmlformats.org/officeDocument/2006/relationships/hyperlink" Target="5%20-%20RYSUNKI/2013-200-PRT-A0072955-A-&#379;ebro.PDF" TargetMode="External"/><Relationship Id="rId89" Type="http://schemas.openxmlformats.org/officeDocument/2006/relationships/hyperlink" Target="5%20-%20RYSUNKI/2011-400-PRT-A0068783-A-P&#322;ytka%20przednia.DXF" TargetMode="External"/><Relationship Id="rId1005" Type="http://schemas.openxmlformats.org/officeDocument/2006/relationships/hyperlink" Target="5%20-%20RYSUNKI/2011-903-PRT-A0072924-A-Blokada%20spr&#281;&#380;ynki.STEP" TargetMode="External"/><Relationship Id="rId1212" Type="http://schemas.openxmlformats.org/officeDocument/2006/relationships/hyperlink" Target="5%20-%20RYSUNKI/2013-100-PRT-A0072949-A-P&#322;yta%20docisk&#243;w.DXF" TargetMode="External"/><Relationship Id="rId1657" Type="http://schemas.openxmlformats.org/officeDocument/2006/relationships/hyperlink" Target="5%20-%20RYSUNKI/2013-600-PRT-A0075977-B-Os&#322;ona%20kurtyny.STEP" TargetMode="External"/><Relationship Id="rId1517" Type="http://schemas.openxmlformats.org/officeDocument/2006/relationships/hyperlink" Target="5%20-%20RYSUNKI/2013-200-PRT-A0072707-A-Mocowanie%20prowadnika.DXF" TargetMode="External"/><Relationship Id="rId16" Type="http://schemas.openxmlformats.org/officeDocument/2006/relationships/hyperlink" Target="5%20-%20RYSUNKI/000.MAG.22.M8-A.PDF" TargetMode="External"/><Relationship Id="rId165" Type="http://schemas.openxmlformats.org/officeDocument/2006/relationships/hyperlink" Target="5%20-%20RYSUNKI/2011-200-PRT-A0069975-A-Gniazdo%20LH%20cz1.STEP" TargetMode="External"/><Relationship Id="rId372" Type="http://schemas.openxmlformats.org/officeDocument/2006/relationships/hyperlink" Target="5%20-%20RYSUNKI/2011-400-PRT-A0068769-A-Kostka%20czujnika.DXF" TargetMode="External"/><Relationship Id="rId677" Type="http://schemas.openxmlformats.org/officeDocument/2006/relationships/hyperlink" Target="5%20-%20RYSUNKI/2011-600-PRT-A0070123-A-Pokrywka.PDF" TargetMode="External"/><Relationship Id="rId232" Type="http://schemas.openxmlformats.org/officeDocument/2006/relationships/hyperlink" Target="5%20-%20RYSUNKI/2011-200-PRT-A0069933-A-Kostka%20amortyzatora%20Z.PDF" TargetMode="External"/><Relationship Id="rId884" Type="http://schemas.openxmlformats.org/officeDocument/2006/relationships/hyperlink" Target="5%20-%20RYSUNKI/2011-903-PRT-A0072932-A-P&#322;yta.DXF" TargetMode="External"/><Relationship Id="rId537" Type="http://schemas.openxmlformats.org/officeDocument/2006/relationships/hyperlink" Target="5%20-%20RYSUNKI/2011-600-PRT-A0070132-A-Wkr&#281;t%20dociskowy.DXF" TargetMode="External"/><Relationship Id="rId744" Type="http://schemas.openxmlformats.org/officeDocument/2006/relationships/hyperlink" Target="5%20-%20RYSUNKI/2011-903-PRT-A0072921-A-O&#347;%20obrotu.DXF" TargetMode="External"/><Relationship Id="rId951" Type="http://schemas.openxmlformats.org/officeDocument/2006/relationships/hyperlink" Target="5%20-%20RYSUNKI/2011-901-PRT-A0068943-A-Element%20sprz&#281;gaj&#261;cy.STEP" TargetMode="External"/><Relationship Id="rId1167" Type="http://schemas.openxmlformats.org/officeDocument/2006/relationships/hyperlink" Target="5%20-%20RYSUNKI/2013-100-PRT-A0073210-A-&#379;ebro%20.PDF" TargetMode="External"/><Relationship Id="rId1374" Type="http://schemas.openxmlformats.org/officeDocument/2006/relationships/hyperlink" Target="5%20-%20RYSUNKI/2013-200-PRT-A0072827-A-P&#322;yta%20pionowa.DXF" TargetMode="External"/><Relationship Id="rId1581" Type="http://schemas.openxmlformats.org/officeDocument/2006/relationships/hyperlink" Target="5%20-%20RYSUNKI/2011-200-PRT-A0070520-A-Blacha%20dolna.STEP" TargetMode="External"/><Relationship Id="rId1679" Type="http://schemas.openxmlformats.org/officeDocument/2006/relationships/hyperlink" Target="5%20-%20RYSUNKI/1927-000-PRT-A0062094-A-P&#322;ytka%20&#322;&#261;cz&#261;ca.PDF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2:B49"/>
  <sheetViews>
    <sheetView zoomScale="130" zoomScaleNormal="130" workbookViewId="0">
      <selection activeCell="B52" sqref="B52"/>
    </sheetView>
  </sheetViews>
  <sheetFormatPr defaultRowHeight="12.5" x14ac:dyDescent="0.25"/>
  <cols>
    <col min="1" max="1" width="4.54296875" customWidth="1"/>
    <col min="2" max="2" width="106.1796875" customWidth="1"/>
  </cols>
  <sheetData>
    <row r="2" spans="2:2" x14ac:dyDescent="0.25">
      <c r="B2" s="1" t="s">
        <v>0</v>
      </c>
    </row>
    <row r="3" spans="2:2" ht="25" x14ac:dyDescent="0.5">
      <c r="B3" s="2" t="s">
        <v>46</v>
      </c>
    </row>
    <row r="5" spans="2:2" x14ac:dyDescent="0.25">
      <c r="B5" s="1" t="s">
        <v>1</v>
      </c>
    </row>
    <row r="6" spans="2:2" ht="25" x14ac:dyDescent="0.5">
      <c r="B6" s="2" t="s">
        <v>46</v>
      </c>
    </row>
    <row r="8" spans="2:2" x14ac:dyDescent="0.25">
      <c r="B8" s="1" t="s">
        <v>2</v>
      </c>
    </row>
    <row r="9" spans="2:2" ht="25" x14ac:dyDescent="0.5">
      <c r="B9" s="3" t="s">
        <v>46</v>
      </c>
    </row>
    <row r="16" spans="2:2" ht="14" x14ac:dyDescent="0.3">
      <c r="B16" s="9" t="s">
        <v>3</v>
      </c>
    </row>
    <row r="17" spans="2:2" x14ac:dyDescent="0.25">
      <c r="B17" s="6"/>
    </row>
    <row r="18" spans="2:2" x14ac:dyDescent="0.25">
      <c r="B18" s="4"/>
    </row>
    <row r="19" spans="2:2" x14ac:dyDescent="0.25">
      <c r="B19" s="5" t="s">
        <v>4</v>
      </c>
    </row>
    <row r="20" spans="2:2" x14ac:dyDescent="0.25">
      <c r="B20" s="6" t="s">
        <v>25</v>
      </c>
    </row>
    <row r="21" spans="2:2" x14ac:dyDescent="0.25">
      <c r="B21" s="4" t="s">
        <v>24</v>
      </c>
    </row>
    <row r="22" spans="2:2" x14ac:dyDescent="0.25">
      <c r="B22" s="4" t="s">
        <v>26</v>
      </c>
    </row>
    <row r="23" spans="2:2" x14ac:dyDescent="0.25">
      <c r="B23" s="4"/>
    </row>
    <row r="24" spans="2:2" x14ac:dyDescent="0.25">
      <c r="B24" s="5" t="s">
        <v>30</v>
      </c>
    </row>
    <row r="25" spans="2:2" x14ac:dyDescent="0.25">
      <c r="B25" s="6" t="s">
        <v>31</v>
      </c>
    </row>
    <row r="26" spans="2:2" x14ac:dyDescent="0.25">
      <c r="B26" s="4" t="s">
        <v>32</v>
      </c>
    </row>
    <row r="27" spans="2:2" x14ac:dyDescent="0.25">
      <c r="B27" s="4"/>
    </row>
    <row r="28" spans="2:2" x14ac:dyDescent="0.25">
      <c r="B28" s="5" t="s">
        <v>5</v>
      </c>
    </row>
    <row r="29" spans="2:2" x14ac:dyDescent="0.25">
      <c r="B29" s="6" t="s">
        <v>6</v>
      </c>
    </row>
    <row r="30" spans="2:2" x14ac:dyDescent="0.25">
      <c r="B30" s="8" t="s">
        <v>27</v>
      </c>
    </row>
    <row r="31" spans="2:2" x14ac:dyDescent="0.25">
      <c r="B31" s="4"/>
    </row>
    <row r="32" spans="2:2" x14ac:dyDescent="0.25">
      <c r="B32" s="4" t="s">
        <v>7</v>
      </c>
    </row>
    <row r="33" spans="1:2" x14ac:dyDescent="0.25">
      <c r="B33" s="4" t="s">
        <v>29</v>
      </c>
    </row>
    <row r="34" spans="1:2" x14ac:dyDescent="0.25">
      <c r="B34" s="4" t="s">
        <v>28</v>
      </c>
    </row>
    <row r="35" spans="1:2" x14ac:dyDescent="0.25">
      <c r="B35" s="7"/>
    </row>
    <row r="36" spans="1:2" x14ac:dyDescent="0.25">
      <c r="B36" s="5" t="s">
        <v>8</v>
      </c>
    </row>
    <row r="37" spans="1:2" x14ac:dyDescent="0.25">
      <c r="B37" s="6" t="s">
        <v>9</v>
      </c>
    </row>
    <row r="38" spans="1:2" x14ac:dyDescent="0.25">
      <c r="B38" s="6" t="s">
        <v>10</v>
      </c>
    </row>
    <row r="40" spans="1:2" x14ac:dyDescent="0.25">
      <c r="B40" s="5" t="s">
        <v>11</v>
      </c>
    </row>
    <row r="41" spans="1:2" x14ac:dyDescent="0.25">
      <c r="B41" s="6" t="s">
        <v>12</v>
      </c>
    </row>
    <row r="45" spans="1:2" x14ac:dyDescent="0.25">
      <c r="B45" t="s">
        <v>64</v>
      </c>
    </row>
    <row r="46" spans="1:2" x14ac:dyDescent="0.25">
      <c r="A46" t="s">
        <v>69</v>
      </c>
      <c r="B46" t="s">
        <v>65</v>
      </c>
    </row>
    <row r="47" spans="1:2" x14ac:dyDescent="0.25">
      <c r="A47" t="s">
        <v>70</v>
      </c>
      <c r="B47" t="s">
        <v>66</v>
      </c>
    </row>
    <row r="48" spans="1:2" x14ac:dyDescent="0.25">
      <c r="A48" t="s">
        <v>71</v>
      </c>
      <c r="B48" t="s">
        <v>67</v>
      </c>
    </row>
    <row r="49" spans="1:2" x14ac:dyDescent="0.25">
      <c r="A49" t="s">
        <v>72</v>
      </c>
      <c r="B49" t="s">
        <v>68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rgb="FFFFFF00"/>
    <pageSetUpPr fitToPage="1"/>
  </sheetPr>
  <dimension ref="A1:BD609"/>
  <sheetViews>
    <sheetView tabSelected="1" zoomScale="55" zoomScaleNormal="55" workbookViewId="0">
      <pane xSplit="1" ySplit="5" topLeftCell="B585" activePane="bottomRight" state="frozen"/>
      <selection pane="topRight" activeCell="B1" sqref="B1"/>
      <selection pane="bottomLeft" activeCell="A6" sqref="A6"/>
      <selection pane="bottomRight" activeCell="I592" sqref="I592"/>
    </sheetView>
  </sheetViews>
  <sheetFormatPr defaultColWidth="9.1796875" defaultRowHeight="28" customHeight="1" x14ac:dyDescent="0.25"/>
  <cols>
    <col min="1" max="1" width="10.54296875" style="30" customWidth="1"/>
    <col min="2" max="2" width="18.7265625" style="29" customWidth="1"/>
    <col min="3" max="3" width="6.81640625" style="17" customWidth="1"/>
    <col min="4" max="4" width="6.81640625" style="16" customWidth="1"/>
    <col min="5" max="5" width="7.90625" style="16" customWidth="1"/>
    <col min="6" max="6" width="17.1796875" style="16" customWidth="1"/>
    <col min="7" max="7" width="24" style="16" customWidth="1"/>
    <col min="8" max="8" width="9.90625" style="16" customWidth="1"/>
    <col min="9" max="9" width="31.26953125" style="16" customWidth="1"/>
    <col min="10" max="10" width="72" style="71" customWidth="1"/>
    <col min="11" max="11" width="10.54296875" style="18" hidden="1" customWidth="1"/>
    <col min="12" max="12" width="21.54296875" style="18" customWidth="1"/>
    <col min="13" max="13" width="16.453125" style="246" customWidth="1"/>
    <col min="14" max="14" width="17.7265625" style="18" customWidth="1"/>
    <col min="15" max="15" width="16.54296875" style="18" customWidth="1"/>
    <col min="16" max="16" width="13.08984375" style="16" customWidth="1"/>
    <col min="17" max="17" width="27.54296875" style="18" customWidth="1"/>
    <col min="18" max="37" width="5.6328125" style="16" customWidth="1"/>
    <col min="38" max="40" width="5.6328125" style="19" customWidth="1"/>
    <col min="41" max="41" width="24" style="19" customWidth="1"/>
    <col min="42" max="42" width="17.36328125" style="20" customWidth="1"/>
    <col min="43" max="43" width="62.26953125" style="16" customWidth="1"/>
    <col min="44" max="44" width="24.26953125" style="17" bestFit="1" customWidth="1"/>
    <col min="45" max="45" width="11.1796875" style="16" customWidth="1"/>
    <col min="46" max="46" width="22.6328125" style="16" customWidth="1"/>
    <col min="47" max="47" width="19.6328125" style="17" customWidth="1"/>
    <col min="48" max="48" width="13.453125" style="17" customWidth="1"/>
    <col min="49" max="49" width="36.81640625" style="17" customWidth="1"/>
    <col min="50" max="50" width="15.54296875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 x14ac:dyDescent="0.3">
      <c r="A1" s="50"/>
      <c r="B1" s="51"/>
      <c r="C1" s="52"/>
      <c r="D1" s="52"/>
      <c r="E1" s="52"/>
      <c r="F1" s="228"/>
      <c r="G1" s="228"/>
      <c r="H1" s="229" t="s">
        <v>45</v>
      </c>
      <c r="I1" s="230" t="s">
        <v>133</v>
      </c>
      <c r="J1" s="70"/>
      <c r="K1" s="232"/>
      <c r="L1" s="63" t="s">
        <v>93</v>
      </c>
      <c r="M1" s="233">
        <v>6</v>
      </c>
      <c r="N1" s="233">
        <v>0</v>
      </c>
      <c r="P1" s="39"/>
      <c r="Q1" s="294"/>
      <c r="R1" s="417" t="s">
        <v>63</v>
      </c>
      <c r="S1" s="418"/>
      <c r="T1" s="418"/>
      <c r="U1" s="418"/>
      <c r="V1" s="418"/>
      <c r="W1" s="418"/>
      <c r="X1" s="418"/>
      <c r="Y1" s="418"/>
      <c r="Z1" s="418"/>
      <c r="AA1" s="418"/>
      <c r="AB1" s="418"/>
      <c r="AC1" s="418"/>
      <c r="AD1" s="418"/>
      <c r="AE1" s="418"/>
      <c r="AF1" s="418"/>
      <c r="AG1" s="418"/>
      <c r="AH1" s="418"/>
      <c r="AI1" s="418"/>
      <c r="AJ1" s="418"/>
      <c r="AK1" s="418"/>
      <c r="AL1" s="196"/>
      <c r="AM1" s="40"/>
      <c r="AN1" s="197"/>
      <c r="AO1" s="403" t="s">
        <v>13</v>
      </c>
      <c r="AP1" s="403"/>
      <c r="AQ1" s="403"/>
      <c r="AR1" s="403"/>
      <c r="AS1" s="403"/>
      <c r="AT1" s="404"/>
      <c r="AU1" s="407" t="s">
        <v>23</v>
      </c>
      <c r="AV1" s="408"/>
      <c r="AW1" s="409"/>
      <c r="AX1" s="413" t="s">
        <v>35</v>
      </c>
      <c r="AY1" s="414"/>
      <c r="AZ1" s="401" t="s">
        <v>57</v>
      </c>
    </row>
    <row r="2" spans="1:56" ht="23.25" customHeight="1" thickBot="1" x14ac:dyDescent="0.3">
      <c r="A2" s="45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34"/>
      <c r="L2" s="235"/>
      <c r="M2" s="234"/>
      <c r="N2" s="234"/>
      <c r="O2" s="234"/>
      <c r="P2" s="26"/>
      <c r="Q2" s="234"/>
      <c r="R2" s="419"/>
      <c r="S2" s="420"/>
      <c r="T2" s="420"/>
      <c r="U2" s="420"/>
      <c r="V2" s="420"/>
      <c r="W2" s="420"/>
      <c r="X2" s="420"/>
      <c r="Y2" s="420"/>
      <c r="Z2" s="420"/>
      <c r="AA2" s="420"/>
      <c r="AB2" s="420"/>
      <c r="AC2" s="420"/>
      <c r="AD2" s="420"/>
      <c r="AE2" s="420"/>
      <c r="AF2" s="420"/>
      <c r="AG2" s="420"/>
      <c r="AH2" s="420"/>
      <c r="AI2" s="420"/>
      <c r="AJ2" s="420"/>
      <c r="AK2" s="420"/>
      <c r="AL2" s="198"/>
      <c r="AM2" s="27"/>
      <c r="AN2" s="199"/>
      <c r="AO2" s="405"/>
      <c r="AP2" s="405"/>
      <c r="AQ2" s="405"/>
      <c r="AR2" s="405"/>
      <c r="AS2" s="405"/>
      <c r="AT2" s="406"/>
      <c r="AU2" s="410"/>
      <c r="AV2" s="411"/>
      <c r="AW2" s="412"/>
      <c r="AX2" s="415"/>
      <c r="AY2" s="416"/>
      <c r="AZ2" s="402"/>
    </row>
    <row r="3" spans="1:56" ht="28" customHeight="1" thickTop="1" x14ac:dyDescent="0.25">
      <c r="A3" s="46"/>
      <c r="B3" s="47"/>
      <c r="C3" s="48"/>
      <c r="D3" s="48"/>
      <c r="E3" s="48"/>
      <c r="F3" s="48"/>
      <c r="G3" s="48"/>
      <c r="H3" s="48"/>
      <c r="I3" s="48"/>
      <c r="J3" s="72"/>
      <c r="K3" s="68"/>
      <c r="L3" s="68"/>
      <c r="M3" s="68"/>
      <c r="N3" s="68"/>
      <c r="O3" s="68"/>
      <c r="P3" s="48"/>
      <c r="Q3" s="295"/>
      <c r="R3" s="421">
        <v>1704</v>
      </c>
      <c r="S3" s="395">
        <v>2011</v>
      </c>
      <c r="T3" s="396"/>
      <c r="U3" s="396"/>
      <c r="V3" s="396"/>
      <c r="W3" s="396"/>
      <c r="X3" s="396"/>
      <c r="Y3" s="396"/>
      <c r="Z3" s="396"/>
      <c r="AA3" s="397"/>
      <c r="AB3" s="395">
        <v>2013</v>
      </c>
      <c r="AC3" s="396"/>
      <c r="AD3" s="396"/>
      <c r="AE3" s="396"/>
      <c r="AF3" s="396"/>
      <c r="AG3" s="396"/>
      <c r="AH3" s="396"/>
      <c r="AI3" s="396"/>
      <c r="AJ3" s="396"/>
      <c r="AK3" s="396"/>
      <c r="AL3" s="200"/>
      <c r="AM3" s="49"/>
      <c r="AN3" s="201"/>
      <c r="AO3" s="33"/>
      <c r="AP3" s="23"/>
      <c r="AQ3" s="23"/>
      <c r="AR3" s="23"/>
      <c r="AS3" s="23"/>
      <c r="AT3" s="31"/>
      <c r="AU3" s="44"/>
      <c r="AV3" s="37"/>
      <c r="AW3" s="24"/>
      <c r="AX3" s="25"/>
      <c r="AY3" s="24"/>
      <c r="AZ3" s="42"/>
    </row>
    <row r="4" spans="1:56" ht="57" customHeight="1" thickBot="1" x14ac:dyDescent="0.3">
      <c r="A4" s="41"/>
      <c r="B4" s="35"/>
      <c r="C4" s="36"/>
      <c r="D4" s="36"/>
      <c r="E4" s="36"/>
      <c r="F4" s="36"/>
      <c r="G4" s="36"/>
      <c r="H4" s="36"/>
      <c r="I4" s="36"/>
      <c r="J4" s="73"/>
      <c r="K4" s="69"/>
      <c r="L4" s="69"/>
      <c r="M4" s="69"/>
      <c r="N4" s="69"/>
      <c r="O4" s="69"/>
      <c r="P4" s="36"/>
      <c r="Q4" s="296"/>
      <c r="R4" s="422"/>
      <c r="S4" s="398"/>
      <c r="T4" s="399"/>
      <c r="U4" s="399"/>
      <c r="V4" s="399"/>
      <c r="W4" s="399"/>
      <c r="X4" s="399"/>
      <c r="Y4" s="399"/>
      <c r="Z4" s="399"/>
      <c r="AA4" s="400"/>
      <c r="AB4" s="398"/>
      <c r="AC4" s="399"/>
      <c r="AD4" s="399"/>
      <c r="AE4" s="399"/>
      <c r="AF4" s="399"/>
      <c r="AG4" s="399"/>
      <c r="AH4" s="399"/>
      <c r="AI4" s="399"/>
      <c r="AJ4" s="399"/>
      <c r="AK4" s="399"/>
      <c r="AL4" s="202"/>
      <c r="AM4" s="34"/>
      <c r="AN4" s="203"/>
      <c r="AO4" s="14"/>
      <c r="AP4" s="12"/>
      <c r="AQ4" s="12"/>
      <c r="AR4" s="12"/>
      <c r="AS4" s="12"/>
      <c r="AT4" s="32"/>
      <c r="AU4" s="15"/>
      <c r="AV4" s="38"/>
      <c r="AW4" s="13"/>
      <c r="AX4" s="11"/>
      <c r="AY4" s="13"/>
      <c r="AZ4" s="43"/>
    </row>
    <row r="5" spans="1:56" s="28" customFormat="1" ht="45" customHeight="1" x14ac:dyDescent="0.3">
      <c r="A5" s="109" t="s">
        <v>14</v>
      </c>
      <c r="B5" s="110" t="s">
        <v>58</v>
      </c>
      <c r="C5" s="111" t="s">
        <v>37</v>
      </c>
      <c r="D5" s="111" t="s">
        <v>38</v>
      </c>
      <c r="E5" s="111" t="s">
        <v>39</v>
      </c>
      <c r="F5" s="111" t="s">
        <v>22</v>
      </c>
      <c r="G5" s="111" t="s">
        <v>53</v>
      </c>
      <c r="H5" s="111" t="s">
        <v>54</v>
      </c>
      <c r="I5" s="111" t="s">
        <v>44</v>
      </c>
      <c r="J5" s="236" t="s">
        <v>52</v>
      </c>
      <c r="K5" s="237" t="s">
        <v>49</v>
      </c>
      <c r="L5" s="237" t="s">
        <v>33</v>
      </c>
      <c r="M5" s="237" t="s">
        <v>40</v>
      </c>
      <c r="N5" s="237" t="s">
        <v>41</v>
      </c>
      <c r="O5" s="237" t="s">
        <v>42</v>
      </c>
      <c r="P5" s="111" t="s">
        <v>55</v>
      </c>
      <c r="Q5" s="297" t="s">
        <v>34</v>
      </c>
      <c r="R5" s="112" t="s">
        <v>138</v>
      </c>
      <c r="S5" s="113" t="s">
        <v>137</v>
      </c>
      <c r="T5" s="114" t="s">
        <v>129</v>
      </c>
      <c r="U5" s="114" t="s">
        <v>211</v>
      </c>
      <c r="V5" s="114" t="s">
        <v>456</v>
      </c>
      <c r="W5" s="114" t="s">
        <v>682</v>
      </c>
      <c r="X5" s="114" t="s">
        <v>130</v>
      </c>
      <c r="Y5" s="114" t="s">
        <v>131</v>
      </c>
      <c r="Z5" s="114" t="s">
        <v>1221</v>
      </c>
      <c r="AA5" s="115" t="s">
        <v>132</v>
      </c>
      <c r="AB5" s="116" t="s">
        <v>139</v>
      </c>
      <c r="AC5" s="114" t="s">
        <v>140</v>
      </c>
      <c r="AD5" s="114" t="s">
        <v>141</v>
      </c>
      <c r="AE5" s="114" t="s">
        <v>142</v>
      </c>
      <c r="AF5" s="114" t="s">
        <v>143</v>
      </c>
      <c r="AG5" s="114" t="s">
        <v>144</v>
      </c>
      <c r="AH5" s="114" t="s">
        <v>59</v>
      </c>
      <c r="AI5" s="114" t="s">
        <v>60</v>
      </c>
      <c r="AJ5" s="114" t="s">
        <v>61</v>
      </c>
      <c r="AK5" s="188" t="s">
        <v>62</v>
      </c>
      <c r="AL5" s="204" t="s">
        <v>15</v>
      </c>
      <c r="AM5" s="117" t="s">
        <v>50</v>
      </c>
      <c r="AN5" s="205" t="s">
        <v>51</v>
      </c>
      <c r="AO5" s="118" t="s">
        <v>18</v>
      </c>
      <c r="AP5" s="119" t="s">
        <v>16</v>
      </c>
      <c r="AQ5" s="119" t="s">
        <v>17</v>
      </c>
      <c r="AR5" s="119" t="s">
        <v>36</v>
      </c>
      <c r="AS5" s="119" t="s">
        <v>43</v>
      </c>
      <c r="AT5" s="120" t="s">
        <v>20</v>
      </c>
      <c r="AU5" s="121" t="s">
        <v>21</v>
      </c>
      <c r="AV5" s="122" t="s">
        <v>56</v>
      </c>
      <c r="AW5" s="123" t="s">
        <v>19</v>
      </c>
      <c r="AX5" s="124" t="s">
        <v>48</v>
      </c>
      <c r="AY5" s="123" t="s">
        <v>47</v>
      </c>
      <c r="AZ5" s="125" t="s">
        <v>57</v>
      </c>
    </row>
    <row r="6" spans="1:56" ht="28" customHeight="1" x14ac:dyDescent="0.25">
      <c r="A6" s="309">
        <v>1</v>
      </c>
      <c r="B6" s="126">
        <v>44985</v>
      </c>
      <c r="C6" s="77" t="s">
        <v>134</v>
      </c>
      <c r="D6" s="77" t="s">
        <v>135</v>
      </c>
      <c r="E6" s="77" t="s">
        <v>136</v>
      </c>
      <c r="F6" s="164" t="s">
        <v>128</v>
      </c>
      <c r="G6" s="310" t="s">
        <v>109</v>
      </c>
      <c r="H6" s="311" t="s">
        <v>110</v>
      </c>
      <c r="I6" s="310" t="s">
        <v>111</v>
      </c>
      <c r="J6" s="312" t="s">
        <v>112</v>
      </c>
      <c r="K6" s="313"/>
      <c r="L6" s="313" t="s">
        <v>113</v>
      </c>
      <c r="M6" s="312" t="s">
        <v>272</v>
      </c>
      <c r="N6" s="312"/>
      <c r="O6" s="312" t="s">
        <v>1219</v>
      </c>
      <c r="P6" s="310" t="s">
        <v>115</v>
      </c>
      <c r="Q6" s="314"/>
      <c r="R6" s="181">
        <v>1</v>
      </c>
      <c r="S6" s="180">
        <f>0</f>
        <v>0</v>
      </c>
      <c r="T6" s="76">
        <f>0</f>
        <v>0</v>
      </c>
      <c r="U6" s="76">
        <f>0</f>
        <v>0</v>
      </c>
      <c r="V6" s="76">
        <f>0</f>
        <v>0</v>
      </c>
      <c r="W6" s="76">
        <f>0</f>
        <v>0</v>
      </c>
      <c r="X6" s="76">
        <f>0</f>
        <v>0</v>
      </c>
      <c r="Y6" s="76">
        <f>0</f>
        <v>0</v>
      </c>
      <c r="Z6" s="76">
        <f>0</f>
        <v>0</v>
      </c>
      <c r="AA6" s="183">
        <f>0</f>
        <v>0</v>
      </c>
      <c r="AB6" s="185">
        <f>0</f>
        <v>0</v>
      </c>
      <c r="AC6" s="76">
        <f>0</f>
        <v>0</v>
      </c>
      <c r="AD6" s="76">
        <f>0</f>
        <v>0</v>
      </c>
      <c r="AE6" s="76">
        <f>0</f>
        <v>0</v>
      </c>
      <c r="AF6" s="76">
        <f>0</f>
        <v>0</v>
      </c>
      <c r="AG6" s="76">
        <f>0</f>
        <v>0</v>
      </c>
      <c r="AH6" s="76">
        <f>0</f>
        <v>0</v>
      </c>
      <c r="AI6" s="76">
        <f>0</f>
        <v>0</v>
      </c>
      <c r="AJ6" s="76">
        <f>0</f>
        <v>0</v>
      </c>
      <c r="AK6" s="183">
        <f>0</f>
        <v>0</v>
      </c>
      <c r="AL6" s="206">
        <f t="shared" ref="AL6:AL69" si="0">SUM(R6:AK6)</f>
        <v>1</v>
      </c>
      <c r="AM6" s="91">
        <f>0</f>
        <v>0</v>
      </c>
      <c r="AN6" s="207">
        <f t="shared" ref="AN6:AN69" si="1">AL6-AM6</f>
        <v>1</v>
      </c>
      <c r="AO6" s="189"/>
      <c r="AP6" s="165"/>
      <c r="AQ6" s="315"/>
      <c r="AR6" s="316" t="s">
        <v>271</v>
      </c>
      <c r="AS6" s="127"/>
      <c r="AT6" s="128"/>
      <c r="AU6" s="129"/>
      <c r="AV6" s="130"/>
      <c r="AW6" s="75"/>
      <c r="AX6" s="317"/>
      <c r="AY6" s="317"/>
      <c r="AZ6" s="318"/>
      <c r="BA6" s="319"/>
      <c r="BB6" s="319"/>
      <c r="BC6" s="319"/>
    </row>
    <row r="7" spans="1:56" ht="28" customHeight="1" x14ac:dyDescent="0.25">
      <c r="A7" s="131">
        <v>2</v>
      </c>
      <c r="B7" s="132">
        <v>44985</v>
      </c>
      <c r="C7" s="77" t="s">
        <v>134</v>
      </c>
      <c r="D7" s="77" t="s">
        <v>135</v>
      </c>
      <c r="E7" s="77" t="s">
        <v>136</v>
      </c>
      <c r="F7" s="86" t="s">
        <v>128</v>
      </c>
      <c r="G7" s="103" t="s">
        <v>116</v>
      </c>
      <c r="H7" s="133" t="s">
        <v>110</v>
      </c>
      <c r="I7" s="103" t="s">
        <v>117</v>
      </c>
      <c r="J7" s="134" t="s">
        <v>118</v>
      </c>
      <c r="K7" s="238"/>
      <c r="L7" s="167" t="s">
        <v>119</v>
      </c>
      <c r="M7" s="140" t="s">
        <v>114</v>
      </c>
      <c r="N7" s="140"/>
      <c r="O7" s="140" t="s">
        <v>120</v>
      </c>
      <c r="P7" s="103" t="s">
        <v>115</v>
      </c>
      <c r="Q7" s="298" t="s">
        <v>121</v>
      </c>
      <c r="R7" s="181">
        <v>1</v>
      </c>
      <c r="S7" s="180">
        <f>0</f>
        <v>0</v>
      </c>
      <c r="T7" s="76">
        <f>0</f>
        <v>0</v>
      </c>
      <c r="U7" s="76">
        <f>0</f>
        <v>0</v>
      </c>
      <c r="V7" s="76">
        <f>0</f>
        <v>0</v>
      </c>
      <c r="W7" s="76">
        <f>0</f>
        <v>0</v>
      </c>
      <c r="X7" s="76">
        <f>0</f>
        <v>0</v>
      </c>
      <c r="Y7" s="76">
        <f>0</f>
        <v>0</v>
      </c>
      <c r="Z7" s="76">
        <f>0</f>
        <v>0</v>
      </c>
      <c r="AA7" s="183">
        <f>0</f>
        <v>0</v>
      </c>
      <c r="AB7" s="185">
        <f>0</f>
        <v>0</v>
      </c>
      <c r="AC7" s="76">
        <f>0</f>
        <v>0</v>
      </c>
      <c r="AD7" s="76">
        <f>0</f>
        <v>0</v>
      </c>
      <c r="AE7" s="76">
        <f>0</f>
        <v>0</v>
      </c>
      <c r="AF7" s="76">
        <f>0</f>
        <v>0</v>
      </c>
      <c r="AG7" s="76">
        <f>0</f>
        <v>0</v>
      </c>
      <c r="AH7" s="76">
        <f>0</f>
        <v>0</v>
      </c>
      <c r="AI7" s="76">
        <f>0</f>
        <v>0</v>
      </c>
      <c r="AJ7" s="76">
        <f>0</f>
        <v>0</v>
      </c>
      <c r="AK7" s="183">
        <f>0</f>
        <v>0</v>
      </c>
      <c r="AL7" s="206">
        <f t="shared" si="0"/>
        <v>1</v>
      </c>
      <c r="AM7" s="91">
        <f>0</f>
        <v>0</v>
      </c>
      <c r="AN7" s="207">
        <f t="shared" si="1"/>
        <v>1</v>
      </c>
      <c r="AO7" s="190">
        <v>45042</v>
      </c>
      <c r="AP7" s="105" t="s">
        <v>273</v>
      </c>
      <c r="AQ7" s="101" t="s">
        <v>277</v>
      </c>
      <c r="AR7" s="102" t="s">
        <v>276</v>
      </c>
      <c r="AS7" s="92"/>
      <c r="AT7" s="93"/>
      <c r="AU7" s="94">
        <v>1</v>
      </c>
      <c r="AV7" s="95"/>
      <c r="AW7" s="99" t="s">
        <v>457</v>
      </c>
      <c r="AX7" s="96"/>
      <c r="AY7" s="96"/>
      <c r="AZ7" s="80"/>
      <c r="BA7" s="81"/>
      <c r="BB7" s="81"/>
      <c r="BC7" s="81"/>
      <c r="BD7" s="64"/>
    </row>
    <row r="8" spans="1:56" ht="28" customHeight="1" x14ac:dyDescent="0.25">
      <c r="A8" s="309">
        <v>3</v>
      </c>
      <c r="B8" s="126">
        <v>44985</v>
      </c>
      <c r="C8" s="77" t="s">
        <v>134</v>
      </c>
      <c r="D8" s="77" t="s">
        <v>135</v>
      </c>
      <c r="E8" s="77" t="s">
        <v>136</v>
      </c>
      <c r="F8" s="164" t="s">
        <v>128</v>
      </c>
      <c r="G8" s="310" t="s">
        <v>122</v>
      </c>
      <c r="H8" s="311" t="s">
        <v>110</v>
      </c>
      <c r="I8" s="310" t="s">
        <v>123</v>
      </c>
      <c r="J8" s="321" t="s">
        <v>124</v>
      </c>
      <c r="K8" s="313"/>
      <c r="L8" s="313" t="s">
        <v>113</v>
      </c>
      <c r="M8" s="312" t="s">
        <v>272</v>
      </c>
      <c r="N8" s="312"/>
      <c r="O8" s="312" t="s">
        <v>1219</v>
      </c>
      <c r="P8" s="310" t="s">
        <v>115</v>
      </c>
      <c r="Q8" s="314"/>
      <c r="R8" s="181">
        <v>1</v>
      </c>
      <c r="S8" s="180">
        <f>0</f>
        <v>0</v>
      </c>
      <c r="T8" s="76">
        <f>0</f>
        <v>0</v>
      </c>
      <c r="U8" s="76">
        <f>0</f>
        <v>0</v>
      </c>
      <c r="V8" s="76">
        <f>0</f>
        <v>0</v>
      </c>
      <c r="W8" s="76">
        <f>0</f>
        <v>0</v>
      </c>
      <c r="X8" s="76">
        <f>0</f>
        <v>0</v>
      </c>
      <c r="Y8" s="76">
        <f>0</f>
        <v>0</v>
      </c>
      <c r="Z8" s="76">
        <f>0</f>
        <v>0</v>
      </c>
      <c r="AA8" s="183">
        <f>0</f>
        <v>0</v>
      </c>
      <c r="AB8" s="185">
        <f>0</f>
        <v>0</v>
      </c>
      <c r="AC8" s="76">
        <f>0</f>
        <v>0</v>
      </c>
      <c r="AD8" s="76">
        <f>0</f>
        <v>0</v>
      </c>
      <c r="AE8" s="76">
        <f>0</f>
        <v>0</v>
      </c>
      <c r="AF8" s="76">
        <f>0</f>
        <v>0</v>
      </c>
      <c r="AG8" s="76">
        <f>0</f>
        <v>0</v>
      </c>
      <c r="AH8" s="76">
        <f>0</f>
        <v>0</v>
      </c>
      <c r="AI8" s="76">
        <f>0</f>
        <v>0</v>
      </c>
      <c r="AJ8" s="76">
        <f>0</f>
        <v>0</v>
      </c>
      <c r="AK8" s="183">
        <f>0</f>
        <v>0</v>
      </c>
      <c r="AL8" s="206">
        <f t="shared" si="0"/>
        <v>1</v>
      </c>
      <c r="AM8" s="91">
        <f>0</f>
        <v>0</v>
      </c>
      <c r="AN8" s="207">
        <f t="shared" si="1"/>
        <v>1</v>
      </c>
      <c r="AO8" s="189"/>
      <c r="AP8" s="165"/>
      <c r="AQ8" s="316"/>
      <c r="AR8" s="316" t="s">
        <v>271</v>
      </c>
      <c r="AS8" s="127"/>
      <c r="AT8" s="128"/>
      <c r="AU8" s="129"/>
      <c r="AV8" s="130"/>
      <c r="AW8" s="128"/>
      <c r="AX8" s="317"/>
      <c r="AY8" s="317"/>
      <c r="AZ8" s="318"/>
      <c r="BA8" s="319"/>
      <c r="BB8" s="319"/>
      <c r="BC8" s="319"/>
    </row>
    <row r="9" spans="1:56" ht="28" customHeight="1" x14ac:dyDescent="0.25">
      <c r="A9" s="309">
        <v>4</v>
      </c>
      <c r="B9" s="126">
        <v>44985</v>
      </c>
      <c r="C9" s="77" t="s">
        <v>134</v>
      </c>
      <c r="D9" s="77" t="s">
        <v>135</v>
      </c>
      <c r="E9" s="77" t="s">
        <v>136</v>
      </c>
      <c r="F9" s="164" t="s">
        <v>128</v>
      </c>
      <c r="G9" s="310" t="s">
        <v>125</v>
      </c>
      <c r="H9" s="311" t="s">
        <v>110</v>
      </c>
      <c r="I9" s="310" t="s">
        <v>126</v>
      </c>
      <c r="J9" s="321" t="s">
        <v>127</v>
      </c>
      <c r="K9" s="313"/>
      <c r="L9" s="313" t="s">
        <v>113</v>
      </c>
      <c r="M9" s="312" t="s">
        <v>272</v>
      </c>
      <c r="N9" s="312"/>
      <c r="O9" s="312" t="s">
        <v>1219</v>
      </c>
      <c r="P9" s="310" t="s">
        <v>115</v>
      </c>
      <c r="Q9" s="314"/>
      <c r="R9" s="181">
        <v>1</v>
      </c>
      <c r="S9" s="180">
        <f>0</f>
        <v>0</v>
      </c>
      <c r="T9" s="76">
        <f>0</f>
        <v>0</v>
      </c>
      <c r="U9" s="76">
        <f>0</f>
        <v>0</v>
      </c>
      <c r="V9" s="76">
        <f>0</f>
        <v>0</v>
      </c>
      <c r="W9" s="76">
        <f>0</f>
        <v>0</v>
      </c>
      <c r="X9" s="76">
        <f>0</f>
        <v>0</v>
      </c>
      <c r="Y9" s="76">
        <f>0</f>
        <v>0</v>
      </c>
      <c r="Z9" s="76">
        <f>0</f>
        <v>0</v>
      </c>
      <c r="AA9" s="183">
        <f>0</f>
        <v>0</v>
      </c>
      <c r="AB9" s="185">
        <f>0</f>
        <v>0</v>
      </c>
      <c r="AC9" s="76">
        <f>0</f>
        <v>0</v>
      </c>
      <c r="AD9" s="76">
        <f>0</f>
        <v>0</v>
      </c>
      <c r="AE9" s="76">
        <f>0</f>
        <v>0</v>
      </c>
      <c r="AF9" s="76">
        <f>0</f>
        <v>0</v>
      </c>
      <c r="AG9" s="76">
        <f>0</f>
        <v>0</v>
      </c>
      <c r="AH9" s="76">
        <f>0</f>
        <v>0</v>
      </c>
      <c r="AI9" s="76">
        <f>0</f>
        <v>0</v>
      </c>
      <c r="AJ9" s="76">
        <f>0</f>
        <v>0</v>
      </c>
      <c r="AK9" s="183">
        <f>0</f>
        <v>0</v>
      </c>
      <c r="AL9" s="206">
        <f t="shared" si="0"/>
        <v>1</v>
      </c>
      <c r="AM9" s="91">
        <f>0</f>
        <v>0</v>
      </c>
      <c r="AN9" s="207">
        <f t="shared" si="1"/>
        <v>1</v>
      </c>
      <c r="AO9" s="189"/>
      <c r="AP9" s="165"/>
      <c r="AQ9" s="315"/>
      <c r="AR9" s="316" t="s">
        <v>271</v>
      </c>
      <c r="AS9" s="127"/>
      <c r="AT9" s="128"/>
      <c r="AU9" s="129"/>
      <c r="AV9" s="130"/>
      <c r="AW9" s="128"/>
      <c r="AX9" s="317"/>
      <c r="AY9" s="317"/>
      <c r="AZ9" s="318"/>
      <c r="BA9" s="319"/>
      <c r="BB9" s="319"/>
      <c r="BC9" s="319"/>
    </row>
    <row r="10" spans="1:56" ht="28" customHeight="1" x14ac:dyDescent="0.25">
      <c r="A10" s="173">
        <v>4</v>
      </c>
      <c r="B10" s="147">
        <v>45079</v>
      </c>
      <c r="C10" s="77" t="s">
        <v>134</v>
      </c>
      <c r="D10" s="77" t="s">
        <v>135</v>
      </c>
      <c r="E10" s="77" t="s">
        <v>136</v>
      </c>
      <c r="F10" s="168" t="s">
        <v>672</v>
      </c>
      <c r="G10" s="168" t="s">
        <v>767</v>
      </c>
      <c r="H10" s="168" t="s">
        <v>110</v>
      </c>
      <c r="I10" s="168" t="s">
        <v>117</v>
      </c>
      <c r="J10" s="175" t="s">
        <v>768</v>
      </c>
      <c r="K10" s="174"/>
      <c r="L10" s="174" t="s">
        <v>320</v>
      </c>
      <c r="M10" s="174" t="s">
        <v>80</v>
      </c>
      <c r="N10" s="174" t="s">
        <v>80</v>
      </c>
      <c r="O10" s="174" t="s">
        <v>155</v>
      </c>
      <c r="P10" s="171"/>
      <c r="Q10" s="299"/>
      <c r="R10" s="182">
        <f>0</f>
        <v>0</v>
      </c>
      <c r="S10" s="160"/>
      <c r="T10" s="87"/>
      <c r="U10" s="87"/>
      <c r="V10" s="87"/>
      <c r="W10" s="161">
        <v>2</v>
      </c>
      <c r="X10" s="87"/>
      <c r="Y10" s="87"/>
      <c r="Z10" s="87"/>
      <c r="AA10" s="184"/>
      <c r="AB10" s="186"/>
      <c r="AC10" s="87"/>
      <c r="AD10" s="87"/>
      <c r="AE10" s="87"/>
      <c r="AF10" s="87"/>
      <c r="AG10" s="87"/>
      <c r="AH10" s="87"/>
      <c r="AI10" s="87"/>
      <c r="AJ10" s="87"/>
      <c r="AK10" s="184"/>
      <c r="AL10" s="206">
        <f t="shared" si="0"/>
        <v>2</v>
      </c>
      <c r="AM10" s="91">
        <f>0</f>
        <v>0</v>
      </c>
      <c r="AN10" s="207">
        <f t="shared" si="1"/>
        <v>2</v>
      </c>
      <c r="AO10" s="194">
        <v>45082</v>
      </c>
      <c r="AP10" s="172" t="s">
        <v>273</v>
      </c>
      <c r="AQ10" s="171" t="s">
        <v>873</v>
      </c>
      <c r="AR10" s="171" t="s">
        <v>148</v>
      </c>
      <c r="AS10" s="159"/>
      <c r="AT10" s="153"/>
      <c r="AU10" s="154"/>
      <c r="AV10" s="154"/>
      <c r="AW10" s="154"/>
      <c r="AX10" s="155"/>
      <c r="AY10" s="156"/>
      <c r="AZ10" s="157"/>
      <c r="BA10" s="81"/>
      <c r="BB10" s="81"/>
      <c r="BC10" s="81"/>
    </row>
    <row r="11" spans="1:56" ht="28" customHeight="1" x14ac:dyDescent="0.25">
      <c r="A11" s="136">
        <v>5</v>
      </c>
      <c r="B11" s="137">
        <v>45036</v>
      </c>
      <c r="C11" s="77" t="s">
        <v>134</v>
      </c>
      <c r="D11" s="77" t="s">
        <v>135</v>
      </c>
      <c r="E11" s="77" t="s">
        <v>136</v>
      </c>
      <c r="F11" s="82" t="s">
        <v>210</v>
      </c>
      <c r="G11" s="89" t="s">
        <v>145</v>
      </c>
      <c r="H11" s="138" t="s">
        <v>110</v>
      </c>
      <c r="I11" s="89" t="s">
        <v>146</v>
      </c>
      <c r="J11" s="139" t="s">
        <v>1185</v>
      </c>
      <c r="K11" s="238" t="s">
        <v>145</v>
      </c>
      <c r="L11" s="238" t="s">
        <v>147</v>
      </c>
      <c r="M11" s="239" t="s">
        <v>148</v>
      </c>
      <c r="N11" s="239" t="s">
        <v>80</v>
      </c>
      <c r="O11" s="239" t="s">
        <v>149</v>
      </c>
      <c r="P11" s="89"/>
      <c r="Q11" s="300"/>
      <c r="R11" s="182">
        <f>0</f>
        <v>0</v>
      </c>
      <c r="S11" s="180">
        <f>0</f>
        <v>0</v>
      </c>
      <c r="T11" s="76">
        <f>0</f>
        <v>0</v>
      </c>
      <c r="U11" s="90">
        <v>4</v>
      </c>
      <c r="V11" s="76">
        <f>0</f>
        <v>0</v>
      </c>
      <c r="W11" s="76">
        <f>0</f>
        <v>0</v>
      </c>
      <c r="X11" s="76">
        <f>0</f>
        <v>0</v>
      </c>
      <c r="Y11" s="76">
        <f>0</f>
        <v>0</v>
      </c>
      <c r="Z11" s="76">
        <f>0</f>
        <v>0</v>
      </c>
      <c r="AA11" s="183">
        <f>0</f>
        <v>0</v>
      </c>
      <c r="AB11" s="185">
        <f>0</f>
        <v>0</v>
      </c>
      <c r="AC11" s="76">
        <f>0</f>
        <v>0</v>
      </c>
      <c r="AD11" s="76">
        <f>0</f>
        <v>0</v>
      </c>
      <c r="AE11" s="76">
        <f>0</f>
        <v>0</v>
      </c>
      <c r="AF11" s="76">
        <f>0</f>
        <v>0</v>
      </c>
      <c r="AG11" s="76">
        <f>0</f>
        <v>0</v>
      </c>
      <c r="AH11" s="76">
        <f>0</f>
        <v>0</v>
      </c>
      <c r="AI11" s="76">
        <f>0</f>
        <v>0</v>
      </c>
      <c r="AJ11" s="76">
        <f>0</f>
        <v>0</v>
      </c>
      <c r="AK11" s="183">
        <f>0</f>
        <v>0</v>
      </c>
      <c r="AL11" s="206">
        <f t="shared" si="0"/>
        <v>4</v>
      </c>
      <c r="AM11" s="91">
        <f>0</f>
        <v>0</v>
      </c>
      <c r="AN11" s="208">
        <f t="shared" si="1"/>
        <v>4</v>
      </c>
      <c r="AO11" s="191">
        <v>45042</v>
      </c>
      <c r="AP11" s="105" t="s">
        <v>273</v>
      </c>
      <c r="AQ11" s="97" t="s">
        <v>458</v>
      </c>
      <c r="AR11" s="108" t="s">
        <v>148</v>
      </c>
      <c r="AS11" s="92"/>
      <c r="AT11" s="93"/>
      <c r="AU11" s="94">
        <v>4</v>
      </c>
      <c r="AV11" s="95"/>
      <c r="AW11" s="99" t="s">
        <v>457</v>
      </c>
      <c r="AX11" s="96"/>
      <c r="AY11" s="96"/>
      <c r="AZ11" s="80"/>
      <c r="BA11" s="81"/>
      <c r="BB11" s="81"/>
      <c r="BC11" s="81"/>
    </row>
    <row r="12" spans="1:56" ht="28" customHeight="1" x14ac:dyDescent="0.25">
      <c r="A12" s="136">
        <v>6</v>
      </c>
      <c r="B12" s="137">
        <v>45036</v>
      </c>
      <c r="C12" s="77" t="s">
        <v>134</v>
      </c>
      <c r="D12" s="77" t="s">
        <v>135</v>
      </c>
      <c r="E12" s="77" t="s">
        <v>136</v>
      </c>
      <c r="F12" s="82" t="s">
        <v>210</v>
      </c>
      <c r="G12" s="89" t="s">
        <v>150</v>
      </c>
      <c r="H12" s="138" t="s">
        <v>110</v>
      </c>
      <c r="I12" s="89" t="s">
        <v>151</v>
      </c>
      <c r="J12" s="139" t="s">
        <v>152</v>
      </c>
      <c r="K12" s="238" t="s">
        <v>80</v>
      </c>
      <c r="L12" s="238" t="s">
        <v>153</v>
      </c>
      <c r="M12" s="239" t="s">
        <v>154</v>
      </c>
      <c r="N12" s="239" t="s">
        <v>80</v>
      </c>
      <c r="O12" s="239" t="s">
        <v>155</v>
      </c>
      <c r="P12" s="89"/>
      <c r="Q12" s="300"/>
      <c r="R12" s="182">
        <f>0</f>
        <v>0</v>
      </c>
      <c r="S12" s="180">
        <f>0</f>
        <v>0</v>
      </c>
      <c r="T12" s="76">
        <f>0</f>
        <v>0</v>
      </c>
      <c r="U12" s="90">
        <v>1</v>
      </c>
      <c r="V12" s="76">
        <f>0</f>
        <v>0</v>
      </c>
      <c r="W12" s="76">
        <f>0</f>
        <v>0</v>
      </c>
      <c r="X12" s="76">
        <f>0</f>
        <v>0</v>
      </c>
      <c r="Y12" s="76">
        <f>0</f>
        <v>0</v>
      </c>
      <c r="Z12" s="76">
        <f>0</f>
        <v>0</v>
      </c>
      <c r="AA12" s="183">
        <f>0</f>
        <v>0</v>
      </c>
      <c r="AB12" s="185">
        <f>0</f>
        <v>0</v>
      </c>
      <c r="AC12" s="76">
        <f>0</f>
        <v>0</v>
      </c>
      <c r="AD12" s="76">
        <f>0</f>
        <v>0</v>
      </c>
      <c r="AE12" s="76">
        <f>0</f>
        <v>0</v>
      </c>
      <c r="AF12" s="76">
        <f>0</f>
        <v>0</v>
      </c>
      <c r="AG12" s="76">
        <f>0</f>
        <v>0</v>
      </c>
      <c r="AH12" s="76">
        <f>0</f>
        <v>0</v>
      </c>
      <c r="AI12" s="76">
        <f>0</f>
        <v>0</v>
      </c>
      <c r="AJ12" s="76">
        <f>0</f>
        <v>0</v>
      </c>
      <c r="AK12" s="183">
        <f>0</f>
        <v>0</v>
      </c>
      <c r="AL12" s="206">
        <f t="shared" si="0"/>
        <v>1</v>
      </c>
      <c r="AM12" s="91">
        <f>0</f>
        <v>0</v>
      </c>
      <c r="AN12" s="208">
        <f t="shared" si="1"/>
        <v>1</v>
      </c>
      <c r="AO12" s="191">
        <v>45042</v>
      </c>
      <c r="AP12" s="105" t="s">
        <v>273</v>
      </c>
      <c r="AQ12" s="97" t="s">
        <v>458</v>
      </c>
      <c r="AR12" s="108" t="s">
        <v>148</v>
      </c>
      <c r="AS12" s="92"/>
      <c r="AT12" s="93"/>
      <c r="AU12" s="94">
        <v>1</v>
      </c>
      <c r="AV12" s="95"/>
      <c r="AW12" s="99" t="s">
        <v>457</v>
      </c>
      <c r="AX12" s="96"/>
      <c r="AY12" s="96"/>
      <c r="AZ12" s="80"/>
      <c r="BA12" s="81"/>
      <c r="BB12" s="81"/>
      <c r="BC12" s="81"/>
      <c r="BD12" s="64"/>
    </row>
    <row r="13" spans="1:56" ht="28" customHeight="1" x14ac:dyDescent="0.25">
      <c r="A13" s="136">
        <v>7</v>
      </c>
      <c r="B13" s="137">
        <v>45036</v>
      </c>
      <c r="C13" s="77" t="s">
        <v>134</v>
      </c>
      <c r="D13" s="77" t="s">
        <v>135</v>
      </c>
      <c r="E13" s="77" t="s">
        <v>136</v>
      </c>
      <c r="F13" s="82" t="s">
        <v>210</v>
      </c>
      <c r="G13" s="89" t="s">
        <v>156</v>
      </c>
      <c r="H13" s="138" t="s">
        <v>110</v>
      </c>
      <c r="I13" s="89" t="s">
        <v>157</v>
      </c>
      <c r="J13" s="139" t="s">
        <v>158</v>
      </c>
      <c r="K13" s="238" t="s">
        <v>80</v>
      </c>
      <c r="L13" s="238" t="s">
        <v>153</v>
      </c>
      <c r="M13" s="239" t="s">
        <v>154</v>
      </c>
      <c r="N13" s="239" t="s">
        <v>80</v>
      </c>
      <c r="O13" s="239" t="s">
        <v>155</v>
      </c>
      <c r="P13" s="89"/>
      <c r="Q13" s="300"/>
      <c r="R13" s="182">
        <f>0</f>
        <v>0</v>
      </c>
      <c r="S13" s="180">
        <f>0</f>
        <v>0</v>
      </c>
      <c r="T13" s="76">
        <f>0</f>
        <v>0</v>
      </c>
      <c r="U13" s="90">
        <v>1</v>
      </c>
      <c r="V13" s="76">
        <f>0</f>
        <v>0</v>
      </c>
      <c r="W13" s="76">
        <f>0</f>
        <v>0</v>
      </c>
      <c r="X13" s="76">
        <f>0</f>
        <v>0</v>
      </c>
      <c r="Y13" s="76">
        <f>0</f>
        <v>0</v>
      </c>
      <c r="Z13" s="76">
        <f>0</f>
        <v>0</v>
      </c>
      <c r="AA13" s="183">
        <f>0</f>
        <v>0</v>
      </c>
      <c r="AB13" s="185">
        <f>0</f>
        <v>0</v>
      </c>
      <c r="AC13" s="76">
        <f>0</f>
        <v>0</v>
      </c>
      <c r="AD13" s="76">
        <f>0</f>
        <v>0</v>
      </c>
      <c r="AE13" s="76">
        <f>0</f>
        <v>0</v>
      </c>
      <c r="AF13" s="76">
        <f>0</f>
        <v>0</v>
      </c>
      <c r="AG13" s="76">
        <f>0</f>
        <v>0</v>
      </c>
      <c r="AH13" s="76">
        <f>0</f>
        <v>0</v>
      </c>
      <c r="AI13" s="76">
        <f>0</f>
        <v>0</v>
      </c>
      <c r="AJ13" s="76">
        <f>0</f>
        <v>0</v>
      </c>
      <c r="AK13" s="183">
        <f>0</f>
        <v>0</v>
      </c>
      <c r="AL13" s="206">
        <f t="shared" si="0"/>
        <v>1</v>
      </c>
      <c r="AM13" s="91">
        <f>0</f>
        <v>0</v>
      </c>
      <c r="AN13" s="208">
        <f t="shared" si="1"/>
        <v>1</v>
      </c>
      <c r="AO13" s="191">
        <v>45042</v>
      </c>
      <c r="AP13" s="105" t="s">
        <v>273</v>
      </c>
      <c r="AQ13" s="97" t="s">
        <v>458</v>
      </c>
      <c r="AR13" s="108" t="s">
        <v>148</v>
      </c>
      <c r="AS13" s="92"/>
      <c r="AT13" s="93"/>
      <c r="AU13" s="94"/>
      <c r="AV13" s="95"/>
      <c r="AW13" s="99" t="s">
        <v>457</v>
      </c>
      <c r="AX13" s="96"/>
      <c r="AY13" s="96"/>
      <c r="AZ13" s="80"/>
      <c r="BA13" s="81"/>
      <c r="BB13" s="81"/>
      <c r="BC13" s="81"/>
    </row>
    <row r="14" spans="1:56" ht="28" customHeight="1" x14ac:dyDescent="0.25">
      <c r="A14" s="136">
        <v>8</v>
      </c>
      <c r="B14" s="137">
        <v>45036</v>
      </c>
      <c r="C14" s="77" t="s">
        <v>134</v>
      </c>
      <c r="D14" s="77" t="s">
        <v>135</v>
      </c>
      <c r="E14" s="77" t="s">
        <v>136</v>
      </c>
      <c r="F14" s="82" t="s">
        <v>210</v>
      </c>
      <c r="G14" s="89" t="s">
        <v>159</v>
      </c>
      <c r="H14" s="138" t="s">
        <v>110</v>
      </c>
      <c r="I14" s="89" t="s">
        <v>160</v>
      </c>
      <c r="J14" s="139" t="s">
        <v>161</v>
      </c>
      <c r="K14" s="238" t="s">
        <v>80</v>
      </c>
      <c r="L14" s="238" t="s">
        <v>153</v>
      </c>
      <c r="M14" s="239" t="s">
        <v>154</v>
      </c>
      <c r="N14" s="239" t="s">
        <v>80</v>
      </c>
      <c r="O14" s="239" t="s">
        <v>155</v>
      </c>
      <c r="P14" s="89"/>
      <c r="Q14" s="300"/>
      <c r="R14" s="182">
        <f>0</f>
        <v>0</v>
      </c>
      <c r="S14" s="180">
        <f>0</f>
        <v>0</v>
      </c>
      <c r="T14" s="76">
        <f>0</f>
        <v>0</v>
      </c>
      <c r="U14" s="90">
        <v>1</v>
      </c>
      <c r="V14" s="76">
        <f>0</f>
        <v>0</v>
      </c>
      <c r="W14" s="76">
        <f>0</f>
        <v>0</v>
      </c>
      <c r="X14" s="76">
        <f>0</f>
        <v>0</v>
      </c>
      <c r="Y14" s="76">
        <f>0</f>
        <v>0</v>
      </c>
      <c r="Z14" s="76">
        <f>0</f>
        <v>0</v>
      </c>
      <c r="AA14" s="183">
        <f>0</f>
        <v>0</v>
      </c>
      <c r="AB14" s="185">
        <f>0</f>
        <v>0</v>
      </c>
      <c r="AC14" s="76">
        <f>0</f>
        <v>0</v>
      </c>
      <c r="AD14" s="76">
        <f>0</f>
        <v>0</v>
      </c>
      <c r="AE14" s="76">
        <f>0</f>
        <v>0</v>
      </c>
      <c r="AF14" s="76">
        <f>0</f>
        <v>0</v>
      </c>
      <c r="AG14" s="76">
        <f>0</f>
        <v>0</v>
      </c>
      <c r="AH14" s="76">
        <f>0</f>
        <v>0</v>
      </c>
      <c r="AI14" s="76">
        <f>0</f>
        <v>0</v>
      </c>
      <c r="AJ14" s="76">
        <f>0</f>
        <v>0</v>
      </c>
      <c r="AK14" s="183">
        <f>0</f>
        <v>0</v>
      </c>
      <c r="AL14" s="206">
        <f t="shared" si="0"/>
        <v>1</v>
      </c>
      <c r="AM14" s="91">
        <f>0</f>
        <v>0</v>
      </c>
      <c r="AN14" s="208">
        <f t="shared" si="1"/>
        <v>1</v>
      </c>
      <c r="AO14" s="191">
        <v>45042</v>
      </c>
      <c r="AP14" s="105" t="s">
        <v>273</v>
      </c>
      <c r="AQ14" s="97" t="s">
        <v>458</v>
      </c>
      <c r="AR14" s="108" t="s">
        <v>148</v>
      </c>
      <c r="AS14" s="92"/>
      <c r="AT14" s="93"/>
      <c r="AU14" s="94"/>
      <c r="AV14" s="95"/>
      <c r="AW14" s="99" t="s">
        <v>457</v>
      </c>
      <c r="AX14" s="96"/>
      <c r="AY14" s="96"/>
      <c r="AZ14" s="80"/>
      <c r="BA14" s="81"/>
      <c r="BB14" s="81"/>
      <c r="BC14" s="81"/>
    </row>
    <row r="15" spans="1:56" ht="28" customHeight="1" x14ac:dyDescent="0.25">
      <c r="A15" s="136">
        <v>9</v>
      </c>
      <c r="B15" s="137">
        <v>45036</v>
      </c>
      <c r="C15" s="77" t="s">
        <v>134</v>
      </c>
      <c r="D15" s="77" t="s">
        <v>135</v>
      </c>
      <c r="E15" s="77" t="s">
        <v>136</v>
      </c>
      <c r="F15" s="82" t="s">
        <v>210</v>
      </c>
      <c r="G15" s="89" t="s">
        <v>162</v>
      </c>
      <c r="H15" s="138" t="s">
        <v>110</v>
      </c>
      <c r="I15" s="89" t="s">
        <v>163</v>
      </c>
      <c r="J15" s="139" t="s">
        <v>164</v>
      </c>
      <c r="K15" s="238" t="s">
        <v>80</v>
      </c>
      <c r="L15" s="238" t="s">
        <v>153</v>
      </c>
      <c r="M15" s="239" t="s">
        <v>154</v>
      </c>
      <c r="N15" s="239" t="s">
        <v>80</v>
      </c>
      <c r="O15" s="239" t="s">
        <v>155</v>
      </c>
      <c r="P15" s="89"/>
      <c r="Q15" s="300"/>
      <c r="R15" s="182">
        <f>0</f>
        <v>0</v>
      </c>
      <c r="S15" s="180">
        <f>0</f>
        <v>0</v>
      </c>
      <c r="T15" s="76">
        <f>0</f>
        <v>0</v>
      </c>
      <c r="U15" s="90">
        <v>1</v>
      </c>
      <c r="V15" s="76">
        <f>0</f>
        <v>0</v>
      </c>
      <c r="W15" s="76">
        <f>0</f>
        <v>0</v>
      </c>
      <c r="X15" s="76">
        <f>0</f>
        <v>0</v>
      </c>
      <c r="Y15" s="76">
        <f>0</f>
        <v>0</v>
      </c>
      <c r="Z15" s="76">
        <f>0</f>
        <v>0</v>
      </c>
      <c r="AA15" s="183">
        <f>0</f>
        <v>0</v>
      </c>
      <c r="AB15" s="185">
        <f>0</f>
        <v>0</v>
      </c>
      <c r="AC15" s="76">
        <f>0</f>
        <v>0</v>
      </c>
      <c r="AD15" s="76">
        <f>0</f>
        <v>0</v>
      </c>
      <c r="AE15" s="76">
        <f>0</f>
        <v>0</v>
      </c>
      <c r="AF15" s="76">
        <f>0</f>
        <v>0</v>
      </c>
      <c r="AG15" s="76">
        <f>0</f>
        <v>0</v>
      </c>
      <c r="AH15" s="76">
        <f>0</f>
        <v>0</v>
      </c>
      <c r="AI15" s="76">
        <f>0</f>
        <v>0</v>
      </c>
      <c r="AJ15" s="76">
        <f>0</f>
        <v>0</v>
      </c>
      <c r="AK15" s="183">
        <f>0</f>
        <v>0</v>
      </c>
      <c r="AL15" s="206">
        <f t="shared" si="0"/>
        <v>1</v>
      </c>
      <c r="AM15" s="91">
        <f>0</f>
        <v>0</v>
      </c>
      <c r="AN15" s="208">
        <f t="shared" si="1"/>
        <v>1</v>
      </c>
      <c r="AO15" s="191">
        <v>45042</v>
      </c>
      <c r="AP15" s="105" t="s">
        <v>273</v>
      </c>
      <c r="AQ15" s="97" t="s">
        <v>458</v>
      </c>
      <c r="AR15" s="108" t="s">
        <v>148</v>
      </c>
      <c r="AS15" s="92"/>
      <c r="AT15" s="93"/>
      <c r="AU15" s="94"/>
      <c r="AV15" s="95"/>
      <c r="AW15" s="99" t="s">
        <v>457</v>
      </c>
      <c r="AX15" s="96"/>
      <c r="AY15" s="96"/>
      <c r="AZ15" s="80"/>
      <c r="BA15" s="81"/>
      <c r="BB15" s="81"/>
      <c r="BC15" s="81"/>
    </row>
    <row r="16" spans="1:56" ht="28" customHeight="1" x14ac:dyDescent="0.25">
      <c r="A16" s="136">
        <v>10</v>
      </c>
      <c r="B16" s="137">
        <v>45036</v>
      </c>
      <c r="C16" s="77" t="s">
        <v>134</v>
      </c>
      <c r="D16" s="77" t="s">
        <v>135</v>
      </c>
      <c r="E16" s="77" t="s">
        <v>136</v>
      </c>
      <c r="F16" s="82" t="s">
        <v>210</v>
      </c>
      <c r="G16" s="89" t="s">
        <v>165</v>
      </c>
      <c r="H16" s="138" t="s">
        <v>110</v>
      </c>
      <c r="I16" s="89" t="s">
        <v>166</v>
      </c>
      <c r="J16" s="139" t="s">
        <v>167</v>
      </c>
      <c r="K16" s="238" t="s">
        <v>80</v>
      </c>
      <c r="L16" s="238" t="s">
        <v>168</v>
      </c>
      <c r="M16" s="239" t="s">
        <v>154</v>
      </c>
      <c r="N16" s="239" t="s">
        <v>212</v>
      </c>
      <c r="O16" s="239" t="s">
        <v>149</v>
      </c>
      <c r="P16" s="89"/>
      <c r="Q16" s="300"/>
      <c r="R16" s="182">
        <f>0</f>
        <v>0</v>
      </c>
      <c r="S16" s="180">
        <f>0</f>
        <v>0</v>
      </c>
      <c r="T16" s="76">
        <f>0</f>
        <v>0</v>
      </c>
      <c r="U16" s="90">
        <v>1</v>
      </c>
      <c r="V16" s="76">
        <f>0</f>
        <v>0</v>
      </c>
      <c r="W16" s="76">
        <f>0</f>
        <v>0</v>
      </c>
      <c r="X16" s="76">
        <f>0</f>
        <v>0</v>
      </c>
      <c r="Y16" s="76">
        <f>0</f>
        <v>0</v>
      </c>
      <c r="Z16" s="76">
        <f>0</f>
        <v>0</v>
      </c>
      <c r="AA16" s="183">
        <f>0</f>
        <v>0</v>
      </c>
      <c r="AB16" s="185">
        <f>0</f>
        <v>0</v>
      </c>
      <c r="AC16" s="76">
        <f>0</f>
        <v>0</v>
      </c>
      <c r="AD16" s="76">
        <f>0</f>
        <v>0</v>
      </c>
      <c r="AE16" s="76">
        <f>0</f>
        <v>0</v>
      </c>
      <c r="AF16" s="76">
        <f>0</f>
        <v>0</v>
      </c>
      <c r="AG16" s="76">
        <f>0</f>
        <v>0</v>
      </c>
      <c r="AH16" s="76">
        <f>0</f>
        <v>0</v>
      </c>
      <c r="AI16" s="76">
        <f>0</f>
        <v>0</v>
      </c>
      <c r="AJ16" s="76">
        <f>0</f>
        <v>0</v>
      </c>
      <c r="AK16" s="183">
        <f>0</f>
        <v>0</v>
      </c>
      <c r="AL16" s="206">
        <f t="shared" si="0"/>
        <v>1</v>
      </c>
      <c r="AM16" s="91">
        <f>0</f>
        <v>0</v>
      </c>
      <c r="AN16" s="208">
        <f t="shared" si="1"/>
        <v>1</v>
      </c>
      <c r="AO16" s="191">
        <v>45042</v>
      </c>
      <c r="AP16" s="105" t="s">
        <v>273</v>
      </c>
      <c r="AQ16" s="97" t="s">
        <v>458</v>
      </c>
      <c r="AR16" s="108" t="s">
        <v>148</v>
      </c>
      <c r="AS16" s="92"/>
      <c r="AT16" s="93"/>
      <c r="AU16" s="94">
        <v>1</v>
      </c>
      <c r="AV16" s="95"/>
      <c r="AW16" s="99" t="s">
        <v>457</v>
      </c>
      <c r="AX16" s="96"/>
      <c r="AY16" s="96"/>
      <c r="AZ16" s="80"/>
      <c r="BA16" s="81"/>
      <c r="BB16" s="81"/>
      <c r="BC16" s="81"/>
    </row>
    <row r="17" spans="1:55" ht="28" customHeight="1" x14ac:dyDescent="0.25">
      <c r="A17" s="136">
        <v>11</v>
      </c>
      <c r="B17" s="137">
        <v>45036</v>
      </c>
      <c r="C17" s="77" t="s">
        <v>134</v>
      </c>
      <c r="D17" s="77" t="s">
        <v>135</v>
      </c>
      <c r="E17" s="77" t="s">
        <v>136</v>
      </c>
      <c r="F17" s="82" t="s">
        <v>210</v>
      </c>
      <c r="G17" s="89" t="s">
        <v>169</v>
      </c>
      <c r="H17" s="138" t="s">
        <v>110</v>
      </c>
      <c r="I17" s="89" t="s">
        <v>170</v>
      </c>
      <c r="J17" s="139" t="s">
        <v>171</v>
      </c>
      <c r="K17" s="238" t="s">
        <v>80</v>
      </c>
      <c r="L17" s="238" t="s">
        <v>168</v>
      </c>
      <c r="M17" s="239" t="s">
        <v>154</v>
      </c>
      <c r="N17" s="239" t="s">
        <v>172</v>
      </c>
      <c r="O17" s="239" t="s">
        <v>149</v>
      </c>
      <c r="P17" s="103"/>
      <c r="Q17" s="301"/>
      <c r="R17" s="182">
        <f>0</f>
        <v>0</v>
      </c>
      <c r="S17" s="180">
        <f>0</f>
        <v>0</v>
      </c>
      <c r="T17" s="76">
        <f>0</f>
        <v>0</v>
      </c>
      <c r="U17" s="90">
        <v>1</v>
      </c>
      <c r="V17" s="76">
        <f>0</f>
        <v>0</v>
      </c>
      <c r="W17" s="76">
        <f>0</f>
        <v>0</v>
      </c>
      <c r="X17" s="76">
        <f>0</f>
        <v>0</v>
      </c>
      <c r="Y17" s="76">
        <f>0</f>
        <v>0</v>
      </c>
      <c r="Z17" s="76">
        <f>0</f>
        <v>0</v>
      </c>
      <c r="AA17" s="183">
        <f>0</f>
        <v>0</v>
      </c>
      <c r="AB17" s="185">
        <f>0</f>
        <v>0</v>
      </c>
      <c r="AC17" s="76">
        <f>0</f>
        <v>0</v>
      </c>
      <c r="AD17" s="76">
        <f>0</f>
        <v>0</v>
      </c>
      <c r="AE17" s="76"/>
      <c r="AF17" s="76"/>
      <c r="AG17" s="76"/>
      <c r="AH17" s="76"/>
      <c r="AI17" s="76"/>
      <c r="AJ17" s="76"/>
      <c r="AK17" s="183"/>
      <c r="AL17" s="206">
        <f t="shared" si="0"/>
        <v>1</v>
      </c>
      <c r="AM17" s="91">
        <f>0</f>
        <v>0</v>
      </c>
      <c r="AN17" s="208">
        <f t="shared" si="1"/>
        <v>1</v>
      </c>
      <c r="AO17" s="192">
        <v>45057</v>
      </c>
      <c r="AP17" s="105" t="s">
        <v>273</v>
      </c>
      <c r="AQ17" s="97" t="s">
        <v>459</v>
      </c>
      <c r="AR17" s="108" t="s">
        <v>148</v>
      </c>
      <c r="AS17" s="98"/>
      <c r="AT17" s="99"/>
      <c r="AU17" s="99">
        <v>1</v>
      </c>
      <c r="AV17" s="105"/>
      <c r="AW17" s="99" t="s">
        <v>457</v>
      </c>
      <c r="AX17" s="100"/>
      <c r="AY17" s="100"/>
      <c r="AZ17" s="107"/>
      <c r="BA17" s="81"/>
      <c r="BB17" s="81"/>
      <c r="BC17" s="81"/>
    </row>
    <row r="18" spans="1:55" ht="28" customHeight="1" x14ac:dyDescent="0.25">
      <c r="A18" s="136">
        <v>12</v>
      </c>
      <c r="B18" s="137">
        <v>45036</v>
      </c>
      <c r="C18" s="77" t="s">
        <v>134</v>
      </c>
      <c r="D18" s="77" t="s">
        <v>135</v>
      </c>
      <c r="E18" s="77" t="s">
        <v>136</v>
      </c>
      <c r="F18" s="82" t="s">
        <v>210</v>
      </c>
      <c r="G18" s="89" t="s">
        <v>173</v>
      </c>
      <c r="H18" s="138" t="s">
        <v>110</v>
      </c>
      <c r="I18" s="89" t="s">
        <v>174</v>
      </c>
      <c r="J18" s="139" t="s">
        <v>175</v>
      </c>
      <c r="K18" s="238"/>
      <c r="L18" s="238" t="s">
        <v>168</v>
      </c>
      <c r="M18" s="239" t="s">
        <v>154</v>
      </c>
      <c r="N18" s="239" t="s">
        <v>80</v>
      </c>
      <c r="O18" s="239" t="s">
        <v>149</v>
      </c>
      <c r="P18" s="103"/>
      <c r="Q18" s="301"/>
      <c r="R18" s="182">
        <f>0</f>
        <v>0</v>
      </c>
      <c r="S18" s="180">
        <f>0</f>
        <v>0</v>
      </c>
      <c r="T18" s="76">
        <f>0</f>
        <v>0</v>
      </c>
      <c r="U18" s="90">
        <v>1</v>
      </c>
      <c r="V18" s="76">
        <f>0</f>
        <v>0</v>
      </c>
      <c r="W18" s="76">
        <f>0</f>
        <v>0</v>
      </c>
      <c r="X18" s="76">
        <f>0</f>
        <v>0</v>
      </c>
      <c r="Y18" s="76">
        <f>0</f>
        <v>0</v>
      </c>
      <c r="Z18" s="76">
        <f>0</f>
        <v>0</v>
      </c>
      <c r="AA18" s="183">
        <f>0</f>
        <v>0</v>
      </c>
      <c r="AB18" s="185">
        <f>0</f>
        <v>0</v>
      </c>
      <c r="AC18" s="76">
        <f>0</f>
        <v>0</v>
      </c>
      <c r="AD18" s="76">
        <f>0</f>
        <v>0</v>
      </c>
      <c r="AE18" s="76"/>
      <c r="AF18" s="76"/>
      <c r="AG18" s="76"/>
      <c r="AH18" s="76"/>
      <c r="AI18" s="76"/>
      <c r="AJ18" s="76"/>
      <c r="AK18" s="183"/>
      <c r="AL18" s="206">
        <f t="shared" si="0"/>
        <v>1</v>
      </c>
      <c r="AM18" s="91">
        <f>0</f>
        <v>0</v>
      </c>
      <c r="AN18" s="208">
        <f t="shared" si="1"/>
        <v>1</v>
      </c>
      <c r="AO18" s="192">
        <v>45057</v>
      </c>
      <c r="AP18" s="105" t="s">
        <v>273</v>
      </c>
      <c r="AQ18" s="97" t="s">
        <v>459</v>
      </c>
      <c r="AR18" s="108" t="s">
        <v>148</v>
      </c>
      <c r="AS18" s="98"/>
      <c r="AT18" s="99"/>
      <c r="AU18" s="99">
        <v>1</v>
      </c>
      <c r="AV18" s="105"/>
      <c r="AW18" s="99" t="s">
        <v>457</v>
      </c>
      <c r="AX18" s="100"/>
      <c r="AY18" s="100"/>
      <c r="AZ18" s="107"/>
      <c r="BA18" s="81"/>
      <c r="BB18" s="81"/>
      <c r="BC18" s="81"/>
    </row>
    <row r="19" spans="1:55" ht="28" customHeight="1" x14ac:dyDescent="0.25">
      <c r="A19" s="136">
        <v>13</v>
      </c>
      <c r="B19" s="137">
        <v>45036</v>
      </c>
      <c r="C19" s="77" t="s">
        <v>134</v>
      </c>
      <c r="D19" s="77" t="s">
        <v>135</v>
      </c>
      <c r="E19" s="77" t="s">
        <v>136</v>
      </c>
      <c r="F19" s="82" t="s">
        <v>210</v>
      </c>
      <c r="G19" s="89" t="s">
        <v>176</v>
      </c>
      <c r="H19" s="138" t="s">
        <v>110</v>
      </c>
      <c r="I19" s="89" t="s">
        <v>177</v>
      </c>
      <c r="J19" s="139" t="s">
        <v>178</v>
      </c>
      <c r="K19" s="238" t="s">
        <v>80</v>
      </c>
      <c r="L19" s="238" t="s">
        <v>168</v>
      </c>
      <c r="M19" s="239" t="s">
        <v>154</v>
      </c>
      <c r="N19" s="239" t="s">
        <v>80</v>
      </c>
      <c r="O19" s="239" t="s">
        <v>149</v>
      </c>
      <c r="P19" s="103"/>
      <c r="Q19" s="134"/>
      <c r="R19" s="182">
        <f>0</f>
        <v>0</v>
      </c>
      <c r="S19" s="76">
        <f>0</f>
        <v>0</v>
      </c>
      <c r="T19" s="76">
        <f>0</f>
        <v>0</v>
      </c>
      <c r="U19" s="90">
        <v>2</v>
      </c>
      <c r="V19" s="76">
        <f>0</f>
        <v>0</v>
      </c>
      <c r="W19" s="76">
        <f>0</f>
        <v>0</v>
      </c>
      <c r="X19" s="76">
        <f>0</f>
        <v>0</v>
      </c>
      <c r="Y19" s="76">
        <f>0</f>
        <v>0</v>
      </c>
      <c r="Z19" s="76">
        <f>0</f>
        <v>0</v>
      </c>
      <c r="AA19" s="183">
        <f>0</f>
        <v>0</v>
      </c>
      <c r="AB19" s="185">
        <f>0</f>
        <v>0</v>
      </c>
      <c r="AC19" s="76">
        <f>0</f>
        <v>0</v>
      </c>
      <c r="AD19" s="76">
        <f>0</f>
        <v>0</v>
      </c>
      <c r="AE19" s="76"/>
      <c r="AF19" s="76"/>
      <c r="AG19" s="76"/>
      <c r="AH19" s="76"/>
      <c r="AI19" s="76"/>
      <c r="AJ19" s="76"/>
      <c r="AK19" s="183"/>
      <c r="AL19" s="206">
        <f t="shared" si="0"/>
        <v>2</v>
      </c>
      <c r="AM19" s="91">
        <f>0</f>
        <v>0</v>
      </c>
      <c r="AN19" s="208">
        <f t="shared" si="1"/>
        <v>2</v>
      </c>
      <c r="AO19" s="192">
        <v>45057</v>
      </c>
      <c r="AP19" s="105" t="s">
        <v>273</v>
      </c>
      <c r="AQ19" s="97" t="s">
        <v>459</v>
      </c>
      <c r="AR19" s="108" t="s">
        <v>148</v>
      </c>
      <c r="AS19" s="98"/>
      <c r="AT19" s="99"/>
      <c r="AU19" s="99">
        <v>2</v>
      </c>
      <c r="AV19" s="105"/>
      <c r="AW19" s="99" t="s">
        <v>457</v>
      </c>
      <c r="AX19" s="100"/>
      <c r="AY19" s="100"/>
      <c r="AZ19" s="107"/>
      <c r="BA19" s="81"/>
      <c r="BB19" s="81"/>
      <c r="BC19" s="81"/>
    </row>
    <row r="20" spans="1:55" ht="28" customHeight="1" x14ac:dyDescent="0.25">
      <c r="A20" s="136">
        <v>14</v>
      </c>
      <c r="B20" s="137">
        <v>45036</v>
      </c>
      <c r="C20" s="77" t="s">
        <v>134</v>
      </c>
      <c r="D20" s="77" t="s">
        <v>135</v>
      </c>
      <c r="E20" s="77" t="s">
        <v>136</v>
      </c>
      <c r="F20" s="82" t="s">
        <v>210</v>
      </c>
      <c r="G20" s="89" t="s">
        <v>179</v>
      </c>
      <c r="H20" s="138" t="s">
        <v>110</v>
      </c>
      <c r="I20" s="89" t="s">
        <v>213</v>
      </c>
      <c r="J20" s="139" t="s">
        <v>180</v>
      </c>
      <c r="K20" s="238" t="s">
        <v>80</v>
      </c>
      <c r="L20" s="238" t="s">
        <v>168</v>
      </c>
      <c r="M20" s="239" t="s">
        <v>154</v>
      </c>
      <c r="N20" s="239" t="s">
        <v>80</v>
      </c>
      <c r="O20" s="239" t="s">
        <v>149</v>
      </c>
      <c r="P20" s="103"/>
      <c r="Q20" s="134"/>
      <c r="R20" s="182">
        <f>0</f>
        <v>0</v>
      </c>
      <c r="S20" s="76">
        <f>0</f>
        <v>0</v>
      </c>
      <c r="T20" s="76">
        <f>0</f>
        <v>0</v>
      </c>
      <c r="U20" s="90">
        <v>1</v>
      </c>
      <c r="V20" s="76">
        <f>0</f>
        <v>0</v>
      </c>
      <c r="W20" s="76">
        <f>0</f>
        <v>0</v>
      </c>
      <c r="X20" s="76">
        <f>0</f>
        <v>0</v>
      </c>
      <c r="Y20" s="76">
        <f>0</f>
        <v>0</v>
      </c>
      <c r="Z20" s="76">
        <f>0</f>
        <v>0</v>
      </c>
      <c r="AA20" s="183">
        <f>0</f>
        <v>0</v>
      </c>
      <c r="AB20" s="185">
        <f>0</f>
        <v>0</v>
      </c>
      <c r="AC20" s="76">
        <f>0</f>
        <v>0</v>
      </c>
      <c r="AD20" s="76">
        <f>0</f>
        <v>0</v>
      </c>
      <c r="AE20" s="76"/>
      <c r="AF20" s="76"/>
      <c r="AG20" s="76"/>
      <c r="AH20" s="76"/>
      <c r="AI20" s="76"/>
      <c r="AJ20" s="76"/>
      <c r="AK20" s="183"/>
      <c r="AL20" s="206">
        <f t="shared" si="0"/>
        <v>1</v>
      </c>
      <c r="AM20" s="91">
        <f>0</f>
        <v>0</v>
      </c>
      <c r="AN20" s="208">
        <f t="shared" si="1"/>
        <v>1</v>
      </c>
      <c r="AO20" s="191">
        <v>45042</v>
      </c>
      <c r="AP20" s="105" t="s">
        <v>273</v>
      </c>
      <c r="AQ20" s="97" t="s">
        <v>458</v>
      </c>
      <c r="AR20" s="108" t="s">
        <v>148</v>
      </c>
      <c r="AS20" s="98"/>
      <c r="AT20" s="99"/>
      <c r="AU20" s="99">
        <v>1</v>
      </c>
      <c r="AV20" s="105"/>
      <c r="AW20" s="99" t="s">
        <v>457</v>
      </c>
      <c r="AX20" s="100"/>
      <c r="AY20" s="100"/>
      <c r="AZ20" s="107"/>
      <c r="BA20" s="81"/>
      <c r="BB20" s="81"/>
      <c r="BC20" s="81"/>
    </row>
    <row r="21" spans="1:55" ht="28" customHeight="1" x14ac:dyDescent="0.25">
      <c r="A21" s="136">
        <v>15</v>
      </c>
      <c r="B21" s="137">
        <v>45036</v>
      </c>
      <c r="C21" s="77" t="s">
        <v>134</v>
      </c>
      <c r="D21" s="77" t="s">
        <v>135</v>
      </c>
      <c r="E21" s="77" t="s">
        <v>136</v>
      </c>
      <c r="F21" s="82" t="s">
        <v>210</v>
      </c>
      <c r="G21" s="89" t="s">
        <v>181</v>
      </c>
      <c r="H21" s="138" t="s">
        <v>110</v>
      </c>
      <c r="I21" s="89" t="s">
        <v>182</v>
      </c>
      <c r="J21" s="139" t="s">
        <v>183</v>
      </c>
      <c r="K21" s="238" t="s">
        <v>80</v>
      </c>
      <c r="L21" s="238" t="s">
        <v>168</v>
      </c>
      <c r="M21" s="239" t="s">
        <v>154</v>
      </c>
      <c r="N21" s="239" t="s">
        <v>80</v>
      </c>
      <c r="O21" s="239" t="s">
        <v>149</v>
      </c>
      <c r="P21" s="103"/>
      <c r="Q21" s="134"/>
      <c r="R21" s="182">
        <f>0</f>
        <v>0</v>
      </c>
      <c r="S21" s="76">
        <f>0</f>
        <v>0</v>
      </c>
      <c r="T21" s="76">
        <f>0</f>
        <v>0</v>
      </c>
      <c r="U21" s="90">
        <v>1</v>
      </c>
      <c r="V21" s="76">
        <f>0</f>
        <v>0</v>
      </c>
      <c r="W21" s="76">
        <f>0</f>
        <v>0</v>
      </c>
      <c r="X21" s="76">
        <f>0</f>
        <v>0</v>
      </c>
      <c r="Y21" s="76">
        <f>0</f>
        <v>0</v>
      </c>
      <c r="Z21" s="76">
        <f>0</f>
        <v>0</v>
      </c>
      <c r="AA21" s="183">
        <f>0</f>
        <v>0</v>
      </c>
      <c r="AB21" s="185">
        <f>0</f>
        <v>0</v>
      </c>
      <c r="AC21" s="76">
        <f>0</f>
        <v>0</v>
      </c>
      <c r="AD21" s="76">
        <f>0</f>
        <v>0</v>
      </c>
      <c r="AE21" s="76"/>
      <c r="AF21" s="76"/>
      <c r="AG21" s="76"/>
      <c r="AH21" s="76"/>
      <c r="AI21" s="76"/>
      <c r="AJ21" s="76"/>
      <c r="AK21" s="183"/>
      <c r="AL21" s="206">
        <f t="shared" si="0"/>
        <v>1</v>
      </c>
      <c r="AM21" s="91">
        <f>0</f>
        <v>0</v>
      </c>
      <c r="AN21" s="208">
        <f t="shared" si="1"/>
        <v>1</v>
      </c>
      <c r="AO21" s="192">
        <v>45057</v>
      </c>
      <c r="AP21" s="105" t="s">
        <v>273</v>
      </c>
      <c r="AQ21" s="97" t="s">
        <v>459</v>
      </c>
      <c r="AR21" s="108" t="s">
        <v>148</v>
      </c>
      <c r="AS21" s="98"/>
      <c r="AT21" s="99"/>
      <c r="AU21" s="99">
        <v>1</v>
      </c>
      <c r="AV21" s="105"/>
      <c r="AW21" s="99" t="s">
        <v>457</v>
      </c>
      <c r="AX21" s="100"/>
      <c r="AY21" s="100"/>
      <c r="AZ21" s="107"/>
      <c r="BA21" s="81"/>
      <c r="BB21" s="81"/>
      <c r="BC21" s="81"/>
    </row>
    <row r="22" spans="1:55" ht="28" customHeight="1" x14ac:dyDescent="0.25">
      <c r="A22" s="136">
        <v>16</v>
      </c>
      <c r="B22" s="137">
        <v>45036</v>
      </c>
      <c r="C22" s="83"/>
      <c r="D22" s="83"/>
      <c r="E22" s="83"/>
      <c r="F22" s="82" t="s">
        <v>210</v>
      </c>
      <c r="G22" s="89" t="s">
        <v>1234</v>
      </c>
      <c r="H22" s="138" t="s">
        <v>110</v>
      </c>
      <c r="I22" s="89" t="s">
        <v>184</v>
      </c>
      <c r="J22" s="139" t="s">
        <v>185</v>
      </c>
      <c r="K22" s="238" t="s">
        <v>80</v>
      </c>
      <c r="L22" s="238" t="s">
        <v>168</v>
      </c>
      <c r="M22" s="239" t="s">
        <v>154</v>
      </c>
      <c r="N22" s="239" t="s">
        <v>80</v>
      </c>
      <c r="O22" s="239" t="s">
        <v>149</v>
      </c>
      <c r="P22" s="103"/>
      <c r="Q22" s="134"/>
      <c r="R22" s="182">
        <f>0</f>
        <v>0</v>
      </c>
      <c r="S22" s="76">
        <f>0</f>
        <v>0</v>
      </c>
      <c r="T22" s="76">
        <f>0</f>
        <v>0</v>
      </c>
      <c r="U22" s="90">
        <v>1</v>
      </c>
      <c r="V22" s="76">
        <f>0</f>
        <v>0</v>
      </c>
      <c r="W22" s="76">
        <f>0</f>
        <v>0</v>
      </c>
      <c r="X22" s="76">
        <f>0</f>
        <v>0</v>
      </c>
      <c r="Y22" s="76">
        <f>0</f>
        <v>0</v>
      </c>
      <c r="Z22" s="76">
        <f>0</f>
        <v>0</v>
      </c>
      <c r="AA22" s="183">
        <f>0</f>
        <v>0</v>
      </c>
      <c r="AB22" s="185">
        <f>0</f>
        <v>0</v>
      </c>
      <c r="AC22" s="76">
        <f>0</f>
        <v>0</v>
      </c>
      <c r="AD22" s="76">
        <f>0</f>
        <v>0</v>
      </c>
      <c r="AE22" s="76"/>
      <c r="AF22" s="76"/>
      <c r="AG22" s="76"/>
      <c r="AH22" s="76"/>
      <c r="AI22" s="76"/>
      <c r="AJ22" s="76"/>
      <c r="AK22" s="183"/>
      <c r="AL22" s="206">
        <f t="shared" si="0"/>
        <v>1</v>
      </c>
      <c r="AM22" s="91">
        <f>0</f>
        <v>0</v>
      </c>
      <c r="AN22" s="208">
        <f t="shared" si="1"/>
        <v>1</v>
      </c>
      <c r="AO22" s="192">
        <v>45057</v>
      </c>
      <c r="AP22" s="105" t="s">
        <v>273</v>
      </c>
      <c r="AQ22" s="97" t="s">
        <v>459</v>
      </c>
      <c r="AR22" s="108" t="s">
        <v>148</v>
      </c>
      <c r="AS22" s="98"/>
      <c r="AT22" s="99"/>
      <c r="AU22" s="99">
        <v>1</v>
      </c>
      <c r="AV22" s="105"/>
      <c r="AW22" s="99" t="s">
        <v>457</v>
      </c>
      <c r="AX22" s="100"/>
      <c r="AY22" s="100"/>
      <c r="AZ22" s="107"/>
      <c r="BA22" s="81"/>
      <c r="BB22" s="81"/>
      <c r="BC22" s="81"/>
    </row>
    <row r="23" spans="1:55" ht="28" customHeight="1" x14ac:dyDescent="0.25">
      <c r="A23" s="136">
        <v>17</v>
      </c>
      <c r="B23" s="137">
        <v>45036</v>
      </c>
      <c r="C23" s="77" t="s">
        <v>134</v>
      </c>
      <c r="D23" s="77" t="s">
        <v>135</v>
      </c>
      <c r="E23" s="77" t="s">
        <v>136</v>
      </c>
      <c r="F23" s="82" t="s">
        <v>210</v>
      </c>
      <c r="G23" s="89" t="s">
        <v>186</v>
      </c>
      <c r="H23" s="138" t="s">
        <v>110</v>
      </c>
      <c r="I23" s="89" t="s">
        <v>187</v>
      </c>
      <c r="J23" s="139" t="s">
        <v>188</v>
      </c>
      <c r="K23" s="238" t="s">
        <v>80</v>
      </c>
      <c r="L23" s="238" t="s">
        <v>189</v>
      </c>
      <c r="M23" s="239" t="s">
        <v>154</v>
      </c>
      <c r="N23" s="239" t="s">
        <v>80</v>
      </c>
      <c r="O23" s="239" t="s">
        <v>80</v>
      </c>
      <c r="P23" s="103"/>
      <c r="Q23" s="134"/>
      <c r="R23" s="182">
        <f>0</f>
        <v>0</v>
      </c>
      <c r="S23" s="76">
        <f>0</f>
        <v>0</v>
      </c>
      <c r="T23" s="76">
        <f>0</f>
        <v>0</v>
      </c>
      <c r="U23" s="90">
        <v>1</v>
      </c>
      <c r="V23" s="76">
        <f>0</f>
        <v>0</v>
      </c>
      <c r="W23" s="76">
        <f>0</f>
        <v>0</v>
      </c>
      <c r="X23" s="76">
        <f>0</f>
        <v>0</v>
      </c>
      <c r="Y23" s="76">
        <f>0</f>
        <v>0</v>
      </c>
      <c r="Z23" s="76">
        <f>0</f>
        <v>0</v>
      </c>
      <c r="AA23" s="183">
        <f>0</f>
        <v>0</v>
      </c>
      <c r="AB23" s="185">
        <f>0</f>
        <v>0</v>
      </c>
      <c r="AC23" s="76">
        <f>0</f>
        <v>0</v>
      </c>
      <c r="AD23" s="76">
        <f>0</f>
        <v>0</v>
      </c>
      <c r="AE23" s="76"/>
      <c r="AF23" s="76"/>
      <c r="AG23" s="76"/>
      <c r="AH23" s="76"/>
      <c r="AI23" s="76"/>
      <c r="AJ23" s="76"/>
      <c r="AK23" s="183"/>
      <c r="AL23" s="206">
        <f t="shared" si="0"/>
        <v>1</v>
      </c>
      <c r="AM23" s="91">
        <f>0</f>
        <v>0</v>
      </c>
      <c r="AN23" s="208">
        <f t="shared" si="1"/>
        <v>1</v>
      </c>
      <c r="AO23" s="191">
        <v>45042</v>
      </c>
      <c r="AP23" s="105" t="s">
        <v>273</v>
      </c>
      <c r="AQ23" s="97" t="s">
        <v>458</v>
      </c>
      <c r="AR23" s="108" t="s">
        <v>148</v>
      </c>
      <c r="AS23" s="98"/>
      <c r="AT23" s="99"/>
      <c r="AU23" s="99">
        <v>1</v>
      </c>
      <c r="AV23" s="105"/>
      <c r="AW23" s="99" t="s">
        <v>457</v>
      </c>
      <c r="AX23" s="100"/>
      <c r="AY23" s="100"/>
      <c r="AZ23" s="107"/>
      <c r="BA23" s="81"/>
      <c r="BB23" s="81"/>
      <c r="BC23" s="81"/>
    </row>
    <row r="24" spans="1:55" ht="28" customHeight="1" x14ac:dyDescent="0.25">
      <c r="A24" s="136">
        <v>18</v>
      </c>
      <c r="B24" s="137">
        <v>45036</v>
      </c>
      <c r="C24" s="77" t="s">
        <v>134</v>
      </c>
      <c r="D24" s="77" t="s">
        <v>135</v>
      </c>
      <c r="E24" s="77" t="s">
        <v>136</v>
      </c>
      <c r="F24" s="82" t="s">
        <v>210</v>
      </c>
      <c r="G24" s="89" t="s">
        <v>190</v>
      </c>
      <c r="H24" s="138" t="s">
        <v>110</v>
      </c>
      <c r="I24" s="89" t="s">
        <v>191</v>
      </c>
      <c r="J24" s="139" t="s">
        <v>192</v>
      </c>
      <c r="K24" s="238" t="s">
        <v>80</v>
      </c>
      <c r="L24" s="238" t="s">
        <v>193</v>
      </c>
      <c r="M24" s="239" t="s">
        <v>154</v>
      </c>
      <c r="N24" s="239" t="s">
        <v>214</v>
      </c>
      <c r="O24" s="239" t="s">
        <v>149</v>
      </c>
      <c r="P24" s="103"/>
      <c r="Q24" s="134"/>
      <c r="R24" s="182">
        <f>0</f>
        <v>0</v>
      </c>
      <c r="S24" s="76">
        <f>0</f>
        <v>0</v>
      </c>
      <c r="T24" s="76">
        <f>0</f>
        <v>0</v>
      </c>
      <c r="U24" s="90">
        <v>1</v>
      </c>
      <c r="V24" s="76">
        <f>0</f>
        <v>0</v>
      </c>
      <c r="W24" s="76">
        <f>0</f>
        <v>0</v>
      </c>
      <c r="X24" s="76">
        <f>0</f>
        <v>0</v>
      </c>
      <c r="Y24" s="76">
        <f>0</f>
        <v>0</v>
      </c>
      <c r="Z24" s="76">
        <f>0</f>
        <v>0</v>
      </c>
      <c r="AA24" s="183">
        <f>0</f>
        <v>0</v>
      </c>
      <c r="AB24" s="185">
        <f>0</f>
        <v>0</v>
      </c>
      <c r="AC24" s="76">
        <f>0</f>
        <v>0</v>
      </c>
      <c r="AD24" s="76">
        <f>0</f>
        <v>0</v>
      </c>
      <c r="AE24" s="76"/>
      <c r="AF24" s="76"/>
      <c r="AG24" s="76"/>
      <c r="AH24" s="76"/>
      <c r="AI24" s="76"/>
      <c r="AJ24" s="76"/>
      <c r="AK24" s="183"/>
      <c r="AL24" s="206">
        <f t="shared" si="0"/>
        <v>1</v>
      </c>
      <c r="AM24" s="91">
        <f>0</f>
        <v>0</v>
      </c>
      <c r="AN24" s="208">
        <f t="shared" si="1"/>
        <v>1</v>
      </c>
      <c r="AO24" s="192">
        <v>45057</v>
      </c>
      <c r="AP24" s="105" t="s">
        <v>273</v>
      </c>
      <c r="AQ24" s="97" t="s">
        <v>459</v>
      </c>
      <c r="AR24" s="108" t="s">
        <v>148</v>
      </c>
      <c r="AS24" s="98"/>
      <c r="AT24" s="99"/>
      <c r="AU24" s="99">
        <v>1</v>
      </c>
      <c r="AV24" s="105"/>
      <c r="AW24" s="99" t="s">
        <v>457</v>
      </c>
      <c r="AX24" s="100"/>
      <c r="AY24" s="100"/>
      <c r="AZ24" s="107"/>
      <c r="BA24" s="81"/>
      <c r="BB24" s="81"/>
      <c r="BC24" s="81"/>
    </row>
    <row r="25" spans="1:55" ht="28" customHeight="1" x14ac:dyDescent="0.25">
      <c r="A25" s="136">
        <v>19</v>
      </c>
      <c r="B25" s="137">
        <v>45036</v>
      </c>
      <c r="C25" s="77" t="s">
        <v>134</v>
      </c>
      <c r="D25" s="77" t="s">
        <v>135</v>
      </c>
      <c r="E25" s="77" t="s">
        <v>136</v>
      </c>
      <c r="F25" s="82" t="s">
        <v>210</v>
      </c>
      <c r="G25" s="89" t="s">
        <v>194</v>
      </c>
      <c r="H25" s="138" t="s">
        <v>110</v>
      </c>
      <c r="I25" s="89" t="s">
        <v>195</v>
      </c>
      <c r="J25" s="139" t="s">
        <v>196</v>
      </c>
      <c r="K25" s="238" t="s">
        <v>80</v>
      </c>
      <c r="L25" s="238" t="s">
        <v>193</v>
      </c>
      <c r="M25" s="239" t="s">
        <v>154</v>
      </c>
      <c r="N25" s="239" t="s">
        <v>212</v>
      </c>
      <c r="O25" s="239" t="s">
        <v>149</v>
      </c>
      <c r="P25" s="103"/>
      <c r="Q25" s="134"/>
      <c r="R25" s="182">
        <f>0</f>
        <v>0</v>
      </c>
      <c r="S25" s="76">
        <f>0</f>
        <v>0</v>
      </c>
      <c r="T25" s="76">
        <f>0</f>
        <v>0</v>
      </c>
      <c r="U25" s="90">
        <v>1</v>
      </c>
      <c r="V25" s="76">
        <f>0</f>
        <v>0</v>
      </c>
      <c r="W25" s="76">
        <f>0</f>
        <v>0</v>
      </c>
      <c r="X25" s="76">
        <f>0</f>
        <v>0</v>
      </c>
      <c r="Y25" s="76">
        <f>0</f>
        <v>0</v>
      </c>
      <c r="Z25" s="76">
        <f>0</f>
        <v>0</v>
      </c>
      <c r="AA25" s="183">
        <f>0</f>
        <v>0</v>
      </c>
      <c r="AB25" s="185">
        <f>0</f>
        <v>0</v>
      </c>
      <c r="AC25" s="76">
        <f>0</f>
        <v>0</v>
      </c>
      <c r="AD25" s="76">
        <f>0</f>
        <v>0</v>
      </c>
      <c r="AE25" s="76"/>
      <c r="AF25" s="76"/>
      <c r="AG25" s="76"/>
      <c r="AH25" s="76"/>
      <c r="AI25" s="76"/>
      <c r="AJ25" s="76"/>
      <c r="AK25" s="183"/>
      <c r="AL25" s="206">
        <f t="shared" si="0"/>
        <v>1</v>
      </c>
      <c r="AM25" s="91">
        <f>0</f>
        <v>0</v>
      </c>
      <c r="AN25" s="208">
        <f t="shared" si="1"/>
        <v>1</v>
      </c>
      <c r="AO25" s="191">
        <v>45042</v>
      </c>
      <c r="AP25" s="105" t="s">
        <v>273</v>
      </c>
      <c r="AQ25" s="97" t="s">
        <v>458</v>
      </c>
      <c r="AR25" s="108" t="s">
        <v>148</v>
      </c>
      <c r="AS25" s="98"/>
      <c r="AT25" s="99"/>
      <c r="AU25" s="99">
        <v>1</v>
      </c>
      <c r="AV25" s="105"/>
      <c r="AW25" s="99" t="s">
        <v>457</v>
      </c>
      <c r="AX25" s="100"/>
      <c r="AY25" s="100"/>
      <c r="AZ25" s="107"/>
      <c r="BA25" s="81"/>
      <c r="BB25" s="81"/>
      <c r="BC25" s="81"/>
    </row>
    <row r="26" spans="1:55" ht="28" customHeight="1" x14ac:dyDescent="0.55000000000000004">
      <c r="A26" s="136">
        <v>20</v>
      </c>
      <c r="B26" s="137">
        <v>45036</v>
      </c>
      <c r="C26" s="77" t="s">
        <v>134</v>
      </c>
      <c r="D26" s="77" t="s">
        <v>135</v>
      </c>
      <c r="E26" s="77" t="s">
        <v>136</v>
      </c>
      <c r="F26" s="86" t="s">
        <v>210</v>
      </c>
      <c r="G26" s="89" t="s">
        <v>197</v>
      </c>
      <c r="H26" s="138" t="s">
        <v>110</v>
      </c>
      <c r="I26" s="89" t="s">
        <v>198</v>
      </c>
      <c r="J26" s="139" t="s">
        <v>199</v>
      </c>
      <c r="K26" s="238" t="s">
        <v>80</v>
      </c>
      <c r="L26" s="238" t="s">
        <v>193</v>
      </c>
      <c r="M26" s="239" t="s">
        <v>154</v>
      </c>
      <c r="N26" s="239" t="s">
        <v>212</v>
      </c>
      <c r="O26" s="239" t="s">
        <v>149</v>
      </c>
      <c r="P26" s="103"/>
      <c r="Q26" s="134"/>
      <c r="R26" s="182">
        <f>0</f>
        <v>0</v>
      </c>
      <c r="S26" s="76">
        <f>0</f>
        <v>0</v>
      </c>
      <c r="T26" s="76">
        <f>0</f>
        <v>0</v>
      </c>
      <c r="U26" s="90">
        <v>1</v>
      </c>
      <c r="V26" s="76">
        <f>0</f>
        <v>0</v>
      </c>
      <c r="W26" s="76">
        <f>0</f>
        <v>0</v>
      </c>
      <c r="X26" s="76">
        <f>0</f>
        <v>0</v>
      </c>
      <c r="Y26" s="76">
        <f>0</f>
        <v>0</v>
      </c>
      <c r="Z26" s="76">
        <f>0</f>
        <v>0</v>
      </c>
      <c r="AA26" s="183">
        <f>0</f>
        <v>0</v>
      </c>
      <c r="AB26" s="185">
        <f>0</f>
        <v>0</v>
      </c>
      <c r="AC26" s="76">
        <f>0</f>
        <v>0</v>
      </c>
      <c r="AD26" s="76">
        <f>0</f>
        <v>0</v>
      </c>
      <c r="AE26" s="76"/>
      <c r="AF26" s="76"/>
      <c r="AG26" s="76"/>
      <c r="AH26" s="76"/>
      <c r="AI26" s="76"/>
      <c r="AJ26" s="76"/>
      <c r="AK26" s="183"/>
      <c r="AL26" s="206">
        <f t="shared" si="0"/>
        <v>1</v>
      </c>
      <c r="AM26" s="91">
        <f>0</f>
        <v>0</v>
      </c>
      <c r="AN26" s="208">
        <f t="shared" si="1"/>
        <v>1</v>
      </c>
      <c r="AO26" s="278">
        <v>45042</v>
      </c>
      <c r="AP26" s="105" t="s">
        <v>273</v>
      </c>
      <c r="AQ26" s="97" t="s">
        <v>458</v>
      </c>
      <c r="AR26" s="108" t="s">
        <v>148</v>
      </c>
      <c r="AS26" s="98"/>
      <c r="AT26" s="99"/>
      <c r="AU26" s="99"/>
      <c r="AV26" s="105"/>
      <c r="AW26" s="99"/>
      <c r="AX26" s="100"/>
      <c r="AY26" s="100"/>
      <c r="AZ26" s="107"/>
      <c r="BA26" s="81"/>
      <c r="BB26" s="81"/>
      <c r="BC26" s="81"/>
    </row>
    <row r="27" spans="1:55" ht="28" customHeight="1" x14ac:dyDescent="0.25">
      <c r="A27" s="136">
        <v>21</v>
      </c>
      <c r="B27" s="137">
        <v>45036</v>
      </c>
      <c r="C27" s="77" t="s">
        <v>134</v>
      </c>
      <c r="D27" s="77" t="s">
        <v>135</v>
      </c>
      <c r="E27" s="77" t="s">
        <v>136</v>
      </c>
      <c r="F27" s="82" t="s">
        <v>210</v>
      </c>
      <c r="G27" s="89" t="s">
        <v>200</v>
      </c>
      <c r="H27" s="138" t="s">
        <v>110</v>
      </c>
      <c r="I27" s="89" t="s">
        <v>201</v>
      </c>
      <c r="J27" s="139" t="s">
        <v>202</v>
      </c>
      <c r="K27" s="238" t="s">
        <v>80</v>
      </c>
      <c r="L27" s="238" t="s">
        <v>193</v>
      </c>
      <c r="M27" s="239" t="s">
        <v>154</v>
      </c>
      <c r="N27" s="239" t="s">
        <v>212</v>
      </c>
      <c r="O27" s="239" t="s">
        <v>149</v>
      </c>
      <c r="P27" s="103"/>
      <c r="Q27" s="134"/>
      <c r="R27" s="182">
        <f>0</f>
        <v>0</v>
      </c>
      <c r="S27" s="76">
        <f>0</f>
        <v>0</v>
      </c>
      <c r="T27" s="76">
        <f>0</f>
        <v>0</v>
      </c>
      <c r="U27" s="90">
        <v>1</v>
      </c>
      <c r="V27" s="76">
        <f>0</f>
        <v>0</v>
      </c>
      <c r="W27" s="76">
        <f>0</f>
        <v>0</v>
      </c>
      <c r="X27" s="76">
        <f>0</f>
        <v>0</v>
      </c>
      <c r="Y27" s="76">
        <f>0</f>
        <v>0</v>
      </c>
      <c r="Z27" s="76">
        <f>0</f>
        <v>0</v>
      </c>
      <c r="AA27" s="183">
        <f>0</f>
        <v>0</v>
      </c>
      <c r="AB27" s="185">
        <f>0</f>
        <v>0</v>
      </c>
      <c r="AC27" s="76">
        <f>0</f>
        <v>0</v>
      </c>
      <c r="AD27" s="76">
        <f>0</f>
        <v>0</v>
      </c>
      <c r="AE27" s="76"/>
      <c r="AF27" s="76"/>
      <c r="AG27" s="76"/>
      <c r="AH27" s="76"/>
      <c r="AI27" s="76"/>
      <c r="AJ27" s="76"/>
      <c r="AK27" s="183"/>
      <c r="AL27" s="206">
        <f t="shared" si="0"/>
        <v>1</v>
      </c>
      <c r="AM27" s="91">
        <f>0</f>
        <v>0</v>
      </c>
      <c r="AN27" s="208">
        <f t="shared" si="1"/>
        <v>1</v>
      </c>
      <c r="AO27" s="191">
        <v>45042</v>
      </c>
      <c r="AP27" s="105" t="s">
        <v>273</v>
      </c>
      <c r="AQ27" s="97" t="s">
        <v>458</v>
      </c>
      <c r="AR27" s="108" t="s">
        <v>148</v>
      </c>
      <c r="AS27" s="98"/>
      <c r="AT27" s="99"/>
      <c r="AU27" s="99">
        <v>1</v>
      </c>
      <c r="AV27" s="105"/>
      <c r="AW27" s="99" t="s">
        <v>457</v>
      </c>
      <c r="AX27" s="100"/>
      <c r="AY27" s="100"/>
      <c r="AZ27" s="107"/>
      <c r="BA27" s="81"/>
      <c r="BB27" s="81"/>
      <c r="BC27" s="81"/>
    </row>
    <row r="28" spans="1:55" ht="28" customHeight="1" x14ac:dyDescent="0.25">
      <c r="A28" s="136">
        <v>22</v>
      </c>
      <c r="B28" s="137">
        <v>45036</v>
      </c>
      <c r="C28" s="77" t="s">
        <v>134</v>
      </c>
      <c r="D28" s="77" t="s">
        <v>135</v>
      </c>
      <c r="E28" s="77" t="s">
        <v>136</v>
      </c>
      <c r="F28" s="82" t="s">
        <v>210</v>
      </c>
      <c r="G28" s="89" t="s">
        <v>203</v>
      </c>
      <c r="H28" s="138" t="s">
        <v>110</v>
      </c>
      <c r="I28" s="89" t="s">
        <v>204</v>
      </c>
      <c r="J28" s="139" t="s">
        <v>205</v>
      </c>
      <c r="K28" s="238" t="s">
        <v>80</v>
      </c>
      <c r="L28" s="238" t="s">
        <v>193</v>
      </c>
      <c r="M28" s="239" t="s">
        <v>154</v>
      </c>
      <c r="N28" s="239" t="s">
        <v>214</v>
      </c>
      <c r="O28" s="239" t="s">
        <v>149</v>
      </c>
      <c r="P28" s="103"/>
      <c r="Q28" s="134"/>
      <c r="R28" s="182">
        <f>0</f>
        <v>0</v>
      </c>
      <c r="S28" s="76">
        <f>0</f>
        <v>0</v>
      </c>
      <c r="T28" s="76">
        <f>0</f>
        <v>0</v>
      </c>
      <c r="U28" s="90">
        <v>1</v>
      </c>
      <c r="V28" s="76">
        <f>0</f>
        <v>0</v>
      </c>
      <c r="W28" s="76">
        <f>0</f>
        <v>0</v>
      </c>
      <c r="X28" s="76">
        <f>0</f>
        <v>0</v>
      </c>
      <c r="Y28" s="76">
        <f>0</f>
        <v>0</v>
      </c>
      <c r="Z28" s="76">
        <f>0</f>
        <v>0</v>
      </c>
      <c r="AA28" s="183">
        <f>0</f>
        <v>0</v>
      </c>
      <c r="AB28" s="185">
        <f>0</f>
        <v>0</v>
      </c>
      <c r="AC28" s="76">
        <f>0</f>
        <v>0</v>
      </c>
      <c r="AD28" s="76">
        <f>0</f>
        <v>0</v>
      </c>
      <c r="AE28" s="76"/>
      <c r="AF28" s="76"/>
      <c r="AG28" s="76"/>
      <c r="AH28" s="76"/>
      <c r="AI28" s="76"/>
      <c r="AJ28" s="76"/>
      <c r="AK28" s="183"/>
      <c r="AL28" s="206">
        <f t="shared" si="0"/>
        <v>1</v>
      </c>
      <c r="AM28" s="91">
        <f>0</f>
        <v>0</v>
      </c>
      <c r="AN28" s="208">
        <f t="shared" si="1"/>
        <v>1</v>
      </c>
      <c r="AO28" s="191">
        <v>45042</v>
      </c>
      <c r="AP28" s="105" t="s">
        <v>273</v>
      </c>
      <c r="AQ28" s="97" t="s">
        <v>458</v>
      </c>
      <c r="AR28" s="108" t="s">
        <v>148</v>
      </c>
      <c r="AS28" s="98"/>
      <c r="AT28" s="99"/>
      <c r="AU28" s="99">
        <v>1</v>
      </c>
      <c r="AV28" s="105"/>
      <c r="AW28" s="99" t="s">
        <v>457</v>
      </c>
      <c r="AX28" s="100"/>
      <c r="AY28" s="100"/>
      <c r="AZ28" s="107"/>
      <c r="BA28" s="81"/>
      <c r="BB28" s="81"/>
      <c r="BC28" s="81"/>
    </row>
    <row r="29" spans="1:55" ht="28" customHeight="1" x14ac:dyDescent="0.25">
      <c r="A29" s="131">
        <v>23</v>
      </c>
      <c r="B29" s="132">
        <v>45036</v>
      </c>
      <c r="C29" s="77" t="s">
        <v>134</v>
      </c>
      <c r="D29" s="77" t="s">
        <v>135</v>
      </c>
      <c r="E29" s="77" t="s">
        <v>136</v>
      </c>
      <c r="F29" s="86" t="s">
        <v>210</v>
      </c>
      <c r="G29" s="103" t="s">
        <v>206</v>
      </c>
      <c r="H29" s="133" t="s">
        <v>110</v>
      </c>
      <c r="I29" s="103" t="s">
        <v>207</v>
      </c>
      <c r="J29" s="134" t="s">
        <v>208</v>
      </c>
      <c r="K29" s="238" t="s">
        <v>80</v>
      </c>
      <c r="L29" s="167" t="s">
        <v>209</v>
      </c>
      <c r="M29" s="140" t="s">
        <v>114</v>
      </c>
      <c r="N29" s="140"/>
      <c r="O29" s="140" t="s">
        <v>80</v>
      </c>
      <c r="P29" s="103"/>
      <c r="Q29" s="134"/>
      <c r="R29" s="182">
        <f>0</f>
        <v>0</v>
      </c>
      <c r="S29" s="76">
        <f>0</f>
        <v>0</v>
      </c>
      <c r="T29" s="76">
        <f>0</f>
        <v>0</v>
      </c>
      <c r="U29" s="90">
        <v>1</v>
      </c>
      <c r="V29" s="76">
        <f>0</f>
        <v>0</v>
      </c>
      <c r="W29" s="76">
        <f>0</f>
        <v>0</v>
      </c>
      <c r="X29" s="76">
        <f>0</f>
        <v>0</v>
      </c>
      <c r="Y29" s="76">
        <f>0</f>
        <v>0</v>
      </c>
      <c r="Z29" s="76">
        <f>0</f>
        <v>0</v>
      </c>
      <c r="AA29" s="183">
        <f>0</f>
        <v>0</v>
      </c>
      <c r="AB29" s="185">
        <f>0</f>
        <v>0</v>
      </c>
      <c r="AC29" s="76">
        <f>0</f>
        <v>0</v>
      </c>
      <c r="AD29" s="76">
        <f>0</f>
        <v>0</v>
      </c>
      <c r="AE29" s="76"/>
      <c r="AF29" s="76"/>
      <c r="AG29" s="76"/>
      <c r="AH29" s="76"/>
      <c r="AI29" s="76"/>
      <c r="AJ29" s="76"/>
      <c r="AK29" s="183"/>
      <c r="AL29" s="206">
        <f t="shared" si="0"/>
        <v>1</v>
      </c>
      <c r="AM29" s="91">
        <f>0</f>
        <v>0</v>
      </c>
      <c r="AN29" s="207">
        <f t="shared" si="1"/>
        <v>1</v>
      </c>
      <c r="AO29" s="190">
        <v>45042</v>
      </c>
      <c r="AP29" s="105" t="s">
        <v>273</v>
      </c>
      <c r="AQ29" s="101" t="s">
        <v>277</v>
      </c>
      <c r="AR29" s="102" t="s">
        <v>276</v>
      </c>
      <c r="AS29" s="98"/>
      <c r="AT29" s="99"/>
      <c r="AU29" s="99">
        <v>1</v>
      </c>
      <c r="AV29" s="105"/>
      <c r="AW29" s="99" t="s">
        <v>457</v>
      </c>
      <c r="AX29" s="100"/>
      <c r="AY29" s="100"/>
      <c r="AZ29" s="107"/>
      <c r="BA29" s="81"/>
      <c r="BB29" s="81"/>
      <c r="BC29" s="81"/>
    </row>
    <row r="30" spans="1:55" ht="28" customHeight="1" x14ac:dyDescent="0.25">
      <c r="A30" s="131">
        <v>24</v>
      </c>
      <c r="B30" s="132">
        <v>45036</v>
      </c>
      <c r="C30" s="77" t="s">
        <v>134</v>
      </c>
      <c r="D30" s="77" t="s">
        <v>135</v>
      </c>
      <c r="E30" s="77" t="s">
        <v>136</v>
      </c>
      <c r="F30" s="86" t="s">
        <v>210</v>
      </c>
      <c r="G30" s="103" t="s">
        <v>215</v>
      </c>
      <c r="H30" s="133" t="s">
        <v>110</v>
      </c>
      <c r="I30" s="103" t="s">
        <v>250</v>
      </c>
      <c r="J30" s="134" t="s">
        <v>216</v>
      </c>
      <c r="K30" s="238" t="s">
        <v>80</v>
      </c>
      <c r="L30" s="167" t="s">
        <v>119</v>
      </c>
      <c r="M30" s="140" t="s">
        <v>114</v>
      </c>
      <c r="N30" s="140"/>
      <c r="O30" s="140" t="s">
        <v>120</v>
      </c>
      <c r="P30" s="103"/>
      <c r="Q30" s="134"/>
      <c r="R30" s="182">
        <f>0</f>
        <v>0</v>
      </c>
      <c r="S30" s="76">
        <f>0</f>
        <v>0</v>
      </c>
      <c r="T30" s="76">
        <f>0</f>
        <v>0</v>
      </c>
      <c r="U30" s="90">
        <v>1</v>
      </c>
      <c r="V30" s="76">
        <f>0</f>
        <v>0</v>
      </c>
      <c r="W30" s="76">
        <f>0</f>
        <v>0</v>
      </c>
      <c r="X30" s="76">
        <f>0</f>
        <v>0</v>
      </c>
      <c r="Y30" s="76">
        <f>0</f>
        <v>0</v>
      </c>
      <c r="Z30" s="76">
        <f>0</f>
        <v>0</v>
      </c>
      <c r="AA30" s="183">
        <f>0</f>
        <v>0</v>
      </c>
      <c r="AB30" s="185">
        <f>0</f>
        <v>0</v>
      </c>
      <c r="AC30" s="76">
        <f>0</f>
        <v>0</v>
      </c>
      <c r="AD30" s="76">
        <f>0</f>
        <v>0</v>
      </c>
      <c r="AE30" s="76"/>
      <c r="AF30" s="76"/>
      <c r="AG30" s="76"/>
      <c r="AH30" s="76"/>
      <c r="AI30" s="76"/>
      <c r="AJ30" s="76"/>
      <c r="AK30" s="183"/>
      <c r="AL30" s="206">
        <f t="shared" si="0"/>
        <v>1</v>
      </c>
      <c r="AM30" s="91">
        <f>0</f>
        <v>0</v>
      </c>
      <c r="AN30" s="207">
        <f t="shared" si="1"/>
        <v>1</v>
      </c>
      <c r="AO30" s="190">
        <v>45042</v>
      </c>
      <c r="AP30" s="105" t="s">
        <v>273</v>
      </c>
      <c r="AQ30" s="101" t="s">
        <v>277</v>
      </c>
      <c r="AR30" s="102" t="s">
        <v>276</v>
      </c>
      <c r="AS30" s="98"/>
      <c r="AT30" s="99"/>
      <c r="AU30" s="99">
        <v>1</v>
      </c>
      <c r="AV30" s="105"/>
      <c r="AW30" s="99" t="s">
        <v>457</v>
      </c>
      <c r="AX30" s="100"/>
      <c r="AY30" s="100"/>
      <c r="AZ30" s="107"/>
      <c r="BA30" s="81"/>
      <c r="BB30" s="81"/>
      <c r="BC30" s="81"/>
    </row>
    <row r="31" spans="1:55" ht="28" customHeight="1" x14ac:dyDescent="0.25">
      <c r="A31" s="131">
        <v>25</v>
      </c>
      <c r="B31" s="132">
        <v>45036</v>
      </c>
      <c r="C31" s="77" t="s">
        <v>134</v>
      </c>
      <c r="D31" s="77" t="s">
        <v>135</v>
      </c>
      <c r="E31" s="77" t="s">
        <v>136</v>
      </c>
      <c r="F31" s="86" t="s">
        <v>210</v>
      </c>
      <c r="G31" s="103" t="s">
        <v>217</v>
      </c>
      <c r="H31" s="133" t="s">
        <v>110</v>
      </c>
      <c r="I31" s="103" t="s">
        <v>251</v>
      </c>
      <c r="J31" s="134" t="s">
        <v>218</v>
      </c>
      <c r="K31" s="238" t="s">
        <v>80</v>
      </c>
      <c r="L31" s="167" t="s">
        <v>119</v>
      </c>
      <c r="M31" s="140" t="s">
        <v>114</v>
      </c>
      <c r="N31" s="140" t="s">
        <v>80</v>
      </c>
      <c r="O31" s="140" t="s">
        <v>120</v>
      </c>
      <c r="P31" s="103"/>
      <c r="Q31" s="134"/>
      <c r="R31" s="182">
        <f>0</f>
        <v>0</v>
      </c>
      <c r="S31" s="76">
        <f>0</f>
        <v>0</v>
      </c>
      <c r="T31" s="76">
        <f>0</f>
        <v>0</v>
      </c>
      <c r="U31" s="90">
        <v>1</v>
      </c>
      <c r="V31" s="76">
        <f>0</f>
        <v>0</v>
      </c>
      <c r="W31" s="76">
        <f>0</f>
        <v>0</v>
      </c>
      <c r="X31" s="76">
        <f>0</f>
        <v>0</v>
      </c>
      <c r="Y31" s="76">
        <f>0</f>
        <v>0</v>
      </c>
      <c r="Z31" s="76">
        <f>0</f>
        <v>0</v>
      </c>
      <c r="AA31" s="183">
        <f>0</f>
        <v>0</v>
      </c>
      <c r="AB31" s="185">
        <f>0</f>
        <v>0</v>
      </c>
      <c r="AC31" s="76">
        <f>0</f>
        <v>0</v>
      </c>
      <c r="AD31" s="76">
        <f>0</f>
        <v>0</v>
      </c>
      <c r="AE31" s="76"/>
      <c r="AF31" s="76"/>
      <c r="AG31" s="76"/>
      <c r="AH31" s="76"/>
      <c r="AI31" s="76"/>
      <c r="AJ31" s="76"/>
      <c r="AK31" s="183"/>
      <c r="AL31" s="206">
        <f t="shared" si="0"/>
        <v>1</v>
      </c>
      <c r="AM31" s="91">
        <f>0</f>
        <v>0</v>
      </c>
      <c r="AN31" s="207">
        <f t="shared" si="1"/>
        <v>1</v>
      </c>
      <c r="AO31" s="190">
        <v>45042</v>
      </c>
      <c r="AP31" s="105" t="s">
        <v>273</v>
      </c>
      <c r="AQ31" s="101" t="s">
        <v>277</v>
      </c>
      <c r="AR31" s="102" t="s">
        <v>276</v>
      </c>
      <c r="AS31" s="98"/>
      <c r="AT31" s="99"/>
      <c r="AU31" s="99">
        <v>1</v>
      </c>
      <c r="AV31" s="105"/>
      <c r="AW31" s="99" t="s">
        <v>457</v>
      </c>
      <c r="AX31" s="100"/>
      <c r="AY31" s="100"/>
      <c r="AZ31" s="107"/>
      <c r="BA31" s="81"/>
      <c r="BB31" s="81"/>
      <c r="BC31" s="81"/>
    </row>
    <row r="32" spans="1:55" ht="28" customHeight="1" x14ac:dyDescent="0.25">
      <c r="A32" s="136">
        <v>26</v>
      </c>
      <c r="B32" s="137">
        <v>45036</v>
      </c>
      <c r="C32" s="77" t="s">
        <v>134</v>
      </c>
      <c r="D32" s="77" t="s">
        <v>135</v>
      </c>
      <c r="E32" s="77" t="s">
        <v>136</v>
      </c>
      <c r="F32" s="82" t="s">
        <v>210</v>
      </c>
      <c r="G32" s="89" t="s">
        <v>219</v>
      </c>
      <c r="H32" s="138" t="s">
        <v>110</v>
      </c>
      <c r="I32" s="89" t="s">
        <v>220</v>
      </c>
      <c r="J32" s="139" t="s">
        <v>221</v>
      </c>
      <c r="K32" s="238" t="s">
        <v>80</v>
      </c>
      <c r="L32" s="238" t="s">
        <v>222</v>
      </c>
      <c r="M32" s="239" t="s">
        <v>154</v>
      </c>
      <c r="N32" s="239" t="s">
        <v>80</v>
      </c>
      <c r="O32" s="239" t="s">
        <v>80</v>
      </c>
      <c r="P32" s="103"/>
      <c r="Q32" s="134"/>
      <c r="R32" s="182">
        <f>0</f>
        <v>0</v>
      </c>
      <c r="S32" s="76">
        <f>0</f>
        <v>0</v>
      </c>
      <c r="T32" s="76">
        <f>0</f>
        <v>0</v>
      </c>
      <c r="U32" s="90">
        <v>4</v>
      </c>
      <c r="V32" s="76">
        <f>0</f>
        <v>0</v>
      </c>
      <c r="W32" s="76">
        <f>0</f>
        <v>0</v>
      </c>
      <c r="X32" s="76">
        <f>0</f>
        <v>0</v>
      </c>
      <c r="Y32" s="76">
        <f>0</f>
        <v>0</v>
      </c>
      <c r="Z32" s="76">
        <f>0</f>
        <v>0</v>
      </c>
      <c r="AA32" s="183">
        <f>0</f>
        <v>0</v>
      </c>
      <c r="AB32" s="185">
        <f>0</f>
        <v>0</v>
      </c>
      <c r="AC32" s="76">
        <f>0</f>
        <v>0</v>
      </c>
      <c r="AD32" s="76">
        <f>0</f>
        <v>0</v>
      </c>
      <c r="AE32" s="76"/>
      <c r="AF32" s="76"/>
      <c r="AG32" s="76"/>
      <c r="AH32" s="76"/>
      <c r="AI32" s="76"/>
      <c r="AJ32" s="76"/>
      <c r="AK32" s="183"/>
      <c r="AL32" s="206">
        <f t="shared" si="0"/>
        <v>4</v>
      </c>
      <c r="AM32" s="91">
        <f>0</f>
        <v>0</v>
      </c>
      <c r="AN32" s="208">
        <f t="shared" si="1"/>
        <v>4</v>
      </c>
      <c r="AO32" s="191">
        <v>45042</v>
      </c>
      <c r="AP32" s="105" t="s">
        <v>273</v>
      </c>
      <c r="AQ32" s="97" t="s">
        <v>458</v>
      </c>
      <c r="AR32" s="108" t="s">
        <v>148</v>
      </c>
      <c r="AS32" s="98"/>
      <c r="AT32" s="99"/>
      <c r="AU32" s="99">
        <v>4</v>
      </c>
      <c r="AV32" s="105"/>
      <c r="AW32" s="99" t="s">
        <v>457</v>
      </c>
      <c r="AX32" s="100"/>
      <c r="AY32" s="100"/>
      <c r="AZ32" s="107"/>
      <c r="BA32" s="81"/>
      <c r="BB32" s="81"/>
      <c r="BC32" s="81"/>
    </row>
    <row r="33" spans="1:55" ht="28" customHeight="1" x14ac:dyDescent="0.25">
      <c r="A33" s="136">
        <v>27</v>
      </c>
      <c r="B33" s="137">
        <v>45036</v>
      </c>
      <c r="C33" s="77" t="s">
        <v>134</v>
      </c>
      <c r="D33" s="77" t="s">
        <v>135</v>
      </c>
      <c r="E33" s="77" t="s">
        <v>136</v>
      </c>
      <c r="F33" s="82" t="s">
        <v>210</v>
      </c>
      <c r="G33" s="89" t="s">
        <v>223</v>
      </c>
      <c r="H33" s="138" t="s">
        <v>110</v>
      </c>
      <c r="I33" s="89" t="s">
        <v>224</v>
      </c>
      <c r="J33" s="139" t="s">
        <v>225</v>
      </c>
      <c r="K33" s="238" t="s">
        <v>80</v>
      </c>
      <c r="L33" s="238" t="s">
        <v>226</v>
      </c>
      <c r="M33" s="239" t="s">
        <v>154</v>
      </c>
      <c r="N33" s="239" t="s">
        <v>80</v>
      </c>
      <c r="O33" s="239" t="s">
        <v>155</v>
      </c>
      <c r="P33" s="103"/>
      <c r="Q33" s="134"/>
      <c r="R33" s="182">
        <f>0</f>
        <v>0</v>
      </c>
      <c r="S33" s="76">
        <f>0</f>
        <v>0</v>
      </c>
      <c r="T33" s="76">
        <f>0</f>
        <v>0</v>
      </c>
      <c r="U33" s="90">
        <v>1</v>
      </c>
      <c r="V33" s="76">
        <f>0</f>
        <v>0</v>
      </c>
      <c r="W33" s="76">
        <f>0</f>
        <v>0</v>
      </c>
      <c r="X33" s="76">
        <f>0</f>
        <v>0</v>
      </c>
      <c r="Y33" s="76">
        <f>0</f>
        <v>0</v>
      </c>
      <c r="Z33" s="76">
        <f>0</f>
        <v>0</v>
      </c>
      <c r="AA33" s="183">
        <f>0</f>
        <v>0</v>
      </c>
      <c r="AB33" s="185">
        <f>0</f>
        <v>0</v>
      </c>
      <c r="AC33" s="76">
        <f>0</f>
        <v>0</v>
      </c>
      <c r="AD33" s="76">
        <f>0</f>
        <v>0</v>
      </c>
      <c r="AE33" s="76"/>
      <c r="AF33" s="76"/>
      <c r="AG33" s="76"/>
      <c r="AH33" s="76"/>
      <c r="AI33" s="76"/>
      <c r="AJ33" s="76"/>
      <c r="AK33" s="183"/>
      <c r="AL33" s="206">
        <f t="shared" si="0"/>
        <v>1</v>
      </c>
      <c r="AM33" s="91">
        <f>0</f>
        <v>0</v>
      </c>
      <c r="AN33" s="208">
        <f t="shared" si="1"/>
        <v>1</v>
      </c>
      <c r="AO33" s="191">
        <v>45042</v>
      </c>
      <c r="AP33" s="105" t="s">
        <v>273</v>
      </c>
      <c r="AQ33" s="97" t="s">
        <v>458</v>
      </c>
      <c r="AR33" s="108" t="s">
        <v>148</v>
      </c>
      <c r="AS33" s="98"/>
      <c r="AT33" s="99"/>
      <c r="AU33" s="99"/>
      <c r="AV33" s="105"/>
      <c r="AW33" s="99" t="s">
        <v>457</v>
      </c>
      <c r="AX33" s="100"/>
      <c r="AY33" s="100"/>
      <c r="AZ33" s="107"/>
      <c r="BA33" s="81"/>
      <c r="BB33" s="81"/>
      <c r="BC33" s="81"/>
    </row>
    <row r="34" spans="1:55" ht="28" customHeight="1" x14ac:dyDescent="0.25">
      <c r="A34" s="136">
        <v>28</v>
      </c>
      <c r="B34" s="137">
        <v>45036</v>
      </c>
      <c r="C34" s="77" t="s">
        <v>134</v>
      </c>
      <c r="D34" s="77" t="s">
        <v>135</v>
      </c>
      <c r="E34" s="77" t="s">
        <v>136</v>
      </c>
      <c r="F34" s="82" t="s">
        <v>210</v>
      </c>
      <c r="G34" s="89" t="s">
        <v>227</v>
      </c>
      <c r="H34" s="138" t="s">
        <v>110</v>
      </c>
      <c r="I34" s="89" t="s">
        <v>163</v>
      </c>
      <c r="J34" s="139" t="s">
        <v>228</v>
      </c>
      <c r="K34" s="238" t="s">
        <v>80</v>
      </c>
      <c r="L34" s="238" t="s">
        <v>153</v>
      </c>
      <c r="M34" s="239" t="s">
        <v>154</v>
      </c>
      <c r="N34" s="239" t="s">
        <v>80</v>
      </c>
      <c r="O34" s="239" t="s">
        <v>155</v>
      </c>
      <c r="P34" s="103"/>
      <c r="Q34" s="134"/>
      <c r="R34" s="182">
        <f>0</f>
        <v>0</v>
      </c>
      <c r="S34" s="76">
        <f>0</f>
        <v>0</v>
      </c>
      <c r="T34" s="76">
        <f>0</f>
        <v>0</v>
      </c>
      <c r="U34" s="90">
        <v>1</v>
      </c>
      <c r="V34" s="76">
        <f>0</f>
        <v>0</v>
      </c>
      <c r="W34" s="76">
        <f>0</f>
        <v>0</v>
      </c>
      <c r="X34" s="76">
        <f>0</f>
        <v>0</v>
      </c>
      <c r="Y34" s="76">
        <f>0</f>
        <v>0</v>
      </c>
      <c r="Z34" s="76">
        <f>0</f>
        <v>0</v>
      </c>
      <c r="AA34" s="183">
        <f>0</f>
        <v>0</v>
      </c>
      <c r="AB34" s="185">
        <f>0</f>
        <v>0</v>
      </c>
      <c r="AC34" s="76">
        <f>0</f>
        <v>0</v>
      </c>
      <c r="AD34" s="76">
        <f>0</f>
        <v>0</v>
      </c>
      <c r="AE34" s="76"/>
      <c r="AF34" s="76"/>
      <c r="AG34" s="76"/>
      <c r="AH34" s="76"/>
      <c r="AI34" s="76"/>
      <c r="AJ34" s="76"/>
      <c r="AK34" s="183"/>
      <c r="AL34" s="206">
        <f t="shared" si="0"/>
        <v>1</v>
      </c>
      <c r="AM34" s="91">
        <f>0</f>
        <v>0</v>
      </c>
      <c r="AN34" s="208">
        <f t="shared" si="1"/>
        <v>1</v>
      </c>
      <c r="AO34" s="191">
        <v>45042</v>
      </c>
      <c r="AP34" s="105" t="s">
        <v>273</v>
      </c>
      <c r="AQ34" s="97" t="s">
        <v>458</v>
      </c>
      <c r="AR34" s="108" t="s">
        <v>148</v>
      </c>
      <c r="AS34" s="98"/>
      <c r="AT34" s="99"/>
      <c r="AU34" s="99"/>
      <c r="AV34" s="105"/>
      <c r="AW34" s="99" t="s">
        <v>1303</v>
      </c>
      <c r="AX34" s="100"/>
      <c r="AY34" s="100"/>
      <c r="AZ34" s="107"/>
      <c r="BA34" s="81"/>
      <c r="BB34" s="81"/>
      <c r="BC34" s="81"/>
    </row>
    <row r="35" spans="1:55" ht="28" customHeight="1" x14ac:dyDescent="0.25">
      <c r="A35" s="136">
        <v>29</v>
      </c>
      <c r="B35" s="137">
        <v>45036</v>
      </c>
      <c r="C35" s="77" t="s">
        <v>134</v>
      </c>
      <c r="D35" s="77" t="s">
        <v>135</v>
      </c>
      <c r="E35" s="77" t="s">
        <v>136</v>
      </c>
      <c r="F35" s="82" t="s">
        <v>210</v>
      </c>
      <c r="G35" s="89" t="s">
        <v>229</v>
      </c>
      <c r="H35" s="138" t="s">
        <v>110</v>
      </c>
      <c r="I35" s="89" t="s">
        <v>230</v>
      </c>
      <c r="J35" s="139" t="s">
        <v>231</v>
      </c>
      <c r="K35" s="238" t="s">
        <v>80</v>
      </c>
      <c r="L35" s="238" t="s">
        <v>153</v>
      </c>
      <c r="M35" s="239" t="s">
        <v>154</v>
      </c>
      <c r="N35" s="239" t="s">
        <v>80</v>
      </c>
      <c r="O35" s="239" t="s">
        <v>155</v>
      </c>
      <c r="P35" s="103"/>
      <c r="Q35" s="134"/>
      <c r="R35" s="182">
        <f>0</f>
        <v>0</v>
      </c>
      <c r="S35" s="76">
        <f>0</f>
        <v>0</v>
      </c>
      <c r="T35" s="76">
        <f>0</f>
        <v>0</v>
      </c>
      <c r="U35" s="90">
        <v>1</v>
      </c>
      <c r="V35" s="76">
        <f>0</f>
        <v>0</v>
      </c>
      <c r="W35" s="76">
        <f>0</f>
        <v>0</v>
      </c>
      <c r="X35" s="76">
        <f>0</f>
        <v>0</v>
      </c>
      <c r="Y35" s="76">
        <f>0</f>
        <v>0</v>
      </c>
      <c r="Z35" s="76">
        <f>0</f>
        <v>0</v>
      </c>
      <c r="AA35" s="183">
        <f>0</f>
        <v>0</v>
      </c>
      <c r="AB35" s="185">
        <f>0</f>
        <v>0</v>
      </c>
      <c r="AC35" s="76">
        <f>0</f>
        <v>0</v>
      </c>
      <c r="AD35" s="76">
        <f>0</f>
        <v>0</v>
      </c>
      <c r="AE35" s="76"/>
      <c r="AF35" s="76"/>
      <c r="AG35" s="76"/>
      <c r="AH35" s="76"/>
      <c r="AI35" s="76"/>
      <c r="AJ35" s="76"/>
      <c r="AK35" s="183"/>
      <c r="AL35" s="206">
        <f t="shared" si="0"/>
        <v>1</v>
      </c>
      <c r="AM35" s="91">
        <f>0</f>
        <v>0</v>
      </c>
      <c r="AN35" s="208">
        <f t="shared" si="1"/>
        <v>1</v>
      </c>
      <c r="AO35" s="191">
        <v>45042</v>
      </c>
      <c r="AP35" s="105" t="s">
        <v>273</v>
      </c>
      <c r="AQ35" s="97" t="s">
        <v>458</v>
      </c>
      <c r="AR35" s="108" t="s">
        <v>148</v>
      </c>
      <c r="AS35" s="98"/>
      <c r="AT35" s="99"/>
      <c r="AU35" s="99"/>
      <c r="AV35" s="105"/>
      <c r="AW35" s="99" t="s">
        <v>1303</v>
      </c>
      <c r="AX35" s="100"/>
      <c r="AY35" s="100"/>
      <c r="AZ35" s="107"/>
      <c r="BA35" s="81"/>
      <c r="BB35" s="81"/>
      <c r="BC35" s="81"/>
    </row>
    <row r="36" spans="1:55" ht="28" customHeight="1" x14ac:dyDescent="0.25">
      <c r="A36" s="136">
        <v>30</v>
      </c>
      <c r="B36" s="137">
        <v>45036</v>
      </c>
      <c r="C36" s="77" t="s">
        <v>134</v>
      </c>
      <c r="D36" s="77" t="s">
        <v>135</v>
      </c>
      <c r="E36" s="77" t="s">
        <v>136</v>
      </c>
      <c r="F36" s="82" t="s">
        <v>210</v>
      </c>
      <c r="G36" s="89" t="s">
        <v>232</v>
      </c>
      <c r="H36" s="138" t="s">
        <v>110</v>
      </c>
      <c r="I36" s="89" t="s">
        <v>233</v>
      </c>
      <c r="J36" s="139" t="s">
        <v>234</v>
      </c>
      <c r="K36" s="238" t="s">
        <v>80</v>
      </c>
      <c r="L36" s="238" t="s">
        <v>153</v>
      </c>
      <c r="M36" s="239" t="s">
        <v>154</v>
      </c>
      <c r="N36" s="239" t="s">
        <v>80</v>
      </c>
      <c r="O36" s="239" t="s">
        <v>155</v>
      </c>
      <c r="P36" s="103"/>
      <c r="Q36" s="134"/>
      <c r="R36" s="182">
        <f>0</f>
        <v>0</v>
      </c>
      <c r="S36" s="76">
        <f>0</f>
        <v>0</v>
      </c>
      <c r="T36" s="76">
        <f>0</f>
        <v>0</v>
      </c>
      <c r="U36" s="90">
        <v>1</v>
      </c>
      <c r="V36" s="76">
        <f>0</f>
        <v>0</v>
      </c>
      <c r="W36" s="76">
        <f>0</f>
        <v>0</v>
      </c>
      <c r="X36" s="76">
        <f>0</f>
        <v>0</v>
      </c>
      <c r="Y36" s="76">
        <f>0</f>
        <v>0</v>
      </c>
      <c r="Z36" s="76">
        <f>0</f>
        <v>0</v>
      </c>
      <c r="AA36" s="183">
        <f>0</f>
        <v>0</v>
      </c>
      <c r="AB36" s="185">
        <f>0</f>
        <v>0</v>
      </c>
      <c r="AC36" s="76">
        <f>0</f>
        <v>0</v>
      </c>
      <c r="AD36" s="76">
        <f>0</f>
        <v>0</v>
      </c>
      <c r="AE36" s="76"/>
      <c r="AF36" s="76"/>
      <c r="AG36" s="76"/>
      <c r="AH36" s="76"/>
      <c r="AI36" s="76"/>
      <c r="AJ36" s="76"/>
      <c r="AK36" s="183"/>
      <c r="AL36" s="206">
        <f t="shared" si="0"/>
        <v>1</v>
      </c>
      <c r="AM36" s="91">
        <f>0</f>
        <v>0</v>
      </c>
      <c r="AN36" s="208">
        <f t="shared" si="1"/>
        <v>1</v>
      </c>
      <c r="AO36" s="191">
        <v>45042</v>
      </c>
      <c r="AP36" s="105" t="s">
        <v>273</v>
      </c>
      <c r="AQ36" s="97" t="s">
        <v>458</v>
      </c>
      <c r="AR36" s="108" t="s">
        <v>148</v>
      </c>
      <c r="AS36" s="98"/>
      <c r="AT36" s="99"/>
      <c r="AU36" s="99"/>
      <c r="AV36" s="105"/>
      <c r="AW36" s="99" t="s">
        <v>457</v>
      </c>
      <c r="AX36" s="100"/>
      <c r="AY36" s="100"/>
      <c r="AZ36" s="107"/>
      <c r="BA36" s="81"/>
      <c r="BB36" s="81"/>
      <c r="BC36" s="81"/>
    </row>
    <row r="37" spans="1:55" ht="28" customHeight="1" x14ac:dyDescent="0.25">
      <c r="A37" s="136">
        <v>31</v>
      </c>
      <c r="B37" s="137">
        <v>45036</v>
      </c>
      <c r="C37" s="77" t="s">
        <v>134</v>
      </c>
      <c r="D37" s="77" t="s">
        <v>135</v>
      </c>
      <c r="E37" s="77" t="s">
        <v>136</v>
      </c>
      <c r="F37" s="82" t="s">
        <v>210</v>
      </c>
      <c r="G37" s="89" t="s">
        <v>235</v>
      </c>
      <c r="H37" s="138" t="s">
        <v>110</v>
      </c>
      <c r="I37" s="89" t="s">
        <v>236</v>
      </c>
      <c r="J37" s="139" t="s">
        <v>237</v>
      </c>
      <c r="K37" s="238" t="s">
        <v>80</v>
      </c>
      <c r="L37" s="238" t="s">
        <v>153</v>
      </c>
      <c r="M37" s="239" t="s">
        <v>154</v>
      </c>
      <c r="N37" s="239"/>
      <c r="O37" s="239" t="s">
        <v>155</v>
      </c>
      <c r="P37" s="103"/>
      <c r="Q37" s="134"/>
      <c r="R37" s="182">
        <f>0</f>
        <v>0</v>
      </c>
      <c r="S37" s="76">
        <f>0</f>
        <v>0</v>
      </c>
      <c r="T37" s="76">
        <f>0</f>
        <v>0</v>
      </c>
      <c r="U37" s="90">
        <v>1</v>
      </c>
      <c r="V37" s="76">
        <f>0</f>
        <v>0</v>
      </c>
      <c r="W37" s="76">
        <f>0</f>
        <v>0</v>
      </c>
      <c r="X37" s="76">
        <f>0</f>
        <v>0</v>
      </c>
      <c r="Y37" s="76">
        <f>0</f>
        <v>0</v>
      </c>
      <c r="Z37" s="76">
        <f>0</f>
        <v>0</v>
      </c>
      <c r="AA37" s="183">
        <f>0</f>
        <v>0</v>
      </c>
      <c r="AB37" s="185">
        <f>0</f>
        <v>0</v>
      </c>
      <c r="AC37" s="76">
        <f>0</f>
        <v>0</v>
      </c>
      <c r="AD37" s="76">
        <f>0</f>
        <v>0</v>
      </c>
      <c r="AE37" s="76"/>
      <c r="AF37" s="76"/>
      <c r="AG37" s="76"/>
      <c r="AH37" s="76"/>
      <c r="AI37" s="76"/>
      <c r="AJ37" s="76"/>
      <c r="AK37" s="183"/>
      <c r="AL37" s="206">
        <f t="shared" si="0"/>
        <v>1</v>
      </c>
      <c r="AM37" s="91">
        <f>0</f>
        <v>0</v>
      </c>
      <c r="AN37" s="208">
        <f t="shared" si="1"/>
        <v>1</v>
      </c>
      <c r="AO37" s="191">
        <v>45042</v>
      </c>
      <c r="AP37" s="105" t="s">
        <v>273</v>
      </c>
      <c r="AQ37" s="97" t="s">
        <v>458</v>
      </c>
      <c r="AR37" s="108" t="s">
        <v>148</v>
      </c>
      <c r="AS37" s="98"/>
      <c r="AT37" s="104"/>
      <c r="AU37" s="104"/>
      <c r="AV37" s="105"/>
      <c r="AW37" s="99" t="s">
        <v>1303</v>
      </c>
      <c r="AX37" s="106"/>
      <c r="AY37" s="106"/>
      <c r="AZ37" s="107"/>
      <c r="BA37" s="81"/>
      <c r="BB37" s="81"/>
      <c r="BC37" s="81"/>
    </row>
    <row r="38" spans="1:55" ht="28" customHeight="1" x14ac:dyDescent="0.25">
      <c r="A38" s="136">
        <v>32</v>
      </c>
      <c r="B38" s="137">
        <v>45036</v>
      </c>
      <c r="C38" s="77" t="s">
        <v>134</v>
      </c>
      <c r="D38" s="77" t="s">
        <v>135</v>
      </c>
      <c r="E38" s="77" t="s">
        <v>136</v>
      </c>
      <c r="F38" s="82" t="s">
        <v>210</v>
      </c>
      <c r="G38" s="89" t="s">
        <v>238</v>
      </c>
      <c r="H38" s="138" t="s">
        <v>110</v>
      </c>
      <c r="I38" s="89" t="s">
        <v>239</v>
      </c>
      <c r="J38" s="139" t="s">
        <v>240</v>
      </c>
      <c r="K38" s="238" t="s">
        <v>80</v>
      </c>
      <c r="L38" s="238" t="s">
        <v>153</v>
      </c>
      <c r="M38" s="239" t="s">
        <v>154</v>
      </c>
      <c r="N38" s="239" t="s">
        <v>80</v>
      </c>
      <c r="O38" s="239" t="s">
        <v>155</v>
      </c>
      <c r="P38" s="103"/>
      <c r="Q38" s="134"/>
      <c r="R38" s="182">
        <f>0</f>
        <v>0</v>
      </c>
      <c r="S38" s="76">
        <f>0</f>
        <v>0</v>
      </c>
      <c r="T38" s="76">
        <f>0</f>
        <v>0</v>
      </c>
      <c r="U38" s="90">
        <v>1</v>
      </c>
      <c r="V38" s="76">
        <f>0</f>
        <v>0</v>
      </c>
      <c r="W38" s="76">
        <f>0</f>
        <v>0</v>
      </c>
      <c r="X38" s="76">
        <f>0</f>
        <v>0</v>
      </c>
      <c r="Y38" s="76">
        <f>0</f>
        <v>0</v>
      </c>
      <c r="Z38" s="76">
        <f>0</f>
        <v>0</v>
      </c>
      <c r="AA38" s="183">
        <f>0</f>
        <v>0</v>
      </c>
      <c r="AB38" s="185">
        <f>0</f>
        <v>0</v>
      </c>
      <c r="AC38" s="76">
        <f>0</f>
        <v>0</v>
      </c>
      <c r="AD38" s="76">
        <f>0</f>
        <v>0</v>
      </c>
      <c r="AE38" s="76"/>
      <c r="AF38" s="76"/>
      <c r="AG38" s="76"/>
      <c r="AH38" s="76"/>
      <c r="AI38" s="76"/>
      <c r="AJ38" s="76"/>
      <c r="AK38" s="183"/>
      <c r="AL38" s="206">
        <f t="shared" si="0"/>
        <v>1</v>
      </c>
      <c r="AM38" s="91">
        <f>0</f>
        <v>0</v>
      </c>
      <c r="AN38" s="208">
        <f t="shared" si="1"/>
        <v>1</v>
      </c>
      <c r="AO38" s="191">
        <v>45042</v>
      </c>
      <c r="AP38" s="105" t="s">
        <v>273</v>
      </c>
      <c r="AQ38" s="97" t="s">
        <v>458</v>
      </c>
      <c r="AR38" s="108" t="s">
        <v>148</v>
      </c>
      <c r="AS38" s="98"/>
      <c r="AT38" s="104"/>
      <c r="AU38" s="104"/>
      <c r="AV38" s="105"/>
      <c r="AW38" s="99" t="s">
        <v>1303</v>
      </c>
      <c r="AX38" s="106"/>
      <c r="AY38" s="106"/>
      <c r="AZ38" s="107"/>
      <c r="BA38" s="81"/>
      <c r="BB38" s="81"/>
      <c r="BC38" s="81"/>
    </row>
    <row r="39" spans="1:55" ht="28" customHeight="1" x14ac:dyDescent="0.25">
      <c r="A39" s="136">
        <v>33</v>
      </c>
      <c r="B39" s="137">
        <v>45036</v>
      </c>
      <c r="C39" s="77" t="s">
        <v>134</v>
      </c>
      <c r="D39" s="77" t="s">
        <v>135</v>
      </c>
      <c r="E39" s="77" t="s">
        <v>136</v>
      </c>
      <c r="F39" s="82" t="s">
        <v>210</v>
      </c>
      <c r="G39" s="89" t="s">
        <v>241</v>
      </c>
      <c r="H39" s="138" t="s">
        <v>110</v>
      </c>
      <c r="I39" s="89" t="s">
        <v>242</v>
      </c>
      <c r="J39" s="139" t="s">
        <v>243</v>
      </c>
      <c r="K39" s="238"/>
      <c r="L39" s="238" t="s">
        <v>153</v>
      </c>
      <c r="M39" s="239" t="s">
        <v>154</v>
      </c>
      <c r="N39" s="239"/>
      <c r="O39" s="239" t="s">
        <v>155</v>
      </c>
      <c r="P39" s="103"/>
      <c r="Q39" s="134"/>
      <c r="R39" s="182">
        <f>0</f>
        <v>0</v>
      </c>
      <c r="S39" s="76">
        <f>0</f>
        <v>0</v>
      </c>
      <c r="T39" s="76">
        <f>0</f>
        <v>0</v>
      </c>
      <c r="U39" s="90">
        <v>1</v>
      </c>
      <c r="V39" s="76">
        <f>0</f>
        <v>0</v>
      </c>
      <c r="W39" s="76">
        <f>0</f>
        <v>0</v>
      </c>
      <c r="X39" s="76">
        <f>0</f>
        <v>0</v>
      </c>
      <c r="Y39" s="76">
        <f>0</f>
        <v>0</v>
      </c>
      <c r="Z39" s="76">
        <f>0</f>
        <v>0</v>
      </c>
      <c r="AA39" s="183">
        <f>0</f>
        <v>0</v>
      </c>
      <c r="AB39" s="185">
        <f>0</f>
        <v>0</v>
      </c>
      <c r="AC39" s="76">
        <f>0</f>
        <v>0</v>
      </c>
      <c r="AD39" s="76">
        <f>0</f>
        <v>0</v>
      </c>
      <c r="AE39" s="76"/>
      <c r="AF39" s="76"/>
      <c r="AG39" s="76"/>
      <c r="AH39" s="76"/>
      <c r="AI39" s="76"/>
      <c r="AJ39" s="76"/>
      <c r="AK39" s="183"/>
      <c r="AL39" s="206">
        <f t="shared" si="0"/>
        <v>1</v>
      </c>
      <c r="AM39" s="91">
        <f>0</f>
        <v>0</v>
      </c>
      <c r="AN39" s="208">
        <f t="shared" si="1"/>
        <v>1</v>
      </c>
      <c r="AO39" s="191">
        <v>45042</v>
      </c>
      <c r="AP39" s="105" t="s">
        <v>273</v>
      </c>
      <c r="AQ39" s="97" t="s">
        <v>458</v>
      </c>
      <c r="AR39" s="108" t="s">
        <v>148</v>
      </c>
      <c r="AS39" s="98"/>
      <c r="AT39" s="104"/>
      <c r="AU39" s="104"/>
      <c r="AV39" s="105"/>
      <c r="AW39" s="99" t="s">
        <v>1303</v>
      </c>
      <c r="AX39" s="106"/>
      <c r="AY39" s="106"/>
      <c r="AZ39" s="107"/>
      <c r="BA39" s="81"/>
      <c r="BB39" s="81"/>
      <c r="BC39" s="81"/>
    </row>
    <row r="40" spans="1:55" ht="28" customHeight="1" x14ac:dyDescent="0.25">
      <c r="A40" s="136">
        <v>34</v>
      </c>
      <c r="B40" s="137">
        <v>45036</v>
      </c>
      <c r="C40" s="77" t="s">
        <v>134</v>
      </c>
      <c r="D40" s="77" t="s">
        <v>135</v>
      </c>
      <c r="E40" s="77" t="s">
        <v>136</v>
      </c>
      <c r="F40" s="82" t="s">
        <v>210</v>
      </c>
      <c r="G40" s="89" t="s">
        <v>244</v>
      </c>
      <c r="H40" s="138" t="s">
        <v>110</v>
      </c>
      <c r="I40" s="89" t="s">
        <v>245</v>
      </c>
      <c r="J40" s="139" t="s">
        <v>246</v>
      </c>
      <c r="K40" s="238" t="s">
        <v>80</v>
      </c>
      <c r="L40" s="238" t="s">
        <v>153</v>
      </c>
      <c r="M40" s="239" t="s">
        <v>154</v>
      </c>
      <c r="N40" s="239" t="s">
        <v>80</v>
      </c>
      <c r="O40" s="239" t="s">
        <v>155</v>
      </c>
      <c r="P40" s="103"/>
      <c r="Q40" s="134"/>
      <c r="R40" s="182">
        <f>0</f>
        <v>0</v>
      </c>
      <c r="S40" s="76">
        <f>0</f>
        <v>0</v>
      </c>
      <c r="T40" s="76">
        <f>0</f>
        <v>0</v>
      </c>
      <c r="U40" s="90">
        <v>1</v>
      </c>
      <c r="V40" s="76">
        <f>0</f>
        <v>0</v>
      </c>
      <c r="W40" s="76">
        <f>0</f>
        <v>0</v>
      </c>
      <c r="X40" s="76">
        <f>0</f>
        <v>0</v>
      </c>
      <c r="Y40" s="76">
        <f>0</f>
        <v>0</v>
      </c>
      <c r="Z40" s="76">
        <f>0</f>
        <v>0</v>
      </c>
      <c r="AA40" s="183">
        <f>0</f>
        <v>0</v>
      </c>
      <c r="AB40" s="185">
        <f>0</f>
        <v>0</v>
      </c>
      <c r="AC40" s="76">
        <f>0</f>
        <v>0</v>
      </c>
      <c r="AD40" s="76">
        <f>0</f>
        <v>0</v>
      </c>
      <c r="AE40" s="76"/>
      <c r="AF40" s="76"/>
      <c r="AG40" s="76"/>
      <c r="AH40" s="76"/>
      <c r="AI40" s="76"/>
      <c r="AJ40" s="76"/>
      <c r="AK40" s="183"/>
      <c r="AL40" s="206">
        <f t="shared" si="0"/>
        <v>1</v>
      </c>
      <c r="AM40" s="91">
        <f>0</f>
        <v>0</v>
      </c>
      <c r="AN40" s="208">
        <f t="shared" si="1"/>
        <v>1</v>
      </c>
      <c r="AO40" s="191">
        <v>45042</v>
      </c>
      <c r="AP40" s="105" t="s">
        <v>273</v>
      </c>
      <c r="AQ40" s="97" t="s">
        <v>458</v>
      </c>
      <c r="AR40" s="108" t="s">
        <v>148</v>
      </c>
      <c r="AS40" s="98"/>
      <c r="AT40" s="104"/>
      <c r="AU40" s="104"/>
      <c r="AV40" s="105"/>
      <c r="AW40" s="99" t="s">
        <v>1303</v>
      </c>
      <c r="AX40" s="106"/>
      <c r="AY40" s="106"/>
      <c r="AZ40" s="107"/>
      <c r="BA40" s="81"/>
      <c r="BB40" s="81"/>
      <c r="BC40" s="81"/>
    </row>
    <row r="41" spans="1:55" ht="28" customHeight="1" x14ac:dyDescent="0.25">
      <c r="A41" s="136">
        <v>35</v>
      </c>
      <c r="B41" s="137">
        <v>45036</v>
      </c>
      <c r="C41" s="77" t="s">
        <v>134</v>
      </c>
      <c r="D41" s="77" t="s">
        <v>135</v>
      </c>
      <c r="E41" s="77" t="s">
        <v>136</v>
      </c>
      <c r="F41" s="82" t="s">
        <v>210</v>
      </c>
      <c r="G41" s="89" t="s">
        <v>247</v>
      </c>
      <c r="H41" s="138" t="s">
        <v>110</v>
      </c>
      <c r="I41" s="89" t="s">
        <v>248</v>
      </c>
      <c r="J41" s="139" t="s">
        <v>249</v>
      </c>
      <c r="K41" s="238" t="s">
        <v>80</v>
      </c>
      <c r="L41" s="238" t="s">
        <v>168</v>
      </c>
      <c r="M41" s="239" t="s">
        <v>154</v>
      </c>
      <c r="N41" s="239"/>
      <c r="O41" s="239" t="s">
        <v>149</v>
      </c>
      <c r="P41" s="103"/>
      <c r="Q41" s="134"/>
      <c r="R41" s="182">
        <f>0</f>
        <v>0</v>
      </c>
      <c r="S41" s="76">
        <f>0</f>
        <v>0</v>
      </c>
      <c r="T41" s="76">
        <f>0</f>
        <v>0</v>
      </c>
      <c r="U41" s="90">
        <v>1</v>
      </c>
      <c r="V41" s="76">
        <f>0</f>
        <v>0</v>
      </c>
      <c r="W41" s="76">
        <f>0</f>
        <v>0</v>
      </c>
      <c r="X41" s="76">
        <f>0</f>
        <v>0</v>
      </c>
      <c r="Y41" s="76">
        <f>0</f>
        <v>0</v>
      </c>
      <c r="Z41" s="76">
        <f>0</f>
        <v>0</v>
      </c>
      <c r="AA41" s="183">
        <f>0</f>
        <v>0</v>
      </c>
      <c r="AB41" s="185">
        <f>0</f>
        <v>0</v>
      </c>
      <c r="AC41" s="76">
        <f>0</f>
        <v>0</v>
      </c>
      <c r="AD41" s="76">
        <f>0</f>
        <v>0</v>
      </c>
      <c r="AE41" s="76"/>
      <c r="AF41" s="76"/>
      <c r="AG41" s="76"/>
      <c r="AH41" s="76"/>
      <c r="AI41" s="76"/>
      <c r="AJ41" s="76"/>
      <c r="AK41" s="183"/>
      <c r="AL41" s="206">
        <f t="shared" si="0"/>
        <v>1</v>
      </c>
      <c r="AM41" s="91">
        <f>0</f>
        <v>0</v>
      </c>
      <c r="AN41" s="208">
        <f t="shared" si="1"/>
        <v>1</v>
      </c>
      <c r="AO41" s="192">
        <v>45057</v>
      </c>
      <c r="AP41" s="105" t="s">
        <v>273</v>
      </c>
      <c r="AQ41" s="97" t="s">
        <v>459</v>
      </c>
      <c r="AR41" s="108" t="s">
        <v>148</v>
      </c>
      <c r="AS41" s="98"/>
      <c r="AT41" s="104"/>
      <c r="AU41" s="104">
        <v>1</v>
      </c>
      <c r="AV41" s="105"/>
      <c r="AW41" s="99" t="s">
        <v>457</v>
      </c>
      <c r="AX41" s="106"/>
      <c r="AY41" s="106"/>
      <c r="AZ41" s="107"/>
      <c r="BA41" s="81"/>
      <c r="BB41" s="81"/>
      <c r="BC41" s="81"/>
    </row>
    <row r="42" spans="1:55" ht="28" customHeight="1" x14ac:dyDescent="0.25">
      <c r="A42" s="136">
        <v>36</v>
      </c>
      <c r="B42" s="137">
        <v>45040</v>
      </c>
      <c r="C42" s="77" t="s">
        <v>134</v>
      </c>
      <c r="D42" s="77" t="s">
        <v>135</v>
      </c>
      <c r="E42" s="77" t="s">
        <v>136</v>
      </c>
      <c r="F42" s="82" t="s">
        <v>210</v>
      </c>
      <c r="G42" s="89" t="s">
        <v>252</v>
      </c>
      <c r="H42" s="138" t="s">
        <v>110</v>
      </c>
      <c r="I42" s="89" t="s">
        <v>253</v>
      </c>
      <c r="J42" s="139" t="s">
        <v>254</v>
      </c>
      <c r="K42" s="238" t="s">
        <v>80</v>
      </c>
      <c r="L42" s="238" t="s">
        <v>153</v>
      </c>
      <c r="M42" s="239" t="s">
        <v>154</v>
      </c>
      <c r="N42" s="239" t="s">
        <v>80</v>
      </c>
      <c r="O42" s="239" t="s">
        <v>155</v>
      </c>
      <c r="P42" s="103"/>
      <c r="Q42" s="134"/>
      <c r="R42" s="182">
        <f>0</f>
        <v>0</v>
      </c>
      <c r="S42" s="76">
        <f>0</f>
        <v>0</v>
      </c>
      <c r="T42" s="76">
        <f>0</f>
        <v>0</v>
      </c>
      <c r="U42" s="90">
        <v>1</v>
      </c>
      <c r="V42" s="76">
        <f>0</f>
        <v>0</v>
      </c>
      <c r="W42" s="76">
        <f>0</f>
        <v>0</v>
      </c>
      <c r="X42" s="76">
        <f>0</f>
        <v>0</v>
      </c>
      <c r="Y42" s="76">
        <f>0</f>
        <v>0</v>
      </c>
      <c r="Z42" s="76">
        <f>0</f>
        <v>0</v>
      </c>
      <c r="AA42" s="183">
        <f>0</f>
        <v>0</v>
      </c>
      <c r="AB42" s="185">
        <f>0</f>
        <v>0</v>
      </c>
      <c r="AC42" s="76">
        <f>0</f>
        <v>0</v>
      </c>
      <c r="AD42" s="76">
        <f>0</f>
        <v>0</v>
      </c>
      <c r="AE42" s="76"/>
      <c r="AF42" s="76"/>
      <c r="AG42" s="76"/>
      <c r="AH42" s="76"/>
      <c r="AI42" s="76"/>
      <c r="AJ42" s="76"/>
      <c r="AK42" s="183"/>
      <c r="AL42" s="206">
        <f t="shared" si="0"/>
        <v>1</v>
      </c>
      <c r="AM42" s="91">
        <f>0</f>
        <v>0</v>
      </c>
      <c r="AN42" s="208">
        <f t="shared" si="1"/>
        <v>1</v>
      </c>
      <c r="AO42" s="191">
        <v>45042</v>
      </c>
      <c r="AP42" s="105" t="s">
        <v>273</v>
      </c>
      <c r="AQ42" s="97" t="s">
        <v>458</v>
      </c>
      <c r="AR42" s="108" t="s">
        <v>148</v>
      </c>
      <c r="AS42" s="98"/>
      <c r="AT42" s="104"/>
      <c r="AU42" s="104">
        <v>1</v>
      </c>
      <c r="AV42" s="105"/>
      <c r="AW42" s="104" t="s">
        <v>457</v>
      </c>
      <c r="AX42" s="106"/>
      <c r="AY42" s="106"/>
      <c r="AZ42" s="107"/>
      <c r="BA42" s="81"/>
      <c r="BB42" s="81"/>
      <c r="BC42" s="81"/>
    </row>
    <row r="43" spans="1:55" ht="28" customHeight="1" x14ac:dyDescent="0.25">
      <c r="A43" s="136">
        <v>37</v>
      </c>
      <c r="B43" s="137">
        <v>45040</v>
      </c>
      <c r="C43" s="77" t="s">
        <v>134</v>
      </c>
      <c r="D43" s="77" t="s">
        <v>135</v>
      </c>
      <c r="E43" s="77" t="s">
        <v>136</v>
      </c>
      <c r="F43" s="82" t="s">
        <v>210</v>
      </c>
      <c r="G43" s="89" t="s">
        <v>255</v>
      </c>
      <c r="H43" s="138" t="s">
        <v>110</v>
      </c>
      <c r="I43" s="89" t="s">
        <v>256</v>
      </c>
      <c r="J43" s="139" t="s">
        <v>257</v>
      </c>
      <c r="K43" s="238"/>
      <c r="L43" s="238" t="s">
        <v>193</v>
      </c>
      <c r="M43" s="239" t="s">
        <v>154</v>
      </c>
      <c r="N43" s="239" t="s">
        <v>212</v>
      </c>
      <c r="O43" s="239" t="s">
        <v>258</v>
      </c>
      <c r="P43" s="103"/>
      <c r="Q43" s="134"/>
      <c r="R43" s="182">
        <f>0</f>
        <v>0</v>
      </c>
      <c r="S43" s="76">
        <f>0</f>
        <v>0</v>
      </c>
      <c r="T43" s="76">
        <f>0</f>
        <v>0</v>
      </c>
      <c r="U43" s="90">
        <v>4</v>
      </c>
      <c r="V43" s="76">
        <f>0</f>
        <v>0</v>
      </c>
      <c r="W43" s="76">
        <f>0</f>
        <v>0</v>
      </c>
      <c r="X43" s="76">
        <f>0</f>
        <v>0</v>
      </c>
      <c r="Y43" s="76">
        <f>0</f>
        <v>0</v>
      </c>
      <c r="Z43" s="76">
        <f>0</f>
        <v>0</v>
      </c>
      <c r="AA43" s="183">
        <f>0</f>
        <v>0</v>
      </c>
      <c r="AB43" s="185">
        <f>0</f>
        <v>0</v>
      </c>
      <c r="AC43" s="76">
        <f>0</f>
        <v>0</v>
      </c>
      <c r="AD43" s="76">
        <f>0</f>
        <v>0</v>
      </c>
      <c r="AE43" s="76"/>
      <c r="AF43" s="76"/>
      <c r="AG43" s="76"/>
      <c r="AH43" s="76"/>
      <c r="AI43" s="76"/>
      <c r="AJ43" s="76"/>
      <c r="AK43" s="183"/>
      <c r="AL43" s="206">
        <f t="shared" si="0"/>
        <v>4</v>
      </c>
      <c r="AM43" s="91">
        <f>0</f>
        <v>0</v>
      </c>
      <c r="AN43" s="208">
        <f t="shared" si="1"/>
        <v>4</v>
      </c>
      <c r="AO43" s="191">
        <v>45042</v>
      </c>
      <c r="AP43" s="105" t="s">
        <v>273</v>
      </c>
      <c r="AQ43" s="97" t="s">
        <v>458</v>
      </c>
      <c r="AR43" s="108" t="s">
        <v>148</v>
      </c>
      <c r="AS43" s="98"/>
      <c r="AT43" s="104"/>
      <c r="AU43" s="104">
        <v>4</v>
      </c>
      <c r="AV43" s="105"/>
      <c r="AW43" s="104" t="s">
        <v>457</v>
      </c>
      <c r="AX43" s="106"/>
      <c r="AY43" s="106"/>
      <c r="AZ43" s="107"/>
      <c r="BA43" s="81"/>
      <c r="BB43" s="81"/>
      <c r="BC43" s="81"/>
    </row>
    <row r="44" spans="1:55" ht="28" customHeight="1" x14ac:dyDescent="0.25">
      <c r="A44" s="136">
        <v>38</v>
      </c>
      <c r="B44" s="137">
        <v>45040</v>
      </c>
      <c r="C44" s="77" t="s">
        <v>134</v>
      </c>
      <c r="D44" s="77" t="s">
        <v>135</v>
      </c>
      <c r="E44" s="77" t="s">
        <v>136</v>
      </c>
      <c r="F44" s="82" t="s">
        <v>210</v>
      </c>
      <c r="G44" s="89" t="s">
        <v>259</v>
      </c>
      <c r="H44" s="138" t="s">
        <v>110</v>
      </c>
      <c r="I44" s="89" t="s">
        <v>260</v>
      </c>
      <c r="J44" s="139" t="s">
        <v>261</v>
      </c>
      <c r="K44" s="238" t="s">
        <v>80</v>
      </c>
      <c r="L44" s="238" t="s">
        <v>193</v>
      </c>
      <c r="M44" s="239" t="s">
        <v>154</v>
      </c>
      <c r="N44" s="239" t="s">
        <v>80</v>
      </c>
      <c r="O44" s="239" t="s">
        <v>258</v>
      </c>
      <c r="P44" s="103"/>
      <c r="Q44" s="134"/>
      <c r="R44" s="182">
        <f>0</f>
        <v>0</v>
      </c>
      <c r="S44" s="76">
        <f>0</f>
        <v>0</v>
      </c>
      <c r="T44" s="76">
        <f>0</f>
        <v>0</v>
      </c>
      <c r="U44" s="90">
        <v>2</v>
      </c>
      <c r="V44" s="76">
        <f>0</f>
        <v>0</v>
      </c>
      <c r="W44" s="76">
        <f>0</f>
        <v>0</v>
      </c>
      <c r="X44" s="76">
        <f>0</f>
        <v>0</v>
      </c>
      <c r="Y44" s="76">
        <f>0</f>
        <v>0</v>
      </c>
      <c r="Z44" s="76">
        <f>0</f>
        <v>0</v>
      </c>
      <c r="AA44" s="183">
        <f>0</f>
        <v>0</v>
      </c>
      <c r="AB44" s="185">
        <f>0</f>
        <v>0</v>
      </c>
      <c r="AC44" s="76">
        <f>0</f>
        <v>0</v>
      </c>
      <c r="AD44" s="76">
        <f>0</f>
        <v>0</v>
      </c>
      <c r="AE44" s="76"/>
      <c r="AF44" s="76"/>
      <c r="AG44" s="76"/>
      <c r="AH44" s="76"/>
      <c r="AI44" s="76"/>
      <c r="AJ44" s="76"/>
      <c r="AK44" s="183"/>
      <c r="AL44" s="206">
        <f t="shared" si="0"/>
        <v>2</v>
      </c>
      <c r="AM44" s="91">
        <f>0</f>
        <v>0</v>
      </c>
      <c r="AN44" s="208">
        <f t="shared" si="1"/>
        <v>2</v>
      </c>
      <c r="AO44" s="191">
        <v>45042</v>
      </c>
      <c r="AP44" s="105" t="s">
        <v>273</v>
      </c>
      <c r="AQ44" s="97" t="s">
        <v>458</v>
      </c>
      <c r="AR44" s="108" t="s">
        <v>148</v>
      </c>
      <c r="AS44" s="98"/>
      <c r="AT44" s="104"/>
      <c r="AU44" s="104">
        <v>2</v>
      </c>
      <c r="AV44" s="105"/>
      <c r="AW44" s="104" t="s">
        <v>457</v>
      </c>
      <c r="AX44" s="106"/>
      <c r="AY44" s="106"/>
      <c r="AZ44" s="107"/>
      <c r="BA44" s="81"/>
      <c r="BB44" s="81"/>
      <c r="BC44" s="81"/>
    </row>
    <row r="45" spans="1:55" ht="28" customHeight="1" x14ac:dyDescent="0.25">
      <c r="A45" s="131">
        <v>39</v>
      </c>
      <c r="B45" s="132">
        <v>45040</v>
      </c>
      <c r="C45" s="77" t="s">
        <v>134</v>
      </c>
      <c r="D45" s="77" t="s">
        <v>135</v>
      </c>
      <c r="E45" s="77" t="s">
        <v>136</v>
      </c>
      <c r="F45" s="86" t="s">
        <v>210</v>
      </c>
      <c r="G45" s="103" t="s">
        <v>262</v>
      </c>
      <c r="H45" s="133" t="s">
        <v>110</v>
      </c>
      <c r="I45" s="103" t="s">
        <v>263</v>
      </c>
      <c r="J45" s="134" t="s">
        <v>264</v>
      </c>
      <c r="K45" s="238"/>
      <c r="L45" s="167" t="s">
        <v>209</v>
      </c>
      <c r="M45" s="140" t="s">
        <v>114</v>
      </c>
      <c r="N45" s="140"/>
      <c r="O45" s="140" t="s">
        <v>80</v>
      </c>
      <c r="P45" s="103"/>
      <c r="Q45" s="134"/>
      <c r="R45" s="182">
        <f>0</f>
        <v>0</v>
      </c>
      <c r="S45" s="76">
        <f>0</f>
        <v>0</v>
      </c>
      <c r="T45" s="76">
        <f>0</f>
        <v>0</v>
      </c>
      <c r="U45" s="90">
        <v>5</v>
      </c>
      <c r="V45" s="76">
        <f>0</f>
        <v>0</v>
      </c>
      <c r="W45" s="76">
        <f>0</f>
        <v>0</v>
      </c>
      <c r="X45" s="76">
        <f>0</f>
        <v>0</v>
      </c>
      <c r="Y45" s="76">
        <f>0</f>
        <v>0</v>
      </c>
      <c r="Z45" s="76">
        <f>0</f>
        <v>0</v>
      </c>
      <c r="AA45" s="183">
        <f>0</f>
        <v>0</v>
      </c>
      <c r="AB45" s="185">
        <f>0</f>
        <v>0</v>
      </c>
      <c r="AC45" s="76">
        <f>0</f>
        <v>0</v>
      </c>
      <c r="AD45" s="76">
        <f>0</f>
        <v>0</v>
      </c>
      <c r="AE45" s="76"/>
      <c r="AF45" s="76"/>
      <c r="AG45" s="76"/>
      <c r="AH45" s="76"/>
      <c r="AI45" s="76"/>
      <c r="AJ45" s="76"/>
      <c r="AK45" s="183"/>
      <c r="AL45" s="206">
        <f t="shared" si="0"/>
        <v>5</v>
      </c>
      <c r="AM45" s="91">
        <f>0</f>
        <v>0</v>
      </c>
      <c r="AN45" s="207">
        <f t="shared" si="1"/>
        <v>5</v>
      </c>
      <c r="AO45" s="190">
        <v>45042</v>
      </c>
      <c r="AP45" s="105" t="s">
        <v>273</v>
      </c>
      <c r="AQ45" s="101" t="s">
        <v>277</v>
      </c>
      <c r="AR45" s="102" t="s">
        <v>276</v>
      </c>
      <c r="AS45" s="98"/>
      <c r="AT45" s="104"/>
      <c r="AU45" s="104">
        <v>5</v>
      </c>
      <c r="AV45" s="105"/>
      <c r="AW45" s="104" t="s">
        <v>457</v>
      </c>
      <c r="AX45" s="106"/>
      <c r="AY45" s="106"/>
      <c r="AZ45" s="107"/>
      <c r="BA45" s="81"/>
      <c r="BB45" s="81"/>
      <c r="BC45" s="81"/>
    </row>
    <row r="46" spans="1:55" ht="28" customHeight="1" x14ac:dyDescent="0.25">
      <c r="A46" s="136">
        <v>40</v>
      </c>
      <c r="B46" s="137">
        <v>45040</v>
      </c>
      <c r="C46" s="77" t="s">
        <v>134</v>
      </c>
      <c r="D46" s="77" t="s">
        <v>135</v>
      </c>
      <c r="E46" s="77" t="s">
        <v>136</v>
      </c>
      <c r="F46" s="82" t="s">
        <v>265</v>
      </c>
      <c r="G46" s="89" t="s">
        <v>268</v>
      </c>
      <c r="H46" s="138" t="s">
        <v>110</v>
      </c>
      <c r="I46" s="89" t="s">
        <v>267</v>
      </c>
      <c r="J46" s="139" t="s">
        <v>266</v>
      </c>
      <c r="K46" s="238"/>
      <c r="L46" s="238" t="s">
        <v>153</v>
      </c>
      <c r="M46" s="239" t="s">
        <v>154</v>
      </c>
      <c r="N46" s="239"/>
      <c r="O46" s="239" t="s">
        <v>155</v>
      </c>
      <c r="P46" s="103"/>
      <c r="Q46" s="302"/>
      <c r="R46" s="182">
        <f>0</f>
        <v>0</v>
      </c>
      <c r="S46" s="76">
        <f>0</f>
        <v>0</v>
      </c>
      <c r="T46" s="76">
        <f>0</f>
        <v>0</v>
      </c>
      <c r="U46" s="84">
        <v>1</v>
      </c>
      <c r="V46" s="76">
        <f>0</f>
        <v>0</v>
      </c>
      <c r="W46" s="76">
        <f>0</f>
        <v>0</v>
      </c>
      <c r="X46" s="76">
        <f>0</f>
        <v>0</v>
      </c>
      <c r="Y46" s="76">
        <f>0</f>
        <v>0</v>
      </c>
      <c r="Z46" s="76">
        <f>0</f>
        <v>0</v>
      </c>
      <c r="AA46" s="183">
        <f>0</f>
        <v>0</v>
      </c>
      <c r="AB46" s="185">
        <f>0</f>
        <v>0</v>
      </c>
      <c r="AC46" s="76">
        <f>0</f>
        <v>0</v>
      </c>
      <c r="AD46" s="76">
        <f>0</f>
        <v>0</v>
      </c>
      <c r="AE46" s="76"/>
      <c r="AF46" s="76"/>
      <c r="AG46" s="76"/>
      <c r="AH46" s="76"/>
      <c r="AI46" s="76"/>
      <c r="AJ46" s="76"/>
      <c r="AK46" s="183"/>
      <c r="AL46" s="206">
        <f t="shared" si="0"/>
        <v>1</v>
      </c>
      <c r="AM46" s="91">
        <f>0</f>
        <v>0</v>
      </c>
      <c r="AN46" s="208">
        <f t="shared" si="1"/>
        <v>1</v>
      </c>
      <c r="AO46" s="191">
        <v>45042</v>
      </c>
      <c r="AP46" s="105" t="s">
        <v>273</v>
      </c>
      <c r="AQ46" s="97" t="s">
        <v>458</v>
      </c>
      <c r="AR46" s="108" t="s">
        <v>148</v>
      </c>
      <c r="AS46" s="98"/>
      <c r="AT46" s="104"/>
      <c r="AU46" s="104"/>
      <c r="AV46" s="105"/>
      <c r="AW46" s="99" t="s">
        <v>457</v>
      </c>
      <c r="AX46" s="106"/>
      <c r="AY46" s="106"/>
      <c r="AZ46" s="107"/>
      <c r="BA46" s="81"/>
      <c r="BB46" s="81"/>
      <c r="BC46" s="81"/>
    </row>
    <row r="47" spans="1:55" ht="28" customHeight="1" x14ac:dyDescent="0.25">
      <c r="A47" s="136">
        <v>41</v>
      </c>
      <c r="B47" s="137">
        <v>45040</v>
      </c>
      <c r="C47" s="78"/>
      <c r="D47" s="78"/>
      <c r="E47" s="79"/>
      <c r="F47" s="82" t="s">
        <v>265</v>
      </c>
      <c r="G47" s="89" t="s">
        <v>269</v>
      </c>
      <c r="H47" s="138" t="s">
        <v>110</v>
      </c>
      <c r="I47" s="89" t="s">
        <v>267</v>
      </c>
      <c r="J47" s="139" t="s">
        <v>270</v>
      </c>
      <c r="K47" s="238"/>
      <c r="L47" s="238" t="s">
        <v>153</v>
      </c>
      <c r="M47" s="239" t="s">
        <v>154</v>
      </c>
      <c r="N47" s="239"/>
      <c r="O47" s="239" t="s">
        <v>155</v>
      </c>
      <c r="P47" s="103"/>
      <c r="Q47" s="302"/>
      <c r="R47" s="182">
        <f>0</f>
        <v>0</v>
      </c>
      <c r="S47" s="76">
        <f>0</f>
        <v>0</v>
      </c>
      <c r="T47" s="76">
        <f>0</f>
        <v>0</v>
      </c>
      <c r="U47" s="84">
        <v>1</v>
      </c>
      <c r="V47" s="76">
        <f>0</f>
        <v>0</v>
      </c>
      <c r="W47" s="76">
        <f>0</f>
        <v>0</v>
      </c>
      <c r="X47" s="76">
        <f>0</f>
        <v>0</v>
      </c>
      <c r="Y47" s="76">
        <f>0</f>
        <v>0</v>
      </c>
      <c r="Z47" s="76">
        <f>0</f>
        <v>0</v>
      </c>
      <c r="AA47" s="183">
        <f>0</f>
        <v>0</v>
      </c>
      <c r="AB47" s="185">
        <f>0</f>
        <v>0</v>
      </c>
      <c r="AC47" s="76">
        <f>0</f>
        <v>0</v>
      </c>
      <c r="AD47" s="76">
        <f>0</f>
        <v>0</v>
      </c>
      <c r="AE47" s="76"/>
      <c r="AF47" s="76"/>
      <c r="AG47" s="76"/>
      <c r="AH47" s="76"/>
      <c r="AI47" s="76"/>
      <c r="AJ47" s="76"/>
      <c r="AK47" s="183"/>
      <c r="AL47" s="206">
        <f t="shared" si="0"/>
        <v>1</v>
      </c>
      <c r="AM47" s="91">
        <f>0</f>
        <v>0</v>
      </c>
      <c r="AN47" s="208">
        <f t="shared" si="1"/>
        <v>1</v>
      </c>
      <c r="AO47" s="191">
        <v>45042</v>
      </c>
      <c r="AP47" s="105" t="s">
        <v>273</v>
      </c>
      <c r="AQ47" s="97" t="s">
        <v>458</v>
      </c>
      <c r="AR47" s="108" t="s">
        <v>148</v>
      </c>
      <c r="AS47" s="98"/>
      <c r="AT47" s="104"/>
      <c r="AU47" s="104"/>
      <c r="AV47" s="105"/>
      <c r="AW47" s="99" t="s">
        <v>457</v>
      </c>
      <c r="AX47" s="106"/>
      <c r="AY47" s="106"/>
      <c r="AZ47" s="107"/>
      <c r="BA47" s="81"/>
      <c r="BB47" s="81"/>
      <c r="BC47" s="81"/>
    </row>
    <row r="48" spans="1:55" ht="28" customHeight="1" x14ac:dyDescent="0.25">
      <c r="A48" s="131">
        <v>42</v>
      </c>
      <c r="B48" s="132">
        <v>45042</v>
      </c>
      <c r="C48" s="77" t="s">
        <v>134</v>
      </c>
      <c r="D48" s="77" t="s">
        <v>135</v>
      </c>
      <c r="E48" s="77" t="s">
        <v>136</v>
      </c>
      <c r="F48" s="103" t="s">
        <v>210</v>
      </c>
      <c r="G48" s="133" t="s">
        <v>274</v>
      </c>
      <c r="H48" s="133" t="s">
        <v>110</v>
      </c>
      <c r="I48" s="103" t="s">
        <v>267</v>
      </c>
      <c r="J48" s="140" t="s">
        <v>275</v>
      </c>
      <c r="K48" s="238"/>
      <c r="L48" s="140" t="s">
        <v>119</v>
      </c>
      <c r="M48" s="140" t="s">
        <v>114</v>
      </c>
      <c r="N48" s="140"/>
      <c r="O48" s="140" t="s">
        <v>120</v>
      </c>
      <c r="P48" s="103"/>
      <c r="Q48" s="134"/>
      <c r="R48" s="182">
        <f>0</f>
        <v>0</v>
      </c>
      <c r="S48" s="76">
        <f>0</f>
        <v>0</v>
      </c>
      <c r="T48" s="76">
        <f>0</f>
        <v>0</v>
      </c>
      <c r="U48" s="84">
        <v>1</v>
      </c>
      <c r="V48" s="76">
        <f>0</f>
        <v>0</v>
      </c>
      <c r="W48" s="76">
        <f>0</f>
        <v>0</v>
      </c>
      <c r="X48" s="76">
        <f>0</f>
        <v>0</v>
      </c>
      <c r="Y48" s="76">
        <f>0</f>
        <v>0</v>
      </c>
      <c r="Z48" s="76">
        <f>0</f>
        <v>0</v>
      </c>
      <c r="AA48" s="183">
        <f>0</f>
        <v>0</v>
      </c>
      <c r="AB48" s="185">
        <f>0</f>
        <v>0</v>
      </c>
      <c r="AC48" s="76">
        <f>0</f>
        <v>0</v>
      </c>
      <c r="AD48" s="76">
        <f>0</f>
        <v>0</v>
      </c>
      <c r="AE48" s="76"/>
      <c r="AF48" s="76"/>
      <c r="AG48" s="76"/>
      <c r="AH48" s="76"/>
      <c r="AI48" s="76"/>
      <c r="AJ48" s="76"/>
      <c r="AK48" s="183"/>
      <c r="AL48" s="206">
        <f t="shared" si="0"/>
        <v>1</v>
      </c>
      <c r="AM48" s="91">
        <f>0</f>
        <v>0</v>
      </c>
      <c r="AN48" s="207">
        <f t="shared" si="1"/>
        <v>1</v>
      </c>
      <c r="AO48" s="190">
        <v>45042</v>
      </c>
      <c r="AP48" s="105" t="s">
        <v>273</v>
      </c>
      <c r="AQ48" s="101" t="s">
        <v>277</v>
      </c>
      <c r="AR48" s="102" t="s">
        <v>276</v>
      </c>
      <c r="AS48" s="98"/>
      <c r="AT48" s="104"/>
      <c r="AU48" s="104">
        <v>1</v>
      </c>
      <c r="AV48" s="105"/>
      <c r="AW48" s="104" t="s">
        <v>457</v>
      </c>
      <c r="AX48" s="106"/>
      <c r="AY48" s="106"/>
      <c r="AZ48" s="107"/>
      <c r="BA48" s="81"/>
      <c r="BB48" s="81"/>
      <c r="BC48" s="81"/>
    </row>
    <row r="49" spans="1:55" ht="28" customHeight="1" x14ac:dyDescent="0.25">
      <c r="A49" s="131">
        <v>43</v>
      </c>
      <c r="B49" s="141">
        <v>45054</v>
      </c>
      <c r="C49" s="77" t="s">
        <v>134</v>
      </c>
      <c r="D49" s="77" t="s">
        <v>135</v>
      </c>
      <c r="E49" s="77" t="s">
        <v>136</v>
      </c>
      <c r="F49" s="142" t="s">
        <v>430</v>
      </c>
      <c r="G49" s="143" t="s">
        <v>278</v>
      </c>
      <c r="H49" s="166" t="s">
        <v>279</v>
      </c>
      <c r="I49" s="135" t="s">
        <v>280</v>
      </c>
      <c r="J49" s="144" t="s">
        <v>455</v>
      </c>
      <c r="K49" s="167" t="s">
        <v>431</v>
      </c>
      <c r="L49" s="167" t="s">
        <v>281</v>
      </c>
      <c r="M49" s="140" t="s">
        <v>148</v>
      </c>
      <c r="N49" s="140" t="s">
        <v>212</v>
      </c>
      <c r="O49" s="140" t="s">
        <v>149</v>
      </c>
      <c r="P49" s="103"/>
      <c r="Q49" s="134"/>
      <c r="R49" s="182">
        <f>0</f>
        <v>0</v>
      </c>
      <c r="S49" s="76">
        <f>0</f>
        <v>0</v>
      </c>
      <c r="T49" s="76">
        <f>0</f>
        <v>0</v>
      </c>
      <c r="U49" s="76">
        <f>0</f>
        <v>0</v>
      </c>
      <c r="V49" s="84">
        <v>8</v>
      </c>
      <c r="W49" s="76">
        <f>0</f>
        <v>0</v>
      </c>
      <c r="X49" s="76">
        <f>0</f>
        <v>0</v>
      </c>
      <c r="Y49" s="76">
        <f>0</f>
        <v>0</v>
      </c>
      <c r="Z49" s="76">
        <f>0</f>
        <v>0</v>
      </c>
      <c r="AA49" s="183">
        <f>0</f>
        <v>0</v>
      </c>
      <c r="AB49" s="185">
        <f>0</f>
        <v>0</v>
      </c>
      <c r="AC49" s="76">
        <f>0</f>
        <v>0</v>
      </c>
      <c r="AD49" s="76">
        <f>0</f>
        <v>0</v>
      </c>
      <c r="AE49" s="76"/>
      <c r="AF49" s="76"/>
      <c r="AG49" s="76"/>
      <c r="AH49" s="76"/>
      <c r="AI49" s="76"/>
      <c r="AJ49" s="76"/>
      <c r="AK49" s="183"/>
      <c r="AL49" s="206">
        <f t="shared" si="0"/>
        <v>8</v>
      </c>
      <c r="AM49" s="91">
        <f>0</f>
        <v>0</v>
      </c>
      <c r="AN49" s="209">
        <f t="shared" si="1"/>
        <v>8</v>
      </c>
      <c r="AO49" s="192">
        <v>45057</v>
      </c>
      <c r="AP49" s="105" t="s">
        <v>273</v>
      </c>
      <c r="AQ49" s="97" t="s">
        <v>459</v>
      </c>
      <c r="AR49" s="108" t="s">
        <v>148</v>
      </c>
      <c r="AS49" s="98"/>
      <c r="AT49" s="104"/>
      <c r="AU49" s="104">
        <v>8</v>
      </c>
      <c r="AV49" s="105"/>
      <c r="AW49" s="104" t="s">
        <v>457</v>
      </c>
      <c r="AX49" s="106"/>
      <c r="AY49" s="106"/>
      <c r="AZ49" s="107"/>
      <c r="BA49" s="81"/>
      <c r="BB49" s="81"/>
      <c r="BC49" s="81"/>
    </row>
    <row r="50" spans="1:55" ht="28" customHeight="1" x14ac:dyDescent="0.25">
      <c r="A50" s="131">
        <v>44</v>
      </c>
      <c r="B50" s="141">
        <v>45054</v>
      </c>
      <c r="C50" s="77" t="s">
        <v>134</v>
      </c>
      <c r="D50" s="77" t="s">
        <v>135</v>
      </c>
      <c r="E50" s="77" t="s">
        <v>136</v>
      </c>
      <c r="F50" s="142" t="s">
        <v>430</v>
      </c>
      <c r="G50" s="143" t="s">
        <v>282</v>
      </c>
      <c r="H50" s="166" t="s">
        <v>283</v>
      </c>
      <c r="I50" s="135" t="s">
        <v>284</v>
      </c>
      <c r="J50" s="144" t="s">
        <v>454</v>
      </c>
      <c r="K50" s="167" t="s">
        <v>282</v>
      </c>
      <c r="L50" s="167" t="s">
        <v>281</v>
      </c>
      <c r="M50" s="140" t="s">
        <v>148</v>
      </c>
      <c r="N50" s="140" t="s">
        <v>212</v>
      </c>
      <c r="O50" s="140" t="s">
        <v>149</v>
      </c>
      <c r="P50" s="103"/>
      <c r="Q50" s="134"/>
      <c r="R50" s="182">
        <f>0</f>
        <v>0</v>
      </c>
      <c r="S50" s="76">
        <f>0</f>
        <v>0</v>
      </c>
      <c r="T50" s="76">
        <f>0</f>
        <v>0</v>
      </c>
      <c r="U50" s="76">
        <f>0</f>
        <v>0</v>
      </c>
      <c r="V50" s="84">
        <v>1</v>
      </c>
      <c r="W50" s="76">
        <f>0</f>
        <v>0</v>
      </c>
      <c r="X50" s="76">
        <f>0</f>
        <v>0</v>
      </c>
      <c r="Y50" s="76">
        <f>0</f>
        <v>0</v>
      </c>
      <c r="Z50" s="76">
        <f>0</f>
        <v>0</v>
      </c>
      <c r="AA50" s="183">
        <f>0</f>
        <v>0</v>
      </c>
      <c r="AB50" s="185">
        <f>0</f>
        <v>0</v>
      </c>
      <c r="AC50" s="76">
        <f>0</f>
        <v>0</v>
      </c>
      <c r="AD50" s="76">
        <f>0</f>
        <v>0</v>
      </c>
      <c r="AE50" s="76"/>
      <c r="AF50" s="76"/>
      <c r="AG50" s="76"/>
      <c r="AH50" s="76"/>
      <c r="AI50" s="76"/>
      <c r="AJ50" s="76"/>
      <c r="AK50" s="183"/>
      <c r="AL50" s="206">
        <f t="shared" si="0"/>
        <v>1</v>
      </c>
      <c r="AM50" s="91">
        <f>0</f>
        <v>0</v>
      </c>
      <c r="AN50" s="209">
        <f t="shared" si="1"/>
        <v>1</v>
      </c>
      <c r="AO50" s="192">
        <v>45057</v>
      </c>
      <c r="AP50" s="105" t="s">
        <v>273</v>
      </c>
      <c r="AQ50" s="97" t="s">
        <v>459</v>
      </c>
      <c r="AR50" s="108" t="s">
        <v>148</v>
      </c>
      <c r="AS50" s="98"/>
      <c r="AT50" s="104"/>
      <c r="AU50" s="104">
        <v>1</v>
      </c>
      <c r="AV50" s="105"/>
      <c r="AW50" s="104" t="s">
        <v>457</v>
      </c>
      <c r="AX50" s="106"/>
      <c r="AY50" s="106"/>
      <c r="AZ50" s="107"/>
      <c r="BA50" s="81"/>
      <c r="BB50" s="81"/>
      <c r="BC50" s="81"/>
    </row>
    <row r="51" spans="1:55" ht="28" customHeight="1" x14ac:dyDescent="0.25">
      <c r="A51" s="131">
        <v>45</v>
      </c>
      <c r="B51" s="141">
        <v>45054</v>
      </c>
      <c r="C51" s="77" t="s">
        <v>134</v>
      </c>
      <c r="D51" s="77" t="s">
        <v>135</v>
      </c>
      <c r="E51" s="77" t="s">
        <v>136</v>
      </c>
      <c r="F51" s="142" t="s">
        <v>430</v>
      </c>
      <c r="G51" s="143" t="s">
        <v>285</v>
      </c>
      <c r="H51" s="166" t="s">
        <v>110</v>
      </c>
      <c r="I51" s="135" t="s">
        <v>146</v>
      </c>
      <c r="J51" s="144" t="s">
        <v>453</v>
      </c>
      <c r="K51" s="167" t="s">
        <v>285</v>
      </c>
      <c r="L51" s="167" t="s">
        <v>147</v>
      </c>
      <c r="M51" s="140" t="s">
        <v>148</v>
      </c>
      <c r="N51" s="140" t="s">
        <v>80</v>
      </c>
      <c r="O51" s="140" t="s">
        <v>149</v>
      </c>
      <c r="P51" s="103"/>
      <c r="Q51" s="134"/>
      <c r="R51" s="182">
        <f>0</f>
        <v>0</v>
      </c>
      <c r="S51" s="76">
        <f>0</f>
        <v>0</v>
      </c>
      <c r="T51" s="76">
        <f>0</f>
        <v>0</v>
      </c>
      <c r="U51" s="76">
        <f>0</f>
        <v>0</v>
      </c>
      <c r="V51" s="84">
        <v>4</v>
      </c>
      <c r="W51" s="76">
        <f>0</f>
        <v>0</v>
      </c>
      <c r="X51" s="76">
        <f>0</f>
        <v>0</v>
      </c>
      <c r="Y51" s="76">
        <f>0</f>
        <v>0</v>
      </c>
      <c r="Z51" s="76">
        <f>0</f>
        <v>0</v>
      </c>
      <c r="AA51" s="183">
        <f>0</f>
        <v>0</v>
      </c>
      <c r="AB51" s="185">
        <f>0</f>
        <v>0</v>
      </c>
      <c r="AC51" s="76">
        <f>0</f>
        <v>0</v>
      </c>
      <c r="AD51" s="76">
        <f>0</f>
        <v>0</v>
      </c>
      <c r="AE51" s="76"/>
      <c r="AF51" s="76"/>
      <c r="AG51" s="76"/>
      <c r="AH51" s="76"/>
      <c r="AI51" s="76"/>
      <c r="AJ51" s="76"/>
      <c r="AK51" s="183"/>
      <c r="AL51" s="206">
        <f t="shared" si="0"/>
        <v>4</v>
      </c>
      <c r="AM51" s="91">
        <f>0</f>
        <v>0</v>
      </c>
      <c r="AN51" s="209">
        <f t="shared" si="1"/>
        <v>4</v>
      </c>
      <c r="AO51" s="192">
        <v>45057</v>
      </c>
      <c r="AP51" s="105" t="s">
        <v>273</v>
      </c>
      <c r="AQ51" s="97" t="s">
        <v>459</v>
      </c>
      <c r="AR51" s="108" t="s">
        <v>148</v>
      </c>
      <c r="AS51" s="98"/>
      <c r="AT51" s="104"/>
      <c r="AU51" s="104">
        <v>4</v>
      </c>
      <c r="AV51" s="105"/>
      <c r="AW51" s="104" t="s">
        <v>457</v>
      </c>
      <c r="AX51" s="106"/>
      <c r="AY51" s="106"/>
      <c r="AZ51" s="107"/>
      <c r="BA51" s="81"/>
      <c r="BB51" s="81"/>
      <c r="BC51" s="81"/>
    </row>
    <row r="52" spans="1:55" ht="28" customHeight="1" x14ac:dyDescent="0.25">
      <c r="A52" s="131">
        <v>46</v>
      </c>
      <c r="B52" s="141">
        <v>45054</v>
      </c>
      <c r="C52" s="77" t="s">
        <v>134</v>
      </c>
      <c r="D52" s="77" t="s">
        <v>135</v>
      </c>
      <c r="E52" s="77" t="s">
        <v>136</v>
      </c>
      <c r="F52" s="142" t="s">
        <v>430</v>
      </c>
      <c r="G52" s="143" t="s">
        <v>286</v>
      </c>
      <c r="H52" s="166" t="s">
        <v>287</v>
      </c>
      <c r="I52" s="135" t="s">
        <v>146</v>
      </c>
      <c r="J52" s="144" t="s">
        <v>452</v>
      </c>
      <c r="K52" s="167" t="s">
        <v>288</v>
      </c>
      <c r="L52" s="167" t="s">
        <v>147</v>
      </c>
      <c r="M52" s="140" t="s">
        <v>148</v>
      </c>
      <c r="N52" s="140" t="s">
        <v>80</v>
      </c>
      <c r="O52" s="140" t="s">
        <v>149</v>
      </c>
      <c r="P52" s="103"/>
      <c r="Q52" s="134"/>
      <c r="R52" s="182">
        <f>0</f>
        <v>0</v>
      </c>
      <c r="S52" s="76">
        <f>0</f>
        <v>0</v>
      </c>
      <c r="T52" s="76">
        <f>0</f>
        <v>0</v>
      </c>
      <c r="U52" s="76">
        <f>0</f>
        <v>0</v>
      </c>
      <c r="V52" s="84">
        <v>4</v>
      </c>
      <c r="W52" s="76">
        <f>0</f>
        <v>0</v>
      </c>
      <c r="X52" s="76">
        <f>0</f>
        <v>0</v>
      </c>
      <c r="Y52" s="76">
        <f>0</f>
        <v>0</v>
      </c>
      <c r="Z52" s="76">
        <f>0</f>
        <v>0</v>
      </c>
      <c r="AA52" s="183">
        <f>0</f>
        <v>0</v>
      </c>
      <c r="AB52" s="185">
        <f>0</f>
        <v>0</v>
      </c>
      <c r="AC52" s="76">
        <f>0</f>
        <v>0</v>
      </c>
      <c r="AD52" s="76">
        <f>0</f>
        <v>0</v>
      </c>
      <c r="AE52" s="76"/>
      <c r="AF52" s="76"/>
      <c r="AG52" s="76"/>
      <c r="AH52" s="76"/>
      <c r="AI52" s="76"/>
      <c r="AJ52" s="76"/>
      <c r="AK52" s="183"/>
      <c r="AL52" s="206">
        <f t="shared" si="0"/>
        <v>4</v>
      </c>
      <c r="AM52" s="91">
        <f>0</f>
        <v>0</v>
      </c>
      <c r="AN52" s="209">
        <f t="shared" si="1"/>
        <v>4</v>
      </c>
      <c r="AO52" s="192">
        <v>45057</v>
      </c>
      <c r="AP52" s="105" t="s">
        <v>273</v>
      </c>
      <c r="AQ52" s="97" t="s">
        <v>459</v>
      </c>
      <c r="AR52" s="108" t="s">
        <v>148</v>
      </c>
      <c r="AS52" s="98"/>
      <c r="AT52" s="104"/>
      <c r="AU52" s="104">
        <v>4</v>
      </c>
      <c r="AV52" s="105"/>
      <c r="AW52" s="104" t="s">
        <v>457</v>
      </c>
      <c r="AX52" s="106"/>
      <c r="AY52" s="106"/>
      <c r="AZ52" s="107"/>
      <c r="BA52" s="81"/>
      <c r="BB52" s="81"/>
      <c r="BC52" s="81"/>
    </row>
    <row r="53" spans="1:55" ht="28" customHeight="1" x14ac:dyDescent="0.25">
      <c r="A53" s="131">
        <v>47</v>
      </c>
      <c r="B53" s="141">
        <v>45054</v>
      </c>
      <c r="C53" s="77" t="s">
        <v>134</v>
      </c>
      <c r="D53" s="77" t="s">
        <v>135</v>
      </c>
      <c r="E53" s="77" t="s">
        <v>136</v>
      </c>
      <c r="F53" s="142" t="s">
        <v>430</v>
      </c>
      <c r="G53" s="143" t="s">
        <v>289</v>
      </c>
      <c r="H53" s="166" t="s">
        <v>110</v>
      </c>
      <c r="I53" s="135" t="s">
        <v>290</v>
      </c>
      <c r="J53" s="144" t="s">
        <v>291</v>
      </c>
      <c r="K53" s="167" t="s">
        <v>80</v>
      </c>
      <c r="L53" s="167" t="s">
        <v>119</v>
      </c>
      <c r="M53" s="140" t="s">
        <v>114</v>
      </c>
      <c r="N53" s="140" t="s">
        <v>80</v>
      </c>
      <c r="O53" s="140" t="s">
        <v>120</v>
      </c>
      <c r="P53" s="103"/>
      <c r="Q53" s="134"/>
      <c r="R53" s="182">
        <f>0</f>
        <v>0</v>
      </c>
      <c r="S53" s="76">
        <f>0</f>
        <v>0</v>
      </c>
      <c r="T53" s="76">
        <f>0</f>
        <v>0</v>
      </c>
      <c r="U53" s="76">
        <f>0</f>
        <v>0</v>
      </c>
      <c r="V53" s="84">
        <v>1</v>
      </c>
      <c r="W53" s="76">
        <f>0</f>
        <v>0</v>
      </c>
      <c r="X53" s="76">
        <f>0</f>
        <v>0</v>
      </c>
      <c r="Y53" s="76">
        <f>0</f>
        <v>0</v>
      </c>
      <c r="Z53" s="76">
        <f>0</f>
        <v>0</v>
      </c>
      <c r="AA53" s="183">
        <f>0</f>
        <v>0</v>
      </c>
      <c r="AB53" s="185">
        <f>0</f>
        <v>0</v>
      </c>
      <c r="AC53" s="76">
        <f>0</f>
        <v>0</v>
      </c>
      <c r="AD53" s="76">
        <f>0</f>
        <v>0</v>
      </c>
      <c r="AE53" s="76"/>
      <c r="AF53" s="76"/>
      <c r="AG53" s="76"/>
      <c r="AH53" s="76"/>
      <c r="AI53" s="76"/>
      <c r="AJ53" s="76"/>
      <c r="AK53" s="183"/>
      <c r="AL53" s="206">
        <f t="shared" si="0"/>
        <v>1</v>
      </c>
      <c r="AM53" s="91">
        <f>0</f>
        <v>0</v>
      </c>
      <c r="AN53" s="209">
        <f t="shared" si="1"/>
        <v>1</v>
      </c>
      <c r="AO53" s="192">
        <v>45057</v>
      </c>
      <c r="AP53" s="105" t="s">
        <v>273</v>
      </c>
      <c r="AQ53" s="97" t="s">
        <v>460</v>
      </c>
      <c r="AR53" s="108" t="s">
        <v>276</v>
      </c>
      <c r="AS53" s="98"/>
      <c r="AT53" s="104"/>
      <c r="AU53" s="104">
        <v>1</v>
      </c>
      <c r="AV53" s="105"/>
      <c r="AW53" s="99" t="s">
        <v>457</v>
      </c>
      <c r="AX53" s="106"/>
      <c r="AY53" s="106"/>
      <c r="AZ53" s="107"/>
      <c r="BA53" s="81"/>
      <c r="BB53" s="81"/>
      <c r="BC53" s="81"/>
    </row>
    <row r="54" spans="1:55" ht="28" customHeight="1" x14ac:dyDescent="0.25">
      <c r="A54" s="131">
        <v>48</v>
      </c>
      <c r="B54" s="141">
        <v>45054</v>
      </c>
      <c r="C54" s="77" t="s">
        <v>134</v>
      </c>
      <c r="D54" s="77" t="s">
        <v>135</v>
      </c>
      <c r="E54" s="77" t="s">
        <v>136</v>
      </c>
      <c r="F54" s="142" t="s">
        <v>430</v>
      </c>
      <c r="G54" s="143" t="s">
        <v>292</v>
      </c>
      <c r="H54" s="166" t="s">
        <v>110</v>
      </c>
      <c r="I54" s="135" t="s">
        <v>432</v>
      </c>
      <c r="J54" s="144" t="s">
        <v>433</v>
      </c>
      <c r="K54" s="167" t="s">
        <v>80</v>
      </c>
      <c r="L54" s="167" t="s">
        <v>119</v>
      </c>
      <c r="M54" s="140" t="s">
        <v>114</v>
      </c>
      <c r="N54" s="140" t="s">
        <v>80</v>
      </c>
      <c r="O54" s="140" t="s">
        <v>120</v>
      </c>
      <c r="P54" s="103"/>
      <c r="Q54" s="134"/>
      <c r="R54" s="182">
        <f>0</f>
        <v>0</v>
      </c>
      <c r="S54" s="76">
        <f>0</f>
        <v>0</v>
      </c>
      <c r="T54" s="76">
        <f>0</f>
        <v>0</v>
      </c>
      <c r="U54" s="76">
        <f>0</f>
        <v>0</v>
      </c>
      <c r="V54" s="84">
        <v>1</v>
      </c>
      <c r="W54" s="76">
        <f>0</f>
        <v>0</v>
      </c>
      <c r="X54" s="76">
        <f>0</f>
        <v>0</v>
      </c>
      <c r="Y54" s="76">
        <f>0</f>
        <v>0</v>
      </c>
      <c r="Z54" s="76">
        <f>0</f>
        <v>0</v>
      </c>
      <c r="AA54" s="183">
        <f>0</f>
        <v>0</v>
      </c>
      <c r="AB54" s="185">
        <f>0</f>
        <v>0</v>
      </c>
      <c r="AC54" s="76">
        <f>0</f>
        <v>0</v>
      </c>
      <c r="AD54" s="76">
        <f>0</f>
        <v>0</v>
      </c>
      <c r="AE54" s="76"/>
      <c r="AF54" s="76"/>
      <c r="AG54" s="76"/>
      <c r="AH54" s="76"/>
      <c r="AI54" s="76"/>
      <c r="AJ54" s="76"/>
      <c r="AK54" s="183"/>
      <c r="AL54" s="206">
        <f t="shared" si="0"/>
        <v>1</v>
      </c>
      <c r="AM54" s="91">
        <f>0</f>
        <v>0</v>
      </c>
      <c r="AN54" s="209">
        <f t="shared" si="1"/>
        <v>1</v>
      </c>
      <c r="AO54" s="192">
        <v>45057</v>
      </c>
      <c r="AP54" s="105" t="s">
        <v>273</v>
      </c>
      <c r="AQ54" s="97" t="s">
        <v>460</v>
      </c>
      <c r="AR54" s="108" t="s">
        <v>276</v>
      </c>
      <c r="AS54" s="98"/>
      <c r="AT54" s="104"/>
      <c r="AU54" s="104">
        <v>1</v>
      </c>
      <c r="AV54" s="105"/>
      <c r="AW54" s="99" t="s">
        <v>457</v>
      </c>
      <c r="AX54" s="106"/>
      <c r="AY54" s="106"/>
      <c r="AZ54" s="107"/>
      <c r="BA54" s="81"/>
      <c r="BB54" s="81"/>
      <c r="BC54" s="81"/>
    </row>
    <row r="55" spans="1:55" ht="28" customHeight="1" x14ac:dyDescent="0.25">
      <c r="A55" s="131">
        <v>49</v>
      </c>
      <c r="B55" s="141">
        <v>45054</v>
      </c>
      <c r="C55" s="77" t="s">
        <v>134</v>
      </c>
      <c r="D55" s="77" t="s">
        <v>135</v>
      </c>
      <c r="E55" s="77" t="s">
        <v>136</v>
      </c>
      <c r="F55" s="142" t="s">
        <v>430</v>
      </c>
      <c r="G55" s="143" t="s">
        <v>293</v>
      </c>
      <c r="H55" s="166" t="s">
        <v>110</v>
      </c>
      <c r="I55" s="135" t="s">
        <v>434</v>
      </c>
      <c r="J55" s="144" t="s">
        <v>435</v>
      </c>
      <c r="K55" s="167" t="s">
        <v>80</v>
      </c>
      <c r="L55" s="167" t="s">
        <v>119</v>
      </c>
      <c r="M55" s="140" t="s">
        <v>114</v>
      </c>
      <c r="N55" s="140" t="s">
        <v>80</v>
      </c>
      <c r="O55" s="140" t="s">
        <v>120</v>
      </c>
      <c r="P55" s="103"/>
      <c r="Q55" s="134"/>
      <c r="R55" s="182">
        <f>0</f>
        <v>0</v>
      </c>
      <c r="S55" s="76">
        <f>0</f>
        <v>0</v>
      </c>
      <c r="T55" s="76">
        <f>0</f>
        <v>0</v>
      </c>
      <c r="U55" s="76">
        <f>0</f>
        <v>0</v>
      </c>
      <c r="V55" s="84">
        <v>1</v>
      </c>
      <c r="W55" s="76">
        <f>0</f>
        <v>0</v>
      </c>
      <c r="X55" s="76">
        <f>0</f>
        <v>0</v>
      </c>
      <c r="Y55" s="76">
        <f>0</f>
        <v>0</v>
      </c>
      <c r="Z55" s="76">
        <f>0</f>
        <v>0</v>
      </c>
      <c r="AA55" s="183">
        <f>0</f>
        <v>0</v>
      </c>
      <c r="AB55" s="185">
        <f>0</f>
        <v>0</v>
      </c>
      <c r="AC55" s="76">
        <f>0</f>
        <v>0</v>
      </c>
      <c r="AD55" s="76">
        <f>0</f>
        <v>0</v>
      </c>
      <c r="AE55" s="76"/>
      <c r="AF55" s="76"/>
      <c r="AG55" s="76"/>
      <c r="AH55" s="76"/>
      <c r="AI55" s="76"/>
      <c r="AJ55" s="76"/>
      <c r="AK55" s="183"/>
      <c r="AL55" s="206">
        <f t="shared" si="0"/>
        <v>1</v>
      </c>
      <c r="AM55" s="91">
        <f>0</f>
        <v>0</v>
      </c>
      <c r="AN55" s="209">
        <f t="shared" si="1"/>
        <v>1</v>
      </c>
      <c r="AO55" s="192">
        <v>45057</v>
      </c>
      <c r="AP55" s="105" t="s">
        <v>273</v>
      </c>
      <c r="AQ55" s="97" t="s">
        <v>460</v>
      </c>
      <c r="AR55" s="108" t="s">
        <v>276</v>
      </c>
      <c r="AS55" s="98"/>
      <c r="AT55" s="104"/>
      <c r="AU55" s="104">
        <v>1</v>
      </c>
      <c r="AV55" s="105"/>
      <c r="AW55" s="99" t="s">
        <v>457</v>
      </c>
      <c r="AX55" s="106"/>
      <c r="AY55" s="106"/>
      <c r="AZ55" s="107"/>
      <c r="BA55" s="81"/>
      <c r="BB55" s="81"/>
      <c r="BC55" s="81"/>
    </row>
    <row r="56" spans="1:55" ht="28" customHeight="1" x14ac:dyDescent="0.25">
      <c r="A56" s="131">
        <v>50</v>
      </c>
      <c r="B56" s="141">
        <v>45054</v>
      </c>
      <c r="C56" s="77" t="s">
        <v>134</v>
      </c>
      <c r="D56" s="77" t="s">
        <v>135</v>
      </c>
      <c r="E56" s="77" t="s">
        <v>136</v>
      </c>
      <c r="F56" s="142" t="s">
        <v>430</v>
      </c>
      <c r="G56" s="143" t="s">
        <v>294</v>
      </c>
      <c r="H56" s="166" t="s">
        <v>110</v>
      </c>
      <c r="I56" s="135" t="s">
        <v>436</v>
      </c>
      <c r="J56" s="144" t="s">
        <v>437</v>
      </c>
      <c r="K56" s="167" t="s">
        <v>80</v>
      </c>
      <c r="L56" s="167" t="s">
        <v>119</v>
      </c>
      <c r="M56" s="140" t="s">
        <v>114</v>
      </c>
      <c r="N56" s="140" t="s">
        <v>80</v>
      </c>
      <c r="O56" s="140" t="s">
        <v>120</v>
      </c>
      <c r="P56" s="103"/>
      <c r="Q56" s="134"/>
      <c r="R56" s="182">
        <f>0</f>
        <v>0</v>
      </c>
      <c r="S56" s="76">
        <f>0</f>
        <v>0</v>
      </c>
      <c r="T56" s="76">
        <f>0</f>
        <v>0</v>
      </c>
      <c r="U56" s="76">
        <f>0</f>
        <v>0</v>
      </c>
      <c r="V56" s="84">
        <v>1</v>
      </c>
      <c r="W56" s="76">
        <f>0</f>
        <v>0</v>
      </c>
      <c r="X56" s="76">
        <f>0</f>
        <v>0</v>
      </c>
      <c r="Y56" s="76">
        <f>0</f>
        <v>0</v>
      </c>
      <c r="Z56" s="76">
        <f>0</f>
        <v>0</v>
      </c>
      <c r="AA56" s="183">
        <f>0</f>
        <v>0</v>
      </c>
      <c r="AB56" s="185">
        <f>0</f>
        <v>0</v>
      </c>
      <c r="AC56" s="76">
        <f>0</f>
        <v>0</v>
      </c>
      <c r="AD56" s="76">
        <f>0</f>
        <v>0</v>
      </c>
      <c r="AE56" s="76"/>
      <c r="AF56" s="76"/>
      <c r="AG56" s="76"/>
      <c r="AH56" s="76"/>
      <c r="AI56" s="76"/>
      <c r="AJ56" s="76"/>
      <c r="AK56" s="183"/>
      <c r="AL56" s="206">
        <f t="shared" si="0"/>
        <v>1</v>
      </c>
      <c r="AM56" s="91">
        <f>0</f>
        <v>0</v>
      </c>
      <c r="AN56" s="209">
        <f t="shared" si="1"/>
        <v>1</v>
      </c>
      <c r="AO56" s="192">
        <v>45057</v>
      </c>
      <c r="AP56" s="105" t="s">
        <v>273</v>
      </c>
      <c r="AQ56" s="97" t="s">
        <v>460</v>
      </c>
      <c r="AR56" s="108" t="s">
        <v>276</v>
      </c>
      <c r="AS56" s="98"/>
      <c r="AT56" s="104"/>
      <c r="AU56" s="104">
        <v>1</v>
      </c>
      <c r="AV56" s="105"/>
      <c r="AW56" s="99" t="s">
        <v>457</v>
      </c>
      <c r="AX56" s="106"/>
      <c r="AY56" s="106"/>
      <c r="AZ56" s="107"/>
      <c r="BA56" s="81"/>
      <c r="BB56" s="81"/>
      <c r="BC56" s="81"/>
    </row>
    <row r="57" spans="1:55" ht="28" customHeight="1" x14ac:dyDescent="0.25">
      <c r="A57" s="131">
        <v>51</v>
      </c>
      <c r="B57" s="141">
        <v>45054</v>
      </c>
      <c r="C57" s="77" t="s">
        <v>134</v>
      </c>
      <c r="D57" s="77" t="s">
        <v>135</v>
      </c>
      <c r="E57" s="77" t="s">
        <v>136</v>
      </c>
      <c r="F57" s="142" t="s">
        <v>430</v>
      </c>
      <c r="G57" s="143" t="s">
        <v>295</v>
      </c>
      <c r="H57" s="166" t="s">
        <v>110</v>
      </c>
      <c r="I57" s="135" t="s">
        <v>296</v>
      </c>
      <c r="J57" s="144" t="s">
        <v>297</v>
      </c>
      <c r="K57" s="167" t="s">
        <v>80</v>
      </c>
      <c r="L57" s="167" t="s">
        <v>119</v>
      </c>
      <c r="M57" s="140" t="s">
        <v>114</v>
      </c>
      <c r="N57" s="140" t="s">
        <v>80</v>
      </c>
      <c r="O57" s="140" t="s">
        <v>120</v>
      </c>
      <c r="P57" s="103"/>
      <c r="Q57" s="134"/>
      <c r="R57" s="182">
        <f>0</f>
        <v>0</v>
      </c>
      <c r="S57" s="76">
        <f>0</f>
        <v>0</v>
      </c>
      <c r="T57" s="76">
        <f>0</f>
        <v>0</v>
      </c>
      <c r="U57" s="76">
        <f>0</f>
        <v>0</v>
      </c>
      <c r="V57" s="84">
        <v>1</v>
      </c>
      <c r="W57" s="76">
        <f>0</f>
        <v>0</v>
      </c>
      <c r="X57" s="76">
        <f>0</f>
        <v>0</v>
      </c>
      <c r="Y57" s="76">
        <f>0</f>
        <v>0</v>
      </c>
      <c r="Z57" s="76">
        <f>0</f>
        <v>0</v>
      </c>
      <c r="AA57" s="183">
        <f>0</f>
        <v>0</v>
      </c>
      <c r="AB57" s="185">
        <f>0</f>
        <v>0</v>
      </c>
      <c r="AC57" s="76">
        <f>0</f>
        <v>0</v>
      </c>
      <c r="AD57" s="76">
        <f>0</f>
        <v>0</v>
      </c>
      <c r="AE57" s="76"/>
      <c r="AF57" s="76"/>
      <c r="AG57" s="76"/>
      <c r="AH57" s="76"/>
      <c r="AI57" s="76"/>
      <c r="AJ57" s="76"/>
      <c r="AK57" s="183"/>
      <c r="AL57" s="206">
        <f t="shared" si="0"/>
        <v>1</v>
      </c>
      <c r="AM57" s="91">
        <f>0</f>
        <v>0</v>
      </c>
      <c r="AN57" s="209">
        <f t="shared" si="1"/>
        <v>1</v>
      </c>
      <c r="AO57" s="192">
        <v>45057</v>
      </c>
      <c r="AP57" s="105" t="s">
        <v>273</v>
      </c>
      <c r="AQ57" s="97" t="s">
        <v>460</v>
      </c>
      <c r="AR57" s="108" t="s">
        <v>276</v>
      </c>
      <c r="AS57" s="98"/>
      <c r="AT57" s="104"/>
      <c r="AU57" s="104">
        <v>1</v>
      </c>
      <c r="AV57" s="105"/>
      <c r="AW57" s="99" t="s">
        <v>457</v>
      </c>
      <c r="AX57" s="106"/>
      <c r="AY57" s="106"/>
      <c r="AZ57" s="107"/>
      <c r="BA57" s="81"/>
      <c r="BB57" s="81"/>
      <c r="BC57" s="81"/>
    </row>
    <row r="58" spans="1:55" ht="28" customHeight="1" x14ac:dyDescent="0.25">
      <c r="A58" s="131">
        <v>52</v>
      </c>
      <c r="B58" s="141">
        <v>45054</v>
      </c>
      <c r="C58" s="77" t="s">
        <v>134</v>
      </c>
      <c r="D58" s="77" t="s">
        <v>135</v>
      </c>
      <c r="E58" s="77" t="s">
        <v>136</v>
      </c>
      <c r="F58" s="142" t="s">
        <v>430</v>
      </c>
      <c r="G58" s="143" t="s">
        <v>298</v>
      </c>
      <c r="H58" s="166" t="s">
        <v>110</v>
      </c>
      <c r="I58" s="135" t="s">
        <v>299</v>
      </c>
      <c r="J58" s="144" t="s">
        <v>300</v>
      </c>
      <c r="K58" s="167" t="s">
        <v>80</v>
      </c>
      <c r="L58" s="167" t="s">
        <v>119</v>
      </c>
      <c r="M58" s="140" t="s">
        <v>114</v>
      </c>
      <c r="N58" s="140" t="s">
        <v>80</v>
      </c>
      <c r="O58" s="140" t="s">
        <v>120</v>
      </c>
      <c r="P58" s="103"/>
      <c r="Q58" s="134"/>
      <c r="R58" s="182">
        <f>0</f>
        <v>0</v>
      </c>
      <c r="S58" s="76">
        <f>0</f>
        <v>0</v>
      </c>
      <c r="T58" s="76">
        <f>0</f>
        <v>0</v>
      </c>
      <c r="U58" s="76">
        <f>0</f>
        <v>0</v>
      </c>
      <c r="V58" s="84">
        <v>1</v>
      </c>
      <c r="W58" s="76">
        <f>0</f>
        <v>0</v>
      </c>
      <c r="X58" s="76">
        <f>0</f>
        <v>0</v>
      </c>
      <c r="Y58" s="76">
        <f>0</f>
        <v>0</v>
      </c>
      <c r="Z58" s="76">
        <f>0</f>
        <v>0</v>
      </c>
      <c r="AA58" s="183">
        <f>0</f>
        <v>0</v>
      </c>
      <c r="AB58" s="185">
        <f>0</f>
        <v>0</v>
      </c>
      <c r="AC58" s="76">
        <f>0</f>
        <v>0</v>
      </c>
      <c r="AD58" s="76">
        <f>0</f>
        <v>0</v>
      </c>
      <c r="AE58" s="76"/>
      <c r="AF58" s="76"/>
      <c r="AG58" s="76"/>
      <c r="AH58" s="76"/>
      <c r="AI58" s="76"/>
      <c r="AJ58" s="76"/>
      <c r="AK58" s="183"/>
      <c r="AL58" s="206">
        <f t="shared" si="0"/>
        <v>1</v>
      </c>
      <c r="AM58" s="91">
        <f>0</f>
        <v>0</v>
      </c>
      <c r="AN58" s="209">
        <f t="shared" si="1"/>
        <v>1</v>
      </c>
      <c r="AO58" s="192">
        <v>45057</v>
      </c>
      <c r="AP58" s="105" t="s">
        <v>273</v>
      </c>
      <c r="AQ58" s="97" t="s">
        <v>460</v>
      </c>
      <c r="AR58" s="108" t="s">
        <v>276</v>
      </c>
      <c r="AS58" s="98"/>
      <c r="AT58" s="104"/>
      <c r="AU58" s="104">
        <v>1</v>
      </c>
      <c r="AV58" s="105"/>
      <c r="AW58" s="99" t="s">
        <v>457</v>
      </c>
      <c r="AX58" s="106"/>
      <c r="AY58" s="106"/>
      <c r="AZ58" s="107"/>
      <c r="BA58" s="81"/>
      <c r="BB58" s="81"/>
      <c r="BC58" s="81"/>
    </row>
    <row r="59" spans="1:55" ht="28" customHeight="1" x14ac:dyDescent="0.25">
      <c r="A59" s="131">
        <v>53</v>
      </c>
      <c r="B59" s="141">
        <v>45054</v>
      </c>
      <c r="C59" s="77" t="s">
        <v>134</v>
      </c>
      <c r="D59" s="77" t="s">
        <v>135</v>
      </c>
      <c r="E59" s="77" t="s">
        <v>136</v>
      </c>
      <c r="F59" s="142" t="s">
        <v>430</v>
      </c>
      <c r="G59" s="143" t="s">
        <v>301</v>
      </c>
      <c r="H59" s="166" t="s">
        <v>110</v>
      </c>
      <c r="I59" s="135" t="s">
        <v>302</v>
      </c>
      <c r="J59" s="144" t="s">
        <v>303</v>
      </c>
      <c r="K59" s="167" t="s">
        <v>80</v>
      </c>
      <c r="L59" s="167" t="s">
        <v>304</v>
      </c>
      <c r="M59" s="140" t="s">
        <v>154</v>
      </c>
      <c r="N59" s="140" t="s">
        <v>80</v>
      </c>
      <c r="O59" s="140" t="s">
        <v>80</v>
      </c>
      <c r="P59" s="103"/>
      <c r="Q59" s="134"/>
      <c r="R59" s="182">
        <f>0</f>
        <v>0</v>
      </c>
      <c r="S59" s="76">
        <f>0</f>
        <v>0</v>
      </c>
      <c r="T59" s="76">
        <f>0</f>
        <v>0</v>
      </c>
      <c r="U59" s="76">
        <f>0</f>
        <v>0</v>
      </c>
      <c r="V59" s="84">
        <v>1</v>
      </c>
      <c r="W59" s="76">
        <f>0</f>
        <v>0</v>
      </c>
      <c r="X59" s="76">
        <f>0</f>
        <v>0</v>
      </c>
      <c r="Y59" s="76">
        <f>0</f>
        <v>0</v>
      </c>
      <c r="Z59" s="76">
        <f>0</f>
        <v>0</v>
      </c>
      <c r="AA59" s="183">
        <f>0</f>
        <v>0</v>
      </c>
      <c r="AB59" s="185">
        <f>0</f>
        <v>0</v>
      </c>
      <c r="AC59" s="76">
        <f>0</f>
        <v>0</v>
      </c>
      <c r="AD59" s="76">
        <f>0</f>
        <v>0</v>
      </c>
      <c r="AE59" s="76"/>
      <c r="AF59" s="76"/>
      <c r="AG59" s="76"/>
      <c r="AH59" s="76"/>
      <c r="AI59" s="76"/>
      <c r="AJ59" s="76"/>
      <c r="AK59" s="183"/>
      <c r="AL59" s="206">
        <f t="shared" si="0"/>
        <v>1</v>
      </c>
      <c r="AM59" s="91">
        <f>0</f>
        <v>0</v>
      </c>
      <c r="AN59" s="209">
        <f t="shared" si="1"/>
        <v>1</v>
      </c>
      <c r="AO59" s="192">
        <v>45057</v>
      </c>
      <c r="AP59" s="105" t="s">
        <v>273</v>
      </c>
      <c r="AQ59" s="97" t="s">
        <v>459</v>
      </c>
      <c r="AR59" s="108" t="s">
        <v>148</v>
      </c>
      <c r="AS59" s="98"/>
      <c r="AT59" s="104"/>
      <c r="AU59" s="104">
        <v>1</v>
      </c>
      <c r="AV59" s="105"/>
      <c r="AW59" s="104" t="s">
        <v>457</v>
      </c>
      <c r="AX59" s="106"/>
      <c r="AY59" s="106"/>
      <c r="AZ59" s="107"/>
      <c r="BA59" s="81"/>
      <c r="BB59" s="81"/>
      <c r="BC59" s="81"/>
    </row>
    <row r="60" spans="1:55" ht="28" customHeight="1" x14ac:dyDescent="0.25">
      <c r="A60" s="131">
        <v>54</v>
      </c>
      <c r="B60" s="141">
        <v>45054</v>
      </c>
      <c r="C60" s="77" t="s">
        <v>134</v>
      </c>
      <c r="D60" s="77" t="s">
        <v>135</v>
      </c>
      <c r="E60" s="77" t="s">
        <v>136</v>
      </c>
      <c r="F60" s="142" t="s">
        <v>430</v>
      </c>
      <c r="G60" s="143" t="s">
        <v>305</v>
      </c>
      <c r="H60" s="166" t="s">
        <v>110</v>
      </c>
      <c r="I60" s="135" t="s">
        <v>306</v>
      </c>
      <c r="J60" s="144" t="s">
        <v>307</v>
      </c>
      <c r="K60" s="167" t="s">
        <v>80</v>
      </c>
      <c r="L60" s="167" t="s">
        <v>304</v>
      </c>
      <c r="M60" s="140" t="s">
        <v>154</v>
      </c>
      <c r="N60" s="140" t="s">
        <v>80</v>
      </c>
      <c r="O60" s="140" t="s">
        <v>80</v>
      </c>
      <c r="P60" s="103"/>
      <c r="Q60" s="134"/>
      <c r="R60" s="182">
        <f>0</f>
        <v>0</v>
      </c>
      <c r="S60" s="76">
        <f>0</f>
        <v>0</v>
      </c>
      <c r="T60" s="76">
        <f>0</f>
        <v>0</v>
      </c>
      <c r="U60" s="76">
        <f>0</f>
        <v>0</v>
      </c>
      <c r="V60" s="84">
        <v>1</v>
      </c>
      <c r="W60" s="76">
        <f>0</f>
        <v>0</v>
      </c>
      <c r="X60" s="76">
        <f>0</f>
        <v>0</v>
      </c>
      <c r="Y60" s="76">
        <f>0</f>
        <v>0</v>
      </c>
      <c r="Z60" s="76">
        <f>0</f>
        <v>0</v>
      </c>
      <c r="AA60" s="183">
        <f>0</f>
        <v>0</v>
      </c>
      <c r="AB60" s="185">
        <f>0</f>
        <v>0</v>
      </c>
      <c r="AC60" s="76">
        <f>0</f>
        <v>0</v>
      </c>
      <c r="AD60" s="76">
        <f>0</f>
        <v>0</v>
      </c>
      <c r="AE60" s="76"/>
      <c r="AF60" s="76"/>
      <c r="AG60" s="76"/>
      <c r="AH60" s="76"/>
      <c r="AI60" s="76"/>
      <c r="AJ60" s="76"/>
      <c r="AK60" s="183"/>
      <c r="AL60" s="206">
        <f t="shared" si="0"/>
        <v>1</v>
      </c>
      <c r="AM60" s="91">
        <f>0</f>
        <v>0</v>
      </c>
      <c r="AN60" s="209">
        <f t="shared" si="1"/>
        <v>1</v>
      </c>
      <c r="AO60" s="192">
        <v>45057</v>
      </c>
      <c r="AP60" s="105" t="s">
        <v>273</v>
      </c>
      <c r="AQ60" s="97" t="s">
        <v>459</v>
      </c>
      <c r="AR60" s="108" t="s">
        <v>148</v>
      </c>
      <c r="AS60" s="98"/>
      <c r="AT60" s="104"/>
      <c r="AU60" s="104">
        <v>1</v>
      </c>
      <c r="AV60" s="105"/>
      <c r="AW60" s="104" t="s">
        <v>457</v>
      </c>
      <c r="AX60" s="106"/>
      <c r="AY60" s="106"/>
      <c r="AZ60" s="107"/>
      <c r="BA60" s="81"/>
      <c r="BB60" s="81"/>
      <c r="BC60" s="81"/>
    </row>
    <row r="61" spans="1:55" ht="28" customHeight="1" x14ac:dyDescent="0.25">
      <c r="A61" s="131">
        <v>55</v>
      </c>
      <c r="B61" s="141">
        <v>45054</v>
      </c>
      <c r="C61" s="77" t="s">
        <v>134</v>
      </c>
      <c r="D61" s="77" t="s">
        <v>135</v>
      </c>
      <c r="E61" s="77" t="s">
        <v>136</v>
      </c>
      <c r="F61" s="142" t="s">
        <v>430</v>
      </c>
      <c r="G61" s="143" t="s">
        <v>308</v>
      </c>
      <c r="H61" s="166" t="s">
        <v>110</v>
      </c>
      <c r="I61" s="135" t="s">
        <v>309</v>
      </c>
      <c r="J61" s="144" t="s">
        <v>310</v>
      </c>
      <c r="K61" s="167" t="s">
        <v>80</v>
      </c>
      <c r="L61" s="167" t="s">
        <v>304</v>
      </c>
      <c r="M61" s="140" t="s">
        <v>154</v>
      </c>
      <c r="N61" s="140" t="s">
        <v>80</v>
      </c>
      <c r="O61" s="140" t="s">
        <v>80</v>
      </c>
      <c r="P61" s="103"/>
      <c r="Q61" s="134"/>
      <c r="R61" s="182">
        <f>0</f>
        <v>0</v>
      </c>
      <c r="S61" s="76">
        <f>0</f>
        <v>0</v>
      </c>
      <c r="T61" s="76">
        <f>0</f>
        <v>0</v>
      </c>
      <c r="U61" s="76">
        <f>0</f>
        <v>0</v>
      </c>
      <c r="V61" s="84">
        <v>1</v>
      </c>
      <c r="W61" s="76">
        <f>0</f>
        <v>0</v>
      </c>
      <c r="X61" s="76">
        <f>0</f>
        <v>0</v>
      </c>
      <c r="Y61" s="76">
        <f>0</f>
        <v>0</v>
      </c>
      <c r="Z61" s="76">
        <f>0</f>
        <v>0</v>
      </c>
      <c r="AA61" s="183">
        <f>0</f>
        <v>0</v>
      </c>
      <c r="AB61" s="185">
        <f>0</f>
        <v>0</v>
      </c>
      <c r="AC61" s="76">
        <f>0</f>
        <v>0</v>
      </c>
      <c r="AD61" s="76">
        <f>0</f>
        <v>0</v>
      </c>
      <c r="AE61" s="76"/>
      <c r="AF61" s="76"/>
      <c r="AG61" s="76"/>
      <c r="AH61" s="76"/>
      <c r="AI61" s="76"/>
      <c r="AJ61" s="76"/>
      <c r="AK61" s="183"/>
      <c r="AL61" s="206">
        <f t="shared" si="0"/>
        <v>1</v>
      </c>
      <c r="AM61" s="91">
        <f>0</f>
        <v>0</v>
      </c>
      <c r="AN61" s="209">
        <f t="shared" si="1"/>
        <v>1</v>
      </c>
      <c r="AO61" s="192">
        <v>45057</v>
      </c>
      <c r="AP61" s="105" t="s">
        <v>273</v>
      </c>
      <c r="AQ61" s="97" t="s">
        <v>459</v>
      </c>
      <c r="AR61" s="108" t="s">
        <v>148</v>
      </c>
      <c r="AS61" s="98"/>
      <c r="AT61" s="104"/>
      <c r="AU61" s="104">
        <v>1</v>
      </c>
      <c r="AV61" s="105"/>
      <c r="AW61" s="104" t="s">
        <v>457</v>
      </c>
      <c r="AX61" s="106"/>
      <c r="AY61" s="106"/>
      <c r="AZ61" s="107"/>
      <c r="BA61" s="81"/>
      <c r="BB61" s="81"/>
      <c r="BC61" s="81"/>
    </row>
    <row r="62" spans="1:55" ht="28" customHeight="1" x14ac:dyDescent="0.25">
      <c r="A62" s="131">
        <v>56</v>
      </c>
      <c r="B62" s="141">
        <v>45054</v>
      </c>
      <c r="C62" s="77" t="s">
        <v>134</v>
      </c>
      <c r="D62" s="77" t="s">
        <v>135</v>
      </c>
      <c r="E62" s="77" t="s">
        <v>136</v>
      </c>
      <c r="F62" s="142" t="s">
        <v>430</v>
      </c>
      <c r="G62" s="143" t="s">
        <v>311</v>
      </c>
      <c r="H62" s="166" t="s">
        <v>110</v>
      </c>
      <c r="I62" s="135" t="s">
        <v>312</v>
      </c>
      <c r="J62" s="144" t="s">
        <v>313</v>
      </c>
      <c r="K62" s="167" t="s">
        <v>80</v>
      </c>
      <c r="L62" s="167" t="s">
        <v>304</v>
      </c>
      <c r="M62" s="140" t="s">
        <v>154</v>
      </c>
      <c r="N62" s="140" t="s">
        <v>80</v>
      </c>
      <c r="O62" s="140" t="s">
        <v>80</v>
      </c>
      <c r="P62" s="103"/>
      <c r="Q62" s="134"/>
      <c r="R62" s="182">
        <f>0</f>
        <v>0</v>
      </c>
      <c r="S62" s="76">
        <f>0</f>
        <v>0</v>
      </c>
      <c r="T62" s="76">
        <f>0</f>
        <v>0</v>
      </c>
      <c r="U62" s="76">
        <f>0</f>
        <v>0</v>
      </c>
      <c r="V62" s="84">
        <v>1</v>
      </c>
      <c r="W62" s="76">
        <f>0</f>
        <v>0</v>
      </c>
      <c r="X62" s="76">
        <f>0</f>
        <v>0</v>
      </c>
      <c r="Y62" s="76">
        <f>0</f>
        <v>0</v>
      </c>
      <c r="Z62" s="76">
        <f>0</f>
        <v>0</v>
      </c>
      <c r="AA62" s="183">
        <f>0</f>
        <v>0</v>
      </c>
      <c r="AB62" s="185">
        <f>0</f>
        <v>0</v>
      </c>
      <c r="AC62" s="76">
        <f>0</f>
        <v>0</v>
      </c>
      <c r="AD62" s="76">
        <f>0</f>
        <v>0</v>
      </c>
      <c r="AE62" s="76"/>
      <c r="AF62" s="76"/>
      <c r="AG62" s="76"/>
      <c r="AH62" s="76"/>
      <c r="AI62" s="76"/>
      <c r="AJ62" s="76"/>
      <c r="AK62" s="183"/>
      <c r="AL62" s="206">
        <f t="shared" si="0"/>
        <v>1</v>
      </c>
      <c r="AM62" s="91">
        <f>0</f>
        <v>0</v>
      </c>
      <c r="AN62" s="209">
        <f t="shared" si="1"/>
        <v>1</v>
      </c>
      <c r="AO62" s="192">
        <v>45057</v>
      </c>
      <c r="AP62" s="105" t="s">
        <v>273</v>
      </c>
      <c r="AQ62" s="97" t="s">
        <v>459</v>
      </c>
      <c r="AR62" s="108" t="s">
        <v>148</v>
      </c>
      <c r="AS62" s="98"/>
      <c r="AT62" s="104"/>
      <c r="AU62" s="104">
        <v>1</v>
      </c>
      <c r="AV62" s="105"/>
      <c r="AW62" s="104" t="s">
        <v>457</v>
      </c>
      <c r="AX62" s="106"/>
      <c r="AY62" s="106"/>
      <c r="AZ62" s="107"/>
      <c r="BA62" s="81"/>
      <c r="BB62" s="81"/>
      <c r="BC62" s="81"/>
    </row>
    <row r="63" spans="1:55" ht="28" customHeight="1" x14ac:dyDescent="0.25">
      <c r="A63" s="131">
        <v>57</v>
      </c>
      <c r="B63" s="141">
        <v>45054</v>
      </c>
      <c r="C63" s="77" t="s">
        <v>134</v>
      </c>
      <c r="D63" s="77" t="s">
        <v>135</v>
      </c>
      <c r="E63" s="77" t="s">
        <v>136</v>
      </c>
      <c r="F63" s="142" t="s">
        <v>430</v>
      </c>
      <c r="G63" s="143" t="s">
        <v>314</v>
      </c>
      <c r="H63" s="166" t="s">
        <v>110</v>
      </c>
      <c r="I63" s="135" t="s">
        <v>438</v>
      </c>
      <c r="J63" s="144" t="s">
        <v>315</v>
      </c>
      <c r="K63" s="167" t="s">
        <v>80</v>
      </c>
      <c r="L63" s="167" t="s">
        <v>316</v>
      </c>
      <c r="M63" s="140" t="s">
        <v>154</v>
      </c>
      <c r="N63" s="140" t="s">
        <v>80</v>
      </c>
      <c r="O63" s="140" t="s">
        <v>155</v>
      </c>
      <c r="P63" s="103"/>
      <c r="Q63" s="134"/>
      <c r="R63" s="182">
        <f>0</f>
        <v>0</v>
      </c>
      <c r="S63" s="76">
        <f>0</f>
        <v>0</v>
      </c>
      <c r="T63" s="76">
        <f>0</f>
        <v>0</v>
      </c>
      <c r="U63" s="76">
        <f>0</f>
        <v>0</v>
      </c>
      <c r="V63" s="84">
        <v>1</v>
      </c>
      <c r="W63" s="76">
        <f>0</f>
        <v>0</v>
      </c>
      <c r="X63" s="76">
        <f>0</f>
        <v>0</v>
      </c>
      <c r="Y63" s="76">
        <f>0</f>
        <v>0</v>
      </c>
      <c r="Z63" s="76">
        <f>0</f>
        <v>0</v>
      </c>
      <c r="AA63" s="183">
        <f>0</f>
        <v>0</v>
      </c>
      <c r="AB63" s="185">
        <f>0</f>
        <v>0</v>
      </c>
      <c r="AC63" s="76">
        <f>0</f>
        <v>0</v>
      </c>
      <c r="AD63" s="76">
        <f>0</f>
        <v>0</v>
      </c>
      <c r="AE63" s="76"/>
      <c r="AF63" s="76"/>
      <c r="AG63" s="76"/>
      <c r="AH63" s="76"/>
      <c r="AI63" s="76"/>
      <c r="AJ63" s="76"/>
      <c r="AK63" s="183"/>
      <c r="AL63" s="206">
        <f t="shared" si="0"/>
        <v>1</v>
      </c>
      <c r="AM63" s="91">
        <f>0</f>
        <v>0</v>
      </c>
      <c r="AN63" s="209">
        <f t="shared" si="1"/>
        <v>1</v>
      </c>
      <c r="AO63" s="192">
        <v>45057</v>
      </c>
      <c r="AP63" s="105" t="s">
        <v>273</v>
      </c>
      <c r="AQ63" s="97" t="s">
        <v>459</v>
      </c>
      <c r="AR63" s="108" t="s">
        <v>148</v>
      </c>
      <c r="AS63" s="98"/>
      <c r="AT63" s="104"/>
      <c r="AU63" s="104"/>
      <c r="AV63" s="105"/>
      <c r="AW63" s="99" t="s">
        <v>457</v>
      </c>
      <c r="AX63" s="106"/>
      <c r="AY63" s="106"/>
      <c r="AZ63" s="107"/>
      <c r="BA63" s="81"/>
      <c r="BB63" s="81"/>
      <c r="BC63" s="81"/>
    </row>
    <row r="64" spans="1:55" ht="28" customHeight="1" x14ac:dyDescent="0.25">
      <c r="A64" s="131">
        <v>58</v>
      </c>
      <c r="B64" s="141">
        <v>45054</v>
      </c>
      <c r="C64" s="77" t="s">
        <v>134</v>
      </c>
      <c r="D64" s="77" t="s">
        <v>135</v>
      </c>
      <c r="E64" s="77" t="s">
        <v>136</v>
      </c>
      <c r="F64" s="142" t="s">
        <v>430</v>
      </c>
      <c r="G64" s="143" t="s">
        <v>317</v>
      </c>
      <c r="H64" s="166" t="s">
        <v>110</v>
      </c>
      <c r="I64" s="135" t="s">
        <v>318</v>
      </c>
      <c r="J64" s="144" t="s">
        <v>319</v>
      </c>
      <c r="K64" s="167" t="s">
        <v>80</v>
      </c>
      <c r="L64" s="167" t="s">
        <v>320</v>
      </c>
      <c r="M64" s="140" t="s">
        <v>154</v>
      </c>
      <c r="N64" s="140" t="s">
        <v>80</v>
      </c>
      <c r="O64" s="140" t="s">
        <v>155</v>
      </c>
      <c r="P64" s="103"/>
      <c r="Q64" s="134"/>
      <c r="R64" s="182">
        <f>0</f>
        <v>0</v>
      </c>
      <c r="S64" s="76">
        <f>0</f>
        <v>0</v>
      </c>
      <c r="T64" s="76">
        <f>0</f>
        <v>0</v>
      </c>
      <c r="U64" s="76">
        <f>0</f>
        <v>0</v>
      </c>
      <c r="V64" s="84">
        <v>1</v>
      </c>
      <c r="W64" s="76">
        <f>0</f>
        <v>0</v>
      </c>
      <c r="X64" s="76">
        <f>0</f>
        <v>0</v>
      </c>
      <c r="Y64" s="76">
        <f>0</f>
        <v>0</v>
      </c>
      <c r="Z64" s="76">
        <f>0</f>
        <v>0</v>
      </c>
      <c r="AA64" s="183">
        <f>0</f>
        <v>0</v>
      </c>
      <c r="AB64" s="185">
        <f>0</f>
        <v>0</v>
      </c>
      <c r="AC64" s="76">
        <f>0</f>
        <v>0</v>
      </c>
      <c r="AD64" s="76">
        <f>0</f>
        <v>0</v>
      </c>
      <c r="AE64" s="76"/>
      <c r="AF64" s="76"/>
      <c r="AG64" s="76"/>
      <c r="AH64" s="76"/>
      <c r="AI64" s="76"/>
      <c r="AJ64" s="76"/>
      <c r="AK64" s="183"/>
      <c r="AL64" s="206">
        <f t="shared" si="0"/>
        <v>1</v>
      </c>
      <c r="AM64" s="91">
        <f>0</f>
        <v>0</v>
      </c>
      <c r="AN64" s="209">
        <f t="shared" si="1"/>
        <v>1</v>
      </c>
      <c r="AO64" s="192">
        <v>45057</v>
      </c>
      <c r="AP64" s="105" t="s">
        <v>273</v>
      </c>
      <c r="AQ64" s="97" t="s">
        <v>459</v>
      </c>
      <c r="AR64" s="108" t="s">
        <v>148</v>
      </c>
      <c r="AS64" s="98"/>
      <c r="AT64" s="104"/>
      <c r="AU64" s="104"/>
      <c r="AV64" s="105"/>
      <c r="AW64" s="99" t="s">
        <v>457</v>
      </c>
      <c r="AX64" s="106"/>
      <c r="AY64" s="106"/>
      <c r="AZ64" s="107"/>
      <c r="BA64" s="81"/>
      <c r="BB64" s="81"/>
      <c r="BC64" s="81"/>
    </row>
    <row r="65" spans="1:55" ht="28" customHeight="1" x14ac:dyDescent="0.25">
      <c r="A65" s="131">
        <v>59</v>
      </c>
      <c r="B65" s="141">
        <v>45054</v>
      </c>
      <c r="C65" s="77" t="s">
        <v>134</v>
      </c>
      <c r="D65" s="77" t="s">
        <v>135</v>
      </c>
      <c r="E65" s="77" t="s">
        <v>136</v>
      </c>
      <c r="F65" s="142" t="s">
        <v>430</v>
      </c>
      <c r="G65" s="143" t="s">
        <v>321</v>
      </c>
      <c r="H65" s="166" t="s">
        <v>110</v>
      </c>
      <c r="I65" s="135" t="s">
        <v>439</v>
      </c>
      <c r="J65" s="144" t="s">
        <v>440</v>
      </c>
      <c r="K65" s="167" t="s">
        <v>80</v>
      </c>
      <c r="L65" s="167" t="s">
        <v>320</v>
      </c>
      <c r="M65" s="140" t="s">
        <v>154</v>
      </c>
      <c r="N65" s="140" t="s">
        <v>80</v>
      </c>
      <c r="O65" s="140" t="s">
        <v>155</v>
      </c>
      <c r="P65" s="103"/>
      <c r="Q65" s="134"/>
      <c r="R65" s="182">
        <f>0</f>
        <v>0</v>
      </c>
      <c r="S65" s="76">
        <f>0</f>
        <v>0</v>
      </c>
      <c r="T65" s="76">
        <f>0</f>
        <v>0</v>
      </c>
      <c r="U65" s="76">
        <f>0</f>
        <v>0</v>
      </c>
      <c r="V65" s="84">
        <v>1</v>
      </c>
      <c r="W65" s="76">
        <f>0</f>
        <v>0</v>
      </c>
      <c r="X65" s="76">
        <f>0</f>
        <v>0</v>
      </c>
      <c r="Y65" s="76">
        <f>0</f>
        <v>0</v>
      </c>
      <c r="Z65" s="76">
        <f>0</f>
        <v>0</v>
      </c>
      <c r="AA65" s="183">
        <f>0</f>
        <v>0</v>
      </c>
      <c r="AB65" s="185">
        <f>0</f>
        <v>0</v>
      </c>
      <c r="AC65" s="76">
        <f>0</f>
        <v>0</v>
      </c>
      <c r="AD65" s="76">
        <f>0</f>
        <v>0</v>
      </c>
      <c r="AE65" s="76"/>
      <c r="AF65" s="76"/>
      <c r="AG65" s="76"/>
      <c r="AH65" s="76"/>
      <c r="AI65" s="76"/>
      <c r="AJ65" s="76"/>
      <c r="AK65" s="183"/>
      <c r="AL65" s="206">
        <f t="shared" si="0"/>
        <v>1</v>
      </c>
      <c r="AM65" s="91">
        <f>0</f>
        <v>0</v>
      </c>
      <c r="AN65" s="209">
        <f t="shared" si="1"/>
        <v>1</v>
      </c>
      <c r="AO65" s="192">
        <v>45057</v>
      </c>
      <c r="AP65" s="105" t="s">
        <v>273</v>
      </c>
      <c r="AQ65" s="97" t="s">
        <v>459</v>
      </c>
      <c r="AR65" s="108" t="s">
        <v>148</v>
      </c>
      <c r="AS65" s="98"/>
      <c r="AT65" s="104"/>
      <c r="AU65" s="104">
        <v>1</v>
      </c>
      <c r="AV65" s="105"/>
      <c r="AW65" s="99" t="s">
        <v>457</v>
      </c>
      <c r="AX65" s="106"/>
      <c r="AY65" s="106"/>
      <c r="AZ65" s="107"/>
      <c r="BA65" s="81"/>
      <c r="BB65" s="81"/>
      <c r="BC65" s="81"/>
    </row>
    <row r="66" spans="1:55" ht="28" customHeight="1" x14ac:dyDescent="0.25">
      <c r="A66" s="131">
        <v>60</v>
      </c>
      <c r="B66" s="141">
        <v>45054</v>
      </c>
      <c r="C66" s="77" t="s">
        <v>134</v>
      </c>
      <c r="D66" s="77" t="s">
        <v>135</v>
      </c>
      <c r="E66" s="77" t="s">
        <v>136</v>
      </c>
      <c r="F66" s="142" t="s">
        <v>430</v>
      </c>
      <c r="G66" s="143" t="s">
        <v>322</v>
      </c>
      <c r="H66" s="166" t="s">
        <v>110</v>
      </c>
      <c r="I66" s="135" t="s">
        <v>441</v>
      </c>
      <c r="J66" s="144" t="s">
        <v>323</v>
      </c>
      <c r="K66" s="167" t="s">
        <v>80</v>
      </c>
      <c r="L66" s="167" t="s">
        <v>320</v>
      </c>
      <c r="M66" s="140" t="s">
        <v>154</v>
      </c>
      <c r="N66" s="140" t="s">
        <v>80</v>
      </c>
      <c r="O66" s="140" t="s">
        <v>155</v>
      </c>
      <c r="P66" s="103"/>
      <c r="Q66" s="134"/>
      <c r="R66" s="182">
        <f>0</f>
        <v>0</v>
      </c>
      <c r="S66" s="76">
        <f>0</f>
        <v>0</v>
      </c>
      <c r="T66" s="76">
        <f>0</f>
        <v>0</v>
      </c>
      <c r="U66" s="76">
        <f>0</f>
        <v>0</v>
      </c>
      <c r="V66" s="84">
        <v>1</v>
      </c>
      <c r="W66" s="76">
        <f>0</f>
        <v>0</v>
      </c>
      <c r="X66" s="76">
        <f>0</f>
        <v>0</v>
      </c>
      <c r="Y66" s="76">
        <f>0</f>
        <v>0</v>
      </c>
      <c r="Z66" s="76">
        <f>0</f>
        <v>0</v>
      </c>
      <c r="AA66" s="183">
        <f>0</f>
        <v>0</v>
      </c>
      <c r="AB66" s="185">
        <f>0</f>
        <v>0</v>
      </c>
      <c r="AC66" s="76">
        <f>0</f>
        <v>0</v>
      </c>
      <c r="AD66" s="76">
        <f>0</f>
        <v>0</v>
      </c>
      <c r="AE66" s="76"/>
      <c r="AF66" s="76"/>
      <c r="AG66" s="76"/>
      <c r="AH66" s="76"/>
      <c r="AI66" s="76"/>
      <c r="AJ66" s="76"/>
      <c r="AK66" s="183"/>
      <c r="AL66" s="206">
        <f t="shared" si="0"/>
        <v>1</v>
      </c>
      <c r="AM66" s="91">
        <f>0</f>
        <v>0</v>
      </c>
      <c r="AN66" s="209">
        <f t="shared" si="1"/>
        <v>1</v>
      </c>
      <c r="AO66" s="192">
        <v>45057</v>
      </c>
      <c r="AP66" s="105" t="s">
        <v>273</v>
      </c>
      <c r="AQ66" s="97" t="s">
        <v>459</v>
      </c>
      <c r="AR66" s="108" t="s">
        <v>148</v>
      </c>
      <c r="AS66" s="98"/>
      <c r="AT66" s="104"/>
      <c r="AU66" s="104"/>
      <c r="AV66" s="105"/>
      <c r="AW66" s="99" t="s">
        <v>1303</v>
      </c>
      <c r="AX66" s="106"/>
      <c r="AY66" s="106"/>
      <c r="AZ66" s="107"/>
      <c r="BA66" s="81"/>
      <c r="BB66" s="81"/>
      <c r="BC66" s="81"/>
    </row>
    <row r="67" spans="1:55" ht="28" customHeight="1" x14ac:dyDescent="0.25">
      <c r="A67" s="131">
        <v>61</v>
      </c>
      <c r="B67" s="141">
        <v>45054</v>
      </c>
      <c r="C67" s="77" t="s">
        <v>134</v>
      </c>
      <c r="D67" s="77" t="s">
        <v>135</v>
      </c>
      <c r="E67" s="77" t="s">
        <v>136</v>
      </c>
      <c r="F67" s="142" t="s">
        <v>430</v>
      </c>
      <c r="G67" s="143" t="s">
        <v>324</v>
      </c>
      <c r="H67" s="166" t="s">
        <v>110</v>
      </c>
      <c r="I67" s="135" t="s">
        <v>442</v>
      </c>
      <c r="J67" s="144" t="s">
        <v>325</v>
      </c>
      <c r="K67" s="167" t="s">
        <v>80</v>
      </c>
      <c r="L67" s="167" t="s">
        <v>320</v>
      </c>
      <c r="M67" s="140" t="s">
        <v>154</v>
      </c>
      <c r="N67" s="140" t="s">
        <v>80</v>
      </c>
      <c r="O67" s="140" t="s">
        <v>155</v>
      </c>
      <c r="P67" s="103"/>
      <c r="Q67" s="134"/>
      <c r="R67" s="182">
        <f>0</f>
        <v>0</v>
      </c>
      <c r="S67" s="76">
        <f>0</f>
        <v>0</v>
      </c>
      <c r="T67" s="76">
        <f>0</f>
        <v>0</v>
      </c>
      <c r="U67" s="76">
        <f>0</f>
        <v>0</v>
      </c>
      <c r="V67" s="84">
        <v>1</v>
      </c>
      <c r="W67" s="76">
        <f>0</f>
        <v>0</v>
      </c>
      <c r="X67" s="76">
        <f>0</f>
        <v>0</v>
      </c>
      <c r="Y67" s="76">
        <f>0</f>
        <v>0</v>
      </c>
      <c r="Z67" s="76">
        <f>0</f>
        <v>0</v>
      </c>
      <c r="AA67" s="183">
        <f>0</f>
        <v>0</v>
      </c>
      <c r="AB67" s="185">
        <f>0</f>
        <v>0</v>
      </c>
      <c r="AC67" s="76">
        <f>0</f>
        <v>0</v>
      </c>
      <c r="AD67" s="76">
        <f>0</f>
        <v>0</v>
      </c>
      <c r="AE67" s="76"/>
      <c r="AF67" s="76"/>
      <c r="AG67" s="76"/>
      <c r="AH67" s="76"/>
      <c r="AI67" s="76"/>
      <c r="AJ67" s="76"/>
      <c r="AK67" s="183"/>
      <c r="AL67" s="206">
        <f t="shared" si="0"/>
        <v>1</v>
      </c>
      <c r="AM67" s="91">
        <f>0</f>
        <v>0</v>
      </c>
      <c r="AN67" s="209">
        <f t="shared" si="1"/>
        <v>1</v>
      </c>
      <c r="AO67" s="192">
        <v>45057</v>
      </c>
      <c r="AP67" s="105" t="s">
        <v>273</v>
      </c>
      <c r="AQ67" s="97" t="s">
        <v>459</v>
      </c>
      <c r="AR67" s="108" t="s">
        <v>148</v>
      </c>
      <c r="AS67" s="98"/>
      <c r="AT67" s="104"/>
      <c r="AU67" s="104"/>
      <c r="AV67" s="105"/>
      <c r="AW67" s="99" t="s">
        <v>1303</v>
      </c>
      <c r="AX67" s="106"/>
      <c r="AY67" s="106"/>
      <c r="AZ67" s="107"/>
      <c r="BA67" s="81"/>
      <c r="BB67" s="81"/>
      <c r="BC67" s="81"/>
    </row>
    <row r="68" spans="1:55" ht="28" customHeight="1" x14ac:dyDescent="0.25">
      <c r="A68" s="131">
        <v>62</v>
      </c>
      <c r="B68" s="141">
        <v>45054</v>
      </c>
      <c r="C68" s="77" t="s">
        <v>134</v>
      </c>
      <c r="D68" s="77" t="s">
        <v>135</v>
      </c>
      <c r="E68" s="77" t="s">
        <v>136</v>
      </c>
      <c r="F68" s="142" t="s">
        <v>430</v>
      </c>
      <c r="G68" s="143" t="s">
        <v>326</v>
      </c>
      <c r="H68" s="166" t="s">
        <v>110</v>
      </c>
      <c r="I68" s="135" t="s">
        <v>327</v>
      </c>
      <c r="J68" s="144" t="s">
        <v>328</v>
      </c>
      <c r="K68" s="167" t="s">
        <v>80</v>
      </c>
      <c r="L68" s="167" t="s">
        <v>320</v>
      </c>
      <c r="M68" s="140" t="s">
        <v>154</v>
      </c>
      <c r="N68" s="140" t="s">
        <v>80</v>
      </c>
      <c r="O68" s="140" t="s">
        <v>155</v>
      </c>
      <c r="P68" s="103"/>
      <c r="Q68" s="134"/>
      <c r="R68" s="182">
        <f>0</f>
        <v>0</v>
      </c>
      <c r="S68" s="76">
        <f>0</f>
        <v>0</v>
      </c>
      <c r="T68" s="76">
        <f>0</f>
        <v>0</v>
      </c>
      <c r="U68" s="76">
        <f>0</f>
        <v>0</v>
      </c>
      <c r="V68" s="84">
        <v>1</v>
      </c>
      <c r="W68" s="76">
        <f>0</f>
        <v>0</v>
      </c>
      <c r="X68" s="76">
        <f>0</f>
        <v>0</v>
      </c>
      <c r="Y68" s="76">
        <f>0</f>
        <v>0</v>
      </c>
      <c r="Z68" s="76">
        <f>0</f>
        <v>0</v>
      </c>
      <c r="AA68" s="183">
        <f>0</f>
        <v>0</v>
      </c>
      <c r="AB68" s="185">
        <f>0</f>
        <v>0</v>
      </c>
      <c r="AC68" s="76">
        <f>0</f>
        <v>0</v>
      </c>
      <c r="AD68" s="76">
        <f>0</f>
        <v>0</v>
      </c>
      <c r="AE68" s="76"/>
      <c r="AF68" s="76"/>
      <c r="AG68" s="76"/>
      <c r="AH68" s="76"/>
      <c r="AI68" s="76"/>
      <c r="AJ68" s="76"/>
      <c r="AK68" s="183"/>
      <c r="AL68" s="206">
        <f t="shared" si="0"/>
        <v>1</v>
      </c>
      <c r="AM68" s="91">
        <f>0</f>
        <v>0</v>
      </c>
      <c r="AN68" s="209">
        <f t="shared" si="1"/>
        <v>1</v>
      </c>
      <c r="AO68" s="192">
        <v>45057</v>
      </c>
      <c r="AP68" s="105" t="s">
        <v>273</v>
      </c>
      <c r="AQ68" s="97" t="s">
        <v>459</v>
      </c>
      <c r="AR68" s="108" t="s">
        <v>148</v>
      </c>
      <c r="AS68" s="98"/>
      <c r="AT68" s="104"/>
      <c r="AU68" s="104"/>
      <c r="AV68" s="105"/>
      <c r="AW68" s="99" t="s">
        <v>1303</v>
      </c>
      <c r="AX68" s="106"/>
      <c r="AY68" s="106"/>
      <c r="AZ68" s="107"/>
      <c r="BA68" s="81"/>
      <c r="BB68" s="81"/>
      <c r="BC68" s="81"/>
    </row>
    <row r="69" spans="1:55" ht="28" customHeight="1" x14ac:dyDescent="0.25">
      <c r="A69" s="131">
        <v>63</v>
      </c>
      <c r="B69" s="141">
        <v>45054</v>
      </c>
      <c r="C69" s="77" t="s">
        <v>134</v>
      </c>
      <c r="D69" s="77" t="s">
        <v>135</v>
      </c>
      <c r="E69" s="77" t="s">
        <v>136</v>
      </c>
      <c r="F69" s="142" t="s">
        <v>430</v>
      </c>
      <c r="G69" s="143" t="s">
        <v>329</v>
      </c>
      <c r="H69" s="166" t="s">
        <v>110</v>
      </c>
      <c r="I69" s="135" t="s">
        <v>330</v>
      </c>
      <c r="J69" s="144" t="s">
        <v>331</v>
      </c>
      <c r="K69" s="167" t="s">
        <v>80</v>
      </c>
      <c r="L69" s="167" t="s">
        <v>320</v>
      </c>
      <c r="M69" s="140" t="s">
        <v>154</v>
      </c>
      <c r="N69" s="140" t="s">
        <v>80</v>
      </c>
      <c r="O69" s="140" t="s">
        <v>155</v>
      </c>
      <c r="P69" s="103"/>
      <c r="Q69" s="134"/>
      <c r="R69" s="182">
        <f>0</f>
        <v>0</v>
      </c>
      <c r="S69" s="76">
        <f>0</f>
        <v>0</v>
      </c>
      <c r="T69" s="76">
        <f>0</f>
        <v>0</v>
      </c>
      <c r="U69" s="76">
        <f>0</f>
        <v>0</v>
      </c>
      <c r="V69" s="84">
        <v>1</v>
      </c>
      <c r="W69" s="76">
        <f>0</f>
        <v>0</v>
      </c>
      <c r="X69" s="76">
        <f>0</f>
        <v>0</v>
      </c>
      <c r="Y69" s="76">
        <f>0</f>
        <v>0</v>
      </c>
      <c r="Z69" s="76">
        <f>0</f>
        <v>0</v>
      </c>
      <c r="AA69" s="183">
        <f>0</f>
        <v>0</v>
      </c>
      <c r="AB69" s="185">
        <f>0</f>
        <v>0</v>
      </c>
      <c r="AC69" s="76">
        <f>0</f>
        <v>0</v>
      </c>
      <c r="AD69" s="76">
        <f>0</f>
        <v>0</v>
      </c>
      <c r="AE69" s="76"/>
      <c r="AF69" s="76"/>
      <c r="AG69" s="76"/>
      <c r="AH69" s="76"/>
      <c r="AI69" s="76"/>
      <c r="AJ69" s="76"/>
      <c r="AK69" s="183"/>
      <c r="AL69" s="206">
        <f t="shared" si="0"/>
        <v>1</v>
      </c>
      <c r="AM69" s="91">
        <f>0</f>
        <v>0</v>
      </c>
      <c r="AN69" s="209">
        <f t="shared" si="1"/>
        <v>1</v>
      </c>
      <c r="AO69" s="192">
        <v>45057</v>
      </c>
      <c r="AP69" s="105" t="s">
        <v>273</v>
      </c>
      <c r="AQ69" s="97" t="s">
        <v>459</v>
      </c>
      <c r="AR69" s="108" t="s">
        <v>148</v>
      </c>
      <c r="AS69" s="98"/>
      <c r="AT69" s="104"/>
      <c r="AU69" s="104"/>
      <c r="AV69" s="105"/>
      <c r="AW69" s="104"/>
      <c r="AX69" s="106"/>
      <c r="AY69" s="106"/>
      <c r="AZ69" s="107"/>
      <c r="BA69" s="81"/>
      <c r="BB69" s="81"/>
      <c r="BC69" s="81"/>
    </row>
    <row r="70" spans="1:55" ht="28" customHeight="1" x14ac:dyDescent="0.25">
      <c r="A70" s="131">
        <v>64</v>
      </c>
      <c r="B70" s="141">
        <v>45054</v>
      </c>
      <c r="C70" s="77" t="s">
        <v>134</v>
      </c>
      <c r="D70" s="77" t="s">
        <v>135</v>
      </c>
      <c r="E70" s="77" t="s">
        <v>136</v>
      </c>
      <c r="F70" s="142" t="s">
        <v>430</v>
      </c>
      <c r="G70" s="143" t="s">
        <v>332</v>
      </c>
      <c r="H70" s="166" t="s">
        <v>110</v>
      </c>
      <c r="I70" s="135" t="s">
        <v>333</v>
      </c>
      <c r="J70" s="144" t="s">
        <v>334</v>
      </c>
      <c r="K70" s="167" t="s">
        <v>80</v>
      </c>
      <c r="L70" s="167" t="s">
        <v>320</v>
      </c>
      <c r="M70" s="140" t="s">
        <v>154</v>
      </c>
      <c r="N70" s="140" t="s">
        <v>80</v>
      </c>
      <c r="O70" s="140" t="s">
        <v>155</v>
      </c>
      <c r="P70" s="103"/>
      <c r="Q70" s="134"/>
      <c r="R70" s="182">
        <f>0</f>
        <v>0</v>
      </c>
      <c r="S70" s="76">
        <f>0</f>
        <v>0</v>
      </c>
      <c r="T70" s="76">
        <f>0</f>
        <v>0</v>
      </c>
      <c r="U70" s="76">
        <f>0</f>
        <v>0</v>
      </c>
      <c r="V70" s="84">
        <v>1</v>
      </c>
      <c r="W70" s="76">
        <f>0</f>
        <v>0</v>
      </c>
      <c r="X70" s="76">
        <f>0</f>
        <v>0</v>
      </c>
      <c r="Y70" s="76">
        <f>0</f>
        <v>0</v>
      </c>
      <c r="Z70" s="76">
        <f>0</f>
        <v>0</v>
      </c>
      <c r="AA70" s="183">
        <f>0</f>
        <v>0</v>
      </c>
      <c r="AB70" s="185">
        <f>0</f>
        <v>0</v>
      </c>
      <c r="AC70" s="76">
        <f>0</f>
        <v>0</v>
      </c>
      <c r="AD70" s="76">
        <f>0</f>
        <v>0</v>
      </c>
      <c r="AE70" s="76"/>
      <c r="AF70" s="76"/>
      <c r="AG70" s="76"/>
      <c r="AH70" s="76"/>
      <c r="AI70" s="76"/>
      <c r="AJ70" s="76"/>
      <c r="AK70" s="183"/>
      <c r="AL70" s="206">
        <f t="shared" ref="AL70:AL133" si="2">SUM(R70:AK70)</f>
        <v>1</v>
      </c>
      <c r="AM70" s="91">
        <f>0</f>
        <v>0</v>
      </c>
      <c r="AN70" s="209">
        <f t="shared" ref="AN70:AN133" si="3">AL70-AM70</f>
        <v>1</v>
      </c>
      <c r="AO70" s="192">
        <v>45057</v>
      </c>
      <c r="AP70" s="105" t="s">
        <v>273</v>
      </c>
      <c r="AQ70" s="97" t="s">
        <v>459</v>
      </c>
      <c r="AR70" s="108" t="s">
        <v>148</v>
      </c>
      <c r="AS70" s="98"/>
      <c r="AT70" s="104"/>
      <c r="AU70" s="104"/>
      <c r="AV70" s="105"/>
      <c r="AW70" s="99" t="s">
        <v>1303</v>
      </c>
      <c r="AX70" s="106"/>
      <c r="AY70" s="106"/>
      <c r="AZ70" s="107"/>
      <c r="BA70" s="81"/>
      <c r="BB70" s="81"/>
      <c r="BC70" s="81"/>
    </row>
    <row r="71" spans="1:55" ht="28" customHeight="1" x14ac:dyDescent="0.25">
      <c r="A71" s="131">
        <v>65</v>
      </c>
      <c r="B71" s="141">
        <v>45054</v>
      </c>
      <c r="C71" s="77" t="s">
        <v>134</v>
      </c>
      <c r="D71" s="77" t="s">
        <v>135</v>
      </c>
      <c r="E71" s="77" t="s">
        <v>136</v>
      </c>
      <c r="F71" s="142" t="s">
        <v>430</v>
      </c>
      <c r="G71" s="143" t="s">
        <v>335</v>
      </c>
      <c r="H71" s="166" t="s">
        <v>110</v>
      </c>
      <c r="I71" s="135" t="s">
        <v>336</v>
      </c>
      <c r="J71" s="144" t="s">
        <v>337</v>
      </c>
      <c r="K71" s="167" t="s">
        <v>80</v>
      </c>
      <c r="L71" s="167" t="s">
        <v>320</v>
      </c>
      <c r="M71" s="140" t="s">
        <v>154</v>
      </c>
      <c r="N71" s="140" t="s">
        <v>80</v>
      </c>
      <c r="O71" s="140" t="s">
        <v>155</v>
      </c>
      <c r="P71" s="103"/>
      <c r="Q71" s="134"/>
      <c r="R71" s="182">
        <f>0</f>
        <v>0</v>
      </c>
      <c r="S71" s="76">
        <f>0</f>
        <v>0</v>
      </c>
      <c r="T71" s="76">
        <f>0</f>
        <v>0</v>
      </c>
      <c r="U71" s="76">
        <f>0</f>
        <v>0</v>
      </c>
      <c r="V71" s="84">
        <v>2</v>
      </c>
      <c r="W71" s="76">
        <f>0</f>
        <v>0</v>
      </c>
      <c r="X71" s="76">
        <f>0</f>
        <v>0</v>
      </c>
      <c r="Y71" s="76">
        <f>0</f>
        <v>0</v>
      </c>
      <c r="Z71" s="76">
        <f>0</f>
        <v>0</v>
      </c>
      <c r="AA71" s="183">
        <f>0</f>
        <v>0</v>
      </c>
      <c r="AB71" s="185">
        <f>0</f>
        <v>0</v>
      </c>
      <c r="AC71" s="76">
        <f>0</f>
        <v>0</v>
      </c>
      <c r="AD71" s="76">
        <f>0</f>
        <v>0</v>
      </c>
      <c r="AE71" s="76"/>
      <c r="AF71" s="76"/>
      <c r="AG71" s="76"/>
      <c r="AH71" s="76"/>
      <c r="AI71" s="76"/>
      <c r="AJ71" s="76"/>
      <c r="AK71" s="183"/>
      <c r="AL71" s="206">
        <f t="shared" si="2"/>
        <v>2</v>
      </c>
      <c r="AM71" s="91">
        <f>0</f>
        <v>0</v>
      </c>
      <c r="AN71" s="209">
        <f t="shared" si="3"/>
        <v>2</v>
      </c>
      <c r="AO71" s="192">
        <v>45057</v>
      </c>
      <c r="AP71" s="105" t="s">
        <v>273</v>
      </c>
      <c r="AQ71" s="97" t="s">
        <v>459</v>
      </c>
      <c r="AR71" s="108" t="s">
        <v>148</v>
      </c>
      <c r="AS71" s="98"/>
      <c r="AT71" s="104"/>
      <c r="AU71" s="104"/>
      <c r="AV71" s="105"/>
      <c r="AW71" s="99" t="s">
        <v>1303</v>
      </c>
      <c r="AX71" s="106"/>
      <c r="AY71" s="106"/>
      <c r="AZ71" s="107"/>
      <c r="BA71" s="81"/>
      <c r="BB71" s="81"/>
      <c r="BC71" s="81"/>
    </row>
    <row r="72" spans="1:55" ht="28" customHeight="1" x14ac:dyDescent="0.25">
      <c r="A72" s="131">
        <v>66</v>
      </c>
      <c r="B72" s="141">
        <v>45054</v>
      </c>
      <c r="C72" s="77" t="s">
        <v>134</v>
      </c>
      <c r="D72" s="77" t="s">
        <v>135</v>
      </c>
      <c r="E72" s="77" t="s">
        <v>136</v>
      </c>
      <c r="F72" s="142" t="s">
        <v>430</v>
      </c>
      <c r="G72" s="143" t="s">
        <v>338</v>
      </c>
      <c r="H72" s="166" t="s">
        <v>110</v>
      </c>
      <c r="I72" s="135" t="s">
        <v>443</v>
      </c>
      <c r="J72" s="144" t="s">
        <v>339</v>
      </c>
      <c r="K72" s="167" t="s">
        <v>80</v>
      </c>
      <c r="L72" s="167" t="s">
        <v>320</v>
      </c>
      <c r="M72" s="140" t="s">
        <v>154</v>
      </c>
      <c r="N72" s="140" t="s">
        <v>80</v>
      </c>
      <c r="O72" s="140" t="s">
        <v>155</v>
      </c>
      <c r="P72" s="103"/>
      <c r="Q72" s="134"/>
      <c r="R72" s="182">
        <f>0</f>
        <v>0</v>
      </c>
      <c r="S72" s="76">
        <f>0</f>
        <v>0</v>
      </c>
      <c r="T72" s="76">
        <f>0</f>
        <v>0</v>
      </c>
      <c r="U72" s="76">
        <f>0</f>
        <v>0</v>
      </c>
      <c r="V72" s="84">
        <v>1</v>
      </c>
      <c r="W72" s="76">
        <f>0</f>
        <v>0</v>
      </c>
      <c r="X72" s="76">
        <f>0</f>
        <v>0</v>
      </c>
      <c r="Y72" s="76">
        <f>0</f>
        <v>0</v>
      </c>
      <c r="Z72" s="76">
        <f>0</f>
        <v>0</v>
      </c>
      <c r="AA72" s="183">
        <f>0</f>
        <v>0</v>
      </c>
      <c r="AB72" s="185">
        <f>0</f>
        <v>0</v>
      </c>
      <c r="AC72" s="76">
        <f>0</f>
        <v>0</v>
      </c>
      <c r="AD72" s="76">
        <f>0</f>
        <v>0</v>
      </c>
      <c r="AE72" s="76"/>
      <c r="AF72" s="76"/>
      <c r="AG72" s="76"/>
      <c r="AH72" s="76"/>
      <c r="AI72" s="76"/>
      <c r="AJ72" s="76"/>
      <c r="AK72" s="183"/>
      <c r="AL72" s="206">
        <f t="shared" si="2"/>
        <v>1</v>
      </c>
      <c r="AM72" s="91">
        <f>0</f>
        <v>0</v>
      </c>
      <c r="AN72" s="209">
        <f t="shared" si="3"/>
        <v>1</v>
      </c>
      <c r="AO72" s="192">
        <v>45057</v>
      </c>
      <c r="AP72" s="105" t="s">
        <v>273</v>
      </c>
      <c r="AQ72" s="97" t="s">
        <v>459</v>
      </c>
      <c r="AR72" s="108" t="s">
        <v>148</v>
      </c>
      <c r="AS72" s="98"/>
      <c r="AT72" s="104"/>
      <c r="AU72" s="104"/>
      <c r="AV72" s="105"/>
      <c r="AW72" s="99" t="s">
        <v>1303</v>
      </c>
      <c r="AX72" s="106"/>
      <c r="AY72" s="106"/>
      <c r="AZ72" s="107"/>
      <c r="BA72" s="81"/>
      <c r="BB72" s="81"/>
      <c r="BC72" s="81"/>
    </row>
    <row r="73" spans="1:55" ht="28" customHeight="1" x14ac:dyDescent="0.25">
      <c r="A73" s="131">
        <v>67</v>
      </c>
      <c r="B73" s="141">
        <v>45054</v>
      </c>
      <c r="C73" s="77" t="s">
        <v>134</v>
      </c>
      <c r="D73" s="77" t="s">
        <v>135</v>
      </c>
      <c r="E73" s="77" t="s">
        <v>136</v>
      </c>
      <c r="F73" s="142" t="s">
        <v>430</v>
      </c>
      <c r="G73" s="143" t="s">
        <v>340</v>
      </c>
      <c r="H73" s="166" t="s">
        <v>110</v>
      </c>
      <c r="I73" s="135" t="s">
        <v>341</v>
      </c>
      <c r="J73" s="144" t="s">
        <v>342</v>
      </c>
      <c r="K73" s="167" t="s">
        <v>80</v>
      </c>
      <c r="L73" s="167" t="s">
        <v>320</v>
      </c>
      <c r="M73" s="140" t="s">
        <v>154</v>
      </c>
      <c r="N73" s="140" t="s">
        <v>80</v>
      </c>
      <c r="O73" s="140" t="s">
        <v>155</v>
      </c>
      <c r="P73" s="103"/>
      <c r="Q73" s="134"/>
      <c r="R73" s="182">
        <f>0</f>
        <v>0</v>
      </c>
      <c r="S73" s="76">
        <f>0</f>
        <v>0</v>
      </c>
      <c r="T73" s="76">
        <f>0</f>
        <v>0</v>
      </c>
      <c r="U73" s="76">
        <f>0</f>
        <v>0</v>
      </c>
      <c r="V73" s="84">
        <v>1</v>
      </c>
      <c r="W73" s="76">
        <f>0</f>
        <v>0</v>
      </c>
      <c r="X73" s="76">
        <f>0</f>
        <v>0</v>
      </c>
      <c r="Y73" s="76">
        <f>0</f>
        <v>0</v>
      </c>
      <c r="Z73" s="76">
        <f>0</f>
        <v>0</v>
      </c>
      <c r="AA73" s="183">
        <f>0</f>
        <v>0</v>
      </c>
      <c r="AB73" s="185">
        <f>0</f>
        <v>0</v>
      </c>
      <c r="AC73" s="76">
        <f>0</f>
        <v>0</v>
      </c>
      <c r="AD73" s="76">
        <f>0</f>
        <v>0</v>
      </c>
      <c r="AE73" s="76"/>
      <c r="AF73" s="76"/>
      <c r="AG73" s="76"/>
      <c r="AH73" s="76"/>
      <c r="AI73" s="76"/>
      <c r="AJ73" s="76"/>
      <c r="AK73" s="183"/>
      <c r="AL73" s="206">
        <f t="shared" si="2"/>
        <v>1</v>
      </c>
      <c r="AM73" s="91">
        <f>0</f>
        <v>0</v>
      </c>
      <c r="AN73" s="209">
        <f t="shared" si="3"/>
        <v>1</v>
      </c>
      <c r="AO73" s="192">
        <v>45057</v>
      </c>
      <c r="AP73" s="105" t="s">
        <v>273</v>
      </c>
      <c r="AQ73" s="97" t="s">
        <v>459</v>
      </c>
      <c r="AR73" s="108" t="s">
        <v>148</v>
      </c>
      <c r="AS73" s="98"/>
      <c r="AT73" s="104"/>
      <c r="AU73" s="104"/>
      <c r="AV73" s="105"/>
      <c r="AW73" s="99" t="s">
        <v>1303</v>
      </c>
      <c r="AX73" s="106"/>
      <c r="AY73" s="106"/>
      <c r="AZ73" s="107"/>
      <c r="BA73" s="81"/>
      <c r="BB73" s="81"/>
      <c r="BC73" s="81"/>
    </row>
    <row r="74" spans="1:55" ht="28" customHeight="1" x14ac:dyDescent="0.25">
      <c r="A74" s="131">
        <v>68</v>
      </c>
      <c r="B74" s="141">
        <v>45054</v>
      </c>
      <c r="C74" s="77" t="s">
        <v>134</v>
      </c>
      <c r="D74" s="77" t="s">
        <v>135</v>
      </c>
      <c r="E74" s="77" t="s">
        <v>136</v>
      </c>
      <c r="F74" s="142" t="s">
        <v>430</v>
      </c>
      <c r="G74" s="143" t="s">
        <v>343</v>
      </c>
      <c r="H74" s="166" t="s">
        <v>110</v>
      </c>
      <c r="I74" s="135" t="s">
        <v>333</v>
      </c>
      <c r="J74" s="144" t="s">
        <v>344</v>
      </c>
      <c r="K74" s="167" t="s">
        <v>80</v>
      </c>
      <c r="L74" s="167" t="s">
        <v>320</v>
      </c>
      <c r="M74" s="140" t="s">
        <v>154</v>
      </c>
      <c r="N74" s="140" t="s">
        <v>80</v>
      </c>
      <c r="O74" s="140" t="s">
        <v>155</v>
      </c>
      <c r="P74" s="103"/>
      <c r="Q74" s="134"/>
      <c r="R74" s="182">
        <f>0</f>
        <v>0</v>
      </c>
      <c r="S74" s="76">
        <f>0</f>
        <v>0</v>
      </c>
      <c r="T74" s="76">
        <f>0</f>
        <v>0</v>
      </c>
      <c r="U74" s="76">
        <f>0</f>
        <v>0</v>
      </c>
      <c r="V74" s="84">
        <v>1</v>
      </c>
      <c r="W74" s="76">
        <f>0</f>
        <v>0</v>
      </c>
      <c r="X74" s="76">
        <f>0</f>
        <v>0</v>
      </c>
      <c r="Y74" s="76">
        <f>0</f>
        <v>0</v>
      </c>
      <c r="Z74" s="76">
        <f>0</f>
        <v>0</v>
      </c>
      <c r="AA74" s="183">
        <f>0</f>
        <v>0</v>
      </c>
      <c r="AB74" s="185">
        <f>0</f>
        <v>0</v>
      </c>
      <c r="AC74" s="76">
        <f>0</f>
        <v>0</v>
      </c>
      <c r="AD74" s="76">
        <f>0</f>
        <v>0</v>
      </c>
      <c r="AE74" s="76"/>
      <c r="AF74" s="76"/>
      <c r="AG74" s="76"/>
      <c r="AH74" s="76"/>
      <c r="AI74" s="76"/>
      <c r="AJ74" s="76"/>
      <c r="AK74" s="183"/>
      <c r="AL74" s="206">
        <f t="shared" si="2"/>
        <v>1</v>
      </c>
      <c r="AM74" s="91">
        <f>0</f>
        <v>0</v>
      </c>
      <c r="AN74" s="209">
        <f t="shared" si="3"/>
        <v>1</v>
      </c>
      <c r="AO74" s="192">
        <v>45057</v>
      </c>
      <c r="AP74" s="105" t="s">
        <v>273</v>
      </c>
      <c r="AQ74" s="97" t="s">
        <v>459</v>
      </c>
      <c r="AR74" s="108" t="s">
        <v>148</v>
      </c>
      <c r="AS74" s="98"/>
      <c r="AT74" s="104"/>
      <c r="AU74" s="104"/>
      <c r="AV74" s="105"/>
      <c r="AW74" s="99" t="s">
        <v>1303</v>
      </c>
      <c r="AX74" s="106"/>
      <c r="AY74" s="106"/>
      <c r="AZ74" s="107"/>
      <c r="BA74" s="81"/>
      <c r="BB74" s="81"/>
      <c r="BC74" s="81"/>
    </row>
    <row r="75" spans="1:55" ht="28" customHeight="1" x14ac:dyDescent="0.25">
      <c r="A75" s="131">
        <v>69</v>
      </c>
      <c r="B75" s="141">
        <v>45054</v>
      </c>
      <c r="C75" s="77" t="s">
        <v>134</v>
      </c>
      <c r="D75" s="77" t="s">
        <v>135</v>
      </c>
      <c r="E75" s="77" t="s">
        <v>136</v>
      </c>
      <c r="F75" s="142" t="s">
        <v>430</v>
      </c>
      <c r="G75" s="143" t="s">
        <v>345</v>
      </c>
      <c r="H75" s="166" t="s">
        <v>110</v>
      </c>
      <c r="I75" s="135" t="s">
        <v>346</v>
      </c>
      <c r="J75" s="144" t="s">
        <v>347</v>
      </c>
      <c r="K75" s="167" t="s">
        <v>80</v>
      </c>
      <c r="L75" s="167" t="s">
        <v>320</v>
      </c>
      <c r="M75" s="140" t="s">
        <v>154</v>
      </c>
      <c r="N75" s="140" t="s">
        <v>80</v>
      </c>
      <c r="O75" s="140" t="s">
        <v>155</v>
      </c>
      <c r="P75" s="103"/>
      <c r="Q75" s="134"/>
      <c r="R75" s="182">
        <f>0</f>
        <v>0</v>
      </c>
      <c r="S75" s="76">
        <f>0</f>
        <v>0</v>
      </c>
      <c r="T75" s="76">
        <f>0</f>
        <v>0</v>
      </c>
      <c r="U75" s="76">
        <f>0</f>
        <v>0</v>
      </c>
      <c r="V75" s="84">
        <v>1</v>
      </c>
      <c r="W75" s="76">
        <f>0</f>
        <v>0</v>
      </c>
      <c r="X75" s="76">
        <f>0</f>
        <v>0</v>
      </c>
      <c r="Y75" s="76">
        <f>0</f>
        <v>0</v>
      </c>
      <c r="Z75" s="76">
        <f>0</f>
        <v>0</v>
      </c>
      <c r="AA75" s="183">
        <f>0</f>
        <v>0</v>
      </c>
      <c r="AB75" s="185">
        <f>0</f>
        <v>0</v>
      </c>
      <c r="AC75" s="76">
        <f>0</f>
        <v>0</v>
      </c>
      <c r="AD75" s="76">
        <f>0</f>
        <v>0</v>
      </c>
      <c r="AE75" s="76"/>
      <c r="AF75" s="76"/>
      <c r="AG75" s="76"/>
      <c r="AH75" s="76"/>
      <c r="AI75" s="76"/>
      <c r="AJ75" s="76"/>
      <c r="AK75" s="183"/>
      <c r="AL75" s="206">
        <f t="shared" si="2"/>
        <v>1</v>
      </c>
      <c r="AM75" s="91">
        <f>0</f>
        <v>0</v>
      </c>
      <c r="AN75" s="209">
        <f t="shared" si="3"/>
        <v>1</v>
      </c>
      <c r="AO75" s="192">
        <v>45057</v>
      </c>
      <c r="AP75" s="105" t="s">
        <v>273</v>
      </c>
      <c r="AQ75" s="97" t="s">
        <v>459</v>
      </c>
      <c r="AR75" s="108" t="s">
        <v>148</v>
      </c>
      <c r="AS75" s="98"/>
      <c r="AT75" s="104"/>
      <c r="AU75" s="104"/>
      <c r="AV75" s="105"/>
      <c r="AW75" s="99" t="s">
        <v>1303</v>
      </c>
      <c r="AX75" s="106"/>
      <c r="AY75" s="106"/>
      <c r="AZ75" s="107"/>
      <c r="BA75" s="81"/>
      <c r="BB75" s="81"/>
      <c r="BC75" s="81"/>
    </row>
    <row r="76" spans="1:55" ht="28" customHeight="1" x14ac:dyDescent="0.25">
      <c r="A76" s="131">
        <v>70</v>
      </c>
      <c r="B76" s="141">
        <v>45054</v>
      </c>
      <c r="C76" s="77" t="s">
        <v>134</v>
      </c>
      <c r="D76" s="77" t="s">
        <v>135</v>
      </c>
      <c r="E76" s="77" t="s">
        <v>136</v>
      </c>
      <c r="F76" s="142" t="s">
        <v>430</v>
      </c>
      <c r="G76" s="143" t="s">
        <v>348</v>
      </c>
      <c r="H76" s="166" t="s">
        <v>110</v>
      </c>
      <c r="I76" s="135" t="s">
        <v>349</v>
      </c>
      <c r="J76" s="144" t="s">
        <v>350</v>
      </c>
      <c r="K76" s="167" t="s">
        <v>80</v>
      </c>
      <c r="L76" s="167" t="s">
        <v>320</v>
      </c>
      <c r="M76" s="140" t="s">
        <v>154</v>
      </c>
      <c r="N76" s="140" t="s">
        <v>80</v>
      </c>
      <c r="O76" s="140" t="s">
        <v>155</v>
      </c>
      <c r="P76" s="103"/>
      <c r="Q76" s="134"/>
      <c r="R76" s="182">
        <f>0</f>
        <v>0</v>
      </c>
      <c r="S76" s="76">
        <f>0</f>
        <v>0</v>
      </c>
      <c r="T76" s="76">
        <f>0</f>
        <v>0</v>
      </c>
      <c r="U76" s="76">
        <f>0</f>
        <v>0</v>
      </c>
      <c r="V76" s="84">
        <v>1</v>
      </c>
      <c r="W76" s="76">
        <f>0</f>
        <v>0</v>
      </c>
      <c r="X76" s="76">
        <f>0</f>
        <v>0</v>
      </c>
      <c r="Y76" s="76">
        <f>0</f>
        <v>0</v>
      </c>
      <c r="Z76" s="76">
        <f>0</f>
        <v>0</v>
      </c>
      <c r="AA76" s="183">
        <f>0</f>
        <v>0</v>
      </c>
      <c r="AB76" s="185">
        <f>0</f>
        <v>0</v>
      </c>
      <c r="AC76" s="76">
        <f>0</f>
        <v>0</v>
      </c>
      <c r="AD76" s="76">
        <f>0</f>
        <v>0</v>
      </c>
      <c r="AE76" s="76"/>
      <c r="AF76" s="76"/>
      <c r="AG76" s="76"/>
      <c r="AH76" s="76"/>
      <c r="AI76" s="76"/>
      <c r="AJ76" s="76"/>
      <c r="AK76" s="183"/>
      <c r="AL76" s="206">
        <f t="shared" si="2"/>
        <v>1</v>
      </c>
      <c r="AM76" s="91">
        <f>0</f>
        <v>0</v>
      </c>
      <c r="AN76" s="209">
        <f t="shared" si="3"/>
        <v>1</v>
      </c>
      <c r="AO76" s="192">
        <v>45057</v>
      </c>
      <c r="AP76" s="105" t="s">
        <v>273</v>
      </c>
      <c r="AQ76" s="97" t="s">
        <v>459</v>
      </c>
      <c r="AR76" s="108" t="s">
        <v>148</v>
      </c>
      <c r="AS76" s="98"/>
      <c r="AT76" s="104"/>
      <c r="AU76" s="104"/>
      <c r="AV76" s="105"/>
      <c r="AW76" s="99" t="s">
        <v>1303</v>
      </c>
      <c r="AX76" s="106"/>
      <c r="AY76" s="106"/>
      <c r="AZ76" s="107"/>
      <c r="BA76" s="81"/>
      <c r="BB76" s="81"/>
      <c r="BC76" s="81"/>
    </row>
    <row r="77" spans="1:55" ht="28" customHeight="1" x14ac:dyDescent="0.25">
      <c r="A77" s="131">
        <v>71</v>
      </c>
      <c r="B77" s="141">
        <v>45054</v>
      </c>
      <c r="C77" s="77" t="s">
        <v>134</v>
      </c>
      <c r="D77" s="77" t="s">
        <v>135</v>
      </c>
      <c r="E77" s="77" t="s">
        <v>136</v>
      </c>
      <c r="F77" s="142" t="s">
        <v>430</v>
      </c>
      <c r="G77" s="143" t="s">
        <v>351</v>
      </c>
      <c r="H77" s="166" t="s">
        <v>110</v>
      </c>
      <c r="I77" s="135" t="s">
        <v>352</v>
      </c>
      <c r="J77" s="144" t="s">
        <v>353</v>
      </c>
      <c r="K77" s="167" t="s">
        <v>80</v>
      </c>
      <c r="L77" s="167" t="s">
        <v>153</v>
      </c>
      <c r="M77" s="140" t="s">
        <v>154</v>
      </c>
      <c r="N77" s="140" t="s">
        <v>80</v>
      </c>
      <c r="O77" s="140" t="s">
        <v>155</v>
      </c>
      <c r="P77" s="103"/>
      <c r="Q77" s="134"/>
      <c r="R77" s="182">
        <f>0</f>
        <v>0</v>
      </c>
      <c r="S77" s="76">
        <f>0</f>
        <v>0</v>
      </c>
      <c r="T77" s="76">
        <f>0</f>
        <v>0</v>
      </c>
      <c r="U77" s="76">
        <f>0</f>
        <v>0</v>
      </c>
      <c r="V77" s="84">
        <v>1</v>
      </c>
      <c r="W77" s="76">
        <f>0</f>
        <v>0</v>
      </c>
      <c r="X77" s="76">
        <f>0</f>
        <v>0</v>
      </c>
      <c r="Y77" s="76">
        <f>0</f>
        <v>0</v>
      </c>
      <c r="Z77" s="76">
        <f>0</f>
        <v>0</v>
      </c>
      <c r="AA77" s="183">
        <f>0</f>
        <v>0</v>
      </c>
      <c r="AB77" s="185">
        <f>0</f>
        <v>0</v>
      </c>
      <c r="AC77" s="76">
        <f>0</f>
        <v>0</v>
      </c>
      <c r="AD77" s="76">
        <f>0</f>
        <v>0</v>
      </c>
      <c r="AE77" s="76"/>
      <c r="AF77" s="76"/>
      <c r="AG77" s="76"/>
      <c r="AH77" s="76"/>
      <c r="AI77" s="76"/>
      <c r="AJ77" s="76"/>
      <c r="AK77" s="183"/>
      <c r="AL77" s="206">
        <f t="shared" si="2"/>
        <v>1</v>
      </c>
      <c r="AM77" s="91">
        <f>0</f>
        <v>0</v>
      </c>
      <c r="AN77" s="209">
        <f t="shared" si="3"/>
        <v>1</v>
      </c>
      <c r="AO77" s="192">
        <v>45057</v>
      </c>
      <c r="AP77" s="105" t="s">
        <v>273</v>
      </c>
      <c r="AQ77" s="97" t="s">
        <v>459</v>
      </c>
      <c r="AR77" s="108" t="s">
        <v>148</v>
      </c>
      <c r="AS77" s="98"/>
      <c r="AT77" s="104"/>
      <c r="AU77" s="104"/>
      <c r="AV77" s="105"/>
      <c r="AW77" s="104"/>
      <c r="AX77" s="106"/>
      <c r="AY77" s="106"/>
      <c r="AZ77" s="107"/>
      <c r="BA77" s="81"/>
      <c r="BB77" s="81"/>
      <c r="BC77" s="81"/>
    </row>
    <row r="78" spans="1:55" ht="28" customHeight="1" x14ac:dyDescent="0.25">
      <c r="A78" s="131">
        <v>72</v>
      </c>
      <c r="B78" s="141">
        <v>45054</v>
      </c>
      <c r="C78" s="77" t="s">
        <v>134</v>
      </c>
      <c r="D78" s="77" t="s">
        <v>135</v>
      </c>
      <c r="E78" s="77" t="s">
        <v>136</v>
      </c>
      <c r="F78" s="142" t="s">
        <v>430</v>
      </c>
      <c r="G78" s="143" t="s">
        <v>354</v>
      </c>
      <c r="H78" s="166" t="s">
        <v>110</v>
      </c>
      <c r="I78" s="135" t="s">
        <v>444</v>
      </c>
      <c r="J78" s="144" t="s">
        <v>355</v>
      </c>
      <c r="K78" s="167" t="s">
        <v>80</v>
      </c>
      <c r="L78" s="167" t="s">
        <v>153</v>
      </c>
      <c r="M78" s="140" t="s">
        <v>154</v>
      </c>
      <c r="N78" s="140" t="s">
        <v>80</v>
      </c>
      <c r="O78" s="140" t="s">
        <v>155</v>
      </c>
      <c r="P78" s="103"/>
      <c r="Q78" s="134"/>
      <c r="R78" s="182">
        <f>0</f>
        <v>0</v>
      </c>
      <c r="S78" s="76">
        <f>0</f>
        <v>0</v>
      </c>
      <c r="T78" s="76">
        <f>0</f>
        <v>0</v>
      </c>
      <c r="U78" s="76">
        <f>0</f>
        <v>0</v>
      </c>
      <c r="V78" s="84">
        <v>1</v>
      </c>
      <c r="W78" s="76">
        <f>0</f>
        <v>0</v>
      </c>
      <c r="X78" s="76">
        <f>0</f>
        <v>0</v>
      </c>
      <c r="Y78" s="76">
        <f>0</f>
        <v>0</v>
      </c>
      <c r="Z78" s="76">
        <f>0</f>
        <v>0</v>
      </c>
      <c r="AA78" s="183">
        <f>0</f>
        <v>0</v>
      </c>
      <c r="AB78" s="185">
        <f>0</f>
        <v>0</v>
      </c>
      <c r="AC78" s="76">
        <f>0</f>
        <v>0</v>
      </c>
      <c r="AD78" s="76">
        <f>0</f>
        <v>0</v>
      </c>
      <c r="AE78" s="76"/>
      <c r="AF78" s="76"/>
      <c r="AG78" s="76"/>
      <c r="AH78" s="76"/>
      <c r="AI78" s="76"/>
      <c r="AJ78" s="76"/>
      <c r="AK78" s="183"/>
      <c r="AL78" s="206">
        <f t="shared" si="2"/>
        <v>1</v>
      </c>
      <c r="AM78" s="91">
        <f>0</f>
        <v>0</v>
      </c>
      <c r="AN78" s="209">
        <f t="shared" si="3"/>
        <v>1</v>
      </c>
      <c r="AO78" s="192">
        <v>45057</v>
      </c>
      <c r="AP78" s="105" t="s">
        <v>273</v>
      </c>
      <c r="AQ78" s="97" t="s">
        <v>459</v>
      </c>
      <c r="AR78" s="108" t="s">
        <v>148</v>
      </c>
      <c r="AS78" s="98"/>
      <c r="AT78" s="104"/>
      <c r="AU78" s="104"/>
      <c r="AV78" s="105"/>
      <c r="AW78" s="99" t="s">
        <v>1303</v>
      </c>
      <c r="AX78" s="106"/>
      <c r="AY78" s="106"/>
      <c r="AZ78" s="107"/>
      <c r="BA78" s="81"/>
      <c r="BB78" s="81"/>
      <c r="BC78" s="81"/>
    </row>
    <row r="79" spans="1:55" ht="28" customHeight="1" x14ac:dyDescent="0.25">
      <c r="A79" s="131">
        <v>73</v>
      </c>
      <c r="B79" s="141">
        <v>45054</v>
      </c>
      <c r="C79" s="77" t="s">
        <v>134</v>
      </c>
      <c r="D79" s="77" t="s">
        <v>135</v>
      </c>
      <c r="E79" s="77" t="s">
        <v>136</v>
      </c>
      <c r="F79" s="142" t="s">
        <v>430</v>
      </c>
      <c r="G79" s="143" t="s">
        <v>356</v>
      </c>
      <c r="H79" s="166" t="s">
        <v>110</v>
      </c>
      <c r="I79" s="135" t="s">
        <v>445</v>
      </c>
      <c r="J79" s="144" t="s">
        <v>357</v>
      </c>
      <c r="K79" s="167" t="s">
        <v>80</v>
      </c>
      <c r="L79" s="167" t="s">
        <v>358</v>
      </c>
      <c r="M79" s="140" t="s">
        <v>114</v>
      </c>
      <c r="N79" s="140" t="s">
        <v>80</v>
      </c>
      <c r="O79" s="140" t="s">
        <v>120</v>
      </c>
      <c r="P79" s="103"/>
      <c r="Q79" s="134"/>
      <c r="R79" s="182">
        <f>0</f>
        <v>0</v>
      </c>
      <c r="S79" s="76">
        <f>0</f>
        <v>0</v>
      </c>
      <c r="T79" s="76">
        <f>0</f>
        <v>0</v>
      </c>
      <c r="U79" s="76">
        <f>0</f>
        <v>0</v>
      </c>
      <c r="V79" s="84">
        <v>1</v>
      </c>
      <c r="W79" s="76">
        <f>0</f>
        <v>0</v>
      </c>
      <c r="X79" s="76">
        <f>0</f>
        <v>0</v>
      </c>
      <c r="Y79" s="76">
        <f>0</f>
        <v>0</v>
      </c>
      <c r="Z79" s="76">
        <f>0</f>
        <v>0</v>
      </c>
      <c r="AA79" s="183">
        <f>0</f>
        <v>0</v>
      </c>
      <c r="AB79" s="185">
        <f>0</f>
        <v>0</v>
      </c>
      <c r="AC79" s="76">
        <f>0</f>
        <v>0</v>
      </c>
      <c r="AD79" s="76">
        <f>0</f>
        <v>0</v>
      </c>
      <c r="AE79" s="76"/>
      <c r="AF79" s="76"/>
      <c r="AG79" s="76"/>
      <c r="AH79" s="76"/>
      <c r="AI79" s="76"/>
      <c r="AJ79" s="76"/>
      <c r="AK79" s="183"/>
      <c r="AL79" s="206">
        <f t="shared" si="2"/>
        <v>1</v>
      </c>
      <c r="AM79" s="91">
        <f>0</f>
        <v>0</v>
      </c>
      <c r="AN79" s="209">
        <f t="shared" si="3"/>
        <v>1</v>
      </c>
      <c r="AO79" s="192">
        <v>45057</v>
      </c>
      <c r="AP79" s="105" t="s">
        <v>273</v>
      </c>
      <c r="AQ79" s="97" t="s">
        <v>460</v>
      </c>
      <c r="AR79" s="108" t="s">
        <v>276</v>
      </c>
      <c r="AS79" s="98"/>
      <c r="AT79" s="104"/>
      <c r="AU79" s="104">
        <v>1</v>
      </c>
      <c r="AV79" s="105"/>
      <c r="AW79" s="99" t="s">
        <v>457</v>
      </c>
      <c r="AX79" s="106"/>
      <c r="AY79" s="106"/>
      <c r="AZ79" s="107"/>
      <c r="BA79" s="81"/>
      <c r="BB79" s="81"/>
      <c r="BC79" s="81"/>
    </row>
    <row r="80" spans="1:55" ht="28" customHeight="1" x14ac:dyDescent="0.25">
      <c r="A80" s="131">
        <v>74</v>
      </c>
      <c r="B80" s="141">
        <v>45054</v>
      </c>
      <c r="C80" s="77" t="s">
        <v>134</v>
      </c>
      <c r="D80" s="77" t="s">
        <v>135</v>
      </c>
      <c r="E80" s="77" t="s">
        <v>136</v>
      </c>
      <c r="F80" s="142" t="s">
        <v>430</v>
      </c>
      <c r="G80" s="143" t="s">
        <v>359</v>
      </c>
      <c r="H80" s="166" t="s">
        <v>110</v>
      </c>
      <c r="I80" s="135" t="s">
        <v>360</v>
      </c>
      <c r="J80" s="144" t="s">
        <v>361</v>
      </c>
      <c r="K80" s="167" t="s">
        <v>80</v>
      </c>
      <c r="L80" s="167" t="s">
        <v>168</v>
      </c>
      <c r="M80" s="140" t="s">
        <v>154</v>
      </c>
      <c r="N80" s="140" t="s">
        <v>80</v>
      </c>
      <c r="O80" s="140" t="s">
        <v>149</v>
      </c>
      <c r="P80" s="103"/>
      <c r="Q80" s="134"/>
      <c r="R80" s="182">
        <f>0</f>
        <v>0</v>
      </c>
      <c r="S80" s="76">
        <f>0</f>
        <v>0</v>
      </c>
      <c r="T80" s="76">
        <f>0</f>
        <v>0</v>
      </c>
      <c r="U80" s="76">
        <f>0</f>
        <v>0</v>
      </c>
      <c r="V80" s="84">
        <v>1</v>
      </c>
      <c r="W80" s="76">
        <f>0</f>
        <v>0</v>
      </c>
      <c r="X80" s="76">
        <f>0</f>
        <v>0</v>
      </c>
      <c r="Y80" s="76">
        <f>0</f>
        <v>0</v>
      </c>
      <c r="Z80" s="76">
        <f>0</f>
        <v>0</v>
      </c>
      <c r="AA80" s="183">
        <f>0</f>
        <v>0</v>
      </c>
      <c r="AB80" s="185">
        <f>0</f>
        <v>0</v>
      </c>
      <c r="AC80" s="76">
        <f>0</f>
        <v>0</v>
      </c>
      <c r="AD80" s="76">
        <f>0</f>
        <v>0</v>
      </c>
      <c r="AE80" s="76"/>
      <c r="AF80" s="76"/>
      <c r="AG80" s="76"/>
      <c r="AH80" s="76"/>
      <c r="AI80" s="76"/>
      <c r="AJ80" s="76"/>
      <c r="AK80" s="183"/>
      <c r="AL80" s="206">
        <f t="shared" si="2"/>
        <v>1</v>
      </c>
      <c r="AM80" s="91">
        <f>0</f>
        <v>0</v>
      </c>
      <c r="AN80" s="209">
        <f t="shared" si="3"/>
        <v>1</v>
      </c>
      <c r="AO80" s="192">
        <v>45057</v>
      </c>
      <c r="AP80" s="105" t="s">
        <v>273</v>
      </c>
      <c r="AQ80" s="97" t="s">
        <v>459</v>
      </c>
      <c r="AR80" s="108" t="s">
        <v>148</v>
      </c>
      <c r="AS80" s="98"/>
      <c r="AT80" s="104"/>
      <c r="AU80" s="104">
        <v>1</v>
      </c>
      <c r="AV80" s="105"/>
      <c r="AW80" s="104" t="s">
        <v>457</v>
      </c>
      <c r="AX80" s="106"/>
      <c r="AY80" s="106"/>
      <c r="AZ80" s="107"/>
      <c r="BA80" s="81"/>
      <c r="BB80" s="81"/>
      <c r="BC80" s="81"/>
    </row>
    <row r="81" spans="1:55" ht="28" customHeight="1" x14ac:dyDescent="0.25">
      <c r="A81" s="131">
        <v>75</v>
      </c>
      <c r="B81" s="141">
        <v>45054</v>
      </c>
      <c r="C81" s="77" t="s">
        <v>134</v>
      </c>
      <c r="D81" s="77" t="s">
        <v>135</v>
      </c>
      <c r="E81" s="77" t="s">
        <v>136</v>
      </c>
      <c r="F81" s="142" t="s">
        <v>430</v>
      </c>
      <c r="G81" s="143" t="s">
        <v>362</v>
      </c>
      <c r="H81" s="166" t="s">
        <v>110</v>
      </c>
      <c r="I81" s="135" t="s">
        <v>446</v>
      </c>
      <c r="J81" s="144" t="s">
        <v>363</v>
      </c>
      <c r="K81" s="167" t="s">
        <v>80</v>
      </c>
      <c r="L81" s="167" t="s">
        <v>168</v>
      </c>
      <c r="M81" s="140" t="s">
        <v>154</v>
      </c>
      <c r="N81" s="140" t="s">
        <v>80</v>
      </c>
      <c r="O81" s="140" t="s">
        <v>149</v>
      </c>
      <c r="P81" s="103"/>
      <c r="Q81" s="134"/>
      <c r="R81" s="182">
        <f>0</f>
        <v>0</v>
      </c>
      <c r="S81" s="76">
        <f>0</f>
        <v>0</v>
      </c>
      <c r="T81" s="76">
        <f>0</f>
        <v>0</v>
      </c>
      <c r="U81" s="76">
        <f>0</f>
        <v>0</v>
      </c>
      <c r="V81" s="84">
        <v>1</v>
      </c>
      <c r="W81" s="76">
        <f>0</f>
        <v>0</v>
      </c>
      <c r="X81" s="76">
        <f>0</f>
        <v>0</v>
      </c>
      <c r="Y81" s="76">
        <f>0</f>
        <v>0</v>
      </c>
      <c r="Z81" s="76">
        <f>0</f>
        <v>0</v>
      </c>
      <c r="AA81" s="183">
        <f>0</f>
        <v>0</v>
      </c>
      <c r="AB81" s="185">
        <f>0</f>
        <v>0</v>
      </c>
      <c r="AC81" s="76">
        <f>0</f>
        <v>0</v>
      </c>
      <c r="AD81" s="76">
        <f>0</f>
        <v>0</v>
      </c>
      <c r="AE81" s="76"/>
      <c r="AF81" s="76"/>
      <c r="AG81" s="76"/>
      <c r="AH81" s="76"/>
      <c r="AI81" s="76"/>
      <c r="AJ81" s="76"/>
      <c r="AK81" s="183"/>
      <c r="AL81" s="206">
        <f t="shared" si="2"/>
        <v>1</v>
      </c>
      <c r="AM81" s="91">
        <f>0</f>
        <v>0</v>
      </c>
      <c r="AN81" s="209">
        <f t="shared" si="3"/>
        <v>1</v>
      </c>
      <c r="AO81" s="193">
        <v>45076</v>
      </c>
      <c r="AP81" s="151" t="s">
        <v>273</v>
      </c>
      <c r="AQ81" s="97" t="s">
        <v>1292</v>
      </c>
      <c r="AR81" s="108" t="s">
        <v>671</v>
      </c>
      <c r="AS81" s="98"/>
      <c r="AT81" s="104"/>
      <c r="AU81" s="104"/>
      <c r="AV81" s="105"/>
      <c r="AW81" s="104"/>
      <c r="AX81" s="106"/>
      <c r="AY81" s="106"/>
      <c r="AZ81" s="107"/>
      <c r="BA81" s="81"/>
      <c r="BB81" s="81"/>
      <c r="BC81" s="81"/>
    </row>
    <row r="82" spans="1:55" ht="28" customHeight="1" x14ac:dyDescent="0.25">
      <c r="A82" s="131">
        <v>76</v>
      </c>
      <c r="B82" s="141">
        <v>45054</v>
      </c>
      <c r="C82" s="77" t="s">
        <v>134</v>
      </c>
      <c r="D82" s="77" t="s">
        <v>135</v>
      </c>
      <c r="E82" s="77" t="s">
        <v>136</v>
      </c>
      <c r="F82" s="142" t="s">
        <v>430</v>
      </c>
      <c r="G82" s="143" t="s">
        <v>364</v>
      </c>
      <c r="H82" s="166" t="s">
        <v>110</v>
      </c>
      <c r="I82" s="135" t="s">
        <v>365</v>
      </c>
      <c r="J82" s="144" t="s">
        <v>366</v>
      </c>
      <c r="K82" s="167" t="s">
        <v>80</v>
      </c>
      <c r="L82" s="167" t="s">
        <v>168</v>
      </c>
      <c r="M82" s="140" t="s">
        <v>154</v>
      </c>
      <c r="N82" s="140" t="s">
        <v>80</v>
      </c>
      <c r="O82" s="140" t="s">
        <v>149</v>
      </c>
      <c r="P82" s="103"/>
      <c r="Q82" s="134"/>
      <c r="R82" s="182">
        <f>0</f>
        <v>0</v>
      </c>
      <c r="S82" s="76">
        <f>0</f>
        <v>0</v>
      </c>
      <c r="T82" s="76">
        <f>0</f>
        <v>0</v>
      </c>
      <c r="U82" s="76">
        <f>0</f>
        <v>0</v>
      </c>
      <c r="V82" s="84">
        <v>2</v>
      </c>
      <c r="W82" s="76">
        <f>0</f>
        <v>0</v>
      </c>
      <c r="X82" s="76">
        <f>0</f>
        <v>0</v>
      </c>
      <c r="Y82" s="76">
        <f>0</f>
        <v>0</v>
      </c>
      <c r="Z82" s="76">
        <f>0</f>
        <v>0</v>
      </c>
      <c r="AA82" s="183">
        <f>0</f>
        <v>0</v>
      </c>
      <c r="AB82" s="185">
        <f>0</f>
        <v>0</v>
      </c>
      <c r="AC82" s="76">
        <f>0</f>
        <v>0</v>
      </c>
      <c r="AD82" s="76">
        <f>0</f>
        <v>0</v>
      </c>
      <c r="AE82" s="76"/>
      <c r="AF82" s="76"/>
      <c r="AG82" s="76"/>
      <c r="AH82" s="76"/>
      <c r="AI82" s="76"/>
      <c r="AJ82" s="76"/>
      <c r="AK82" s="183"/>
      <c r="AL82" s="206">
        <f t="shared" si="2"/>
        <v>2</v>
      </c>
      <c r="AM82" s="91">
        <f>0</f>
        <v>0</v>
      </c>
      <c r="AN82" s="209">
        <f t="shared" si="3"/>
        <v>2</v>
      </c>
      <c r="AO82" s="192">
        <v>45057</v>
      </c>
      <c r="AP82" s="105" t="s">
        <v>273</v>
      </c>
      <c r="AQ82" s="97" t="s">
        <v>459</v>
      </c>
      <c r="AR82" s="108" t="s">
        <v>148</v>
      </c>
      <c r="AS82" s="98"/>
      <c r="AT82" s="104"/>
      <c r="AU82" s="104">
        <v>2</v>
      </c>
      <c r="AV82" s="105"/>
      <c r="AW82" s="104" t="s">
        <v>457</v>
      </c>
      <c r="AX82" s="106"/>
      <c r="AY82" s="106"/>
      <c r="AZ82" s="107"/>
      <c r="BA82" s="81"/>
      <c r="BB82" s="81"/>
      <c r="BC82" s="81"/>
    </row>
    <row r="83" spans="1:55" ht="28" customHeight="1" x14ac:dyDescent="0.25">
      <c r="A83" s="131">
        <v>77</v>
      </c>
      <c r="B83" s="141">
        <v>45054</v>
      </c>
      <c r="C83" s="77" t="s">
        <v>134</v>
      </c>
      <c r="D83" s="77" t="s">
        <v>135</v>
      </c>
      <c r="E83" s="77" t="s">
        <v>136</v>
      </c>
      <c r="F83" s="142" t="s">
        <v>430</v>
      </c>
      <c r="G83" s="143" t="s">
        <v>367</v>
      </c>
      <c r="H83" s="166" t="s">
        <v>110</v>
      </c>
      <c r="I83" s="135" t="s">
        <v>368</v>
      </c>
      <c r="J83" s="144" t="s">
        <v>369</v>
      </c>
      <c r="K83" s="167" t="s">
        <v>80</v>
      </c>
      <c r="L83" s="167" t="s">
        <v>168</v>
      </c>
      <c r="M83" s="140" t="s">
        <v>154</v>
      </c>
      <c r="N83" s="140" t="s">
        <v>80</v>
      </c>
      <c r="O83" s="140" t="s">
        <v>149</v>
      </c>
      <c r="P83" s="103"/>
      <c r="Q83" s="134"/>
      <c r="R83" s="182">
        <f>0</f>
        <v>0</v>
      </c>
      <c r="S83" s="76">
        <f>0</f>
        <v>0</v>
      </c>
      <c r="T83" s="76">
        <f>0</f>
        <v>0</v>
      </c>
      <c r="U83" s="76">
        <f>0</f>
        <v>0</v>
      </c>
      <c r="V83" s="84">
        <v>2</v>
      </c>
      <c r="W83" s="76">
        <f>0</f>
        <v>0</v>
      </c>
      <c r="X83" s="76">
        <f>0</f>
        <v>0</v>
      </c>
      <c r="Y83" s="76">
        <f>0</f>
        <v>0</v>
      </c>
      <c r="Z83" s="76">
        <f>0</f>
        <v>0</v>
      </c>
      <c r="AA83" s="183">
        <f>0</f>
        <v>0</v>
      </c>
      <c r="AB83" s="185">
        <f>0</f>
        <v>0</v>
      </c>
      <c r="AC83" s="76">
        <f>0</f>
        <v>0</v>
      </c>
      <c r="AD83" s="76">
        <f>0</f>
        <v>0</v>
      </c>
      <c r="AE83" s="76"/>
      <c r="AF83" s="76"/>
      <c r="AG83" s="76"/>
      <c r="AH83" s="76"/>
      <c r="AI83" s="76"/>
      <c r="AJ83" s="76"/>
      <c r="AK83" s="183"/>
      <c r="AL83" s="206">
        <f t="shared" si="2"/>
        <v>2</v>
      </c>
      <c r="AM83" s="91">
        <f>0</f>
        <v>0</v>
      </c>
      <c r="AN83" s="209">
        <f t="shared" si="3"/>
        <v>2</v>
      </c>
      <c r="AO83" s="192">
        <v>45057</v>
      </c>
      <c r="AP83" s="105" t="s">
        <v>273</v>
      </c>
      <c r="AQ83" s="97" t="s">
        <v>459</v>
      </c>
      <c r="AR83" s="108" t="s">
        <v>148</v>
      </c>
      <c r="AS83" s="98"/>
      <c r="AT83" s="104"/>
      <c r="AU83" s="104">
        <v>2</v>
      </c>
      <c r="AV83" s="105"/>
      <c r="AW83" s="99" t="s">
        <v>457</v>
      </c>
      <c r="AX83" s="106"/>
      <c r="AY83" s="106"/>
      <c r="AZ83" s="107"/>
      <c r="BA83" s="81"/>
      <c r="BB83" s="81"/>
      <c r="BC83" s="81"/>
    </row>
    <row r="84" spans="1:55" ht="28" customHeight="1" x14ac:dyDescent="0.25">
      <c r="A84" s="131">
        <v>78</v>
      </c>
      <c r="B84" s="141">
        <v>45054</v>
      </c>
      <c r="C84" s="77" t="s">
        <v>134</v>
      </c>
      <c r="D84" s="77" t="s">
        <v>135</v>
      </c>
      <c r="E84" s="77" t="s">
        <v>136</v>
      </c>
      <c r="F84" s="142" t="s">
        <v>430</v>
      </c>
      <c r="G84" s="143" t="s">
        <v>370</v>
      </c>
      <c r="H84" s="166" t="s">
        <v>110</v>
      </c>
      <c r="I84" s="135" t="s">
        <v>447</v>
      </c>
      <c r="J84" s="144" t="s">
        <v>448</v>
      </c>
      <c r="K84" s="167" t="s">
        <v>80</v>
      </c>
      <c r="L84" s="167" t="s">
        <v>168</v>
      </c>
      <c r="M84" s="140" t="s">
        <v>154</v>
      </c>
      <c r="N84" s="140" t="s">
        <v>80</v>
      </c>
      <c r="O84" s="140" t="s">
        <v>149</v>
      </c>
      <c r="P84" s="103"/>
      <c r="Q84" s="134"/>
      <c r="R84" s="182">
        <f>0</f>
        <v>0</v>
      </c>
      <c r="S84" s="76">
        <f>0</f>
        <v>0</v>
      </c>
      <c r="T84" s="76">
        <f>0</f>
        <v>0</v>
      </c>
      <c r="U84" s="76">
        <f>0</f>
        <v>0</v>
      </c>
      <c r="V84" s="84">
        <v>1</v>
      </c>
      <c r="W84" s="76">
        <f>0</f>
        <v>0</v>
      </c>
      <c r="X84" s="76">
        <f>0</f>
        <v>0</v>
      </c>
      <c r="Y84" s="76">
        <f>0</f>
        <v>0</v>
      </c>
      <c r="Z84" s="76">
        <f>0</f>
        <v>0</v>
      </c>
      <c r="AA84" s="183">
        <f>0</f>
        <v>0</v>
      </c>
      <c r="AB84" s="185">
        <f>0</f>
        <v>0</v>
      </c>
      <c r="AC84" s="76">
        <f>0</f>
        <v>0</v>
      </c>
      <c r="AD84" s="76">
        <f>0</f>
        <v>0</v>
      </c>
      <c r="AE84" s="76"/>
      <c r="AF84" s="76"/>
      <c r="AG84" s="76"/>
      <c r="AH84" s="76"/>
      <c r="AI84" s="76"/>
      <c r="AJ84" s="76"/>
      <c r="AK84" s="183"/>
      <c r="AL84" s="206">
        <f t="shared" si="2"/>
        <v>1</v>
      </c>
      <c r="AM84" s="91">
        <f>0</f>
        <v>0</v>
      </c>
      <c r="AN84" s="209">
        <f t="shared" si="3"/>
        <v>1</v>
      </c>
      <c r="AO84" s="192">
        <v>45057</v>
      </c>
      <c r="AP84" s="105" t="s">
        <v>273</v>
      </c>
      <c r="AQ84" s="97" t="s">
        <v>459</v>
      </c>
      <c r="AR84" s="108" t="s">
        <v>148</v>
      </c>
      <c r="AS84" s="98"/>
      <c r="AT84" s="104"/>
      <c r="AU84" s="104">
        <v>1</v>
      </c>
      <c r="AV84" s="105"/>
      <c r="AW84" s="104" t="s">
        <v>457</v>
      </c>
      <c r="AX84" s="106"/>
      <c r="AY84" s="106"/>
      <c r="AZ84" s="107"/>
      <c r="BA84" s="81"/>
      <c r="BB84" s="81"/>
      <c r="BC84" s="81"/>
    </row>
    <row r="85" spans="1:55" ht="28" customHeight="1" x14ac:dyDescent="0.25">
      <c r="A85" s="131">
        <v>79</v>
      </c>
      <c r="B85" s="141">
        <v>45054</v>
      </c>
      <c r="C85" s="77" t="s">
        <v>134</v>
      </c>
      <c r="D85" s="77" t="s">
        <v>135</v>
      </c>
      <c r="E85" s="77" t="s">
        <v>136</v>
      </c>
      <c r="F85" s="142" t="s">
        <v>430</v>
      </c>
      <c r="G85" s="143" t="s">
        <v>371</v>
      </c>
      <c r="H85" s="166" t="s">
        <v>110</v>
      </c>
      <c r="I85" s="135" t="s">
        <v>449</v>
      </c>
      <c r="J85" s="144" t="s">
        <v>372</v>
      </c>
      <c r="K85" s="167" t="s">
        <v>80</v>
      </c>
      <c r="L85" s="167" t="s">
        <v>168</v>
      </c>
      <c r="M85" s="140" t="s">
        <v>154</v>
      </c>
      <c r="N85" s="140" t="s">
        <v>80</v>
      </c>
      <c r="O85" s="140" t="s">
        <v>149</v>
      </c>
      <c r="P85" s="103"/>
      <c r="Q85" s="134"/>
      <c r="R85" s="182">
        <f>0</f>
        <v>0</v>
      </c>
      <c r="S85" s="76">
        <f>0</f>
        <v>0</v>
      </c>
      <c r="T85" s="76">
        <f>0</f>
        <v>0</v>
      </c>
      <c r="U85" s="76">
        <f>0</f>
        <v>0</v>
      </c>
      <c r="V85" s="84">
        <v>1</v>
      </c>
      <c r="W85" s="76">
        <f>0</f>
        <v>0</v>
      </c>
      <c r="X85" s="76">
        <f>0</f>
        <v>0</v>
      </c>
      <c r="Y85" s="76">
        <f>0</f>
        <v>0</v>
      </c>
      <c r="Z85" s="76">
        <f>0</f>
        <v>0</v>
      </c>
      <c r="AA85" s="183">
        <f>0</f>
        <v>0</v>
      </c>
      <c r="AB85" s="185">
        <f>0</f>
        <v>0</v>
      </c>
      <c r="AC85" s="76">
        <f>0</f>
        <v>0</v>
      </c>
      <c r="AD85" s="76">
        <f>0</f>
        <v>0</v>
      </c>
      <c r="AE85" s="76"/>
      <c r="AF85" s="76"/>
      <c r="AG85" s="76"/>
      <c r="AH85" s="76"/>
      <c r="AI85" s="76"/>
      <c r="AJ85" s="76"/>
      <c r="AK85" s="183"/>
      <c r="AL85" s="206">
        <f t="shared" si="2"/>
        <v>1</v>
      </c>
      <c r="AM85" s="91">
        <f>0</f>
        <v>0</v>
      </c>
      <c r="AN85" s="209">
        <f t="shared" si="3"/>
        <v>1</v>
      </c>
      <c r="AO85" s="192">
        <v>45057</v>
      </c>
      <c r="AP85" s="105" t="s">
        <v>273</v>
      </c>
      <c r="AQ85" s="97" t="s">
        <v>459</v>
      </c>
      <c r="AR85" s="108" t="s">
        <v>148</v>
      </c>
      <c r="AS85" s="98"/>
      <c r="AT85" s="104"/>
      <c r="AU85" s="104">
        <v>1</v>
      </c>
      <c r="AV85" s="105"/>
      <c r="AW85" s="104" t="s">
        <v>457</v>
      </c>
      <c r="AX85" s="106"/>
      <c r="AY85" s="106"/>
      <c r="AZ85" s="107"/>
      <c r="BA85" s="81"/>
      <c r="BB85" s="81"/>
      <c r="BC85" s="81"/>
    </row>
    <row r="86" spans="1:55" ht="28" customHeight="1" x14ac:dyDescent="0.25">
      <c r="A86" s="131">
        <v>80</v>
      </c>
      <c r="B86" s="141">
        <v>45054</v>
      </c>
      <c r="C86" s="77" t="s">
        <v>134</v>
      </c>
      <c r="D86" s="77" t="s">
        <v>135</v>
      </c>
      <c r="E86" s="77" t="s">
        <v>136</v>
      </c>
      <c r="F86" s="142" t="s">
        <v>430</v>
      </c>
      <c r="G86" s="143" t="s">
        <v>373</v>
      </c>
      <c r="H86" s="166" t="s">
        <v>110</v>
      </c>
      <c r="I86" s="135" t="s">
        <v>450</v>
      </c>
      <c r="J86" s="144" t="s">
        <v>374</v>
      </c>
      <c r="K86" s="167" t="s">
        <v>80</v>
      </c>
      <c r="L86" s="167" t="s">
        <v>168</v>
      </c>
      <c r="M86" s="140" t="s">
        <v>154</v>
      </c>
      <c r="N86" s="140" t="s">
        <v>80</v>
      </c>
      <c r="O86" s="140" t="s">
        <v>149</v>
      </c>
      <c r="P86" s="103"/>
      <c r="Q86" s="134"/>
      <c r="R86" s="182">
        <f>0</f>
        <v>0</v>
      </c>
      <c r="S86" s="76">
        <f>0</f>
        <v>0</v>
      </c>
      <c r="T86" s="76">
        <f>0</f>
        <v>0</v>
      </c>
      <c r="U86" s="76">
        <f>0</f>
        <v>0</v>
      </c>
      <c r="V86" s="84">
        <v>1</v>
      </c>
      <c r="W86" s="76">
        <f>0</f>
        <v>0</v>
      </c>
      <c r="X86" s="76">
        <f>0</f>
        <v>0</v>
      </c>
      <c r="Y86" s="76">
        <f>0</f>
        <v>0</v>
      </c>
      <c r="Z86" s="76">
        <f>0</f>
        <v>0</v>
      </c>
      <c r="AA86" s="183">
        <f>0</f>
        <v>0</v>
      </c>
      <c r="AB86" s="185">
        <f>0</f>
        <v>0</v>
      </c>
      <c r="AC86" s="76">
        <f>0</f>
        <v>0</v>
      </c>
      <c r="AD86" s="76">
        <f>0</f>
        <v>0</v>
      </c>
      <c r="AE86" s="76"/>
      <c r="AF86" s="76"/>
      <c r="AG86" s="76"/>
      <c r="AH86" s="76"/>
      <c r="AI86" s="76"/>
      <c r="AJ86" s="76"/>
      <c r="AK86" s="183"/>
      <c r="AL86" s="206">
        <f t="shared" si="2"/>
        <v>1</v>
      </c>
      <c r="AM86" s="91">
        <f>0</f>
        <v>0</v>
      </c>
      <c r="AN86" s="209">
        <f t="shared" si="3"/>
        <v>1</v>
      </c>
      <c r="AO86" s="192">
        <v>45057</v>
      </c>
      <c r="AP86" s="105" t="s">
        <v>273</v>
      </c>
      <c r="AQ86" s="97" t="s">
        <v>459</v>
      </c>
      <c r="AR86" s="108" t="s">
        <v>148</v>
      </c>
      <c r="AS86" s="98"/>
      <c r="AT86" s="104"/>
      <c r="AU86" s="104">
        <v>1</v>
      </c>
      <c r="AV86" s="105"/>
      <c r="AW86" s="104" t="s">
        <v>457</v>
      </c>
      <c r="AX86" s="106"/>
      <c r="AY86" s="106"/>
      <c r="AZ86" s="107"/>
      <c r="BA86" s="81"/>
      <c r="BB86" s="81"/>
      <c r="BC86" s="81"/>
    </row>
    <row r="87" spans="1:55" ht="28" customHeight="1" x14ac:dyDescent="0.25">
      <c r="A87" s="131">
        <v>81</v>
      </c>
      <c r="B87" s="141">
        <v>45054</v>
      </c>
      <c r="C87" s="77" t="s">
        <v>134</v>
      </c>
      <c r="D87" s="77" t="s">
        <v>135</v>
      </c>
      <c r="E87" s="77" t="s">
        <v>136</v>
      </c>
      <c r="F87" s="142" t="s">
        <v>430</v>
      </c>
      <c r="G87" s="143" t="s">
        <v>375</v>
      </c>
      <c r="H87" s="166" t="s">
        <v>110</v>
      </c>
      <c r="I87" s="135" t="s">
        <v>376</v>
      </c>
      <c r="J87" s="144" t="s">
        <v>377</v>
      </c>
      <c r="K87" s="167" t="s">
        <v>80</v>
      </c>
      <c r="L87" s="167" t="s">
        <v>168</v>
      </c>
      <c r="M87" s="140" t="s">
        <v>154</v>
      </c>
      <c r="N87" s="140" t="s">
        <v>80</v>
      </c>
      <c r="O87" s="140" t="s">
        <v>149</v>
      </c>
      <c r="P87" s="103"/>
      <c r="Q87" s="134"/>
      <c r="R87" s="182">
        <f>0</f>
        <v>0</v>
      </c>
      <c r="S87" s="76">
        <f>0</f>
        <v>0</v>
      </c>
      <c r="T87" s="76">
        <f>0</f>
        <v>0</v>
      </c>
      <c r="U87" s="76">
        <f>0</f>
        <v>0</v>
      </c>
      <c r="V87" s="84">
        <v>6</v>
      </c>
      <c r="W87" s="76">
        <f>0</f>
        <v>0</v>
      </c>
      <c r="X87" s="76">
        <f>0</f>
        <v>0</v>
      </c>
      <c r="Y87" s="76">
        <f>0</f>
        <v>0</v>
      </c>
      <c r="Z87" s="76">
        <f>0</f>
        <v>0</v>
      </c>
      <c r="AA87" s="183">
        <f>0</f>
        <v>0</v>
      </c>
      <c r="AB87" s="185">
        <f>0</f>
        <v>0</v>
      </c>
      <c r="AC87" s="76">
        <f>0</f>
        <v>0</v>
      </c>
      <c r="AD87" s="76">
        <f>0</f>
        <v>0</v>
      </c>
      <c r="AE87" s="76"/>
      <c r="AF87" s="76"/>
      <c r="AG87" s="76"/>
      <c r="AH87" s="76"/>
      <c r="AI87" s="76"/>
      <c r="AJ87" s="76"/>
      <c r="AK87" s="183"/>
      <c r="AL87" s="206">
        <f t="shared" si="2"/>
        <v>6</v>
      </c>
      <c r="AM87" s="91">
        <f>0</f>
        <v>0</v>
      </c>
      <c r="AN87" s="209">
        <f t="shared" si="3"/>
        <v>6</v>
      </c>
      <c r="AO87" s="192">
        <v>45057</v>
      </c>
      <c r="AP87" s="105" t="s">
        <v>273</v>
      </c>
      <c r="AQ87" s="97" t="s">
        <v>459</v>
      </c>
      <c r="AR87" s="108" t="s">
        <v>148</v>
      </c>
      <c r="AS87" s="98"/>
      <c r="AT87" s="104"/>
      <c r="AU87" s="104">
        <v>6</v>
      </c>
      <c r="AV87" s="105"/>
      <c r="AW87" s="99" t="s">
        <v>457</v>
      </c>
      <c r="AX87" s="106"/>
      <c r="AY87" s="106"/>
      <c r="AZ87" s="107"/>
      <c r="BA87" s="81"/>
      <c r="BB87" s="81"/>
      <c r="BC87" s="81"/>
    </row>
    <row r="88" spans="1:55" ht="28" customHeight="1" x14ac:dyDescent="0.25">
      <c r="A88" s="131">
        <v>82</v>
      </c>
      <c r="B88" s="141">
        <v>45054</v>
      </c>
      <c r="C88" s="77" t="s">
        <v>134</v>
      </c>
      <c r="D88" s="77" t="s">
        <v>135</v>
      </c>
      <c r="E88" s="77" t="s">
        <v>136</v>
      </c>
      <c r="F88" s="142" t="s">
        <v>430</v>
      </c>
      <c r="G88" s="143" t="s">
        <v>378</v>
      </c>
      <c r="H88" s="166" t="s">
        <v>110</v>
      </c>
      <c r="I88" s="135" t="s">
        <v>379</v>
      </c>
      <c r="J88" s="144" t="s">
        <v>380</v>
      </c>
      <c r="K88" s="167" t="s">
        <v>80</v>
      </c>
      <c r="L88" s="167" t="s">
        <v>168</v>
      </c>
      <c r="M88" s="140" t="s">
        <v>154</v>
      </c>
      <c r="N88" s="140" t="s">
        <v>80</v>
      </c>
      <c r="O88" s="140" t="s">
        <v>149</v>
      </c>
      <c r="P88" s="103"/>
      <c r="Q88" s="134"/>
      <c r="R88" s="182">
        <f>0</f>
        <v>0</v>
      </c>
      <c r="S88" s="76">
        <f>0</f>
        <v>0</v>
      </c>
      <c r="T88" s="76">
        <f>0</f>
        <v>0</v>
      </c>
      <c r="U88" s="76">
        <f>0</f>
        <v>0</v>
      </c>
      <c r="V88" s="84">
        <v>1</v>
      </c>
      <c r="W88" s="76">
        <f>0</f>
        <v>0</v>
      </c>
      <c r="X88" s="76">
        <f>0</f>
        <v>0</v>
      </c>
      <c r="Y88" s="76">
        <f>0</f>
        <v>0</v>
      </c>
      <c r="Z88" s="76">
        <f>0</f>
        <v>0</v>
      </c>
      <c r="AA88" s="183">
        <f>0</f>
        <v>0</v>
      </c>
      <c r="AB88" s="185">
        <f>0</f>
        <v>0</v>
      </c>
      <c r="AC88" s="76">
        <f>0</f>
        <v>0</v>
      </c>
      <c r="AD88" s="76">
        <f>0</f>
        <v>0</v>
      </c>
      <c r="AE88" s="76"/>
      <c r="AF88" s="76"/>
      <c r="AG88" s="76"/>
      <c r="AH88" s="76"/>
      <c r="AI88" s="76"/>
      <c r="AJ88" s="76"/>
      <c r="AK88" s="183"/>
      <c r="AL88" s="206">
        <f t="shared" si="2"/>
        <v>1</v>
      </c>
      <c r="AM88" s="91">
        <f>0</f>
        <v>0</v>
      </c>
      <c r="AN88" s="209">
        <f t="shared" si="3"/>
        <v>1</v>
      </c>
      <c r="AO88" s="192">
        <v>45057</v>
      </c>
      <c r="AP88" s="105" t="s">
        <v>273</v>
      </c>
      <c r="AQ88" s="97" t="s">
        <v>459</v>
      </c>
      <c r="AR88" s="108" t="s">
        <v>148</v>
      </c>
      <c r="AS88" s="98"/>
      <c r="AT88" s="104"/>
      <c r="AU88" s="104">
        <v>1</v>
      </c>
      <c r="AV88" s="105"/>
      <c r="AW88" s="104" t="s">
        <v>457</v>
      </c>
      <c r="AX88" s="106"/>
      <c r="AY88" s="106"/>
      <c r="AZ88" s="107"/>
      <c r="BA88" s="81"/>
      <c r="BB88" s="81"/>
      <c r="BC88" s="81"/>
    </row>
    <row r="89" spans="1:55" ht="28" customHeight="1" x14ac:dyDescent="0.25">
      <c r="A89" s="131">
        <v>83</v>
      </c>
      <c r="B89" s="141">
        <v>45054</v>
      </c>
      <c r="C89" s="77" t="s">
        <v>134</v>
      </c>
      <c r="D89" s="77" t="s">
        <v>135</v>
      </c>
      <c r="E89" s="77" t="s">
        <v>136</v>
      </c>
      <c r="F89" s="142" t="s">
        <v>430</v>
      </c>
      <c r="G89" s="143" t="s">
        <v>381</v>
      </c>
      <c r="H89" s="166" t="s">
        <v>110</v>
      </c>
      <c r="I89" s="135" t="s">
        <v>382</v>
      </c>
      <c r="J89" s="144" t="s">
        <v>383</v>
      </c>
      <c r="K89" s="167" t="s">
        <v>80</v>
      </c>
      <c r="L89" s="167" t="s">
        <v>193</v>
      </c>
      <c r="M89" s="140" t="s">
        <v>154</v>
      </c>
      <c r="N89" s="140" t="s">
        <v>212</v>
      </c>
      <c r="O89" s="140" t="s">
        <v>149</v>
      </c>
      <c r="P89" s="103"/>
      <c r="Q89" s="134"/>
      <c r="R89" s="182">
        <f>0</f>
        <v>0</v>
      </c>
      <c r="S89" s="76">
        <f>0</f>
        <v>0</v>
      </c>
      <c r="T89" s="76">
        <f>0</f>
        <v>0</v>
      </c>
      <c r="U89" s="76">
        <f>0</f>
        <v>0</v>
      </c>
      <c r="V89" s="84">
        <v>1</v>
      </c>
      <c r="W89" s="76">
        <f>0</f>
        <v>0</v>
      </c>
      <c r="X89" s="76">
        <f>0</f>
        <v>0</v>
      </c>
      <c r="Y89" s="76">
        <f>0</f>
        <v>0</v>
      </c>
      <c r="Z89" s="76">
        <f>0</f>
        <v>0</v>
      </c>
      <c r="AA89" s="183">
        <f>0</f>
        <v>0</v>
      </c>
      <c r="AB89" s="185">
        <f>0</f>
        <v>0</v>
      </c>
      <c r="AC89" s="76">
        <f>0</f>
        <v>0</v>
      </c>
      <c r="AD89" s="76">
        <f>0</f>
        <v>0</v>
      </c>
      <c r="AE89" s="76"/>
      <c r="AF89" s="76"/>
      <c r="AG89" s="76"/>
      <c r="AH89" s="76"/>
      <c r="AI89" s="76"/>
      <c r="AJ89" s="76"/>
      <c r="AK89" s="183"/>
      <c r="AL89" s="206">
        <f t="shared" si="2"/>
        <v>1</v>
      </c>
      <c r="AM89" s="91">
        <f>0</f>
        <v>0</v>
      </c>
      <c r="AN89" s="209">
        <f t="shared" si="3"/>
        <v>1</v>
      </c>
      <c r="AO89" s="192">
        <v>45057</v>
      </c>
      <c r="AP89" s="105" t="s">
        <v>273</v>
      </c>
      <c r="AQ89" s="97" t="s">
        <v>459</v>
      </c>
      <c r="AR89" s="108" t="s">
        <v>148</v>
      </c>
      <c r="AS89" s="98"/>
      <c r="AT89" s="104"/>
      <c r="AU89" s="104">
        <v>1</v>
      </c>
      <c r="AV89" s="105"/>
      <c r="AW89" s="104" t="s">
        <v>457</v>
      </c>
      <c r="AX89" s="106"/>
      <c r="AY89" s="106"/>
      <c r="AZ89" s="107"/>
      <c r="BA89" s="81"/>
      <c r="BB89" s="81"/>
      <c r="BC89" s="81"/>
    </row>
    <row r="90" spans="1:55" ht="28" customHeight="1" x14ac:dyDescent="0.25">
      <c r="A90" s="131">
        <v>84</v>
      </c>
      <c r="B90" s="141">
        <v>45054</v>
      </c>
      <c r="C90" s="77" t="s">
        <v>134</v>
      </c>
      <c r="D90" s="77" t="s">
        <v>135</v>
      </c>
      <c r="E90" s="77" t="s">
        <v>136</v>
      </c>
      <c r="F90" s="142" t="s">
        <v>430</v>
      </c>
      <c r="G90" s="143" t="s">
        <v>384</v>
      </c>
      <c r="H90" s="166" t="s">
        <v>110</v>
      </c>
      <c r="I90" s="135" t="s">
        <v>146</v>
      </c>
      <c r="J90" s="144" t="s">
        <v>385</v>
      </c>
      <c r="K90" s="167" t="s">
        <v>80</v>
      </c>
      <c r="L90" s="167" t="s">
        <v>193</v>
      </c>
      <c r="M90" s="140" t="s">
        <v>154</v>
      </c>
      <c r="N90" s="140" t="s">
        <v>212</v>
      </c>
      <c r="O90" s="140" t="s">
        <v>149</v>
      </c>
      <c r="P90" s="103"/>
      <c r="Q90" s="134"/>
      <c r="R90" s="182">
        <f>0</f>
        <v>0</v>
      </c>
      <c r="S90" s="76">
        <f>0</f>
        <v>0</v>
      </c>
      <c r="T90" s="76">
        <f>0</f>
        <v>0</v>
      </c>
      <c r="U90" s="76">
        <f>0</f>
        <v>0</v>
      </c>
      <c r="V90" s="84">
        <v>2</v>
      </c>
      <c r="W90" s="76">
        <f>0</f>
        <v>0</v>
      </c>
      <c r="X90" s="76">
        <f>0</f>
        <v>0</v>
      </c>
      <c r="Y90" s="76">
        <f>0</f>
        <v>0</v>
      </c>
      <c r="Z90" s="76">
        <f>0</f>
        <v>0</v>
      </c>
      <c r="AA90" s="183">
        <f>0</f>
        <v>0</v>
      </c>
      <c r="AB90" s="185">
        <f>0</f>
        <v>0</v>
      </c>
      <c r="AC90" s="76">
        <f>0</f>
        <v>0</v>
      </c>
      <c r="AD90" s="76">
        <f>0</f>
        <v>0</v>
      </c>
      <c r="AE90" s="76"/>
      <c r="AF90" s="76"/>
      <c r="AG90" s="76"/>
      <c r="AH90" s="76"/>
      <c r="AI90" s="76"/>
      <c r="AJ90" s="76"/>
      <c r="AK90" s="183"/>
      <c r="AL90" s="206">
        <f t="shared" si="2"/>
        <v>2</v>
      </c>
      <c r="AM90" s="91">
        <f>0</f>
        <v>0</v>
      </c>
      <c r="AN90" s="209">
        <f t="shared" si="3"/>
        <v>2</v>
      </c>
      <c r="AO90" s="192">
        <v>45057</v>
      </c>
      <c r="AP90" s="105" t="s">
        <v>273</v>
      </c>
      <c r="AQ90" s="97" t="s">
        <v>459</v>
      </c>
      <c r="AR90" s="108" t="s">
        <v>148</v>
      </c>
      <c r="AS90" s="98"/>
      <c r="AT90" s="104"/>
      <c r="AU90" s="104">
        <v>2</v>
      </c>
      <c r="AV90" s="105"/>
      <c r="AW90" s="99" t="s">
        <v>457</v>
      </c>
      <c r="AX90" s="106"/>
      <c r="AY90" s="106"/>
      <c r="AZ90" s="107"/>
      <c r="BA90" s="81"/>
      <c r="BB90" s="81"/>
      <c r="BC90" s="81"/>
    </row>
    <row r="91" spans="1:55" ht="28" customHeight="1" x14ac:dyDescent="0.25">
      <c r="A91" s="131">
        <v>85</v>
      </c>
      <c r="B91" s="141">
        <v>45054</v>
      </c>
      <c r="C91" s="77" t="s">
        <v>134</v>
      </c>
      <c r="D91" s="77" t="s">
        <v>135</v>
      </c>
      <c r="E91" s="77" t="s">
        <v>136</v>
      </c>
      <c r="F91" s="142" t="s">
        <v>430</v>
      </c>
      <c r="G91" s="143" t="s">
        <v>386</v>
      </c>
      <c r="H91" s="166" t="s">
        <v>110</v>
      </c>
      <c r="I91" s="135" t="s">
        <v>387</v>
      </c>
      <c r="J91" s="144" t="s">
        <v>388</v>
      </c>
      <c r="K91" s="167" t="s">
        <v>80</v>
      </c>
      <c r="L91" s="167" t="s">
        <v>389</v>
      </c>
      <c r="M91" s="140" t="s">
        <v>154</v>
      </c>
      <c r="N91" s="140" t="s">
        <v>214</v>
      </c>
      <c r="O91" s="140" t="s">
        <v>390</v>
      </c>
      <c r="P91" s="103"/>
      <c r="Q91" s="134"/>
      <c r="R91" s="182">
        <f>0</f>
        <v>0</v>
      </c>
      <c r="S91" s="76">
        <f>0</f>
        <v>0</v>
      </c>
      <c r="T91" s="76">
        <f>0</f>
        <v>0</v>
      </c>
      <c r="U91" s="76">
        <f>0</f>
        <v>0</v>
      </c>
      <c r="V91" s="84">
        <v>1</v>
      </c>
      <c r="W91" s="76">
        <f>0</f>
        <v>0</v>
      </c>
      <c r="X91" s="76">
        <f>0</f>
        <v>0</v>
      </c>
      <c r="Y91" s="76">
        <f>0</f>
        <v>0</v>
      </c>
      <c r="Z91" s="76">
        <f>0</f>
        <v>0</v>
      </c>
      <c r="AA91" s="183">
        <f>0</f>
        <v>0</v>
      </c>
      <c r="AB91" s="185">
        <f>0</f>
        <v>0</v>
      </c>
      <c r="AC91" s="76">
        <f>0</f>
        <v>0</v>
      </c>
      <c r="AD91" s="76">
        <f>0</f>
        <v>0</v>
      </c>
      <c r="AE91" s="76"/>
      <c r="AF91" s="76"/>
      <c r="AG91" s="76"/>
      <c r="AH91" s="76"/>
      <c r="AI91" s="76"/>
      <c r="AJ91" s="76"/>
      <c r="AK91" s="183"/>
      <c r="AL91" s="206">
        <f t="shared" si="2"/>
        <v>1</v>
      </c>
      <c r="AM91" s="91">
        <f>0</f>
        <v>0</v>
      </c>
      <c r="AN91" s="209">
        <f t="shared" si="3"/>
        <v>1</v>
      </c>
      <c r="AO91" s="192">
        <v>45057</v>
      </c>
      <c r="AP91" s="105" t="s">
        <v>273</v>
      </c>
      <c r="AQ91" s="97" t="s">
        <v>459</v>
      </c>
      <c r="AR91" s="108" t="s">
        <v>148</v>
      </c>
      <c r="AS91" s="98"/>
      <c r="AT91" s="104"/>
      <c r="AU91" s="104">
        <v>1</v>
      </c>
      <c r="AV91" s="105"/>
      <c r="AW91" s="104" t="s">
        <v>457</v>
      </c>
      <c r="AX91" s="106"/>
      <c r="AY91" s="106"/>
      <c r="AZ91" s="107"/>
      <c r="BA91" s="81"/>
      <c r="BB91" s="81"/>
      <c r="BC91" s="81"/>
    </row>
    <row r="92" spans="1:55" ht="28" customHeight="1" x14ac:dyDescent="0.25">
      <c r="A92" s="131">
        <v>86</v>
      </c>
      <c r="B92" s="141">
        <v>45054</v>
      </c>
      <c r="C92" s="77" t="s">
        <v>134</v>
      </c>
      <c r="D92" s="77" t="s">
        <v>135</v>
      </c>
      <c r="E92" s="77" t="s">
        <v>136</v>
      </c>
      <c r="F92" s="142" t="s">
        <v>430</v>
      </c>
      <c r="G92" s="143" t="s">
        <v>391</v>
      </c>
      <c r="H92" s="166" t="s">
        <v>110</v>
      </c>
      <c r="I92" s="135" t="s">
        <v>392</v>
      </c>
      <c r="J92" s="144" t="s">
        <v>393</v>
      </c>
      <c r="K92" s="167" t="s">
        <v>80</v>
      </c>
      <c r="L92" s="167" t="s">
        <v>451</v>
      </c>
      <c r="M92" s="140" t="s">
        <v>154</v>
      </c>
      <c r="N92" s="140" t="s">
        <v>214</v>
      </c>
      <c r="O92" s="140" t="s">
        <v>149</v>
      </c>
      <c r="P92" s="103"/>
      <c r="Q92" s="134"/>
      <c r="R92" s="182">
        <f>0</f>
        <v>0</v>
      </c>
      <c r="S92" s="76">
        <f>0</f>
        <v>0</v>
      </c>
      <c r="T92" s="76">
        <f>0</f>
        <v>0</v>
      </c>
      <c r="U92" s="76">
        <f>0</f>
        <v>0</v>
      </c>
      <c r="V92" s="84">
        <v>1</v>
      </c>
      <c r="W92" s="76">
        <f>0</f>
        <v>0</v>
      </c>
      <c r="X92" s="76">
        <f>0</f>
        <v>0</v>
      </c>
      <c r="Y92" s="76">
        <f>0</f>
        <v>0</v>
      </c>
      <c r="Z92" s="76">
        <f>0</f>
        <v>0</v>
      </c>
      <c r="AA92" s="183">
        <f>0</f>
        <v>0</v>
      </c>
      <c r="AB92" s="185">
        <f>0</f>
        <v>0</v>
      </c>
      <c r="AC92" s="76">
        <f>0</f>
        <v>0</v>
      </c>
      <c r="AD92" s="76">
        <f>0</f>
        <v>0</v>
      </c>
      <c r="AE92" s="76"/>
      <c r="AF92" s="76"/>
      <c r="AG92" s="76"/>
      <c r="AH92" s="76"/>
      <c r="AI92" s="76"/>
      <c r="AJ92" s="76"/>
      <c r="AK92" s="183"/>
      <c r="AL92" s="206">
        <f t="shared" si="2"/>
        <v>1</v>
      </c>
      <c r="AM92" s="91">
        <f>0</f>
        <v>0</v>
      </c>
      <c r="AN92" s="209">
        <f t="shared" si="3"/>
        <v>1</v>
      </c>
      <c r="AO92" s="192">
        <v>45057</v>
      </c>
      <c r="AP92" s="105" t="s">
        <v>273</v>
      </c>
      <c r="AQ92" s="97" t="s">
        <v>459</v>
      </c>
      <c r="AR92" s="108" t="s">
        <v>148</v>
      </c>
      <c r="AS92" s="98"/>
      <c r="AT92" s="104"/>
      <c r="AU92" s="104">
        <v>1</v>
      </c>
      <c r="AV92" s="105"/>
      <c r="AW92" s="99" t="s">
        <v>457</v>
      </c>
      <c r="AX92" s="106"/>
      <c r="AY92" s="106"/>
      <c r="AZ92" s="107"/>
      <c r="BA92" s="81"/>
      <c r="BB92" s="81"/>
      <c r="BC92" s="81"/>
    </row>
    <row r="93" spans="1:55" ht="28" customHeight="1" x14ac:dyDescent="0.25">
      <c r="A93" s="131">
        <v>87</v>
      </c>
      <c r="B93" s="141">
        <v>45054</v>
      </c>
      <c r="C93" s="77" t="s">
        <v>134</v>
      </c>
      <c r="D93" s="77" t="s">
        <v>135</v>
      </c>
      <c r="E93" s="77" t="s">
        <v>136</v>
      </c>
      <c r="F93" s="142" t="s">
        <v>430</v>
      </c>
      <c r="G93" s="143" t="s">
        <v>394</v>
      </c>
      <c r="H93" s="166" t="s">
        <v>110</v>
      </c>
      <c r="I93" s="135" t="s">
        <v>395</v>
      </c>
      <c r="J93" s="144" t="s">
        <v>396</v>
      </c>
      <c r="K93" s="167" t="s">
        <v>80</v>
      </c>
      <c r="L93" s="167" t="s">
        <v>451</v>
      </c>
      <c r="M93" s="140" t="s">
        <v>154</v>
      </c>
      <c r="N93" s="140" t="s">
        <v>214</v>
      </c>
      <c r="O93" s="140" t="s">
        <v>149</v>
      </c>
      <c r="P93" s="103"/>
      <c r="Q93" s="134"/>
      <c r="R93" s="182">
        <f>0</f>
        <v>0</v>
      </c>
      <c r="S93" s="76">
        <f>0</f>
        <v>0</v>
      </c>
      <c r="T93" s="76">
        <f>0</f>
        <v>0</v>
      </c>
      <c r="U93" s="76">
        <f>0</f>
        <v>0</v>
      </c>
      <c r="V93" s="84">
        <v>1</v>
      </c>
      <c r="W93" s="76">
        <f>0</f>
        <v>0</v>
      </c>
      <c r="X93" s="76">
        <f>0</f>
        <v>0</v>
      </c>
      <c r="Y93" s="76">
        <f>0</f>
        <v>0</v>
      </c>
      <c r="Z93" s="76">
        <f>0</f>
        <v>0</v>
      </c>
      <c r="AA93" s="183">
        <f>0</f>
        <v>0</v>
      </c>
      <c r="AB93" s="185">
        <f>0</f>
        <v>0</v>
      </c>
      <c r="AC93" s="76">
        <f>0</f>
        <v>0</v>
      </c>
      <c r="AD93" s="76">
        <f>0</f>
        <v>0</v>
      </c>
      <c r="AE93" s="76"/>
      <c r="AF93" s="76"/>
      <c r="AG93" s="76"/>
      <c r="AH93" s="76"/>
      <c r="AI93" s="76"/>
      <c r="AJ93" s="76"/>
      <c r="AK93" s="183"/>
      <c r="AL93" s="206">
        <f t="shared" si="2"/>
        <v>1</v>
      </c>
      <c r="AM93" s="91">
        <f>0</f>
        <v>0</v>
      </c>
      <c r="AN93" s="209">
        <f t="shared" si="3"/>
        <v>1</v>
      </c>
      <c r="AO93" s="192">
        <v>45057</v>
      </c>
      <c r="AP93" s="105" t="s">
        <v>273</v>
      </c>
      <c r="AQ93" s="97" t="s">
        <v>459</v>
      </c>
      <c r="AR93" s="108" t="s">
        <v>148</v>
      </c>
      <c r="AS93" s="98"/>
      <c r="AT93" s="104"/>
      <c r="AU93" s="104">
        <v>1</v>
      </c>
      <c r="AV93" s="105"/>
      <c r="AW93" s="99" t="s">
        <v>457</v>
      </c>
      <c r="AX93" s="106"/>
      <c r="AY93" s="106"/>
      <c r="AZ93" s="107"/>
      <c r="BA93" s="81"/>
      <c r="BB93" s="81"/>
      <c r="BC93" s="81"/>
    </row>
    <row r="94" spans="1:55" ht="28" customHeight="1" x14ac:dyDescent="0.25">
      <c r="A94" s="131">
        <v>88</v>
      </c>
      <c r="B94" s="141">
        <v>45054</v>
      </c>
      <c r="C94" s="77" t="s">
        <v>134</v>
      </c>
      <c r="D94" s="77" t="s">
        <v>135</v>
      </c>
      <c r="E94" s="77" t="s">
        <v>136</v>
      </c>
      <c r="F94" s="142" t="s">
        <v>430</v>
      </c>
      <c r="G94" s="143" t="s">
        <v>397</v>
      </c>
      <c r="H94" s="166" t="s">
        <v>110</v>
      </c>
      <c r="I94" s="135" t="s">
        <v>398</v>
      </c>
      <c r="J94" s="144" t="s">
        <v>399</v>
      </c>
      <c r="K94" s="167" t="s">
        <v>80</v>
      </c>
      <c r="L94" s="167" t="s">
        <v>451</v>
      </c>
      <c r="M94" s="140" t="s">
        <v>154</v>
      </c>
      <c r="N94" s="140" t="s">
        <v>214</v>
      </c>
      <c r="O94" s="140" t="s">
        <v>149</v>
      </c>
      <c r="P94" s="103"/>
      <c r="Q94" s="134"/>
      <c r="R94" s="182">
        <f>0</f>
        <v>0</v>
      </c>
      <c r="S94" s="76">
        <f>0</f>
        <v>0</v>
      </c>
      <c r="T94" s="76">
        <f>0</f>
        <v>0</v>
      </c>
      <c r="U94" s="76">
        <f>0</f>
        <v>0</v>
      </c>
      <c r="V94" s="84">
        <v>1</v>
      </c>
      <c r="W94" s="76">
        <f>0</f>
        <v>0</v>
      </c>
      <c r="X94" s="76">
        <f>0</f>
        <v>0</v>
      </c>
      <c r="Y94" s="76">
        <f>0</f>
        <v>0</v>
      </c>
      <c r="Z94" s="76">
        <f>0</f>
        <v>0</v>
      </c>
      <c r="AA94" s="183">
        <f>0</f>
        <v>0</v>
      </c>
      <c r="AB94" s="185">
        <f>0</f>
        <v>0</v>
      </c>
      <c r="AC94" s="76">
        <f>0</f>
        <v>0</v>
      </c>
      <c r="AD94" s="76">
        <f>0</f>
        <v>0</v>
      </c>
      <c r="AE94" s="76"/>
      <c r="AF94" s="76"/>
      <c r="AG94" s="76"/>
      <c r="AH94" s="76"/>
      <c r="AI94" s="76"/>
      <c r="AJ94" s="76"/>
      <c r="AK94" s="183"/>
      <c r="AL94" s="206">
        <f t="shared" si="2"/>
        <v>1</v>
      </c>
      <c r="AM94" s="91">
        <f>0</f>
        <v>0</v>
      </c>
      <c r="AN94" s="209">
        <f t="shared" si="3"/>
        <v>1</v>
      </c>
      <c r="AO94" s="193">
        <v>45076</v>
      </c>
      <c r="AP94" s="151" t="s">
        <v>273</v>
      </c>
      <c r="AQ94" s="97" t="s">
        <v>1292</v>
      </c>
      <c r="AR94" s="108" t="s">
        <v>671</v>
      </c>
      <c r="AS94" s="98"/>
      <c r="AT94" s="104"/>
      <c r="AU94" s="104"/>
      <c r="AV94" s="105"/>
      <c r="AW94" s="104"/>
      <c r="AX94" s="106"/>
      <c r="AY94" s="106"/>
      <c r="AZ94" s="107"/>
      <c r="BA94" s="81"/>
      <c r="BB94" s="81"/>
      <c r="BC94" s="81"/>
    </row>
    <row r="95" spans="1:55" ht="28" customHeight="1" x14ac:dyDescent="0.25">
      <c r="A95" s="131">
        <v>89</v>
      </c>
      <c r="B95" s="141">
        <v>45054</v>
      </c>
      <c r="C95" s="77" t="s">
        <v>134</v>
      </c>
      <c r="D95" s="77" t="s">
        <v>135</v>
      </c>
      <c r="E95" s="77" t="s">
        <v>136</v>
      </c>
      <c r="F95" s="142" t="s">
        <v>430</v>
      </c>
      <c r="G95" s="143" t="s">
        <v>400</v>
      </c>
      <c r="H95" s="166" t="s">
        <v>110</v>
      </c>
      <c r="I95" s="135" t="s">
        <v>401</v>
      </c>
      <c r="J95" s="144" t="s">
        <v>402</v>
      </c>
      <c r="K95" s="167" t="s">
        <v>80</v>
      </c>
      <c r="L95" s="167" t="s">
        <v>451</v>
      </c>
      <c r="M95" s="140" t="s">
        <v>154</v>
      </c>
      <c r="N95" s="140" t="s">
        <v>214</v>
      </c>
      <c r="O95" s="140" t="s">
        <v>149</v>
      </c>
      <c r="P95" s="103"/>
      <c r="Q95" s="134"/>
      <c r="R95" s="182">
        <f>0</f>
        <v>0</v>
      </c>
      <c r="S95" s="76">
        <f>0</f>
        <v>0</v>
      </c>
      <c r="T95" s="76">
        <f>0</f>
        <v>0</v>
      </c>
      <c r="U95" s="76">
        <f>0</f>
        <v>0</v>
      </c>
      <c r="V95" s="84">
        <v>1</v>
      </c>
      <c r="W95" s="76">
        <f>0</f>
        <v>0</v>
      </c>
      <c r="X95" s="76">
        <f>0</f>
        <v>0</v>
      </c>
      <c r="Y95" s="76">
        <f>0</f>
        <v>0</v>
      </c>
      <c r="Z95" s="76">
        <f>0</f>
        <v>0</v>
      </c>
      <c r="AA95" s="183">
        <f>0</f>
        <v>0</v>
      </c>
      <c r="AB95" s="185">
        <f>0</f>
        <v>0</v>
      </c>
      <c r="AC95" s="76">
        <f>0</f>
        <v>0</v>
      </c>
      <c r="AD95" s="76">
        <f>0</f>
        <v>0</v>
      </c>
      <c r="AE95" s="76"/>
      <c r="AF95" s="76"/>
      <c r="AG95" s="76"/>
      <c r="AH95" s="76"/>
      <c r="AI95" s="76"/>
      <c r="AJ95" s="76"/>
      <c r="AK95" s="183"/>
      <c r="AL95" s="206">
        <f t="shared" si="2"/>
        <v>1</v>
      </c>
      <c r="AM95" s="91">
        <f>0</f>
        <v>0</v>
      </c>
      <c r="AN95" s="209">
        <f t="shared" si="3"/>
        <v>1</v>
      </c>
      <c r="AO95" s="192">
        <v>45057</v>
      </c>
      <c r="AP95" s="105" t="s">
        <v>273</v>
      </c>
      <c r="AQ95" s="97" t="s">
        <v>459</v>
      </c>
      <c r="AR95" s="108" t="s">
        <v>148</v>
      </c>
      <c r="AS95" s="98"/>
      <c r="AT95" s="104"/>
      <c r="AU95" s="104">
        <v>1</v>
      </c>
      <c r="AV95" s="105"/>
      <c r="AW95" s="99" t="s">
        <v>457</v>
      </c>
      <c r="AX95" s="106"/>
      <c r="AY95" s="106"/>
      <c r="AZ95" s="107"/>
      <c r="BA95" s="81"/>
      <c r="BB95" s="81"/>
      <c r="BC95" s="81"/>
    </row>
    <row r="96" spans="1:55" ht="28" customHeight="1" x14ac:dyDescent="0.25">
      <c r="A96" s="131">
        <v>90</v>
      </c>
      <c r="B96" s="141">
        <v>45054</v>
      </c>
      <c r="C96" s="77" t="s">
        <v>134</v>
      </c>
      <c r="D96" s="77" t="s">
        <v>135</v>
      </c>
      <c r="E96" s="77" t="s">
        <v>136</v>
      </c>
      <c r="F96" s="142" t="s">
        <v>430</v>
      </c>
      <c r="G96" s="143" t="s">
        <v>403</v>
      </c>
      <c r="H96" s="166" t="s">
        <v>110</v>
      </c>
      <c r="I96" s="135" t="s">
        <v>404</v>
      </c>
      <c r="J96" s="144" t="s">
        <v>405</v>
      </c>
      <c r="K96" s="167" t="s">
        <v>80</v>
      </c>
      <c r="L96" s="167" t="s">
        <v>209</v>
      </c>
      <c r="M96" s="140" t="s">
        <v>114</v>
      </c>
      <c r="N96" s="140" t="s">
        <v>80</v>
      </c>
      <c r="O96" s="140" t="s">
        <v>80</v>
      </c>
      <c r="P96" s="103"/>
      <c r="Q96" s="134"/>
      <c r="R96" s="182">
        <f>0</f>
        <v>0</v>
      </c>
      <c r="S96" s="76">
        <f>0</f>
        <v>0</v>
      </c>
      <c r="T96" s="76">
        <f>0</f>
        <v>0</v>
      </c>
      <c r="U96" s="76">
        <f>0</f>
        <v>0</v>
      </c>
      <c r="V96" s="84">
        <v>1</v>
      </c>
      <c r="W96" s="76">
        <f>0</f>
        <v>0</v>
      </c>
      <c r="X96" s="76">
        <f>0</f>
        <v>0</v>
      </c>
      <c r="Y96" s="76">
        <f>0</f>
        <v>0</v>
      </c>
      <c r="Z96" s="76">
        <f>0</f>
        <v>0</v>
      </c>
      <c r="AA96" s="183">
        <f>0</f>
        <v>0</v>
      </c>
      <c r="AB96" s="185">
        <f>0</f>
        <v>0</v>
      </c>
      <c r="AC96" s="76">
        <f>0</f>
        <v>0</v>
      </c>
      <c r="AD96" s="76">
        <f>0</f>
        <v>0</v>
      </c>
      <c r="AE96" s="76"/>
      <c r="AF96" s="76"/>
      <c r="AG96" s="76"/>
      <c r="AH96" s="76"/>
      <c r="AI96" s="76"/>
      <c r="AJ96" s="76"/>
      <c r="AK96" s="183"/>
      <c r="AL96" s="206">
        <f t="shared" si="2"/>
        <v>1</v>
      </c>
      <c r="AM96" s="91">
        <f>0</f>
        <v>0</v>
      </c>
      <c r="AN96" s="209">
        <f t="shared" si="3"/>
        <v>1</v>
      </c>
      <c r="AO96" s="192">
        <v>45057</v>
      </c>
      <c r="AP96" s="105" t="s">
        <v>273</v>
      </c>
      <c r="AQ96" s="97" t="s">
        <v>460</v>
      </c>
      <c r="AR96" s="108" t="s">
        <v>276</v>
      </c>
      <c r="AS96" s="98"/>
      <c r="AT96" s="104"/>
      <c r="AU96" s="104">
        <v>1</v>
      </c>
      <c r="AV96" s="105"/>
      <c r="AW96" s="104" t="s">
        <v>457</v>
      </c>
      <c r="AX96" s="106"/>
      <c r="AY96" s="106"/>
      <c r="AZ96" s="107"/>
      <c r="BA96" s="81"/>
      <c r="BB96" s="81"/>
      <c r="BC96" s="81"/>
    </row>
    <row r="97" spans="1:55" ht="28" customHeight="1" x14ac:dyDescent="0.25">
      <c r="A97" s="131">
        <v>91</v>
      </c>
      <c r="B97" s="141">
        <v>45054</v>
      </c>
      <c r="C97" s="77" t="s">
        <v>134</v>
      </c>
      <c r="D97" s="77" t="s">
        <v>135</v>
      </c>
      <c r="E97" s="77" t="s">
        <v>136</v>
      </c>
      <c r="F97" s="142" t="s">
        <v>430</v>
      </c>
      <c r="G97" s="143" t="s">
        <v>406</v>
      </c>
      <c r="H97" s="166" t="s">
        <v>110</v>
      </c>
      <c r="I97" s="135" t="s">
        <v>407</v>
      </c>
      <c r="J97" s="144" t="s">
        <v>408</v>
      </c>
      <c r="K97" s="167" t="s">
        <v>80</v>
      </c>
      <c r="L97" s="167" t="s">
        <v>209</v>
      </c>
      <c r="M97" s="140" t="s">
        <v>114</v>
      </c>
      <c r="N97" s="140" t="s">
        <v>80</v>
      </c>
      <c r="O97" s="140" t="s">
        <v>80</v>
      </c>
      <c r="P97" s="103"/>
      <c r="Q97" s="134"/>
      <c r="R97" s="182">
        <f>0</f>
        <v>0</v>
      </c>
      <c r="S97" s="76">
        <f>0</f>
        <v>0</v>
      </c>
      <c r="T97" s="76">
        <f>0</f>
        <v>0</v>
      </c>
      <c r="U97" s="76">
        <f>0</f>
        <v>0</v>
      </c>
      <c r="V97" s="84">
        <v>1</v>
      </c>
      <c r="W97" s="76">
        <f>0</f>
        <v>0</v>
      </c>
      <c r="X97" s="76">
        <f>0</f>
        <v>0</v>
      </c>
      <c r="Y97" s="76">
        <f>0</f>
        <v>0</v>
      </c>
      <c r="Z97" s="76">
        <f>0</f>
        <v>0</v>
      </c>
      <c r="AA97" s="183">
        <f>0</f>
        <v>0</v>
      </c>
      <c r="AB97" s="185">
        <f>0</f>
        <v>0</v>
      </c>
      <c r="AC97" s="76">
        <f>0</f>
        <v>0</v>
      </c>
      <c r="AD97" s="76">
        <f>0</f>
        <v>0</v>
      </c>
      <c r="AE97" s="76"/>
      <c r="AF97" s="76"/>
      <c r="AG97" s="76"/>
      <c r="AH97" s="76"/>
      <c r="AI97" s="76"/>
      <c r="AJ97" s="76"/>
      <c r="AK97" s="183"/>
      <c r="AL97" s="206">
        <f t="shared" si="2"/>
        <v>1</v>
      </c>
      <c r="AM97" s="91">
        <f>0</f>
        <v>0</v>
      </c>
      <c r="AN97" s="209">
        <f t="shared" si="3"/>
        <v>1</v>
      </c>
      <c r="AO97" s="192">
        <v>45057</v>
      </c>
      <c r="AP97" s="105" t="s">
        <v>273</v>
      </c>
      <c r="AQ97" s="97" t="s">
        <v>460</v>
      </c>
      <c r="AR97" s="108" t="s">
        <v>276</v>
      </c>
      <c r="AS97" s="98"/>
      <c r="AT97" s="104"/>
      <c r="AU97" s="104">
        <v>1</v>
      </c>
      <c r="AV97" s="105"/>
      <c r="AW97" s="104" t="s">
        <v>457</v>
      </c>
      <c r="AX97" s="106"/>
      <c r="AY97" s="106"/>
      <c r="AZ97" s="107"/>
      <c r="BA97" s="81"/>
      <c r="BB97" s="81"/>
      <c r="BC97" s="81"/>
    </row>
    <row r="98" spans="1:55" ht="28" customHeight="1" x14ac:dyDescent="0.25">
      <c r="A98" s="131">
        <v>92</v>
      </c>
      <c r="B98" s="141">
        <v>45054</v>
      </c>
      <c r="C98" s="78"/>
      <c r="D98" s="78"/>
      <c r="E98" s="85" t="s">
        <v>136</v>
      </c>
      <c r="F98" s="142" t="s">
        <v>430</v>
      </c>
      <c r="G98" s="143" t="s">
        <v>409</v>
      </c>
      <c r="H98" s="166" t="s">
        <v>110</v>
      </c>
      <c r="I98" s="135" t="s">
        <v>407</v>
      </c>
      <c r="J98" s="144" t="s">
        <v>410</v>
      </c>
      <c r="K98" s="167" t="s">
        <v>80</v>
      </c>
      <c r="L98" s="167" t="s">
        <v>209</v>
      </c>
      <c r="M98" s="140" t="s">
        <v>114</v>
      </c>
      <c r="N98" s="140" t="s">
        <v>80</v>
      </c>
      <c r="O98" s="140" t="s">
        <v>80</v>
      </c>
      <c r="P98" s="103"/>
      <c r="Q98" s="134"/>
      <c r="R98" s="182">
        <f>0</f>
        <v>0</v>
      </c>
      <c r="S98" s="76">
        <f>0</f>
        <v>0</v>
      </c>
      <c r="T98" s="76">
        <f>0</f>
        <v>0</v>
      </c>
      <c r="U98" s="76">
        <f>0</f>
        <v>0</v>
      </c>
      <c r="V98" s="84">
        <v>1</v>
      </c>
      <c r="W98" s="76">
        <f>0</f>
        <v>0</v>
      </c>
      <c r="X98" s="76">
        <f>0</f>
        <v>0</v>
      </c>
      <c r="Y98" s="76">
        <f>0</f>
        <v>0</v>
      </c>
      <c r="Z98" s="76">
        <f>0</f>
        <v>0</v>
      </c>
      <c r="AA98" s="183">
        <f>0</f>
        <v>0</v>
      </c>
      <c r="AB98" s="185">
        <f>0</f>
        <v>0</v>
      </c>
      <c r="AC98" s="76">
        <f>0</f>
        <v>0</v>
      </c>
      <c r="AD98" s="76">
        <f>0</f>
        <v>0</v>
      </c>
      <c r="AE98" s="76"/>
      <c r="AF98" s="76"/>
      <c r="AG98" s="76"/>
      <c r="AH98" s="76"/>
      <c r="AI98" s="76"/>
      <c r="AJ98" s="76"/>
      <c r="AK98" s="183"/>
      <c r="AL98" s="206">
        <f t="shared" si="2"/>
        <v>1</v>
      </c>
      <c r="AM98" s="91">
        <f>0</f>
        <v>0</v>
      </c>
      <c r="AN98" s="209">
        <f t="shared" si="3"/>
        <v>1</v>
      </c>
      <c r="AO98" s="192">
        <v>45057</v>
      </c>
      <c r="AP98" s="105" t="s">
        <v>273</v>
      </c>
      <c r="AQ98" s="97" t="s">
        <v>460</v>
      </c>
      <c r="AR98" s="108" t="s">
        <v>276</v>
      </c>
      <c r="AS98" s="98"/>
      <c r="AT98" s="104"/>
      <c r="AU98" s="104">
        <v>1</v>
      </c>
      <c r="AV98" s="105"/>
      <c r="AW98" s="104" t="s">
        <v>457</v>
      </c>
      <c r="AX98" s="106"/>
      <c r="AY98" s="106"/>
      <c r="AZ98" s="107"/>
      <c r="BA98" s="81"/>
      <c r="BB98" s="81"/>
      <c r="BC98" s="81"/>
    </row>
    <row r="99" spans="1:55" ht="28" customHeight="1" x14ac:dyDescent="0.25">
      <c r="A99" s="131">
        <v>93</v>
      </c>
      <c r="B99" s="141">
        <v>45054</v>
      </c>
      <c r="C99" s="77" t="s">
        <v>134</v>
      </c>
      <c r="D99" s="77" t="s">
        <v>135</v>
      </c>
      <c r="E99" s="77" t="s">
        <v>136</v>
      </c>
      <c r="F99" s="142" t="s">
        <v>430</v>
      </c>
      <c r="G99" s="143" t="s">
        <v>411</v>
      </c>
      <c r="H99" s="166" t="s">
        <v>110</v>
      </c>
      <c r="I99" s="135" t="s">
        <v>412</v>
      </c>
      <c r="J99" s="144" t="s">
        <v>413</v>
      </c>
      <c r="K99" s="167" t="s">
        <v>80</v>
      </c>
      <c r="L99" s="167" t="s">
        <v>209</v>
      </c>
      <c r="M99" s="140" t="s">
        <v>114</v>
      </c>
      <c r="N99" s="140" t="s">
        <v>80</v>
      </c>
      <c r="O99" s="140" t="s">
        <v>80</v>
      </c>
      <c r="P99" s="103"/>
      <c r="Q99" s="134"/>
      <c r="R99" s="182">
        <f>0</f>
        <v>0</v>
      </c>
      <c r="S99" s="76">
        <f>0</f>
        <v>0</v>
      </c>
      <c r="T99" s="76">
        <f>0</f>
        <v>0</v>
      </c>
      <c r="U99" s="76">
        <f>0</f>
        <v>0</v>
      </c>
      <c r="V99" s="84">
        <v>4</v>
      </c>
      <c r="W99" s="76">
        <f>0</f>
        <v>0</v>
      </c>
      <c r="X99" s="76">
        <f>0</f>
        <v>0</v>
      </c>
      <c r="Y99" s="76">
        <f>0</f>
        <v>0</v>
      </c>
      <c r="Z99" s="76">
        <f>0</f>
        <v>0</v>
      </c>
      <c r="AA99" s="183">
        <f>0</f>
        <v>0</v>
      </c>
      <c r="AB99" s="185">
        <f>0</f>
        <v>0</v>
      </c>
      <c r="AC99" s="76">
        <f>0</f>
        <v>0</v>
      </c>
      <c r="AD99" s="76">
        <f>0</f>
        <v>0</v>
      </c>
      <c r="AE99" s="76"/>
      <c r="AF99" s="76"/>
      <c r="AG99" s="76"/>
      <c r="AH99" s="76"/>
      <c r="AI99" s="76"/>
      <c r="AJ99" s="76"/>
      <c r="AK99" s="183"/>
      <c r="AL99" s="206">
        <f t="shared" si="2"/>
        <v>4</v>
      </c>
      <c r="AM99" s="91">
        <f>0</f>
        <v>0</v>
      </c>
      <c r="AN99" s="209">
        <f t="shared" si="3"/>
        <v>4</v>
      </c>
      <c r="AO99" s="192">
        <v>45057</v>
      </c>
      <c r="AP99" s="105" t="s">
        <v>273</v>
      </c>
      <c r="AQ99" s="97" t="s">
        <v>460</v>
      </c>
      <c r="AR99" s="108" t="s">
        <v>276</v>
      </c>
      <c r="AS99" s="98"/>
      <c r="AT99" s="104"/>
      <c r="AU99" s="104">
        <v>4</v>
      </c>
      <c r="AV99" s="105"/>
      <c r="AW99" s="104" t="s">
        <v>457</v>
      </c>
      <c r="AX99" s="106"/>
      <c r="AY99" s="106"/>
      <c r="AZ99" s="107"/>
      <c r="BA99" s="81"/>
      <c r="BB99" s="81"/>
      <c r="BC99" s="81"/>
    </row>
    <row r="100" spans="1:55" ht="28" customHeight="1" x14ac:dyDescent="0.25">
      <c r="A100" s="131">
        <v>94</v>
      </c>
      <c r="B100" s="141">
        <v>45054</v>
      </c>
      <c r="C100" s="77" t="s">
        <v>134</v>
      </c>
      <c r="D100" s="77" t="s">
        <v>135</v>
      </c>
      <c r="E100" s="77" t="s">
        <v>136</v>
      </c>
      <c r="F100" s="142" t="s">
        <v>430</v>
      </c>
      <c r="G100" s="143" t="s">
        <v>414</v>
      </c>
      <c r="H100" s="166" t="s">
        <v>110</v>
      </c>
      <c r="I100" s="135" t="s">
        <v>415</v>
      </c>
      <c r="J100" s="144" t="s">
        <v>416</v>
      </c>
      <c r="K100" s="167"/>
      <c r="L100" s="167" t="s">
        <v>320</v>
      </c>
      <c r="M100" s="140" t="s">
        <v>154</v>
      </c>
      <c r="N100" s="140" t="s">
        <v>80</v>
      </c>
      <c r="O100" s="140" t="s">
        <v>155</v>
      </c>
      <c r="P100" s="103"/>
      <c r="Q100" s="134"/>
      <c r="R100" s="182">
        <f>0</f>
        <v>0</v>
      </c>
      <c r="S100" s="76">
        <f>0</f>
        <v>0</v>
      </c>
      <c r="T100" s="76">
        <f>0</f>
        <v>0</v>
      </c>
      <c r="U100" s="76">
        <f>0</f>
        <v>0</v>
      </c>
      <c r="V100" s="84">
        <v>1</v>
      </c>
      <c r="W100" s="76">
        <f>0</f>
        <v>0</v>
      </c>
      <c r="X100" s="76">
        <f>0</f>
        <v>0</v>
      </c>
      <c r="Y100" s="76">
        <f>0</f>
        <v>0</v>
      </c>
      <c r="Z100" s="76">
        <f>0</f>
        <v>0</v>
      </c>
      <c r="AA100" s="183">
        <f>0</f>
        <v>0</v>
      </c>
      <c r="AB100" s="185">
        <f>0</f>
        <v>0</v>
      </c>
      <c r="AC100" s="76">
        <f>0</f>
        <v>0</v>
      </c>
      <c r="AD100" s="76">
        <f>0</f>
        <v>0</v>
      </c>
      <c r="AE100" s="76"/>
      <c r="AF100" s="76"/>
      <c r="AG100" s="76"/>
      <c r="AH100" s="76"/>
      <c r="AI100" s="76"/>
      <c r="AJ100" s="76"/>
      <c r="AK100" s="183"/>
      <c r="AL100" s="206">
        <f t="shared" si="2"/>
        <v>1</v>
      </c>
      <c r="AM100" s="91">
        <f>0</f>
        <v>0</v>
      </c>
      <c r="AN100" s="209">
        <f t="shared" si="3"/>
        <v>1</v>
      </c>
      <c r="AO100" s="192">
        <v>45057</v>
      </c>
      <c r="AP100" s="105" t="s">
        <v>273</v>
      </c>
      <c r="AQ100" s="97" t="s">
        <v>459</v>
      </c>
      <c r="AR100" s="108" t="s">
        <v>148</v>
      </c>
      <c r="AS100" s="98"/>
      <c r="AT100" s="104"/>
      <c r="AU100" s="104"/>
      <c r="AV100" s="105"/>
      <c r="AW100" s="99" t="s">
        <v>457</v>
      </c>
      <c r="AX100" s="106"/>
      <c r="AY100" s="106"/>
      <c r="AZ100" s="107"/>
      <c r="BA100" s="81"/>
      <c r="BB100" s="81"/>
      <c r="BC100" s="81"/>
    </row>
    <row r="101" spans="1:55" ht="28" customHeight="1" x14ac:dyDescent="0.25">
      <c r="A101" s="131">
        <v>95</v>
      </c>
      <c r="B101" s="141">
        <v>45054</v>
      </c>
      <c r="C101" s="77" t="s">
        <v>134</v>
      </c>
      <c r="D101" s="77" t="s">
        <v>135</v>
      </c>
      <c r="E101" s="77" t="s">
        <v>136</v>
      </c>
      <c r="F101" s="142" t="s">
        <v>1300</v>
      </c>
      <c r="G101" s="143" t="s">
        <v>1301</v>
      </c>
      <c r="H101" s="166"/>
      <c r="I101" s="135" t="s">
        <v>417</v>
      </c>
      <c r="J101" s="144" t="s">
        <v>1302</v>
      </c>
      <c r="K101" s="167"/>
      <c r="L101" s="167" t="s">
        <v>320</v>
      </c>
      <c r="M101" s="140" t="s">
        <v>154</v>
      </c>
      <c r="N101" s="140" t="s">
        <v>80</v>
      </c>
      <c r="O101" s="140" t="s">
        <v>155</v>
      </c>
      <c r="P101" s="103"/>
      <c r="Q101" s="134" t="s">
        <v>1222</v>
      </c>
      <c r="R101" s="182">
        <f>0</f>
        <v>0</v>
      </c>
      <c r="S101" s="76">
        <f>0</f>
        <v>0</v>
      </c>
      <c r="T101" s="76">
        <f>0</f>
        <v>0</v>
      </c>
      <c r="U101" s="76">
        <f>0</f>
        <v>0</v>
      </c>
      <c r="V101" s="84">
        <v>1</v>
      </c>
      <c r="W101" s="76">
        <f>0</f>
        <v>0</v>
      </c>
      <c r="X101" s="76">
        <f>0</f>
        <v>0</v>
      </c>
      <c r="Y101" s="76">
        <f>0</f>
        <v>0</v>
      </c>
      <c r="Z101" s="76">
        <f>0</f>
        <v>0</v>
      </c>
      <c r="AA101" s="183">
        <f>0</f>
        <v>0</v>
      </c>
      <c r="AB101" s="185">
        <f>0</f>
        <v>0</v>
      </c>
      <c r="AC101" s="76">
        <f>0</f>
        <v>0</v>
      </c>
      <c r="AD101" s="76">
        <f>0</f>
        <v>0</v>
      </c>
      <c r="AE101" s="76"/>
      <c r="AF101" s="76"/>
      <c r="AG101" s="76"/>
      <c r="AH101" s="76"/>
      <c r="AI101" s="76"/>
      <c r="AJ101" s="76"/>
      <c r="AK101" s="183"/>
      <c r="AL101" s="206">
        <f t="shared" si="2"/>
        <v>1</v>
      </c>
      <c r="AM101" s="91">
        <f>0</f>
        <v>0</v>
      </c>
      <c r="AN101" s="207">
        <f t="shared" si="3"/>
        <v>1</v>
      </c>
      <c r="AO101" s="192">
        <v>45098</v>
      </c>
      <c r="AP101" s="105" t="s">
        <v>273</v>
      </c>
      <c r="AQ101" s="97" t="s">
        <v>1304</v>
      </c>
      <c r="AR101" s="219" t="s">
        <v>148</v>
      </c>
      <c r="AS101" s="98"/>
      <c r="AT101" s="104"/>
      <c r="AU101" s="104"/>
      <c r="AV101" s="105"/>
      <c r="AW101" s="104"/>
      <c r="AX101" s="106"/>
      <c r="AY101" s="106"/>
      <c r="AZ101" s="107"/>
      <c r="BA101" s="81"/>
      <c r="BB101" s="81"/>
      <c r="BC101" s="81"/>
    </row>
    <row r="102" spans="1:55" ht="28" customHeight="1" x14ac:dyDescent="0.25">
      <c r="A102" s="131">
        <v>96</v>
      </c>
      <c r="B102" s="141">
        <v>45054</v>
      </c>
      <c r="C102" s="77" t="s">
        <v>134</v>
      </c>
      <c r="D102" s="77" t="s">
        <v>135</v>
      </c>
      <c r="E102" s="77" t="s">
        <v>136</v>
      </c>
      <c r="F102" s="142" t="s">
        <v>430</v>
      </c>
      <c r="G102" s="143" t="s">
        <v>418</v>
      </c>
      <c r="H102" s="166" t="s">
        <v>110</v>
      </c>
      <c r="I102" s="135" t="s">
        <v>245</v>
      </c>
      <c r="J102" s="144" t="s">
        <v>419</v>
      </c>
      <c r="K102" s="167"/>
      <c r="L102" s="167" t="s">
        <v>320</v>
      </c>
      <c r="M102" s="140" t="s">
        <v>154</v>
      </c>
      <c r="N102" s="140" t="s">
        <v>80</v>
      </c>
      <c r="O102" s="140" t="s">
        <v>155</v>
      </c>
      <c r="P102" s="103"/>
      <c r="Q102" s="134"/>
      <c r="R102" s="182">
        <f>0</f>
        <v>0</v>
      </c>
      <c r="S102" s="76">
        <f>0</f>
        <v>0</v>
      </c>
      <c r="T102" s="76">
        <f>0</f>
        <v>0</v>
      </c>
      <c r="U102" s="76">
        <f>0</f>
        <v>0</v>
      </c>
      <c r="V102" s="84">
        <v>2</v>
      </c>
      <c r="W102" s="76">
        <f>0</f>
        <v>0</v>
      </c>
      <c r="X102" s="76">
        <f>0</f>
        <v>0</v>
      </c>
      <c r="Y102" s="76">
        <f>0</f>
        <v>0</v>
      </c>
      <c r="Z102" s="76">
        <f>0</f>
        <v>0</v>
      </c>
      <c r="AA102" s="183">
        <f>0</f>
        <v>0</v>
      </c>
      <c r="AB102" s="185">
        <f>0</f>
        <v>0</v>
      </c>
      <c r="AC102" s="76">
        <f>0</f>
        <v>0</v>
      </c>
      <c r="AD102" s="76">
        <f>0</f>
        <v>0</v>
      </c>
      <c r="AE102" s="76"/>
      <c r="AF102" s="76"/>
      <c r="AG102" s="76"/>
      <c r="AH102" s="76"/>
      <c r="AI102" s="76"/>
      <c r="AJ102" s="76"/>
      <c r="AK102" s="183"/>
      <c r="AL102" s="206">
        <f t="shared" si="2"/>
        <v>2</v>
      </c>
      <c r="AM102" s="91">
        <f>0</f>
        <v>0</v>
      </c>
      <c r="AN102" s="209">
        <f t="shared" si="3"/>
        <v>2</v>
      </c>
      <c r="AO102" s="192">
        <v>45057</v>
      </c>
      <c r="AP102" s="105" t="s">
        <v>273</v>
      </c>
      <c r="AQ102" s="97" t="s">
        <v>459</v>
      </c>
      <c r="AR102" s="108" t="s">
        <v>148</v>
      </c>
      <c r="AS102" s="98"/>
      <c r="AT102" s="104"/>
      <c r="AU102" s="104"/>
      <c r="AV102" s="105"/>
      <c r="AW102" s="99" t="s">
        <v>457</v>
      </c>
      <c r="AX102" s="106"/>
      <c r="AY102" s="106"/>
      <c r="AZ102" s="107"/>
      <c r="BA102" s="81"/>
      <c r="BB102" s="81"/>
      <c r="BC102" s="81"/>
    </row>
    <row r="103" spans="1:55" ht="28" customHeight="1" x14ac:dyDescent="0.25">
      <c r="A103" s="131">
        <v>97</v>
      </c>
      <c r="B103" s="141">
        <v>45054</v>
      </c>
      <c r="C103" s="77" t="s">
        <v>134</v>
      </c>
      <c r="D103" s="77" t="s">
        <v>135</v>
      </c>
      <c r="E103" s="77" t="s">
        <v>136</v>
      </c>
      <c r="F103" s="142" t="s">
        <v>430</v>
      </c>
      <c r="G103" s="143" t="s">
        <v>420</v>
      </c>
      <c r="H103" s="166" t="s">
        <v>110</v>
      </c>
      <c r="I103" s="135" t="s">
        <v>421</v>
      </c>
      <c r="J103" s="144" t="s">
        <v>422</v>
      </c>
      <c r="K103" s="167"/>
      <c r="L103" s="167" t="s">
        <v>168</v>
      </c>
      <c r="M103" s="140" t="s">
        <v>154</v>
      </c>
      <c r="N103" s="140" t="s">
        <v>80</v>
      </c>
      <c r="O103" s="140" t="s">
        <v>149</v>
      </c>
      <c r="P103" s="103"/>
      <c r="Q103" s="134"/>
      <c r="R103" s="182">
        <f>0</f>
        <v>0</v>
      </c>
      <c r="S103" s="76">
        <f>0</f>
        <v>0</v>
      </c>
      <c r="T103" s="76">
        <f>0</f>
        <v>0</v>
      </c>
      <c r="U103" s="76">
        <f>0</f>
        <v>0</v>
      </c>
      <c r="V103" s="84">
        <v>3</v>
      </c>
      <c r="W103" s="76">
        <f>0</f>
        <v>0</v>
      </c>
      <c r="X103" s="76">
        <f>0</f>
        <v>0</v>
      </c>
      <c r="Y103" s="76">
        <f>0</f>
        <v>0</v>
      </c>
      <c r="Z103" s="76">
        <f>0</f>
        <v>0</v>
      </c>
      <c r="AA103" s="183">
        <f>0</f>
        <v>0</v>
      </c>
      <c r="AB103" s="185">
        <f>0</f>
        <v>0</v>
      </c>
      <c r="AC103" s="76">
        <f>0</f>
        <v>0</v>
      </c>
      <c r="AD103" s="76">
        <f>0</f>
        <v>0</v>
      </c>
      <c r="AE103" s="76"/>
      <c r="AF103" s="76"/>
      <c r="AG103" s="76"/>
      <c r="AH103" s="76"/>
      <c r="AI103" s="76"/>
      <c r="AJ103" s="76"/>
      <c r="AK103" s="183"/>
      <c r="AL103" s="206">
        <f t="shared" si="2"/>
        <v>3</v>
      </c>
      <c r="AM103" s="91">
        <f>0</f>
        <v>0</v>
      </c>
      <c r="AN103" s="209">
        <f t="shared" si="3"/>
        <v>3</v>
      </c>
      <c r="AO103" s="192">
        <v>45057</v>
      </c>
      <c r="AP103" s="105" t="s">
        <v>273</v>
      </c>
      <c r="AQ103" s="97" t="s">
        <v>459</v>
      </c>
      <c r="AR103" s="108" t="s">
        <v>148</v>
      </c>
      <c r="AS103" s="98"/>
      <c r="AT103" s="104"/>
      <c r="AU103" s="104">
        <v>3</v>
      </c>
      <c r="AV103" s="105"/>
      <c r="AW103" s="104" t="s">
        <v>457</v>
      </c>
      <c r="AX103" s="106"/>
      <c r="AY103" s="106"/>
      <c r="AZ103" s="107"/>
      <c r="BA103" s="81"/>
      <c r="BB103" s="81"/>
      <c r="BC103" s="81"/>
    </row>
    <row r="104" spans="1:55" ht="28" customHeight="1" x14ac:dyDescent="0.25">
      <c r="A104" s="131">
        <v>98</v>
      </c>
      <c r="B104" s="141">
        <v>45054</v>
      </c>
      <c r="C104" s="77" t="s">
        <v>134</v>
      </c>
      <c r="D104" s="77" t="s">
        <v>135</v>
      </c>
      <c r="E104" s="77" t="s">
        <v>136</v>
      </c>
      <c r="F104" s="142" t="s">
        <v>430</v>
      </c>
      <c r="G104" s="143" t="s">
        <v>423</v>
      </c>
      <c r="H104" s="166" t="s">
        <v>110</v>
      </c>
      <c r="I104" s="135" t="s">
        <v>424</v>
      </c>
      <c r="J104" s="144" t="s">
        <v>425</v>
      </c>
      <c r="K104" s="167"/>
      <c r="L104" s="167" t="s">
        <v>168</v>
      </c>
      <c r="M104" s="140" t="s">
        <v>154</v>
      </c>
      <c r="N104" s="140" t="s">
        <v>80</v>
      </c>
      <c r="O104" s="140" t="s">
        <v>149</v>
      </c>
      <c r="P104" s="103"/>
      <c r="Q104" s="134"/>
      <c r="R104" s="182">
        <f>0</f>
        <v>0</v>
      </c>
      <c r="S104" s="76">
        <f>0</f>
        <v>0</v>
      </c>
      <c r="T104" s="76">
        <f>0</f>
        <v>0</v>
      </c>
      <c r="U104" s="76">
        <f>0</f>
        <v>0</v>
      </c>
      <c r="V104" s="84">
        <v>1</v>
      </c>
      <c r="W104" s="76">
        <f>0</f>
        <v>0</v>
      </c>
      <c r="X104" s="76">
        <f>0</f>
        <v>0</v>
      </c>
      <c r="Y104" s="76">
        <f>0</f>
        <v>0</v>
      </c>
      <c r="Z104" s="76">
        <f>0</f>
        <v>0</v>
      </c>
      <c r="AA104" s="183">
        <f>0</f>
        <v>0</v>
      </c>
      <c r="AB104" s="185">
        <f>0</f>
        <v>0</v>
      </c>
      <c r="AC104" s="76">
        <f>0</f>
        <v>0</v>
      </c>
      <c r="AD104" s="76">
        <f>0</f>
        <v>0</v>
      </c>
      <c r="AE104" s="76"/>
      <c r="AF104" s="76"/>
      <c r="AG104" s="76"/>
      <c r="AH104" s="76"/>
      <c r="AI104" s="76"/>
      <c r="AJ104" s="76"/>
      <c r="AK104" s="183"/>
      <c r="AL104" s="206">
        <f t="shared" si="2"/>
        <v>1</v>
      </c>
      <c r="AM104" s="91">
        <f>0</f>
        <v>0</v>
      </c>
      <c r="AN104" s="209">
        <f t="shared" si="3"/>
        <v>1</v>
      </c>
      <c r="AO104" s="192">
        <v>45057</v>
      </c>
      <c r="AP104" s="105" t="s">
        <v>273</v>
      </c>
      <c r="AQ104" s="97" t="s">
        <v>459</v>
      </c>
      <c r="AR104" s="108" t="s">
        <v>148</v>
      </c>
      <c r="AS104" s="98"/>
      <c r="AT104" s="104"/>
      <c r="AU104" s="104">
        <v>1</v>
      </c>
      <c r="AV104" s="105"/>
      <c r="AW104" s="104" t="s">
        <v>457</v>
      </c>
      <c r="AX104" s="106"/>
      <c r="AY104" s="106"/>
      <c r="AZ104" s="107"/>
      <c r="BA104" s="81"/>
      <c r="BB104" s="81"/>
      <c r="BC104" s="81"/>
    </row>
    <row r="105" spans="1:55" ht="28" customHeight="1" x14ac:dyDescent="0.25">
      <c r="A105" s="131">
        <v>99</v>
      </c>
      <c r="B105" s="141">
        <v>45054</v>
      </c>
      <c r="C105" s="77" t="s">
        <v>134</v>
      </c>
      <c r="D105" s="77" t="s">
        <v>135</v>
      </c>
      <c r="E105" s="77" t="s">
        <v>136</v>
      </c>
      <c r="F105" s="142" t="s">
        <v>430</v>
      </c>
      <c r="G105" s="143" t="s">
        <v>426</v>
      </c>
      <c r="H105" s="166" t="s">
        <v>110</v>
      </c>
      <c r="I105" s="135" t="s">
        <v>427</v>
      </c>
      <c r="J105" s="144" t="s">
        <v>428</v>
      </c>
      <c r="K105" s="167"/>
      <c r="L105" s="167" t="s">
        <v>429</v>
      </c>
      <c r="M105" s="140" t="s">
        <v>154</v>
      </c>
      <c r="N105" s="140" t="s">
        <v>212</v>
      </c>
      <c r="O105" s="140" t="s">
        <v>149</v>
      </c>
      <c r="P105" s="103"/>
      <c r="Q105" s="134"/>
      <c r="R105" s="182">
        <f>0</f>
        <v>0</v>
      </c>
      <c r="S105" s="76">
        <f>0</f>
        <v>0</v>
      </c>
      <c r="T105" s="76">
        <f>0</f>
        <v>0</v>
      </c>
      <c r="U105" s="76">
        <f>0</f>
        <v>0</v>
      </c>
      <c r="V105" s="84">
        <v>1</v>
      </c>
      <c r="W105" s="76">
        <f>0</f>
        <v>0</v>
      </c>
      <c r="X105" s="76">
        <f>0</f>
        <v>0</v>
      </c>
      <c r="Y105" s="76">
        <f>0</f>
        <v>0</v>
      </c>
      <c r="Z105" s="76">
        <f>0</f>
        <v>0</v>
      </c>
      <c r="AA105" s="183">
        <f>0</f>
        <v>0</v>
      </c>
      <c r="AB105" s="185">
        <f>0</f>
        <v>0</v>
      </c>
      <c r="AC105" s="76">
        <f>0</f>
        <v>0</v>
      </c>
      <c r="AD105" s="76">
        <f>0</f>
        <v>0</v>
      </c>
      <c r="AE105" s="76"/>
      <c r="AF105" s="76"/>
      <c r="AG105" s="76"/>
      <c r="AH105" s="76"/>
      <c r="AI105" s="76"/>
      <c r="AJ105" s="76"/>
      <c r="AK105" s="183"/>
      <c r="AL105" s="206">
        <f t="shared" si="2"/>
        <v>1</v>
      </c>
      <c r="AM105" s="91">
        <f>0</f>
        <v>0</v>
      </c>
      <c r="AN105" s="209">
        <f t="shared" si="3"/>
        <v>1</v>
      </c>
      <c r="AO105" s="192">
        <v>45057</v>
      </c>
      <c r="AP105" s="105" t="s">
        <v>273</v>
      </c>
      <c r="AQ105" s="97" t="s">
        <v>459</v>
      </c>
      <c r="AR105" s="108" t="s">
        <v>148</v>
      </c>
      <c r="AS105" s="98"/>
      <c r="AT105" s="104"/>
      <c r="AU105" s="104">
        <v>1</v>
      </c>
      <c r="AV105" s="105"/>
      <c r="AW105" s="99" t="s">
        <v>457</v>
      </c>
      <c r="AX105" s="106"/>
      <c r="AY105" s="106"/>
      <c r="AZ105" s="107"/>
      <c r="BA105" s="81"/>
      <c r="BB105" s="81"/>
      <c r="BC105" s="81"/>
    </row>
    <row r="106" spans="1:55" ht="28" customHeight="1" x14ac:dyDescent="0.55000000000000004">
      <c r="A106" s="131">
        <v>100</v>
      </c>
      <c r="B106" s="141">
        <v>45063</v>
      </c>
      <c r="C106" s="77" t="s">
        <v>134</v>
      </c>
      <c r="D106" s="77" t="s">
        <v>135</v>
      </c>
      <c r="E106" s="77" t="s">
        <v>136</v>
      </c>
      <c r="F106" s="142" t="s">
        <v>210</v>
      </c>
      <c r="G106" s="145" t="s">
        <v>461</v>
      </c>
      <c r="H106" s="146" t="s">
        <v>110</v>
      </c>
      <c r="I106" s="145" t="s">
        <v>462</v>
      </c>
      <c r="J106" s="240" t="s">
        <v>463</v>
      </c>
      <c r="K106" s="240" t="s">
        <v>80</v>
      </c>
      <c r="L106" s="241" t="s">
        <v>119</v>
      </c>
      <c r="M106" s="241" t="s">
        <v>114</v>
      </c>
      <c r="N106" s="241" t="s">
        <v>80</v>
      </c>
      <c r="O106" s="241" t="s">
        <v>120</v>
      </c>
      <c r="P106" s="103"/>
      <c r="Q106" s="134"/>
      <c r="R106" s="182">
        <f>0</f>
        <v>0</v>
      </c>
      <c r="S106" s="76">
        <f>0</f>
        <v>0</v>
      </c>
      <c r="T106" s="76">
        <f>0</f>
        <v>0</v>
      </c>
      <c r="U106" s="90">
        <v>1</v>
      </c>
      <c r="V106" s="76"/>
      <c r="W106" s="76">
        <f>0</f>
        <v>0</v>
      </c>
      <c r="X106" s="76">
        <f>0</f>
        <v>0</v>
      </c>
      <c r="Y106" s="76">
        <f>0</f>
        <v>0</v>
      </c>
      <c r="Z106" s="76">
        <f>0</f>
        <v>0</v>
      </c>
      <c r="AA106" s="183">
        <f>0</f>
        <v>0</v>
      </c>
      <c r="AB106" s="185">
        <f>0</f>
        <v>0</v>
      </c>
      <c r="AC106" s="76">
        <f>0</f>
        <v>0</v>
      </c>
      <c r="AD106" s="76">
        <f>0</f>
        <v>0</v>
      </c>
      <c r="AE106" s="76"/>
      <c r="AF106" s="76"/>
      <c r="AG106" s="76"/>
      <c r="AH106" s="76"/>
      <c r="AI106" s="76"/>
      <c r="AJ106" s="76"/>
      <c r="AK106" s="183"/>
      <c r="AL106" s="206">
        <f t="shared" si="2"/>
        <v>1</v>
      </c>
      <c r="AM106" s="91">
        <f>0</f>
        <v>0</v>
      </c>
      <c r="AN106" s="208">
        <f t="shared" si="3"/>
        <v>1</v>
      </c>
      <c r="AO106" s="278">
        <v>45064</v>
      </c>
      <c r="AP106" s="105" t="s">
        <v>273</v>
      </c>
      <c r="AQ106" s="97" t="s">
        <v>585</v>
      </c>
      <c r="AR106" s="108" t="s">
        <v>276</v>
      </c>
      <c r="AS106" s="98"/>
      <c r="AT106" s="104"/>
      <c r="AU106" s="104"/>
      <c r="AV106" s="105"/>
      <c r="AW106" s="104"/>
      <c r="AX106" s="106"/>
      <c r="AY106" s="106"/>
      <c r="AZ106" s="107"/>
      <c r="BA106" s="81"/>
      <c r="BB106" s="81"/>
      <c r="BC106" s="81"/>
    </row>
    <row r="107" spans="1:55" ht="28" customHeight="1" x14ac:dyDescent="0.55000000000000004">
      <c r="A107" s="131">
        <v>101</v>
      </c>
      <c r="B107" s="141">
        <v>45063</v>
      </c>
      <c r="C107" s="77" t="s">
        <v>134</v>
      </c>
      <c r="D107" s="77" t="s">
        <v>135</v>
      </c>
      <c r="E107" s="77" t="s">
        <v>136</v>
      </c>
      <c r="F107" s="142" t="s">
        <v>210</v>
      </c>
      <c r="G107" s="145" t="s">
        <v>464</v>
      </c>
      <c r="H107" s="146" t="s">
        <v>110</v>
      </c>
      <c r="I107" s="145" t="s">
        <v>465</v>
      </c>
      <c r="J107" s="240" t="s">
        <v>466</v>
      </c>
      <c r="K107" s="240" t="s">
        <v>80</v>
      </c>
      <c r="L107" s="241" t="s">
        <v>119</v>
      </c>
      <c r="M107" s="241" t="s">
        <v>114</v>
      </c>
      <c r="N107" s="241" t="s">
        <v>80</v>
      </c>
      <c r="O107" s="241" t="s">
        <v>120</v>
      </c>
      <c r="P107" s="103"/>
      <c r="Q107" s="134"/>
      <c r="R107" s="182">
        <f>0</f>
        <v>0</v>
      </c>
      <c r="S107" s="76">
        <f>0</f>
        <v>0</v>
      </c>
      <c r="T107" s="76">
        <f>0</f>
        <v>0</v>
      </c>
      <c r="U107" s="90">
        <v>1</v>
      </c>
      <c r="V107" s="76"/>
      <c r="W107" s="76">
        <f>0</f>
        <v>0</v>
      </c>
      <c r="X107" s="76">
        <f>0</f>
        <v>0</v>
      </c>
      <c r="Y107" s="76">
        <f>0</f>
        <v>0</v>
      </c>
      <c r="Z107" s="76">
        <f>0</f>
        <v>0</v>
      </c>
      <c r="AA107" s="183">
        <f>0</f>
        <v>0</v>
      </c>
      <c r="AB107" s="185">
        <f>0</f>
        <v>0</v>
      </c>
      <c r="AC107" s="76">
        <f>0</f>
        <v>0</v>
      </c>
      <c r="AD107" s="76">
        <f>0</f>
        <v>0</v>
      </c>
      <c r="AE107" s="76"/>
      <c r="AF107" s="76"/>
      <c r="AG107" s="76"/>
      <c r="AH107" s="76"/>
      <c r="AI107" s="76"/>
      <c r="AJ107" s="76"/>
      <c r="AK107" s="183"/>
      <c r="AL107" s="206">
        <f t="shared" si="2"/>
        <v>1</v>
      </c>
      <c r="AM107" s="91">
        <f>0</f>
        <v>0</v>
      </c>
      <c r="AN107" s="208">
        <f t="shared" si="3"/>
        <v>1</v>
      </c>
      <c r="AO107" s="278">
        <v>45064</v>
      </c>
      <c r="AP107" s="105" t="s">
        <v>273</v>
      </c>
      <c r="AQ107" s="97" t="s">
        <v>585</v>
      </c>
      <c r="AR107" s="108" t="s">
        <v>276</v>
      </c>
      <c r="AS107" s="98"/>
      <c r="AT107" s="104"/>
      <c r="AU107" s="104"/>
      <c r="AV107" s="105"/>
      <c r="AW107" s="104"/>
      <c r="AX107" s="106"/>
      <c r="AY107" s="106"/>
      <c r="AZ107" s="107"/>
      <c r="BA107" s="81"/>
      <c r="BB107" s="81"/>
      <c r="BC107" s="81"/>
    </row>
    <row r="108" spans="1:55" ht="28" customHeight="1" x14ac:dyDescent="0.55000000000000004">
      <c r="A108" s="131">
        <v>102</v>
      </c>
      <c r="B108" s="141">
        <v>45063</v>
      </c>
      <c r="C108" s="77" t="s">
        <v>134</v>
      </c>
      <c r="D108" s="77" t="s">
        <v>135</v>
      </c>
      <c r="E108" s="77" t="s">
        <v>136</v>
      </c>
      <c r="F108" s="142" t="s">
        <v>210</v>
      </c>
      <c r="G108" s="145" t="s">
        <v>467</v>
      </c>
      <c r="H108" s="146" t="s">
        <v>287</v>
      </c>
      <c r="I108" s="145" t="s">
        <v>468</v>
      </c>
      <c r="J108" s="240" t="s">
        <v>670</v>
      </c>
      <c r="K108" s="240" t="s">
        <v>80</v>
      </c>
      <c r="L108" s="241" t="s">
        <v>469</v>
      </c>
      <c r="M108" s="241" t="s">
        <v>154</v>
      </c>
      <c r="N108" s="241" t="s">
        <v>212</v>
      </c>
      <c r="O108" s="241" t="s">
        <v>149</v>
      </c>
      <c r="P108" s="103"/>
      <c r="Q108" s="134"/>
      <c r="R108" s="182">
        <f>0</f>
        <v>0</v>
      </c>
      <c r="S108" s="76">
        <f>0</f>
        <v>0</v>
      </c>
      <c r="T108" s="76">
        <f>0</f>
        <v>0</v>
      </c>
      <c r="U108" s="90">
        <v>1</v>
      </c>
      <c r="V108" s="76"/>
      <c r="W108" s="76">
        <f>0</f>
        <v>0</v>
      </c>
      <c r="X108" s="76">
        <f>0</f>
        <v>0</v>
      </c>
      <c r="Y108" s="76">
        <f>0</f>
        <v>0</v>
      </c>
      <c r="Z108" s="76">
        <f>0</f>
        <v>0</v>
      </c>
      <c r="AA108" s="183">
        <f>0</f>
        <v>0</v>
      </c>
      <c r="AB108" s="185">
        <f>0</f>
        <v>0</v>
      </c>
      <c r="AC108" s="76">
        <f>0</f>
        <v>0</v>
      </c>
      <c r="AD108" s="76">
        <f>0</f>
        <v>0</v>
      </c>
      <c r="AE108" s="76"/>
      <c r="AF108" s="76"/>
      <c r="AG108" s="76"/>
      <c r="AH108" s="76"/>
      <c r="AI108" s="76"/>
      <c r="AJ108" s="76"/>
      <c r="AK108" s="183"/>
      <c r="AL108" s="206">
        <f t="shared" si="2"/>
        <v>1</v>
      </c>
      <c r="AM108" s="91">
        <f>0</f>
        <v>0</v>
      </c>
      <c r="AN108" s="208">
        <f t="shared" si="3"/>
        <v>1</v>
      </c>
      <c r="AO108" s="278">
        <v>45064</v>
      </c>
      <c r="AP108" s="105" t="s">
        <v>273</v>
      </c>
      <c r="AQ108" s="97" t="s">
        <v>584</v>
      </c>
      <c r="AR108" s="108" t="s">
        <v>148</v>
      </c>
      <c r="AS108" s="98"/>
      <c r="AT108" s="104"/>
      <c r="AU108" s="104">
        <v>1</v>
      </c>
      <c r="AV108" s="105"/>
      <c r="AW108" s="99" t="s">
        <v>457</v>
      </c>
      <c r="AX108" s="106"/>
      <c r="AY108" s="106"/>
      <c r="AZ108" s="107"/>
      <c r="BA108" s="81"/>
      <c r="BB108" s="81"/>
      <c r="BC108" s="81"/>
    </row>
    <row r="109" spans="1:55" ht="28" customHeight="1" x14ac:dyDescent="0.55000000000000004">
      <c r="A109" s="131">
        <v>103</v>
      </c>
      <c r="B109" s="141">
        <v>45063</v>
      </c>
      <c r="C109" s="77" t="s">
        <v>134</v>
      </c>
      <c r="D109" s="77" t="s">
        <v>135</v>
      </c>
      <c r="E109" s="77" t="s">
        <v>136</v>
      </c>
      <c r="F109" s="142" t="s">
        <v>210</v>
      </c>
      <c r="G109" s="145" t="s">
        <v>470</v>
      </c>
      <c r="H109" s="146" t="s">
        <v>110</v>
      </c>
      <c r="I109" s="145" t="s">
        <v>471</v>
      </c>
      <c r="J109" s="240" t="s">
        <v>472</v>
      </c>
      <c r="K109" s="240" t="s">
        <v>80</v>
      </c>
      <c r="L109" s="241" t="s">
        <v>168</v>
      </c>
      <c r="M109" s="241" t="s">
        <v>154</v>
      </c>
      <c r="N109" s="241" t="s">
        <v>80</v>
      </c>
      <c r="O109" s="241" t="s">
        <v>149</v>
      </c>
      <c r="P109" s="103"/>
      <c r="Q109" s="134"/>
      <c r="R109" s="182">
        <f>0</f>
        <v>0</v>
      </c>
      <c r="S109" s="76">
        <f>0</f>
        <v>0</v>
      </c>
      <c r="T109" s="76">
        <f>0</f>
        <v>0</v>
      </c>
      <c r="U109" s="90">
        <v>1</v>
      </c>
      <c r="V109" s="76"/>
      <c r="W109" s="76">
        <f>0</f>
        <v>0</v>
      </c>
      <c r="X109" s="76">
        <f>0</f>
        <v>0</v>
      </c>
      <c r="Y109" s="76">
        <f>0</f>
        <v>0</v>
      </c>
      <c r="Z109" s="76">
        <f>0</f>
        <v>0</v>
      </c>
      <c r="AA109" s="183">
        <f>0</f>
        <v>0</v>
      </c>
      <c r="AB109" s="185">
        <f>0</f>
        <v>0</v>
      </c>
      <c r="AC109" s="76">
        <f>0</f>
        <v>0</v>
      </c>
      <c r="AD109" s="76">
        <f>0</f>
        <v>0</v>
      </c>
      <c r="AE109" s="76"/>
      <c r="AF109" s="76"/>
      <c r="AG109" s="76"/>
      <c r="AH109" s="76"/>
      <c r="AI109" s="76"/>
      <c r="AJ109" s="76"/>
      <c r="AK109" s="183"/>
      <c r="AL109" s="206">
        <f t="shared" si="2"/>
        <v>1</v>
      </c>
      <c r="AM109" s="91">
        <f>0</f>
        <v>0</v>
      </c>
      <c r="AN109" s="208">
        <f t="shared" si="3"/>
        <v>1</v>
      </c>
      <c r="AO109" s="275">
        <v>45075</v>
      </c>
      <c r="AP109" s="151" t="s">
        <v>273</v>
      </c>
      <c r="AQ109" s="97" t="s">
        <v>901</v>
      </c>
      <c r="AR109" s="108" t="s">
        <v>669</v>
      </c>
      <c r="AS109" s="98"/>
      <c r="AT109" s="104"/>
      <c r="AU109" s="104"/>
      <c r="AV109" s="105"/>
      <c r="AW109" s="104"/>
      <c r="AX109" s="106"/>
      <c r="AY109" s="106"/>
      <c r="AZ109" s="107"/>
      <c r="BA109" s="81"/>
      <c r="BB109" s="81"/>
      <c r="BC109" s="81"/>
    </row>
    <row r="110" spans="1:55" ht="28" customHeight="1" x14ac:dyDescent="0.55000000000000004">
      <c r="A110" s="131">
        <v>104</v>
      </c>
      <c r="B110" s="141">
        <v>45063</v>
      </c>
      <c r="C110" s="77" t="s">
        <v>134</v>
      </c>
      <c r="D110" s="77" t="s">
        <v>135</v>
      </c>
      <c r="E110" s="77" t="s">
        <v>136</v>
      </c>
      <c r="F110" s="142" t="s">
        <v>210</v>
      </c>
      <c r="G110" s="145" t="s">
        <v>473</v>
      </c>
      <c r="H110" s="146" t="s">
        <v>110</v>
      </c>
      <c r="I110" s="145" t="s">
        <v>474</v>
      </c>
      <c r="J110" s="240" t="s">
        <v>475</v>
      </c>
      <c r="K110" s="240" t="s">
        <v>80</v>
      </c>
      <c r="L110" s="241" t="s">
        <v>193</v>
      </c>
      <c r="M110" s="241" t="s">
        <v>154</v>
      </c>
      <c r="N110" s="241" t="s">
        <v>214</v>
      </c>
      <c r="O110" s="241" t="s">
        <v>149</v>
      </c>
      <c r="P110" s="103"/>
      <c r="Q110" s="134"/>
      <c r="R110" s="182">
        <f>0</f>
        <v>0</v>
      </c>
      <c r="S110" s="76">
        <f>0</f>
        <v>0</v>
      </c>
      <c r="T110" s="76">
        <f>0</f>
        <v>0</v>
      </c>
      <c r="U110" s="90">
        <v>1</v>
      </c>
      <c r="V110" s="76"/>
      <c r="W110" s="76">
        <f>0</f>
        <v>0</v>
      </c>
      <c r="X110" s="76">
        <f>0</f>
        <v>0</v>
      </c>
      <c r="Y110" s="76">
        <f>0</f>
        <v>0</v>
      </c>
      <c r="Z110" s="76">
        <f>0</f>
        <v>0</v>
      </c>
      <c r="AA110" s="183">
        <f>0</f>
        <v>0</v>
      </c>
      <c r="AB110" s="185">
        <f>0</f>
        <v>0</v>
      </c>
      <c r="AC110" s="76">
        <f>0</f>
        <v>0</v>
      </c>
      <c r="AD110" s="76">
        <f>0</f>
        <v>0</v>
      </c>
      <c r="AE110" s="76"/>
      <c r="AF110" s="76"/>
      <c r="AG110" s="76"/>
      <c r="AH110" s="76"/>
      <c r="AI110" s="76"/>
      <c r="AJ110" s="76"/>
      <c r="AK110" s="183"/>
      <c r="AL110" s="206">
        <f t="shared" si="2"/>
        <v>1</v>
      </c>
      <c r="AM110" s="91">
        <f>0</f>
        <v>0</v>
      </c>
      <c r="AN110" s="208">
        <f t="shared" si="3"/>
        <v>1</v>
      </c>
      <c r="AO110" s="275">
        <v>45075</v>
      </c>
      <c r="AP110" s="151" t="s">
        <v>273</v>
      </c>
      <c r="AQ110" s="97" t="s">
        <v>901</v>
      </c>
      <c r="AR110" s="108" t="s">
        <v>669</v>
      </c>
      <c r="AS110" s="98"/>
      <c r="AT110" s="104"/>
      <c r="AU110" s="104"/>
      <c r="AV110" s="105"/>
      <c r="AW110" s="104"/>
      <c r="AX110" s="106"/>
      <c r="AY110" s="106"/>
      <c r="AZ110" s="107"/>
      <c r="BA110" s="81"/>
      <c r="BB110" s="81"/>
      <c r="BC110" s="81"/>
    </row>
    <row r="111" spans="1:55" ht="28" customHeight="1" x14ac:dyDescent="0.55000000000000004">
      <c r="A111" s="131">
        <v>105</v>
      </c>
      <c r="B111" s="141">
        <v>45063</v>
      </c>
      <c r="C111" s="77" t="s">
        <v>134</v>
      </c>
      <c r="D111" s="77" t="s">
        <v>135</v>
      </c>
      <c r="E111" s="77" t="s">
        <v>136</v>
      </c>
      <c r="F111" s="142" t="s">
        <v>210</v>
      </c>
      <c r="G111" s="145" t="s">
        <v>476</v>
      </c>
      <c r="H111" s="146" t="s">
        <v>110</v>
      </c>
      <c r="I111" s="145" t="s">
        <v>477</v>
      </c>
      <c r="J111" s="240" t="s">
        <v>478</v>
      </c>
      <c r="K111" s="240" t="s">
        <v>80</v>
      </c>
      <c r="L111" s="241" t="s">
        <v>389</v>
      </c>
      <c r="M111" s="241" t="s">
        <v>479</v>
      </c>
      <c r="N111" s="241" t="s">
        <v>214</v>
      </c>
      <c r="O111" s="241" t="s">
        <v>80</v>
      </c>
      <c r="P111" s="103"/>
      <c r="Q111" s="134"/>
      <c r="R111" s="182">
        <f>0</f>
        <v>0</v>
      </c>
      <c r="S111" s="76">
        <f>0</f>
        <v>0</v>
      </c>
      <c r="T111" s="76">
        <f>0</f>
        <v>0</v>
      </c>
      <c r="U111" s="90">
        <v>1</v>
      </c>
      <c r="V111" s="76"/>
      <c r="W111" s="76">
        <f>0</f>
        <v>0</v>
      </c>
      <c r="X111" s="76">
        <f>0</f>
        <v>0</v>
      </c>
      <c r="Y111" s="76">
        <f>0</f>
        <v>0</v>
      </c>
      <c r="Z111" s="76">
        <f>0</f>
        <v>0</v>
      </c>
      <c r="AA111" s="183">
        <f>0</f>
        <v>0</v>
      </c>
      <c r="AB111" s="185">
        <f>0</f>
        <v>0</v>
      </c>
      <c r="AC111" s="76">
        <f>0</f>
        <v>0</v>
      </c>
      <c r="AD111" s="76">
        <f>0</f>
        <v>0</v>
      </c>
      <c r="AE111" s="76"/>
      <c r="AF111" s="76"/>
      <c r="AG111" s="76"/>
      <c r="AH111" s="76"/>
      <c r="AI111" s="76"/>
      <c r="AJ111" s="76"/>
      <c r="AK111" s="183"/>
      <c r="AL111" s="206">
        <f t="shared" si="2"/>
        <v>1</v>
      </c>
      <c r="AM111" s="91">
        <f>0</f>
        <v>0</v>
      </c>
      <c r="AN111" s="208">
        <f t="shared" si="3"/>
        <v>1</v>
      </c>
      <c r="AO111" s="278">
        <v>45064</v>
      </c>
      <c r="AP111" s="105" t="s">
        <v>273</v>
      </c>
      <c r="AQ111" s="97" t="s">
        <v>584</v>
      </c>
      <c r="AR111" s="108" t="s">
        <v>148</v>
      </c>
      <c r="AS111" s="98"/>
      <c r="AT111" s="104"/>
      <c r="AU111" s="104"/>
      <c r="AV111" s="105"/>
      <c r="AW111" s="104"/>
      <c r="AX111" s="106"/>
      <c r="AY111" s="106"/>
      <c r="AZ111" s="107"/>
      <c r="BA111" s="81"/>
      <c r="BB111" s="81"/>
      <c r="BC111" s="81"/>
    </row>
    <row r="112" spans="1:55" ht="28" customHeight="1" x14ac:dyDescent="0.55000000000000004">
      <c r="A112" s="131">
        <v>106</v>
      </c>
      <c r="B112" s="141">
        <v>45063</v>
      </c>
      <c r="C112" s="77" t="s">
        <v>134</v>
      </c>
      <c r="D112" s="77" t="s">
        <v>135</v>
      </c>
      <c r="E112" s="77" t="s">
        <v>136</v>
      </c>
      <c r="F112" s="142" t="s">
        <v>210</v>
      </c>
      <c r="G112" s="145" t="s">
        <v>480</v>
      </c>
      <c r="H112" s="146" t="s">
        <v>110</v>
      </c>
      <c r="I112" s="145" t="s">
        <v>481</v>
      </c>
      <c r="J112" s="240" t="s">
        <v>482</v>
      </c>
      <c r="K112" s="240" t="s">
        <v>80</v>
      </c>
      <c r="L112" s="241" t="s">
        <v>389</v>
      </c>
      <c r="M112" s="241" t="s">
        <v>479</v>
      </c>
      <c r="N112" s="241" t="s">
        <v>214</v>
      </c>
      <c r="O112" s="241" t="s">
        <v>80</v>
      </c>
      <c r="P112" s="103"/>
      <c r="Q112" s="134"/>
      <c r="R112" s="182">
        <f>0</f>
        <v>0</v>
      </c>
      <c r="S112" s="76">
        <f>0</f>
        <v>0</v>
      </c>
      <c r="T112" s="76">
        <f>0</f>
        <v>0</v>
      </c>
      <c r="U112" s="90">
        <v>1</v>
      </c>
      <c r="V112" s="76"/>
      <c r="W112" s="76">
        <f>0</f>
        <v>0</v>
      </c>
      <c r="X112" s="76">
        <f>0</f>
        <v>0</v>
      </c>
      <c r="Y112" s="76">
        <f>0</f>
        <v>0</v>
      </c>
      <c r="Z112" s="76">
        <f>0</f>
        <v>0</v>
      </c>
      <c r="AA112" s="183">
        <f>0</f>
        <v>0</v>
      </c>
      <c r="AB112" s="185">
        <f>0</f>
        <v>0</v>
      </c>
      <c r="AC112" s="76">
        <f>0</f>
        <v>0</v>
      </c>
      <c r="AD112" s="76">
        <f>0</f>
        <v>0</v>
      </c>
      <c r="AE112" s="76"/>
      <c r="AF112" s="76"/>
      <c r="AG112" s="76"/>
      <c r="AH112" s="76"/>
      <c r="AI112" s="76"/>
      <c r="AJ112" s="76"/>
      <c r="AK112" s="183"/>
      <c r="AL112" s="206">
        <f t="shared" si="2"/>
        <v>1</v>
      </c>
      <c r="AM112" s="91">
        <f>0</f>
        <v>0</v>
      </c>
      <c r="AN112" s="208">
        <f t="shared" si="3"/>
        <v>1</v>
      </c>
      <c r="AO112" s="278">
        <v>45064</v>
      </c>
      <c r="AP112" s="105" t="s">
        <v>273</v>
      </c>
      <c r="AQ112" s="97" t="s">
        <v>584</v>
      </c>
      <c r="AR112" s="108" t="s">
        <v>148</v>
      </c>
      <c r="AS112" s="98"/>
      <c r="AT112" s="104"/>
      <c r="AU112" s="104"/>
      <c r="AV112" s="105"/>
      <c r="AW112" s="104"/>
      <c r="AX112" s="106"/>
      <c r="AY112" s="106"/>
      <c r="AZ112" s="107"/>
      <c r="BA112" s="81"/>
      <c r="BB112" s="81"/>
      <c r="BC112" s="81"/>
    </row>
    <row r="113" spans="1:55" ht="28" customHeight="1" x14ac:dyDescent="0.55000000000000004">
      <c r="A113" s="131">
        <v>107</v>
      </c>
      <c r="B113" s="141">
        <v>45063</v>
      </c>
      <c r="C113" s="77" t="s">
        <v>134</v>
      </c>
      <c r="D113" s="77" t="s">
        <v>135</v>
      </c>
      <c r="E113" s="77" t="s">
        <v>136</v>
      </c>
      <c r="F113" s="142" t="s">
        <v>210</v>
      </c>
      <c r="G113" s="145" t="s">
        <v>483</v>
      </c>
      <c r="H113" s="146" t="s">
        <v>110</v>
      </c>
      <c r="I113" s="145" t="s">
        <v>151</v>
      </c>
      <c r="J113" s="240" t="s">
        <v>484</v>
      </c>
      <c r="K113" s="240" t="s">
        <v>80</v>
      </c>
      <c r="L113" s="241" t="s">
        <v>153</v>
      </c>
      <c r="M113" s="241" t="s">
        <v>154</v>
      </c>
      <c r="N113" s="241" t="s">
        <v>80</v>
      </c>
      <c r="O113" s="241" t="s">
        <v>155</v>
      </c>
      <c r="P113" s="103"/>
      <c r="Q113" s="134"/>
      <c r="R113" s="182">
        <f>0</f>
        <v>0</v>
      </c>
      <c r="S113" s="76">
        <f>0</f>
        <v>0</v>
      </c>
      <c r="T113" s="76">
        <f>0</f>
        <v>0</v>
      </c>
      <c r="U113" s="90">
        <v>1</v>
      </c>
      <c r="V113" s="76"/>
      <c r="W113" s="76">
        <f>0</f>
        <v>0</v>
      </c>
      <c r="X113" s="76">
        <f>0</f>
        <v>0</v>
      </c>
      <c r="Y113" s="76">
        <f>0</f>
        <v>0</v>
      </c>
      <c r="Z113" s="76">
        <f>0</f>
        <v>0</v>
      </c>
      <c r="AA113" s="183">
        <f>0</f>
        <v>0</v>
      </c>
      <c r="AB113" s="185">
        <f>0</f>
        <v>0</v>
      </c>
      <c r="AC113" s="76">
        <f>0</f>
        <v>0</v>
      </c>
      <c r="AD113" s="76">
        <f>0</f>
        <v>0</v>
      </c>
      <c r="AE113" s="76"/>
      <c r="AF113" s="76"/>
      <c r="AG113" s="76"/>
      <c r="AH113" s="76"/>
      <c r="AI113" s="76"/>
      <c r="AJ113" s="76"/>
      <c r="AK113" s="183"/>
      <c r="AL113" s="206">
        <f t="shared" si="2"/>
        <v>1</v>
      </c>
      <c r="AM113" s="91">
        <f>0</f>
        <v>0</v>
      </c>
      <c r="AN113" s="208">
        <f t="shared" si="3"/>
        <v>1</v>
      </c>
      <c r="AO113" s="278">
        <v>45064</v>
      </c>
      <c r="AP113" s="105" t="s">
        <v>273</v>
      </c>
      <c r="AQ113" s="97" t="s">
        <v>584</v>
      </c>
      <c r="AR113" s="108" t="s">
        <v>148</v>
      </c>
      <c r="AS113" s="98"/>
      <c r="AT113" s="104"/>
      <c r="AU113" s="104"/>
      <c r="AV113" s="105"/>
      <c r="AW113" s="104"/>
      <c r="AX113" s="106"/>
      <c r="AY113" s="106"/>
      <c r="AZ113" s="107"/>
      <c r="BA113" s="81"/>
      <c r="BB113" s="81"/>
      <c r="BC113" s="81"/>
    </row>
    <row r="114" spans="1:55" ht="28" customHeight="1" x14ac:dyDescent="0.55000000000000004">
      <c r="A114" s="131">
        <v>108</v>
      </c>
      <c r="B114" s="141">
        <v>45063</v>
      </c>
      <c r="C114" s="77" t="s">
        <v>134</v>
      </c>
      <c r="D114" s="77" t="s">
        <v>135</v>
      </c>
      <c r="E114" s="77" t="s">
        <v>136</v>
      </c>
      <c r="F114" s="142" t="s">
        <v>210</v>
      </c>
      <c r="G114" s="145" t="s">
        <v>485</v>
      </c>
      <c r="H114" s="146" t="s">
        <v>110</v>
      </c>
      <c r="I114" s="145" t="s">
        <v>486</v>
      </c>
      <c r="J114" s="240" t="s">
        <v>487</v>
      </c>
      <c r="K114" s="240" t="s">
        <v>80</v>
      </c>
      <c r="L114" s="241" t="s">
        <v>153</v>
      </c>
      <c r="M114" s="241" t="s">
        <v>154</v>
      </c>
      <c r="N114" s="241" t="s">
        <v>80</v>
      </c>
      <c r="O114" s="241" t="s">
        <v>155</v>
      </c>
      <c r="P114" s="103"/>
      <c r="Q114" s="134"/>
      <c r="R114" s="182">
        <f>0</f>
        <v>0</v>
      </c>
      <c r="S114" s="76">
        <f>0</f>
        <v>0</v>
      </c>
      <c r="T114" s="76">
        <f>0</f>
        <v>0</v>
      </c>
      <c r="U114" s="90">
        <v>1</v>
      </c>
      <c r="V114" s="76"/>
      <c r="W114" s="76">
        <f>0</f>
        <v>0</v>
      </c>
      <c r="X114" s="76">
        <f>0</f>
        <v>0</v>
      </c>
      <c r="Y114" s="76">
        <f>0</f>
        <v>0</v>
      </c>
      <c r="Z114" s="76">
        <f>0</f>
        <v>0</v>
      </c>
      <c r="AA114" s="183">
        <f>0</f>
        <v>0</v>
      </c>
      <c r="AB114" s="185">
        <f>0</f>
        <v>0</v>
      </c>
      <c r="AC114" s="76">
        <f>0</f>
        <v>0</v>
      </c>
      <c r="AD114" s="76">
        <f>0</f>
        <v>0</v>
      </c>
      <c r="AE114" s="76"/>
      <c r="AF114" s="76"/>
      <c r="AG114" s="76"/>
      <c r="AH114" s="76"/>
      <c r="AI114" s="76"/>
      <c r="AJ114" s="76"/>
      <c r="AK114" s="183"/>
      <c r="AL114" s="206">
        <f t="shared" si="2"/>
        <v>1</v>
      </c>
      <c r="AM114" s="91">
        <f>0</f>
        <v>0</v>
      </c>
      <c r="AN114" s="208">
        <f t="shared" si="3"/>
        <v>1</v>
      </c>
      <c r="AO114" s="278">
        <v>45064</v>
      </c>
      <c r="AP114" s="105" t="s">
        <v>273</v>
      </c>
      <c r="AQ114" s="97" t="s">
        <v>584</v>
      </c>
      <c r="AR114" s="108" t="s">
        <v>148</v>
      </c>
      <c r="AS114" s="98"/>
      <c r="AT114" s="104"/>
      <c r="AU114" s="104"/>
      <c r="AV114" s="105"/>
      <c r="AW114" s="104"/>
      <c r="AX114" s="106"/>
      <c r="AY114" s="106"/>
      <c r="AZ114" s="107"/>
      <c r="BA114" s="81"/>
      <c r="BB114" s="81"/>
      <c r="BC114" s="81"/>
    </row>
    <row r="115" spans="1:55" ht="28" customHeight="1" x14ac:dyDescent="0.55000000000000004">
      <c r="A115" s="131">
        <v>109</v>
      </c>
      <c r="B115" s="141">
        <v>45063</v>
      </c>
      <c r="C115" s="77" t="s">
        <v>134</v>
      </c>
      <c r="D115" s="77" t="s">
        <v>135</v>
      </c>
      <c r="E115" s="77" t="s">
        <v>136</v>
      </c>
      <c r="F115" s="142" t="s">
        <v>210</v>
      </c>
      <c r="G115" s="145" t="s">
        <v>488</v>
      </c>
      <c r="H115" s="146" t="s">
        <v>110</v>
      </c>
      <c r="I115" s="145" t="s">
        <v>489</v>
      </c>
      <c r="J115" s="240" t="s">
        <v>490</v>
      </c>
      <c r="K115" s="240" t="s">
        <v>80</v>
      </c>
      <c r="L115" s="241" t="s">
        <v>153</v>
      </c>
      <c r="M115" s="241" t="s">
        <v>154</v>
      </c>
      <c r="N115" s="241" t="s">
        <v>80</v>
      </c>
      <c r="O115" s="241" t="s">
        <v>155</v>
      </c>
      <c r="P115" s="103"/>
      <c r="Q115" s="134"/>
      <c r="R115" s="182">
        <f>0</f>
        <v>0</v>
      </c>
      <c r="S115" s="76">
        <f>0</f>
        <v>0</v>
      </c>
      <c r="T115" s="76">
        <f>0</f>
        <v>0</v>
      </c>
      <c r="U115" s="90">
        <v>1</v>
      </c>
      <c r="V115" s="76"/>
      <c r="W115" s="76">
        <f>0</f>
        <v>0</v>
      </c>
      <c r="X115" s="76">
        <f>0</f>
        <v>0</v>
      </c>
      <c r="Y115" s="76">
        <f>0</f>
        <v>0</v>
      </c>
      <c r="Z115" s="76">
        <f>0</f>
        <v>0</v>
      </c>
      <c r="AA115" s="183">
        <f>0</f>
        <v>0</v>
      </c>
      <c r="AB115" s="185">
        <f>0</f>
        <v>0</v>
      </c>
      <c r="AC115" s="76">
        <f>0</f>
        <v>0</v>
      </c>
      <c r="AD115" s="76">
        <f>0</f>
        <v>0</v>
      </c>
      <c r="AE115" s="76"/>
      <c r="AF115" s="76"/>
      <c r="AG115" s="76"/>
      <c r="AH115" s="76"/>
      <c r="AI115" s="76"/>
      <c r="AJ115" s="76"/>
      <c r="AK115" s="183"/>
      <c r="AL115" s="206">
        <f t="shared" si="2"/>
        <v>1</v>
      </c>
      <c r="AM115" s="91">
        <f>0</f>
        <v>0</v>
      </c>
      <c r="AN115" s="208">
        <f t="shared" si="3"/>
        <v>1</v>
      </c>
      <c r="AO115" s="278">
        <v>45064</v>
      </c>
      <c r="AP115" s="105" t="s">
        <v>273</v>
      </c>
      <c r="AQ115" s="97" t="s">
        <v>584</v>
      </c>
      <c r="AR115" s="108" t="s">
        <v>148</v>
      </c>
      <c r="AS115" s="98"/>
      <c r="AT115" s="104"/>
      <c r="AU115" s="104"/>
      <c r="AV115" s="105"/>
      <c r="AW115" s="104"/>
      <c r="AX115" s="106"/>
      <c r="AY115" s="106"/>
      <c r="AZ115" s="107"/>
      <c r="BA115" s="81"/>
      <c r="BB115" s="81"/>
      <c r="BC115" s="81"/>
    </row>
    <row r="116" spans="1:55" ht="28" customHeight="1" x14ac:dyDescent="0.55000000000000004">
      <c r="A116" s="131">
        <v>110</v>
      </c>
      <c r="B116" s="141">
        <v>45063</v>
      </c>
      <c r="C116" s="77" t="s">
        <v>134</v>
      </c>
      <c r="D116" s="77" t="s">
        <v>135</v>
      </c>
      <c r="E116" s="77" t="s">
        <v>136</v>
      </c>
      <c r="F116" s="142" t="s">
        <v>210</v>
      </c>
      <c r="G116" s="145" t="s">
        <v>491</v>
      </c>
      <c r="H116" s="146" t="s">
        <v>110</v>
      </c>
      <c r="I116" s="145" t="s">
        <v>492</v>
      </c>
      <c r="J116" s="240" t="s">
        <v>493</v>
      </c>
      <c r="K116" s="240" t="s">
        <v>80</v>
      </c>
      <c r="L116" s="241" t="s">
        <v>153</v>
      </c>
      <c r="M116" s="241" t="s">
        <v>154</v>
      </c>
      <c r="N116" s="241" t="s">
        <v>80</v>
      </c>
      <c r="O116" s="241" t="s">
        <v>155</v>
      </c>
      <c r="P116" s="103"/>
      <c r="Q116" s="134"/>
      <c r="R116" s="182">
        <f>0</f>
        <v>0</v>
      </c>
      <c r="S116" s="76">
        <f>0</f>
        <v>0</v>
      </c>
      <c r="T116" s="76">
        <f>0</f>
        <v>0</v>
      </c>
      <c r="U116" s="90">
        <v>1</v>
      </c>
      <c r="V116" s="76"/>
      <c r="W116" s="76">
        <f>0</f>
        <v>0</v>
      </c>
      <c r="X116" s="76">
        <f>0</f>
        <v>0</v>
      </c>
      <c r="Y116" s="76">
        <f>0</f>
        <v>0</v>
      </c>
      <c r="Z116" s="76">
        <f>0</f>
        <v>0</v>
      </c>
      <c r="AA116" s="183">
        <f>0</f>
        <v>0</v>
      </c>
      <c r="AB116" s="185">
        <f>0</f>
        <v>0</v>
      </c>
      <c r="AC116" s="76">
        <f>0</f>
        <v>0</v>
      </c>
      <c r="AD116" s="76">
        <f>0</f>
        <v>0</v>
      </c>
      <c r="AE116" s="76"/>
      <c r="AF116" s="76"/>
      <c r="AG116" s="76"/>
      <c r="AH116" s="76"/>
      <c r="AI116" s="76"/>
      <c r="AJ116" s="76"/>
      <c r="AK116" s="183"/>
      <c r="AL116" s="206">
        <f t="shared" si="2"/>
        <v>1</v>
      </c>
      <c r="AM116" s="91">
        <f>0</f>
        <v>0</v>
      </c>
      <c r="AN116" s="208">
        <f t="shared" si="3"/>
        <v>1</v>
      </c>
      <c r="AO116" s="278">
        <v>45064</v>
      </c>
      <c r="AP116" s="105" t="s">
        <v>273</v>
      </c>
      <c r="AQ116" s="97" t="s">
        <v>584</v>
      </c>
      <c r="AR116" s="108" t="s">
        <v>148</v>
      </c>
      <c r="AS116" s="98"/>
      <c r="AT116" s="104"/>
      <c r="AU116" s="104"/>
      <c r="AV116" s="105"/>
      <c r="AW116" s="104"/>
      <c r="AX116" s="106"/>
      <c r="AY116" s="106"/>
      <c r="AZ116" s="107"/>
      <c r="BA116" s="81"/>
      <c r="BB116" s="81"/>
      <c r="BC116" s="81"/>
    </row>
    <row r="117" spans="1:55" ht="28" customHeight="1" x14ac:dyDescent="0.55000000000000004">
      <c r="A117" s="131">
        <v>111</v>
      </c>
      <c r="B117" s="141">
        <v>45063</v>
      </c>
      <c r="C117" s="77" t="s">
        <v>134</v>
      </c>
      <c r="D117" s="77" t="s">
        <v>135</v>
      </c>
      <c r="E117" s="77" t="s">
        <v>136</v>
      </c>
      <c r="F117" s="142" t="s">
        <v>210</v>
      </c>
      <c r="G117" s="145" t="s">
        <v>494</v>
      </c>
      <c r="H117" s="146" t="s">
        <v>110</v>
      </c>
      <c r="I117" s="145" t="s">
        <v>495</v>
      </c>
      <c r="J117" s="240" t="s">
        <v>496</v>
      </c>
      <c r="K117" s="240" t="s">
        <v>80</v>
      </c>
      <c r="L117" s="241" t="s">
        <v>153</v>
      </c>
      <c r="M117" s="241" t="s">
        <v>154</v>
      </c>
      <c r="N117" s="241" t="s">
        <v>80</v>
      </c>
      <c r="O117" s="241" t="s">
        <v>155</v>
      </c>
      <c r="P117" s="103"/>
      <c r="Q117" s="134"/>
      <c r="R117" s="182">
        <f>0</f>
        <v>0</v>
      </c>
      <c r="S117" s="76">
        <f>0</f>
        <v>0</v>
      </c>
      <c r="T117" s="76">
        <f>0</f>
        <v>0</v>
      </c>
      <c r="U117" s="90">
        <v>2</v>
      </c>
      <c r="V117" s="76"/>
      <c r="W117" s="76">
        <f>0</f>
        <v>0</v>
      </c>
      <c r="X117" s="76">
        <f>0</f>
        <v>0</v>
      </c>
      <c r="Y117" s="76">
        <f>0</f>
        <v>0</v>
      </c>
      <c r="Z117" s="76">
        <f>0</f>
        <v>0</v>
      </c>
      <c r="AA117" s="183">
        <f>0</f>
        <v>0</v>
      </c>
      <c r="AB117" s="185">
        <f>0</f>
        <v>0</v>
      </c>
      <c r="AC117" s="76">
        <f>0</f>
        <v>0</v>
      </c>
      <c r="AD117" s="76">
        <f>0</f>
        <v>0</v>
      </c>
      <c r="AE117" s="76"/>
      <c r="AF117" s="76"/>
      <c r="AG117" s="76"/>
      <c r="AH117" s="76"/>
      <c r="AI117" s="76"/>
      <c r="AJ117" s="76"/>
      <c r="AK117" s="183"/>
      <c r="AL117" s="206">
        <f t="shared" si="2"/>
        <v>2</v>
      </c>
      <c r="AM117" s="91">
        <f>0</f>
        <v>0</v>
      </c>
      <c r="AN117" s="208">
        <f t="shared" si="3"/>
        <v>2</v>
      </c>
      <c r="AO117" s="278">
        <v>45064</v>
      </c>
      <c r="AP117" s="105" t="s">
        <v>273</v>
      </c>
      <c r="AQ117" s="97" t="s">
        <v>584</v>
      </c>
      <c r="AR117" s="108" t="s">
        <v>148</v>
      </c>
      <c r="AS117" s="98"/>
      <c r="AT117" s="104"/>
      <c r="AU117" s="104"/>
      <c r="AV117" s="105"/>
      <c r="AW117" s="104"/>
      <c r="AX117" s="106"/>
      <c r="AY117" s="106"/>
      <c r="AZ117" s="107"/>
      <c r="BA117" s="81"/>
      <c r="BB117" s="81"/>
      <c r="BC117" s="81"/>
    </row>
    <row r="118" spans="1:55" ht="28" customHeight="1" x14ac:dyDescent="0.55000000000000004">
      <c r="A118" s="131">
        <v>112</v>
      </c>
      <c r="B118" s="141">
        <v>45063</v>
      </c>
      <c r="C118" s="77" t="s">
        <v>134</v>
      </c>
      <c r="D118" s="77" t="s">
        <v>135</v>
      </c>
      <c r="E118" s="77" t="s">
        <v>136</v>
      </c>
      <c r="F118" s="142" t="s">
        <v>210</v>
      </c>
      <c r="G118" s="145" t="s">
        <v>497</v>
      </c>
      <c r="H118" s="146" t="s">
        <v>110</v>
      </c>
      <c r="I118" s="145" t="s">
        <v>577</v>
      </c>
      <c r="J118" s="240" t="s">
        <v>498</v>
      </c>
      <c r="K118" s="240"/>
      <c r="L118" s="241" t="s">
        <v>469</v>
      </c>
      <c r="M118" s="241" t="s">
        <v>154</v>
      </c>
      <c r="N118" s="241" t="s">
        <v>578</v>
      </c>
      <c r="O118" s="241" t="s">
        <v>149</v>
      </c>
      <c r="P118" s="103"/>
      <c r="Q118" s="134"/>
      <c r="R118" s="182">
        <f>0</f>
        <v>0</v>
      </c>
      <c r="S118" s="76">
        <f>0</f>
        <v>0</v>
      </c>
      <c r="T118" s="76">
        <f>0</f>
        <v>0</v>
      </c>
      <c r="U118" s="90">
        <v>1</v>
      </c>
      <c r="V118" s="76"/>
      <c r="W118" s="76">
        <f>0</f>
        <v>0</v>
      </c>
      <c r="X118" s="76">
        <f>0</f>
        <v>0</v>
      </c>
      <c r="Y118" s="76">
        <f>0</f>
        <v>0</v>
      </c>
      <c r="Z118" s="76">
        <f>0</f>
        <v>0</v>
      </c>
      <c r="AA118" s="183">
        <f>0</f>
        <v>0</v>
      </c>
      <c r="AB118" s="185">
        <f>0</f>
        <v>0</v>
      </c>
      <c r="AC118" s="76">
        <f>0</f>
        <v>0</v>
      </c>
      <c r="AD118" s="76">
        <f>0</f>
        <v>0</v>
      </c>
      <c r="AE118" s="76"/>
      <c r="AF118" s="76"/>
      <c r="AG118" s="76"/>
      <c r="AH118" s="76"/>
      <c r="AI118" s="76"/>
      <c r="AJ118" s="76"/>
      <c r="AK118" s="183"/>
      <c r="AL118" s="206">
        <f t="shared" si="2"/>
        <v>1</v>
      </c>
      <c r="AM118" s="91">
        <f>0</f>
        <v>0</v>
      </c>
      <c r="AN118" s="208">
        <f t="shared" si="3"/>
        <v>1</v>
      </c>
      <c r="AO118" s="275">
        <v>45096</v>
      </c>
      <c r="AP118" s="151" t="s">
        <v>273</v>
      </c>
      <c r="AQ118" s="97" t="s">
        <v>1297</v>
      </c>
      <c r="AR118" s="108" t="s">
        <v>148</v>
      </c>
      <c r="AS118" s="98"/>
      <c r="AT118" s="104"/>
      <c r="AU118" s="104"/>
      <c r="AV118" s="105"/>
      <c r="AW118" s="104"/>
      <c r="AX118" s="106"/>
      <c r="AY118" s="106"/>
      <c r="AZ118" s="107"/>
      <c r="BA118" s="81"/>
      <c r="BB118" s="81"/>
      <c r="BC118" s="81"/>
    </row>
    <row r="119" spans="1:55" ht="28" customHeight="1" x14ac:dyDescent="0.55000000000000004">
      <c r="A119" s="131">
        <v>113</v>
      </c>
      <c r="B119" s="141">
        <v>45063</v>
      </c>
      <c r="C119" s="77" t="s">
        <v>134</v>
      </c>
      <c r="D119" s="77" t="s">
        <v>135</v>
      </c>
      <c r="E119" s="77" t="s">
        <v>136</v>
      </c>
      <c r="F119" s="142" t="s">
        <v>210</v>
      </c>
      <c r="G119" s="145" t="s">
        <v>499</v>
      </c>
      <c r="H119" s="146" t="s">
        <v>287</v>
      </c>
      <c r="I119" s="145" t="s">
        <v>500</v>
      </c>
      <c r="J119" s="240" t="s">
        <v>1223</v>
      </c>
      <c r="K119" s="240" t="s">
        <v>80</v>
      </c>
      <c r="L119" s="241" t="s">
        <v>469</v>
      </c>
      <c r="M119" s="241" t="s">
        <v>154</v>
      </c>
      <c r="N119" s="241" t="s">
        <v>578</v>
      </c>
      <c r="O119" s="241" t="s">
        <v>149</v>
      </c>
      <c r="P119" s="103"/>
      <c r="Q119" s="134"/>
      <c r="R119" s="182">
        <f>0</f>
        <v>0</v>
      </c>
      <c r="S119" s="76">
        <f>0</f>
        <v>0</v>
      </c>
      <c r="T119" s="76">
        <f>0</f>
        <v>0</v>
      </c>
      <c r="U119" s="90">
        <v>1</v>
      </c>
      <c r="V119" s="76"/>
      <c r="W119" s="76">
        <f>0</f>
        <v>0</v>
      </c>
      <c r="X119" s="76">
        <f>0</f>
        <v>0</v>
      </c>
      <c r="Y119" s="76">
        <f>0</f>
        <v>0</v>
      </c>
      <c r="Z119" s="76">
        <f>0</f>
        <v>0</v>
      </c>
      <c r="AA119" s="183">
        <f>0</f>
        <v>0</v>
      </c>
      <c r="AB119" s="185">
        <f>0</f>
        <v>0</v>
      </c>
      <c r="AC119" s="76">
        <f>0</f>
        <v>0</v>
      </c>
      <c r="AD119" s="76">
        <f>0</f>
        <v>0</v>
      </c>
      <c r="AE119" s="76"/>
      <c r="AF119" s="76"/>
      <c r="AG119" s="76"/>
      <c r="AH119" s="76"/>
      <c r="AI119" s="76"/>
      <c r="AJ119" s="76"/>
      <c r="AK119" s="183"/>
      <c r="AL119" s="206">
        <f t="shared" si="2"/>
        <v>1</v>
      </c>
      <c r="AM119" s="91">
        <f>0</f>
        <v>0</v>
      </c>
      <c r="AN119" s="208">
        <f t="shared" si="3"/>
        <v>1</v>
      </c>
      <c r="AO119" s="275">
        <v>45096</v>
      </c>
      <c r="AP119" s="151" t="s">
        <v>273</v>
      </c>
      <c r="AQ119" s="97" t="s">
        <v>1296</v>
      </c>
      <c r="AR119" s="108" t="s">
        <v>1295</v>
      </c>
      <c r="AS119" s="98"/>
      <c r="AT119" s="99"/>
      <c r="AU119" s="99"/>
      <c r="AV119" s="105"/>
      <c r="AW119" s="99"/>
      <c r="AX119" s="100"/>
      <c r="AY119" s="100"/>
      <c r="AZ119" s="107"/>
      <c r="BA119" s="81"/>
      <c r="BB119" s="81"/>
      <c r="BC119" s="81"/>
    </row>
    <row r="120" spans="1:55" ht="28" customHeight="1" x14ac:dyDescent="0.55000000000000004">
      <c r="A120" s="131">
        <v>114</v>
      </c>
      <c r="B120" s="141">
        <v>45063</v>
      </c>
      <c r="C120" s="77" t="s">
        <v>134</v>
      </c>
      <c r="D120" s="77" t="s">
        <v>135</v>
      </c>
      <c r="E120" s="77" t="s">
        <v>136</v>
      </c>
      <c r="F120" s="142" t="s">
        <v>210</v>
      </c>
      <c r="G120" s="145" t="s">
        <v>501</v>
      </c>
      <c r="H120" s="146" t="s">
        <v>110</v>
      </c>
      <c r="I120" s="145" t="s">
        <v>579</v>
      </c>
      <c r="J120" s="240" t="s">
        <v>502</v>
      </c>
      <c r="K120" s="240" t="s">
        <v>80</v>
      </c>
      <c r="L120" s="241" t="s">
        <v>469</v>
      </c>
      <c r="M120" s="241" t="s">
        <v>154</v>
      </c>
      <c r="N120" s="241" t="s">
        <v>578</v>
      </c>
      <c r="O120" s="241" t="s">
        <v>149</v>
      </c>
      <c r="P120" s="103"/>
      <c r="Q120" s="134"/>
      <c r="R120" s="182">
        <f>0</f>
        <v>0</v>
      </c>
      <c r="S120" s="76">
        <f>0</f>
        <v>0</v>
      </c>
      <c r="T120" s="76">
        <f>0</f>
        <v>0</v>
      </c>
      <c r="U120" s="90">
        <v>1</v>
      </c>
      <c r="V120" s="76"/>
      <c r="W120" s="76">
        <f>0</f>
        <v>0</v>
      </c>
      <c r="X120" s="76">
        <f>0</f>
        <v>0</v>
      </c>
      <c r="Y120" s="76">
        <f>0</f>
        <v>0</v>
      </c>
      <c r="Z120" s="76">
        <f>0</f>
        <v>0</v>
      </c>
      <c r="AA120" s="183">
        <f>0</f>
        <v>0</v>
      </c>
      <c r="AB120" s="185">
        <f>0</f>
        <v>0</v>
      </c>
      <c r="AC120" s="76">
        <f>0</f>
        <v>0</v>
      </c>
      <c r="AD120" s="76">
        <f>0</f>
        <v>0</v>
      </c>
      <c r="AE120" s="76"/>
      <c r="AF120" s="76"/>
      <c r="AG120" s="76"/>
      <c r="AH120" s="76"/>
      <c r="AI120" s="76"/>
      <c r="AJ120" s="76"/>
      <c r="AK120" s="183"/>
      <c r="AL120" s="206">
        <f t="shared" si="2"/>
        <v>1</v>
      </c>
      <c r="AM120" s="91">
        <f>0</f>
        <v>0</v>
      </c>
      <c r="AN120" s="208">
        <f t="shared" si="3"/>
        <v>1</v>
      </c>
      <c r="AO120" s="275">
        <v>45096</v>
      </c>
      <c r="AP120" s="151" t="s">
        <v>273</v>
      </c>
      <c r="AQ120" s="97" t="s">
        <v>1297</v>
      </c>
      <c r="AR120" s="108" t="s">
        <v>148</v>
      </c>
      <c r="AS120" s="98"/>
      <c r="AT120" s="99"/>
      <c r="AU120" s="99"/>
      <c r="AV120" s="105"/>
      <c r="AW120" s="99"/>
      <c r="AX120" s="100"/>
      <c r="AY120" s="100"/>
      <c r="AZ120" s="107"/>
      <c r="BA120" s="81"/>
      <c r="BB120" s="81"/>
      <c r="BC120" s="81"/>
    </row>
    <row r="121" spans="1:55" ht="28" customHeight="1" x14ac:dyDescent="0.55000000000000004">
      <c r="A121" s="131">
        <v>115</v>
      </c>
      <c r="B121" s="141">
        <v>45063</v>
      </c>
      <c r="C121" s="77" t="s">
        <v>134</v>
      </c>
      <c r="D121" s="77" t="s">
        <v>135</v>
      </c>
      <c r="E121" s="77" t="s">
        <v>136</v>
      </c>
      <c r="F121" s="142" t="s">
        <v>210</v>
      </c>
      <c r="G121" s="145" t="s">
        <v>503</v>
      </c>
      <c r="H121" s="146" t="s">
        <v>110</v>
      </c>
      <c r="I121" s="145" t="s">
        <v>504</v>
      </c>
      <c r="J121" s="240" t="s">
        <v>505</v>
      </c>
      <c r="K121" s="240" t="s">
        <v>80</v>
      </c>
      <c r="L121" s="241" t="s">
        <v>469</v>
      </c>
      <c r="M121" s="241" t="s">
        <v>154</v>
      </c>
      <c r="N121" s="241" t="s">
        <v>578</v>
      </c>
      <c r="O121" s="241" t="s">
        <v>149</v>
      </c>
      <c r="P121" s="103"/>
      <c r="Q121" s="134"/>
      <c r="R121" s="182">
        <f>0</f>
        <v>0</v>
      </c>
      <c r="S121" s="76">
        <f>0</f>
        <v>0</v>
      </c>
      <c r="T121" s="76">
        <f>0</f>
        <v>0</v>
      </c>
      <c r="U121" s="90">
        <v>1</v>
      </c>
      <c r="V121" s="76"/>
      <c r="W121" s="76">
        <f>0</f>
        <v>0</v>
      </c>
      <c r="X121" s="76">
        <f>0</f>
        <v>0</v>
      </c>
      <c r="Y121" s="76">
        <f>0</f>
        <v>0</v>
      </c>
      <c r="Z121" s="76">
        <f>0</f>
        <v>0</v>
      </c>
      <c r="AA121" s="183">
        <f>0</f>
        <v>0</v>
      </c>
      <c r="AB121" s="185">
        <f>0</f>
        <v>0</v>
      </c>
      <c r="AC121" s="76">
        <f>0</f>
        <v>0</v>
      </c>
      <c r="AD121" s="76">
        <f>0</f>
        <v>0</v>
      </c>
      <c r="AE121" s="76"/>
      <c r="AF121" s="76"/>
      <c r="AG121" s="76"/>
      <c r="AH121" s="76"/>
      <c r="AI121" s="76"/>
      <c r="AJ121" s="76"/>
      <c r="AK121" s="183"/>
      <c r="AL121" s="206">
        <f t="shared" si="2"/>
        <v>1</v>
      </c>
      <c r="AM121" s="91">
        <f>0</f>
        <v>0</v>
      </c>
      <c r="AN121" s="208">
        <f t="shared" si="3"/>
        <v>1</v>
      </c>
      <c r="AO121" s="275">
        <v>45096</v>
      </c>
      <c r="AP121" s="151" t="s">
        <v>273</v>
      </c>
      <c r="AQ121" s="97" t="s">
        <v>1296</v>
      </c>
      <c r="AR121" s="108" t="s">
        <v>1295</v>
      </c>
      <c r="AS121" s="98"/>
      <c r="AT121" s="99"/>
      <c r="AU121" s="99"/>
      <c r="AV121" s="105"/>
      <c r="AW121" s="99"/>
      <c r="AX121" s="100"/>
      <c r="AY121" s="100"/>
      <c r="AZ121" s="107"/>
      <c r="BA121" s="81"/>
      <c r="BB121" s="81"/>
      <c r="BC121" s="81"/>
    </row>
    <row r="122" spans="1:55" ht="28" customHeight="1" x14ac:dyDescent="0.55000000000000004">
      <c r="A122" s="131">
        <v>116</v>
      </c>
      <c r="B122" s="141">
        <v>45063</v>
      </c>
      <c r="C122" s="77" t="s">
        <v>134</v>
      </c>
      <c r="D122" s="77" t="s">
        <v>135</v>
      </c>
      <c r="E122" s="77" t="s">
        <v>136</v>
      </c>
      <c r="F122" s="142" t="s">
        <v>210</v>
      </c>
      <c r="G122" s="145" t="s">
        <v>506</v>
      </c>
      <c r="H122" s="146" t="s">
        <v>110</v>
      </c>
      <c r="I122" s="145" t="s">
        <v>492</v>
      </c>
      <c r="J122" s="240" t="s">
        <v>507</v>
      </c>
      <c r="K122" s="240"/>
      <c r="L122" s="241" t="s">
        <v>168</v>
      </c>
      <c r="M122" s="241" t="s">
        <v>154</v>
      </c>
      <c r="N122" s="241"/>
      <c r="O122" s="241" t="s">
        <v>149</v>
      </c>
      <c r="P122" s="103"/>
      <c r="Q122" s="134"/>
      <c r="R122" s="182">
        <f>0</f>
        <v>0</v>
      </c>
      <c r="S122" s="76">
        <f>0</f>
        <v>0</v>
      </c>
      <c r="T122" s="76">
        <f>0</f>
        <v>0</v>
      </c>
      <c r="U122" s="90">
        <v>1</v>
      </c>
      <c r="V122" s="76"/>
      <c r="W122" s="76">
        <f>0</f>
        <v>0</v>
      </c>
      <c r="X122" s="76">
        <f>0</f>
        <v>0</v>
      </c>
      <c r="Y122" s="76">
        <f>0</f>
        <v>0</v>
      </c>
      <c r="Z122" s="76">
        <f>0</f>
        <v>0</v>
      </c>
      <c r="AA122" s="183">
        <f>0</f>
        <v>0</v>
      </c>
      <c r="AB122" s="185">
        <f>0</f>
        <v>0</v>
      </c>
      <c r="AC122" s="76">
        <f>0</f>
        <v>0</v>
      </c>
      <c r="AD122" s="76">
        <f>0</f>
        <v>0</v>
      </c>
      <c r="AE122" s="76"/>
      <c r="AF122" s="76"/>
      <c r="AG122" s="76"/>
      <c r="AH122" s="76"/>
      <c r="AI122" s="76"/>
      <c r="AJ122" s="76"/>
      <c r="AK122" s="183"/>
      <c r="AL122" s="206">
        <f t="shared" si="2"/>
        <v>1</v>
      </c>
      <c r="AM122" s="91">
        <f>0</f>
        <v>0</v>
      </c>
      <c r="AN122" s="208">
        <f t="shared" si="3"/>
        <v>1</v>
      </c>
      <c r="AO122" s="278">
        <v>45064</v>
      </c>
      <c r="AP122" s="105" t="s">
        <v>273</v>
      </c>
      <c r="AQ122" s="97" t="s">
        <v>584</v>
      </c>
      <c r="AR122" s="108" t="s">
        <v>148</v>
      </c>
      <c r="AS122" s="98"/>
      <c r="AT122" s="99"/>
      <c r="AU122" s="99"/>
      <c r="AV122" s="105"/>
      <c r="AW122" s="99"/>
      <c r="AX122" s="100"/>
      <c r="AY122" s="100"/>
      <c r="AZ122" s="107"/>
      <c r="BA122" s="81"/>
      <c r="BB122" s="81"/>
      <c r="BC122" s="81"/>
    </row>
    <row r="123" spans="1:55" ht="28" customHeight="1" x14ac:dyDescent="0.55000000000000004">
      <c r="A123" s="131">
        <v>117</v>
      </c>
      <c r="B123" s="141">
        <v>45063</v>
      </c>
      <c r="C123" s="77" t="s">
        <v>134</v>
      </c>
      <c r="D123" s="77" t="s">
        <v>135</v>
      </c>
      <c r="E123" s="77" t="s">
        <v>136</v>
      </c>
      <c r="F123" s="142" t="s">
        <v>210</v>
      </c>
      <c r="G123" s="145" t="s">
        <v>508</v>
      </c>
      <c r="H123" s="146" t="s">
        <v>110</v>
      </c>
      <c r="I123" s="145" t="s">
        <v>580</v>
      </c>
      <c r="J123" s="240" t="s">
        <v>509</v>
      </c>
      <c r="K123" s="240"/>
      <c r="L123" s="241" t="s">
        <v>510</v>
      </c>
      <c r="M123" s="241" t="s">
        <v>154</v>
      </c>
      <c r="N123" s="241" t="s">
        <v>212</v>
      </c>
      <c r="O123" s="241" t="s">
        <v>149</v>
      </c>
      <c r="P123" s="103"/>
      <c r="Q123" s="134"/>
      <c r="R123" s="182">
        <f>0</f>
        <v>0</v>
      </c>
      <c r="S123" s="76">
        <f>0</f>
        <v>0</v>
      </c>
      <c r="T123" s="76">
        <f>0</f>
        <v>0</v>
      </c>
      <c r="U123" s="90">
        <v>1</v>
      </c>
      <c r="V123" s="76"/>
      <c r="W123" s="76">
        <f>0</f>
        <v>0</v>
      </c>
      <c r="X123" s="76">
        <f>0</f>
        <v>0</v>
      </c>
      <c r="Y123" s="76">
        <f>0</f>
        <v>0</v>
      </c>
      <c r="Z123" s="76">
        <f>0</f>
        <v>0</v>
      </c>
      <c r="AA123" s="183">
        <f>0</f>
        <v>0</v>
      </c>
      <c r="AB123" s="185">
        <f>0</f>
        <v>0</v>
      </c>
      <c r="AC123" s="76">
        <f>0</f>
        <v>0</v>
      </c>
      <c r="AD123" s="76">
        <f>0</f>
        <v>0</v>
      </c>
      <c r="AE123" s="76"/>
      <c r="AF123" s="76"/>
      <c r="AG123" s="76"/>
      <c r="AH123" s="76"/>
      <c r="AI123" s="76"/>
      <c r="AJ123" s="76"/>
      <c r="AK123" s="183"/>
      <c r="AL123" s="206">
        <f t="shared" si="2"/>
        <v>1</v>
      </c>
      <c r="AM123" s="91">
        <f>0</f>
        <v>0</v>
      </c>
      <c r="AN123" s="208">
        <f t="shared" si="3"/>
        <v>1</v>
      </c>
      <c r="AO123" s="275">
        <v>45096</v>
      </c>
      <c r="AP123" s="151" t="s">
        <v>273</v>
      </c>
      <c r="AQ123" s="97" t="s">
        <v>1296</v>
      </c>
      <c r="AR123" s="108" t="s">
        <v>1295</v>
      </c>
      <c r="AS123" s="98"/>
      <c r="AT123" s="99"/>
      <c r="AU123" s="99"/>
      <c r="AV123" s="105"/>
      <c r="AW123" s="99"/>
      <c r="AX123" s="100"/>
      <c r="AY123" s="100"/>
      <c r="AZ123" s="107"/>
      <c r="BA123" s="81"/>
      <c r="BB123" s="81"/>
      <c r="BC123" s="81"/>
    </row>
    <row r="124" spans="1:55" ht="28" customHeight="1" x14ac:dyDescent="0.55000000000000004">
      <c r="A124" s="131">
        <v>118</v>
      </c>
      <c r="B124" s="141">
        <v>45063</v>
      </c>
      <c r="C124" s="77" t="s">
        <v>134</v>
      </c>
      <c r="D124" s="77" t="s">
        <v>135</v>
      </c>
      <c r="E124" s="77" t="s">
        <v>136</v>
      </c>
      <c r="F124" s="142" t="s">
        <v>210</v>
      </c>
      <c r="G124" s="145" t="s">
        <v>511</v>
      </c>
      <c r="H124" s="146" t="s">
        <v>110</v>
      </c>
      <c r="I124" s="145" t="s">
        <v>581</v>
      </c>
      <c r="J124" s="240" t="s">
        <v>512</v>
      </c>
      <c r="K124" s="240" t="s">
        <v>80</v>
      </c>
      <c r="L124" s="241" t="s">
        <v>510</v>
      </c>
      <c r="M124" s="241" t="s">
        <v>154</v>
      </c>
      <c r="N124" s="241" t="s">
        <v>212</v>
      </c>
      <c r="O124" s="241" t="s">
        <v>149</v>
      </c>
      <c r="P124" s="103"/>
      <c r="Q124" s="134"/>
      <c r="R124" s="182">
        <f>0</f>
        <v>0</v>
      </c>
      <c r="S124" s="76">
        <f>0</f>
        <v>0</v>
      </c>
      <c r="T124" s="76">
        <f>0</f>
        <v>0</v>
      </c>
      <c r="U124" s="90">
        <v>1</v>
      </c>
      <c r="V124" s="76"/>
      <c r="W124" s="76">
        <f>0</f>
        <v>0</v>
      </c>
      <c r="X124" s="76">
        <f>0</f>
        <v>0</v>
      </c>
      <c r="Y124" s="76">
        <f>0</f>
        <v>0</v>
      </c>
      <c r="Z124" s="76">
        <f>0</f>
        <v>0</v>
      </c>
      <c r="AA124" s="183">
        <f>0</f>
        <v>0</v>
      </c>
      <c r="AB124" s="185">
        <f>0</f>
        <v>0</v>
      </c>
      <c r="AC124" s="76">
        <f>0</f>
        <v>0</v>
      </c>
      <c r="AD124" s="76">
        <f>0</f>
        <v>0</v>
      </c>
      <c r="AE124" s="76"/>
      <c r="AF124" s="76"/>
      <c r="AG124" s="76"/>
      <c r="AH124" s="76"/>
      <c r="AI124" s="76"/>
      <c r="AJ124" s="76"/>
      <c r="AK124" s="183"/>
      <c r="AL124" s="206">
        <f t="shared" si="2"/>
        <v>1</v>
      </c>
      <c r="AM124" s="91">
        <f>0</f>
        <v>0</v>
      </c>
      <c r="AN124" s="208">
        <f t="shared" si="3"/>
        <v>1</v>
      </c>
      <c r="AO124" s="275">
        <v>45096</v>
      </c>
      <c r="AP124" s="151" t="s">
        <v>273</v>
      </c>
      <c r="AQ124" s="97" t="s">
        <v>1296</v>
      </c>
      <c r="AR124" s="108" t="s">
        <v>1295</v>
      </c>
      <c r="AS124" s="98"/>
      <c r="AT124" s="99"/>
      <c r="AU124" s="99"/>
      <c r="AV124" s="105"/>
      <c r="AW124" s="99"/>
      <c r="AX124" s="100"/>
      <c r="AY124" s="100"/>
      <c r="AZ124" s="107"/>
      <c r="BA124" s="81"/>
      <c r="BB124" s="81"/>
      <c r="BC124" s="81"/>
    </row>
    <row r="125" spans="1:55" ht="28" customHeight="1" x14ac:dyDescent="0.55000000000000004">
      <c r="A125" s="131">
        <v>119</v>
      </c>
      <c r="B125" s="141">
        <v>45063</v>
      </c>
      <c r="C125" s="77" t="s">
        <v>134</v>
      </c>
      <c r="D125" s="77" t="s">
        <v>135</v>
      </c>
      <c r="E125" s="77" t="s">
        <v>136</v>
      </c>
      <c r="F125" s="142" t="s">
        <v>210</v>
      </c>
      <c r="G125" s="145" t="s">
        <v>513</v>
      </c>
      <c r="H125" s="146" t="s">
        <v>110</v>
      </c>
      <c r="I125" s="145" t="s">
        <v>514</v>
      </c>
      <c r="J125" s="240" t="s">
        <v>515</v>
      </c>
      <c r="K125" s="240" t="s">
        <v>80</v>
      </c>
      <c r="L125" s="241" t="s">
        <v>510</v>
      </c>
      <c r="M125" s="241" t="s">
        <v>154</v>
      </c>
      <c r="N125" s="241" t="s">
        <v>212</v>
      </c>
      <c r="O125" s="241" t="s">
        <v>149</v>
      </c>
      <c r="P125" s="103"/>
      <c r="Q125" s="134"/>
      <c r="R125" s="182">
        <f>0</f>
        <v>0</v>
      </c>
      <c r="S125" s="76">
        <f>0</f>
        <v>0</v>
      </c>
      <c r="T125" s="76">
        <f>0</f>
        <v>0</v>
      </c>
      <c r="U125" s="90">
        <v>1</v>
      </c>
      <c r="V125" s="76"/>
      <c r="W125" s="76">
        <f>0</f>
        <v>0</v>
      </c>
      <c r="X125" s="76">
        <f>0</f>
        <v>0</v>
      </c>
      <c r="Y125" s="76">
        <f>0</f>
        <v>0</v>
      </c>
      <c r="Z125" s="76">
        <f>0</f>
        <v>0</v>
      </c>
      <c r="AA125" s="183">
        <f>0</f>
        <v>0</v>
      </c>
      <c r="AB125" s="185">
        <f>0</f>
        <v>0</v>
      </c>
      <c r="AC125" s="76">
        <f>0</f>
        <v>0</v>
      </c>
      <c r="AD125" s="76">
        <f>0</f>
        <v>0</v>
      </c>
      <c r="AE125" s="76"/>
      <c r="AF125" s="76"/>
      <c r="AG125" s="76"/>
      <c r="AH125" s="76"/>
      <c r="AI125" s="76"/>
      <c r="AJ125" s="76"/>
      <c r="AK125" s="183"/>
      <c r="AL125" s="206">
        <f t="shared" si="2"/>
        <v>1</v>
      </c>
      <c r="AM125" s="91">
        <f>0</f>
        <v>0</v>
      </c>
      <c r="AN125" s="208">
        <f t="shared" si="3"/>
        <v>1</v>
      </c>
      <c r="AO125" s="275">
        <v>45096</v>
      </c>
      <c r="AP125" s="151" t="s">
        <v>273</v>
      </c>
      <c r="AQ125" s="97" t="s">
        <v>1296</v>
      </c>
      <c r="AR125" s="108" t="s">
        <v>1295</v>
      </c>
      <c r="AS125" s="98"/>
      <c r="AT125" s="99"/>
      <c r="AU125" s="99"/>
      <c r="AV125" s="105"/>
      <c r="AW125" s="99"/>
      <c r="AX125" s="100"/>
      <c r="AY125" s="100"/>
      <c r="AZ125" s="107"/>
      <c r="BA125" s="81"/>
      <c r="BB125" s="81"/>
      <c r="BC125" s="81"/>
    </row>
    <row r="126" spans="1:55" ht="28" customHeight="1" x14ac:dyDescent="0.55000000000000004">
      <c r="A126" s="131">
        <v>120</v>
      </c>
      <c r="B126" s="141">
        <v>45063</v>
      </c>
      <c r="C126" s="77" t="s">
        <v>134</v>
      </c>
      <c r="D126" s="77" t="s">
        <v>135</v>
      </c>
      <c r="E126" s="77" t="s">
        <v>136</v>
      </c>
      <c r="F126" s="142" t="s">
        <v>210</v>
      </c>
      <c r="G126" s="145" t="s">
        <v>516</v>
      </c>
      <c r="H126" s="146" t="s">
        <v>110</v>
      </c>
      <c r="I126" s="145" t="s">
        <v>517</v>
      </c>
      <c r="J126" s="240" t="s">
        <v>518</v>
      </c>
      <c r="K126" s="240" t="s">
        <v>80</v>
      </c>
      <c r="L126" s="241" t="s">
        <v>193</v>
      </c>
      <c r="M126" s="241" t="s">
        <v>154</v>
      </c>
      <c r="N126" s="241" t="s">
        <v>212</v>
      </c>
      <c r="O126" s="241" t="s">
        <v>149</v>
      </c>
      <c r="P126" s="103"/>
      <c r="Q126" s="134"/>
      <c r="R126" s="182">
        <f>0</f>
        <v>0</v>
      </c>
      <c r="S126" s="76">
        <f>0</f>
        <v>0</v>
      </c>
      <c r="T126" s="76">
        <f>0</f>
        <v>0</v>
      </c>
      <c r="U126" s="90">
        <v>2</v>
      </c>
      <c r="V126" s="76"/>
      <c r="W126" s="76">
        <f>0</f>
        <v>0</v>
      </c>
      <c r="X126" s="76">
        <f>0</f>
        <v>0</v>
      </c>
      <c r="Y126" s="76">
        <f>0</f>
        <v>0</v>
      </c>
      <c r="Z126" s="76">
        <f>0</f>
        <v>0</v>
      </c>
      <c r="AA126" s="183">
        <f>0</f>
        <v>0</v>
      </c>
      <c r="AB126" s="185">
        <f>0</f>
        <v>0</v>
      </c>
      <c r="AC126" s="76">
        <f>0</f>
        <v>0</v>
      </c>
      <c r="AD126" s="76">
        <f>0</f>
        <v>0</v>
      </c>
      <c r="AE126" s="76"/>
      <c r="AF126" s="76"/>
      <c r="AG126" s="76"/>
      <c r="AH126" s="76"/>
      <c r="AI126" s="76"/>
      <c r="AJ126" s="76"/>
      <c r="AK126" s="183"/>
      <c r="AL126" s="206">
        <f t="shared" si="2"/>
        <v>2</v>
      </c>
      <c r="AM126" s="91">
        <f>0</f>
        <v>0</v>
      </c>
      <c r="AN126" s="208">
        <f t="shared" si="3"/>
        <v>2</v>
      </c>
      <c r="AO126" s="278">
        <v>45064</v>
      </c>
      <c r="AP126" s="105" t="s">
        <v>273</v>
      </c>
      <c r="AQ126" s="97" t="s">
        <v>584</v>
      </c>
      <c r="AR126" s="108" t="s">
        <v>148</v>
      </c>
      <c r="AS126" s="98"/>
      <c r="AT126" s="99"/>
      <c r="AU126" s="99"/>
      <c r="AV126" s="105"/>
      <c r="AW126" s="99"/>
      <c r="AX126" s="100"/>
      <c r="AY126" s="100"/>
      <c r="AZ126" s="107"/>
      <c r="BA126" s="81"/>
      <c r="BB126" s="81"/>
      <c r="BC126" s="81"/>
    </row>
    <row r="127" spans="1:55" ht="28" customHeight="1" x14ac:dyDescent="0.55000000000000004">
      <c r="A127" s="131">
        <v>121</v>
      </c>
      <c r="B127" s="141">
        <v>45063</v>
      </c>
      <c r="C127" s="77" t="s">
        <v>134</v>
      </c>
      <c r="D127" s="77" t="s">
        <v>135</v>
      </c>
      <c r="E127" s="77" t="s">
        <v>136</v>
      </c>
      <c r="F127" s="142" t="s">
        <v>210</v>
      </c>
      <c r="G127" s="145" t="s">
        <v>519</v>
      </c>
      <c r="H127" s="146" t="s">
        <v>110</v>
      </c>
      <c r="I127" s="145" t="s">
        <v>520</v>
      </c>
      <c r="J127" s="240" t="s">
        <v>521</v>
      </c>
      <c r="K127" s="240"/>
      <c r="L127" s="241" t="s">
        <v>193</v>
      </c>
      <c r="M127" s="241" t="s">
        <v>154</v>
      </c>
      <c r="N127" s="241" t="s">
        <v>214</v>
      </c>
      <c r="O127" s="241" t="s">
        <v>149</v>
      </c>
      <c r="P127" s="103"/>
      <c r="Q127" s="134"/>
      <c r="R127" s="182">
        <f>0</f>
        <v>0</v>
      </c>
      <c r="S127" s="76">
        <f>0</f>
        <v>0</v>
      </c>
      <c r="T127" s="76">
        <f>0</f>
        <v>0</v>
      </c>
      <c r="U127" s="90">
        <v>1</v>
      </c>
      <c r="V127" s="76"/>
      <c r="W127" s="76">
        <f>0</f>
        <v>0</v>
      </c>
      <c r="X127" s="76">
        <f>0</f>
        <v>0</v>
      </c>
      <c r="Y127" s="76">
        <f>0</f>
        <v>0</v>
      </c>
      <c r="Z127" s="76">
        <f>0</f>
        <v>0</v>
      </c>
      <c r="AA127" s="183">
        <f>0</f>
        <v>0</v>
      </c>
      <c r="AB127" s="185">
        <f>0</f>
        <v>0</v>
      </c>
      <c r="AC127" s="76">
        <f>0</f>
        <v>0</v>
      </c>
      <c r="AD127" s="76">
        <f>0</f>
        <v>0</v>
      </c>
      <c r="AE127" s="76"/>
      <c r="AF127" s="76"/>
      <c r="AG127" s="76"/>
      <c r="AH127" s="76"/>
      <c r="AI127" s="76"/>
      <c r="AJ127" s="76"/>
      <c r="AK127" s="183"/>
      <c r="AL127" s="206">
        <f t="shared" si="2"/>
        <v>1</v>
      </c>
      <c r="AM127" s="91">
        <f>0</f>
        <v>0</v>
      </c>
      <c r="AN127" s="208">
        <f t="shared" si="3"/>
        <v>1</v>
      </c>
      <c r="AO127" s="278">
        <v>45064</v>
      </c>
      <c r="AP127" s="105" t="s">
        <v>273</v>
      </c>
      <c r="AQ127" s="97" t="s">
        <v>584</v>
      </c>
      <c r="AR127" s="108" t="s">
        <v>148</v>
      </c>
      <c r="AS127" s="98"/>
      <c r="AT127" s="99"/>
      <c r="AU127" s="99"/>
      <c r="AV127" s="105"/>
      <c r="AW127" s="99"/>
      <c r="AX127" s="100"/>
      <c r="AY127" s="100"/>
      <c r="AZ127" s="107"/>
      <c r="BA127" s="81"/>
      <c r="BB127" s="81"/>
      <c r="BC127" s="81"/>
    </row>
    <row r="128" spans="1:55" ht="28" customHeight="1" x14ac:dyDescent="0.55000000000000004">
      <c r="A128" s="131">
        <v>122</v>
      </c>
      <c r="B128" s="141">
        <v>45063</v>
      </c>
      <c r="C128" s="77" t="s">
        <v>134</v>
      </c>
      <c r="D128" s="77" t="s">
        <v>135</v>
      </c>
      <c r="E128" s="77" t="s">
        <v>136</v>
      </c>
      <c r="F128" s="142" t="s">
        <v>210</v>
      </c>
      <c r="G128" s="145" t="s">
        <v>522</v>
      </c>
      <c r="H128" s="146" t="s">
        <v>110</v>
      </c>
      <c r="I128" s="145" t="s">
        <v>523</v>
      </c>
      <c r="J128" s="240" t="s">
        <v>524</v>
      </c>
      <c r="K128" s="240" t="s">
        <v>80</v>
      </c>
      <c r="L128" s="241" t="s">
        <v>193</v>
      </c>
      <c r="M128" s="241" t="s">
        <v>154</v>
      </c>
      <c r="N128" s="241" t="s">
        <v>214</v>
      </c>
      <c r="O128" s="241" t="s">
        <v>149</v>
      </c>
      <c r="P128" s="103"/>
      <c r="Q128" s="134"/>
      <c r="R128" s="182">
        <f>0</f>
        <v>0</v>
      </c>
      <c r="S128" s="76">
        <f>0</f>
        <v>0</v>
      </c>
      <c r="T128" s="76">
        <f>0</f>
        <v>0</v>
      </c>
      <c r="U128" s="90">
        <v>2</v>
      </c>
      <c r="V128" s="76"/>
      <c r="W128" s="76">
        <f>0</f>
        <v>0</v>
      </c>
      <c r="X128" s="76">
        <f>0</f>
        <v>0</v>
      </c>
      <c r="Y128" s="76">
        <f>0</f>
        <v>0</v>
      </c>
      <c r="Z128" s="76">
        <f>0</f>
        <v>0</v>
      </c>
      <c r="AA128" s="183">
        <f>0</f>
        <v>0</v>
      </c>
      <c r="AB128" s="185">
        <f>0</f>
        <v>0</v>
      </c>
      <c r="AC128" s="76">
        <f>0</f>
        <v>0</v>
      </c>
      <c r="AD128" s="76">
        <f>0</f>
        <v>0</v>
      </c>
      <c r="AE128" s="76"/>
      <c r="AF128" s="76"/>
      <c r="AG128" s="76"/>
      <c r="AH128" s="76"/>
      <c r="AI128" s="76"/>
      <c r="AJ128" s="76"/>
      <c r="AK128" s="183"/>
      <c r="AL128" s="206">
        <f t="shared" si="2"/>
        <v>2</v>
      </c>
      <c r="AM128" s="91">
        <f>0</f>
        <v>0</v>
      </c>
      <c r="AN128" s="208">
        <f t="shared" si="3"/>
        <v>2</v>
      </c>
      <c r="AO128" s="278">
        <v>45064</v>
      </c>
      <c r="AP128" s="105" t="s">
        <v>273</v>
      </c>
      <c r="AQ128" s="97" t="s">
        <v>584</v>
      </c>
      <c r="AR128" s="108" t="s">
        <v>148</v>
      </c>
      <c r="AS128" s="98"/>
      <c r="AT128" s="99"/>
      <c r="AU128" s="99"/>
      <c r="AV128" s="105"/>
      <c r="AW128" s="99"/>
      <c r="AX128" s="100"/>
      <c r="AY128" s="100"/>
      <c r="AZ128" s="107"/>
      <c r="BA128" s="81"/>
      <c r="BB128" s="81"/>
      <c r="BC128" s="81"/>
    </row>
    <row r="129" spans="1:55" ht="28" customHeight="1" x14ac:dyDescent="0.55000000000000004">
      <c r="A129" s="131">
        <v>123</v>
      </c>
      <c r="B129" s="141">
        <v>45063</v>
      </c>
      <c r="C129" s="77" t="s">
        <v>134</v>
      </c>
      <c r="D129" s="77" t="s">
        <v>135</v>
      </c>
      <c r="E129" s="77" t="s">
        <v>136</v>
      </c>
      <c r="F129" s="142" t="s">
        <v>210</v>
      </c>
      <c r="G129" s="145" t="s">
        <v>525</v>
      </c>
      <c r="H129" s="146" t="s">
        <v>110</v>
      </c>
      <c r="I129" s="145" t="s">
        <v>526</v>
      </c>
      <c r="J129" s="240" t="s">
        <v>527</v>
      </c>
      <c r="K129" s="240" t="s">
        <v>80</v>
      </c>
      <c r="L129" s="241" t="s">
        <v>193</v>
      </c>
      <c r="M129" s="241" t="s">
        <v>154</v>
      </c>
      <c r="N129" s="241" t="s">
        <v>214</v>
      </c>
      <c r="O129" s="241" t="s">
        <v>149</v>
      </c>
      <c r="P129" s="103"/>
      <c r="Q129" s="134"/>
      <c r="R129" s="182">
        <f>0</f>
        <v>0</v>
      </c>
      <c r="S129" s="76">
        <f>0</f>
        <v>0</v>
      </c>
      <c r="T129" s="76">
        <f>0</f>
        <v>0</v>
      </c>
      <c r="U129" s="90">
        <v>1</v>
      </c>
      <c r="V129" s="76"/>
      <c r="W129" s="76">
        <f>0</f>
        <v>0</v>
      </c>
      <c r="X129" s="76">
        <f>0</f>
        <v>0</v>
      </c>
      <c r="Y129" s="76">
        <f>0</f>
        <v>0</v>
      </c>
      <c r="Z129" s="76">
        <f>0</f>
        <v>0</v>
      </c>
      <c r="AA129" s="183">
        <f>0</f>
        <v>0</v>
      </c>
      <c r="AB129" s="185">
        <f>0</f>
        <v>0</v>
      </c>
      <c r="AC129" s="76">
        <f>0</f>
        <v>0</v>
      </c>
      <c r="AD129" s="76">
        <f>0</f>
        <v>0</v>
      </c>
      <c r="AE129" s="76"/>
      <c r="AF129" s="76"/>
      <c r="AG129" s="76"/>
      <c r="AH129" s="76"/>
      <c r="AI129" s="76"/>
      <c r="AJ129" s="76"/>
      <c r="AK129" s="183"/>
      <c r="AL129" s="206">
        <f t="shared" si="2"/>
        <v>1</v>
      </c>
      <c r="AM129" s="91">
        <f>0</f>
        <v>0</v>
      </c>
      <c r="AN129" s="208">
        <f t="shared" si="3"/>
        <v>1</v>
      </c>
      <c r="AO129" s="275">
        <v>45075</v>
      </c>
      <c r="AP129" s="151" t="s">
        <v>273</v>
      </c>
      <c r="AQ129" s="97" t="s">
        <v>901</v>
      </c>
      <c r="AR129" s="108" t="s">
        <v>669</v>
      </c>
      <c r="AS129" s="98"/>
      <c r="AT129" s="99"/>
      <c r="AU129" s="99"/>
      <c r="AV129" s="105"/>
      <c r="AW129" s="99"/>
      <c r="AX129" s="100"/>
      <c r="AY129" s="100"/>
      <c r="AZ129" s="107"/>
      <c r="BA129" s="81"/>
      <c r="BB129" s="81"/>
      <c r="BC129" s="81"/>
    </row>
    <row r="130" spans="1:55" ht="28" customHeight="1" x14ac:dyDescent="0.55000000000000004">
      <c r="A130" s="131">
        <v>124</v>
      </c>
      <c r="B130" s="141">
        <v>45063</v>
      </c>
      <c r="C130" s="77" t="s">
        <v>134</v>
      </c>
      <c r="D130" s="77" t="s">
        <v>135</v>
      </c>
      <c r="E130" s="77" t="s">
        <v>136</v>
      </c>
      <c r="F130" s="142" t="s">
        <v>210</v>
      </c>
      <c r="G130" s="145" t="s">
        <v>528</v>
      </c>
      <c r="H130" s="146" t="s">
        <v>110</v>
      </c>
      <c r="I130" s="145" t="s">
        <v>529</v>
      </c>
      <c r="J130" s="240" t="s">
        <v>530</v>
      </c>
      <c r="K130" s="240" t="s">
        <v>80</v>
      </c>
      <c r="L130" s="241" t="s">
        <v>193</v>
      </c>
      <c r="M130" s="241" t="s">
        <v>154</v>
      </c>
      <c r="N130" s="241" t="s">
        <v>578</v>
      </c>
      <c r="O130" s="241" t="s">
        <v>149</v>
      </c>
      <c r="P130" s="103"/>
      <c r="Q130" s="134"/>
      <c r="R130" s="182">
        <f>0</f>
        <v>0</v>
      </c>
      <c r="S130" s="76">
        <f>0</f>
        <v>0</v>
      </c>
      <c r="T130" s="76">
        <f>0</f>
        <v>0</v>
      </c>
      <c r="U130" s="90">
        <v>1</v>
      </c>
      <c r="V130" s="76"/>
      <c r="W130" s="76">
        <f>0</f>
        <v>0</v>
      </c>
      <c r="X130" s="76">
        <f>0</f>
        <v>0</v>
      </c>
      <c r="Y130" s="76">
        <f>0</f>
        <v>0</v>
      </c>
      <c r="Z130" s="76">
        <f>0</f>
        <v>0</v>
      </c>
      <c r="AA130" s="183">
        <f>0</f>
        <v>0</v>
      </c>
      <c r="AB130" s="185">
        <f>0</f>
        <v>0</v>
      </c>
      <c r="AC130" s="76">
        <f>0</f>
        <v>0</v>
      </c>
      <c r="AD130" s="76">
        <f>0</f>
        <v>0</v>
      </c>
      <c r="AE130" s="76"/>
      <c r="AF130" s="76"/>
      <c r="AG130" s="76"/>
      <c r="AH130" s="76"/>
      <c r="AI130" s="76"/>
      <c r="AJ130" s="76"/>
      <c r="AK130" s="183"/>
      <c r="AL130" s="206">
        <f t="shared" si="2"/>
        <v>1</v>
      </c>
      <c r="AM130" s="91">
        <f>0</f>
        <v>0</v>
      </c>
      <c r="AN130" s="208">
        <f t="shared" si="3"/>
        <v>1</v>
      </c>
      <c r="AO130" s="275">
        <v>45075</v>
      </c>
      <c r="AP130" s="151" t="s">
        <v>273</v>
      </c>
      <c r="AQ130" s="97" t="s">
        <v>901</v>
      </c>
      <c r="AR130" s="108" t="s">
        <v>669</v>
      </c>
      <c r="AS130" s="98"/>
      <c r="AT130" s="99"/>
      <c r="AU130" s="99"/>
      <c r="AV130" s="105"/>
      <c r="AW130" s="99"/>
      <c r="AX130" s="100"/>
      <c r="AY130" s="100"/>
      <c r="AZ130" s="107"/>
      <c r="BA130" s="81"/>
      <c r="BB130" s="81"/>
      <c r="BC130" s="81"/>
    </row>
    <row r="131" spans="1:55" ht="28" customHeight="1" x14ac:dyDescent="0.55000000000000004">
      <c r="A131" s="131">
        <v>125</v>
      </c>
      <c r="B131" s="141">
        <v>45063</v>
      </c>
      <c r="C131" s="77" t="s">
        <v>134</v>
      </c>
      <c r="D131" s="77" t="s">
        <v>135</v>
      </c>
      <c r="E131" s="77" t="s">
        <v>136</v>
      </c>
      <c r="F131" s="142" t="s">
        <v>210</v>
      </c>
      <c r="G131" s="145" t="s">
        <v>531</v>
      </c>
      <c r="H131" s="146" t="s">
        <v>110</v>
      </c>
      <c r="I131" s="145" t="s">
        <v>532</v>
      </c>
      <c r="J131" s="240" t="s">
        <v>533</v>
      </c>
      <c r="K131" s="240" t="s">
        <v>80</v>
      </c>
      <c r="L131" s="241" t="s">
        <v>193</v>
      </c>
      <c r="M131" s="241" t="s">
        <v>154</v>
      </c>
      <c r="N131" s="241" t="s">
        <v>214</v>
      </c>
      <c r="O131" s="241" t="s">
        <v>149</v>
      </c>
      <c r="P131" s="103"/>
      <c r="Q131" s="134"/>
      <c r="R131" s="182">
        <f>0</f>
        <v>0</v>
      </c>
      <c r="S131" s="76">
        <f>0</f>
        <v>0</v>
      </c>
      <c r="T131" s="76">
        <f>0</f>
        <v>0</v>
      </c>
      <c r="U131" s="90">
        <v>1</v>
      </c>
      <c r="V131" s="76"/>
      <c r="W131" s="76">
        <f>0</f>
        <v>0</v>
      </c>
      <c r="X131" s="76">
        <f>0</f>
        <v>0</v>
      </c>
      <c r="Y131" s="76">
        <f>0</f>
        <v>0</v>
      </c>
      <c r="Z131" s="76">
        <f>0</f>
        <v>0</v>
      </c>
      <c r="AA131" s="183">
        <f>0</f>
        <v>0</v>
      </c>
      <c r="AB131" s="185">
        <f>0</f>
        <v>0</v>
      </c>
      <c r="AC131" s="76">
        <f>0</f>
        <v>0</v>
      </c>
      <c r="AD131" s="76">
        <f>0</f>
        <v>0</v>
      </c>
      <c r="AE131" s="76"/>
      <c r="AF131" s="76"/>
      <c r="AG131" s="76"/>
      <c r="AH131" s="76"/>
      <c r="AI131" s="76"/>
      <c r="AJ131" s="76"/>
      <c r="AK131" s="183"/>
      <c r="AL131" s="206">
        <f t="shared" si="2"/>
        <v>1</v>
      </c>
      <c r="AM131" s="91">
        <f>0</f>
        <v>0</v>
      </c>
      <c r="AN131" s="208">
        <f t="shared" si="3"/>
        <v>1</v>
      </c>
      <c r="AO131" s="278">
        <v>45064</v>
      </c>
      <c r="AP131" s="105" t="s">
        <v>273</v>
      </c>
      <c r="AQ131" s="97" t="s">
        <v>584</v>
      </c>
      <c r="AR131" s="108" t="s">
        <v>148</v>
      </c>
      <c r="AS131" s="98"/>
      <c r="AT131" s="99"/>
      <c r="AU131" s="99"/>
      <c r="AV131" s="105"/>
      <c r="AW131" s="99"/>
      <c r="AX131" s="100"/>
      <c r="AY131" s="100"/>
      <c r="AZ131" s="107"/>
      <c r="BA131" s="81"/>
      <c r="BB131" s="81"/>
      <c r="BC131" s="81"/>
    </row>
    <row r="132" spans="1:55" ht="28" customHeight="1" x14ac:dyDescent="0.55000000000000004">
      <c r="A132" s="131">
        <v>126</v>
      </c>
      <c r="B132" s="141">
        <v>45063</v>
      </c>
      <c r="C132" s="77" t="s">
        <v>134</v>
      </c>
      <c r="D132" s="77" t="s">
        <v>135</v>
      </c>
      <c r="E132" s="77" t="s">
        <v>136</v>
      </c>
      <c r="F132" s="142" t="s">
        <v>210</v>
      </c>
      <c r="G132" s="145" t="s">
        <v>534</v>
      </c>
      <c r="H132" s="146" t="s">
        <v>110</v>
      </c>
      <c r="I132" s="145" t="s">
        <v>535</v>
      </c>
      <c r="J132" s="240" t="s">
        <v>536</v>
      </c>
      <c r="K132" s="240" t="s">
        <v>80</v>
      </c>
      <c r="L132" s="241" t="s">
        <v>193</v>
      </c>
      <c r="M132" s="241" t="s">
        <v>154</v>
      </c>
      <c r="N132" s="241" t="s">
        <v>214</v>
      </c>
      <c r="O132" s="241" t="s">
        <v>149</v>
      </c>
      <c r="P132" s="103"/>
      <c r="Q132" s="134"/>
      <c r="R132" s="182">
        <f>0</f>
        <v>0</v>
      </c>
      <c r="S132" s="76">
        <f>0</f>
        <v>0</v>
      </c>
      <c r="T132" s="76">
        <f>0</f>
        <v>0</v>
      </c>
      <c r="U132" s="90">
        <v>1</v>
      </c>
      <c r="V132" s="76"/>
      <c r="W132" s="76">
        <f>0</f>
        <v>0</v>
      </c>
      <c r="X132" s="76">
        <f>0</f>
        <v>0</v>
      </c>
      <c r="Y132" s="76">
        <f>0</f>
        <v>0</v>
      </c>
      <c r="Z132" s="76">
        <f>0</f>
        <v>0</v>
      </c>
      <c r="AA132" s="183">
        <f>0</f>
        <v>0</v>
      </c>
      <c r="AB132" s="185">
        <f>0</f>
        <v>0</v>
      </c>
      <c r="AC132" s="76">
        <f>0</f>
        <v>0</v>
      </c>
      <c r="AD132" s="76">
        <f>0</f>
        <v>0</v>
      </c>
      <c r="AE132" s="76"/>
      <c r="AF132" s="76"/>
      <c r="AG132" s="76"/>
      <c r="AH132" s="76"/>
      <c r="AI132" s="76"/>
      <c r="AJ132" s="76"/>
      <c r="AK132" s="183"/>
      <c r="AL132" s="206">
        <f t="shared" si="2"/>
        <v>1</v>
      </c>
      <c r="AM132" s="91">
        <f>0</f>
        <v>0</v>
      </c>
      <c r="AN132" s="208">
        <f t="shared" si="3"/>
        <v>1</v>
      </c>
      <c r="AO132" s="275">
        <v>45075</v>
      </c>
      <c r="AP132" s="151" t="s">
        <v>273</v>
      </c>
      <c r="AQ132" s="97" t="s">
        <v>901</v>
      </c>
      <c r="AR132" s="108" t="s">
        <v>669</v>
      </c>
      <c r="AS132" s="98"/>
      <c r="AT132" s="99"/>
      <c r="AU132" s="99"/>
      <c r="AV132" s="105"/>
      <c r="AW132" s="99"/>
      <c r="AX132" s="100"/>
      <c r="AY132" s="100"/>
      <c r="AZ132" s="107"/>
      <c r="BA132" s="81"/>
      <c r="BB132" s="81"/>
      <c r="BC132" s="81"/>
    </row>
    <row r="133" spans="1:55" ht="28" customHeight="1" x14ac:dyDescent="0.55000000000000004">
      <c r="A133" s="131">
        <v>127</v>
      </c>
      <c r="B133" s="141">
        <v>45063</v>
      </c>
      <c r="C133" s="77" t="s">
        <v>134</v>
      </c>
      <c r="D133" s="77" t="s">
        <v>135</v>
      </c>
      <c r="E133" s="77" t="s">
        <v>136</v>
      </c>
      <c r="F133" s="142" t="s">
        <v>210</v>
      </c>
      <c r="G133" s="145" t="s">
        <v>537</v>
      </c>
      <c r="H133" s="146" t="s">
        <v>110</v>
      </c>
      <c r="I133" s="145" t="s">
        <v>538</v>
      </c>
      <c r="J133" s="240" t="s">
        <v>539</v>
      </c>
      <c r="K133" s="240" t="s">
        <v>80</v>
      </c>
      <c r="L133" s="241" t="s">
        <v>193</v>
      </c>
      <c r="M133" s="241" t="s">
        <v>154</v>
      </c>
      <c r="N133" s="241" t="s">
        <v>212</v>
      </c>
      <c r="O133" s="241" t="s">
        <v>149</v>
      </c>
      <c r="P133" s="103"/>
      <c r="Q133" s="134"/>
      <c r="R133" s="182">
        <f>0</f>
        <v>0</v>
      </c>
      <c r="S133" s="76">
        <f>0</f>
        <v>0</v>
      </c>
      <c r="T133" s="76">
        <f>0</f>
        <v>0</v>
      </c>
      <c r="U133" s="90">
        <v>1</v>
      </c>
      <c r="V133" s="76"/>
      <c r="W133" s="76">
        <f>0</f>
        <v>0</v>
      </c>
      <c r="X133" s="76">
        <f>0</f>
        <v>0</v>
      </c>
      <c r="Y133" s="76">
        <f>0</f>
        <v>0</v>
      </c>
      <c r="Z133" s="76">
        <f>0</f>
        <v>0</v>
      </c>
      <c r="AA133" s="183">
        <f>0</f>
        <v>0</v>
      </c>
      <c r="AB133" s="185">
        <f>0</f>
        <v>0</v>
      </c>
      <c r="AC133" s="76">
        <f>0</f>
        <v>0</v>
      </c>
      <c r="AD133" s="76">
        <f>0</f>
        <v>0</v>
      </c>
      <c r="AE133" s="76"/>
      <c r="AF133" s="76"/>
      <c r="AG133" s="76"/>
      <c r="AH133" s="76"/>
      <c r="AI133" s="76"/>
      <c r="AJ133" s="76"/>
      <c r="AK133" s="183"/>
      <c r="AL133" s="206">
        <f t="shared" si="2"/>
        <v>1</v>
      </c>
      <c r="AM133" s="91">
        <f>0</f>
        <v>0</v>
      </c>
      <c r="AN133" s="208">
        <f t="shared" si="3"/>
        <v>1</v>
      </c>
      <c r="AO133" s="275">
        <v>45075</v>
      </c>
      <c r="AP133" s="151" t="s">
        <v>273</v>
      </c>
      <c r="AQ133" s="97" t="s">
        <v>901</v>
      </c>
      <c r="AR133" s="108" t="s">
        <v>669</v>
      </c>
      <c r="AS133" s="98"/>
      <c r="AT133" s="99"/>
      <c r="AU133" s="99"/>
      <c r="AV133" s="105"/>
      <c r="AW133" s="99"/>
      <c r="AX133" s="100"/>
      <c r="AY133" s="100"/>
      <c r="AZ133" s="107"/>
      <c r="BA133" s="81"/>
      <c r="BB133" s="81"/>
      <c r="BC133" s="81"/>
    </row>
    <row r="134" spans="1:55" ht="28" customHeight="1" x14ac:dyDescent="0.55000000000000004">
      <c r="A134" s="131">
        <v>128</v>
      </c>
      <c r="B134" s="141">
        <v>45063</v>
      </c>
      <c r="C134" s="77" t="s">
        <v>134</v>
      </c>
      <c r="D134" s="77" t="s">
        <v>135</v>
      </c>
      <c r="E134" s="77" t="s">
        <v>136</v>
      </c>
      <c r="F134" s="142" t="s">
        <v>210</v>
      </c>
      <c r="G134" s="145" t="s">
        <v>540</v>
      </c>
      <c r="H134" s="146" t="s">
        <v>110</v>
      </c>
      <c r="I134" s="145" t="s">
        <v>541</v>
      </c>
      <c r="J134" s="240" t="s">
        <v>542</v>
      </c>
      <c r="K134" s="240" t="s">
        <v>80</v>
      </c>
      <c r="L134" s="241" t="s">
        <v>389</v>
      </c>
      <c r="M134" s="241" t="s">
        <v>479</v>
      </c>
      <c r="N134" s="241" t="s">
        <v>214</v>
      </c>
      <c r="O134" s="241" t="s">
        <v>80</v>
      </c>
      <c r="P134" s="103"/>
      <c r="Q134" s="134"/>
      <c r="R134" s="182">
        <f>0</f>
        <v>0</v>
      </c>
      <c r="S134" s="76">
        <f>0</f>
        <v>0</v>
      </c>
      <c r="T134" s="76">
        <f>0</f>
        <v>0</v>
      </c>
      <c r="U134" s="90">
        <v>1</v>
      </c>
      <c r="V134" s="76"/>
      <c r="W134" s="76">
        <f>0</f>
        <v>0</v>
      </c>
      <c r="X134" s="76">
        <f>0</f>
        <v>0</v>
      </c>
      <c r="Y134" s="76">
        <f>0</f>
        <v>0</v>
      </c>
      <c r="Z134" s="76">
        <f>0</f>
        <v>0</v>
      </c>
      <c r="AA134" s="183">
        <f>0</f>
        <v>0</v>
      </c>
      <c r="AB134" s="185">
        <f>0</f>
        <v>0</v>
      </c>
      <c r="AC134" s="76">
        <f>0</f>
        <v>0</v>
      </c>
      <c r="AD134" s="76">
        <f>0</f>
        <v>0</v>
      </c>
      <c r="AE134" s="76"/>
      <c r="AF134" s="76"/>
      <c r="AG134" s="76"/>
      <c r="AH134" s="76"/>
      <c r="AI134" s="76"/>
      <c r="AJ134" s="76"/>
      <c r="AK134" s="183"/>
      <c r="AL134" s="206">
        <f t="shared" ref="AL134:AL197" si="4">SUM(R134:AK134)</f>
        <v>1</v>
      </c>
      <c r="AM134" s="91">
        <f>0</f>
        <v>0</v>
      </c>
      <c r="AN134" s="208">
        <f t="shared" ref="AN134:AN197" si="5">AL134-AM134</f>
        <v>1</v>
      </c>
      <c r="AO134" s="278">
        <v>45064</v>
      </c>
      <c r="AP134" s="105" t="s">
        <v>273</v>
      </c>
      <c r="AQ134" s="97" t="s">
        <v>584</v>
      </c>
      <c r="AR134" s="108" t="s">
        <v>148</v>
      </c>
      <c r="AS134" s="98"/>
      <c r="AT134" s="99"/>
      <c r="AU134" s="99"/>
      <c r="AV134" s="105"/>
      <c r="AW134" s="99"/>
      <c r="AX134" s="100"/>
      <c r="AY134" s="100"/>
      <c r="AZ134" s="107"/>
      <c r="BA134" s="81"/>
      <c r="BB134" s="81"/>
      <c r="BC134" s="81"/>
    </row>
    <row r="135" spans="1:55" ht="28" customHeight="1" x14ac:dyDescent="0.55000000000000004">
      <c r="A135" s="131">
        <v>129</v>
      </c>
      <c r="B135" s="141">
        <v>45063</v>
      </c>
      <c r="C135" s="77" t="s">
        <v>134</v>
      </c>
      <c r="D135" s="77" t="s">
        <v>135</v>
      </c>
      <c r="E135" s="77" t="s">
        <v>136</v>
      </c>
      <c r="F135" s="142" t="s">
        <v>210</v>
      </c>
      <c r="G135" s="145" t="s">
        <v>543</v>
      </c>
      <c r="H135" s="146" t="s">
        <v>110</v>
      </c>
      <c r="I135" s="145" t="s">
        <v>544</v>
      </c>
      <c r="J135" s="240" t="s">
        <v>545</v>
      </c>
      <c r="K135" s="240" t="s">
        <v>80</v>
      </c>
      <c r="L135" s="241" t="s">
        <v>389</v>
      </c>
      <c r="M135" s="241" t="s">
        <v>479</v>
      </c>
      <c r="N135" s="241" t="s">
        <v>214</v>
      </c>
      <c r="O135" s="241" t="s">
        <v>80</v>
      </c>
      <c r="P135" s="103"/>
      <c r="Q135" s="134"/>
      <c r="R135" s="182">
        <f>0</f>
        <v>0</v>
      </c>
      <c r="S135" s="76">
        <f>0</f>
        <v>0</v>
      </c>
      <c r="T135" s="76">
        <f>0</f>
        <v>0</v>
      </c>
      <c r="U135" s="90">
        <v>1</v>
      </c>
      <c r="V135" s="76"/>
      <c r="W135" s="76">
        <f>0</f>
        <v>0</v>
      </c>
      <c r="X135" s="76">
        <f>0</f>
        <v>0</v>
      </c>
      <c r="Y135" s="76">
        <f>0</f>
        <v>0</v>
      </c>
      <c r="Z135" s="76">
        <f>0</f>
        <v>0</v>
      </c>
      <c r="AA135" s="183">
        <f>0</f>
        <v>0</v>
      </c>
      <c r="AB135" s="185">
        <f>0</f>
        <v>0</v>
      </c>
      <c r="AC135" s="76">
        <f>0</f>
        <v>0</v>
      </c>
      <c r="AD135" s="76">
        <f>0</f>
        <v>0</v>
      </c>
      <c r="AE135" s="76"/>
      <c r="AF135" s="76"/>
      <c r="AG135" s="76"/>
      <c r="AH135" s="76"/>
      <c r="AI135" s="76"/>
      <c r="AJ135" s="76"/>
      <c r="AK135" s="183"/>
      <c r="AL135" s="206">
        <f t="shared" si="4"/>
        <v>1</v>
      </c>
      <c r="AM135" s="91">
        <f>0</f>
        <v>0</v>
      </c>
      <c r="AN135" s="208">
        <f t="shared" si="5"/>
        <v>1</v>
      </c>
      <c r="AO135" s="278">
        <v>45064</v>
      </c>
      <c r="AP135" s="105" t="s">
        <v>273</v>
      </c>
      <c r="AQ135" s="97" t="s">
        <v>584</v>
      </c>
      <c r="AR135" s="108" t="s">
        <v>148</v>
      </c>
      <c r="AS135" s="98"/>
      <c r="AT135" s="99"/>
      <c r="AU135" s="99"/>
      <c r="AV135" s="105"/>
      <c r="AW135" s="99"/>
      <c r="AX135" s="100"/>
      <c r="AY135" s="100"/>
      <c r="AZ135" s="107"/>
      <c r="BA135" s="81"/>
      <c r="BB135" s="81"/>
      <c r="BC135" s="81"/>
    </row>
    <row r="136" spans="1:55" ht="28" customHeight="1" x14ac:dyDescent="0.55000000000000004">
      <c r="A136" s="131">
        <v>130</v>
      </c>
      <c r="B136" s="141">
        <v>45063</v>
      </c>
      <c r="C136" s="77" t="s">
        <v>134</v>
      </c>
      <c r="D136" s="77" t="s">
        <v>135</v>
      </c>
      <c r="E136" s="77" t="s">
        <v>136</v>
      </c>
      <c r="F136" s="142" t="s">
        <v>210</v>
      </c>
      <c r="G136" s="145" t="s">
        <v>546</v>
      </c>
      <c r="H136" s="146" t="s">
        <v>110</v>
      </c>
      <c r="I136" s="145" t="s">
        <v>582</v>
      </c>
      <c r="J136" s="240" t="s">
        <v>547</v>
      </c>
      <c r="K136" s="240" t="s">
        <v>80</v>
      </c>
      <c r="L136" s="241" t="s">
        <v>389</v>
      </c>
      <c r="M136" s="241" t="s">
        <v>479</v>
      </c>
      <c r="N136" s="241" t="s">
        <v>212</v>
      </c>
      <c r="O136" s="241" t="s">
        <v>80</v>
      </c>
      <c r="P136" s="103"/>
      <c r="Q136" s="134"/>
      <c r="R136" s="182">
        <f>0</f>
        <v>0</v>
      </c>
      <c r="S136" s="76">
        <f>0</f>
        <v>0</v>
      </c>
      <c r="T136" s="76">
        <f>0</f>
        <v>0</v>
      </c>
      <c r="U136" s="90">
        <v>1</v>
      </c>
      <c r="V136" s="76"/>
      <c r="W136" s="76">
        <f>0</f>
        <v>0</v>
      </c>
      <c r="X136" s="76">
        <f>0</f>
        <v>0</v>
      </c>
      <c r="Y136" s="76">
        <f>0</f>
        <v>0</v>
      </c>
      <c r="Z136" s="76">
        <f>0</f>
        <v>0</v>
      </c>
      <c r="AA136" s="183">
        <f>0</f>
        <v>0</v>
      </c>
      <c r="AB136" s="185">
        <f>0</f>
        <v>0</v>
      </c>
      <c r="AC136" s="76">
        <f>0</f>
        <v>0</v>
      </c>
      <c r="AD136" s="76">
        <f>0</f>
        <v>0</v>
      </c>
      <c r="AE136" s="76"/>
      <c r="AF136" s="76"/>
      <c r="AG136" s="76"/>
      <c r="AH136" s="76"/>
      <c r="AI136" s="76"/>
      <c r="AJ136" s="76"/>
      <c r="AK136" s="183"/>
      <c r="AL136" s="206">
        <f t="shared" si="4"/>
        <v>1</v>
      </c>
      <c r="AM136" s="91">
        <f>0</f>
        <v>0</v>
      </c>
      <c r="AN136" s="208">
        <f t="shared" si="5"/>
        <v>1</v>
      </c>
      <c r="AO136" s="275">
        <v>45096</v>
      </c>
      <c r="AP136" s="151" t="s">
        <v>273</v>
      </c>
      <c r="AQ136" s="97" t="s">
        <v>1297</v>
      </c>
      <c r="AR136" s="108" t="s">
        <v>148</v>
      </c>
      <c r="AS136" s="98"/>
      <c r="AT136" s="99"/>
      <c r="AU136" s="99"/>
      <c r="AV136" s="105"/>
      <c r="AW136" s="99"/>
      <c r="AX136" s="100"/>
      <c r="AY136" s="100"/>
      <c r="AZ136" s="107"/>
      <c r="BA136" s="81"/>
      <c r="BB136" s="81"/>
      <c r="BC136" s="81"/>
    </row>
    <row r="137" spans="1:55" ht="28" customHeight="1" x14ac:dyDescent="0.55000000000000004">
      <c r="A137" s="131">
        <v>131</v>
      </c>
      <c r="B137" s="141">
        <v>45063</v>
      </c>
      <c r="C137" s="77" t="s">
        <v>134</v>
      </c>
      <c r="D137" s="77" t="s">
        <v>135</v>
      </c>
      <c r="E137" s="77" t="s">
        <v>136</v>
      </c>
      <c r="F137" s="142" t="s">
        <v>210</v>
      </c>
      <c r="G137" s="145" t="s">
        <v>548</v>
      </c>
      <c r="H137" s="146" t="s">
        <v>110</v>
      </c>
      <c r="I137" s="145" t="s">
        <v>583</v>
      </c>
      <c r="J137" s="240" t="s">
        <v>549</v>
      </c>
      <c r="K137" s="240" t="s">
        <v>80</v>
      </c>
      <c r="L137" s="241" t="s">
        <v>389</v>
      </c>
      <c r="M137" s="241" t="s">
        <v>479</v>
      </c>
      <c r="N137" s="241" t="s">
        <v>212</v>
      </c>
      <c r="O137" s="241" t="s">
        <v>80</v>
      </c>
      <c r="P137" s="103"/>
      <c r="Q137" s="134"/>
      <c r="R137" s="182">
        <f>0</f>
        <v>0</v>
      </c>
      <c r="S137" s="76">
        <f>0</f>
        <v>0</v>
      </c>
      <c r="T137" s="76">
        <f>0</f>
        <v>0</v>
      </c>
      <c r="U137" s="90">
        <v>1</v>
      </c>
      <c r="V137" s="76"/>
      <c r="W137" s="76">
        <f>0</f>
        <v>0</v>
      </c>
      <c r="X137" s="76">
        <f>0</f>
        <v>0</v>
      </c>
      <c r="Y137" s="76">
        <f>0</f>
        <v>0</v>
      </c>
      <c r="Z137" s="76">
        <f>0</f>
        <v>0</v>
      </c>
      <c r="AA137" s="183">
        <f>0</f>
        <v>0</v>
      </c>
      <c r="AB137" s="185">
        <f>0</f>
        <v>0</v>
      </c>
      <c r="AC137" s="76">
        <f>0</f>
        <v>0</v>
      </c>
      <c r="AD137" s="76">
        <f>0</f>
        <v>0</v>
      </c>
      <c r="AE137" s="76"/>
      <c r="AF137" s="76"/>
      <c r="AG137" s="76"/>
      <c r="AH137" s="76"/>
      <c r="AI137" s="76"/>
      <c r="AJ137" s="76"/>
      <c r="AK137" s="183"/>
      <c r="AL137" s="206">
        <f t="shared" si="4"/>
        <v>1</v>
      </c>
      <c r="AM137" s="91">
        <f>0</f>
        <v>0</v>
      </c>
      <c r="AN137" s="208">
        <f t="shared" si="5"/>
        <v>1</v>
      </c>
      <c r="AO137" s="275">
        <v>45096</v>
      </c>
      <c r="AP137" s="151" t="s">
        <v>273</v>
      </c>
      <c r="AQ137" s="97" t="s">
        <v>1297</v>
      </c>
      <c r="AR137" s="108" t="s">
        <v>148</v>
      </c>
      <c r="AS137" s="98"/>
      <c r="AT137" s="99"/>
      <c r="AU137" s="99"/>
      <c r="AV137" s="105"/>
      <c r="AW137" s="99"/>
      <c r="AX137" s="100"/>
      <c r="AY137" s="100"/>
      <c r="AZ137" s="107"/>
      <c r="BA137" s="81"/>
      <c r="BB137" s="81"/>
      <c r="BC137" s="81"/>
    </row>
    <row r="138" spans="1:55" ht="28" customHeight="1" x14ac:dyDescent="0.55000000000000004">
      <c r="A138" s="131">
        <v>132</v>
      </c>
      <c r="B138" s="141">
        <v>45063</v>
      </c>
      <c r="C138" s="77" t="s">
        <v>134</v>
      </c>
      <c r="D138" s="77" t="s">
        <v>135</v>
      </c>
      <c r="E138" s="77" t="s">
        <v>136</v>
      </c>
      <c r="F138" s="142" t="s">
        <v>210</v>
      </c>
      <c r="G138" s="145" t="s">
        <v>550</v>
      </c>
      <c r="H138" s="146" t="s">
        <v>110</v>
      </c>
      <c r="I138" s="145" t="s">
        <v>551</v>
      </c>
      <c r="J138" s="240" t="s">
        <v>552</v>
      </c>
      <c r="K138" s="240" t="s">
        <v>80</v>
      </c>
      <c r="L138" s="241" t="s">
        <v>389</v>
      </c>
      <c r="M138" s="241" t="s">
        <v>479</v>
      </c>
      <c r="N138" s="241" t="s">
        <v>212</v>
      </c>
      <c r="O138" s="241" t="s">
        <v>80</v>
      </c>
      <c r="P138" s="103"/>
      <c r="Q138" s="134"/>
      <c r="R138" s="182">
        <f>0</f>
        <v>0</v>
      </c>
      <c r="S138" s="76">
        <f>0</f>
        <v>0</v>
      </c>
      <c r="T138" s="76">
        <f>0</f>
        <v>0</v>
      </c>
      <c r="U138" s="90">
        <v>1</v>
      </c>
      <c r="V138" s="76"/>
      <c r="W138" s="76">
        <f>0</f>
        <v>0</v>
      </c>
      <c r="X138" s="76">
        <f>0</f>
        <v>0</v>
      </c>
      <c r="Y138" s="76">
        <f>0</f>
        <v>0</v>
      </c>
      <c r="Z138" s="76">
        <f>0</f>
        <v>0</v>
      </c>
      <c r="AA138" s="183">
        <f>0</f>
        <v>0</v>
      </c>
      <c r="AB138" s="185">
        <f>0</f>
        <v>0</v>
      </c>
      <c r="AC138" s="76">
        <f>0</f>
        <v>0</v>
      </c>
      <c r="AD138" s="76">
        <f>0</f>
        <v>0</v>
      </c>
      <c r="AE138" s="76"/>
      <c r="AF138" s="76"/>
      <c r="AG138" s="76"/>
      <c r="AH138" s="76"/>
      <c r="AI138" s="76"/>
      <c r="AJ138" s="76"/>
      <c r="AK138" s="183"/>
      <c r="AL138" s="206">
        <f t="shared" si="4"/>
        <v>1</v>
      </c>
      <c r="AM138" s="91">
        <f>0</f>
        <v>0</v>
      </c>
      <c r="AN138" s="208">
        <f t="shared" si="5"/>
        <v>1</v>
      </c>
      <c r="AO138" s="275">
        <v>45075</v>
      </c>
      <c r="AP138" s="151" t="s">
        <v>273</v>
      </c>
      <c r="AQ138" s="97" t="s">
        <v>901</v>
      </c>
      <c r="AR138" s="108" t="s">
        <v>669</v>
      </c>
      <c r="AS138" s="98"/>
      <c r="AT138" s="99"/>
      <c r="AU138" s="99"/>
      <c r="AV138" s="105"/>
      <c r="AW138" s="99"/>
      <c r="AX138" s="100"/>
      <c r="AY138" s="100"/>
      <c r="AZ138" s="107"/>
      <c r="BA138" s="81"/>
      <c r="BB138" s="81"/>
      <c r="BC138" s="81"/>
    </row>
    <row r="139" spans="1:55" ht="28" customHeight="1" x14ac:dyDescent="0.55000000000000004">
      <c r="A139" s="131">
        <v>133</v>
      </c>
      <c r="B139" s="141">
        <v>45063</v>
      </c>
      <c r="C139" s="77" t="s">
        <v>134</v>
      </c>
      <c r="D139" s="77" t="s">
        <v>135</v>
      </c>
      <c r="E139" s="77" t="s">
        <v>136</v>
      </c>
      <c r="F139" s="142" t="s">
        <v>210</v>
      </c>
      <c r="G139" s="145" t="s">
        <v>553</v>
      </c>
      <c r="H139" s="146" t="s">
        <v>110</v>
      </c>
      <c r="I139" s="145" t="s">
        <v>554</v>
      </c>
      <c r="J139" s="240" t="s">
        <v>555</v>
      </c>
      <c r="K139" s="240" t="s">
        <v>80</v>
      </c>
      <c r="L139" s="241" t="s">
        <v>389</v>
      </c>
      <c r="M139" s="241" t="s">
        <v>479</v>
      </c>
      <c r="N139" s="241" t="s">
        <v>214</v>
      </c>
      <c r="O139" s="241" t="s">
        <v>80</v>
      </c>
      <c r="P139" s="103"/>
      <c r="Q139" s="134"/>
      <c r="R139" s="182">
        <f>0</f>
        <v>0</v>
      </c>
      <c r="S139" s="76">
        <f>0</f>
        <v>0</v>
      </c>
      <c r="T139" s="76">
        <f>0</f>
        <v>0</v>
      </c>
      <c r="U139" s="90">
        <v>1</v>
      </c>
      <c r="V139" s="76"/>
      <c r="W139" s="76">
        <f>0</f>
        <v>0</v>
      </c>
      <c r="X139" s="76">
        <f>0</f>
        <v>0</v>
      </c>
      <c r="Y139" s="76">
        <f>0</f>
        <v>0</v>
      </c>
      <c r="Z139" s="76">
        <f>0</f>
        <v>0</v>
      </c>
      <c r="AA139" s="183">
        <f>0</f>
        <v>0</v>
      </c>
      <c r="AB139" s="185">
        <f>0</f>
        <v>0</v>
      </c>
      <c r="AC139" s="76">
        <f>0</f>
        <v>0</v>
      </c>
      <c r="AD139" s="76">
        <f>0</f>
        <v>0</v>
      </c>
      <c r="AE139" s="76"/>
      <c r="AF139" s="76"/>
      <c r="AG139" s="76"/>
      <c r="AH139" s="76"/>
      <c r="AI139" s="76"/>
      <c r="AJ139" s="76"/>
      <c r="AK139" s="183"/>
      <c r="AL139" s="206">
        <f t="shared" si="4"/>
        <v>1</v>
      </c>
      <c r="AM139" s="91">
        <f>0</f>
        <v>0</v>
      </c>
      <c r="AN139" s="208">
        <f t="shared" si="5"/>
        <v>1</v>
      </c>
      <c r="AO139" s="278">
        <v>45064</v>
      </c>
      <c r="AP139" s="105" t="s">
        <v>273</v>
      </c>
      <c r="AQ139" s="97" t="s">
        <v>584</v>
      </c>
      <c r="AR139" s="108" t="s">
        <v>148</v>
      </c>
      <c r="AS139" s="98"/>
      <c r="AT139" s="99"/>
      <c r="AU139" s="99"/>
      <c r="AV139" s="105"/>
      <c r="AW139" s="99"/>
      <c r="AX139" s="100"/>
      <c r="AY139" s="100"/>
      <c r="AZ139" s="107"/>
      <c r="BA139" s="81"/>
      <c r="BB139" s="81"/>
      <c r="BC139" s="81"/>
    </row>
    <row r="140" spans="1:55" ht="28" customHeight="1" x14ac:dyDescent="0.55000000000000004">
      <c r="A140" s="131">
        <v>134</v>
      </c>
      <c r="B140" s="141">
        <v>45063</v>
      </c>
      <c r="C140" s="77" t="s">
        <v>134</v>
      </c>
      <c r="D140" s="77" t="s">
        <v>135</v>
      </c>
      <c r="E140" s="77" t="s">
        <v>136</v>
      </c>
      <c r="F140" s="142" t="s">
        <v>210</v>
      </c>
      <c r="G140" s="145" t="s">
        <v>556</v>
      </c>
      <c r="H140" s="146" t="s">
        <v>110</v>
      </c>
      <c r="I140" s="145" t="s">
        <v>557</v>
      </c>
      <c r="J140" s="240" t="s">
        <v>558</v>
      </c>
      <c r="K140" s="240" t="s">
        <v>80</v>
      </c>
      <c r="L140" s="241" t="s">
        <v>389</v>
      </c>
      <c r="M140" s="241" t="s">
        <v>479</v>
      </c>
      <c r="N140" s="241" t="s">
        <v>214</v>
      </c>
      <c r="O140" s="241" t="s">
        <v>80</v>
      </c>
      <c r="P140" s="103"/>
      <c r="Q140" s="134"/>
      <c r="R140" s="182">
        <f>0</f>
        <v>0</v>
      </c>
      <c r="S140" s="76">
        <f>0</f>
        <v>0</v>
      </c>
      <c r="T140" s="76">
        <f>0</f>
        <v>0</v>
      </c>
      <c r="U140" s="90">
        <v>1</v>
      </c>
      <c r="V140" s="76"/>
      <c r="W140" s="76">
        <f>0</f>
        <v>0</v>
      </c>
      <c r="X140" s="76">
        <f>0</f>
        <v>0</v>
      </c>
      <c r="Y140" s="76">
        <f>0</f>
        <v>0</v>
      </c>
      <c r="Z140" s="76">
        <f>0</f>
        <v>0</v>
      </c>
      <c r="AA140" s="183">
        <f>0</f>
        <v>0</v>
      </c>
      <c r="AB140" s="185">
        <f>0</f>
        <v>0</v>
      </c>
      <c r="AC140" s="76">
        <f>0</f>
        <v>0</v>
      </c>
      <c r="AD140" s="76">
        <f>0</f>
        <v>0</v>
      </c>
      <c r="AE140" s="76"/>
      <c r="AF140" s="76"/>
      <c r="AG140" s="76"/>
      <c r="AH140" s="76"/>
      <c r="AI140" s="76"/>
      <c r="AJ140" s="76"/>
      <c r="AK140" s="183"/>
      <c r="AL140" s="206">
        <f t="shared" si="4"/>
        <v>1</v>
      </c>
      <c r="AM140" s="91">
        <f>0</f>
        <v>0</v>
      </c>
      <c r="AN140" s="208">
        <f t="shared" si="5"/>
        <v>1</v>
      </c>
      <c r="AO140" s="278">
        <v>45064</v>
      </c>
      <c r="AP140" s="105" t="s">
        <v>273</v>
      </c>
      <c r="AQ140" s="97" t="s">
        <v>584</v>
      </c>
      <c r="AR140" s="108" t="s">
        <v>148</v>
      </c>
      <c r="AS140" s="98"/>
      <c r="AT140" s="99"/>
      <c r="AU140" s="99"/>
      <c r="AV140" s="105"/>
      <c r="AW140" s="99"/>
      <c r="AX140" s="100"/>
      <c r="AY140" s="100"/>
      <c r="AZ140" s="107"/>
      <c r="BA140" s="81"/>
      <c r="BB140" s="81"/>
      <c r="BC140" s="81"/>
    </row>
    <row r="141" spans="1:55" ht="28" customHeight="1" x14ac:dyDescent="0.55000000000000004">
      <c r="A141" s="131">
        <v>135</v>
      </c>
      <c r="B141" s="141">
        <v>45063</v>
      </c>
      <c r="C141" s="77" t="s">
        <v>134</v>
      </c>
      <c r="D141" s="77" t="s">
        <v>135</v>
      </c>
      <c r="E141" s="77" t="s">
        <v>136</v>
      </c>
      <c r="F141" s="142" t="s">
        <v>210</v>
      </c>
      <c r="G141" s="145" t="s">
        <v>559</v>
      </c>
      <c r="H141" s="146" t="s">
        <v>110</v>
      </c>
      <c r="I141" s="145" t="s">
        <v>560</v>
      </c>
      <c r="J141" s="240" t="s">
        <v>561</v>
      </c>
      <c r="K141" s="240" t="s">
        <v>80</v>
      </c>
      <c r="L141" s="241" t="s">
        <v>389</v>
      </c>
      <c r="M141" s="241" t="s">
        <v>479</v>
      </c>
      <c r="N141" s="241" t="s">
        <v>214</v>
      </c>
      <c r="O141" s="241" t="s">
        <v>80</v>
      </c>
      <c r="P141" s="103"/>
      <c r="Q141" s="134"/>
      <c r="R141" s="182">
        <f>0</f>
        <v>0</v>
      </c>
      <c r="S141" s="76">
        <f>0</f>
        <v>0</v>
      </c>
      <c r="T141" s="76">
        <f>0</f>
        <v>0</v>
      </c>
      <c r="U141" s="90">
        <v>1</v>
      </c>
      <c r="V141" s="76"/>
      <c r="W141" s="76">
        <f>0</f>
        <v>0</v>
      </c>
      <c r="X141" s="76">
        <f>0</f>
        <v>0</v>
      </c>
      <c r="Y141" s="76">
        <f>0</f>
        <v>0</v>
      </c>
      <c r="Z141" s="76">
        <f>0</f>
        <v>0</v>
      </c>
      <c r="AA141" s="183">
        <f>0</f>
        <v>0</v>
      </c>
      <c r="AB141" s="185">
        <f>0</f>
        <v>0</v>
      </c>
      <c r="AC141" s="76">
        <f>0</f>
        <v>0</v>
      </c>
      <c r="AD141" s="76">
        <f>0</f>
        <v>0</v>
      </c>
      <c r="AE141" s="76"/>
      <c r="AF141" s="76"/>
      <c r="AG141" s="76"/>
      <c r="AH141" s="76"/>
      <c r="AI141" s="76"/>
      <c r="AJ141" s="76"/>
      <c r="AK141" s="183"/>
      <c r="AL141" s="206">
        <f t="shared" si="4"/>
        <v>1</v>
      </c>
      <c r="AM141" s="91">
        <f>0</f>
        <v>0</v>
      </c>
      <c r="AN141" s="208">
        <f t="shared" si="5"/>
        <v>1</v>
      </c>
      <c r="AO141" s="278">
        <v>45064</v>
      </c>
      <c r="AP141" s="105" t="s">
        <v>273</v>
      </c>
      <c r="AQ141" s="97" t="s">
        <v>584</v>
      </c>
      <c r="AR141" s="108" t="s">
        <v>148</v>
      </c>
      <c r="AS141" s="98"/>
      <c r="AT141" s="99"/>
      <c r="AU141" s="99"/>
      <c r="AV141" s="105"/>
      <c r="AW141" s="99"/>
      <c r="AX141" s="100"/>
      <c r="AY141" s="100"/>
      <c r="AZ141" s="107"/>
      <c r="BA141" s="81"/>
      <c r="BB141" s="81"/>
      <c r="BC141" s="81"/>
    </row>
    <row r="142" spans="1:55" ht="28" customHeight="1" x14ac:dyDescent="0.55000000000000004">
      <c r="A142" s="131">
        <v>136</v>
      </c>
      <c r="B142" s="141">
        <v>45063</v>
      </c>
      <c r="C142" s="77" t="s">
        <v>134</v>
      </c>
      <c r="D142" s="77" t="s">
        <v>135</v>
      </c>
      <c r="E142" s="77" t="s">
        <v>136</v>
      </c>
      <c r="F142" s="142" t="s">
        <v>210</v>
      </c>
      <c r="G142" s="145" t="s">
        <v>562</v>
      </c>
      <c r="H142" s="146" t="s">
        <v>110</v>
      </c>
      <c r="I142" s="145" t="s">
        <v>563</v>
      </c>
      <c r="J142" s="240" t="s">
        <v>564</v>
      </c>
      <c r="K142" s="240" t="s">
        <v>80</v>
      </c>
      <c r="L142" s="241" t="s">
        <v>389</v>
      </c>
      <c r="M142" s="241" t="s">
        <v>479</v>
      </c>
      <c r="N142" s="241" t="s">
        <v>214</v>
      </c>
      <c r="O142" s="241" t="s">
        <v>80</v>
      </c>
      <c r="P142" s="103"/>
      <c r="Q142" s="134"/>
      <c r="R142" s="182">
        <f>0</f>
        <v>0</v>
      </c>
      <c r="S142" s="76">
        <f>0</f>
        <v>0</v>
      </c>
      <c r="T142" s="76">
        <f>0</f>
        <v>0</v>
      </c>
      <c r="U142" s="90">
        <v>1</v>
      </c>
      <c r="V142" s="76"/>
      <c r="W142" s="76">
        <f>0</f>
        <v>0</v>
      </c>
      <c r="X142" s="76">
        <f>0</f>
        <v>0</v>
      </c>
      <c r="Y142" s="76">
        <f>0</f>
        <v>0</v>
      </c>
      <c r="Z142" s="76">
        <f>0</f>
        <v>0</v>
      </c>
      <c r="AA142" s="183">
        <f>0</f>
        <v>0</v>
      </c>
      <c r="AB142" s="185">
        <f>0</f>
        <v>0</v>
      </c>
      <c r="AC142" s="76">
        <f>0</f>
        <v>0</v>
      </c>
      <c r="AD142" s="76">
        <f>0</f>
        <v>0</v>
      </c>
      <c r="AE142" s="76"/>
      <c r="AF142" s="76"/>
      <c r="AG142" s="76"/>
      <c r="AH142" s="76"/>
      <c r="AI142" s="76"/>
      <c r="AJ142" s="76"/>
      <c r="AK142" s="183"/>
      <c r="AL142" s="206">
        <f t="shared" si="4"/>
        <v>1</v>
      </c>
      <c r="AM142" s="91">
        <f>0</f>
        <v>0</v>
      </c>
      <c r="AN142" s="208">
        <f t="shared" si="5"/>
        <v>1</v>
      </c>
      <c r="AO142" s="275">
        <v>45096</v>
      </c>
      <c r="AP142" s="151" t="s">
        <v>273</v>
      </c>
      <c r="AQ142" s="97" t="s">
        <v>1297</v>
      </c>
      <c r="AR142" s="108" t="s">
        <v>148</v>
      </c>
      <c r="AS142" s="98"/>
      <c r="AT142" s="99"/>
      <c r="AU142" s="99"/>
      <c r="AV142" s="105"/>
      <c r="AW142" s="99"/>
      <c r="AX142" s="100"/>
      <c r="AY142" s="100"/>
      <c r="AZ142" s="107"/>
      <c r="BA142" s="81"/>
      <c r="BB142" s="81"/>
      <c r="BC142" s="81"/>
    </row>
    <row r="143" spans="1:55" ht="28" customHeight="1" x14ac:dyDescent="0.55000000000000004">
      <c r="A143" s="131">
        <v>137</v>
      </c>
      <c r="B143" s="141">
        <v>45063</v>
      </c>
      <c r="C143" s="77" t="s">
        <v>134</v>
      </c>
      <c r="D143" s="77" t="s">
        <v>135</v>
      </c>
      <c r="E143" s="77" t="s">
        <v>136</v>
      </c>
      <c r="F143" s="142" t="s">
        <v>210</v>
      </c>
      <c r="G143" s="145" t="s">
        <v>565</v>
      </c>
      <c r="H143" s="146" t="s">
        <v>110</v>
      </c>
      <c r="I143" s="145" t="s">
        <v>566</v>
      </c>
      <c r="J143" s="240" t="s">
        <v>567</v>
      </c>
      <c r="K143" s="240" t="s">
        <v>80</v>
      </c>
      <c r="L143" s="241" t="s">
        <v>389</v>
      </c>
      <c r="M143" s="241" t="s">
        <v>479</v>
      </c>
      <c r="N143" s="241" t="s">
        <v>214</v>
      </c>
      <c r="O143" s="241" t="s">
        <v>80</v>
      </c>
      <c r="P143" s="103"/>
      <c r="Q143" s="134"/>
      <c r="R143" s="182">
        <f>0</f>
        <v>0</v>
      </c>
      <c r="S143" s="76">
        <f>0</f>
        <v>0</v>
      </c>
      <c r="T143" s="76">
        <f>0</f>
        <v>0</v>
      </c>
      <c r="U143" s="90">
        <v>1</v>
      </c>
      <c r="V143" s="76"/>
      <c r="W143" s="76">
        <f>0</f>
        <v>0</v>
      </c>
      <c r="X143" s="76">
        <f>0</f>
        <v>0</v>
      </c>
      <c r="Y143" s="76">
        <f>0</f>
        <v>0</v>
      </c>
      <c r="Z143" s="76">
        <f>0</f>
        <v>0</v>
      </c>
      <c r="AA143" s="183">
        <f>0</f>
        <v>0</v>
      </c>
      <c r="AB143" s="185">
        <f>0</f>
        <v>0</v>
      </c>
      <c r="AC143" s="76">
        <f>0</f>
        <v>0</v>
      </c>
      <c r="AD143" s="76">
        <f>0</f>
        <v>0</v>
      </c>
      <c r="AE143" s="76"/>
      <c r="AF143" s="76"/>
      <c r="AG143" s="76"/>
      <c r="AH143" s="76"/>
      <c r="AI143" s="76"/>
      <c r="AJ143" s="76"/>
      <c r="AK143" s="183"/>
      <c r="AL143" s="206">
        <f t="shared" si="4"/>
        <v>1</v>
      </c>
      <c r="AM143" s="91">
        <f>0</f>
        <v>0</v>
      </c>
      <c r="AN143" s="208">
        <f t="shared" si="5"/>
        <v>1</v>
      </c>
      <c r="AO143" s="278">
        <v>45064</v>
      </c>
      <c r="AP143" s="105" t="s">
        <v>273</v>
      </c>
      <c r="AQ143" s="97" t="s">
        <v>584</v>
      </c>
      <c r="AR143" s="108" t="s">
        <v>148</v>
      </c>
      <c r="AS143" s="98"/>
      <c r="AT143" s="99"/>
      <c r="AU143" s="99"/>
      <c r="AV143" s="105"/>
      <c r="AW143" s="99"/>
      <c r="AX143" s="100"/>
      <c r="AY143" s="100"/>
      <c r="AZ143" s="107"/>
      <c r="BA143" s="81"/>
      <c r="BB143" s="81"/>
      <c r="BC143" s="81"/>
    </row>
    <row r="144" spans="1:55" ht="28" customHeight="1" x14ac:dyDescent="0.55000000000000004">
      <c r="A144" s="131">
        <v>138</v>
      </c>
      <c r="B144" s="141">
        <v>45063</v>
      </c>
      <c r="C144" s="77" t="s">
        <v>134</v>
      </c>
      <c r="D144" s="77" t="s">
        <v>135</v>
      </c>
      <c r="E144" s="77" t="s">
        <v>136</v>
      </c>
      <c r="F144" s="142" t="s">
        <v>210</v>
      </c>
      <c r="G144" s="145" t="s">
        <v>568</v>
      </c>
      <c r="H144" s="146" t="s">
        <v>110</v>
      </c>
      <c r="I144" s="145" t="s">
        <v>569</v>
      </c>
      <c r="J144" s="240" t="s">
        <v>570</v>
      </c>
      <c r="K144" s="240" t="s">
        <v>80</v>
      </c>
      <c r="L144" s="241" t="s">
        <v>389</v>
      </c>
      <c r="M144" s="241" t="s">
        <v>479</v>
      </c>
      <c r="N144" s="241" t="s">
        <v>214</v>
      </c>
      <c r="O144" s="241" t="s">
        <v>80</v>
      </c>
      <c r="P144" s="103"/>
      <c r="Q144" s="134"/>
      <c r="R144" s="182">
        <f>0</f>
        <v>0</v>
      </c>
      <c r="S144" s="76">
        <f>0</f>
        <v>0</v>
      </c>
      <c r="T144" s="76">
        <f>0</f>
        <v>0</v>
      </c>
      <c r="U144" s="90">
        <v>1</v>
      </c>
      <c r="V144" s="76"/>
      <c r="W144" s="76">
        <f>0</f>
        <v>0</v>
      </c>
      <c r="X144" s="76">
        <f>0</f>
        <v>0</v>
      </c>
      <c r="Y144" s="76">
        <f>0</f>
        <v>0</v>
      </c>
      <c r="Z144" s="76">
        <f>0</f>
        <v>0</v>
      </c>
      <c r="AA144" s="183">
        <f>0</f>
        <v>0</v>
      </c>
      <c r="AB144" s="185">
        <f>0</f>
        <v>0</v>
      </c>
      <c r="AC144" s="76">
        <f>0</f>
        <v>0</v>
      </c>
      <c r="AD144" s="76">
        <f>0</f>
        <v>0</v>
      </c>
      <c r="AE144" s="76"/>
      <c r="AF144" s="76"/>
      <c r="AG144" s="76"/>
      <c r="AH144" s="76"/>
      <c r="AI144" s="76"/>
      <c r="AJ144" s="76"/>
      <c r="AK144" s="183"/>
      <c r="AL144" s="206">
        <f t="shared" si="4"/>
        <v>1</v>
      </c>
      <c r="AM144" s="91">
        <f>0</f>
        <v>0</v>
      </c>
      <c r="AN144" s="208">
        <f t="shared" si="5"/>
        <v>1</v>
      </c>
      <c r="AO144" s="278">
        <v>45064</v>
      </c>
      <c r="AP144" s="105" t="s">
        <v>273</v>
      </c>
      <c r="AQ144" s="97" t="s">
        <v>584</v>
      </c>
      <c r="AR144" s="108" t="s">
        <v>148</v>
      </c>
      <c r="AS144" s="98"/>
      <c r="AT144" s="99"/>
      <c r="AU144" s="99"/>
      <c r="AV144" s="105"/>
      <c r="AW144" s="99"/>
      <c r="AX144" s="100"/>
      <c r="AY144" s="100"/>
      <c r="AZ144" s="107"/>
      <c r="BA144" s="81"/>
      <c r="BB144" s="81"/>
      <c r="BC144" s="81"/>
    </row>
    <row r="145" spans="1:55" ht="28" customHeight="1" x14ac:dyDescent="0.55000000000000004">
      <c r="A145" s="131">
        <v>139</v>
      </c>
      <c r="B145" s="141">
        <v>45063</v>
      </c>
      <c r="C145" s="77" t="s">
        <v>134</v>
      </c>
      <c r="D145" s="77" t="s">
        <v>135</v>
      </c>
      <c r="E145" s="77" t="s">
        <v>136</v>
      </c>
      <c r="F145" s="142" t="s">
        <v>210</v>
      </c>
      <c r="G145" s="145" t="s">
        <v>571</v>
      </c>
      <c r="H145" s="146" t="s">
        <v>110</v>
      </c>
      <c r="I145" s="145" t="s">
        <v>572</v>
      </c>
      <c r="J145" s="240" t="s">
        <v>573</v>
      </c>
      <c r="K145" s="240" t="s">
        <v>80</v>
      </c>
      <c r="L145" s="241" t="s">
        <v>389</v>
      </c>
      <c r="M145" s="241" t="s">
        <v>479</v>
      </c>
      <c r="N145" s="241" t="s">
        <v>214</v>
      </c>
      <c r="O145" s="241" t="s">
        <v>80</v>
      </c>
      <c r="P145" s="103"/>
      <c r="Q145" s="134"/>
      <c r="R145" s="182">
        <f>0</f>
        <v>0</v>
      </c>
      <c r="S145" s="76">
        <f>0</f>
        <v>0</v>
      </c>
      <c r="T145" s="76">
        <f>0</f>
        <v>0</v>
      </c>
      <c r="U145" s="90">
        <v>1</v>
      </c>
      <c r="V145" s="76"/>
      <c r="W145" s="76">
        <f>0</f>
        <v>0</v>
      </c>
      <c r="X145" s="76">
        <f>0</f>
        <v>0</v>
      </c>
      <c r="Y145" s="76">
        <f>0</f>
        <v>0</v>
      </c>
      <c r="Z145" s="76">
        <f>0</f>
        <v>0</v>
      </c>
      <c r="AA145" s="183">
        <f>0</f>
        <v>0</v>
      </c>
      <c r="AB145" s="185">
        <f>0</f>
        <v>0</v>
      </c>
      <c r="AC145" s="76">
        <f>0</f>
        <v>0</v>
      </c>
      <c r="AD145" s="76">
        <f>0</f>
        <v>0</v>
      </c>
      <c r="AE145" s="76"/>
      <c r="AF145" s="76"/>
      <c r="AG145" s="76"/>
      <c r="AH145" s="76"/>
      <c r="AI145" s="76"/>
      <c r="AJ145" s="76"/>
      <c r="AK145" s="183"/>
      <c r="AL145" s="206">
        <f t="shared" si="4"/>
        <v>1</v>
      </c>
      <c r="AM145" s="91">
        <f>0</f>
        <v>0</v>
      </c>
      <c r="AN145" s="208">
        <f t="shared" si="5"/>
        <v>1</v>
      </c>
      <c r="AO145" s="278">
        <v>45064</v>
      </c>
      <c r="AP145" s="105" t="s">
        <v>273</v>
      </c>
      <c r="AQ145" s="97" t="s">
        <v>584</v>
      </c>
      <c r="AR145" s="108" t="s">
        <v>148</v>
      </c>
      <c r="AS145" s="98"/>
      <c r="AT145" s="99"/>
      <c r="AU145" s="99"/>
      <c r="AV145" s="105"/>
      <c r="AW145" s="99"/>
      <c r="AX145" s="100"/>
      <c r="AY145" s="100"/>
      <c r="AZ145" s="107"/>
      <c r="BA145" s="81"/>
      <c r="BB145" s="81"/>
      <c r="BC145" s="81"/>
    </row>
    <row r="146" spans="1:55" ht="28" customHeight="1" x14ac:dyDescent="0.55000000000000004">
      <c r="A146" s="131">
        <v>140</v>
      </c>
      <c r="B146" s="141">
        <v>45063</v>
      </c>
      <c r="C146" s="77" t="s">
        <v>134</v>
      </c>
      <c r="D146" s="77" t="s">
        <v>135</v>
      </c>
      <c r="E146" s="77" t="s">
        <v>136</v>
      </c>
      <c r="F146" s="142" t="s">
        <v>210</v>
      </c>
      <c r="G146" s="145" t="s">
        <v>574</v>
      </c>
      <c r="H146" s="146" t="s">
        <v>110</v>
      </c>
      <c r="I146" s="145" t="s">
        <v>575</v>
      </c>
      <c r="J146" s="240" t="s">
        <v>576</v>
      </c>
      <c r="K146" s="240" t="s">
        <v>80</v>
      </c>
      <c r="L146" s="241" t="s">
        <v>389</v>
      </c>
      <c r="M146" s="241" t="s">
        <v>479</v>
      </c>
      <c r="N146" s="241" t="s">
        <v>214</v>
      </c>
      <c r="O146" s="241" t="s">
        <v>80</v>
      </c>
      <c r="P146" s="103"/>
      <c r="Q146" s="134"/>
      <c r="R146" s="182">
        <f>0</f>
        <v>0</v>
      </c>
      <c r="S146" s="76">
        <f>0</f>
        <v>0</v>
      </c>
      <c r="T146" s="76">
        <f>0</f>
        <v>0</v>
      </c>
      <c r="U146" s="90">
        <v>1</v>
      </c>
      <c r="V146" s="76"/>
      <c r="W146" s="76">
        <f>0</f>
        <v>0</v>
      </c>
      <c r="X146" s="76">
        <f>0</f>
        <v>0</v>
      </c>
      <c r="Y146" s="76">
        <f>0</f>
        <v>0</v>
      </c>
      <c r="Z146" s="76">
        <f>0</f>
        <v>0</v>
      </c>
      <c r="AA146" s="183">
        <f>0</f>
        <v>0</v>
      </c>
      <c r="AB146" s="185">
        <f>0</f>
        <v>0</v>
      </c>
      <c r="AC146" s="76">
        <f>0</f>
        <v>0</v>
      </c>
      <c r="AD146" s="76">
        <f>0</f>
        <v>0</v>
      </c>
      <c r="AE146" s="76"/>
      <c r="AF146" s="76"/>
      <c r="AG146" s="76"/>
      <c r="AH146" s="76"/>
      <c r="AI146" s="76"/>
      <c r="AJ146" s="76"/>
      <c r="AK146" s="183"/>
      <c r="AL146" s="206">
        <f t="shared" si="4"/>
        <v>1</v>
      </c>
      <c r="AM146" s="91">
        <f>0</f>
        <v>0</v>
      </c>
      <c r="AN146" s="208">
        <f t="shared" si="5"/>
        <v>1</v>
      </c>
      <c r="AO146" s="278">
        <v>45064</v>
      </c>
      <c r="AP146" s="105" t="s">
        <v>273</v>
      </c>
      <c r="AQ146" s="97" t="s">
        <v>584</v>
      </c>
      <c r="AR146" s="108" t="s">
        <v>148</v>
      </c>
      <c r="AS146" s="98"/>
      <c r="AT146" s="99"/>
      <c r="AU146" s="99"/>
      <c r="AV146" s="105"/>
      <c r="AW146" s="99"/>
      <c r="AX146" s="100"/>
      <c r="AY146" s="100"/>
      <c r="AZ146" s="107"/>
      <c r="BA146" s="81"/>
      <c r="BB146" s="81"/>
      <c r="BC146" s="81"/>
    </row>
    <row r="147" spans="1:55" ht="28" customHeight="1" x14ac:dyDescent="0.25">
      <c r="A147" s="131">
        <v>141</v>
      </c>
      <c r="B147" s="147">
        <v>45068</v>
      </c>
      <c r="C147" s="77" t="s">
        <v>134</v>
      </c>
      <c r="D147" s="77" t="s">
        <v>135</v>
      </c>
      <c r="E147" s="77" t="s">
        <v>136</v>
      </c>
      <c r="F147" s="168" t="s">
        <v>265</v>
      </c>
      <c r="G147" s="169" t="s">
        <v>586</v>
      </c>
      <c r="H147" s="170" t="s">
        <v>110</v>
      </c>
      <c r="I147" s="169" t="s">
        <v>587</v>
      </c>
      <c r="J147" s="242" t="s">
        <v>588</v>
      </c>
      <c r="K147" s="242" t="s">
        <v>80</v>
      </c>
      <c r="L147" s="243" t="s">
        <v>119</v>
      </c>
      <c r="M147" s="243" t="s">
        <v>154</v>
      </c>
      <c r="N147" s="243" t="s">
        <v>80</v>
      </c>
      <c r="O147" s="243" t="s">
        <v>149</v>
      </c>
      <c r="P147" s="171"/>
      <c r="Q147" s="303"/>
      <c r="R147" s="182">
        <f>0</f>
        <v>0</v>
      </c>
      <c r="S147" s="87"/>
      <c r="T147" s="87"/>
      <c r="U147" s="87"/>
      <c r="V147" s="88">
        <v>1</v>
      </c>
      <c r="W147" s="87"/>
      <c r="X147" s="87"/>
      <c r="Y147" s="87"/>
      <c r="Z147" s="87"/>
      <c r="AA147" s="184"/>
      <c r="AB147" s="186"/>
      <c r="AC147" s="87"/>
      <c r="AD147" s="87"/>
      <c r="AE147" s="87"/>
      <c r="AF147" s="87"/>
      <c r="AG147" s="87"/>
      <c r="AH147" s="87"/>
      <c r="AI147" s="87"/>
      <c r="AJ147" s="87"/>
      <c r="AK147" s="184"/>
      <c r="AL147" s="206">
        <f t="shared" si="4"/>
        <v>1</v>
      </c>
      <c r="AM147" s="91">
        <f>0</f>
        <v>0</v>
      </c>
      <c r="AN147" s="207">
        <f t="shared" si="5"/>
        <v>1</v>
      </c>
      <c r="AO147" s="195"/>
      <c r="AP147" s="172" t="s">
        <v>273</v>
      </c>
      <c r="AQ147" s="171" t="s">
        <v>902</v>
      </c>
      <c r="AR147" s="171" t="s">
        <v>276</v>
      </c>
      <c r="AS147" s="159"/>
      <c r="AT147" s="153"/>
      <c r="AU147" s="154">
        <v>1</v>
      </c>
      <c r="AV147" s="154"/>
      <c r="AW147" s="99" t="s">
        <v>457</v>
      </c>
      <c r="AX147" s="155"/>
      <c r="AY147" s="156"/>
      <c r="AZ147" s="157"/>
      <c r="BA147" s="81"/>
      <c r="BB147" s="81"/>
      <c r="BC147" s="81"/>
    </row>
    <row r="148" spans="1:55" ht="28" customHeight="1" x14ac:dyDescent="0.25">
      <c r="A148" s="131">
        <v>142</v>
      </c>
      <c r="B148" s="147">
        <v>45068</v>
      </c>
      <c r="C148" s="77" t="s">
        <v>134</v>
      </c>
      <c r="D148" s="77" t="s">
        <v>135</v>
      </c>
      <c r="E148" s="77" t="s">
        <v>136</v>
      </c>
      <c r="F148" s="148" t="s">
        <v>265</v>
      </c>
      <c r="G148" s="149" t="s">
        <v>589</v>
      </c>
      <c r="H148" s="150" t="s">
        <v>110</v>
      </c>
      <c r="I148" s="149" t="s">
        <v>590</v>
      </c>
      <c r="J148" s="244" t="s">
        <v>591</v>
      </c>
      <c r="K148" s="244" t="s">
        <v>80</v>
      </c>
      <c r="L148" s="245" t="s">
        <v>119</v>
      </c>
      <c r="M148" s="245" t="s">
        <v>154</v>
      </c>
      <c r="N148" s="245" t="s">
        <v>80</v>
      </c>
      <c r="O148" s="245" t="s">
        <v>149</v>
      </c>
      <c r="P148" s="158"/>
      <c r="Q148" s="304"/>
      <c r="R148" s="182">
        <f>0</f>
        <v>0</v>
      </c>
      <c r="S148" s="87"/>
      <c r="T148" s="87"/>
      <c r="U148" s="87"/>
      <c r="V148" s="88">
        <v>1</v>
      </c>
      <c r="W148" s="87"/>
      <c r="X148" s="87"/>
      <c r="Y148" s="87"/>
      <c r="Z148" s="87"/>
      <c r="AA148" s="184"/>
      <c r="AB148" s="186"/>
      <c r="AC148" s="87"/>
      <c r="AD148" s="87"/>
      <c r="AE148" s="87"/>
      <c r="AF148" s="87"/>
      <c r="AG148" s="87"/>
      <c r="AH148" s="87"/>
      <c r="AI148" s="87"/>
      <c r="AJ148" s="87"/>
      <c r="AK148" s="184"/>
      <c r="AL148" s="206">
        <f t="shared" si="4"/>
        <v>1</v>
      </c>
      <c r="AM148" s="91">
        <f>0</f>
        <v>0</v>
      </c>
      <c r="AN148" s="208">
        <f t="shared" si="5"/>
        <v>1</v>
      </c>
      <c r="AO148" s="193">
        <v>45075</v>
      </c>
      <c r="AP148" s="151" t="s">
        <v>273</v>
      </c>
      <c r="AQ148" s="152" t="s">
        <v>668</v>
      </c>
      <c r="AR148" s="152" t="s">
        <v>148</v>
      </c>
      <c r="AS148" s="159"/>
      <c r="AT148" s="153"/>
      <c r="AU148" s="154">
        <v>1</v>
      </c>
      <c r="AV148" s="154"/>
      <c r="AW148" s="99" t="s">
        <v>457</v>
      </c>
      <c r="AX148" s="155"/>
      <c r="AY148" s="156"/>
      <c r="AZ148" s="157"/>
      <c r="BA148" s="81"/>
      <c r="BB148" s="81"/>
      <c r="BC148" s="81"/>
    </row>
    <row r="149" spans="1:55" ht="28" customHeight="1" x14ac:dyDescent="0.25">
      <c r="A149" s="131">
        <v>143</v>
      </c>
      <c r="B149" s="147">
        <v>45068</v>
      </c>
      <c r="C149" s="77" t="s">
        <v>134</v>
      </c>
      <c r="D149" s="77" t="s">
        <v>135</v>
      </c>
      <c r="E149" s="77" t="s">
        <v>136</v>
      </c>
      <c r="F149" s="148" t="s">
        <v>265</v>
      </c>
      <c r="G149" s="149" t="s">
        <v>592</v>
      </c>
      <c r="H149" s="150" t="s">
        <v>287</v>
      </c>
      <c r="I149" s="149" t="s">
        <v>593</v>
      </c>
      <c r="J149" s="244" t="s">
        <v>666</v>
      </c>
      <c r="K149" s="244" t="s">
        <v>80</v>
      </c>
      <c r="L149" s="245" t="s">
        <v>320</v>
      </c>
      <c r="M149" s="245" t="s">
        <v>154</v>
      </c>
      <c r="N149" s="245" t="s">
        <v>80</v>
      </c>
      <c r="O149" s="245" t="s">
        <v>155</v>
      </c>
      <c r="P149" s="158"/>
      <c r="Q149" s="304"/>
      <c r="R149" s="182">
        <f>0</f>
        <v>0</v>
      </c>
      <c r="S149" s="87"/>
      <c r="T149" s="87"/>
      <c r="U149" s="87"/>
      <c r="V149" s="88">
        <v>1</v>
      </c>
      <c r="W149" s="87"/>
      <c r="X149" s="87"/>
      <c r="Y149" s="87"/>
      <c r="Z149" s="87"/>
      <c r="AA149" s="184"/>
      <c r="AB149" s="186"/>
      <c r="AC149" s="87"/>
      <c r="AD149" s="87"/>
      <c r="AE149" s="87"/>
      <c r="AF149" s="87"/>
      <c r="AG149" s="87"/>
      <c r="AH149" s="87"/>
      <c r="AI149" s="87"/>
      <c r="AJ149" s="87"/>
      <c r="AK149" s="184"/>
      <c r="AL149" s="206">
        <f t="shared" si="4"/>
        <v>1</v>
      </c>
      <c r="AM149" s="91">
        <f>0</f>
        <v>0</v>
      </c>
      <c r="AN149" s="208">
        <f t="shared" si="5"/>
        <v>1</v>
      </c>
      <c r="AO149" s="193">
        <v>45075</v>
      </c>
      <c r="AP149" s="151" t="s">
        <v>273</v>
      </c>
      <c r="AQ149" s="152" t="s">
        <v>668</v>
      </c>
      <c r="AR149" s="152" t="s">
        <v>148</v>
      </c>
      <c r="AS149" s="159"/>
      <c r="AT149" s="153"/>
      <c r="AU149" s="154"/>
      <c r="AV149" s="154"/>
      <c r="AW149" s="154"/>
      <c r="AX149" s="155"/>
      <c r="AY149" s="156"/>
      <c r="AZ149" s="157"/>
      <c r="BA149" s="81"/>
      <c r="BB149" s="81"/>
      <c r="BC149" s="81"/>
    </row>
    <row r="150" spans="1:55" ht="28" customHeight="1" x14ac:dyDescent="0.25">
      <c r="A150" s="131">
        <v>144</v>
      </c>
      <c r="B150" s="147">
        <v>45068</v>
      </c>
      <c r="C150" s="77" t="s">
        <v>134</v>
      </c>
      <c r="D150" s="77" t="s">
        <v>135</v>
      </c>
      <c r="E150" s="77" t="s">
        <v>136</v>
      </c>
      <c r="F150" s="148" t="s">
        <v>265</v>
      </c>
      <c r="G150" s="149" t="s">
        <v>594</v>
      </c>
      <c r="H150" s="150" t="s">
        <v>110</v>
      </c>
      <c r="I150" s="149" t="s">
        <v>267</v>
      </c>
      <c r="J150" s="244" t="s">
        <v>595</v>
      </c>
      <c r="K150" s="244" t="s">
        <v>80</v>
      </c>
      <c r="L150" s="245" t="s">
        <v>153</v>
      </c>
      <c r="M150" s="245" t="s">
        <v>154</v>
      </c>
      <c r="N150" s="245" t="s">
        <v>80</v>
      </c>
      <c r="O150" s="245" t="s">
        <v>155</v>
      </c>
      <c r="P150" s="158"/>
      <c r="Q150" s="304"/>
      <c r="R150" s="182">
        <f>0</f>
        <v>0</v>
      </c>
      <c r="S150" s="87"/>
      <c r="T150" s="87"/>
      <c r="U150" s="87"/>
      <c r="V150" s="88">
        <v>1</v>
      </c>
      <c r="W150" s="87"/>
      <c r="X150" s="87"/>
      <c r="Y150" s="87"/>
      <c r="Z150" s="87"/>
      <c r="AA150" s="184"/>
      <c r="AB150" s="186"/>
      <c r="AC150" s="87"/>
      <c r="AD150" s="87"/>
      <c r="AE150" s="87"/>
      <c r="AF150" s="87"/>
      <c r="AG150" s="87"/>
      <c r="AH150" s="87"/>
      <c r="AI150" s="87"/>
      <c r="AJ150" s="87"/>
      <c r="AK150" s="184"/>
      <c r="AL150" s="206">
        <f t="shared" si="4"/>
        <v>1</v>
      </c>
      <c r="AM150" s="91">
        <f>0</f>
        <v>0</v>
      </c>
      <c r="AN150" s="208">
        <f t="shared" si="5"/>
        <v>1</v>
      </c>
      <c r="AO150" s="193">
        <v>45075</v>
      </c>
      <c r="AP150" s="151" t="s">
        <v>273</v>
      </c>
      <c r="AQ150" s="152" t="s">
        <v>668</v>
      </c>
      <c r="AR150" s="152" t="s">
        <v>148</v>
      </c>
      <c r="AS150" s="159"/>
      <c r="AT150" s="153"/>
      <c r="AU150" s="154"/>
      <c r="AV150" s="154"/>
      <c r="AW150" s="154"/>
      <c r="AX150" s="155"/>
      <c r="AY150" s="156"/>
      <c r="AZ150" s="157"/>
      <c r="BA150" s="81"/>
      <c r="BB150" s="81"/>
      <c r="BC150" s="81"/>
    </row>
    <row r="151" spans="1:55" ht="28" customHeight="1" x14ac:dyDescent="0.25">
      <c r="A151" s="131">
        <v>145</v>
      </c>
      <c r="B151" s="147">
        <v>45068</v>
      </c>
      <c r="C151" s="77" t="s">
        <v>134</v>
      </c>
      <c r="D151" s="77" t="s">
        <v>135</v>
      </c>
      <c r="E151" s="77" t="s">
        <v>136</v>
      </c>
      <c r="F151" s="148" t="s">
        <v>265</v>
      </c>
      <c r="G151" s="149" t="s">
        <v>596</v>
      </c>
      <c r="H151" s="150" t="s">
        <v>110</v>
      </c>
      <c r="I151" s="149" t="s">
        <v>267</v>
      </c>
      <c r="J151" s="244" t="s">
        <v>597</v>
      </c>
      <c r="K151" s="244" t="s">
        <v>80</v>
      </c>
      <c r="L151" s="245" t="s">
        <v>153</v>
      </c>
      <c r="M151" s="245" t="s">
        <v>154</v>
      </c>
      <c r="N151" s="245" t="s">
        <v>80</v>
      </c>
      <c r="O151" s="245" t="s">
        <v>155</v>
      </c>
      <c r="P151" s="158"/>
      <c r="Q151" s="304"/>
      <c r="R151" s="182">
        <f>0</f>
        <v>0</v>
      </c>
      <c r="S151" s="87"/>
      <c r="T151" s="87"/>
      <c r="U151" s="87"/>
      <c r="V151" s="88">
        <v>1</v>
      </c>
      <c r="W151" s="87"/>
      <c r="X151" s="87"/>
      <c r="Y151" s="87"/>
      <c r="Z151" s="87"/>
      <c r="AA151" s="184"/>
      <c r="AB151" s="186"/>
      <c r="AC151" s="87"/>
      <c r="AD151" s="87"/>
      <c r="AE151" s="87"/>
      <c r="AF151" s="87"/>
      <c r="AG151" s="87"/>
      <c r="AH151" s="87"/>
      <c r="AI151" s="87"/>
      <c r="AJ151" s="87"/>
      <c r="AK151" s="184"/>
      <c r="AL151" s="206">
        <f t="shared" si="4"/>
        <v>1</v>
      </c>
      <c r="AM151" s="91">
        <f>0</f>
        <v>0</v>
      </c>
      <c r="AN151" s="208">
        <f t="shared" si="5"/>
        <v>1</v>
      </c>
      <c r="AO151" s="193">
        <v>45075</v>
      </c>
      <c r="AP151" s="151" t="s">
        <v>273</v>
      </c>
      <c r="AQ151" s="152" t="s">
        <v>668</v>
      </c>
      <c r="AR151" s="152" t="s">
        <v>148</v>
      </c>
      <c r="AS151" s="159"/>
      <c r="AT151" s="153"/>
      <c r="AU151" s="154"/>
      <c r="AV151" s="154"/>
      <c r="AW151" s="154"/>
      <c r="AX151" s="155"/>
      <c r="AY151" s="156"/>
      <c r="AZ151" s="157"/>
      <c r="BA151" s="81"/>
      <c r="BB151" s="81"/>
      <c r="BC151" s="81"/>
    </row>
    <row r="152" spans="1:55" ht="28" customHeight="1" x14ac:dyDescent="0.25">
      <c r="A152" s="131">
        <v>146</v>
      </c>
      <c r="B152" s="147">
        <v>45068</v>
      </c>
      <c r="C152" s="77" t="s">
        <v>134</v>
      </c>
      <c r="D152" s="77" t="s">
        <v>135</v>
      </c>
      <c r="E152" s="77" t="s">
        <v>136</v>
      </c>
      <c r="F152" s="148" t="s">
        <v>265</v>
      </c>
      <c r="G152" s="149" t="s">
        <v>598</v>
      </c>
      <c r="H152" s="150" t="s">
        <v>287</v>
      </c>
      <c r="I152" s="149" t="s">
        <v>535</v>
      </c>
      <c r="J152" s="244" t="s">
        <v>665</v>
      </c>
      <c r="K152" s="244" t="s">
        <v>80</v>
      </c>
      <c r="L152" s="245" t="s">
        <v>153</v>
      </c>
      <c r="M152" s="245" t="s">
        <v>154</v>
      </c>
      <c r="N152" s="245" t="s">
        <v>80</v>
      </c>
      <c r="O152" s="245" t="s">
        <v>155</v>
      </c>
      <c r="P152" s="158"/>
      <c r="Q152" s="304"/>
      <c r="R152" s="182">
        <f>0</f>
        <v>0</v>
      </c>
      <c r="S152" s="87"/>
      <c r="T152" s="87"/>
      <c r="U152" s="87"/>
      <c r="V152" s="88">
        <v>1</v>
      </c>
      <c r="W152" s="87"/>
      <c r="X152" s="87"/>
      <c r="Y152" s="87"/>
      <c r="Z152" s="87"/>
      <c r="AA152" s="184"/>
      <c r="AB152" s="186"/>
      <c r="AC152" s="87"/>
      <c r="AD152" s="87"/>
      <c r="AE152" s="87"/>
      <c r="AF152" s="87"/>
      <c r="AG152" s="87"/>
      <c r="AH152" s="87"/>
      <c r="AI152" s="87"/>
      <c r="AJ152" s="87"/>
      <c r="AK152" s="184"/>
      <c r="AL152" s="206">
        <f t="shared" si="4"/>
        <v>1</v>
      </c>
      <c r="AM152" s="91">
        <f>0</f>
        <v>0</v>
      </c>
      <c r="AN152" s="208">
        <f t="shared" si="5"/>
        <v>1</v>
      </c>
      <c r="AO152" s="193">
        <v>45075</v>
      </c>
      <c r="AP152" s="151" t="s">
        <v>273</v>
      </c>
      <c r="AQ152" s="152" t="s">
        <v>668</v>
      </c>
      <c r="AR152" s="152" t="s">
        <v>148</v>
      </c>
      <c r="AS152" s="159"/>
      <c r="AT152" s="153"/>
      <c r="AU152" s="154"/>
      <c r="AV152" s="154"/>
      <c r="AW152" s="154"/>
      <c r="AX152" s="155"/>
      <c r="AY152" s="156"/>
      <c r="AZ152" s="157"/>
      <c r="BA152" s="81"/>
      <c r="BB152" s="81"/>
      <c r="BC152" s="81"/>
    </row>
    <row r="153" spans="1:55" ht="28" customHeight="1" x14ac:dyDescent="0.25">
      <c r="A153" s="131">
        <v>147</v>
      </c>
      <c r="B153" s="147">
        <v>45068</v>
      </c>
      <c r="C153" s="77" t="s">
        <v>134</v>
      </c>
      <c r="D153" s="77" t="s">
        <v>135</v>
      </c>
      <c r="E153" s="77" t="s">
        <v>136</v>
      </c>
      <c r="F153" s="148" t="s">
        <v>265</v>
      </c>
      <c r="G153" s="149" t="s">
        <v>599</v>
      </c>
      <c r="H153" s="150" t="s">
        <v>110</v>
      </c>
      <c r="I153" s="149" t="s">
        <v>662</v>
      </c>
      <c r="J153" s="244" t="s">
        <v>600</v>
      </c>
      <c r="K153" s="244" t="s">
        <v>80</v>
      </c>
      <c r="L153" s="245" t="s">
        <v>153</v>
      </c>
      <c r="M153" s="245" t="s">
        <v>154</v>
      </c>
      <c r="N153" s="245" t="s">
        <v>80</v>
      </c>
      <c r="O153" s="245" t="s">
        <v>155</v>
      </c>
      <c r="P153" s="158"/>
      <c r="Q153" s="304"/>
      <c r="R153" s="182">
        <f>0</f>
        <v>0</v>
      </c>
      <c r="S153" s="87"/>
      <c r="T153" s="87"/>
      <c r="U153" s="87"/>
      <c r="V153" s="88">
        <v>1</v>
      </c>
      <c r="W153" s="87"/>
      <c r="X153" s="87"/>
      <c r="Y153" s="87"/>
      <c r="Z153" s="87"/>
      <c r="AA153" s="184"/>
      <c r="AB153" s="186"/>
      <c r="AC153" s="87"/>
      <c r="AD153" s="87"/>
      <c r="AE153" s="87"/>
      <c r="AF153" s="87"/>
      <c r="AG153" s="87"/>
      <c r="AH153" s="87"/>
      <c r="AI153" s="87"/>
      <c r="AJ153" s="87"/>
      <c r="AK153" s="184"/>
      <c r="AL153" s="206">
        <f t="shared" si="4"/>
        <v>1</v>
      </c>
      <c r="AM153" s="91">
        <f>0</f>
        <v>0</v>
      </c>
      <c r="AN153" s="208">
        <f t="shared" si="5"/>
        <v>1</v>
      </c>
      <c r="AO153" s="193">
        <v>45075</v>
      </c>
      <c r="AP153" s="151" t="s">
        <v>273</v>
      </c>
      <c r="AQ153" s="152" t="s">
        <v>668</v>
      </c>
      <c r="AR153" s="152" t="s">
        <v>148</v>
      </c>
      <c r="AS153" s="159"/>
      <c r="AT153" s="153"/>
      <c r="AU153" s="154"/>
      <c r="AV153" s="154"/>
      <c r="AW153" s="154"/>
      <c r="AX153" s="155"/>
      <c r="AY153" s="156"/>
      <c r="AZ153" s="157"/>
      <c r="BA153" s="81"/>
      <c r="BB153" s="81"/>
      <c r="BC153" s="81"/>
    </row>
    <row r="154" spans="1:55" ht="28" customHeight="1" x14ac:dyDescent="0.25">
      <c r="A154" s="131">
        <v>148</v>
      </c>
      <c r="B154" s="147">
        <v>45068</v>
      </c>
      <c r="C154" s="77" t="s">
        <v>134</v>
      </c>
      <c r="D154" s="77" t="s">
        <v>135</v>
      </c>
      <c r="E154" s="77" t="s">
        <v>136</v>
      </c>
      <c r="F154" s="148" t="s">
        <v>265</v>
      </c>
      <c r="G154" s="149" t="s">
        <v>601</v>
      </c>
      <c r="H154" s="150" t="s">
        <v>110</v>
      </c>
      <c r="I154" s="149" t="s">
        <v>602</v>
      </c>
      <c r="J154" s="244" t="s">
        <v>603</v>
      </c>
      <c r="K154" s="244" t="s">
        <v>80</v>
      </c>
      <c r="L154" s="245" t="s">
        <v>153</v>
      </c>
      <c r="M154" s="245" t="s">
        <v>154</v>
      </c>
      <c r="N154" s="245" t="s">
        <v>80</v>
      </c>
      <c r="O154" s="245" t="s">
        <v>155</v>
      </c>
      <c r="P154" s="158"/>
      <c r="Q154" s="304"/>
      <c r="R154" s="182">
        <f>0</f>
        <v>0</v>
      </c>
      <c r="S154" s="87"/>
      <c r="T154" s="87"/>
      <c r="U154" s="87"/>
      <c r="V154" s="88">
        <v>1</v>
      </c>
      <c r="W154" s="87"/>
      <c r="X154" s="87"/>
      <c r="Y154" s="87"/>
      <c r="Z154" s="87"/>
      <c r="AA154" s="184"/>
      <c r="AB154" s="186"/>
      <c r="AC154" s="87"/>
      <c r="AD154" s="87"/>
      <c r="AE154" s="87"/>
      <c r="AF154" s="87"/>
      <c r="AG154" s="87"/>
      <c r="AH154" s="87"/>
      <c r="AI154" s="87"/>
      <c r="AJ154" s="87"/>
      <c r="AK154" s="184"/>
      <c r="AL154" s="206">
        <f t="shared" si="4"/>
        <v>1</v>
      </c>
      <c r="AM154" s="91">
        <f>0</f>
        <v>0</v>
      </c>
      <c r="AN154" s="208">
        <f t="shared" si="5"/>
        <v>1</v>
      </c>
      <c r="AO154" s="193">
        <v>45075</v>
      </c>
      <c r="AP154" s="151" t="s">
        <v>273</v>
      </c>
      <c r="AQ154" s="152" t="s">
        <v>668</v>
      </c>
      <c r="AR154" s="152" t="s">
        <v>148</v>
      </c>
      <c r="AS154" s="159"/>
      <c r="AT154" s="153"/>
      <c r="AU154" s="154"/>
      <c r="AV154" s="154"/>
      <c r="AW154" s="154"/>
      <c r="AX154" s="155"/>
      <c r="AY154" s="156"/>
      <c r="AZ154" s="157"/>
      <c r="BA154" s="81"/>
      <c r="BB154" s="81"/>
      <c r="BC154" s="81"/>
    </row>
    <row r="155" spans="1:55" ht="28" customHeight="1" x14ac:dyDescent="0.25">
      <c r="A155" s="320">
        <v>149</v>
      </c>
      <c r="B155" s="323">
        <v>45068</v>
      </c>
      <c r="C155" s="77" t="s">
        <v>134</v>
      </c>
      <c r="D155" s="77" t="s">
        <v>135</v>
      </c>
      <c r="E155" s="77" t="s">
        <v>136</v>
      </c>
      <c r="F155" s="345" t="s">
        <v>265</v>
      </c>
      <c r="G155" s="346" t="s">
        <v>604</v>
      </c>
      <c r="H155" s="347" t="s">
        <v>110</v>
      </c>
      <c r="I155" s="346" t="s">
        <v>605</v>
      </c>
      <c r="J155" s="348" t="s">
        <v>606</v>
      </c>
      <c r="K155" s="348" t="s">
        <v>80</v>
      </c>
      <c r="L155" s="349" t="s">
        <v>153</v>
      </c>
      <c r="M155" s="349" t="s">
        <v>607</v>
      </c>
      <c r="N155" s="349" t="s">
        <v>80</v>
      </c>
      <c r="O155" s="349" t="s">
        <v>1219</v>
      </c>
      <c r="P155" s="350"/>
      <c r="Q155" s="351"/>
      <c r="R155" s="182">
        <f>0</f>
        <v>0</v>
      </c>
      <c r="S155" s="87"/>
      <c r="T155" s="87"/>
      <c r="U155" s="87"/>
      <c r="V155" s="88">
        <v>1</v>
      </c>
      <c r="W155" s="87"/>
      <c r="X155" s="87"/>
      <c r="Y155" s="87"/>
      <c r="Z155" s="87"/>
      <c r="AA155" s="184"/>
      <c r="AB155" s="186"/>
      <c r="AC155" s="87"/>
      <c r="AD155" s="87"/>
      <c r="AE155" s="87"/>
      <c r="AF155" s="87"/>
      <c r="AG155" s="87"/>
      <c r="AH155" s="87"/>
      <c r="AI155" s="87"/>
      <c r="AJ155" s="87"/>
      <c r="AK155" s="184"/>
      <c r="AL155" s="206">
        <f t="shared" si="4"/>
        <v>1</v>
      </c>
      <c r="AM155" s="91">
        <f>0</f>
        <v>0</v>
      </c>
      <c r="AN155" s="208">
        <f t="shared" si="5"/>
        <v>1</v>
      </c>
      <c r="AO155" s="335">
        <v>45075</v>
      </c>
      <c r="AP155" s="336" t="s">
        <v>273</v>
      </c>
      <c r="AQ155" s="352"/>
      <c r="AR155" s="352" t="s">
        <v>667</v>
      </c>
      <c r="AS155" s="330"/>
      <c r="AT155" s="330"/>
      <c r="AU155" s="331"/>
      <c r="AV155" s="331"/>
      <c r="AW155" s="331"/>
      <c r="AX155" s="332"/>
      <c r="AY155" s="333"/>
      <c r="AZ155" s="334"/>
      <c r="BA155" s="319"/>
      <c r="BB155" s="319"/>
      <c r="BC155" s="319"/>
    </row>
    <row r="156" spans="1:55" ht="28" customHeight="1" x14ac:dyDescent="0.25">
      <c r="A156" s="131">
        <v>150</v>
      </c>
      <c r="B156" s="147">
        <v>45068</v>
      </c>
      <c r="C156" s="77" t="s">
        <v>134</v>
      </c>
      <c r="D156" s="77" t="s">
        <v>135</v>
      </c>
      <c r="E156" s="77" t="s">
        <v>136</v>
      </c>
      <c r="F156" s="148" t="s">
        <v>265</v>
      </c>
      <c r="G156" s="149" t="s">
        <v>608</v>
      </c>
      <c r="H156" s="150" t="s">
        <v>110</v>
      </c>
      <c r="I156" s="149" t="s">
        <v>602</v>
      </c>
      <c r="J156" s="244" t="s">
        <v>609</v>
      </c>
      <c r="K156" s="244" t="s">
        <v>80</v>
      </c>
      <c r="L156" s="245" t="s">
        <v>153</v>
      </c>
      <c r="M156" s="245" t="s">
        <v>154</v>
      </c>
      <c r="N156" s="245" t="s">
        <v>80</v>
      </c>
      <c r="O156" s="245" t="s">
        <v>155</v>
      </c>
      <c r="P156" s="158"/>
      <c r="Q156" s="304"/>
      <c r="R156" s="182">
        <f>0</f>
        <v>0</v>
      </c>
      <c r="S156" s="87"/>
      <c r="T156" s="87"/>
      <c r="U156" s="87"/>
      <c r="V156" s="88">
        <v>1</v>
      </c>
      <c r="W156" s="87"/>
      <c r="X156" s="87"/>
      <c r="Y156" s="87"/>
      <c r="Z156" s="87"/>
      <c r="AA156" s="184"/>
      <c r="AB156" s="186"/>
      <c r="AC156" s="87"/>
      <c r="AD156" s="87"/>
      <c r="AE156" s="87"/>
      <c r="AF156" s="87"/>
      <c r="AG156" s="87"/>
      <c r="AH156" s="87"/>
      <c r="AI156" s="87"/>
      <c r="AJ156" s="87"/>
      <c r="AK156" s="184"/>
      <c r="AL156" s="206">
        <f t="shared" si="4"/>
        <v>1</v>
      </c>
      <c r="AM156" s="91">
        <f>0</f>
        <v>0</v>
      </c>
      <c r="AN156" s="208">
        <f t="shared" si="5"/>
        <v>1</v>
      </c>
      <c r="AO156" s="193">
        <v>45075</v>
      </c>
      <c r="AP156" s="151" t="s">
        <v>273</v>
      </c>
      <c r="AQ156" s="152" t="s">
        <v>668</v>
      </c>
      <c r="AR156" s="152" t="s">
        <v>148</v>
      </c>
      <c r="AS156" s="159"/>
      <c r="AT156" s="153"/>
      <c r="AU156" s="154"/>
      <c r="AV156" s="154"/>
      <c r="AW156" s="154"/>
      <c r="AX156" s="155"/>
      <c r="AY156" s="156"/>
      <c r="AZ156" s="157"/>
      <c r="BA156" s="81"/>
      <c r="BB156" s="81"/>
      <c r="BC156" s="81"/>
    </row>
    <row r="157" spans="1:55" ht="28" customHeight="1" x14ac:dyDescent="0.25">
      <c r="A157" s="131">
        <v>151</v>
      </c>
      <c r="B157" s="147">
        <v>45068</v>
      </c>
      <c r="C157" s="77" t="s">
        <v>134</v>
      </c>
      <c r="D157" s="77" t="s">
        <v>135</v>
      </c>
      <c r="E157" s="77" t="s">
        <v>136</v>
      </c>
      <c r="F157" s="148" t="s">
        <v>265</v>
      </c>
      <c r="G157" s="149" t="s">
        <v>610</v>
      </c>
      <c r="H157" s="150" t="s">
        <v>110</v>
      </c>
      <c r="I157" s="149" t="s">
        <v>611</v>
      </c>
      <c r="J157" s="244" t="s">
        <v>612</v>
      </c>
      <c r="K157" s="244" t="s">
        <v>80</v>
      </c>
      <c r="L157" s="245" t="s">
        <v>153</v>
      </c>
      <c r="M157" s="245" t="s">
        <v>154</v>
      </c>
      <c r="N157" s="245" t="s">
        <v>80</v>
      </c>
      <c r="O157" s="245" t="s">
        <v>155</v>
      </c>
      <c r="P157" s="158"/>
      <c r="Q157" s="304"/>
      <c r="R157" s="182">
        <f>0</f>
        <v>0</v>
      </c>
      <c r="S157" s="87"/>
      <c r="T157" s="87"/>
      <c r="U157" s="87"/>
      <c r="V157" s="88">
        <v>1</v>
      </c>
      <c r="W157" s="87"/>
      <c r="X157" s="87"/>
      <c r="Y157" s="87"/>
      <c r="Z157" s="87"/>
      <c r="AA157" s="184"/>
      <c r="AB157" s="186"/>
      <c r="AC157" s="87"/>
      <c r="AD157" s="87"/>
      <c r="AE157" s="87"/>
      <c r="AF157" s="87"/>
      <c r="AG157" s="87"/>
      <c r="AH157" s="87"/>
      <c r="AI157" s="87"/>
      <c r="AJ157" s="87"/>
      <c r="AK157" s="184"/>
      <c r="AL157" s="206">
        <f t="shared" si="4"/>
        <v>1</v>
      </c>
      <c r="AM157" s="91">
        <f>0</f>
        <v>0</v>
      </c>
      <c r="AN157" s="208">
        <f t="shared" si="5"/>
        <v>1</v>
      </c>
      <c r="AO157" s="193">
        <v>45075</v>
      </c>
      <c r="AP157" s="151" t="s">
        <v>273</v>
      </c>
      <c r="AQ157" s="152" t="s">
        <v>668</v>
      </c>
      <c r="AR157" s="152" t="s">
        <v>148</v>
      </c>
      <c r="AS157" s="159"/>
      <c r="AT157" s="153"/>
      <c r="AU157" s="154"/>
      <c r="AV157" s="154"/>
      <c r="AW157" s="154"/>
      <c r="AX157" s="155"/>
      <c r="AY157" s="156"/>
      <c r="AZ157" s="157"/>
      <c r="BA157" s="81"/>
      <c r="BB157" s="81"/>
      <c r="BC157" s="81"/>
    </row>
    <row r="158" spans="1:55" ht="28" customHeight="1" x14ac:dyDescent="0.25">
      <c r="A158" s="131">
        <v>152</v>
      </c>
      <c r="B158" s="147">
        <v>45068</v>
      </c>
      <c r="C158" s="77" t="s">
        <v>134</v>
      </c>
      <c r="D158" s="77" t="s">
        <v>135</v>
      </c>
      <c r="E158" s="77" t="s">
        <v>136</v>
      </c>
      <c r="F158" s="148" t="s">
        <v>265</v>
      </c>
      <c r="G158" s="149" t="s">
        <v>613</v>
      </c>
      <c r="H158" s="150" t="s">
        <v>110</v>
      </c>
      <c r="I158" s="149" t="s">
        <v>611</v>
      </c>
      <c r="J158" s="244" t="s">
        <v>614</v>
      </c>
      <c r="K158" s="244" t="s">
        <v>80</v>
      </c>
      <c r="L158" s="245" t="s">
        <v>153</v>
      </c>
      <c r="M158" s="245" t="s">
        <v>154</v>
      </c>
      <c r="N158" s="245" t="s">
        <v>80</v>
      </c>
      <c r="O158" s="245" t="s">
        <v>155</v>
      </c>
      <c r="P158" s="158"/>
      <c r="Q158" s="304"/>
      <c r="R158" s="182">
        <f>0</f>
        <v>0</v>
      </c>
      <c r="S158" s="87"/>
      <c r="T158" s="87"/>
      <c r="U158" s="87"/>
      <c r="V158" s="88">
        <v>1</v>
      </c>
      <c r="W158" s="87"/>
      <c r="X158" s="87"/>
      <c r="Y158" s="87"/>
      <c r="Z158" s="87"/>
      <c r="AA158" s="184"/>
      <c r="AB158" s="186"/>
      <c r="AC158" s="87"/>
      <c r="AD158" s="87"/>
      <c r="AE158" s="87"/>
      <c r="AF158" s="87"/>
      <c r="AG158" s="87"/>
      <c r="AH158" s="87"/>
      <c r="AI158" s="87"/>
      <c r="AJ158" s="87"/>
      <c r="AK158" s="184"/>
      <c r="AL158" s="206">
        <f t="shared" si="4"/>
        <v>1</v>
      </c>
      <c r="AM158" s="91">
        <f>0</f>
        <v>0</v>
      </c>
      <c r="AN158" s="208">
        <f t="shared" si="5"/>
        <v>1</v>
      </c>
      <c r="AO158" s="193">
        <v>45075</v>
      </c>
      <c r="AP158" s="151" t="s">
        <v>273</v>
      </c>
      <c r="AQ158" s="152" t="s">
        <v>668</v>
      </c>
      <c r="AR158" s="152" t="s">
        <v>148</v>
      </c>
      <c r="AS158" s="159"/>
      <c r="AT158" s="153"/>
      <c r="AU158" s="154"/>
      <c r="AV158" s="154"/>
      <c r="AW158" s="154"/>
      <c r="AX158" s="155"/>
      <c r="AY158" s="156"/>
      <c r="AZ158" s="157"/>
      <c r="BA158" s="81"/>
      <c r="BB158" s="81"/>
      <c r="BC158" s="81"/>
    </row>
    <row r="159" spans="1:55" ht="28" customHeight="1" x14ac:dyDescent="0.25">
      <c r="A159" s="131">
        <v>153</v>
      </c>
      <c r="B159" s="147">
        <v>45068</v>
      </c>
      <c r="C159" s="77" t="s">
        <v>134</v>
      </c>
      <c r="D159" s="77" t="s">
        <v>135</v>
      </c>
      <c r="E159" s="77" t="s">
        <v>136</v>
      </c>
      <c r="F159" s="148" t="s">
        <v>265</v>
      </c>
      <c r="G159" s="149" t="s">
        <v>615</v>
      </c>
      <c r="H159" s="150" t="s">
        <v>110</v>
      </c>
      <c r="I159" s="149" t="s">
        <v>593</v>
      </c>
      <c r="J159" s="244" t="s">
        <v>616</v>
      </c>
      <c r="K159" s="244" t="s">
        <v>80</v>
      </c>
      <c r="L159" s="245" t="s">
        <v>153</v>
      </c>
      <c r="M159" s="245" t="s">
        <v>154</v>
      </c>
      <c r="N159" s="245" t="s">
        <v>80</v>
      </c>
      <c r="O159" s="245" t="s">
        <v>155</v>
      </c>
      <c r="P159" s="158"/>
      <c r="Q159" s="304"/>
      <c r="R159" s="182">
        <f>0</f>
        <v>0</v>
      </c>
      <c r="S159" s="87"/>
      <c r="T159" s="87"/>
      <c r="U159" s="87"/>
      <c r="V159" s="88">
        <v>1</v>
      </c>
      <c r="W159" s="87"/>
      <c r="X159" s="87"/>
      <c r="Y159" s="87"/>
      <c r="Z159" s="87"/>
      <c r="AA159" s="184"/>
      <c r="AB159" s="186"/>
      <c r="AC159" s="87"/>
      <c r="AD159" s="87"/>
      <c r="AE159" s="87"/>
      <c r="AF159" s="87"/>
      <c r="AG159" s="87"/>
      <c r="AH159" s="87"/>
      <c r="AI159" s="87"/>
      <c r="AJ159" s="87"/>
      <c r="AK159" s="184"/>
      <c r="AL159" s="206">
        <f t="shared" si="4"/>
        <v>1</v>
      </c>
      <c r="AM159" s="91">
        <f>0</f>
        <v>0</v>
      </c>
      <c r="AN159" s="208">
        <f t="shared" si="5"/>
        <v>1</v>
      </c>
      <c r="AO159" s="193">
        <v>45075</v>
      </c>
      <c r="AP159" s="151" t="s">
        <v>273</v>
      </c>
      <c r="AQ159" s="152" t="s">
        <v>668</v>
      </c>
      <c r="AR159" s="152" t="s">
        <v>148</v>
      </c>
      <c r="AS159" s="159"/>
      <c r="AT159" s="153"/>
      <c r="AU159" s="154"/>
      <c r="AV159" s="154"/>
      <c r="AW159" s="154"/>
      <c r="AX159" s="155"/>
      <c r="AY159" s="156"/>
      <c r="AZ159" s="157"/>
      <c r="BA159" s="81"/>
      <c r="BB159" s="81"/>
      <c r="BC159" s="81"/>
    </row>
    <row r="160" spans="1:55" ht="28" customHeight="1" x14ac:dyDescent="0.25">
      <c r="A160" s="131">
        <v>154</v>
      </c>
      <c r="B160" s="147">
        <v>45068</v>
      </c>
      <c r="C160" s="77" t="s">
        <v>134</v>
      </c>
      <c r="D160" s="77" t="s">
        <v>135</v>
      </c>
      <c r="E160" s="77" t="s">
        <v>136</v>
      </c>
      <c r="F160" s="148" t="s">
        <v>265</v>
      </c>
      <c r="G160" s="149" t="s">
        <v>617</v>
      </c>
      <c r="H160" s="150" t="s">
        <v>110</v>
      </c>
      <c r="I160" s="149" t="s">
        <v>593</v>
      </c>
      <c r="J160" s="244" t="s">
        <v>618</v>
      </c>
      <c r="K160" s="244" t="s">
        <v>80</v>
      </c>
      <c r="L160" s="245" t="s">
        <v>153</v>
      </c>
      <c r="M160" s="245" t="s">
        <v>154</v>
      </c>
      <c r="N160" s="245" t="s">
        <v>80</v>
      </c>
      <c r="O160" s="245" t="s">
        <v>155</v>
      </c>
      <c r="P160" s="158"/>
      <c r="Q160" s="304"/>
      <c r="R160" s="182">
        <f>0</f>
        <v>0</v>
      </c>
      <c r="S160" s="87"/>
      <c r="T160" s="87"/>
      <c r="U160" s="87"/>
      <c r="V160" s="88">
        <v>1</v>
      </c>
      <c r="W160" s="87"/>
      <c r="X160" s="87"/>
      <c r="Y160" s="87"/>
      <c r="Z160" s="87"/>
      <c r="AA160" s="184"/>
      <c r="AB160" s="186"/>
      <c r="AC160" s="87"/>
      <c r="AD160" s="87"/>
      <c r="AE160" s="87"/>
      <c r="AF160" s="87"/>
      <c r="AG160" s="87"/>
      <c r="AH160" s="87"/>
      <c r="AI160" s="87"/>
      <c r="AJ160" s="87"/>
      <c r="AK160" s="184"/>
      <c r="AL160" s="206">
        <f t="shared" si="4"/>
        <v>1</v>
      </c>
      <c r="AM160" s="91">
        <f>0</f>
        <v>0</v>
      </c>
      <c r="AN160" s="208">
        <f t="shared" si="5"/>
        <v>1</v>
      </c>
      <c r="AO160" s="193">
        <v>45075</v>
      </c>
      <c r="AP160" s="151" t="s">
        <v>273</v>
      </c>
      <c r="AQ160" s="152" t="s">
        <v>668</v>
      </c>
      <c r="AR160" s="152" t="s">
        <v>148</v>
      </c>
      <c r="AS160" s="159"/>
      <c r="AT160" s="153"/>
      <c r="AU160" s="154"/>
      <c r="AV160" s="154"/>
      <c r="AW160" s="154"/>
      <c r="AX160" s="155"/>
      <c r="AY160" s="156"/>
      <c r="AZ160" s="157"/>
      <c r="BA160" s="81"/>
      <c r="BB160" s="81"/>
      <c r="BC160" s="81"/>
    </row>
    <row r="161" spans="1:55" ht="28" customHeight="1" x14ac:dyDescent="0.25">
      <c r="A161" s="131">
        <v>155</v>
      </c>
      <c r="B161" s="147">
        <v>45068</v>
      </c>
      <c r="C161" s="77" t="s">
        <v>134</v>
      </c>
      <c r="D161" s="77" t="s">
        <v>135</v>
      </c>
      <c r="E161" s="77" t="s">
        <v>136</v>
      </c>
      <c r="F161" s="148" t="s">
        <v>265</v>
      </c>
      <c r="G161" s="149" t="s">
        <v>619</v>
      </c>
      <c r="H161" s="150" t="s">
        <v>110</v>
      </c>
      <c r="I161" s="149" t="s">
        <v>620</v>
      </c>
      <c r="J161" s="244" t="s">
        <v>621</v>
      </c>
      <c r="K161" s="244" t="s">
        <v>80</v>
      </c>
      <c r="L161" s="245" t="s">
        <v>153</v>
      </c>
      <c r="M161" s="245" t="s">
        <v>154</v>
      </c>
      <c r="N161" s="245" t="s">
        <v>80</v>
      </c>
      <c r="O161" s="245" t="s">
        <v>155</v>
      </c>
      <c r="P161" s="158"/>
      <c r="Q161" s="304"/>
      <c r="R161" s="182">
        <f>0</f>
        <v>0</v>
      </c>
      <c r="S161" s="87"/>
      <c r="T161" s="87"/>
      <c r="U161" s="87"/>
      <c r="V161" s="88">
        <v>1</v>
      </c>
      <c r="W161" s="87"/>
      <c r="X161" s="87"/>
      <c r="Y161" s="87"/>
      <c r="Z161" s="87"/>
      <c r="AA161" s="184"/>
      <c r="AB161" s="186"/>
      <c r="AC161" s="87"/>
      <c r="AD161" s="87"/>
      <c r="AE161" s="87"/>
      <c r="AF161" s="87"/>
      <c r="AG161" s="87"/>
      <c r="AH161" s="87"/>
      <c r="AI161" s="87"/>
      <c r="AJ161" s="87"/>
      <c r="AK161" s="184"/>
      <c r="AL161" s="206">
        <f t="shared" si="4"/>
        <v>1</v>
      </c>
      <c r="AM161" s="91">
        <f>0</f>
        <v>0</v>
      </c>
      <c r="AN161" s="208">
        <f t="shared" si="5"/>
        <v>1</v>
      </c>
      <c r="AO161" s="193">
        <v>45075</v>
      </c>
      <c r="AP161" s="151" t="s">
        <v>273</v>
      </c>
      <c r="AQ161" s="152" t="s">
        <v>668</v>
      </c>
      <c r="AR161" s="152" t="s">
        <v>148</v>
      </c>
      <c r="AS161" s="159"/>
      <c r="AT161" s="153"/>
      <c r="AU161" s="154"/>
      <c r="AV161" s="154"/>
      <c r="AW161" s="154"/>
      <c r="AX161" s="155"/>
      <c r="AY161" s="156"/>
      <c r="AZ161" s="157"/>
      <c r="BA161" s="81"/>
      <c r="BB161" s="81"/>
      <c r="BC161" s="81"/>
    </row>
    <row r="162" spans="1:55" ht="28" customHeight="1" x14ac:dyDescent="0.25">
      <c r="A162" s="131">
        <v>156</v>
      </c>
      <c r="B162" s="147">
        <v>45068</v>
      </c>
      <c r="C162" s="77" t="s">
        <v>134</v>
      </c>
      <c r="D162" s="77" t="s">
        <v>135</v>
      </c>
      <c r="E162" s="77" t="s">
        <v>136</v>
      </c>
      <c r="F162" s="148" t="s">
        <v>265</v>
      </c>
      <c r="G162" s="149" t="s">
        <v>622</v>
      </c>
      <c r="H162" s="150" t="s">
        <v>110</v>
      </c>
      <c r="I162" s="149" t="s">
        <v>623</v>
      </c>
      <c r="J162" s="244" t="s">
        <v>624</v>
      </c>
      <c r="K162" s="244" t="s">
        <v>80</v>
      </c>
      <c r="L162" s="245" t="s">
        <v>153</v>
      </c>
      <c r="M162" s="245" t="s">
        <v>80</v>
      </c>
      <c r="N162" s="245" t="s">
        <v>80</v>
      </c>
      <c r="O162" s="245" t="s">
        <v>155</v>
      </c>
      <c r="P162" s="158"/>
      <c r="Q162" s="304"/>
      <c r="R162" s="182">
        <f>0</f>
        <v>0</v>
      </c>
      <c r="S162" s="87"/>
      <c r="T162" s="87"/>
      <c r="U162" s="87"/>
      <c r="V162" s="88">
        <v>1</v>
      </c>
      <c r="W162" s="87"/>
      <c r="X162" s="87"/>
      <c r="Y162" s="87"/>
      <c r="Z162" s="87"/>
      <c r="AA162" s="184"/>
      <c r="AB162" s="186"/>
      <c r="AC162" s="87"/>
      <c r="AD162" s="87"/>
      <c r="AE162" s="87"/>
      <c r="AF162" s="87"/>
      <c r="AG162" s="87"/>
      <c r="AH162" s="87"/>
      <c r="AI162" s="87"/>
      <c r="AJ162" s="87"/>
      <c r="AK162" s="184"/>
      <c r="AL162" s="206">
        <f t="shared" si="4"/>
        <v>1</v>
      </c>
      <c r="AM162" s="91">
        <f>0</f>
        <v>0</v>
      </c>
      <c r="AN162" s="208">
        <f t="shared" si="5"/>
        <v>1</v>
      </c>
      <c r="AO162" s="193">
        <v>45075</v>
      </c>
      <c r="AP162" s="151" t="s">
        <v>273</v>
      </c>
      <c r="AQ162" s="152" t="s">
        <v>668</v>
      </c>
      <c r="AR162" s="152" t="s">
        <v>148</v>
      </c>
      <c r="AS162" s="159"/>
      <c r="AT162" s="153"/>
      <c r="AU162" s="154"/>
      <c r="AV162" s="154"/>
      <c r="AW162" s="154"/>
      <c r="AX162" s="155"/>
      <c r="AY162" s="156"/>
      <c r="AZ162" s="157"/>
      <c r="BA162" s="81"/>
      <c r="BB162" s="81"/>
      <c r="BC162" s="81"/>
    </row>
    <row r="163" spans="1:55" ht="28" customHeight="1" x14ac:dyDescent="0.25">
      <c r="A163" s="131">
        <v>157</v>
      </c>
      <c r="B163" s="147">
        <v>45068</v>
      </c>
      <c r="C163" s="77" t="s">
        <v>134</v>
      </c>
      <c r="D163" s="77" t="s">
        <v>135</v>
      </c>
      <c r="E163" s="77" t="s">
        <v>136</v>
      </c>
      <c r="F163" s="148" t="s">
        <v>265</v>
      </c>
      <c r="G163" s="149" t="s">
        <v>625</v>
      </c>
      <c r="H163" s="150" t="s">
        <v>110</v>
      </c>
      <c r="I163" s="149" t="s">
        <v>593</v>
      </c>
      <c r="J163" s="244" t="s">
        <v>626</v>
      </c>
      <c r="K163" s="244" t="s">
        <v>80</v>
      </c>
      <c r="L163" s="245" t="s">
        <v>153</v>
      </c>
      <c r="M163" s="245" t="s">
        <v>80</v>
      </c>
      <c r="N163" s="245" t="s">
        <v>80</v>
      </c>
      <c r="O163" s="245" t="s">
        <v>155</v>
      </c>
      <c r="P163" s="158"/>
      <c r="Q163" s="304"/>
      <c r="R163" s="182">
        <f>0</f>
        <v>0</v>
      </c>
      <c r="S163" s="87"/>
      <c r="T163" s="87"/>
      <c r="U163" s="87"/>
      <c r="V163" s="88">
        <v>1</v>
      </c>
      <c r="W163" s="87"/>
      <c r="X163" s="87"/>
      <c r="Y163" s="87"/>
      <c r="Z163" s="87"/>
      <c r="AA163" s="184"/>
      <c r="AB163" s="186"/>
      <c r="AC163" s="87"/>
      <c r="AD163" s="87"/>
      <c r="AE163" s="87"/>
      <c r="AF163" s="87"/>
      <c r="AG163" s="87"/>
      <c r="AH163" s="87"/>
      <c r="AI163" s="87"/>
      <c r="AJ163" s="87"/>
      <c r="AK163" s="184"/>
      <c r="AL163" s="206">
        <f t="shared" si="4"/>
        <v>1</v>
      </c>
      <c r="AM163" s="91">
        <f>0</f>
        <v>0</v>
      </c>
      <c r="AN163" s="208">
        <f t="shared" si="5"/>
        <v>1</v>
      </c>
      <c r="AO163" s="193">
        <v>45075</v>
      </c>
      <c r="AP163" s="151" t="s">
        <v>273</v>
      </c>
      <c r="AQ163" s="152" t="s">
        <v>668</v>
      </c>
      <c r="AR163" s="152" t="s">
        <v>148</v>
      </c>
      <c r="AS163" s="159"/>
      <c r="AT163" s="153"/>
      <c r="AU163" s="154"/>
      <c r="AV163" s="154"/>
      <c r="AW163" s="154"/>
      <c r="AX163" s="155"/>
      <c r="AY163" s="156"/>
      <c r="AZ163" s="157"/>
      <c r="BA163" s="81"/>
      <c r="BB163" s="81"/>
      <c r="BC163" s="81"/>
    </row>
    <row r="164" spans="1:55" ht="28" customHeight="1" x14ac:dyDescent="0.25">
      <c r="A164" s="131">
        <v>158</v>
      </c>
      <c r="B164" s="147">
        <v>45068</v>
      </c>
      <c r="C164" s="77" t="s">
        <v>134</v>
      </c>
      <c r="D164" s="77" t="s">
        <v>135</v>
      </c>
      <c r="E164" s="77" t="s">
        <v>136</v>
      </c>
      <c r="F164" s="148" t="s">
        <v>265</v>
      </c>
      <c r="G164" s="149" t="s">
        <v>627</v>
      </c>
      <c r="H164" s="150" t="s">
        <v>110</v>
      </c>
      <c r="I164" s="149" t="s">
        <v>628</v>
      </c>
      <c r="J164" s="244" t="s">
        <v>629</v>
      </c>
      <c r="K164" s="244" t="s">
        <v>80</v>
      </c>
      <c r="L164" s="245" t="s">
        <v>168</v>
      </c>
      <c r="M164" s="245" t="s">
        <v>154</v>
      </c>
      <c r="N164" s="245" t="s">
        <v>80</v>
      </c>
      <c r="O164" s="245" t="s">
        <v>149</v>
      </c>
      <c r="P164" s="158"/>
      <c r="Q164" s="304"/>
      <c r="R164" s="182">
        <f>0</f>
        <v>0</v>
      </c>
      <c r="S164" s="87"/>
      <c r="T164" s="87"/>
      <c r="U164" s="87"/>
      <c r="V164" s="88">
        <v>2</v>
      </c>
      <c r="W164" s="87"/>
      <c r="X164" s="87"/>
      <c r="Y164" s="87"/>
      <c r="Z164" s="87"/>
      <c r="AA164" s="184"/>
      <c r="AB164" s="186"/>
      <c r="AC164" s="87"/>
      <c r="AD164" s="87"/>
      <c r="AE164" s="87"/>
      <c r="AF164" s="87"/>
      <c r="AG164" s="87"/>
      <c r="AH164" s="87"/>
      <c r="AI164" s="87"/>
      <c r="AJ164" s="87"/>
      <c r="AK164" s="184"/>
      <c r="AL164" s="206">
        <f t="shared" si="4"/>
        <v>2</v>
      </c>
      <c r="AM164" s="91">
        <f>0</f>
        <v>0</v>
      </c>
      <c r="AN164" s="208">
        <f t="shared" si="5"/>
        <v>2</v>
      </c>
      <c r="AO164" s="193">
        <v>45075</v>
      </c>
      <c r="AP164" s="151" t="s">
        <v>273</v>
      </c>
      <c r="AQ164" s="152" t="s">
        <v>668</v>
      </c>
      <c r="AR164" s="152" t="s">
        <v>148</v>
      </c>
      <c r="AS164" s="159"/>
      <c r="AT164" s="153"/>
      <c r="AU164" s="154">
        <v>2</v>
      </c>
      <c r="AV164" s="154"/>
      <c r="AW164" s="99" t="s">
        <v>457</v>
      </c>
      <c r="AX164" s="155"/>
      <c r="AY164" s="156"/>
      <c r="AZ164" s="157"/>
      <c r="BA164" s="81"/>
      <c r="BB164" s="81"/>
      <c r="BC164" s="81"/>
    </row>
    <row r="165" spans="1:55" ht="28" customHeight="1" x14ac:dyDescent="0.25">
      <c r="A165" s="131">
        <v>159</v>
      </c>
      <c r="B165" s="147">
        <v>45068</v>
      </c>
      <c r="C165" s="77" t="s">
        <v>134</v>
      </c>
      <c r="D165" s="77" t="s">
        <v>135</v>
      </c>
      <c r="E165" s="77" t="s">
        <v>136</v>
      </c>
      <c r="F165" s="148" t="s">
        <v>265</v>
      </c>
      <c r="G165" s="149" t="s">
        <v>630</v>
      </c>
      <c r="H165" s="150" t="s">
        <v>110</v>
      </c>
      <c r="I165" s="149" t="s">
        <v>631</v>
      </c>
      <c r="J165" s="244" t="s">
        <v>632</v>
      </c>
      <c r="K165" s="244" t="s">
        <v>80</v>
      </c>
      <c r="L165" s="245" t="s">
        <v>168</v>
      </c>
      <c r="M165" s="245" t="s">
        <v>154</v>
      </c>
      <c r="N165" s="245" t="s">
        <v>80</v>
      </c>
      <c r="O165" s="245" t="s">
        <v>149</v>
      </c>
      <c r="P165" s="158"/>
      <c r="Q165" s="304"/>
      <c r="R165" s="182">
        <f>0</f>
        <v>0</v>
      </c>
      <c r="S165" s="87"/>
      <c r="T165" s="87"/>
      <c r="U165" s="87"/>
      <c r="V165" s="88">
        <v>4</v>
      </c>
      <c r="W165" s="87"/>
      <c r="X165" s="87"/>
      <c r="Y165" s="87"/>
      <c r="Z165" s="87"/>
      <c r="AA165" s="184"/>
      <c r="AB165" s="186"/>
      <c r="AC165" s="87"/>
      <c r="AD165" s="87"/>
      <c r="AE165" s="87"/>
      <c r="AF165" s="87"/>
      <c r="AG165" s="87"/>
      <c r="AH165" s="87"/>
      <c r="AI165" s="87"/>
      <c r="AJ165" s="87"/>
      <c r="AK165" s="184"/>
      <c r="AL165" s="206">
        <f t="shared" si="4"/>
        <v>4</v>
      </c>
      <c r="AM165" s="91">
        <f>0</f>
        <v>0</v>
      </c>
      <c r="AN165" s="208">
        <f t="shared" si="5"/>
        <v>4</v>
      </c>
      <c r="AO165" s="193">
        <v>45075</v>
      </c>
      <c r="AP165" s="151" t="s">
        <v>273</v>
      </c>
      <c r="AQ165" s="152" t="s">
        <v>668</v>
      </c>
      <c r="AR165" s="152" t="s">
        <v>148</v>
      </c>
      <c r="AS165" s="159"/>
      <c r="AT165" s="153"/>
      <c r="AU165" s="154">
        <v>4</v>
      </c>
      <c r="AV165" s="154"/>
      <c r="AW165" s="99" t="s">
        <v>457</v>
      </c>
      <c r="AX165" s="155"/>
      <c r="AY165" s="156"/>
      <c r="AZ165" s="157"/>
      <c r="BA165" s="81"/>
      <c r="BB165" s="81"/>
      <c r="BC165" s="81"/>
    </row>
    <row r="166" spans="1:55" ht="28" customHeight="1" x14ac:dyDescent="0.25">
      <c r="A166" s="131">
        <v>160</v>
      </c>
      <c r="B166" s="147">
        <v>45068</v>
      </c>
      <c r="C166" s="77" t="s">
        <v>134</v>
      </c>
      <c r="D166" s="77" t="s">
        <v>135</v>
      </c>
      <c r="E166" s="77" t="s">
        <v>136</v>
      </c>
      <c r="F166" s="148" t="s">
        <v>265</v>
      </c>
      <c r="G166" s="149" t="s">
        <v>633</v>
      </c>
      <c r="H166" s="150" t="s">
        <v>110</v>
      </c>
      <c r="I166" s="149" t="s">
        <v>634</v>
      </c>
      <c r="J166" s="244" t="s">
        <v>635</v>
      </c>
      <c r="K166" s="244" t="s">
        <v>80</v>
      </c>
      <c r="L166" s="245" t="s">
        <v>168</v>
      </c>
      <c r="M166" s="245" t="s">
        <v>154</v>
      </c>
      <c r="N166" s="245" t="s">
        <v>80</v>
      </c>
      <c r="O166" s="245" t="s">
        <v>149</v>
      </c>
      <c r="P166" s="158"/>
      <c r="Q166" s="304"/>
      <c r="R166" s="182">
        <f>0</f>
        <v>0</v>
      </c>
      <c r="S166" s="87"/>
      <c r="T166" s="87"/>
      <c r="U166" s="87"/>
      <c r="V166" s="88">
        <v>2</v>
      </c>
      <c r="W166" s="87"/>
      <c r="X166" s="87"/>
      <c r="Y166" s="87"/>
      <c r="Z166" s="87"/>
      <c r="AA166" s="184"/>
      <c r="AB166" s="186"/>
      <c r="AC166" s="87"/>
      <c r="AD166" s="87"/>
      <c r="AE166" s="87"/>
      <c r="AF166" s="87"/>
      <c r="AG166" s="87"/>
      <c r="AH166" s="87"/>
      <c r="AI166" s="87"/>
      <c r="AJ166" s="87"/>
      <c r="AK166" s="184"/>
      <c r="AL166" s="206">
        <f t="shared" si="4"/>
        <v>2</v>
      </c>
      <c r="AM166" s="91">
        <f>0</f>
        <v>0</v>
      </c>
      <c r="AN166" s="208">
        <f t="shared" si="5"/>
        <v>2</v>
      </c>
      <c r="AO166" s="193">
        <v>45075</v>
      </c>
      <c r="AP166" s="151" t="s">
        <v>273</v>
      </c>
      <c r="AQ166" s="152" t="s">
        <v>668</v>
      </c>
      <c r="AR166" s="152" t="s">
        <v>148</v>
      </c>
      <c r="AS166" s="159"/>
      <c r="AT166" s="153"/>
      <c r="AU166" s="154">
        <v>2</v>
      </c>
      <c r="AV166" s="154"/>
      <c r="AW166" s="99" t="s">
        <v>457</v>
      </c>
      <c r="AX166" s="155"/>
      <c r="AY166" s="156"/>
      <c r="AZ166" s="157"/>
      <c r="BA166" s="81"/>
      <c r="BB166" s="81"/>
      <c r="BC166" s="81"/>
    </row>
    <row r="167" spans="1:55" ht="28" customHeight="1" x14ac:dyDescent="0.25">
      <c r="A167" s="131">
        <v>161</v>
      </c>
      <c r="B167" s="147">
        <v>45068</v>
      </c>
      <c r="C167" s="77" t="s">
        <v>134</v>
      </c>
      <c r="D167" s="77" t="s">
        <v>135</v>
      </c>
      <c r="E167" s="77" t="s">
        <v>136</v>
      </c>
      <c r="F167" s="148" t="s">
        <v>265</v>
      </c>
      <c r="G167" s="149" t="s">
        <v>636</v>
      </c>
      <c r="H167" s="150" t="s">
        <v>110</v>
      </c>
      <c r="I167" s="149" t="s">
        <v>637</v>
      </c>
      <c r="J167" s="244" t="s">
        <v>638</v>
      </c>
      <c r="K167" s="244" t="s">
        <v>80</v>
      </c>
      <c r="L167" s="245" t="s">
        <v>193</v>
      </c>
      <c r="M167" s="245" t="s">
        <v>154</v>
      </c>
      <c r="N167" s="245" t="s">
        <v>80</v>
      </c>
      <c r="O167" s="245" t="s">
        <v>149</v>
      </c>
      <c r="P167" s="158"/>
      <c r="Q167" s="304"/>
      <c r="R167" s="182">
        <f>0</f>
        <v>0</v>
      </c>
      <c r="S167" s="87"/>
      <c r="T167" s="87"/>
      <c r="U167" s="87"/>
      <c r="V167" s="88">
        <v>1</v>
      </c>
      <c r="W167" s="87"/>
      <c r="X167" s="87"/>
      <c r="Y167" s="87"/>
      <c r="Z167" s="87"/>
      <c r="AA167" s="184"/>
      <c r="AB167" s="186"/>
      <c r="AC167" s="87"/>
      <c r="AD167" s="87"/>
      <c r="AE167" s="87"/>
      <c r="AF167" s="87"/>
      <c r="AG167" s="87"/>
      <c r="AH167" s="87"/>
      <c r="AI167" s="87"/>
      <c r="AJ167" s="87"/>
      <c r="AK167" s="184"/>
      <c r="AL167" s="206">
        <f t="shared" si="4"/>
        <v>1</v>
      </c>
      <c r="AM167" s="91">
        <f>0</f>
        <v>0</v>
      </c>
      <c r="AN167" s="208">
        <f t="shared" si="5"/>
        <v>1</v>
      </c>
      <c r="AO167" s="193">
        <v>45075</v>
      </c>
      <c r="AP167" s="151" t="s">
        <v>273</v>
      </c>
      <c r="AQ167" s="152" t="s">
        <v>668</v>
      </c>
      <c r="AR167" s="152" t="s">
        <v>148</v>
      </c>
      <c r="AS167" s="159"/>
      <c r="AT167" s="153"/>
      <c r="AU167" s="154">
        <v>1</v>
      </c>
      <c r="AV167" s="154"/>
      <c r="AW167" s="99" t="s">
        <v>457</v>
      </c>
      <c r="AX167" s="155"/>
      <c r="AY167" s="156"/>
      <c r="AZ167" s="157"/>
      <c r="BA167" s="81"/>
      <c r="BB167" s="81"/>
      <c r="BC167" s="81"/>
    </row>
    <row r="168" spans="1:55" ht="28" customHeight="1" x14ac:dyDescent="0.25">
      <c r="A168" s="131">
        <v>162</v>
      </c>
      <c r="B168" s="147">
        <v>45068</v>
      </c>
      <c r="C168" s="77" t="s">
        <v>134</v>
      </c>
      <c r="D168" s="77" t="s">
        <v>135</v>
      </c>
      <c r="E168" s="77" t="s">
        <v>136</v>
      </c>
      <c r="F168" s="168" t="s">
        <v>265</v>
      </c>
      <c r="G168" s="169" t="s">
        <v>639</v>
      </c>
      <c r="H168" s="170" t="s">
        <v>110</v>
      </c>
      <c r="I168" s="169" t="s">
        <v>640</v>
      </c>
      <c r="J168" s="242" t="s">
        <v>641</v>
      </c>
      <c r="K168" s="242" t="s">
        <v>80</v>
      </c>
      <c r="L168" s="243" t="s">
        <v>389</v>
      </c>
      <c r="M168" s="243" t="s">
        <v>154</v>
      </c>
      <c r="N168" s="243" t="s">
        <v>214</v>
      </c>
      <c r="O168" s="243" t="s">
        <v>80</v>
      </c>
      <c r="P168" s="171"/>
      <c r="Q168" s="303"/>
      <c r="R168" s="182">
        <f>0</f>
        <v>0</v>
      </c>
      <c r="S168" s="87"/>
      <c r="T168" s="87"/>
      <c r="U168" s="87"/>
      <c r="V168" s="88">
        <v>1</v>
      </c>
      <c r="W168" s="87"/>
      <c r="X168" s="87"/>
      <c r="Y168" s="87"/>
      <c r="Z168" s="87"/>
      <c r="AA168" s="184"/>
      <c r="AB168" s="186"/>
      <c r="AC168" s="87"/>
      <c r="AD168" s="87"/>
      <c r="AE168" s="87"/>
      <c r="AF168" s="87"/>
      <c r="AG168" s="87"/>
      <c r="AH168" s="87"/>
      <c r="AI168" s="87"/>
      <c r="AJ168" s="87"/>
      <c r="AK168" s="184"/>
      <c r="AL168" s="206">
        <f t="shared" si="4"/>
        <v>1</v>
      </c>
      <c r="AM168" s="91">
        <f>0</f>
        <v>0</v>
      </c>
      <c r="AN168" s="207">
        <f t="shared" si="5"/>
        <v>1</v>
      </c>
      <c r="AO168" s="194">
        <v>45078</v>
      </c>
      <c r="AP168" s="172" t="s">
        <v>273</v>
      </c>
      <c r="AQ168" s="97" t="s">
        <v>871</v>
      </c>
      <c r="AR168" s="108" t="s">
        <v>148</v>
      </c>
      <c r="AS168" s="159"/>
      <c r="AT168" s="153"/>
      <c r="AU168" s="154"/>
      <c r="AV168" s="154"/>
      <c r="AW168" s="154"/>
      <c r="AX168" s="155"/>
      <c r="AY168" s="156"/>
      <c r="AZ168" s="157"/>
      <c r="BA168" s="81"/>
      <c r="BB168" s="81"/>
      <c r="BC168" s="81"/>
    </row>
    <row r="169" spans="1:55" ht="28" customHeight="1" x14ac:dyDescent="0.25">
      <c r="A169" s="131">
        <v>163</v>
      </c>
      <c r="B169" s="147">
        <v>45068</v>
      </c>
      <c r="C169" s="77" t="s">
        <v>134</v>
      </c>
      <c r="D169" s="77" t="s">
        <v>135</v>
      </c>
      <c r="E169" s="77" t="s">
        <v>136</v>
      </c>
      <c r="F169" s="148" t="s">
        <v>265</v>
      </c>
      <c r="G169" s="149" t="s">
        <v>642</v>
      </c>
      <c r="H169" s="150" t="s">
        <v>110</v>
      </c>
      <c r="I169" s="149" t="s">
        <v>640</v>
      </c>
      <c r="J169" s="244" t="s">
        <v>643</v>
      </c>
      <c r="K169" s="244" t="s">
        <v>80</v>
      </c>
      <c r="L169" s="245" t="s">
        <v>389</v>
      </c>
      <c r="M169" s="245" t="s">
        <v>154</v>
      </c>
      <c r="N169" s="245" t="s">
        <v>214</v>
      </c>
      <c r="O169" s="245" t="s">
        <v>80</v>
      </c>
      <c r="P169" s="158"/>
      <c r="Q169" s="304"/>
      <c r="R169" s="182">
        <f>0</f>
        <v>0</v>
      </c>
      <c r="S169" s="87"/>
      <c r="T169" s="87"/>
      <c r="U169" s="87"/>
      <c r="V169" s="88">
        <v>1</v>
      </c>
      <c r="W169" s="87"/>
      <c r="X169" s="87"/>
      <c r="Y169" s="87"/>
      <c r="Z169" s="87"/>
      <c r="AA169" s="184"/>
      <c r="AB169" s="186"/>
      <c r="AC169" s="87"/>
      <c r="AD169" s="87"/>
      <c r="AE169" s="87"/>
      <c r="AF169" s="87"/>
      <c r="AG169" s="87"/>
      <c r="AH169" s="87"/>
      <c r="AI169" s="87"/>
      <c r="AJ169" s="87"/>
      <c r="AK169" s="184"/>
      <c r="AL169" s="206">
        <f t="shared" si="4"/>
        <v>1</v>
      </c>
      <c r="AM169" s="91">
        <f>0</f>
        <v>0</v>
      </c>
      <c r="AN169" s="208">
        <f t="shared" si="5"/>
        <v>1</v>
      </c>
      <c r="AO169" s="193">
        <v>45075</v>
      </c>
      <c r="AP169" s="151" t="s">
        <v>273</v>
      </c>
      <c r="AQ169" s="152" t="s">
        <v>668</v>
      </c>
      <c r="AR169" s="152" t="s">
        <v>148</v>
      </c>
      <c r="AS169" s="159"/>
      <c r="AT169" s="153"/>
      <c r="AU169" s="154">
        <v>1</v>
      </c>
      <c r="AV169" s="154"/>
      <c r="AW169" s="99" t="s">
        <v>457</v>
      </c>
      <c r="AX169" s="155"/>
      <c r="AY169" s="156"/>
      <c r="AZ169" s="157"/>
      <c r="BA169" s="81"/>
      <c r="BB169" s="81"/>
      <c r="BC169" s="81"/>
    </row>
    <row r="170" spans="1:55" ht="28" customHeight="1" x14ac:dyDescent="0.25">
      <c r="A170" s="131">
        <v>164</v>
      </c>
      <c r="B170" s="147">
        <v>45068</v>
      </c>
      <c r="C170" s="77" t="s">
        <v>134</v>
      </c>
      <c r="D170" s="77" t="s">
        <v>135</v>
      </c>
      <c r="E170" s="77" t="s">
        <v>136</v>
      </c>
      <c r="F170" s="148" t="s">
        <v>265</v>
      </c>
      <c r="G170" s="149" t="s">
        <v>644</v>
      </c>
      <c r="H170" s="150" t="s">
        <v>110</v>
      </c>
      <c r="I170" s="149" t="s">
        <v>663</v>
      </c>
      <c r="J170" s="244" t="s">
        <v>645</v>
      </c>
      <c r="K170" s="244" t="s">
        <v>80</v>
      </c>
      <c r="L170" s="245" t="s">
        <v>389</v>
      </c>
      <c r="M170" s="245" t="s">
        <v>479</v>
      </c>
      <c r="N170" s="245" t="s">
        <v>80</v>
      </c>
      <c r="O170" s="245" t="s">
        <v>80</v>
      </c>
      <c r="P170" s="158"/>
      <c r="Q170" s="304"/>
      <c r="R170" s="182">
        <f>0</f>
        <v>0</v>
      </c>
      <c r="S170" s="87"/>
      <c r="T170" s="87"/>
      <c r="U170" s="87"/>
      <c r="V170" s="88">
        <v>1</v>
      </c>
      <c r="W170" s="87"/>
      <c r="X170" s="87"/>
      <c r="Y170" s="87"/>
      <c r="Z170" s="87"/>
      <c r="AA170" s="184"/>
      <c r="AB170" s="186"/>
      <c r="AC170" s="87"/>
      <c r="AD170" s="87"/>
      <c r="AE170" s="87"/>
      <c r="AF170" s="87"/>
      <c r="AG170" s="87"/>
      <c r="AH170" s="87"/>
      <c r="AI170" s="87"/>
      <c r="AJ170" s="87"/>
      <c r="AK170" s="184"/>
      <c r="AL170" s="206">
        <f t="shared" si="4"/>
        <v>1</v>
      </c>
      <c r="AM170" s="91">
        <f>0</f>
        <v>0</v>
      </c>
      <c r="AN170" s="208">
        <f t="shared" si="5"/>
        <v>1</v>
      </c>
      <c r="AO170" s="194">
        <v>45096</v>
      </c>
      <c r="AP170" s="151" t="s">
        <v>273</v>
      </c>
      <c r="AQ170" s="97" t="s">
        <v>1297</v>
      </c>
      <c r="AR170" s="108" t="s">
        <v>148</v>
      </c>
      <c r="AS170" s="159"/>
      <c r="AT170" s="153"/>
      <c r="AU170" s="154"/>
      <c r="AV170" s="154"/>
      <c r="AW170" s="154"/>
      <c r="AX170" s="155"/>
      <c r="AY170" s="156"/>
      <c r="AZ170" s="157"/>
      <c r="BA170" s="81"/>
      <c r="BB170" s="81"/>
      <c r="BC170" s="81"/>
    </row>
    <row r="171" spans="1:55" ht="28" customHeight="1" x14ac:dyDescent="0.25">
      <c r="A171" s="131">
        <v>165</v>
      </c>
      <c r="B171" s="147">
        <v>45068</v>
      </c>
      <c r="C171" s="77" t="s">
        <v>134</v>
      </c>
      <c r="D171" s="77" t="s">
        <v>135</v>
      </c>
      <c r="E171" s="77" t="s">
        <v>136</v>
      </c>
      <c r="F171" s="148" t="s">
        <v>265</v>
      </c>
      <c r="G171" s="149" t="s">
        <v>646</v>
      </c>
      <c r="H171" s="150" t="s">
        <v>110</v>
      </c>
      <c r="I171" s="149" t="s">
        <v>647</v>
      </c>
      <c r="J171" s="244" t="s">
        <v>648</v>
      </c>
      <c r="K171" s="244" t="s">
        <v>80</v>
      </c>
      <c r="L171" s="245" t="s">
        <v>209</v>
      </c>
      <c r="M171" s="245" t="s">
        <v>154</v>
      </c>
      <c r="N171" s="245" t="s">
        <v>80</v>
      </c>
      <c r="O171" s="245" t="s">
        <v>80</v>
      </c>
      <c r="P171" s="158"/>
      <c r="Q171" s="304"/>
      <c r="R171" s="182">
        <f>0</f>
        <v>0</v>
      </c>
      <c r="S171" s="87"/>
      <c r="T171" s="87"/>
      <c r="U171" s="87"/>
      <c r="V171" s="88">
        <v>1</v>
      </c>
      <c r="W171" s="87"/>
      <c r="X171" s="87"/>
      <c r="Y171" s="87"/>
      <c r="Z171" s="87"/>
      <c r="AA171" s="184"/>
      <c r="AB171" s="186"/>
      <c r="AC171" s="87"/>
      <c r="AD171" s="87"/>
      <c r="AE171" s="87"/>
      <c r="AF171" s="87"/>
      <c r="AG171" s="87"/>
      <c r="AH171" s="87"/>
      <c r="AI171" s="87"/>
      <c r="AJ171" s="87"/>
      <c r="AK171" s="184"/>
      <c r="AL171" s="206">
        <f t="shared" si="4"/>
        <v>1</v>
      </c>
      <c r="AM171" s="91">
        <f>0</f>
        <v>0</v>
      </c>
      <c r="AN171" s="208">
        <f t="shared" si="5"/>
        <v>1</v>
      </c>
      <c r="AO171" s="193">
        <v>45075</v>
      </c>
      <c r="AP171" s="151" t="s">
        <v>273</v>
      </c>
      <c r="AQ171" s="152" t="s">
        <v>668</v>
      </c>
      <c r="AR171" s="152" t="s">
        <v>148</v>
      </c>
      <c r="AS171" s="159"/>
      <c r="AT171" s="153"/>
      <c r="AU171" s="154"/>
      <c r="AV171" s="154"/>
      <c r="AW171" s="154"/>
      <c r="AX171" s="155"/>
      <c r="AY171" s="156"/>
      <c r="AZ171" s="157"/>
      <c r="BA171" s="81"/>
      <c r="BB171" s="81"/>
      <c r="BC171" s="81"/>
    </row>
    <row r="172" spans="1:55" ht="28" customHeight="1" x14ac:dyDescent="0.25">
      <c r="A172" s="131">
        <v>166</v>
      </c>
      <c r="B172" s="147">
        <v>45068</v>
      </c>
      <c r="C172" s="77" t="s">
        <v>134</v>
      </c>
      <c r="D172" s="77" t="s">
        <v>135</v>
      </c>
      <c r="E172" s="77" t="s">
        <v>136</v>
      </c>
      <c r="F172" s="148" t="s">
        <v>265</v>
      </c>
      <c r="G172" s="149" t="s">
        <v>649</v>
      </c>
      <c r="H172" s="150" t="s">
        <v>110</v>
      </c>
      <c r="I172" s="149" t="s">
        <v>650</v>
      </c>
      <c r="J172" s="244" t="s">
        <v>651</v>
      </c>
      <c r="K172" s="244" t="s">
        <v>80</v>
      </c>
      <c r="L172" s="245" t="s">
        <v>209</v>
      </c>
      <c r="M172" s="245" t="s">
        <v>154</v>
      </c>
      <c r="N172" s="245" t="s">
        <v>80</v>
      </c>
      <c r="O172" s="245" t="s">
        <v>80</v>
      </c>
      <c r="P172" s="158"/>
      <c r="Q172" s="304"/>
      <c r="R172" s="182">
        <f>0</f>
        <v>0</v>
      </c>
      <c r="S172" s="87"/>
      <c r="T172" s="87"/>
      <c r="U172" s="87"/>
      <c r="V172" s="88">
        <v>2</v>
      </c>
      <c r="W172" s="87"/>
      <c r="X172" s="87"/>
      <c r="Y172" s="87"/>
      <c r="Z172" s="87"/>
      <c r="AA172" s="184"/>
      <c r="AB172" s="186"/>
      <c r="AC172" s="87"/>
      <c r="AD172" s="87"/>
      <c r="AE172" s="87"/>
      <c r="AF172" s="87"/>
      <c r="AG172" s="87"/>
      <c r="AH172" s="87"/>
      <c r="AI172" s="87"/>
      <c r="AJ172" s="87"/>
      <c r="AK172" s="184"/>
      <c r="AL172" s="206">
        <f t="shared" si="4"/>
        <v>2</v>
      </c>
      <c r="AM172" s="91">
        <f>0</f>
        <v>0</v>
      </c>
      <c r="AN172" s="208">
        <f t="shared" si="5"/>
        <v>2</v>
      </c>
      <c r="AO172" s="193">
        <v>45075</v>
      </c>
      <c r="AP172" s="151" t="s">
        <v>273</v>
      </c>
      <c r="AQ172" s="171" t="s">
        <v>902</v>
      </c>
      <c r="AR172" s="171" t="s">
        <v>276</v>
      </c>
      <c r="AS172" s="159"/>
      <c r="AT172" s="153"/>
      <c r="AU172" s="154">
        <v>2</v>
      </c>
      <c r="AV172" s="154"/>
      <c r="AW172" s="99" t="s">
        <v>457</v>
      </c>
      <c r="AX172" s="155"/>
      <c r="AY172" s="156"/>
      <c r="AZ172" s="157"/>
      <c r="BA172" s="81"/>
      <c r="BB172" s="81"/>
      <c r="BC172" s="81"/>
    </row>
    <row r="173" spans="1:55" ht="28" customHeight="1" x14ac:dyDescent="0.25">
      <c r="A173" s="131">
        <v>167</v>
      </c>
      <c r="B173" s="147">
        <v>45068</v>
      </c>
      <c r="C173" s="77" t="s">
        <v>134</v>
      </c>
      <c r="D173" s="77" t="s">
        <v>135</v>
      </c>
      <c r="E173" s="77" t="s">
        <v>136</v>
      </c>
      <c r="F173" s="148" t="s">
        <v>265</v>
      </c>
      <c r="G173" s="149" t="s">
        <v>652</v>
      </c>
      <c r="H173" s="150" t="s">
        <v>110</v>
      </c>
      <c r="I173" s="149" t="s">
        <v>220</v>
      </c>
      <c r="J173" s="244" t="s">
        <v>653</v>
      </c>
      <c r="K173" s="244" t="s">
        <v>80</v>
      </c>
      <c r="L173" s="245" t="s">
        <v>222</v>
      </c>
      <c r="M173" s="245" t="s">
        <v>154</v>
      </c>
      <c r="N173" s="245" t="s">
        <v>80</v>
      </c>
      <c r="O173" s="245" t="s">
        <v>80</v>
      </c>
      <c r="P173" s="158"/>
      <c r="Q173" s="304"/>
      <c r="R173" s="182">
        <f>0</f>
        <v>0</v>
      </c>
      <c r="S173" s="87"/>
      <c r="T173" s="87"/>
      <c r="U173" s="87"/>
      <c r="V173" s="88">
        <v>4</v>
      </c>
      <c r="W173" s="87"/>
      <c r="X173" s="87"/>
      <c r="Y173" s="87"/>
      <c r="Z173" s="87"/>
      <c r="AA173" s="184"/>
      <c r="AB173" s="186"/>
      <c r="AC173" s="87"/>
      <c r="AD173" s="87"/>
      <c r="AE173" s="87"/>
      <c r="AF173" s="87"/>
      <c r="AG173" s="87"/>
      <c r="AH173" s="87"/>
      <c r="AI173" s="87"/>
      <c r="AJ173" s="87"/>
      <c r="AK173" s="184"/>
      <c r="AL173" s="206">
        <f t="shared" si="4"/>
        <v>4</v>
      </c>
      <c r="AM173" s="91">
        <f>0</f>
        <v>0</v>
      </c>
      <c r="AN173" s="208">
        <f t="shared" si="5"/>
        <v>4</v>
      </c>
      <c r="AO173" s="193">
        <v>45075</v>
      </c>
      <c r="AP173" s="151" t="s">
        <v>273</v>
      </c>
      <c r="AQ173" s="152" t="s">
        <v>668</v>
      </c>
      <c r="AR173" s="152" t="s">
        <v>148</v>
      </c>
      <c r="AS173" s="159"/>
      <c r="AT173" s="153"/>
      <c r="AU173" s="154">
        <v>4</v>
      </c>
      <c r="AV173" s="154"/>
      <c r="AW173" s="99" t="s">
        <v>457</v>
      </c>
      <c r="AX173" s="155"/>
      <c r="AY173" s="156"/>
      <c r="AZ173" s="157"/>
      <c r="BA173" s="81"/>
      <c r="BB173" s="81"/>
      <c r="BC173" s="81"/>
    </row>
    <row r="174" spans="1:55" ht="28" customHeight="1" x14ac:dyDescent="0.25">
      <c r="A174" s="131">
        <v>168</v>
      </c>
      <c r="B174" s="147">
        <v>45068</v>
      </c>
      <c r="C174" s="77" t="s">
        <v>134</v>
      </c>
      <c r="D174" s="77" t="s">
        <v>135</v>
      </c>
      <c r="E174" s="77" t="s">
        <v>136</v>
      </c>
      <c r="F174" s="148" t="s">
        <v>265</v>
      </c>
      <c r="G174" s="149" t="s">
        <v>654</v>
      </c>
      <c r="H174" s="150" t="s">
        <v>110</v>
      </c>
      <c r="I174" s="149" t="s">
        <v>640</v>
      </c>
      <c r="J174" s="244" t="s">
        <v>655</v>
      </c>
      <c r="K174" s="244"/>
      <c r="L174" s="245" t="s">
        <v>389</v>
      </c>
      <c r="M174" s="245" t="s">
        <v>154</v>
      </c>
      <c r="N174" s="245" t="s">
        <v>664</v>
      </c>
      <c r="O174" s="245" t="s">
        <v>80</v>
      </c>
      <c r="P174" s="158"/>
      <c r="Q174" s="304"/>
      <c r="R174" s="182">
        <f>0</f>
        <v>0</v>
      </c>
      <c r="S174" s="87"/>
      <c r="T174" s="87"/>
      <c r="U174" s="87"/>
      <c r="V174" s="88">
        <v>1</v>
      </c>
      <c r="W174" s="87"/>
      <c r="X174" s="87"/>
      <c r="Y174" s="87"/>
      <c r="Z174" s="87"/>
      <c r="AA174" s="184"/>
      <c r="AB174" s="186"/>
      <c r="AC174" s="87"/>
      <c r="AD174" s="87"/>
      <c r="AE174" s="87"/>
      <c r="AF174" s="87"/>
      <c r="AG174" s="87"/>
      <c r="AH174" s="87"/>
      <c r="AI174" s="87"/>
      <c r="AJ174" s="87"/>
      <c r="AK174" s="184"/>
      <c r="AL174" s="206">
        <f t="shared" si="4"/>
        <v>1</v>
      </c>
      <c r="AM174" s="91">
        <f>0</f>
        <v>0</v>
      </c>
      <c r="AN174" s="208">
        <f t="shared" si="5"/>
        <v>1</v>
      </c>
      <c r="AO174" s="193">
        <v>45075</v>
      </c>
      <c r="AP174" s="151" t="s">
        <v>273</v>
      </c>
      <c r="AQ174" s="152" t="s">
        <v>668</v>
      </c>
      <c r="AR174" s="152" t="s">
        <v>148</v>
      </c>
      <c r="AS174" s="159"/>
      <c r="AT174" s="153"/>
      <c r="AU174" s="154"/>
      <c r="AV174" s="154"/>
      <c r="AW174" s="154"/>
      <c r="AX174" s="155"/>
      <c r="AY174" s="156"/>
      <c r="AZ174" s="157"/>
      <c r="BA174" s="81"/>
      <c r="BB174" s="81"/>
      <c r="BC174" s="81"/>
    </row>
    <row r="175" spans="1:55" ht="28" customHeight="1" x14ac:dyDescent="0.25">
      <c r="A175" s="131">
        <v>169</v>
      </c>
      <c r="B175" s="147">
        <v>45068</v>
      </c>
      <c r="C175" s="77" t="s">
        <v>134</v>
      </c>
      <c r="D175" s="77" t="s">
        <v>135</v>
      </c>
      <c r="E175" s="77" t="s">
        <v>136</v>
      </c>
      <c r="F175" s="148" t="s">
        <v>265</v>
      </c>
      <c r="G175" s="149" t="s">
        <v>656</v>
      </c>
      <c r="H175" s="150" t="s">
        <v>110</v>
      </c>
      <c r="I175" s="149" t="s">
        <v>640</v>
      </c>
      <c r="J175" s="244" t="s">
        <v>657</v>
      </c>
      <c r="K175" s="244"/>
      <c r="L175" s="245" t="s">
        <v>389</v>
      </c>
      <c r="M175" s="245" t="s">
        <v>154</v>
      </c>
      <c r="N175" s="245" t="s">
        <v>664</v>
      </c>
      <c r="O175" s="245"/>
      <c r="P175" s="158"/>
      <c r="Q175" s="304"/>
      <c r="R175" s="182">
        <f>0</f>
        <v>0</v>
      </c>
      <c r="S175" s="87"/>
      <c r="T175" s="87"/>
      <c r="U175" s="87"/>
      <c r="V175" s="88">
        <v>1</v>
      </c>
      <c r="W175" s="87"/>
      <c r="X175" s="87"/>
      <c r="Y175" s="87"/>
      <c r="Z175" s="87"/>
      <c r="AA175" s="184"/>
      <c r="AB175" s="186"/>
      <c r="AC175" s="87"/>
      <c r="AD175" s="87"/>
      <c r="AE175" s="87"/>
      <c r="AF175" s="87"/>
      <c r="AG175" s="87"/>
      <c r="AH175" s="87"/>
      <c r="AI175" s="87"/>
      <c r="AJ175" s="87"/>
      <c r="AK175" s="184"/>
      <c r="AL175" s="206">
        <f t="shared" si="4"/>
        <v>1</v>
      </c>
      <c r="AM175" s="91">
        <f>0</f>
        <v>0</v>
      </c>
      <c r="AN175" s="208">
        <f t="shared" si="5"/>
        <v>1</v>
      </c>
      <c r="AO175" s="193">
        <v>45075</v>
      </c>
      <c r="AP175" s="151" t="s">
        <v>273</v>
      </c>
      <c r="AQ175" s="152" t="s">
        <v>668</v>
      </c>
      <c r="AR175" s="152" t="s">
        <v>148</v>
      </c>
      <c r="AS175" s="159"/>
      <c r="AT175" s="153"/>
      <c r="AU175" s="154">
        <v>1</v>
      </c>
      <c r="AV175" s="154"/>
      <c r="AW175" s="99" t="s">
        <v>457</v>
      </c>
      <c r="AX175" s="155"/>
      <c r="AY175" s="156"/>
      <c r="AZ175" s="157"/>
      <c r="BA175" s="81"/>
      <c r="BB175" s="81"/>
      <c r="BC175" s="81"/>
    </row>
    <row r="176" spans="1:55" ht="28" customHeight="1" x14ac:dyDescent="0.25">
      <c r="A176" s="131">
        <v>170</v>
      </c>
      <c r="B176" s="147">
        <v>45068</v>
      </c>
      <c r="C176" s="77" t="s">
        <v>134</v>
      </c>
      <c r="D176" s="77" t="s">
        <v>135</v>
      </c>
      <c r="E176" s="77" t="s">
        <v>136</v>
      </c>
      <c r="F176" s="148" t="s">
        <v>265</v>
      </c>
      <c r="G176" s="149" t="s">
        <v>658</v>
      </c>
      <c r="H176" s="150" t="s">
        <v>110</v>
      </c>
      <c r="I176" s="149" t="s">
        <v>640</v>
      </c>
      <c r="J176" s="244" t="s">
        <v>659</v>
      </c>
      <c r="K176" s="244"/>
      <c r="L176" s="245" t="s">
        <v>389</v>
      </c>
      <c r="M176" s="245" t="s">
        <v>154</v>
      </c>
      <c r="N176" s="245" t="s">
        <v>664</v>
      </c>
      <c r="O176" s="245"/>
      <c r="P176" s="158"/>
      <c r="Q176" s="304"/>
      <c r="R176" s="182">
        <f>0</f>
        <v>0</v>
      </c>
      <c r="S176" s="87"/>
      <c r="T176" s="87"/>
      <c r="U176" s="87"/>
      <c r="V176" s="88">
        <v>1</v>
      </c>
      <c r="W176" s="87"/>
      <c r="X176" s="87"/>
      <c r="Y176" s="87"/>
      <c r="Z176" s="87"/>
      <c r="AA176" s="184"/>
      <c r="AB176" s="186"/>
      <c r="AC176" s="87"/>
      <c r="AD176" s="87"/>
      <c r="AE176" s="87"/>
      <c r="AF176" s="87"/>
      <c r="AG176" s="87"/>
      <c r="AH176" s="87"/>
      <c r="AI176" s="87"/>
      <c r="AJ176" s="87"/>
      <c r="AK176" s="184"/>
      <c r="AL176" s="206">
        <f t="shared" si="4"/>
        <v>1</v>
      </c>
      <c r="AM176" s="91">
        <f>0</f>
        <v>0</v>
      </c>
      <c r="AN176" s="208">
        <f t="shared" si="5"/>
        <v>1</v>
      </c>
      <c r="AO176" s="193">
        <v>45075</v>
      </c>
      <c r="AP176" s="151" t="s">
        <v>273</v>
      </c>
      <c r="AQ176" s="152" t="s">
        <v>668</v>
      </c>
      <c r="AR176" s="152" t="s">
        <v>148</v>
      </c>
      <c r="AS176" s="159"/>
      <c r="AT176" s="153"/>
      <c r="AU176" s="154">
        <v>1</v>
      </c>
      <c r="AV176" s="154"/>
      <c r="AW176" s="154" t="s">
        <v>457</v>
      </c>
      <c r="AX176" s="155"/>
      <c r="AY176" s="156"/>
      <c r="AZ176" s="157"/>
      <c r="BA176" s="81"/>
      <c r="BB176" s="81"/>
      <c r="BC176" s="81"/>
    </row>
    <row r="177" spans="1:55" ht="28" customHeight="1" x14ac:dyDescent="0.25">
      <c r="A177" s="131">
        <v>171</v>
      </c>
      <c r="B177" s="147">
        <v>45068</v>
      </c>
      <c r="C177" s="77" t="s">
        <v>134</v>
      </c>
      <c r="D177" s="77" t="s">
        <v>135</v>
      </c>
      <c r="E177" s="77" t="s">
        <v>136</v>
      </c>
      <c r="F177" s="148" t="s">
        <v>265</v>
      </c>
      <c r="G177" s="149" t="s">
        <v>660</v>
      </c>
      <c r="H177" s="150" t="s">
        <v>110</v>
      </c>
      <c r="I177" s="149" t="s">
        <v>640</v>
      </c>
      <c r="J177" s="244" t="s">
        <v>661</v>
      </c>
      <c r="K177" s="244"/>
      <c r="L177" s="245" t="s">
        <v>389</v>
      </c>
      <c r="M177" s="245" t="s">
        <v>154</v>
      </c>
      <c r="N177" s="245" t="s">
        <v>664</v>
      </c>
      <c r="O177" s="245"/>
      <c r="P177" s="158"/>
      <c r="Q177" s="305"/>
      <c r="R177" s="182">
        <f>0</f>
        <v>0</v>
      </c>
      <c r="S177" s="160"/>
      <c r="T177" s="87"/>
      <c r="U177" s="87"/>
      <c r="V177" s="88">
        <v>1</v>
      </c>
      <c r="W177" s="87"/>
      <c r="X177" s="87"/>
      <c r="Y177" s="87"/>
      <c r="Z177" s="87"/>
      <c r="AA177" s="184"/>
      <c r="AB177" s="186"/>
      <c r="AC177" s="87"/>
      <c r="AD177" s="87"/>
      <c r="AE177" s="87"/>
      <c r="AF177" s="87"/>
      <c r="AG177" s="87"/>
      <c r="AH177" s="87"/>
      <c r="AI177" s="87"/>
      <c r="AJ177" s="87"/>
      <c r="AK177" s="184"/>
      <c r="AL177" s="206">
        <f t="shared" si="4"/>
        <v>1</v>
      </c>
      <c r="AM177" s="91">
        <f>0</f>
        <v>0</v>
      </c>
      <c r="AN177" s="208">
        <f t="shared" si="5"/>
        <v>1</v>
      </c>
      <c r="AO177" s="193">
        <v>45075</v>
      </c>
      <c r="AP177" s="151" t="s">
        <v>273</v>
      </c>
      <c r="AQ177" s="152" t="s">
        <v>668</v>
      </c>
      <c r="AR177" s="152" t="s">
        <v>148</v>
      </c>
      <c r="AS177" s="159"/>
      <c r="AT177" s="153"/>
      <c r="AU177" s="154">
        <v>1</v>
      </c>
      <c r="AV177" s="154"/>
      <c r="AW177" s="154" t="s">
        <v>457</v>
      </c>
      <c r="AX177" s="155"/>
      <c r="AY177" s="156"/>
      <c r="AZ177" s="157"/>
      <c r="BA177" s="81"/>
      <c r="BB177" s="81"/>
      <c r="BC177" s="81"/>
    </row>
    <row r="178" spans="1:55" ht="28" customHeight="1" x14ac:dyDescent="0.25">
      <c r="A178" s="173">
        <v>172</v>
      </c>
      <c r="B178" s="147">
        <v>45079</v>
      </c>
      <c r="C178" s="77" t="s">
        <v>134</v>
      </c>
      <c r="D178" s="77" t="s">
        <v>135</v>
      </c>
      <c r="E178" s="77" t="s">
        <v>136</v>
      </c>
      <c r="F178" s="168" t="s">
        <v>672</v>
      </c>
      <c r="G178" s="168" t="s">
        <v>673</v>
      </c>
      <c r="H178" s="168" t="s">
        <v>110</v>
      </c>
      <c r="I178" s="168" t="s">
        <v>674</v>
      </c>
      <c r="J178" s="175" t="s">
        <v>675</v>
      </c>
      <c r="K178" s="174"/>
      <c r="L178" s="174" t="s">
        <v>676</v>
      </c>
      <c r="M178" s="174" t="s">
        <v>154</v>
      </c>
      <c r="N178" s="174"/>
      <c r="O178" s="174" t="s">
        <v>149</v>
      </c>
      <c r="P178" s="171"/>
      <c r="Q178" s="303"/>
      <c r="R178" s="182">
        <f>0</f>
        <v>0</v>
      </c>
      <c r="S178" s="87"/>
      <c r="T178" s="87"/>
      <c r="U178" s="87"/>
      <c r="V178" s="87"/>
      <c r="W178" s="161">
        <v>2</v>
      </c>
      <c r="X178" s="87"/>
      <c r="Y178" s="87"/>
      <c r="Z178" s="87"/>
      <c r="AA178" s="184"/>
      <c r="AB178" s="186"/>
      <c r="AC178" s="87"/>
      <c r="AD178" s="87"/>
      <c r="AE178" s="87"/>
      <c r="AF178" s="87"/>
      <c r="AG178" s="87"/>
      <c r="AH178" s="87"/>
      <c r="AI178" s="87"/>
      <c r="AJ178" s="87"/>
      <c r="AK178" s="184"/>
      <c r="AL178" s="206">
        <f t="shared" si="4"/>
        <v>2</v>
      </c>
      <c r="AM178" s="91">
        <f>0</f>
        <v>0</v>
      </c>
      <c r="AN178" s="207">
        <f t="shared" si="5"/>
        <v>2</v>
      </c>
      <c r="AO178" s="194">
        <v>45082</v>
      </c>
      <c r="AP178" s="172" t="s">
        <v>273</v>
      </c>
      <c r="AQ178" s="171" t="s">
        <v>873</v>
      </c>
      <c r="AR178" s="171" t="s">
        <v>148</v>
      </c>
      <c r="AS178" s="159"/>
      <c r="AT178" s="153"/>
      <c r="AU178" s="154"/>
      <c r="AV178" s="154"/>
      <c r="AW178" s="154"/>
      <c r="AX178" s="155"/>
      <c r="AY178" s="156"/>
      <c r="AZ178" s="157"/>
      <c r="BA178" s="81"/>
      <c r="BB178" s="81"/>
      <c r="BC178" s="81"/>
    </row>
    <row r="179" spans="1:55" ht="28" customHeight="1" x14ac:dyDescent="0.25">
      <c r="A179" s="173">
        <v>173</v>
      </c>
      <c r="B179" s="147">
        <v>45079</v>
      </c>
      <c r="C179" s="77" t="s">
        <v>134</v>
      </c>
      <c r="D179" s="77" t="s">
        <v>135</v>
      </c>
      <c r="E179" s="77" t="s">
        <v>136</v>
      </c>
      <c r="F179" s="168" t="s">
        <v>672</v>
      </c>
      <c r="G179" s="168" t="s">
        <v>677</v>
      </c>
      <c r="H179" s="168" t="s">
        <v>110</v>
      </c>
      <c r="I179" s="168" t="s">
        <v>683</v>
      </c>
      <c r="J179" s="175" t="s">
        <v>678</v>
      </c>
      <c r="K179" s="174"/>
      <c r="L179" s="174" t="s">
        <v>153</v>
      </c>
      <c r="M179" s="174" t="s">
        <v>154</v>
      </c>
      <c r="N179" s="174"/>
      <c r="O179" s="174" t="s">
        <v>155</v>
      </c>
      <c r="P179" s="171"/>
      <c r="Q179" s="303"/>
      <c r="R179" s="182">
        <f>0</f>
        <v>0</v>
      </c>
      <c r="S179" s="87"/>
      <c r="T179" s="87"/>
      <c r="U179" s="87"/>
      <c r="V179" s="87"/>
      <c r="W179" s="161">
        <v>3</v>
      </c>
      <c r="X179" s="87"/>
      <c r="Y179" s="87"/>
      <c r="Z179" s="87"/>
      <c r="AA179" s="184"/>
      <c r="AB179" s="186"/>
      <c r="AC179" s="87"/>
      <c r="AD179" s="87"/>
      <c r="AE179" s="87"/>
      <c r="AF179" s="87"/>
      <c r="AG179" s="87"/>
      <c r="AH179" s="87"/>
      <c r="AI179" s="87"/>
      <c r="AJ179" s="87"/>
      <c r="AK179" s="184"/>
      <c r="AL179" s="206">
        <f t="shared" si="4"/>
        <v>3</v>
      </c>
      <c r="AM179" s="91">
        <f>0</f>
        <v>0</v>
      </c>
      <c r="AN179" s="207">
        <f t="shared" si="5"/>
        <v>3</v>
      </c>
      <c r="AO179" s="194">
        <v>45082</v>
      </c>
      <c r="AP179" s="172" t="s">
        <v>273</v>
      </c>
      <c r="AQ179" s="171" t="s">
        <v>873</v>
      </c>
      <c r="AR179" s="171" t="s">
        <v>148</v>
      </c>
      <c r="AS179" s="159"/>
      <c r="AT179" s="153"/>
      <c r="AU179" s="154"/>
      <c r="AV179" s="154"/>
      <c r="AW179" s="154"/>
      <c r="AX179" s="155"/>
      <c r="AY179" s="156"/>
      <c r="AZ179" s="157"/>
      <c r="BA179" s="81"/>
      <c r="BB179" s="81"/>
      <c r="BC179" s="81"/>
    </row>
    <row r="180" spans="1:55" ht="28" customHeight="1" x14ac:dyDescent="0.25">
      <c r="A180" s="173">
        <v>174</v>
      </c>
      <c r="B180" s="147">
        <v>45079</v>
      </c>
      <c r="C180" s="77" t="s">
        <v>134</v>
      </c>
      <c r="D180" s="77" t="s">
        <v>135</v>
      </c>
      <c r="E180" s="77" t="s">
        <v>136</v>
      </c>
      <c r="F180" s="168" t="s">
        <v>672</v>
      </c>
      <c r="G180" s="168" t="s">
        <v>679</v>
      </c>
      <c r="H180" s="168" t="s">
        <v>110</v>
      </c>
      <c r="I180" s="168" t="s">
        <v>680</v>
      </c>
      <c r="J180" s="175" t="s">
        <v>681</v>
      </c>
      <c r="K180" s="174"/>
      <c r="L180" s="174" t="s">
        <v>153</v>
      </c>
      <c r="M180" s="174" t="s">
        <v>479</v>
      </c>
      <c r="N180" s="174"/>
      <c r="O180" s="174" t="s">
        <v>155</v>
      </c>
      <c r="P180" s="171"/>
      <c r="Q180" s="303"/>
      <c r="R180" s="182">
        <f>0</f>
        <v>0</v>
      </c>
      <c r="S180" s="87"/>
      <c r="T180" s="87"/>
      <c r="U180" s="87"/>
      <c r="V180" s="87"/>
      <c r="W180" s="161">
        <v>1</v>
      </c>
      <c r="X180" s="87"/>
      <c r="Y180" s="87"/>
      <c r="Z180" s="87"/>
      <c r="AA180" s="184"/>
      <c r="AB180" s="186"/>
      <c r="AC180" s="87"/>
      <c r="AD180" s="87"/>
      <c r="AE180" s="87"/>
      <c r="AF180" s="87"/>
      <c r="AG180" s="87"/>
      <c r="AH180" s="87"/>
      <c r="AI180" s="87"/>
      <c r="AJ180" s="87"/>
      <c r="AK180" s="184"/>
      <c r="AL180" s="206">
        <f t="shared" si="4"/>
        <v>1</v>
      </c>
      <c r="AM180" s="91">
        <f>0</f>
        <v>0</v>
      </c>
      <c r="AN180" s="207">
        <f t="shared" si="5"/>
        <v>1</v>
      </c>
      <c r="AO180" s="194">
        <v>45082</v>
      </c>
      <c r="AP180" s="172" t="s">
        <v>273</v>
      </c>
      <c r="AQ180" s="171" t="s">
        <v>873</v>
      </c>
      <c r="AR180" s="171" t="s">
        <v>148</v>
      </c>
      <c r="AS180" s="159"/>
      <c r="AT180" s="153"/>
      <c r="AU180" s="154"/>
      <c r="AV180" s="154"/>
      <c r="AW180" s="154"/>
      <c r="AX180" s="155"/>
      <c r="AY180" s="156"/>
      <c r="AZ180" s="157"/>
      <c r="BA180" s="81"/>
      <c r="BB180" s="81"/>
      <c r="BC180" s="81"/>
    </row>
    <row r="181" spans="1:55" ht="28" customHeight="1" x14ac:dyDescent="0.25">
      <c r="A181" s="173">
        <v>175</v>
      </c>
      <c r="B181" s="147">
        <v>45079</v>
      </c>
      <c r="C181" s="77" t="s">
        <v>134</v>
      </c>
      <c r="D181" s="77" t="s">
        <v>135</v>
      </c>
      <c r="E181" s="77" t="s">
        <v>136</v>
      </c>
      <c r="F181" s="168" t="s">
        <v>672</v>
      </c>
      <c r="G181" s="168" t="s">
        <v>684</v>
      </c>
      <c r="H181" s="168" t="s">
        <v>110</v>
      </c>
      <c r="I181" s="168" t="s">
        <v>685</v>
      </c>
      <c r="J181" s="175" t="s">
        <v>686</v>
      </c>
      <c r="K181" s="174"/>
      <c r="L181" s="174" t="s">
        <v>320</v>
      </c>
      <c r="M181" s="174" t="s">
        <v>154</v>
      </c>
      <c r="N181" s="174"/>
      <c r="O181" s="174" t="s">
        <v>155</v>
      </c>
      <c r="P181" s="171"/>
      <c r="Q181" s="303"/>
      <c r="R181" s="182">
        <f>0</f>
        <v>0</v>
      </c>
      <c r="S181" s="87"/>
      <c r="T181" s="87"/>
      <c r="U181" s="87"/>
      <c r="V181" s="87"/>
      <c r="W181" s="161">
        <v>2</v>
      </c>
      <c r="X181" s="87"/>
      <c r="Y181" s="87"/>
      <c r="Z181" s="87"/>
      <c r="AA181" s="184"/>
      <c r="AB181" s="186"/>
      <c r="AC181" s="87"/>
      <c r="AD181" s="87"/>
      <c r="AE181" s="87"/>
      <c r="AF181" s="87"/>
      <c r="AG181" s="87"/>
      <c r="AH181" s="87"/>
      <c r="AI181" s="87"/>
      <c r="AJ181" s="87"/>
      <c r="AK181" s="184"/>
      <c r="AL181" s="206">
        <f t="shared" si="4"/>
        <v>2</v>
      </c>
      <c r="AM181" s="91">
        <f>0</f>
        <v>0</v>
      </c>
      <c r="AN181" s="207">
        <f t="shared" si="5"/>
        <v>2</v>
      </c>
      <c r="AO181" s="194">
        <v>45082</v>
      </c>
      <c r="AP181" s="172" t="s">
        <v>273</v>
      </c>
      <c r="AQ181" s="171" t="s">
        <v>873</v>
      </c>
      <c r="AR181" s="171" t="s">
        <v>148</v>
      </c>
      <c r="AS181" s="159"/>
      <c r="AT181" s="153"/>
      <c r="AU181" s="154"/>
      <c r="AV181" s="154"/>
      <c r="AW181" s="154"/>
      <c r="AX181" s="155"/>
      <c r="AY181" s="156"/>
      <c r="AZ181" s="157"/>
      <c r="BA181" s="81"/>
      <c r="BB181" s="81"/>
      <c r="BC181" s="81"/>
    </row>
    <row r="182" spans="1:55" ht="28" customHeight="1" x14ac:dyDescent="0.25">
      <c r="A182" s="173">
        <v>176</v>
      </c>
      <c r="B182" s="147">
        <v>45079</v>
      </c>
      <c r="C182" s="77" t="s">
        <v>134</v>
      </c>
      <c r="D182" s="77" t="s">
        <v>135</v>
      </c>
      <c r="E182" s="77" t="s">
        <v>136</v>
      </c>
      <c r="F182" s="168" t="s">
        <v>672</v>
      </c>
      <c r="G182" s="168" t="s">
        <v>687</v>
      </c>
      <c r="H182" s="168" t="s">
        <v>110</v>
      </c>
      <c r="I182" s="168" t="s">
        <v>689</v>
      </c>
      <c r="J182" s="175" t="s">
        <v>688</v>
      </c>
      <c r="K182" s="174"/>
      <c r="L182" s="174" t="s">
        <v>153</v>
      </c>
      <c r="M182" s="174" t="s">
        <v>154</v>
      </c>
      <c r="N182" s="174"/>
      <c r="O182" s="174" t="s">
        <v>155</v>
      </c>
      <c r="P182" s="171"/>
      <c r="Q182" s="303"/>
      <c r="R182" s="182">
        <f>0</f>
        <v>0</v>
      </c>
      <c r="S182" s="87"/>
      <c r="T182" s="87"/>
      <c r="U182" s="87"/>
      <c r="V182" s="87"/>
      <c r="W182" s="161">
        <v>1</v>
      </c>
      <c r="X182" s="87"/>
      <c r="Y182" s="87"/>
      <c r="Z182" s="87"/>
      <c r="AA182" s="184"/>
      <c r="AB182" s="186"/>
      <c r="AC182" s="87"/>
      <c r="AD182" s="87"/>
      <c r="AE182" s="87"/>
      <c r="AF182" s="87"/>
      <c r="AG182" s="87"/>
      <c r="AH182" s="87"/>
      <c r="AI182" s="87"/>
      <c r="AJ182" s="87"/>
      <c r="AK182" s="184"/>
      <c r="AL182" s="206">
        <f t="shared" si="4"/>
        <v>1</v>
      </c>
      <c r="AM182" s="91">
        <f>0</f>
        <v>0</v>
      </c>
      <c r="AN182" s="207">
        <f t="shared" si="5"/>
        <v>1</v>
      </c>
      <c r="AO182" s="194">
        <v>45082</v>
      </c>
      <c r="AP182" s="172" t="s">
        <v>273</v>
      </c>
      <c r="AQ182" s="171" t="s">
        <v>873</v>
      </c>
      <c r="AR182" s="171" t="s">
        <v>148</v>
      </c>
      <c r="AS182" s="159"/>
      <c r="AT182" s="153"/>
      <c r="AU182" s="154"/>
      <c r="AV182" s="154"/>
      <c r="AW182" s="154"/>
      <c r="AX182" s="155"/>
      <c r="AY182" s="156"/>
      <c r="AZ182" s="157"/>
      <c r="BA182" s="81"/>
      <c r="BB182" s="81"/>
      <c r="BC182" s="81"/>
    </row>
    <row r="183" spans="1:55" ht="28" customHeight="1" x14ac:dyDescent="0.25">
      <c r="A183" s="173">
        <v>177</v>
      </c>
      <c r="B183" s="147">
        <v>45079</v>
      </c>
      <c r="C183" s="77" t="s">
        <v>134</v>
      </c>
      <c r="D183" s="77" t="s">
        <v>135</v>
      </c>
      <c r="E183" s="77" t="s">
        <v>136</v>
      </c>
      <c r="F183" s="168" t="s">
        <v>672</v>
      </c>
      <c r="G183" s="168" t="s">
        <v>684</v>
      </c>
      <c r="H183" s="168" t="s">
        <v>110</v>
      </c>
      <c r="I183" s="168" t="s">
        <v>685</v>
      </c>
      <c r="J183" s="175" t="s">
        <v>686</v>
      </c>
      <c r="K183" s="174"/>
      <c r="L183" s="174" t="s">
        <v>320</v>
      </c>
      <c r="M183" s="174" t="s">
        <v>154</v>
      </c>
      <c r="N183" s="174"/>
      <c r="O183" s="174" t="s">
        <v>155</v>
      </c>
      <c r="P183" s="171"/>
      <c r="Q183" s="303"/>
      <c r="R183" s="182">
        <f>0</f>
        <v>0</v>
      </c>
      <c r="S183" s="87"/>
      <c r="T183" s="87"/>
      <c r="U183" s="87"/>
      <c r="V183" s="87"/>
      <c r="W183" s="161">
        <v>1</v>
      </c>
      <c r="X183" s="87"/>
      <c r="Y183" s="87"/>
      <c r="Z183" s="87"/>
      <c r="AA183" s="184"/>
      <c r="AB183" s="186"/>
      <c r="AC183" s="87"/>
      <c r="AD183" s="87"/>
      <c r="AE183" s="87"/>
      <c r="AF183" s="87"/>
      <c r="AG183" s="87"/>
      <c r="AH183" s="87"/>
      <c r="AI183" s="87"/>
      <c r="AJ183" s="87"/>
      <c r="AK183" s="184"/>
      <c r="AL183" s="206">
        <f t="shared" si="4"/>
        <v>1</v>
      </c>
      <c r="AM183" s="91">
        <f>0</f>
        <v>0</v>
      </c>
      <c r="AN183" s="207">
        <f t="shared" si="5"/>
        <v>1</v>
      </c>
      <c r="AO183" s="194">
        <v>45082</v>
      </c>
      <c r="AP183" s="172" t="s">
        <v>273</v>
      </c>
      <c r="AQ183" s="171" t="s">
        <v>873</v>
      </c>
      <c r="AR183" s="171" t="s">
        <v>148</v>
      </c>
      <c r="AS183" s="159"/>
      <c r="AT183" s="153"/>
      <c r="AU183" s="154"/>
      <c r="AV183" s="154"/>
      <c r="AW183" s="154"/>
      <c r="AX183" s="155"/>
      <c r="AY183" s="156"/>
      <c r="AZ183" s="157"/>
      <c r="BA183" s="81"/>
      <c r="BB183" s="81"/>
      <c r="BC183" s="81"/>
    </row>
    <row r="184" spans="1:55" ht="28" customHeight="1" x14ac:dyDescent="0.25">
      <c r="A184" s="173">
        <v>178</v>
      </c>
      <c r="B184" s="147">
        <v>45079</v>
      </c>
      <c r="C184" s="77" t="s">
        <v>134</v>
      </c>
      <c r="D184" s="77" t="s">
        <v>135</v>
      </c>
      <c r="E184" s="77" t="s">
        <v>136</v>
      </c>
      <c r="F184" s="168" t="s">
        <v>672</v>
      </c>
      <c r="G184" s="168" t="s">
        <v>690</v>
      </c>
      <c r="H184" s="168" t="s">
        <v>110</v>
      </c>
      <c r="I184" s="168" t="s">
        <v>691</v>
      </c>
      <c r="J184" s="175" t="s">
        <v>700</v>
      </c>
      <c r="K184" s="174"/>
      <c r="L184" s="174" t="s">
        <v>153</v>
      </c>
      <c r="M184" s="174" t="s">
        <v>479</v>
      </c>
      <c r="N184" s="174"/>
      <c r="O184" s="174" t="s">
        <v>155</v>
      </c>
      <c r="P184" s="171"/>
      <c r="Q184" s="303"/>
      <c r="R184" s="182">
        <f>0</f>
        <v>0</v>
      </c>
      <c r="S184" s="87"/>
      <c r="T184" s="87"/>
      <c r="U184" s="87"/>
      <c r="V184" s="87"/>
      <c r="W184" s="161">
        <v>1</v>
      </c>
      <c r="X184" s="87"/>
      <c r="Y184" s="87"/>
      <c r="Z184" s="87"/>
      <c r="AA184" s="184"/>
      <c r="AB184" s="186"/>
      <c r="AC184" s="87"/>
      <c r="AD184" s="87"/>
      <c r="AE184" s="87"/>
      <c r="AF184" s="87"/>
      <c r="AG184" s="87"/>
      <c r="AH184" s="87"/>
      <c r="AI184" s="87"/>
      <c r="AJ184" s="87"/>
      <c r="AK184" s="184"/>
      <c r="AL184" s="206">
        <f t="shared" si="4"/>
        <v>1</v>
      </c>
      <c r="AM184" s="91">
        <f>0</f>
        <v>0</v>
      </c>
      <c r="AN184" s="207">
        <f t="shared" si="5"/>
        <v>1</v>
      </c>
      <c r="AO184" s="194">
        <v>45082</v>
      </c>
      <c r="AP184" s="172" t="s">
        <v>273</v>
      </c>
      <c r="AQ184" s="171" t="s">
        <v>873</v>
      </c>
      <c r="AR184" s="171" t="s">
        <v>148</v>
      </c>
      <c r="AS184" s="159"/>
      <c r="AT184" s="153"/>
      <c r="AU184" s="154"/>
      <c r="AV184" s="154"/>
      <c r="AW184" s="154"/>
      <c r="AX184" s="155"/>
      <c r="AY184" s="156"/>
      <c r="AZ184" s="157"/>
      <c r="BA184" s="81"/>
      <c r="BB184" s="81"/>
      <c r="BC184" s="81"/>
    </row>
    <row r="185" spans="1:55" ht="28" customHeight="1" x14ac:dyDescent="0.25">
      <c r="A185" s="173">
        <v>179</v>
      </c>
      <c r="B185" s="147">
        <v>45079</v>
      </c>
      <c r="C185" s="77" t="s">
        <v>134</v>
      </c>
      <c r="D185" s="77" t="s">
        <v>135</v>
      </c>
      <c r="E185" s="77" t="s">
        <v>136</v>
      </c>
      <c r="F185" s="168" t="s">
        <v>672</v>
      </c>
      <c r="G185" s="168" t="s">
        <v>692</v>
      </c>
      <c r="H185" s="168" t="s">
        <v>110</v>
      </c>
      <c r="I185" s="168" t="s">
        <v>699</v>
      </c>
      <c r="J185" s="175" t="s">
        <v>693</v>
      </c>
      <c r="K185" s="174"/>
      <c r="L185" s="174" t="s">
        <v>153</v>
      </c>
      <c r="M185" s="174" t="s">
        <v>154</v>
      </c>
      <c r="N185" s="174"/>
      <c r="O185" s="174" t="s">
        <v>155</v>
      </c>
      <c r="P185" s="171"/>
      <c r="Q185" s="303"/>
      <c r="R185" s="182">
        <f>0</f>
        <v>0</v>
      </c>
      <c r="S185" s="87"/>
      <c r="T185" s="87"/>
      <c r="U185" s="87"/>
      <c r="V185" s="87"/>
      <c r="W185" s="161">
        <v>1</v>
      </c>
      <c r="X185" s="87"/>
      <c r="Y185" s="87"/>
      <c r="Z185" s="87"/>
      <c r="AA185" s="184"/>
      <c r="AB185" s="186"/>
      <c r="AC185" s="87"/>
      <c r="AD185" s="87"/>
      <c r="AE185" s="87"/>
      <c r="AF185" s="87"/>
      <c r="AG185" s="87"/>
      <c r="AH185" s="87"/>
      <c r="AI185" s="87"/>
      <c r="AJ185" s="87"/>
      <c r="AK185" s="184"/>
      <c r="AL185" s="206">
        <f t="shared" si="4"/>
        <v>1</v>
      </c>
      <c r="AM185" s="91">
        <f>0</f>
        <v>0</v>
      </c>
      <c r="AN185" s="207">
        <f t="shared" si="5"/>
        <v>1</v>
      </c>
      <c r="AO185" s="194">
        <v>45082</v>
      </c>
      <c r="AP185" s="172" t="s">
        <v>273</v>
      </c>
      <c r="AQ185" s="171" t="s">
        <v>873</v>
      </c>
      <c r="AR185" s="171" t="s">
        <v>148</v>
      </c>
      <c r="AS185" s="159"/>
      <c r="AT185" s="153"/>
      <c r="AU185" s="154"/>
      <c r="AV185" s="154"/>
      <c r="AW185" s="154"/>
      <c r="AX185" s="155"/>
      <c r="AY185" s="156"/>
      <c r="AZ185" s="157"/>
      <c r="BA185" s="81"/>
      <c r="BB185" s="81"/>
      <c r="BC185" s="81"/>
    </row>
    <row r="186" spans="1:55" ht="28" customHeight="1" x14ac:dyDescent="0.25">
      <c r="A186" s="173">
        <v>180</v>
      </c>
      <c r="B186" s="147">
        <v>45079</v>
      </c>
      <c r="C186" s="77" t="s">
        <v>134</v>
      </c>
      <c r="D186" s="77" t="s">
        <v>135</v>
      </c>
      <c r="E186" s="77" t="s">
        <v>136</v>
      </c>
      <c r="F186" s="168" t="s">
        <v>672</v>
      </c>
      <c r="G186" s="168" t="s">
        <v>694</v>
      </c>
      <c r="H186" s="168" t="s">
        <v>110</v>
      </c>
      <c r="I186" s="168" t="s">
        <v>695</v>
      </c>
      <c r="J186" s="175" t="s">
        <v>696</v>
      </c>
      <c r="K186" s="174"/>
      <c r="L186" s="174" t="s">
        <v>153</v>
      </c>
      <c r="M186" s="174" t="s">
        <v>479</v>
      </c>
      <c r="N186" s="174"/>
      <c r="O186" s="174" t="s">
        <v>155</v>
      </c>
      <c r="P186" s="171"/>
      <c r="Q186" s="303"/>
      <c r="R186" s="182">
        <f>0</f>
        <v>0</v>
      </c>
      <c r="S186" s="87"/>
      <c r="T186" s="87"/>
      <c r="U186" s="87"/>
      <c r="V186" s="87"/>
      <c r="W186" s="161">
        <v>1</v>
      </c>
      <c r="X186" s="87"/>
      <c r="Y186" s="87"/>
      <c r="Z186" s="87"/>
      <c r="AA186" s="184"/>
      <c r="AB186" s="186"/>
      <c r="AC186" s="87"/>
      <c r="AD186" s="87"/>
      <c r="AE186" s="87"/>
      <c r="AF186" s="87"/>
      <c r="AG186" s="87"/>
      <c r="AH186" s="87"/>
      <c r="AI186" s="87"/>
      <c r="AJ186" s="87"/>
      <c r="AK186" s="184"/>
      <c r="AL186" s="206">
        <f t="shared" si="4"/>
        <v>1</v>
      </c>
      <c r="AM186" s="91">
        <f>0</f>
        <v>0</v>
      </c>
      <c r="AN186" s="207">
        <f t="shared" si="5"/>
        <v>1</v>
      </c>
      <c r="AO186" s="194">
        <v>45082</v>
      </c>
      <c r="AP186" s="172" t="s">
        <v>273</v>
      </c>
      <c r="AQ186" s="171" t="s">
        <v>873</v>
      </c>
      <c r="AR186" s="171" t="s">
        <v>148</v>
      </c>
      <c r="AS186" s="159"/>
      <c r="AT186" s="153"/>
      <c r="AU186" s="154"/>
      <c r="AV186" s="154"/>
      <c r="AW186" s="154"/>
      <c r="AX186" s="155"/>
      <c r="AY186" s="156"/>
      <c r="AZ186" s="157"/>
      <c r="BA186" s="81"/>
      <c r="BB186" s="81"/>
      <c r="BC186" s="81"/>
    </row>
    <row r="187" spans="1:55" ht="28" customHeight="1" x14ac:dyDescent="0.25">
      <c r="A187" s="173">
        <v>181</v>
      </c>
      <c r="B187" s="147">
        <v>45079</v>
      </c>
      <c r="C187" s="77" t="s">
        <v>134</v>
      </c>
      <c r="D187" s="77" t="s">
        <v>135</v>
      </c>
      <c r="E187" s="77" t="s">
        <v>136</v>
      </c>
      <c r="F187" s="168" t="s">
        <v>672</v>
      </c>
      <c r="G187" s="168" t="s">
        <v>698</v>
      </c>
      <c r="H187" s="168" t="s">
        <v>110</v>
      </c>
      <c r="I187" s="168" t="s">
        <v>697</v>
      </c>
      <c r="J187" s="175" t="s">
        <v>701</v>
      </c>
      <c r="K187" s="174"/>
      <c r="L187" s="174" t="s">
        <v>193</v>
      </c>
      <c r="M187" s="174" t="s">
        <v>154</v>
      </c>
      <c r="N187" s="174"/>
      <c r="O187" s="174" t="s">
        <v>172</v>
      </c>
      <c r="P187" s="171"/>
      <c r="Q187" s="303"/>
      <c r="R187" s="182">
        <f>0</f>
        <v>0</v>
      </c>
      <c r="S187" s="87"/>
      <c r="T187" s="87"/>
      <c r="U187" s="87"/>
      <c r="V187" s="87"/>
      <c r="W187" s="161">
        <v>1</v>
      </c>
      <c r="X187" s="87"/>
      <c r="Y187" s="87"/>
      <c r="Z187" s="87"/>
      <c r="AA187" s="184"/>
      <c r="AB187" s="186"/>
      <c r="AC187" s="87"/>
      <c r="AD187" s="87"/>
      <c r="AE187" s="87"/>
      <c r="AF187" s="87"/>
      <c r="AG187" s="87"/>
      <c r="AH187" s="87"/>
      <c r="AI187" s="87"/>
      <c r="AJ187" s="87"/>
      <c r="AK187" s="184"/>
      <c r="AL187" s="206">
        <f t="shared" si="4"/>
        <v>1</v>
      </c>
      <c r="AM187" s="91">
        <f>0</f>
        <v>0</v>
      </c>
      <c r="AN187" s="207">
        <f t="shared" si="5"/>
        <v>1</v>
      </c>
      <c r="AO187" s="194">
        <v>45082</v>
      </c>
      <c r="AP187" s="172" t="s">
        <v>273</v>
      </c>
      <c r="AQ187" s="171" t="s">
        <v>873</v>
      </c>
      <c r="AR187" s="171" t="s">
        <v>148</v>
      </c>
      <c r="AS187" s="159"/>
      <c r="AT187" s="153"/>
      <c r="AU187" s="154"/>
      <c r="AV187" s="154"/>
      <c r="AW187" s="154"/>
      <c r="AX187" s="155"/>
      <c r="AY187" s="156"/>
      <c r="AZ187" s="157"/>
      <c r="BA187" s="81"/>
      <c r="BB187" s="81"/>
      <c r="BC187" s="81"/>
    </row>
    <row r="188" spans="1:55" ht="28" customHeight="1" x14ac:dyDescent="0.25">
      <c r="A188" s="173">
        <v>182</v>
      </c>
      <c r="B188" s="147">
        <v>45079</v>
      </c>
      <c r="C188" s="77" t="s">
        <v>134</v>
      </c>
      <c r="D188" s="77" t="s">
        <v>135</v>
      </c>
      <c r="E188" s="77" t="s">
        <v>136</v>
      </c>
      <c r="F188" s="168" t="s">
        <v>672</v>
      </c>
      <c r="G188" s="168" t="s">
        <v>704</v>
      </c>
      <c r="H188" s="168" t="s">
        <v>110</v>
      </c>
      <c r="I188" s="231" t="s">
        <v>702</v>
      </c>
      <c r="J188" s="175" t="s">
        <v>703</v>
      </c>
      <c r="K188" s="174"/>
      <c r="L188" s="174" t="s">
        <v>209</v>
      </c>
      <c r="M188" s="174" t="s">
        <v>114</v>
      </c>
      <c r="N188" s="174"/>
      <c r="O188" s="174"/>
      <c r="P188" s="171"/>
      <c r="Q188" s="303"/>
      <c r="R188" s="182">
        <f>0</f>
        <v>0</v>
      </c>
      <c r="S188" s="87"/>
      <c r="T188" s="87"/>
      <c r="U188" s="87"/>
      <c r="V188" s="87"/>
      <c r="W188" s="161">
        <v>1</v>
      </c>
      <c r="X188" s="87"/>
      <c r="Y188" s="87"/>
      <c r="Z188" s="87"/>
      <c r="AA188" s="184"/>
      <c r="AB188" s="186"/>
      <c r="AC188" s="87"/>
      <c r="AD188" s="87"/>
      <c r="AE188" s="87"/>
      <c r="AF188" s="87"/>
      <c r="AG188" s="87"/>
      <c r="AH188" s="87"/>
      <c r="AI188" s="87"/>
      <c r="AJ188" s="87"/>
      <c r="AK188" s="184"/>
      <c r="AL188" s="206">
        <f t="shared" si="4"/>
        <v>1</v>
      </c>
      <c r="AM188" s="91">
        <f>0</f>
        <v>0</v>
      </c>
      <c r="AN188" s="207">
        <f t="shared" si="5"/>
        <v>1</v>
      </c>
      <c r="AO188" s="194">
        <v>45082</v>
      </c>
      <c r="AP188" s="172" t="s">
        <v>273</v>
      </c>
      <c r="AQ188" s="171" t="s">
        <v>902</v>
      </c>
      <c r="AR188" s="171" t="s">
        <v>276</v>
      </c>
      <c r="AS188" s="159"/>
      <c r="AT188" s="153"/>
      <c r="AU188" s="154">
        <v>1</v>
      </c>
      <c r="AV188" s="154"/>
      <c r="AW188" s="99" t="s">
        <v>457</v>
      </c>
      <c r="AX188" s="155"/>
      <c r="AY188" s="156"/>
      <c r="AZ188" s="157"/>
      <c r="BA188" s="81"/>
      <c r="BB188" s="81"/>
      <c r="BC188" s="81"/>
    </row>
    <row r="189" spans="1:55" ht="28" customHeight="1" x14ac:dyDescent="0.25">
      <c r="A189" s="173">
        <v>183</v>
      </c>
      <c r="B189" s="147">
        <v>45079</v>
      </c>
      <c r="C189" s="77" t="s">
        <v>134</v>
      </c>
      <c r="D189" s="77" t="s">
        <v>135</v>
      </c>
      <c r="E189" s="77" t="s">
        <v>136</v>
      </c>
      <c r="F189" s="168" t="s">
        <v>672</v>
      </c>
      <c r="G189" s="168" t="s">
        <v>705</v>
      </c>
      <c r="H189" s="168" t="s">
        <v>110</v>
      </c>
      <c r="I189" s="168" t="s">
        <v>706</v>
      </c>
      <c r="J189" s="175" t="s">
        <v>707</v>
      </c>
      <c r="K189" s="174" t="s">
        <v>80</v>
      </c>
      <c r="L189" s="174" t="s">
        <v>304</v>
      </c>
      <c r="M189" s="174" t="s">
        <v>479</v>
      </c>
      <c r="N189" s="174" t="s">
        <v>80</v>
      </c>
      <c r="O189" s="174" t="s">
        <v>708</v>
      </c>
      <c r="P189" s="265"/>
      <c r="Q189" s="306"/>
      <c r="R189" s="182">
        <f>0</f>
        <v>0</v>
      </c>
      <c r="S189" s="87"/>
      <c r="T189" s="87"/>
      <c r="U189" s="87"/>
      <c r="V189" s="87"/>
      <c r="W189" s="161">
        <v>1</v>
      </c>
      <c r="X189" s="87"/>
      <c r="Y189" s="87"/>
      <c r="Z189" s="87"/>
      <c r="AA189" s="184"/>
      <c r="AB189" s="186"/>
      <c r="AC189" s="87"/>
      <c r="AD189" s="87"/>
      <c r="AE189" s="87"/>
      <c r="AF189" s="87"/>
      <c r="AG189" s="87"/>
      <c r="AH189" s="87"/>
      <c r="AI189" s="87"/>
      <c r="AJ189" s="87"/>
      <c r="AK189" s="184"/>
      <c r="AL189" s="206">
        <f t="shared" si="4"/>
        <v>1</v>
      </c>
      <c r="AM189" s="91">
        <f>0</f>
        <v>0</v>
      </c>
      <c r="AN189" s="207">
        <f t="shared" si="5"/>
        <v>1</v>
      </c>
      <c r="AO189" s="194">
        <v>45082</v>
      </c>
      <c r="AP189" s="172" t="s">
        <v>273</v>
      </c>
      <c r="AQ189" s="171" t="s">
        <v>873</v>
      </c>
      <c r="AR189" s="171" t="s">
        <v>148</v>
      </c>
      <c r="AS189" s="159"/>
      <c r="AT189" s="153"/>
      <c r="AU189" s="154"/>
      <c r="AV189" s="154"/>
      <c r="AW189" s="154"/>
      <c r="AX189" s="155"/>
      <c r="AY189" s="156"/>
      <c r="AZ189" s="157"/>
      <c r="BA189" s="81"/>
      <c r="BB189" s="81"/>
      <c r="BC189" s="81"/>
    </row>
    <row r="190" spans="1:55" ht="28" customHeight="1" x14ac:dyDescent="0.25">
      <c r="A190" s="173">
        <v>184</v>
      </c>
      <c r="B190" s="147">
        <v>45079</v>
      </c>
      <c r="C190" s="162"/>
      <c r="D190" s="163"/>
      <c r="E190" s="163"/>
      <c r="F190" s="168" t="s">
        <v>672</v>
      </c>
      <c r="G190" s="168" t="s">
        <v>1227</v>
      </c>
      <c r="H190" s="168" t="s">
        <v>110</v>
      </c>
      <c r="I190" s="168" t="s">
        <v>706</v>
      </c>
      <c r="J190" s="175" t="s">
        <v>747</v>
      </c>
      <c r="K190" s="174" t="s">
        <v>80</v>
      </c>
      <c r="L190" s="174" t="s">
        <v>304</v>
      </c>
      <c r="M190" s="174" t="s">
        <v>479</v>
      </c>
      <c r="N190" s="174" t="s">
        <v>80</v>
      </c>
      <c r="O190" s="174" t="s">
        <v>708</v>
      </c>
      <c r="P190" s="168"/>
      <c r="Q190" s="174"/>
      <c r="R190" s="182">
        <f>0</f>
        <v>0</v>
      </c>
      <c r="S190" s="87"/>
      <c r="T190" s="87"/>
      <c r="U190" s="87"/>
      <c r="V190" s="87"/>
      <c r="W190" s="161">
        <v>1</v>
      </c>
      <c r="X190" s="87"/>
      <c r="Y190" s="87"/>
      <c r="Z190" s="87"/>
      <c r="AA190" s="184"/>
      <c r="AB190" s="186"/>
      <c r="AC190" s="87"/>
      <c r="AD190" s="87"/>
      <c r="AE190" s="87"/>
      <c r="AF190" s="87"/>
      <c r="AG190" s="87"/>
      <c r="AH190" s="87"/>
      <c r="AI190" s="87"/>
      <c r="AJ190" s="87"/>
      <c r="AK190" s="184"/>
      <c r="AL190" s="206">
        <f t="shared" si="4"/>
        <v>1</v>
      </c>
      <c r="AM190" s="91">
        <f>0</f>
        <v>0</v>
      </c>
      <c r="AN190" s="207">
        <f t="shared" si="5"/>
        <v>1</v>
      </c>
      <c r="AO190" s="194">
        <v>45082</v>
      </c>
      <c r="AP190" s="172" t="s">
        <v>273</v>
      </c>
      <c r="AQ190" s="171" t="s">
        <v>873</v>
      </c>
      <c r="AR190" s="171" t="s">
        <v>148</v>
      </c>
      <c r="AS190" s="159"/>
      <c r="AT190" s="153"/>
      <c r="AU190" s="154"/>
      <c r="AV190" s="154"/>
      <c r="AW190" s="154"/>
      <c r="AX190" s="155"/>
      <c r="AY190" s="156"/>
      <c r="AZ190" s="157"/>
      <c r="BA190" s="81"/>
      <c r="BB190" s="81"/>
      <c r="BC190" s="81"/>
    </row>
    <row r="191" spans="1:55" ht="28" customHeight="1" x14ac:dyDescent="0.25">
      <c r="A191" s="173">
        <v>185</v>
      </c>
      <c r="B191" s="147">
        <v>45079</v>
      </c>
      <c r="C191" s="77" t="s">
        <v>134</v>
      </c>
      <c r="D191" s="77" t="s">
        <v>135</v>
      </c>
      <c r="E191" s="77" t="s">
        <v>136</v>
      </c>
      <c r="F191" s="168" t="s">
        <v>672</v>
      </c>
      <c r="G191" s="168" t="s">
        <v>709</v>
      </c>
      <c r="H191" s="168" t="s">
        <v>110</v>
      </c>
      <c r="I191" s="168" t="s">
        <v>710</v>
      </c>
      <c r="J191" s="175" t="s">
        <v>711</v>
      </c>
      <c r="K191" s="174"/>
      <c r="L191" s="174" t="s">
        <v>304</v>
      </c>
      <c r="M191" s="174" t="s">
        <v>154</v>
      </c>
      <c r="N191" s="174"/>
      <c r="O191" s="174" t="s">
        <v>708</v>
      </c>
      <c r="P191" s="171"/>
      <c r="Q191" s="303"/>
      <c r="R191" s="182">
        <f>0</f>
        <v>0</v>
      </c>
      <c r="S191" s="87"/>
      <c r="T191" s="87"/>
      <c r="U191" s="87"/>
      <c r="V191" s="87"/>
      <c r="W191" s="161">
        <v>4</v>
      </c>
      <c r="X191" s="87"/>
      <c r="Y191" s="87"/>
      <c r="Z191" s="87"/>
      <c r="AA191" s="184"/>
      <c r="AB191" s="186"/>
      <c r="AC191" s="87"/>
      <c r="AD191" s="87"/>
      <c r="AE191" s="87"/>
      <c r="AF191" s="87"/>
      <c r="AG191" s="87"/>
      <c r="AH191" s="87"/>
      <c r="AI191" s="87"/>
      <c r="AJ191" s="87"/>
      <c r="AK191" s="184"/>
      <c r="AL191" s="206">
        <f t="shared" si="4"/>
        <v>4</v>
      </c>
      <c r="AM191" s="91">
        <f>0</f>
        <v>0</v>
      </c>
      <c r="AN191" s="207">
        <f t="shared" si="5"/>
        <v>4</v>
      </c>
      <c r="AO191" s="194">
        <v>45082</v>
      </c>
      <c r="AP191" s="172" t="s">
        <v>273</v>
      </c>
      <c r="AQ191" s="171" t="s">
        <v>873</v>
      </c>
      <c r="AR191" s="171" t="s">
        <v>148</v>
      </c>
      <c r="AS191" s="159"/>
      <c r="AT191" s="153"/>
      <c r="AU191" s="154"/>
      <c r="AV191" s="154"/>
      <c r="AW191" s="154"/>
      <c r="AX191" s="155"/>
      <c r="AY191" s="156"/>
      <c r="AZ191" s="157"/>
      <c r="BA191" s="81"/>
      <c r="BB191" s="81"/>
      <c r="BC191" s="81"/>
    </row>
    <row r="192" spans="1:55" ht="28" customHeight="1" x14ac:dyDescent="0.25">
      <c r="A192" s="173">
        <v>186</v>
      </c>
      <c r="B192" s="147">
        <v>45079</v>
      </c>
      <c r="C192" s="77" t="s">
        <v>134</v>
      </c>
      <c r="D192" s="77" t="s">
        <v>135</v>
      </c>
      <c r="E192" s="77" t="s">
        <v>136</v>
      </c>
      <c r="F192" s="168" t="s">
        <v>672</v>
      </c>
      <c r="G192" s="168" t="s">
        <v>712</v>
      </c>
      <c r="H192" s="168" t="s">
        <v>110</v>
      </c>
      <c r="I192" s="168" t="s">
        <v>749</v>
      </c>
      <c r="J192" s="175" t="s">
        <v>713</v>
      </c>
      <c r="K192" s="174" t="s">
        <v>80</v>
      </c>
      <c r="L192" s="174" t="s">
        <v>320</v>
      </c>
      <c r="M192" s="174" t="s">
        <v>479</v>
      </c>
      <c r="N192" s="174" t="s">
        <v>80</v>
      </c>
      <c r="O192" s="174" t="s">
        <v>155</v>
      </c>
      <c r="P192" s="171"/>
      <c r="Q192" s="303"/>
      <c r="R192" s="182">
        <f>0</f>
        <v>0</v>
      </c>
      <c r="S192" s="87"/>
      <c r="T192" s="87"/>
      <c r="U192" s="87"/>
      <c r="V192" s="87"/>
      <c r="W192" s="161">
        <v>4</v>
      </c>
      <c r="X192" s="87"/>
      <c r="Y192" s="87"/>
      <c r="Z192" s="87"/>
      <c r="AA192" s="184"/>
      <c r="AB192" s="186"/>
      <c r="AC192" s="87"/>
      <c r="AD192" s="87"/>
      <c r="AE192" s="87"/>
      <c r="AF192" s="87"/>
      <c r="AG192" s="87"/>
      <c r="AH192" s="87"/>
      <c r="AI192" s="87"/>
      <c r="AJ192" s="87"/>
      <c r="AK192" s="184"/>
      <c r="AL192" s="206">
        <f t="shared" si="4"/>
        <v>4</v>
      </c>
      <c r="AM192" s="91">
        <f>0</f>
        <v>0</v>
      </c>
      <c r="AN192" s="207">
        <f t="shared" si="5"/>
        <v>4</v>
      </c>
      <c r="AO192" s="194">
        <v>45082</v>
      </c>
      <c r="AP192" s="172" t="s">
        <v>273</v>
      </c>
      <c r="AQ192" s="171" t="s">
        <v>873</v>
      </c>
      <c r="AR192" s="171" t="s">
        <v>148</v>
      </c>
      <c r="AS192" s="159"/>
      <c r="AT192" s="153"/>
      <c r="AU192" s="154"/>
      <c r="AV192" s="154"/>
      <c r="AW192" s="154"/>
      <c r="AX192" s="155"/>
      <c r="AY192" s="156"/>
      <c r="AZ192" s="157"/>
      <c r="BA192" s="81"/>
      <c r="BB192" s="81"/>
      <c r="BC192" s="81"/>
    </row>
    <row r="193" spans="1:55" ht="28" customHeight="1" x14ac:dyDescent="0.25">
      <c r="A193" s="173">
        <v>187</v>
      </c>
      <c r="B193" s="147">
        <v>45079</v>
      </c>
      <c r="C193" s="77" t="s">
        <v>134</v>
      </c>
      <c r="D193" s="77" t="s">
        <v>135</v>
      </c>
      <c r="E193" s="77" t="s">
        <v>136</v>
      </c>
      <c r="F193" s="168" t="s">
        <v>672</v>
      </c>
      <c r="G193" s="168" t="s">
        <v>714</v>
      </c>
      <c r="H193" s="168" t="s">
        <v>110</v>
      </c>
      <c r="I193" s="168" t="s">
        <v>750</v>
      </c>
      <c r="J193" s="175" t="s">
        <v>715</v>
      </c>
      <c r="K193" s="174" t="s">
        <v>80</v>
      </c>
      <c r="L193" s="174" t="s">
        <v>320</v>
      </c>
      <c r="M193" s="174" t="s">
        <v>80</v>
      </c>
      <c r="N193" s="174" t="s">
        <v>80</v>
      </c>
      <c r="O193" s="174" t="s">
        <v>155</v>
      </c>
      <c r="P193" s="171"/>
      <c r="Q193" s="303"/>
      <c r="R193" s="182">
        <f>0</f>
        <v>0</v>
      </c>
      <c r="S193" s="87"/>
      <c r="T193" s="87"/>
      <c r="U193" s="87"/>
      <c r="V193" s="87"/>
      <c r="W193" s="161">
        <v>2</v>
      </c>
      <c r="X193" s="87"/>
      <c r="Y193" s="87"/>
      <c r="Z193" s="87"/>
      <c r="AA193" s="184"/>
      <c r="AB193" s="186"/>
      <c r="AC193" s="87"/>
      <c r="AD193" s="87"/>
      <c r="AE193" s="87"/>
      <c r="AF193" s="87"/>
      <c r="AG193" s="87"/>
      <c r="AH193" s="87"/>
      <c r="AI193" s="87"/>
      <c r="AJ193" s="87"/>
      <c r="AK193" s="184"/>
      <c r="AL193" s="206">
        <f t="shared" si="4"/>
        <v>2</v>
      </c>
      <c r="AM193" s="91">
        <f>0</f>
        <v>0</v>
      </c>
      <c r="AN193" s="207">
        <f t="shared" si="5"/>
        <v>2</v>
      </c>
      <c r="AO193" s="194">
        <v>45082</v>
      </c>
      <c r="AP193" s="172" t="s">
        <v>273</v>
      </c>
      <c r="AQ193" s="171" t="s">
        <v>873</v>
      </c>
      <c r="AR193" s="171" t="s">
        <v>148</v>
      </c>
      <c r="AS193" s="159"/>
      <c r="AT193" s="153"/>
      <c r="AU193" s="154"/>
      <c r="AV193" s="154"/>
      <c r="AW193" s="154"/>
      <c r="AX193" s="155"/>
      <c r="AY193" s="156"/>
      <c r="AZ193" s="157"/>
      <c r="BA193" s="81"/>
      <c r="BB193" s="81"/>
      <c r="BC193" s="81"/>
    </row>
    <row r="194" spans="1:55" ht="28" customHeight="1" x14ac:dyDescent="0.25">
      <c r="A194" s="173">
        <v>188</v>
      </c>
      <c r="B194" s="147">
        <v>45079</v>
      </c>
      <c r="C194" s="77" t="s">
        <v>134</v>
      </c>
      <c r="D194" s="77" t="s">
        <v>135</v>
      </c>
      <c r="E194" s="77" t="s">
        <v>136</v>
      </c>
      <c r="F194" s="168" t="s">
        <v>672</v>
      </c>
      <c r="G194" s="168" t="s">
        <v>716</v>
      </c>
      <c r="H194" s="168" t="s">
        <v>110</v>
      </c>
      <c r="I194" s="168" t="s">
        <v>717</v>
      </c>
      <c r="J194" s="175" t="s">
        <v>718</v>
      </c>
      <c r="K194" s="174"/>
      <c r="L194" s="174" t="s">
        <v>153</v>
      </c>
      <c r="M194" s="174" t="s">
        <v>154</v>
      </c>
      <c r="N194" s="174"/>
      <c r="O194" s="174" t="s">
        <v>155</v>
      </c>
      <c r="P194" s="171"/>
      <c r="Q194" s="303"/>
      <c r="R194" s="182">
        <f>0</f>
        <v>0</v>
      </c>
      <c r="S194" s="87"/>
      <c r="T194" s="87"/>
      <c r="U194" s="87"/>
      <c r="V194" s="87"/>
      <c r="W194" s="161">
        <v>1</v>
      </c>
      <c r="X194" s="87"/>
      <c r="Y194" s="87"/>
      <c r="Z194" s="87"/>
      <c r="AA194" s="184"/>
      <c r="AB194" s="186"/>
      <c r="AC194" s="87"/>
      <c r="AD194" s="87"/>
      <c r="AE194" s="87"/>
      <c r="AF194" s="87"/>
      <c r="AG194" s="87"/>
      <c r="AH194" s="87"/>
      <c r="AI194" s="87"/>
      <c r="AJ194" s="87"/>
      <c r="AK194" s="184"/>
      <c r="AL194" s="206">
        <f t="shared" si="4"/>
        <v>1</v>
      </c>
      <c r="AM194" s="91">
        <f>0</f>
        <v>0</v>
      </c>
      <c r="AN194" s="207">
        <f t="shared" si="5"/>
        <v>1</v>
      </c>
      <c r="AO194" s="194">
        <v>45082</v>
      </c>
      <c r="AP194" s="172" t="s">
        <v>273</v>
      </c>
      <c r="AQ194" s="171" t="s">
        <v>873</v>
      </c>
      <c r="AR194" s="171" t="s">
        <v>148</v>
      </c>
      <c r="AS194" s="159"/>
      <c r="AT194" s="153"/>
      <c r="AU194" s="154"/>
      <c r="AV194" s="154"/>
      <c r="AW194" s="154"/>
      <c r="AX194" s="155"/>
      <c r="AY194" s="156"/>
      <c r="AZ194" s="157"/>
      <c r="BA194" s="81"/>
      <c r="BB194" s="81"/>
      <c r="BC194" s="81"/>
    </row>
    <row r="195" spans="1:55" ht="28" customHeight="1" x14ac:dyDescent="0.25">
      <c r="A195" s="173">
        <v>189</v>
      </c>
      <c r="B195" s="147">
        <v>45079</v>
      </c>
      <c r="C195" s="162"/>
      <c r="D195" s="163"/>
      <c r="E195" s="163"/>
      <c r="F195" s="168" t="s">
        <v>672</v>
      </c>
      <c r="G195" s="168" t="s">
        <v>1228</v>
      </c>
      <c r="H195" s="168" t="s">
        <v>110</v>
      </c>
      <c r="I195" s="168" t="s">
        <v>717</v>
      </c>
      <c r="J195" s="175" t="s">
        <v>748</v>
      </c>
      <c r="K195" s="174"/>
      <c r="L195" s="174" t="s">
        <v>153</v>
      </c>
      <c r="M195" s="174" t="s">
        <v>154</v>
      </c>
      <c r="N195" s="174"/>
      <c r="O195" s="174" t="s">
        <v>155</v>
      </c>
      <c r="P195" s="171"/>
      <c r="Q195" s="303"/>
      <c r="R195" s="182">
        <f>0</f>
        <v>0</v>
      </c>
      <c r="S195" s="87"/>
      <c r="T195" s="87"/>
      <c r="U195" s="87"/>
      <c r="V195" s="87"/>
      <c r="W195" s="161">
        <v>1</v>
      </c>
      <c r="X195" s="87"/>
      <c r="Y195" s="87"/>
      <c r="Z195" s="87"/>
      <c r="AA195" s="184"/>
      <c r="AB195" s="186"/>
      <c r="AC195" s="87"/>
      <c r="AD195" s="87"/>
      <c r="AE195" s="87"/>
      <c r="AF195" s="87"/>
      <c r="AG195" s="87"/>
      <c r="AH195" s="87"/>
      <c r="AI195" s="87"/>
      <c r="AJ195" s="87"/>
      <c r="AK195" s="184"/>
      <c r="AL195" s="206">
        <f t="shared" si="4"/>
        <v>1</v>
      </c>
      <c r="AM195" s="91">
        <f>0</f>
        <v>0</v>
      </c>
      <c r="AN195" s="207">
        <f t="shared" si="5"/>
        <v>1</v>
      </c>
      <c r="AO195" s="194">
        <v>45082</v>
      </c>
      <c r="AP195" s="172" t="s">
        <v>273</v>
      </c>
      <c r="AQ195" s="171" t="s">
        <v>873</v>
      </c>
      <c r="AR195" s="171" t="s">
        <v>148</v>
      </c>
      <c r="AS195" s="159"/>
      <c r="AT195" s="153"/>
      <c r="AU195" s="154"/>
      <c r="AV195" s="154"/>
      <c r="AW195" s="154"/>
      <c r="AX195" s="155"/>
      <c r="AY195" s="156"/>
      <c r="AZ195" s="157"/>
      <c r="BA195" s="81"/>
      <c r="BB195" s="81"/>
      <c r="BC195" s="81"/>
    </row>
    <row r="196" spans="1:55" ht="28" customHeight="1" x14ac:dyDescent="0.25">
      <c r="A196" s="173">
        <v>190</v>
      </c>
      <c r="B196" s="147">
        <v>45079</v>
      </c>
      <c r="C196" s="77" t="s">
        <v>134</v>
      </c>
      <c r="D196" s="77" t="s">
        <v>135</v>
      </c>
      <c r="E196" s="77" t="s">
        <v>136</v>
      </c>
      <c r="F196" s="168" t="s">
        <v>672</v>
      </c>
      <c r="G196" s="168" t="s">
        <v>719</v>
      </c>
      <c r="H196" s="168" t="s">
        <v>110</v>
      </c>
      <c r="I196" s="168" t="s">
        <v>720</v>
      </c>
      <c r="J196" s="175" t="s">
        <v>721</v>
      </c>
      <c r="K196" s="174"/>
      <c r="L196" s="174" t="s">
        <v>153</v>
      </c>
      <c r="M196" s="174" t="s">
        <v>154</v>
      </c>
      <c r="N196" s="174"/>
      <c r="O196" s="174" t="s">
        <v>155</v>
      </c>
      <c r="P196" s="171"/>
      <c r="Q196" s="303"/>
      <c r="R196" s="182">
        <f>0</f>
        <v>0</v>
      </c>
      <c r="S196" s="87"/>
      <c r="T196" s="87"/>
      <c r="U196" s="87"/>
      <c r="V196" s="87"/>
      <c r="W196" s="161">
        <v>1</v>
      </c>
      <c r="X196" s="87"/>
      <c r="Y196" s="87"/>
      <c r="Z196" s="87"/>
      <c r="AA196" s="184"/>
      <c r="AB196" s="186"/>
      <c r="AC196" s="87"/>
      <c r="AD196" s="87"/>
      <c r="AE196" s="87"/>
      <c r="AF196" s="87"/>
      <c r="AG196" s="87"/>
      <c r="AH196" s="87"/>
      <c r="AI196" s="87"/>
      <c r="AJ196" s="87"/>
      <c r="AK196" s="184"/>
      <c r="AL196" s="206">
        <f t="shared" si="4"/>
        <v>1</v>
      </c>
      <c r="AM196" s="91">
        <f>0</f>
        <v>0</v>
      </c>
      <c r="AN196" s="207">
        <f t="shared" si="5"/>
        <v>1</v>
      </c>
      <c r="AO196" s="194">
        <v>45082</v>
      </c>
      <c r="AP196" s="172" t="s">
        <v>273</v>
      </c>
      <c r="AQ196" s="171" t="s">
        <v>873</v>
      </c>
      <c r="AR196" s="171" t="s">
        <v>148</v>
      </c>
      <c r="AS196" s="159"/>
      <c r="AT196" s="153"/>
      <c r="AU196" s="154"/>
      <c r="AV196" s="154"/>
      <c r="AW196" s="154"/>
      <c r="AX196" s="155"/>
      <c r="AY196" s="156"/>
      <c r="AZ196" s="157"/>
      <c r="BA196" s="81"/>
      <c r="BB196" s="81"/>
      <c r="BC196" s="81"/>
    </row>
    <row r="197" spans="1:55" ht="28" customHeight="1" x14ac:dyDescent="0.25">
      <c r="A197" s="173">
        <v>191</v>
      </c>
      <c r="B197" s="147">
        <v>45079</v>
      </c>
      <c r="C197" s="77" t="s">
        <v>134</v>
      </c>
      <c r="D197" s="77" t="s">
        <v>135</v>
      </c>
      <c r="E197" s="77" t="s">
        <v>136</v>
      </c>
      <c r="F197" s="168" t="s">
        <v>672</v>
      </c>
      <c r="G197" s="168" t="s">
        <v>722</v>
      </c>
      <c r="H197" s="168" t="s">
        <v>110</v>
      </c>
      <c r="I197" s="168" t="s">
        <v>723</v>
      </c>
      <c r="J197" s="175" t="s">
        <v>724</v>
      </c>
      <c r="K197" s="174"/>
      <c r="L197" s="174" t="s">
        <v>153</v>
      </c>
      <c r="M197" s="174" t="s">
        <v>154</v>
      </c>
      <c r="N197" s="174"/>
      <c r="O197" s="174" t="s">
        <v>155</v>
      </c>
      <c r="P197" s="171"/>
      <c r="Q197" s="303"/>
      <c r="R197" s="182">
        <f>0</f>
        <v>0</v>
      </c>
      <c r="S197" s="87"/>
      <c r="T197" s="87"/>
      <c r="U197" s="87"/>
      <c r="V197" s="87"/>
      <c r="W197" s="161">
        <v>1</v>
      </c>
      <c r="X197" s="87"/>
      <c r="Y197" s="87"/>
      <c r="Z197" s="87"/>
      <c r="AA197" s="184"/>
      <c r="AB197" s="186"/>
      <c r="AC197" s="87"/>
      <c r="AD197" s="87"/>
      <c r="AE197" s="87"/>
      <c r="AF197" s="87"/>
      <c r="AG197" s="87"/>
      <c r="AH197" s="87"/>
      <c r="AI197" s="87"/>
      <c r="AJ197" s="87"/>
      <c r="AK197" s="184"/>
      <c r="AL197" s="206">
        <f t="shared" si="4"/>
        <v>1</v>
      </c>
      <c r="AM197" s="91">
        <f>0</f>
        <v>0</v>
      </c>
      <c r="AN197" s="207">
        <f t="shared" si="5"/>
        <v>1</v>
      </c>
      <c r="AO197" s="194">
        <v>45082</v>
      </c>
      <c r="AP197" s="172" t="s">
        <v>273</v>
      </c>
      <c r="AQ197" s="171" t="s">
        <v>873</v>
      </c>
      <c r="AR197" s="171" t="s">
        <v>148</v>
      </c>
      <c r="AS197" s="159"/>
      <c r="AT197" s="153"/>
      <c r="AU197" s="154"/>
      <c r="AV197" s="154"/>
      <c r="AW197" s="154"/>
      <c r="AX197" s="155"/>
      <c r="AY197" s="156"/>
      <c r="AZ197" s="157"/>
      <c r="BA197" s="81"/>
      <c r="BB197" s="81"/>
      <c r="BC197" s="81"/>
    </row>
    <row r="198" spans="1:55" ht="28" customHeight="1" x14ac:dyDescent="0.25">
      <c r="A198" s="173">
        <v>192</v>
      </c>
      <c r="B198" s="147">
        <v>45079</v>
      </c>
      <c r="C198" s="79"/>
      <c r="D198" s="79"/>
      <c r="E198" s="79"/>
      <c r="F198" s="168" t="s">
        <v>672</v>
      </c>
      <c r="G198" s="168" t="s">
        <v>1229</v>
      </c>
      <c r="H198" s="168" t="s">
        <v>110</v>
      </c>
      <c r="I198" s="168" t="s">
        <v>723</v>
      </c>
      <c r="J198" s="175" t="s">
        <v>754</v>
      </c>
      <c r="K198" s="174"/>
      <c r="L198" s="174" t="s">
        <v>153</v>
      </c>
      <c r="M198" s="174" t="s">
        <v>154</v>
      </c>
      <c r="N198" s="174"/>
      <c r="O198" s="174" t="s">
        <v>155</v>
      </c>
      <c r="P198" s="171"/>
      <c r="Q198" s="303"/>
      <c r="R198" s="182">
        <f>0</f>
        <v>0</v>
      </c>
      <c r="S198" s="87"/>
      <c r="T198" s="87"/>
      <c r="U198" s="87"/>
      <c r="V198" s="87"/>
      <c r="W198" s="161">
        <v>1</v>
      </c>
      <c r="X198" s="87"/>
      <c r="Y198" s="87"/>
      <c r="Z198" s="87"/>
      <c r="AA198" s="184"/>
      <c r="AB198" s="186"/>
      <c r="AC198" s="87"/>
      <c r="AD198" s="87"/>
      <c r="AE198" s="87"/>
      <c r="AF198" s="87"/>
      <c r="AG198" s="87"/>
      <c r="AH198" s="87"/>
      <c r="AI198" s="87"/>
      <c r="AJ198" s="87"/>
      <c r="AK198" s="184"/>
      <c r="AL198" s="206">
        <f t="shared" ref="AL198:AL261" si="6">SUM(R198:AK198)</f>
        <v>1</v>
      </c>
      <c r="AM198" s="91">
        <f>0</f>
        <v>0</v>
      </c>
      <c r="AN198" s="207">
        <f t="shared" ref="AN198:AN261" si="7">AL198-AM198</f>
        <v>1</v>
      </c>
      <c r="AO198" s="194">
        <v>45082</v>
      </c>
      <c r="AP198" s="172" t="s">
        <v>273</v>
      </c>
      <c r="AQ198" s="171" t="s">
        <v>873</v>
      </c>
      <c r="AR198" s="171" t="s">
        <v>148</v>
      </c>
      <c r="AS198" s="159"/>
      <c r="AT198" s="153"/>
      <c r="AU198" s="154"/>
      <c r="AV198" s="154"/>
      <c r="AW198" s="154"/>
      <c r="AX198" s="155"/>
      <c r="AY198" s="156"/>
      <c r="AZ198" s="157"/>
      <c r="BA198" s="81"/>
      <c r="BB198" s="81"/>
      <c r="BC198" s="81"/>
    </row>
    <row r="199" spans="1:55" ht="28" customHeight="1" x14ac:dyDescent="0.25">
      <c r="A199" s="173">
        <v>193</v>
      </c>
      <c r="B199" s="147">
        <v>45079</v>
      </c>
      <c r="C199" s="77" t="s">
        <v>134</v>
      </c>
      <c r="D199" s="77" t="s">
        <v>135</v>
      </c>
      <c r="E199" s="77" t="s">
        <v>136</v>
      </c>
      <c r="F199" s="168" t="s">
        <v>672</v>
      </c>
      <c r="G199" s="168" t="s">
        <v>725</v>
      </c>
      <c r="H199" s="168" t="s">
        <v>110</v>
      </c>
      <c r="I199" s="168" t="s">
        <v>352</v>
      </c>
      <c r="J199" s="175" t="s">
        <v>726</v>
      </c>
      <c r="K199" s="174"/>
      <c r="L199" s="174" t="s">
        <v>153</v>
      </c>
      <c r="M199" s="174" t="s">
        <v>154</v>
      </c>
      <c r="N199" s="174"/>
      <c r="O199" s="174" t="s">
        <v>155</v>
      </c>
      <c r="P199" s="171"/>
      <c r="Q199" s="303"/>
      <c r="R199" s="182">
        <f>0</f>
        <v>0</v>
      </c>
      <c r="S199" s="87"/>
      <c r="T199" s="87"/>
      <c r="U199" s="87"/>
      <c r="V199" s="87"/>
      <c r="W199" s="161">
        <v>4</v>
      </c>
      <c r="X199" s="87"/>
      <c r="Y199" s="87"/>
      <c r="Z199" s="87"/>
      <c r="AA199" s="184"/>
      <c r="AB199" s="186"/>
      <c r="AC199" s="87"/>
      <c r="AD199" s="87"/>
      <c r="AE199" s="87"/>
      <c r="AF199" s="87"/>
      <c r="AG199" s="87"/>
      <c r="AH199" s="87"/>
      <c r="AI199" s="87"/>
      <c r="AJ199" s="87"/>
      <c r="AK199" s="184"/>
      <c r="AL199" s="206">
        <f t="shared" si="6"/>
        <v>4</v>
      </c>
      <c r="AM199" s="91">
        <f>0</f>
        <v>0</v>
      </c>
      <c r="AN199" s="207">
        <f t="shared" si="7"/>
        <v>4</v>
      </c>
      <c r="AO199" s="194">
        <v>45082</v>
      </c>
      <c r="AP199" s="172" t="s">
        <v>273</v>
      </c>
      <c r="AQ199" s="171" t="s">
        <v>873</v>
      </c>
      <c r="AR199" s="171" t="s">
        <v>148</v>
      </c>
      <c r="AS199" s="159"/>
      <c r="AT199" s="153"/>
      <c r="AU199" s="154"/>
      <c r="AV199" s="154"/>
      <c r="AW199" s="154"/>
      <c r="AX199" s="155"/>
      <c r="AY199" s="156"/>
      <c r="AZ199" s="157"/>
      <c r="BA199" s="81"/>
      <c r="BB199" s="81"/>
      <c r="BC199" s="81"/>
    </row>
    <row r="200" spans="1:55" ht="26.25" customHeight="1" x14ac:dyDescent="0.25">
      <c r="A200" s="173">
        <v>194</v>
      </c>
      <c r="B200" s="147">
        <v>45079</v>
      </c>
      <c r="C200" s="77" t="s">
        <v>134</v>
      </c>
      <c r="D200" s="77" t="s">
        <v>135</v>
      </c>
      <c r="E200" s="77" t="s">
        <v>136</v>
      </c>
      <c r="F200" s="168" t="s">
        <v>672</v>
      </c>
      <c r="G200" s="168" t="s">
        <v>727</v>
      </c>
      <c r="H200" s="168" t="s">
        <v>110</v>
      </c>
      <c r="I200" s="168" t="s">
        <v>728</v>
      </c>
      <c r="J200" s="175" t="s">
        <v>729</v>
      </c>
      <c r="K200" s="174"/>
      <c r="L200" s="174" t="s">
        <v>752</v>
      </c>
      <c r="M200" s="174" t="s">
        <v>154</v>
      </c>
      <c r="N200" s="174"/>
      <c r="O200" s="174"/>
      <c r="P200" s="171"/>
      <c r="Q200" s="303"/>
      <c r="R200" s="182">
        <f>0</f>
        <v>0</v>
      </c>
      <c r="S200" s="87"/>
      <c r="T200" s="87"/>
      <c r="U200" s="87"/>
      <c r="V200" s="87"/>
      <c r="W200" s="161">
        <v>2</v>
      </c>
      <c r="X200" s="87"/>
      <c r="Y200" s="87"/>
      <c r="Z200" s="87"/>
      <c r="AA200" s="184"/>
      <c r="AB200" s="186"/>
      <c r="AC200" s="87"/>
      <c r="AD200" s="87"/>
      <c r="AE200" s="87"/>
      <c r="AF200" s="87"/>
      <c r="AG200" s="87"/>
      <c r="AH200" s="87"/>
      <c r="AI200" s="87"/>
      <c r="AJ200" s="87"/>
      <c r="AK200" s="184"/>
      <c r="AL200" s="206">
        <f t="shared" si="6"/>
        <v>2</v>
      </c>
      <c r="AM200" s="91">
        <f>0</f>
        <v>0</v>
      </c>
      <c r="AN200" s="207">
        <f t="shared" si="7"/>
        <v>2</v>
      </c>
      <c r="AO200" s="194">
        <v>45082</v>
      </c>
      <c r="AP200" s="172" t="s">
        <v>273</v>
      </c>
      <c r="AQ200" s="171" t="s">
        <v>873</v>
      </c>
      <c r="AR200" s="171" t="s">
        <v>148</v>
      </c>
      <c r="AS200" s="159"/>
      <c r="AT200" s="153"/>
      <c r="AU200" s="154"/>
      <c r="AV200" s="154"/>
      <c r="AW200" s="154"/>
      <c r="AX200" s="155"/>
      <c r="AY200" s="156"/>
      <c r="AZ200" s="157"/>
      <c r="BA200" s="81"/>
      <c r="BB200" s="81"/>
      <c r="BC200" s="81"/>
    </row>
    <row r="201" spans="1:55" ht="28" customHeight="1" x14ac:dyDescent="0.25">
      <c r="A201" s="173">
        <v>195</v>
      </c>
      <c r="B201" s="147">
        <v>45079</v>
      </c>
      <c r="C201" s="77" t="s">
        <v>134</v>
      </c>
      <c r="D201" s="77" t="s">
        <v>135</v>
      </c>
      <c r="E201" s="77" t="s">
        <v>136</v>
      </c>
      <c r="F201" s="168" t="s">
        <v>672</v>
      </c>
      <c r="G201" s="168" t="s">
        <v>730</v>
      </c>
      <c r="H201" s="168" t="s">
        <v>110</v>
      </c>
      <c r="I201" s="168" t="s">
        <v>731</v>
      </c>
      <c r="J201" s="175" t="s">
        <v>732</v>
      </c>
      <c r="K201" s="174"/>
      <c r="L201" s="174" t="s">
        <v>168</v>
      </c>
      <c r="M201" s="174" t="s">
        <v>154</v>
      </c>
      <c r="N201" s="174" t="s">
        <v>214</v>
      </c>
      <c r="O201" s="174" t="s">
        <v>149</v>
      </c>
      <c r="P201" s="171"/>
      <c r="Q201" s="303"/>
      <c r="R201" s="182">
        <f>0</f>
        <v>0</v>
      </c>
      <c r="S201" s="87"/>
      <c r="T201" s="87"/>
      <c r="U201" s="87"/>
      <c r="V201" s="87"/>
      <c r="W201" s="161">
        <v>4</v>
      </c>
      <c r="X201" s="87"/>
      <c r="Y201" s="87"/>
      <c r="Z201" s="87"/>
      <c r="AA201" s="184"/>
      <c r="AB201" s="186"/>
      <c r="AC201" s="87"/>
      <c r="AD201" s="87"/>
      <c r="AE201" s="87"/>
      <c r="AF201" s="87"/>
      <c r="AG201" s="87"/>
      <c r="AH201" s="87"/>
      <c r="AI201" s="87"/>
      <c r="AJ201" s="87"/>
      <c r="AK201" s="184"/>
      <c r="AL201" s="206">
        <f t="shared" si="6"/>
        <v>4</v>
      </c>
      <c r="AM201" s="91">
        <f>0</f>
        <v>0</v>
      </c>
      <c r="AN201" s="207">
        <f t="shared" si="7"/>
        <v>4</v>
      </c>
      <c r="AO201" s="194">
        <v>45082</v>
      </c>
      <c r="AP201" s="172" t="s">
        <v>273</v>
      </c>
      <c r="AQ201" s="171" t="s">
        <v>873</v>
      </c>
      <c r="AR201" s="171" t="s">
        <v>148</v>
      </c>
      <c r="AS201" s="159"/>
      <c r="AT201" s="153"/>
      <c r="AU201" s="154"/>
      <c r="AV201" s="154"/>
      <c r="AW201" s="154"/>
      <c r="AX201" s="155"/>
      <c r="AY201" s="156"/>
      <c r="AZ201" s="157"/>
      <c r="BA201" s="81"/>
      <c r="BB201" s="81"/>
      <c r="BC201" s="81"/>
    </row>
    <row r="202" spans="1:55" ht="28" customHeight="1" x14ac:dyDescent="0.25">
      <c r="A202" s="173">
        <v>196</v>
      </c>
      <c r="B202" s="147">
        <v>45079</v>
      </c>
      <c r="C202" s="77" t="s">
        <v>134</v>
      </c>
      <c r="D202" s="77" t="s">
        <v>135</v>
      </c>
      <c r="E202" s="77" t="s">
        <v>136</v>
      </c>
      <c r="F202" s="176" t="s">
        <v>672</v>
      </c>
      <c r="G202" s="176" t="s">
        <v>733</v>
      </c>
      <c r="H202" s="176" t="s">
        <v>110</v>
      </c>
      <c r="I202" s="176" t="s">
        <v>734</v>
      </c>
      <c r="J202" s="263" t="s">
        <v>735</v>
      </c>
      <c r="K202" s="264"/>
      <c r="L202" s="264" t="s">
        <v>389</v>
      </c>
      <c r="M202" s="264" t="s">
        <v>479</v>
      </c>
      <c r="N202" s="264" t="s">
        <v>214</v>
      </c>
      <c r="O202" s="264" t="s">
        <v>80</v>
      </c>
      <c r="P202" s="171"/>
      <c r="Q202" s="303"/>
      <c r="R202" s="182">
        <f>0</f>
        <v>0</v>
      </c>
      <c r="S202" s="87"/>
      <c r="T202" s="87"/>
      <c r="U202" s="87"/>
      <c r="V202" s="87"/>
      <c r="W202" s="161">
        <v>1</v>
      </c>
      <c r="X202" s="87"/>
      <c r="Y202" s="87"/>
      <c r="Z202" s="87"/>
      <c r="AA202" s="184"/>
      <c r="AB202" s="186"/>
      <c r="AC202" s="87"/>
      <c r="AD202" s="87"/>
      <c r="AE202" s="87"/>
      <c r="AF202" s="87"/>
      <c r="AG202" s="87"/>
      <c r="AH202" s="87"/>
      <c r="AI202" s="87"/>
      <c r="AJ202" s="87"/>
      <c r="AK202" s="184"/>
      <c r="AL202" s="206">
        <f t="shared" si="6"/>
        <v>1</v>
      </c>
      <c r="AM202" s="91">
        <f>0</f>
        <v>0</v>
      </c>
      <c r="AN202" s="207">
        <f t="shared" si="7"/>
        <v>1</v>
      </c>
      <c r="AO202" s="194">
        <v>45082</v>
      </c>
      <c r="AP202" s="172" t="s">
        <v>273</v>
      </c>
      <c r="AQ202" s="171" t="s">
        <v>873</v>
      </c>
      <c r="AR202" s="171" t="s">
        <v>148</v>
      </c>
      <c r="AS202" s="159"/>
      <c r="AT202" s="153"/>
      <c r="AU202" s="154"/>
      <c r="AV202" s="154"/>
      <c r="AW202" s="154"/>
      <c r="AX202" s="155"/>
      <c r="AY202" s="156"/>
      <c r="AZ202" s="157"/>
      <c r="BA202" s="81"/>
      <c r="BB202" s="81"/>
      <c r="BC202" s="81"/>
    </row>
    <row r="203" spans="1:55" ht="28" customHeight="1" x14ac:dyDescent="0.25">
      <c r="A203" s="173">
        <v>197</v>
      </c>
      <c r="B203" s="147">
        <v>45079</v>
      </c>
      <c r="C203" s="79"/>
      <c r="D203" s="79"/>
      <c r="E203" s="79"/>
      <c r="F203" s="168" t="s">
        <v>672</v>
      </c>
      <c r="G203" s="168" t="s">
        <v>1230</v>
      </c>
      <c r="H203" s="168" t="s">
        <v>110</v>
      </c>
      <c r="I203" s="168" t="s">
        <v>734</v>
      </c>
      <c r="J203" s="175" t="s">
        <v>746</v>
      </c>
      <c r="K203" s="174"/>
      <c r="L203" s="174" t="s">
        <v>389</v>
      </c>
      <c r="M203" s="174" t="s">
        <v>479</v>
      </c>
      <c r="N203" s="174" t="s">
        <v>214</v>
      </c>
      <c r="O203" s="174" t="s">
        <v>80</v>
      </c>
      <c r="P203" s="171"/>
      <c r="Q203" s="303"/>
      <c r="R203" s="182">
        <f>0</f>
        <v>0</v>
      </c>
      <c r="S203" s="87"/>
      <c r="T203" s="87"/>
      <c r="U203" s="87"/>
      <c r="V203" s="87"/>
      <c r="W203" s="161">
        <v>1</v>
      </c>
      <c r="X203" s="87"/>
      <c r="Y203" s="87"/>
      <c r="Z203" s="87"/>
      <c r="AA203" s="184"/>
      <c r="AB203" s="186"/>
      <c r="AC203" s="87"/>
      <c r="AD203" s="87"/>
      <c r="AE203" s="87"/>
      <c r="AF203" s="87"/>
      <c r="AG203" s="87"/>
      <c r="AH203" s="87"/>
      <c r="AI203" s="87"/>
      <c r="AJ203" s="87"/>
      <c r="AK203" s="184"/>
      <c r="AL203" s="206">
        <f t="shared" si="6"/>
        <v>1</v>
      </c>
      <c r="AM203" s="91">
        <f>0</f>
        <v>0</v>
      </c>
      <c r="AN203" s="207">
        <f t="shared" si="7"/>
        <v>1</v>
      </c>
      <c r="AO203" s="194">
        <v>45082</v>
      </c>
      <c r="AP203" s="172" t="s">
        <v>273</v>
      </c>
      <c r="AQ203" s="171" t="s">
        <v>873</v>
      </c>
      <c r="AR203" s="171" t="s">
        <v>148</v>
      </c>
      <c r="AS203" s="159"/>
      <c r="AT203" s="153"/>
      <c r="AU203" s="154"/>
      <c r="AV203" s="154"/>
      <c r="AW203" s="154"/>
      <c r="AX203" s="155"/>
      <c r="AY203" s="156"/>
      <c r="AZ203" s="157"/>
      <c r="BA203" s="81"/>
      <c r="BB203" s="81"/>
      <c r="BC203" s="81"/>
    </row>
    <row r="204" spans="1:55" ht="28" customHeight="1" x14ac:dyDescent="0.25">
      <c r="A204" s="173">
        <v>198</v>
      </c>
      <c r="B204" s="147">
        <v>45079</v>
      </c>
      <c r="C204" s="77" t="s">
        <v>134</v>
      </c>
      <c r="D204" s="77" t="s">
        <v>135</v>
      </c>
      <c r="E204" s="77" t="s">
        <v>136</v>
      </c>
      <c r="F204" s="168" t="s">
        <v>672</v>
      </c>
      <c r="G204" s="168" t="s">
        <v>736</v>
      </c>
      <c r="H204" s="168" t="s">
        <v>110</v>
      </c>
      <c r="I204" s="168" t="s">
        <v>737</v>
      </c>
      <c r="J204" s="175" t="s">
        <v>738</v>
      </c>
      <c r="K204" s="174"/>
      <c r="L204" s="174" t="s">
        <v>389</v>
      </c>
      <c r="M204" s="174" t="s">
        <v>479</v>
      </c>
      <c r="N204" s="174" t="s">
        <v>214</v>
      </c>
      <c r="O204" s="174" t="s">
        <v>80</v>
      </c>
      <c r="P204" s="171"/>
      <c r="Q204" s="303"/>
      <c r="R204" s="182">
        <f>0</f>
        <v>0</v>
      </c>
      <c r="S204" s="87"/>
      <c r="T204" s="87"/>
      <c r="U204" s="87"/>
      <c r="V204" s="87"/>
      <c r="W204" s="161">
        <v>1</v>
      </c>
      <c r="X204" s="87"/>
      <c r="Y204" s="87"/>
      <c r="Z204" s="87"/>
      <c r="AA204" s="184"/>
      <c r="AB204" s="186"/>
      <c r="AC204" s="87"/>
      <c r="AD204" s="87"/>
      <c r="AE204" s="87"/>
      <c r="AF204" s="87"/>
      <c r="AG204" s="87"/>
      <c r="AH204" s="87"/>
      <c r="AI204" s="87"/>
      <c r="AJ204" s="87"/>
      <c r="AK204" s="184"/>
      <c r="AL204" s="206">
        <f t="shared" si="6"/>
        <v>1</v>
      </c>
      <c r="AM204" s="91">
        <f>0</f>
        <v>0</v>
      </c>
      <c r="AN204" s="207">
        <f t="shared" si="7"/>
        <v>1</v>
      </c>
      <c r="AO204" s="194">
        <v>45082</v>
      </c>
      <c r="AP204" s="172" t="s">
        <v>273</v>
      </c>
      <c r="AQ204" s="171" t="s">
        <v>873</v>
      </c>
      <c r="AR204" s="171" t="s">
        <v>148</v>
      </c>
      <c r="AS204" s="159"/>
      <c r="AT204" s="153"/>
      <c r="AU204" s="154"/>
      <c r="AV204" s="154"/>
      <c r="AW204" s="154"/>
      <c r="AX204" s="155"/>
      <c r="AY204" s="156"/>
      <c r="AZ204" s="157"/>
      <c r="BA204" s="81"/>
      <c r="BB204" s="81"/>
      <c r="BC204" s="81"/>
    </row>
    <row r="205" spans="1:55" ht="28" customHeight="1" x14ac:dyDescent="0.25">
      <c r="A205" s="173">
        <v>199</v>
      </c>
      <c r="B205" s="147">
        <v>45079</v>
      </c>
      <c r="C205" s="79"/>
      <c r="D205" s="79"/>
      <c r="E205" s="79"/>
      <c r="F205" s="168" t="s">
        <v>672</v>
      </c>
      <c r="G205" s="168" t="s">
        <v>1231</v>
      </c>
      <c r="H205" s="168" t="s">
        <v>110</v>
      </c>
      <c r="I205" s="168" t="s">
        <v>737</v>
      </c>
      <c r="J205" s="175" t="s">
        <v>745</v>
      </c>
      <c r="K205" s="174"/>
      <c r="L205" s="174" t="s">
        <v>389</v>
      </c>
      <c r="M205" s="174" t="s">
        <v>479</v>
      </c>
      <c r="N205" s="174" t="s">
        <v>214</v>
      </c>
      <c r="O205" s="174" t="s">
        <v>80</v>
      </c>
      <c r="P205" s="171"/>
      <c r="Q205" s="303"/>
      <c r="R205" s="182">
        <f>0</f>
        <v>0</v>
      </c>
      <c r="S205" s="87"/>
      <c r="T205" s="87"/>
      <c r="U205" s="87"/>
      <c r="V205" s="87"/>
      <c r="W205" s="161">
        <v>1</v>
      </c>
      <c r="X205" s="87"/>
      <c r="Y205" s="87"/>
      <c r="Z205" s="87"/>
      <c r="AA205" s="184"/>
      <c r="AB205" s="186"/>
      <c r="AC205" s="87"/>
      <c r="AD205" s="87"/>
      <c r="AE205" s="87"/>
      <c r="AF205" s="87"/>
      <c r="AG205" s="87"/>
      <c r="AH205" s="87"/>
      <c r="AI205" s="87"/>
      <c r="AJ205" s="87"/>
      <c r="AK205" s="184"/>
      <c r="AL205" s="206">
        <f t="shared" si="6"/>
        <v>1</v>
      </c>
      <c r="AM205" s="91">
        <f>0</f>
        <v>0</v>
      </c>
      <c r="AN205" s="207">
        <f t="shared" si="7"/>
        <v>1</v>
      </c>
      <c r="AO205" s="194">
        <v>45082</v>
      </c>
      <c r="AP205" s="172" t="s">
        <v>273</v>
      </c>
      <c r="AQ205" s="171" t="s">
        <v>873</v>
      </c>
      <c r="AR205" s="171" t="s">
        <v>148</v>
      </c>
      <c r="AS205" s="159"/>
      <c r="AT205" s="153"/>
      <c r="AU205" s="154"/>
      <c r="AV205" s="154"/>
      <c r="AW205" s="154"/>
      <c r="AX205" s="155"/>
      <c r="AY205" s="156"/>
      <c r="AZ205" s="157"/>
      <c r="BA205" s="81"/>
      <c r="BB205" s="81"/>
      <c r="BC205" s="81"/>
    </row>
    <row r="206" spans="1:55" ht="28" customHeight="1" x14ac:dyDescent="0.25">
      <c r="A206" s="173">
        <v>200</v>
      </c>
      <c r="B206" s="147">
        <v>45079</v>
      </c>
      <c r="C206" s="77" t="s">
        <v>134</v>
      </c>
      <c r="D206" s="77" t="s">
        <v>135</v>
      </c>
      <c r="E206" s="77" t="s">
        <v>136</v>
      </c>
      <c r="F206" s="168" t="s">
        <v>672</v>
      </c>
      <c r="G206" s="168" t="s">
        <v>739</v>
      </c>
      <c r="H206" s="168" t="s">
        <v>110</v>
      </c>
      <c r="I206" s="168" t="s">
        <v>740</v>
      </c>
      <c r="J206" s="175" t="s">
        <v>741</v>
      </c>
      <c r="K206" s="174"/>
      <c r="L206" s="174" t="s">
        <v>742</v>
      </c>
      <c r="M206" s="174" t="s">
        <v>154</v>
      </c>
      <c r="N206" s="174" t="s">
        <v>751</v>
      </c>
      <c r="O206" s="174" t="s">
        <v>80</v>
      </c>
      <c r="P206" s="171"/>
      <c r="Q206" s="303"/>
      <c r="R206" s="182">
        <f>0</f>
        <v>0</v>
      </c>
      <c r="S206" s="87"/>
      <c r="T206" s="87"/>
      <c r="U206" s="87"/>
      <c r="V206" s="87"/>
      <c r="W206" s="161">
        <v>2</v>
      </c>
      <c r="X206" s="87"/>
      <c r="Y206" s="87"/>
      <c r="Z206" s="87"/>
      <c r="AA206" s="184"/>
      <c r="AB206" s="186"/>
      <c r="AC206" s="87"/>
      <c r="AD206" s="87"/>
      <c r="AE206" s="87"/>
      <c r="AF206" s="87"/>
      <c r="AG206" s="87"/>
      <c r="AH206" s="87"/>
      <c r="AI206" s="87"/>
      <c r="AJ206" s="87"/>
      <c r="AK206" s="184"/>
      <c r="AL206" s="206">
        <f t="shared" si="6"/>
        <v>2</v>
      </c>
      <c r="AM206" s="91">
        <f>0</f>
        <v>0</v>
      </c>
      <c r="AN206" s="207">
        <f t="shared" si="7"/>
        <v>2</v>
      </c>
      <c r="AO206" s="194">
        <v>45082</v>
      </c>
      <c r="AP206" s="172" t="s">
        <v>273</v>
      </c>
      <c r="AQ206" s="171" t="s">
        <v>873</v>
      </c>
      <c r="AR206" s="171" t="s">
        <v>148</v>
      </c>
      <c r="AS206" s="159"/>
      <c r="AT206" s="153"/>
      <c r="AU206" s="154"/>
      <c r="AV206" s="154"/>
      <c r="AW206" s="154"/>
      <c r="AX206" s="155"/>
      <c r="AY206" s="156"/>
      <c r="AZ206" s="157"/>
      <c r="BA206" s="81"/>
      <c r="BB206" s="81"/>
      <c r="BC206" s="81"/>
    </row>
    <row r="207" spans="1:55" ht="28" customHeight="1" x14ac:dyDescent="0.25">
      <c r="A207" s="173">
        <v>201</v>
      </c>
      <c r="B207" s="147">
        <v>45079</v>
      </c>
      <c r="C207" s="77" t="s">
        <v>134</v>
      </c>
      <c r="D207" s="77" t="s">
        <v>135</v>
      </c>
      <c r="E207" s="77" t="s">
        <v>136</v>
      </c>
      <c r="F207" s="168" t="s">
        <v>672</v>
      </c>
      <c r="G207" s="168" t="s">
        <v>743</v>
      </c>
      <c r="H207" s="168" t="s">
        <v>110</v>
      </c>
      <c r="I207" s="168" t="s">
        <v>740</v>
      </c>
      <c r="J207" s="175" t="s">
        <v>744</v>
      </c>
      <c r="K207" s="174"/>
      <c r="L207" s="174" t="s">
        <v>742</v>
      </c>
      <c r="M207" s="174" t="s">
        <v>154</v>
      </c>
      <c r="N207" s="174" t="s">
        <v>751</v>
      </c>
      <c r="O207" s="174" t="s">
        <v>80</v>
      </c>
      <c r="P207" s="171"/>
      <c r="Q207" s="303"/>
      <c r="R207" s="182">
        <f>0</f>
        <v>0</v>
      </c>
      <c r="S207" s="87"/>
      <c r="T207" s="87"/>
      <c r="U207" s="87"/>
      <c r="V207" s="87"/>
      <c r="W207" s="161">
        <v>1</v>
      </c>
      <c r="X207" s="87"/>
      <c r="Y207" s="87"/>
      <c r="Z207" s="87"/>
      <c r="AA207" s="184"/>
      <c r="AB207" s="186"/>
      <c r="AC207" s="87"/>
      <c r="AD207" s="87"/>
      <c r="AE207" s="87"/>
      <c r="AF207" s="87"/>
      <c r="AG207" s="87"/>
      <c r="AH207" s="87"/>
      <c r="AI207" s="87"/>
      <c r="AJ207" s="87"/>
      <c r="AK207" s="184"/>
      <c r="AL207" s="206">
        <f t="shared" si="6"/>
        <v>1</v>
      </c>
      <c r="AM207" s="91">
        <f>0</f>
        <v>0</v>
      </c>
      <c r="AN207" s="207">
        <f t="shared" si="7"/>
        <v>1</v>
      </c>
      <c r="AO207" s="194">
        <v>45082</v>
      </c>
      <c r="AP207" s="172" t="s">
        <v>273</v>
      </c>
      <c r="AQ207" s="171" t="s">
        <v>873</v>
      </c>
      <c r="AR207" s="171" t="s">
        <v>148</v>
      </c>
      <c r="AS207" s="159"/>
      <c r="AT207" s="153"/>
      <c r="AU207" s="154"/>
      <c r="AV207" s="154"/>
      <c r="AW207" s="154"/>
      <c r="AX207" s="155"/>
      <c r="AY207" s="156"/>
      <c r="AZ207" s="157"/>
      <c r="BA207" s="81"/>
      <c r="BB207" s="81"/>
      <c r="BC207" s="81"/>
    </row>
    <row r="208" spans="1:55" ht="28" customHeight="1" x14ac:dyDescent="0.25">
      <c r="A208" s="173">
        <v>202</v>
      </c>
      <c r="B208" s="147">
        <v>45079</v>
      </c>
      <c r="C208" s="162"/>
      <c r="D208" s="163"/>
      <c r="E208" s="163"/>
      <c r="F208" s="168" t="s">
        <v>672</v>
      </c>
      <c r="G208" s="168" t="s">
        <v>1232</v>
      </c>
      <c r="H208" s="168" t="s">
        <v>110</v>
      </c>
      <c r="I208" s="168" t="s">
        <v>740</v>
      </c>
      <c r="J208" s="175" t="s">
        <v>753</v>
      </c>
      <c r="K208" s="174"/>
      <c r="L208" s="174" t="s">
        <v>742</v>
      </c>
      <c r="M208" s="174" t="s">
        <v>154</v>
      </c>
      <c r="N208" s="174" t="s">
        <v>751</v>
      </c>
      <c r="O208" s="174" t="s">
        <v>80</v>
      </c>
      <c r="P208" s="171"/>
      <c r="Q208" s="303"/>
      <c r="R208" s="182">
        <f>0</f>
        <v>0</v>
      </c>
      <c r="S208" s="87"/>
      <c r="T208" s="87"/>
      <c r="U208" s="87"/>
      <c r="V208" s="87"/>
      <c r="W208" s="161">
        <v>1</v>
      </c>
      <c r="X208" s="87"/>
      <c r="Y208" s="87"/>
      <c r="Z208" s="87"/>
      <c r="AA208" s="184"/>
      <c r="AB208" s="186"/>
      <c r="AC208" s="87"/>
      <c r="AD208" s="87"/>
      <c r="AE208" s="87"/>
      <c r="AF208" s="87"/>
      <c r="AG208" s="87"/>
      <c r="AH208" s="87"/>
      <c r="AI208" s="87"/>
      <c r="AJ208" s="87"/>
      <c r="AK208" s="184"/>
      <c r="AL208" s="206">
        <f t="shared" si="6"/>
        <v>1</v>
      </c>
      <c r="AM208" s="91">
        <f>0</f>
        <v>0</v>
      </c>
      <c r="AN208" s="207">
        <f t="shared" si="7"/>
        <v>1</v>
      </c>
      <c r="AO208" s="194">
        <v>45082</v>
      </c>
      <c r="AP208" s="172" t="s">
        <v>273</v>
      </c>
      <c r="AQ208" s="171" t="s">
        <v>873</v>
      </c>
      <c r="AR208" s="171" t="s">
        <v>148</v>
      </c>
      <c r="AS208" s="159"/>
      <c r="AT208" s="153"/>
      <c r="AU208" s="154"/>
      <c r="AV208" s="154"/>
      <c r="AW208" s="154"/>
      <c r="AX208" s="155"/>
      <c r="AY208" s="156"/>
      <c r="AZ208" s="157"/>
      <c r="BA208" s="81"/>
      <c r="BB208" s="81"/>
      <c r="BC208" s="81"/>
    </row>
    <row r="209" spans="1:55" ht="28" customHeight="1" x14ac:dyDescent="0.25">
      <c r="A209" s="173">
        <v>203</v>
      </c>
      <c r="B209" s="147">
        <v>45079</v>
      </c>
      <c r="C209" s="77" t="s">
        <v>134</v>
      </c>
      <c r="D209" s="77" t="s">
        <v>135</v>
      </c>
      <c r="E209" s="77" t="s">
        <v>136</v>
      </c>
      <c r="F209" s="168" t="s">
        <v>672</v>
      </c>
      <c r="G209" s="168" t="s">
        <v>755</v>
      </c>
      <c r="H209" s="168" t="s">
        <v>110</v>
      </c>
      <c r="I209" s="168" t="s">
        <v>720</v>
      </c>
      <c r="J209" s="175" t="s">
        <v>756</v>
      </c>
      <c r="K209" s="174"/>
      <c r="L209" s="174" t="s">
        <v>153</v>
      </c>
      <c r="M209" s="174" t="s">
        <v>154</v>
      </c>
      <c r="N209" s="174"/>
      <c r="O209" s="174" t="s">
        <v>155</v>
      </c>
      <c r="P209" s="171"/>
      <c r="Q209" s="303"/>
      <c r="R209" s="182">
        <f>0</f>
        <v>0</v>
      </c>
      <c r="S209" s="87"/>
      <c r="T209" s="87"/>
      <c r="U209" s="87"/>
      <c r="V209" s="87"/>
      <c r="W209" s="161">
        <v>1</v>
      </c>
      <c r="X209" s="87"/>
      <c r="Y209" s="87"/>
      <c r="Z209" s="87"/>
      <c r="AA209" s="184"/>
      <c r="AB209" s="186"/>
      <c r="AC209" s="87"/>
      <c r="AD209" s="87"/>
      <c r="AE209" s="87"/>
      <c r="AF209" s="87"/>
      <c r="AG209" s="87"/>
      <c r="AH209" s="87"/>
      <c r="AI209" s="87"/>
      <c r="AJ209" s="87"/>
      <c r="AK209" s="184"/>
      <c r="AL209" s="206">
        <f t="shared" si="6"/>
        <v>1</v>
      </c>
      <c r="AM209" s="91">
        <f>0</f>
        <v>0</v>
      </c>
      <c r="AN209" s="207">
        <f t="shared" si="7"/>
        <v>1</v>
      </c>
      <c r="AO209" s="194">
        <v>45082</v>
      </c>
      <c r="AP209" s="172" t="s">
        <v>273</v>
      </c>
      <c r="AQ209" s="171" t="s">
        <v>873</v>
      </c>
      <c r="AR209" s="171" t="s">
        <v>148</v>
      </c>
      <c r="AS209" s="159"/>
      <c r="AT209" s="153"/>
      <c r="AU209" s="154"/>
      <c r="AV209" s="154"/>
      <c r="AW209" s="154"/>
      <c r="AX209" s="155"/>
      <c r="AY209" s="156"/>
      <c r="AZ209" s="157"/>
      <c r="BA209" s="81"/>
      <c r="BB209" s="81"/>
      <c r="BC209" s="81"/>
    </row>
    <row r="210" spans="1:55" ht="28" customHeight="1" x14ac:dyDescent="0.25">
      <c r="A210" s="173">
        <v>204</v>
      </c>
      <c r="B210" s="147">
        <v>45079</v>
      </c>
      <c r="C210" s="77" t="s">
        <v>134</v>
      </c>
      <c r="D210" s="77" t="s">
        <v>135</v>
      </c>
      <c r="E210" s="77" t="s">
        <v>136</v>
      </c>
      <c r="F210" s="168" t="s">
        <v>672</v>
      </c>
      <c r="G210" s="168" t="s">
        <v>757</v>
      </c>
      <c r="H210" s="168" t="s">
        <v>110</v>
      </c>
      <c r="I210" s="168" t="s">
        <v>758</v>
      </c>
      <c r="J210" s="175" t="s">
        <v>759</v>
      </c>
      <c r="K210" s="174"/>
      <c r="L210" s="174" t="s">
        <v>790</v>
      </c>
      <c r="M210" s="174" t="s">
        <v>479</v>
      </c>
      <c r="N210" s="174" t="s">
        <v>80</v>
      </c>
      <c r="O210" s="174" t="s">
        <v>149</v>
      </c>
      <c r="P210" s="171"/>
      <c r="Q210" s="303"/>
      <c r="R210" s="182">
        <f>0</f>
        <v>0</v>
      </c>
      <c r="S210" s="87"/>
      <c r="T210" s="87"/>
      <c r="U210" s="87"/>
      <c r="V210" s="87"/>
      <c r="W210" s="161">
        <v>2</v>
      </c>
      <c r="X210" s="87"/>
      <c r="Y210" s="87"/>
      <c r="Z210" s="87"/>
      <c r="AA210" s="184"/>
      <c r="AB210" s="186"/>
      <c r="AC210" s="87"/>
      <c r="AD210" s="87"/>
      <c r="AE210" s="87"/>
      <c r="AF210" s="87"/>
      <c r="AG210" s="87"/>
      <c r="AH210" s="87"/>
      <c r="AI210" s="87"/>
      <c r="AJ210" s="87"/>
      <c r="AK210" s="184"/>
      <c r="AL210" s="206">
        <f t="shared" si="6"/>
        <v>2</v>
      </c>
      <c r="AM210" s="91">
        <f>0</f>
        <v>0</v>
      </c>
      <c r="AN210" s="207">
        <f t="shared" si="7"/>
        <v>2</v>
      </c>
      <c r="AO210" s="194">
        <v>45082</v>
      </c>
      <c r="AP210" s="172" t="s">
        <v>273</v>
      </c>
      <c r="AQ210" s="171" t="s">
        <v>873</v>
      </c>
      <c r="AR210" s="171" t="s">
        <v>148</v>
      </c>
      <c r="AS210" s="159"/>
      <c r="AT210" s="153"/>
      <c r="AU210" s="154"/>
      <c r="AV210" s="154"/>
      <c r="AW210" s="154"/>
      <c r="AX210" s="155"/>
      <c r="AY210" s="156"/>
      <c r="AZ210" s="157"/>
      <c r="BA210" s="81"/>
      <c r="BB210" s="81"/>
      <c r="BC210" s="81"/>
    </row>
    <row r="211" spans="1:55" ht="28" customHeight="1" x14ac:dyDescent="0.25">
      <c r="A211" s="173">
        <v>205</v>
      </c>
      <c r="B211" s="147">
        <v>45079</v>
      </c>
      <c r="C211" s="79"/>
      <c r="D211" s="79"/>
      <c r="E211" s="79"/>
      <c r="F211" s="168" t="s">
        <v>672</v>
      </c>
      <c r="G211" s="168" t="s">
        <v>1233</v>
      </c>
      <c r="H211" s="168" t="s">
        <v>110</v>
      </c>
      <c r="I211" s="168" t="s">
        <v>758</v>
      </c>
      <c r="J211" s="175" t="s">
        <v>791</v>
      </c>
      <c r="K211" s="174"/>
      <c r="L211" s="174" t="s">
        <v>790</v>
      </c>
      <c r="M211" s="174" t="s">
        <v>479</v>
      </c>
      <c r="N211" s="174" t="s">
        <v>80</v>
      </c>
      <c r="O211" s="174" t="s">
        <v>149</v>
      </c>
      <c r="P211" s="171"/>
      <c r="Q211" s="303"/>
      <c r="R211" s="182">
        <f>0</f>
        <v>0</v>
      </c>
      <c r="S211" s="87"/>
      <c r="T211" s="87"/>
      <c r="U211" s="87"/>
      <c r="V211" s="87"/>
      <c r="W211" s="161">
        <v>2</v>
      </c>
      <c r="X211" s="87"/>
      <c r="Y211" s="87"/>
      <c r="Z211" s="87"/>
      <c r="AA211" s="184"/>
      <c r="AB211" s="186"/>
      <c r="AC211" s="87"/>
      <c r="AD211" s="87"/>
      <c r="AE211" s="87"/>
      <c r="AF211" s="87"/>
      <c r="AG211" s="87"/>
      <c r="AH211" s="87"/>
      <c r="AI211" s="87"/>
      <c r="AJ211" s="87"/>
      <c r="AK211" s="184"/>
      <c r="AL211" s="206">
        <f t="shared" si="6"/>
        <v>2</v>
      </c>
      <c r="AM211" s="91">
        <f>0</f>
        <v>0</v>
      </c>
      <c r="AN211" s="207">
        <f t="shared" si="7"/>
        <v>2</v>
      </c>
      <c r="AO211" s="194">
        <v>45082</v>
      </c>
      <c r="AP211" s="172" t="s">
        <v>273</v>
      </c>
      <c r="AQ211" s="171" t="s">
        <v>873</v>
      </c>
      <c r="AR211" s="171" t="s">
        <v>148</v>
      </c>
      <c r="AS211" s="159"/>
      <c r="AT211" s="153"/>
      <c r="AU211" s="154"/>
      <c r="AV211" s="154"/>
      <c r="AW211" s="154"/>
      <c r="AX211" s="155"/>
      <c r="AY211" s="156"/>
      <c r="AZ211" s="157"/>
      <c r="BA211" s="81"/>
      <c r="BB211" s="81"/>
      <c r="BC211" s="81"/>
    </row>
    <row r="212" spans="1:55" ht="28" customHeight="1" x14ac:dyDescent="0.25">
      <c r="A212" s="173">
        <v>206</v>
      </c>
      <c r="B212" s="147">
        <v>45079</v>
      </c>
      <c r="C212" s="77" t="s">
        <v>134</v>
      </c>
      <c r="D212" s="77" t="s">
        <v>135</v>
      </c>
      <c r="E212" s="77" t="s">
        <v>136</v>
      </c>
      <c r="F212" s="168" t="s">
        <v>672</v>
      </c>
      <c r="G212" s="168" t="s">
        <v>760</v>
      </c>
      <c r="H212" s="168" t="s">
        <v>110</v>
      </c>
      <c r="I212" s="168" t="s">
        <v>761</v>
      </c>
      <c r="J212" s="175" t="s">
        <v>762</v>
      </c>
      <c r="K212" s="174"/>
      <c r="L212" s="174" t="s">
        <v>222</v>
      </c>
      <c r="M212" s="174" t="s">
        <v>154</v>
      </c>
      <c r="N212" s="174" t="s">
        <v>80</v>
      </c>
      <c r="O212" s="174" t="s">
        <v>80</v>
      </c>
      <c r="P212" s="171"/>
      <c r="Q212" s="303"/>
      <c r="R212" s="182">
        <f>0</f>
        <v>0</v>
      </c>
      <c r="S212" s="87"/>
      <c r="T212" s="87"/>
      <c r="U212" s="87"/>
      <c r="V212" s="87"/>
      <c r="W212" s="161">
        <v>2</v>
      </c>
      <c r="X212" s="87"/>
      <c r="Y212" s="87"/>
      <c r="Z212" s="87"/>
      <c r="AA212" s="184"/>
      <c r="AB212" s="186"/>
      <c r="AC212" s="87"/>
      <c r="AD212" s="87"/>
      <c r="AE212" s="87"/>
      <c r="AF212" s="87"/>
      <c r="AG212" s="87"/>
      <c r="AH212" s="87"/>
      <c r="AI212" s="87"/>
      <c r="AJ212" s="87"/>
      <c r="AK212" s="184"/>
      <c r="AL212" s="206">
        <f t="shared" si="6"/>
        <v>2</v>
      </c>
      <c r="AM212" s="91">
        <f>0</f>
        <v>0</v>
      </c>
      <c r="AN212" s="207">
        <f t="shared" si="7"/>
        <v>2</v>
      </c>
      <c r="AO212" s="194">
        <v>45082</v>
      </c>
      <c r="AP212" s="172" t="s">
        <v>273</v>
      </c>
      <c r="AQ212" s="171" t="s">
        <v>873</v>
      </c>
      <c r="AR212" s="171" t="s">
        <v>148</v>
      </c>
      <c r="AS212" s="159"/>
      <c r="AT212" s="153"/>
      <c r="AU212" s="154"/>
      <c r="AV212" s="154"/>
      <c r="AW212" s="154"/>
      <c r="AX212" s="155"/>
      <c r="AY212" s="156"/>
      <c r="AZ212" s="157"/>
      <c r="BA212" s="81"/>
      <c r="BB212" s="81"/>
      <c r="BC212" s="81"/>
    </row>
    <row r="213" spans="1:55" ht="28" customHeight="1" x14ac:dyDescent="0.25">
      <c r="A213" s="173">
        <v>207</v>
      </c>
      <c r="B213" s="147">
        <v>45079</v>
      </c>
      <c r="C213" s="77" t="s">
        <v>134</v>
      </c>
      <c r="D213" s="77" t="s">
        <v>135</v>
      </c>
      <c r="E213" s="77" t="s">
        <v>136</v>
      </c>
      <c r="F213" s="168" t="s">
        <v>672</v>
      </c>
      <c r="G213" s="168" t="s">
        <v>763</v>
      </c>
      <c r="H213" s="168" t="s">
        <v>110</v>
      </c>
      <c r="I213" s="168" t="s">
        <v>761</v>
      </c>
      <c r="J213" s="175" t="s">
        <v>764</v>
      </c>
      <c r="K213" s="174"/>
      <c r="L213" s="174" t="s">
        <v>222</v>
      </c>
      <c r="M213" s="174" t="s">
        <v>154</v>
      </c>
      <c r="N213" s="174" t="s">
        <v>80</v>
      </c>
      <c r="O213" s="174" t="s">
        <v>80</v>
      </c>
      <c r="P213" s="171"/>
      <c r="Q213" s="303"/>
      <c r="R213" s="182">
        <f>0</f>
        <v>0</v>
      </c>
      <c r="S213" s="87"/>
      <c r="T213" s="87"/>
      <c r="U213" s="87"/>
      <c r="V213" s="87"/>
      <c r="W213" s="161">
        <v>2</v>
      </c>
      <c r="X213" s="87"/>
      <c r="Y213" s="87"/>
      <c r="Z213" s="87"/>
      <c r="AA213" s="184"/>
      <c r="AB213" s="186"/>
      <c r="AC213" s="87"/>
      <c r="AD213" s="87"/>
      <c r="AE213" s="87"/>
      <c r="AF213" s="87"/>
      <c r="AG213" s="87"/>
      <c r="AH213" s="87"/>
      <c r="AI213" s="87"/>
      <c r="AJ213" s="87"/>
      <c r="AK213" s="184"/>
      <c r="AL213" s="206">
        <f t="shared" si="6"/>
        <v>2</v>
      </c>
      <c r="AM213" s="91">
        <f>0</f>
        <v>0</v>
      </c>
      <c r="AN213" s="207">
        <f t="shared" si="7"/>
        <v>2</v>
      </c>
      <c r="AO213" s="194">
        <v>45082</v>
      </c>
      <c r="AP213" s="172" t="s">
        <v>273</v>
      </c>
      <c r="AQ213" s="171" t="s">
        <v>873</v>
      </c>
      <c r="AR213" s="171" t="s">
        <v>148</v>
      </c>
      <c r="AS213" s="159"/>
      <c r="AT213" s="153"/>
      <c r="AU213" s="154"/>
      <c r="AV213" s="154"/>
      <c r="AW213" s="154"/>
      <c r="AX213" s="155"/>
      <c r="AY213" s="156"/>
      <c r="AZ213" s="157"/>
      <c r="BA213" s="81"/>
      <c r="BB213" s="81"/>
      <c r="BC213" s="81"/>
    </row>
    <row r="214" spans="1:55" ht="28" customHeight="1" x14ac:dyDescent="0.25">
      <c r="A214" s="173">
        <v>208</v>
      </c>
      <c r="B214" s="147">
        <v>45079</v>
      </c>
      <c r="C214" s="77" t="s">
        <v>134</v>
      </c>
      <c r="D214" s="77" t="s">
        <v>135</v>
      </c>
      <c r="E214" s="77" t="s">
        <v>136</v>
      </c>
      <c r="F214" s="168" t="s">
        <v>672</v>
      </c>
      <c r="G214" s="168" t="s">
        <v>765</v>
      </c>
      <c r="H214" s="168" t="s">
        <v>110</v>
      </c>
      <c r="I214" s="168" t="s">
        <v>761</v>
      </c>
      <c r="J214" s="175" t="s">
        <v>766</v>
      </c>
      <c r="K214" s="174"/>
      <c r="L214" s="174" t="s">
        <v>222</v>
      </c>
      <c r="M214" s="174" t="s">
        <v>154</v>
      </c>
      <c r="N214" s="174" t="s">
        <v>80</v>
      </c>
      <c r="O214" s="174" t="s">
        <v>80</v>
      </c>
      <c r="P214" s="171"/>
      <c r="Q214" s="303"/>
      <c r="R214" s="182">
        <f>0</f>
        <v>0</v>
      </c>
      <c r="S214" s="87"/>
      <c r="T214" s="87"/>
      <c r="U214" s="87"/>
      <c r="V214" s="87"/>
      <c r="W214" s="161">
        <v>6</v>
      </c>
      <c r="X214" s="87"/>
      <c r="Y214" s="87"/>
      <c r="Z214" s="87"/>
      <c r="AA214" s="184"/>
      <c r="AB214" s="186"/>
      <c r="AC214" s="87"/>
      <c r="AD214" s="87"/>
      <c r="AE214" s="87"/>
      <c r="AF214" s="87"/>
      <c r="AG214" s="87"/>
      <c r="AH214" s="87"/>
      <c r="AI214" s="87"/>
      <c r="AJ214" s="87"/>
      <c r="AK214" s="184"/>
      <c r="AL214" s="206">
        <f t="shared" si="6"/>
        <v>6</v>
      </c>
      <c r="AM214" s="91">
        <f>0</f>
        <v>0</v>
      </c>
      <c r="AN214" s="207">
        <f t="shared" si="7"/>
        <v>6</v>
      </c>
      <c r="AO214" s="194">
        <v>45082</v>
      </c>
      <c r="AP214" s="172" t="s">
        <v>273</v>
      </c>
      <c r="AQ214" s="171" t="s">
        <v>873</v>
      </c>
      <c r="AR214" s="171" t="s">
        <v>148</v>
      </c>
      <c r="AS214" s="159"/>
      <c r="AT214" s="153"/>
      <c r="AU214" s="154"/>
      <c r="AV214" s="154"/>
      <c r="AW214" s="154"/>
      <c r="AX214" s="155"/>
      <c r="AY214" s="156"/>
      <c r="AZ214" s="157"/>
      <c r="BA214" s="81"/>
      <c r="BB214" s="81"/>
      <c r="BC214" s="81"/>
    </row>
    <row r="215" spans="1:55" ht="28" customHeight="1" x14ac:dyDescent="0.25">
      <c r="A215" s="173">
        <v>210</v>
      </c>
      <c r="B215" s="147">
        <v>45079</v>
      </c>
      <c r="C215" s="77" t="s">
        <v>134</v>
      </c>
      <c r="D215" s="77" t="s">
        <v>135</v>
      </c>
      <c r="E215" s="77" t="s">
        <v>136</v>
      </c>
      <c r="F215" s="168" t="s">
        <v>672</v>
      </c>
      <c r="G215" s="168" t="s">
        <v>769</v>
      </c>
      <c r="H215" s="168" t="s">
        <v>110</v>
      </c>
      <c r="I215" s="168" t="s">
        <v>770</v>
      </c>
      <c r="J215" s="175" t="s">
        <v>771</v>
      </c>
      <c r="K215" s="174"/>
      <c r="L215" s="174" t="s">
        <v>320</v>
      </c>
      <c r="M215" s="174" t="s">
        <v>80</v>
      </c>
      <c r="N215" s="174" t="s">
        <v>80</v>
      </c>
      <c r="O215" s="174" t="s">
        <v>155</v>
      </c>
      <c r="P215" s="171"/>
      <c r="Q215" s="303"/>
      <c r="R215" s="182">
        <f>0</f>
        <v>0</v>
      </c>
      <c r="S215" s="87"/>
      <c r="T215" s="87"/>
      <c r="U215" s="87"/>
      <c r="V215" s="87"/>
      <c r="W215" s="161">
        <v>4</v>
      </c>
      <c r="X215" s="87"/>
      <c r="Y215" s="87"/>
      <c r="Z215" s="87"/>
      <c r="AA215" s="184"/>
      <c r="AB215" s="186"/>
      <c r="AC215" s="87"/>
      <c r="AD215" s="87"/>
      <c r="AE215" s="87"/>
      <c r="AF215" s="87"/>
      <c r="AG215" s="87"/>
      <c r="AH215" s="87"/>
      <c r="AI215" s="87"/>
      <c r="AJ215" s="87"/>
      <c r="AK215" s="184"/>
      <c r="AL215" s="206">
        <f t="shared" si="6"/>
        <v>4</v>
      </c>
      <c r="AM215" s="91">
        <f>0</f>
        <v>0</v>
      </c>
      <c r="AN215" s="207">
        <f t="shared" si="7"/>
        <v>4</v>
      </c>
      <c r="AO215" s="194">
        <v>45082</v>
      </c>
      <c r="AP215" s="172" t="s">
        <v>273</v>
      </c>
      <c r="AQ215" s="171" t="s">
        <v>873</v>
      </c>
      <c r="AR215" s="171" t="s">
        <v>148</v>
      </c>
      <c r="AS215" s="159"/>
      <c r="AT215" s="153"/>
      <c r="AU215" s="154"/>
      <c r="AV215" s="154"/>
      <c r="AW215" s="154"/>
      <c r="AX215" s="155"/>
      <c r="AY215" s="156"/>
      <c r="AZ215" s="157"/>
      <c r="BA215" s="81"/>
      <c r="BB215" s="81"/>
      <c r="BC215" s="81"/>
    </row>
    <row r="216" spans="1:55" ht="28" customHeight="1" x14ac:dyDescent="0.25">
      <c r="A216" s="322">
        <v>211</v>
      </c>
      <c r="B216" s="323">
        <v>45079</v>
      </c>
      <c r="C216" s="77" t="s">
        <v>134</v>
      </c>
      <c r="D216" s="77" t="s">
        <v>135</v>
      </c>
      <c r="E216" s="77" t="s">
        <v>136</v>
      </c>
      <c r="F216" s="324" t="s">
        <v>672</v>
      </c>
      <c r="G216" s="324" t="s">
        <v>772</v>
      </c>
      <c r="H216" s="324" t="s">
        <v>110</v>
      </c>
      <c r="I216" s="324" t="s">
        <v>773</v>
      </c>
      <c r="J216" s="325" t="s">
        <v>774</v>
      </c>
      <c r="K216" s="326"/>
      <c r="L216" s="326" t="s">
        <v>792</v>
      </c>
      <c r="M216" s="326" t="s">
        <v>80</v>
      </c>
      <c r="N216" s="326" t="s">
        <v>80</v>
      </c>
      <c r="O216" s="326" t="s">
        <v>1219</v>
      </c>
      <c r="P216" s="327"/>
      <c r="Q216" s="344"/>
      <c r="R216" s="182">
        <f>0</f>
        <v>0</v>
      </c>
      <c r="S216" s="87"/>
      <c r="T216" s="87"/>
      <c r="U216" s="87"/>
      <c r="V216" s="87"/>
      <c r="W216" s="161">
        <v>8</v>
      </c>
      <c r="X216" s="87"/>
      <c r="Y216" s="87"/>
      <c r="Z216" s="87"/>
      <c r="AA216" s="184"/>
      <c r="AB216" s="186"/>
      <c r="AC216" s="87"/>
      <c r="AD216" s="87"/>
      <c r="AE216" s="87"/>
      <c r="AF216" s="87"/>
      <c r="AG216" s="87"/>
      <c r="AH216" s="87"/>
      <c r="AI216" s="87"/>
      <c r="AJ216" s="87"/>
      <c r="AK216" s="184"/>
      <c r="AL216" s="206">
        <f t="shared" si="6"/>
        <v>8</v>
      </c>
      <c r="AM216" s="91">
        <f>0</f>
        <v>0</v>
      </c>
      <c r="AN216" s="207">
        <f t="shared" si="7"/>
        <v>8</v>
      </c>
      <c r="AO216" s="328">
        <v>45082</v>
      </c>
      <c r="AP216" s="329" t="s">
        <v>273</v>
      </c>
      <c r="AQ216" s="327"/>
      <c r="AR216" s="327" t="s">
        <v>872</v>
      </c>
      <c r="AS216" s="330"/>
      <c r="AT216" s="330"/>
      <c r="AU216" s="331"/>
      <c r="AV216" s="331"/>
      <c r="AW216" s="331"/>
      <c r="AX216" s="332"/>
      <c r="AY216" s="333"/>
      <c r="AZ216" s="334"/>
      <c r="BA216" s="319"/>
      <c r="BB216" s="319"/>
      <c r="BC216" s="319"/>
    </row>
    <row r="217" spans="1:55" ht="28" customHeight="1" x14ac:dyDescent="0.25">
      <c r="A217" s="173">
        <v>212</v>
      </c>
      <c r="B217" s="147">
        <v>45079</v>
      </c>
      <c r="C217" s="77" t="s">
        <v>134</v>
      </c>
      <c r="D217" s="77" t="s">
        <v>135</v>
      </c>
      <c r="E217" s="77" t="s">
        <v>136</v>
      </c>
      <c r="F217" s="168" t="s">
        <v>672</v>
      </c>
      <c r="G217" s="168" t="s">
        <v>775</v>
      </c>
      <c r="H217" s="168" t="s">
        <v>110</v>
      </c>
      <c r="I217" s="168" t="s">
        <v>776</v>
      </c>
      <c r="J217" s="175" t="s">
        <v>777</v>
      </c>
      <c r="K217" s="174"/>
      <c r="L217" s="174" t="s">
        <v>168</v>
      </c>
      <c r="M217" s="174" t="s">
        <v>154</v>
      </c>
      <c r="N217" s="174" t="s">
        <v>80</v>
      </c>
      <c r="O217" s="174" t="s">
        <v>149</v>
      </c>
      <c r="P217" s="171"/>
      <c r="Q217" s="303"/>
      <c r="R217" s="182">
        <f>0</f>
        <v>0</v>
      </c>
      <c r="S217" s="87"/>
      <c r="T217" s="87"/>
      <c r="U217" s="87"/>
      <c r="V217" s="87"/>
      <c r="W217" s="161">
        <v>2</v>
      </c>
      <c r="X217" s="87"/>
      <c r="Y217" s="87"/>
      <c r="Z217" s="87"/>
      <c r="AA217" s="184"/>
      <c r="AB217" s="186"/>
      <c r="AC217" s="87"/>
      <c r="AD217" s="87"/>
      <c r="AE217" s="87"/>
      <c r="AF217" s="87"/>
      <c r="AG217" s="87"/>
      <c r="AH217" s="87"/>
      <c r="AI217" s="87"/>
      <c r="AJ217" s="87"/>
      <c r="AK217" s="184"/>
      <c r="AL217" s="206">
        <f t="shared" si="6"/>
        <v>2</v>
      </c>
      <c r="AM217" s="91">
        <f>0</f>
        <v>0</v>
      </c>
      <c r="AN217" s="207">
        <f t="shared" si="7"/>
        <v>2</v>
      </c>
      <c r="AO217" s="194">
        <v>45082</v>
      </c>
      <c r="AP217" s="172" t="s">
        <v>273</v>
      </c>
      <c r="AQ217" s="97" t="s">
        <v>900</v>
      </c>
      <c r="AR217" s="171" t="s">
        <v>148</v>
      </c>
      <c r="AS217" s="159"/>
      <c r="AT217" s="153"/>
      <c r="AU217" s="154">
        <v>2</v>
      </c>
      <c r="AV217" s="154"/>
      <c r="AW217" s="154" t="s">
        <v>457</v>
      </c>
      <c r="AX217" s="155"/>
      <c r="AY217" s="156"/>
      <c r="AZ217" s="157"/>
      <c r="BA217" s="81"/>
      <c r="BB217" s="81"/>
      <c r="BC217" s="81"/>
    </row>
    <row r="218" spans="1:55" ht="28" customHeight="1" x14ac:dyDescent="0.25">
      <c r="A218" s="173">
        <v>213</v>
      </c>
      <c r="B218" s="147">
        <v>45079</v>
      </c>
      <c r="C218" s="77" t="s">
        <v>134</v>
      </c>
      <c r="D218" s="77" t="s">
        <v>135</v>
      </c>
      <c r="E218" s="77" t="s">
        <v>136</v>
      </c>
      <c r="F218" s="168" t="s">
        <v>672</v>
      </c>
      <c r="G218" s="168" t="s">
        <v>778</v>
      </c>
      <c r="H218" s="168" t="s">
        <v>110</v>
      </c>
      <c r="I218" s="168" t="s">
        <v>779</v>
      </c>
      <c r="J218" s="175" t="s">
        <v>780</v>
      </c>
      <c r="K218" s="174"/>
      <c r="L218" s="174" t="s">
        <v>389</v>
      </c>
      <c r="M218" s="174" t="s">
        <v>80</v>
      </c>
      <c r="N218" s="174" t="s">
        <v>80</v>
      </c>
      <c r="O218" s="174" t="s">
        <v>80</v>
      </c>
      <c r="P218" s="171"/>
      <c r="Q218" s="303"/>
      <c r="R218" s="182">
        <f>0</f>
        <v>0</v>
      </c>
      <c r="S218" s="87"/>
      <c r="T218" s="87"/>
      <c r="U218" s="87"/>
      <c r="V218" s="87"/>
      <c r="W218" s="161">
        <v>2</v>
      </c>
      <c r="X218" s="87"/>
      <c r="Y218" s="87"/>
      <c r="Z218" s="87"/>
      <c r="AA218" s="184"/>
      <c r="AB218" s="186"/>
      <c r="AC218" s="87"/>
      <c r="AD218" s="87"/>
      <c r="AE218" s="87"/>
      <c r="AF218" s="87"/>
      <c r="AG218" s="87"/>
      <c r="AH218" s="87"/>
      <c r="AI218" s="87"/>
      <c r="AJ218" s="87"/>
      <c r="AK218" s="184"/>
      <c r="AL218" s="206">
        <f t="shared" si="6"/>
        <v>2</v>
      </c>
      <c r="AM218" s="91">
        <f>0</f>
        <v>0</v>
      </c>
      <c r="AN218" s="207">
        <f t="shared" si="7"/>
        <v>2</v>
      </c>
      <c r="AO218" s="194">
        <v>45082</v>
      </c>
      <c r="AP218" s="172" t="s">
        <v>273</v>
      </c>
      <c r="AQ218" s="171" t="s">
        <v>900</v>
      </c>
      <c r="AR218" s="171" t="s">
        <v>148</v>
      </c>
      <c r="AS218" s="159"/>
      <c r="AT218" s="153"/>
      <c r="AU218" s="154">
        <v>2</v>
      </c>
      <c r="AV218" s="154"/>
      <c r="AW218" s="99" t="s">
        <v>457</v>
      </c>
      <c r="AX218" s="155"/>
      <c r="AY218" s="156"/>
      <c r="AZ218" s="157"/>
      <c r="BA218" s="81"/>
      <c r="BB218" s="81"/>
      <c r="BC218" s="81"/>
    </row>
    <row r="219" spans="1:55" ht="28" customHeight="1" x14ac:dyDescent="0.25">
      <c r="A219" s="173">
        <v>214</v>
      </c>
      <c r="B219" s="147">
        <v>45079</v>
      </c>
      <c r="C219" s="77" t="s">
        <v>134</v>
      </c>
      <c r="D219" s="77" t="s">
        <v>135</v>
      </c>
      <c r="E219" s="77" t="s">
        <v>136</v>
      </c>
      <c r="F219" s="168" t="s">
        <v>672</v>
      </c>
      <c r="G219" s="168" t="s">
        <v>781</v>
      </c>
      <c r="H219" s="168" t="s">
        <v>110</v>
      </c>
      <c r="I219" s="168" t="s">
        <v>782</v>
      </c>
      <c r="J219" s="175" t="s">
        <v>783</v>
      </c>
      <c r="K219" s="174"/>
      <c r="L219" s="174" t="s">
        <v>451</v>
      </c>
      <c r="M219" s="174" t="s">
        <v>154</v>
      </c>
      <c r="N219" s="174" t="s">
        <v>80</v>
      </c>
      <c r="O219" s="174" t="s">
        <v>149</v>
      </c>
      <c r="P219" s="171"/>
      <c r="Q219" s="303"/>
      <c r="R219" s="182">
        <f>0</f>
        <v>0</v>
      </c>
      <c r="S219" s="87"/>
      <c r="T219" s="87"/>
      <c r="U219" s="87"/>
      <c r="V219" s="87"/>
      <c r="W219" s="161">
        <v>2</v>
      </c>
      <c r="X219" s="87"/>
      <c r="Y219" s="87"/>
      <c r="Z219" s="87"/>
      <c r="AA219" s="184"/>
      <c r="AB219" s="186"/>
      <c r="AC219" s="87"/>
      <c r="AD219" s="87"/>
      <c r="AE219" s="87"/>
      <c r="AF219" s="87"/>
      <c r="AG219" s="87"/>
      <c r="AH219" s="87"/>
      <c r="AI219" s="87"/>
      <c r="AJ219" s="87"/>
      <c r="AK219" s="184"/>
      <c r="AL219" s="206">
        <f t="shared" si="6"/>
        <v>2</v>
      </c>
      <c r="AM219" s="91">
        <f>0</f>
        <v>0</v>
      </c>
      <c r="AN219" s="207">
        <f t="shared" si="7"/>
        <v>2</v>
      </c>
      <c r="AO219" s="194">
        <v>45082</v>
      </c>
      <c r="AP219" s="172" t="s">
        <v>273</v>
      </c>
      <c r="AQ219" s="171" t="s">
        <v>873</v>
      </c>
      <c r="AR219" s="171" t="s">
        <v>148</v>
      </c>
      <c r="AS219" s="159"/>
      <c r="AT219" s="153"/>
      <c r="AU219" s="154"/>
      <c r="AV219" s="154"/>
      <c r="AW219" s="154"/>
      <c r="AX219" s="155"/>
      <c r="AY219" s="156"/>
      <c r="AZ219" s="157"/>
      <c r="BA219" s="81"/>
      <c r="BB219" s="81"/>
      <c r="BC219" s="81"/>
    </row>
    <row r="220" spans="1:55" ht="28" customHeight="1" x14ac:dyDescent="0.25">
      <c r="A220" s="173">
        <v>215</v>
      </c>
      <c r="B220" s="147">
        <v>45079</v>
      </c>
      <c r="C220" s="77" t="s">
        <v>134</v>
      </c>
      <c r="D220" s="77" t="s">
        <v>135</v>
      </c>
      <c r="E220" s="77" t="s">
        <v>136</v>
      </c>
      <c r="F220" s="168" t="s">
        <v>672</v>
      </c>
      <c r="G220" s="168" t="s">
        <v>784</v>
      </c>
      <c r="H220" s="168" t="s">
        <v>110</v>
      </c>
      <c r="I220" s="168" t="s">
        <v>785</v>
      </c>
      <c r="J220" s="175" t="s">
        <v>786</v>
      </c>
      <c r="K220" s="174"/>
      <c r="L220" s="174" t="s">
        <v>209</v>
      </c>
      <c r="M220" s="174" t="s">
        <v>479</v>
      </c>
      <c r="N220" s="174" t="s">
        <v>80</v>
      </c>
      <c r="O220" s="174" t="s">
        <v>80</v>
      </c>
      <c r="P220" s="171"/>
      <c r="Q220" s="303"/>
      <c r="R220" s="182">
        <f>0</f>
        <v>0</v>
      </c>
      <c r="S220" s="87"/>
      <c r="T220" s="87"/>
      <c r="U220" s="87"/>
      <c r="V220" s="87"/>
      <c r="W220" s="161">
        <v>4</v>
      </c>
      <c r="X220" s="87"/>
      <c r="Y220" s="87"/>
      <c r="Z220" s="87"/>
      <c r="AA220" s="184"/>
      <c r="AB220" s="186"/>
      <c r="AC220" s="87"/>
      <c r="AD220" s="87"/>
      <c r="AE220" s="87"/>
      <c r="AF220" s="87"/>
      <c r="AG220" s="87"/>
      <c r="AH220" s="87"/>
      <c r="AI220" s="87"/>
      <c r="AJ220" s="87"/>
      <c r="AK220" s="184"/>
      <c r="AL220" s="206">
        <f t="shared" si="6"/>
        <v>4</v>
      </c>
      <c r="AM220" s="91">
        <f>0</f>
        <v>0</v>
      </c>
      <c r="AN220" s="207">
        <f t="shared" si="7"/>
        <v>4</v>
      </c>
      <c r="AO220" s="194">
        <v>45082</v>
      </c>
      <c r="AP220" s="172" t="s">
        <v>273</v>
      </c>
      <c r="AQ220" s="171" t="s">
        <v>873</v>
      </c>
      <c r="AR220" s="171" t="s">
        <v>148</v>
      </c>
      <c r="AS220" s="159"/>
      <c r="AT220" s="153"/>
      <c r="AU220" s="154"/>
      <c r="AV220" s="154"/>
      <c r="AW220" s="154"/>
      <c r="AX220" s="155"/>
      <c r="AY220" s="156"/>
      <c r="AZ220" s="157"/>
      <c r="BA220" s="81"/>
      <c r="BB220" s="81"/>
      <c r="BC220" s="81"/>
    </row>
    <row r="221" spans="1:55" ht="28" customHeight="1" x14ac:dyDescent="0.25">
      <c r="A221" s="173">
        <v>216</v>
      </c>
      <c r="B221" s="147">
        <v>45079</v>
      </c>
      <c r="C221" s="77" t="s">
        <v>134</v>
      </c>
      <c r="D221" s="77" t="s">
        <v>135</v>
      </c>
      <c r="E221" s="77" t="s">
        <v>136</v>
      </c>
      <c r="F221" s="168" t="s">
        <v>672</v>
      </c>
      <c r="G221" s="168" t="s">
        <v>787</v>
      </c>
      <c r="H221" s="168" t="s">
        <v>110</v>
      </c>
      <c r="I221" s="168" t="s">
        <v>788</v>
      </c>
      <c r="J221" s="175" t="s">
        <v>789</v>
      </c>
      <c r="K221" s="174"/>
      <c r="L221" s="174" t="s">
        <v>209</v>
      </c>
      <c r="M221" s="174" t="s">
        <v>479</v>
      </c>
      <c r="N221" s="174" t="s">
        <v>80</v>
      </c>
      <c r="O221" s="174" t="s">
        <v>80</v>
      </c>
      <c r="P221" s="171"/>
      <c r="Q221" s="303"/>
      <c r="R221" s="182">
        <f>0</f>
        <v>0</v>
      </c>
      <c r="S221" s="87"/>
      <c r="T221" s="87"/>
      <c r="U221" s="87"/>
      <c r="V221" s="87"/>
      <c r="W221" s="161">
        <v>4</v>
      </c>
      <c r="X221" s="87"/>
      <c r="Y221" s="87"/>
      <c r="Z221" s="87"/>
      <c r="AA221" s="184"/>
      <c r="AB221" s="186"/>
      <c r="AC221" s="87"/>
      <c r="AD221" s="87"/>
      <c r="AE221" s="87"/>
      <c r="AF221" s="87"/>
      <c r="AG221" s="87"/>
      <c r="AH221" s="87"/>
      <c r="AI221" s="87"/>
      <c r="AJ221" s="87"/>
      <c r="AK221" s="184"/>
      <c r="AL221" s="206">
        <f t="shared" si="6"/>
        <v>4</v>
      </c>
      <c r="AM221" s="91">
        <f>0</f>
        <v>0</v>
      </c>
      <c r="AN221" s="207">
        <f t="shared" si="7"/>
        <v>4</v>
      </c>
      <c r="AO221" s="194">
        <v>45082</v>
      </c>
      <c r="AP221" s="172" t="s">
        <v>273</v>
      </c>
      <c r="AQ221" s="171" t="s">
        <v>873</v>
      </c>
      <c r="AR221" s="171" t="s">
        <v>148</v>
      </c>
      <c r="AS221" s="159"/>
      <c r="AT221" s="153"/>
      <c r="AU221" s="154"/>
      <c r="AV221" s="154"/>
      <c r="AW221" s="154"/>
      <c r="AX221" s="155"/>
      <c r="AY221" s="156"/>
      <c r="AZ221" s="157"/>
      <c r="BA221" s="81"/>
      <c r="BB221" s="81"/>
      <c r="BC221" s="81"/>
    </row>
    <row r="222" spans="1:55" ht="28" customHeight="1" x14ac:dyDescent="0.25">
      <c r="A222" s="173">
        <v>217</v>
      </c>
      <c r="B222" s="147">
        <v>45079</v>
      </c>
      <c r="C222" s="77" t="s">
        <v>134</v>
      </c>
      <c r="D222" s="77" t="s">
        <v>135</v>
      </c>
      <c r="E222" s="77" t="s">
        <v>136</v>
      </c>
      <c r="F222" s="168" t="s">
        <v>672</v>
      </c>
      <c r="G222" s="168" t="s">
        <v>793</v>
      </c>
      <c r="H222" s="168" t="s">
        <v>110</v>
      </c>
      <c r="I222" s="168" t="s">
        <v>794</v>
      </c>
      <c r="J222" s="175" t="s">
        <v>795</v>
      </c>
      <c r="K222" s="174"/>
      <c r="L222" s="174" t="s">
        <v>320</v>
      </c>
      <c r="M222" s="174" t="s">
        <v>479</v>
      </c>
      <c r="N222" s="174" t="s">
        <v>80</v>
      </c>
      <c r="O222" s="174" t="s">
        <v>155</v>
      </c>
      <c r="P222" s="171"/>
      <c r="Q222" s="303"/>
      <c r="R222" s="182">
        <f>0</f>
        <v>0</v>
      </c>
      <c r="S222" s="87"/>
      <c r="T222" s="87"/>
      <c r="U222" s="87"/>
      <c r="V222" s="87"/>
      <c r="W222" s="161">
        <v>1</v>
      </c>
      <c r="X222" s="87"/>
      <c r="Y222" s="87"/>
      <c r="Z222" s="87"/>
      <c r="AA222" s="184"/>
      <c r="AB222" s="186"/>
      <c r="AC222" s="87"/>
      <c r="AD222" s="87"/>
      <c r="AE222" s="87"/>
      <c r="AF222" s="87"/>
      <c r="AG222" s="87"/>
      <c r="AH222" s="87"/>
      <c r="AI222" s="87"/>
      <c r="AJ222" s="87"/>
      <c r="AK222" s="184"/>
      <c r="AL222" s="206">
        <f t="shared" si="6"/>
        <v>1</v>
      </c>
      <c r="AM222" s="91">
        <f>0</f>
        <v>0</v>
      </c>
      <c r="AN222" s="207">
        <f t="shared" si="7"/>
        <v>1</v>
      </c>
      <c r="AO222" s="194">
        <v>45082</v>
      </c>
      <c r="AP222" s="172" t="s">
        <v>273</v>
      </c>
      <c r="AQ222" s="171" t="s">
        <v>873</v>
      </c>
      <c r="AR222" s="171" t="s">
        <v>148</v>
      </c>
      <c r="AS222" s="159"/>
      <c r="AT222" s="153"/>
      <c r="AU222" s="154"/>
      <c r="AV222" s="154"/>
      <c r="AW222" s="154"/>
      <c r="AX222" s="155"/>
      <c r="AY222" s="156"/>
      <c r="AZ222" s="157"/>
      <c r="BA222" s="81"/>
      <c r="BB222" s="81"/>
      <c r="BC222" s="81"/>
    </row>
    <row r="223" spans="1:55" ht="28" customHeight="1" x14ac:dyDescent="0.25">
      <c r="A223" s="173">
        <v>218</v>
      </c>
      <c r="B223" s="147">
        <v>45079</v>
      </c>
      <c r="C223" s="77" t="s">
        <v>134</v>
      </c>
      <c r="D223" s="77" t="s">
        <v>135</v>
      </c>
      <c r="E223" s="77" t="s">
        <v>136</v>
      </c>
      <c r="F223" s="168" t="s">
        <v>672</v>
      </c>
      <c r="G223" s="168" t="s">
        <v>796</v>
      </c>
      <c r="H223" s="168" t="s">
        <v>110</v>
      </c>
      <c r="I223" s="168" t="s">
        <v>830</v>
      </c>
      <c r="J223" s="175" t="s">
        <v>797</v>
      </c>
      <c r="K223" s="174"/>
      <c r="L223" s="174" t="s">
        <v>153</v>
      </c>
      <c r="M223" s="174" t="s">
        <v>154</v>
      </c>
      <c r="N223" s="174"/>
      <c r="O223" s="174" t="s">
        <v>155</v>
      </c>
      <c r="P223" s="171"/>
      <c r="Q223" s="303"/>
      <c r="R223" s="182">
        <f>0</f>
        <v>0</v>
      </c>
      <c r="S223" s="87"/>
      <c r="T223" s="87"/>
      <c r="U223" s="87"/>
      <c r="V223" s="87"/>
      <c r="W223" s="161">
        <v>1</v>
      </c>
      <c r="X223" s="87"/>
      <c r="Y223" s="87"/>
      <c r="Z223" s="87"/>
      <c r="AA223" s="184"/>
      <c r="AB223" s="186"/>
      <c r="AC223" s="87"/>
      <c r="AD223" s="87"/>
      <c r="AE223" s="87"/>
      <c r="AF223" s="87"/>
      <c r="AG223" s="87"/>
      <c r="AH223" s="87"/>
      <c r="AI223" s="87"/>
      <c r="AJ223" s="87"/>
      <c r="AK223" s="184"/>
      <c r="AL223" s="206">
        <f t="shared" si="6"/>
        <v>1</v>
      </c>
      <c r="AM223" s="91">
        <f>0</f>
        <v>0</v>
      </c>
      <c r="AN223" s="207">
        <f t="shared" si="7"/>
        <v>1</v>
      </c>
      <c r="AO223" s="194">
        <v>45082</v>
      </c>
      <c r="AP223" s="172" t="s">
        <v>273</v>
      </c>
      <c r="AQ223" s="171" t="s">
        <v>873</v>
      </c>
      <c r="AR223" s="171" t="s">
        <v>148</v>
      </c>
      <c r="AS223" s="159"/>
      <c r="AT223" s="153"/>
      <c r="AU223" s="154"/>
      <c r="AV223" s="154"/>
      <c r="AW223" s="154"/>
      <c r="AX223" s="155"/>
      <c r="AY223" s="156"/>
      <c r="AZ223" s="157"/>
      <c r="BA223" s="81"/>
      <c r="BB223" s="81"/>
      <c r="BC223" s="81"/>
    </row>
    <row r="224" spans="1:55" ht="28" customHeight="1" x14ac:dyDescent="0.25">
      <c r="A224" s="173">
        <v>219</v>
      </c>
      <c r="B224" s="147">
        <v>45079</v>
      </c>
      <c r="C224" s="77" t="s">
        <v>134</v>
      </c>
      <c r="D224" s="77" t="s">
        <v>135</v>
      </c>
      <c r="E224" s="77" t="s">
        <v>136</v>
      </c>
      <c r="F224" s="168" t="s">
        <v>672</v>
      </c>
      <c r="G224" s="168" t="s">
        <v>798</v>
      </c>
      <c r="H224" s="168" t="s">
        <v>110</v>
      </c>
      <c r="I224" s="168" t="s">
        <v>799</v>
      </c>
      <c r="J224" s="175" t="s">
        <v>800</v>
      </c>
      <c r="K224" s="174"/>
      <c r="L224" s="174" t="s">
        <v>153</v>
      </c>
      <c r="M224" s="174" t="s">
        <v>154</v>
      </c>
      <c r="N224" s="174"/>
      <c r="O224" s="174" t="s">
        <v>155</v>
      </c>
      <c r="P224" s="171"/>
      <c r="Q224" s="303"/>
      <c r="R224" s="182">
        <f>0</f>
        <v>0</v>
      </c>
      <c r="S224" s="87"/>
      <c r="T224" s="87"/>
      <c r="U224" s="87"/>
      <c r="V224" s="87"/>
      <c r="W224" s="161">
        <v>1</v>
      </c>
      <c r="X224" s="87"/>
      <c r="Y224" s="87"/>
      <c r="Z224" s="87"/>
      <c r="AA224" s="184"/>
      <c r="AB224" s="186"/>
      <c r="AC224" s="87"/>
      <c r="AD224" s="87"/>
      <c r="AE224" s="87"/>
      <c r="AF224" s="87"/>
      <c r="AG224" s="87"/>
      <c r="AH224" s="87"/>
      <c r="AI224" s="87"/>
      <c r="AJ224" s="87"/>
      <c r="AK224" s="184"/>
      <c r="AL224" s="206">
        <f t="shared" si="6"/>
        <v>1</v>
      </c>
      <c r="AM224" s="91">
        <f>0</f>
        <v>0</v>
      </c>
      <c r="AN224" s="207">
        <f t="shared" si="7"/>
        <v>1</v>
      </c>
      <c r="AO224" s="194">
        <v>45082</v>
      </c>
      <c r="AP224" s="172" t="s">
        <v>273</v>
      </c>
      <c r="AQ224" s="171" t="s">
        <v>873</v>
      </c>
      <c r="AR224" s="171" t="s">
        <v>148</v>
      </c>
      <c r="AS224" s="159"/>
      <c r="AT224" s="153"/>
      <c r="AU224" s="154"/>
      <c r="AV224" s="154"/>
      <c r="AW224" s="154"/>
      <c r="AX224" s="155"/>
      <c r="AY224" s="156"/>
      <c r="AZ224" s="157"/>
      <c r="BA224" s="81"/>
      <c r="BB224" s="81"/>
      <c r="BC224" s="81"/>
    </row>
    <row r="225" spans="1:55" ht="28" customHeight="1" x14ac:dyDescent="0.25">
      <c r="A225" s="173">
        <v>220</v>
      </c>
      <c r="B225" s="147">
        <v>45079</v>
      </c>
      <c r="C225" s="77" t="s">
        <v>134</v>
      </c>
      <c r="D225" s="77" t="s">
        <v>135</v>
      </c>
      <c r="E225" s="77" t="s">
        <v>136</v>
      </c>
      <c r="F225" s="168" t="s">
        <v>672</v>
      </c>
      <c r="G225" s="168" t="s">
        <v>801</v>
      </c>
      <c r="H225" s="168" t="s">
        <v>110</v>
      </c>
      <c r="I225" s="168" t="s">
        <v>802</v>
      </c>
      <c r="J225" s="175" t="s">
        <v>803</v>
      </c>
      <c r="K225" s="174"/>
      <c r="L225" s="174" t="s">
        <v>153</v>
      </c>
      <c r="M225" s="174" t="s">
        <v>154</v>
      </c>
      <c r="N225" s="174"/>
      <c r="O225" s="174" t="s">
        <v>155</v>
      </c>
      <c r="P225" s="171"/>
      <c r="Q225" s="303"/>
      <c r="R225" s="182">
        <f>0</f>
        <v>0</v>
      </c>
      <c r="S225" s="87"/>
      <c r="T225" s="87"/>
      <c r="U225" s="87"/>
      <c r="V225" s="87"/>
      <c r="W225" s="161">
        <v>1</v>
      </c>
      <c r="X225" s="87"/>
      <c r="Y225" s="87"/>
      <c r="Z225" s="87"/>
      <c r="AA225" s="184"/>
      <c r="AB225" s="186"/>
      <c r="AC225" s="87"/>
      <c r="AD225" s="87"/>
      <c r="AE225" s="87"/>
      <c r="AF225" s="87"/>
      <c r="AG225" s="87"/>
      <c r="AH225" s="87"/>
      <c r="AI225" s="87"/>
      <c r="AJ225" s="87"/>
      <c r="AK225" s="184"/>
      <c r="AL225" s="206">
        <f t="shared" si="6"/>
        <v>1</v>
      </c>
      <c r="AM225" s="91">
        <f>0</f>
        <v>0</v>
      </c>
      <c r="AN225" s="207">
        <f t="shared" si="7"/>
        <v>1</v>
      </c>
      <c r="AO225" s="194">
        <v>45082</v>
      </c>
      <c r="AP225" s="172" t="s">
        <v>273</v>
      </c>
      <c r="AQ225" s="171" t="s">
        <v>873</v>
      </c>
      <c r="AR225" s="171" t="s">
        <v>148</v>
      </c>
      <c r="AS225" s="159"/>
      <c r="AT225" s="153"/>
      <c r="AU225" s="154"/>
      <c r="AV225" s="154"/>
      <c r="AW225" s="154"/>
      <c r="AX225" s="155"/>
      <c r="AY225" s="156"/>
      <c r="AZ225" s="157"/>
      <c r="BA225" s="81"/>
      <c r="BB225" s="81"/>
      <c r="BC225" s="81"/>
    </row>
    <row r="226" spans="1:55" ht="28" customHeight="1" x14ac:dyDescent="0.25">
      <c r="A226" s="173">
        <v>221</v>
      </c>
      <c r="B226" s="147">
        <v>45079</v>
      </c>
      <c r="C226" s="77" t="s">
        <v>134</v>
      </c>
      <c r="D226" s="77" t="s">
        <v>135</v>
      </c>
      <c r="E226" s="77" t="s">
        <v>136</v>
      </c>
      <c r="F226" s="168" t="s">
        <v>672</v>
      </c>
      <c r="G226" s="168" t="s">
        <v>804</v>
      </c>
      <c r="H226" s="168" t="s">
        <v>110</v>
      </c>
      <c r="I226" s="168" t="s">
        <v>728</v>
      </c>
      <c r="J226" s="175" t="s">
        <v>805</v>
      </c>
      <c r="K226" s="174"/>
      <c r="L226" s="174" t="s">
        <v>752</v>
      </c>
      <c r="M226" s="174" t="s">
        <v>154</v>
      </c>
      <c r="N226" s="174"/>
      <c r="O226" s="174" t="s">
        <v>80</v>
      </c>
      <c r="P226" s="171"/>
      <c r="Q226" s="303"/>
      <c r="R226" s="182">
        <f>0</f>
        <v>0</v>
      </c>
      <c r="S226" s="87"/>
      <c r="T226" s="87"/>
      <c r="U226" s="87"/>
      <c r="V226" s="87"/>
      <c r="W226" s="161">
        <v>1</v>
      </c>
      <c r="X226" s="87"/>
      <c r="Y226" s="87"/>
      <c r="Z226" s="87"/>
      <c r="AA226" s="184"/>
      <c r="AB226" s="186"/>
      <c r="AC226" s="87"/>
      <c r="AD226" s="87"/>
      <c r="AE226" s="87"/>
      <c r="AF226" s="87"/>
      <c r="AG226" s="87"/>
      <c r="AH226" s="87"/>
      <c r="AI226" s="87"/>
      <c r="AJ226" s="87"/>
      <c r="AK226" s="184"/>
      <c r="AL226" s="206">
        <f t="shared" si="6"/>
        <v>1</v>
      </c>
      <c r="AM226" s="91">
        <f>0</f>
        <v>0</v>
      </c>
      <c r="AN226" s="207">
        <f t="shared" si="7"/>
        <v>1</v>
      </c>
      <c r="AO226" s="194">
        <v>45082</v>
      </c>
      <c r="AP226" s="172" t="s">
        <v>273</v>
      </c>
      <c r="AQ226" s="171" t="s">
        <v>873</v>
      </c>
      <c r="AR226" s="171" t="s">
        <v>148</v>
      </c>
      <c r="AS226" s="159"/>
      <c r="AT226" s="153"/>
      <c r="AU226" s="154"/>
      <c r="AV226" s="154"/>
      <c r="AW226" s="154"/>
      <c r="AX226" s="155"/>
      <c r="AY226" s="156"/>
      <c r="AZ226" s="157"/>
      <c r="BA226" s="81"/>
      <c r="BB226" s="81"/>
      <c r="BC226" s="81"/>
    </row>
    <row r="227" spans="1:55" ht="28" customHeight="1" x14ac:dyDescent="0.25">
      <c r="A227" s="173">
        <v>222</v>
      </c>
      <c r="B227" s="147">
        <v>45079</v>
      </c>
      <c r="C227" s="77" t="s">
        <v>134</v>
      </c>
      <c r="D227" s="77" t="s">
        <v>135</v>
      </c>
      <c r="E227" s="77" t="s">
        <v>136</v>
      </c>
      <c r="F227" s="168" t="s">
        <v>672</v>
      </c>
      <c r="G227" s="168" t="s">
        <v>806</v>
      </c>
      <c r="H227" s="168" t="s">
        <v>110</v>
      </c>
      <c r="I227" s="168" t="s">
        <v>807</v>
      </c>
      <c r="J227" s="175" t="s">
        <v>808</v>
      </c>
      <c r="K227" s="174"/>
      <c r="L227" s="174" t="s">
        <v>389</v>
      </c>
      <c r="M227" s="174" t="s">
        <v>479</v>
      </c>
      <c r="N227" s="174" t="s">
        <v>664</v>
      </c>
      <c r="O227" s="174" t="s">
        <v>80</v>
      </c>
      <c r="P227" s="171"/>
      <c r="Q227" s="303"/>
      <c r="R227" s="182">
        <f>0</f>
        <v>0</v>
      </c>
      <c r="S227" s="87"/>
      <c r="T227" s="87"/>
      <c r="U227" s="87"/>
      <c r="V227" s="87"/>
      <c r="W227" s="161">
        <v>1</v>
      </c>
      <c r="X227" s="87"/>
      <c r="Y227" s="87"/>
      <c r="Z227" s="87"/>
      <c r="AA227" s="184"/>
      <c r="AB227" s="186"/>
      <c r="AC227" s="87"/>
      <c r="AD227" s="87"/>
      <c r="AE227" s="87"/>
      <c r="AF227" s="87"/>
      <c r="AG227" s="87"/>
      <c r="AH227" s="87"/>
      <c r="AI227" s="87"/>
      <c r="AJ227" s="87"/>
      <c r="AK227" s="184"/>
      <c r="AL227" s="206">
        <f t="shared" si="6"/>
        <v>1</v>
      </c>
      <c r="AM227" s="91">
        <f>0</f>
        <v>0</v>
      </c>
      <c r="AN227" s="207">
        <f t="shared" si="7"/>
        <v>1</v>
      </c>
      <c r="AO227" s="194">
        <v>45090</v>
      </c>
      <c r="AP227" s="172" t="s">
        <v>273</v>
      </c>
      <c r="AQ227" s="97" t="s">
        <v>1289</v>
      </c>
      <c r="AR227" s="171" t="s">
        <v>148</v>
      </c>
      <c r="AS227" s="159"/>
      <c r="AT227" s="153"/>
      <c r="AU227" s="154"/>
      <c r="AV227" s="154"/>
      <c r="AW227" s="154"/>
      <c r="AX227" s="155"/>
      <c r="AY227" s="156"/>
      <c r="AZ227" s="157"/>
      <c r="BA227" s="81"/>
      <c r="BB227" s="81"/>
      <c r="BC227" s="81"/>
    </row>
    <row r="228" spans="1:55" ht="27.75" customHeight="1" x14ac:dyDescent="0.25">
      <c r="A228" s="173">
        <v>223</v>
      </c>
      <c r="B228" s="147">
        <v>45079</v>
      </c>
      <c r="C228" s="77" t="s">
        <v>134</v>
      </c>
      <c r="D228" s="77" t="s">
        <v>135</v>
      </c>
      <c r="E228" s="77" t="s">
        <v>136</v>
      </c>
      <c r="F228" s="168" t="s">
        <v>672</v>
      </c>
      <c r="G228" s="168" t="s">
        <v>809</v>
      </c>
      <c r="H228" s="168" t="s">
        <v>110</v>
      </c>
      <c r="I228" s="168" t="s">
        <v>810</v>
      </c>
      <c r="J228" s="175" t="s">
        <v>811</v>
      </c>
      <c r="K228" s="174"/>
      <c r="L228" s="174" t="s">
        <v>389</v>
      </c>
      <c r="M228" s="174" t="s">
        <v>479</v>
      </c>
      <c r="N228" s="174" t="s">
        <v>664</v>
      </c>
      <c r="O228" s="174" t="s">
        <v>80</v>
      </c>
      <c r="P228" s="171"/>
      <c r="Q228" s="303"/>
      <c r="R228" s="182">
        <f>0</f>
        <v>0</v>
      </c>
      <c r="S228" s="87"/>
      <c r="T228" s="87"/>
      <c r="U228" s="87"/>
      <c r="V228" s="87"/>
      <c r="W228" s="161">
        <v>1</v>
      </c>
      <c r="X228" s="87"/>
      <c r="Y228" s="87"/>
      <c r="Z228" s="87"/>
      <c r="AA228" s="184"/>
      <c r="AB228" s="186"/>
      <c r="AC228" s="87"/>
      <c r="AD228" s="87"/>
      <c r="AE228" s="87"/>
      <c r="AF228" s="87"/>
      <c r="AG228" s="87"/>
      <c r="AH228" s="87"/>
      <c r="AI228" s="87"/>
      <c r="AJ228" s="87"/>
      <c r="AK228" s="184"/>
      <c r="AL228" s="206">
        <f t="shared" si="6"/>
        <v>1</v>
      </c>
      <c r="AM228" s="91">
        <f>0</f>
        <v>0</v>
      </c>
      <c r="AN228" s="207">
        <f t="shared" si="7"/>
        <v>1</v>
      </c>
      <c r="AO228" s="194">
        <v>45090</v>
      </c>
      <c r="AP228" s="172" t="s">
        <v>273</v>
      </c>
      <c r="AQ228" s="97" t="s">
        <v>1289</v>
      </c>
      <c r="AR228" s="171" t="s">
        <v>148</v>
      </c>
      <c r="AS228" s="159"/>
      <c r="AT228" s="153"/>
      <c r="AU228" s="154"/>
      <c r="AV228" s="154"/>
      <c r="AW228" s="154"/>
      <c r="AX228" s="155"/>
      <c r="AY228" s="156"/>
      <c r="AZ228" s="157"/>
      <c r="BA228" s="81"/>
      <c r="BB228" s="81"/>
      <c r="BC228" s="81"/>
    </row>
    <row r="229" spans="1:55" ht="28" customHeight="1" x14ac:dyDescent="0.25">
      <c r="A229" s="173">
        <v>224</v>
      </c>
      <c r="B229" s="147">
        <v>45079</v>
      </c>
      <c r="C229" s="77" t="s">
        <v>134</v>
      </c>
      <c r="D229" s="77" t="s">
        <v>135</v>
      </c>
      <c r="E229" s="77" t="s">
        <v>136</v>
      </c>
      <c r="F229" s="168" t="s">
        <v>672</v>
      </c>
      <c r="G229" s="168" t="s">
        <v>812</v>
      </c>
      <c r="H229" s="168" t="s">
        <v>110</v>
      </c>
      <c r="I229" s="168" t="s">
        <v>813</v>
      </c>
      <c r="J229" s="175" t="s">
        <v>814</v>
      </c>
      <c r="K229" s="174"/>
      <c r="L229" s="174" t="s">
        <v>389</v>
      </c>
      <c r="M229" s="174" t="s">
        <v>479</v>
      </c>
      <c r="N229" s="174" t="s">
        <v>664</v>
      </c>
      <c r="O229" s="174" t="s">
        <v>80</v>
      </c>
      <c r="P229" s="171"/>
      <c r="Q229" s="303"/>
      <c r="R229" s="182">
        <f>0</f>
        <v>0</v>
      </c>
      <c r="S229" s="87"/>
      <c r="T229" s="87"/>
      <c r="U229" s="87"/>
      <c r="V229" s="87"/>
      <c r="W229" s="161">
        <v>1</v>
      </c>
      <c r="X229" s="87"/>
      <c r="Y229" s="87"/>
      <c r="Z229" s="87"/>
      <c r="AA229" s="184"/>
      <c r="AB229" s="186"/>
      <c r="AC229" s="87"/>
      <c r="AD229" s="87"/>
      <c r="AE229" s="87"/>
      <c r="AF229" s="87"/>
      <c r="AG229" s="87"/>
      <c r="AH229" s="87"/>
      <c r="AI229" s="87"/>
      <c r="AJ229" s="87"/>
      <c r="AK229" s="184"/>
      <c r="AL229" s="206">
        <f t="shared" si="6"/>
        <v>1</v>
      </c>
      <c r="AM229" s="91">
        <f>0</f>
        <v>0</v>
      </c>
      <c r="AN229" s="207">
        <f t="shared" si="7"/>
        <v>1</v>
      </c>
      <c r="AO229" s="194">
        <v>45090</v>
      </c>
      <c r="AP229" s="172" t="s">
        <v>273</v>
      </c>
      <c r="AQ229" s="97" t="s">
        <v>1289</v>
      </c>
      <c r="AR229" s="171" t="s">
        <v>148</v>
      </c>
      <c r="AS229" s="159"/>
      <c r="AT229" s="153"/>
      <c r="AU229" s="154"/>
      <c r="AV229" s="154"/>
      <c r="AW229" s="154"/>
      <c r="AX229" s="155"/>
      <c r="AY229" s="156"/>
      <c r="AZ229" s="157"/>
      <c r="BA229" s="81"/>
      <c r="BB229" s="81"/>
      <c r="BC229" s="81"/>
    </row>
    <row r="230" spans="1:55" ht="28" customHeight="1" x14ac:dyDescent="0.25">
      <c r="A230" s="173">
        <v>225</v>
      </c>
      <c r="B230" s="147">
        <v>45079</v>
      </c>
      <c r="C230" s="77" t="s">
        <v>134</v>
      </c>
      <c r="D230" s="77" t="s">
        <v>135</v>
      </c>
      <c r="E230" s="77" t="s">
        <v>136</v>
      </c>
      <c r="F230" s="168" t="s">
        <v>672</v>
      </c>
      <c r="G230" s="168" t="s">
        <v>815</v>
      </c>
      <c r="H230" s="168" t="s">
        <v>110</v>
      </c>
      <c r="I230" s="168" t="s">
        <v>816</v>
      </c>
      <c r="J230" s="175" t="s">
        <v>817</v>
      </c>
      <c r="K230" s="174"/>
      <c r="L230" s="174" t="s">
        <v>389</v>
      </c>
      <c r="M230" s="174" t="s">
        <v>479</v>
      </c>
      <c r="N230" s="174" t="s">
        <v>664</v>
      </c>
      <c r="O230" s="174" t="s">
        <v>80</v>
      </c>
      <c r="P230" s="171"/>
      <c r="Q230" s="303"/>
      <c r="R230" s="182">
        <f>0</f>
        <v>0</v>
      </c>
      <c r="S230" s="87"/>
      <c r="T230" s="87"/>
      <c r="U230" s="87"/>
      <c r="V230" s="87"/>
      <c r="W230" s="161">
        <v>1</v>
      </c>
      <c r="X230" s="87"/>
      <c r="Y230" s="87"/>
      <c r="Z230" s="87"/>
      <c r="AA230" s="184"/>
      <c r="AB230" s="186"/>
      <c r="AC230" s="87"/>
      <c r="AD230" s="87"/>
      <c r="AE230" s="87"/>
      <c r="AF230" s="87"/>
      <c r="AG230" s="87"/>
      <c r="AH230" s="87"/>
      <c r="AI230" s="87"/>
      <c r="AJ230" s="87"/>
      <c r="AK230" s="184"/>
      <c r="AL230" s="206">
        <f t="shared" si="6"/>
        <v>1</v>
      </c>
      <c r="AM230" s="91">
        <f>0</f>
        <v>0</v>
      </c>
      <c r="AN230" s="207">
        <f t="shared" si="7"/>
        <v>1</v>
      </c>
      <c r="AO230" s="194">
        <v>45090</v>
      </c>
      <c r="AP230" s="172" t="s">
        <v>273</v>
      </c>
      <c r="AQ230" s="97" t="s">
        <v>1289</v>
      </c>
      <c r="AR230" s="171" t="s">
        <v>148</v>
      </c>
      <c r="AS230" s="159"/>
      <c r="AT230" s="153"/>
      <c r="AU230" s="154"/>
      <c r="AV230" s="154"/>
      <c r="AW230" s="154"/>
      <c r="AX230" s="155"/>
      <c r="AY230" s="156"/>
      <c r="AZ230" s="157"/>
      <c r="BA230" s="81"/>
      <c r="BB230" s="81"/>
      <c r="BC230" s="81"/>
    </row>
    <row r="231" spans="1:55" ht="28" customHeight="1" x14ac:dyDescent="0.25">
      <c r="A231" s="173">
        <v>226</v>
      </c>
      <c r="B231" s="147">
        <v>45079</v>
      </c>
      <c r="C231" s="77" t="s">
        <v>134</v>
      </c>
      <c r="D231" s="77" t="s">
        <v>135</v>
      </c>
      <c r="E231" s="77" t="s">
        <v>136</v>
      </c>
      <c r="F231" s="168" t="s">
        <v>672</v>
      </c>
      <c r="G231" s="168" t="s">
        <v>818</v>
      </c>
      <c r="H231" s="168" t="s">
        <v>110</v>
      </c>
      <c r="I231" s="168" t="s">
        <v>819</v>
      </c>
      <c r="J231" s="175" t="s">
        <v>820</v>
      </c>
      <c r="K231" s="174"/>
      <c r="L231" s="174" t="s">
        <v>389</v>
      </c>
      <c r="M231" s="174" t="s">
        <v>479</v>
      </c>
      <c r="N231" s="174" t="s">
        <v>664</v>
      </c>
      <c r="O231" s="174" t="s">
        <v>80</v>
      </c>
      <c r="P231" s="171"/>
      <c r="Q231" s="303"/>
      <c r="R231" s="182">
        <f>0</f>
        <v>0</v>
      </c>
      <c r="S231" s="87"/>
      <c r="T231" s="87"/>
      <c r="U231" s="87"/>
      <c r="V231" s="87"/>
      <c r="W231" s="161">
        <v>1</v>
      </c>
      <c r="X231" s="87"/>
      <c r="Y231" s="87"/>
      <c r="Z231" s="87"/>
      <c r="AA231" s="184"/>
      <c r="AB231" s="186"/>
      <c r="AC231" s="87"/>
      <c r="AD231" s="87"/>
      <c r="AE231" s="87"/>
      <c r="AF231" s="87"/>
      <c r="AG231" s="87"/>
      <c r="AH231" s="87"/>
      <c r="AI231" s="87"/>
      <c r="AJ231" s="87"/>
      <c r="AK231" s="184"/>
      <c r="AL231" s="206">
        <f t="shared" si="6"/>
        <v>1</v>
      </c>
      <c r="AM231" s="91">
        <f>0</f>
        <v>0</v>
      </c>
      <c r="AN231" s="207">
        <f t="shared" si="7"/>
        <v>1</v>
      </c>
      <c r="AO231" s="194">
        <v>45090</v>
      </c>
      <c r="AP231" s="172" t="s">
        <v>273</v>
      </c>
      <c r="AQ231" s="97" t="s">
        <v>1289</v>
      </c>
      <c r="AR231" s="171" t="s">
        <v>671</v>
      </c>
      <c r="AS231" s="159"/>
      <c r="AT231" s="153"/>
      <c r="AU231" s="154"/>
      <c r="AV231" s="154"/>
      <c r="AW231" s="154"/>
      <c r="AX231" s="155"/>
      <c r="AY231" s="156"/>
      <c r="AZ231" s="157"/>
      <c r="BA231" s="81"/>
      <c r="BB231" s="81"/>
      <c r="BC231" s="81"/>
    </row>
    <row r="232" spans="1:55" ht="28" customHeight="1" x14ac:dyDescent="0.25">
      <c r="A232" s="173">
        <v>227</v>
      </c>
      <c r="B232" s="147">
        <v>45079</v>
      </c>
      <c r="C232" s="77" t="s">
        <v>134</v>
      </c>
      <c r="D232" s="77" t="s">
        <v>135</v>
      </c>
      <c r="E232" s="77" t="s">
        <v>136</v>
      </c>
      <c r="F232" s="168" t="s">
        <v>672</v>
      </c>
      <c r="G232" s="168" t="s">
        <v>821</v>
      </c>
      <c r="H232" s="168" t="s">
        <v>110</v>
      </c>
      <c r="I232" s="168" t="s">
        <v>822</v>
      </c>
      <c r="J232" s="175" t="s">
        <v>823</v>
      </c>
      <c r="K232" s="174"/>
      <c r="L232" s="174" t="s">
        <v>389</v>
      </c>
      <c r="M232" s="174" t="s">
        <v>479</v>
      </c>
      <c r="N232" s="174" t="s">
        <v>664</v>
      </c>
      <c r="O232" s="174" t="s">
        <v>80</v>
      </c>
      <c r="P232" s="171"/>
      <c r="Q232" s="303"/>
      <c r="R232" s="182">
        <f>0</f>
        <v>0</v>
      </c>
      <c r="S232" s="87"/>
      <c r="T232" s="87"/>
      <c r="U232" s="87"/>
      <c r="V232" s="87"/>
      <c r="W232" s="161">
        <v>1</v>
      </c>
      <c r="X232" s="87"/>
      <c r="Y232" s="87"/>
      <c r="Z232" s="87"/>
      <c r="AA232" s="184"/>
      <c r="AB232" s="186"/>
      <c r="AC232" s="87"/>
      <c r="AD232" s="87"/>
      <c r="AE232" s="87"/>
      <c r="AF232" s="87"/>
      <c r="AG232" s="87"/>
      <c r="AH232" s="87"/>
      <c r="AI232" s="87"/>
      <c r="AJ232" s="87"/>
      <c r="AK232" s="184"/>
      <c r="AL232" s="206">
        <f t="shared" si="6"/>
        <v>1</v>
      </c>
      <c r="AM232" s="91">
        <f>0</f>
        <v>0</v>
      </c>
      <c r="AN232" s="207">
        <f t="shared" si="7"/>
        <v>1</v>
      </c>
      <c r="AO232" s="194">
        <v>45090</v>
      </c>
      <c r="AP232" s="172" t="s">
        <v>273</v>
      </c>
      <c r="AQ232" s="97" t="s">
        <v>1289</v>
      </c>
      <c r="AR232" s="171" t="s">
        <v>671</v>
      </c>
      <c r="AS232" s="159"/>
      <c r="AT232" s="153"/>
      <c r="AU232" s="154"/>
      <c r="AV232" s="154"/>
      <c r="AW232" s="154"/>
      <c r="AX232" s="155"/>
      <c r="AY232" s="156"/>
      <c r="AZ232" s="157"/>
      <c r="BA232" s="81"/>
      <c r="BB232" s="81"/>
      <c r="BC232" s="81"/>
    </row>
    <row r="233" spans="1:55" ht="28" customHeight="1" x14ac:dyDescent="0.25">
      <c r="A233" s="173">
        <v>228</v>
      </c>
      <c r="B233" s="147">
        <v>45079</v>
      </c>
      <c r="C233" s="77" t="s">
        <v>134</v>
      </c>
      <c r="D233" s="77" t="s">
        <v>135</v>
      </c>
      <c r="E233" s="77" t="s">
        <v>136</v>
      </c>
      <c r="F233" s="168" t="s">
        <v>672</v>
      </c>
      <c r="G233" s="168" t="s">
        <v>824</v>
      </c>
      <c r="H233" s="168" t="s">
        <v>110</v>
      </c>
      <c r="I233" s="168" t="s">
        <v>825</v>
      </c>
      <c r="J233" s="175" t="s">
        <v>826</v>
      </c>
      <c r="K233" s="174"/>
      <c r="L233" s="174" t="s">
        <v>389</v>
      </c>
      <c r="M233" s="174" t="s">
        <v>479</v>
      </c>
      <c r="N233" s="174" t="s">
        <v>664</v>
      </c>
      <c r="O233" s="174" t="s">
        <v>80</v>
      </c>
      <c r="P233" s="171"/>
      <c r="Q233" s="303"/>
      <c r="R233" s="182">
        <f>0</f>
        <v>0</v>
      </c>
      <c r="S233" s="87"/>
      <c r="T233" s="87"/>
      <c r="U233" s="87"/>
      <c r="V233" s="87"/>
      <c r="W233" s="161">
        <v>1</v>
      </c>
      <c r="X233" s="87"/>
      <c r="Y233" s="87"/>
      <c r="Z233" s="87"/>
      <c r="AA233" s="184"/>
      <c r="AB233" s="186"/>
      <c r="AC233" s="87"/>
      <c r="AD233" s="87"/>
      <c r="AE233" s="87"/>
      <c r="AF233" s="87"/>
      <c r="AG233" s="87"/>
      <c r="AH233" s="87"/>
      <c r="AI233" s="87"/>
      <c r="AJ233" s="87"/>
      <c r="AK233" s="184"/>
      <c r="AL233" s="206">
        <f t="shared" si="6"/>
        <v>1</v>
      </c>
      <c r="AM233" s="91">
        <f>0</f>
        <v>0</v>
      </c>
      <c r="AN233" s="207">
        <f t="shared" si="7"/>
        <v>1</v>
      </c>
      <c r="AO233" s="194">
        <v>45090</v>
      </c>
      <c r="AP233" s="172" t="s">
        <v>273</v>
      </c>
      <c r="AQ233" s="97" t="s">
        <v>1289</v>
      </c>
      <c r="AR233" s="171" t="s">
        <v>671</v>
      </c>
      <c r="AS233" s="159"/>
      <c r="AT233" s="153"/>
      <c r="AU233" s="154"/>
      <c r="AV233" s="154"/>
      <c r="AW233" s="154"/>
      <c r="AX233" s="155"/>
      <c r="AY233" s="156"/>
      <c r="AZ233" s="157"/>
      <c r="BA233" s="81"/>
      <c r="BB233" s="81"/>
      <c r="BC233" s="81"/>
    </row>
    <row r="234" spans="1:55" ht="28" customHeight="1" x14ac:dyDescent="0.25">
      <c r="A234" s="173">
        <v>229</v>
      </c>
      <c r="B234" s="147">
        <v>45079</v>
      </c>
      <c r="C234" s="77" t="s">
        <v>134</v>
      </c>
      <c r="D234" s="77" t="s">
        <v>135</v>
      </c>
      <c r="E234" s="77" t="s">
        <v>136</v>
      </c>
      <c r="F234" s="168" t="s">
        <v>672</v>
      </c>
      <c r="G234" s="168" t="s">
        <v>827</v>
      </c>
      <c r="H234" s="168" t="s">
        <v>110</v>
      </c>
      <c r="I234" s="168" t="s">
        <v>828</v>
      </c>
      <c r="J234" s="175" t="s">
        <v>829</v>
      </c>
      <c r="K234" s="174"/>
      <c r="L234" s="174" t="s">
        <v>389</v>
      </c>
      <c r="M234" s="174" t="s">
        <v>479</v>
      </c>
      <c r="N234" s="174" t="s">
        <v>664</v>
      </c>
      <c r="O234" s="174" t="s">
        <v>80</v>
      </c>
      <c r="P234" s="171"/>
      <c r="Q234" s="303"/>
      <c r="R234" s="182">
        <f>0</f>
        <v>0</v>
      </c>
      <c r="S234" s="87"/>
      <c r="T234" s="87"/>
      <c r="U234" s="87"/>
      <c r="V234" s="87"/>
      <c r="W234" s="161">
        <v>1</v>
      </c>
      <c r="X234" s="87"/>
      <c r="Y234" s="87"/>
      <c r="Z234" s="87"/>
      <c r="AA234" s="184"/>
      <c r="AB234" s="186"/>
      <c r="AC234" s="87"/>
      <c r="AD234" s="87"/>
      <c r="AE234" s="87"/>
      <c r="AF234" s="87"/>
      <c r="AG234" s="87"/>
      <c r="AH234" s="87"/>
      <c r="AI234" s="87"/>
      <c r="AJ234" s="87"/>
      <c r="AK234" s="184"/>
      <c r="AL234" s="206">
        <f t="shared" si="6"/>
        <v>1</v>
      </c>
      <c r="AM234" s="91">
        <f>0</f>
        <v>0</v>
      </c>
      <c r="AN234" s="207">
        <f t="shared" si="7"/>
        <v>1</v>
      </c>
      <c r="AO234" s="194">
        <v>45090</v>
      </c>
      <c r="AP234" s="172" t="s">
        <v>273</v>
      </c>
      <c r="AQ234" s="97" t="s">
        <v>1289</v>
      </c>
      <c r="AR234" s="171" t="s">
        <v>671</v>
      </c>
      <c r="AS234" s="159"/>
      <c r="AT234" s="153"/>
      <c r="AU234" s="154"/>
      <c r="AV234" s="154"/>
      <c r="AW234" s="154"/>
      <c r="AX234" s="155"/>
      <c r="AY234" s="156"/>
      <c r="AZ234" s="157"/>
      <c r="BA234" s="81"/>
      <c r="BB234" s="81"/>
      <c r="BC234" s="81"/>
    </row>
    <row r="235" spans="1:55" ht="28" customHeight="1" x14ac:dyDescent="0.25">
      <c r="A235" s="173">
        <v>230</v>
      </c>
      <c r="B235" s="147">
        <v>45079</v>
      </c>
      <c r="C235" s="77" t="s">
        <v>134</v>
      </c>
      <c r="D235" s="77" t="s">
        <v>135</v>
      </c>
      <c r="E235" s="77" t="s">
        <v>136</v>
      </c>
      <c r="F235" s="168" t="s">
        <v>672</v>
      </c>
      <c r="G235" s="168" t="s">
        <v>832</v>
      </c>
      <c r="H235" s="168" t="s">
        <v>110</v>
      </c>
      <c r="I235" s="168" t="s">
        <v>831</v>
      </c>
      <c r="J235" s="175" t="s">
        <v>833</v>
      </c>
      <c r="K235" s="174"/>
      <c r="L235" s="174" t="s">
        <v>209</v>
      </c>
      <c r="M235" s="174" t="s">
        <v>114</v>
      </c>
      <c r="N235" s="174"/>
      <c r="O235" s="174" t="s">
        <v>80</v>
      </c>
      <c r="P235" s="171"/>
      <c r="Q235" s="303"/>
      <c r="R235" s="182">
        <f>0</f>
        <v>0</v>
      </c>
      <c r="S235" s="87"/>
      <c r="T235" s="87"/>
      <c r="U235" s="87"/>
      <c r="V235" s="87"/>
      <c r="W235" s="161">
        <v>1</v>
      </c>
      <c r="X235" s="87"/>
      <c r="Y235" s="87"/>
      <c r="Z235" s="87"/>
      <c r="AA235" s="184"/>
      <c r="AB235" s="186"/>
      <c r="AC235" s="87"/>
      <c r="AD235" s="87"/>
      <c r="AE235" s="87"/>
      <c r="AF235" s="87"/>
      <c r="AG235" s="87"/>
      <c r="AH235" s="87"/>
      <c r="AI235" s="87"/>
      <c r="AJ235" s="87"/>
      <c r="AK235" s="184"/>
      <c r="AL235" s="206">
        <f t="shared" si="6"/>
        <v>1</v>
      </c>
      <c r="AM235" s="91">
        <f>0</f>
        <v>0</v>
      </c>
      <c r="AN235" s="207">
        <f t="shared" si="7"/>
        <v>1</v>
      </c>
      <c r="AO235" s="194">
        <v>45082</v>
      </c>
      <c r="AP235" s="172" t="s">
        <v>273</v>
      </c>
      <c r="AQ235" s="171" t="s">
        <v>902</v>
      </c>
      <c r="AR235" s="171" t="s">
        <v>276</v>
      </c>
      <c r="AS235" s="159"/>
      <c r="AT235" s="153"/>
      <c r="AU235" s="154">
        <v>1</v>
      </c>
      <c r="AV235" s="154"/>
      <c r="AW235" s="99" t="s">
        <v>457</v>
      </c>
      <c r="AX235" s="155"/>
      <c r="AY235" s="156"/>
      <c r="AZ235" s="157"/>
      <c r="BA235" s="81"/>
      <c r="BB235" s="81"/>
      <c r="BC235" s="81"/>
    </row>
    <row r="236" spans="1:55" ht="28" customHeight="1" x14ac:dyDescent="0.25">
      <c r="A236" s="173">
        <v>231</v>
      </c>
      <c r="B236" s="147">
        <v>45079</v>
      </c>
      <c r="C236" s="77" t="s">
        <v>134</v>
      </c>
      <c r="D236" s="77" t="s">
        <v>135</v>
      </c>
      <c r="E236" s="77" t="s">
        <v>136</v>
      </c>
      <c r="F236" s="168" t="s">
        <v>672</v>
      </c>
      <c r="G236" s="168" t="s">
        <v>836</v>
      </c>
      <c r="H236" s="168" t="s">
        <v>110</v>
      </c>
      <c r="I236" s="168" t="s">
        <v>834</v>
      </c>
      <c r="J236" s="175" t="s">
        <v>835</v>
      </c>
      <c r="K236" s="174"/>
      <c r="L236" s="174" t="s">
        <v>320</v>
      </c>
      <c r="M236" s="174" t="s">
        <v>479</v>
      </c>
      <c r="N236" s="174"/>
      <c r="O236" s="174" t="s">
        <v>155</v>
      </c>
      <c r="P236" s="171"/>
      <c r="Q236" s="303"/>
      <c r="R236" s="182">
        <f>0</f>
        <v>0</v>
      </c>
      <c r="S236" s="87"/>
      <c r="T236" s="87"/>
      <c r="U236" s="87"/>
      <c r="V236" s="87"/>
      <c r="W236" s="161">
        <v>1</v>
      </c>
      <c r="X236" s="87"/>
      <c r="Y236" s="87"/>
      <c r="Z236" s="87"/>
      <c r="AA236" s="184"/>
      <c r="AB236" s="186"/>
      <c r="AC236" s="87"/>
      <c r="AD236" s="87"/>
      <c r="AE236" s="87"/>
      <c r="AF236" s="87"/>
      <c r="AG236" s="87"/>
      <c r="AH236" s="87"/>
      <c r="AI236" s="87"/>
      <c r="AJ236" s="87"/>
      <c r="AK236" s="184"/>
      <c r="AL236" s="206">
        <f t="shared" si="6"/>
        <v>1</v>
      </c>
      <c r="AM236" s="91">
        <f>0</f>
        <v>0</v>
      </c>
      <c r="AN236" s="207">
        <f t="shared" si="7"/>
        <v>1</v>
      </c>
      <c r="AO236" s="194">
        <v>45082</v>
      </c>
      <c r="AP236" s="172" t="s">
        <v>273</v>
      </c>
      <c r="AQ236" s="171" t="s">
        <v>873</v>
      </c>
      <c r="AR236" s="171" t="s">
        <v>148</v>
      </c>
      <c r="AS236" s="159"/>
      <c r="AT236" s="153"/>
      <c r="AU236" s="154"/>
      <c r="AV236" s="154"/>
      <c r="AW236" s="154"/>
      <c r="AX236" s="155"/>
      <c r="AY236" s="156"/>
      <c r="AZ236" s="157"/>
      <c r="BA236" s="81"/>
      <c r="BB236" s="81"/>
      <c r="BC236" s="81"/>
    </row>
    <row r="237" spans="1:55" ht="28" customHeight="1" x14ac:dyDescent="0.25">
      <c r="A237" s="173">
        <v>232</v>
      </c>
      <c r="B237" s="147">
        <v>45079</v>
      </c>
      <c r="C237" s="77" t="s">
        <v>134</v>
      </c>
      <c r="D237" s="77" t="s">
        <v>135</v>
      </c>
      <c r="E237" s="77" t="s">
        <v>136</v>
      </c>
      <c r="F237" s="168" t="s">
        <v>672</v>
      </c>
      <c r="G237" s="168" t="s">
        <v>838</v>
      </c>
      <c r="H237" s="168" t="s">
        <v>110</v>
      </c>
      <c r="I237" s="168" t="s">
        <v>839</v>
      </c>
      <c r="J237" s="175" t="s">
        <v>837</v>
      </c>
      <c r="K237" s="174"/>
      <c r="L237" s="174" t="s">
        <v>320</v>
      </c>
      <c r="M237" s="174" t="s">
        <v>479</v>
      </c>
      <c r="N237" s="174"/>
      <c r="O237" s="174" t="s">
        <v>155</v>
      </c>
      <c r="P237" s="171"/>
      <c r="Q237" s="303"/>
      <c r="R237" s="182">
        <f>0</f>
        <v>0</v>
      </c>
      <c r="S237" s="87"/>
      <c r="T237" s="87"/>
      <c r="U237" s="87"/>
      <c r="V237" s="87"/>
      <c r="W237" s="161">
        <v>1</v>
      </c>
      <c r="X237" s="87"/>
      <c r="Y237" s="87"/>
      <c r="Z237" s="87"/>
      <c r="AA237" s="184"/>
      <c r="AB237" s="186"/>
      <c r="AC237" s="87"/>
      <c r="AD237" s="87"/>
      <c r="AE237" s="87"/>
      <c r="AF237" s="87"/>
      <c r="AG237" s="87"/>
      <c r="AH237" s="87"/>
      <c r="AI237" s="87"/>
      <c r="AJ237" s="87"/>
      <c r="AK237" s="184"/>
      <c r="AL237" s="206">
        <f t="shared" si="6"/>
        <v>1</v>
      </c>
      <c r="AM237" s="91">
        <f>0</f>
        <v>0</v>
      </c>
      <c r="AN237" s="207">
        <f t="shared" si="7"/>
        <v>1</v>
      </c>
      <c r="AO237" s="194">
        <v>45082</v>
      </c>
      <c r="AP237" s="172" t="s">
        <v>273</v>
      </c>
      <c r="AQ237" s="171" t="s">
        <v>873</v>
      </c>
      <c r="AR237" s="171" t="s">
        <v>148</v>
      </c>
      <c r="AS237" s="159"/>
      <c r="AT237" s="153"/>
      <c r="AU237" s="154"/>
      <c r="AV237" s="154"/>
      <c r="AW237" s="154"/>
      <c r="AX237" s="155"/>
      <c r="AY237" s="156"/>
      <c r="AZ237" s="157"/>
      <c r="BA237" s="81"/>
      <c r="BB237" s="81"/>
      <c r="BC237" s="81"/>
    </row>
    <row r="238" spans="1:55" ht="28" customHeight="1" x14ac:dyDescent="0.25">
      <c r="A238" s="173">
        <v>233</v>
      </c>
      <c r="B238" s="147">
        <v>45079</v>
      </c>
      <c r="C238" s="77" t="s">
        <v>134</v>
      </c>
      <c r="D238" s="77" t="s">
        <v>135</v>
      </c>
      <c r="E238" s="77" t="s">
        <v>136</v>
      </c>
      <c r="F238" s="168" t="s">
        <v>672</v>
      </c>
      <c r="G238" s="168" t="s">
        <v>841</v>
      </c>
      <c r="H238" s="168" t="s">
        <v>110</v>
      </c>
      <c r="I238" s="168" t="s">
        <v>842</v>
      </c>
      <c r="J238" s="175" t="s">
        <v>840</v>
      </c>
      <c r="K238" s="174"/>
      <c r="L238" s="174" t="s">
        <v>153</v>
      </c>
      <c r="M238" s="174" t="s">
        <v>154</v>
      </c>
      <c r="N238" s="174"/>
      <c r="O238" s="174" t="s">
        <v>155</v>
      </c>
      <c r="P238" s="171"/>
      <c r="Q238" s="303"/>
      <c r="R238" s="182">
        <f>0</f>
        <v>0</v>
      </c>
      <c r="S238" s="87"/>
      <c r="T238" s="87"/>
      <c r="U238" s="87"/>
      <c r="V238" s="87"/>
      <c r="W238" s="161">
        <v>2</v>
      </c>
      <c r="X238" s="87"/>
      <c r="Y238" s="87"/>
      <c r="Z238" s="87"/>
      <c r="AA238" s="184"/>
      <c r="AB238" s="186"/>
      <c r="AC238" s="87"/>
      <c r="AD238" s="87"/>
      <c r="AE238" s="87"/>
      <c r="AF238" s="87"/>
      <c r="AG238" s="87"/>
      <c r="AH238" s="87"/>
      <c r="AI238" s="87"/>
      <c r="AJ238" s="87"/>
      <c r="AK238" s="184"/>
      <c r="AL238" s="206">
        <f t="shared" si="6"/>
        <v>2</v>
      </c>
      <c r="AM238" s="91">
        <f>0</f>
        <v>0</v>
      </c>
      <c r="AN238" s="207">
        <f t="shared" si="7"/>
        <v>2</v>
      </c>
      <c r="AO238" s="194">
        <v>45082</v>
      </c>
      <c r="AP238" s="172" t="s">
        <v>273</v>
      </c>
      <c r="AQ238" s="171" t="s">
        <v>873</v>
      </c>
      <c r="AR238" s="171" t="s">
        <v>148</v>
      </c>
      <c r="AS238" s="159"/>
      <c r="AT238" s="153"/>
      <c r="AU238" s="154"/>
      <c r="AV238" s="154"/>
      <c r="AW238" s="154"/>
      <c r="AX238" s="155"/>
      <c r="AY238" s="156"/>
      <c r="AZ238" s="157"/>
      <c r="BA238" s="81"/>
      <c r="BB238" s="81"/>
      <c r="BC238" s="81"/>
    </row>
    <row r="239" spans="1:55" ht="28" customHeight="1" x14ac:dyDescent="0.25">
      <c r="A239" s="173">
        <v>234</v>
      </c>
      <c r="B239" s="147">
        <v>45079</v>
      </c>
      <c r="C239" s="77" t="s">
        <v>134</v>
      </c>
      <c r="D239" s="77" t="s">
        <v>135</v>
      </c>
      <c r="E239" s="77" t="s">
        <v>136</v>
      </c>
      <c r="F239" s="168" t="s">
        <v>672</v>
      </c>
      <c r="G239" s="168" t="s">
        <v>843</v>
      </c>
      <c r="H239" s="168" t="s">
        <v>110</v>
      </c>
      <c r="I239" s="168" t="s">
        <v>844</v>
      </c>
      <c r="J239" s="175" t="s">
        <v>845</v>
      </c>
      <c r="K239" s="174"/>
      <c r="L239" s="174" t="s">
        <v>846</v>
      </c>
      <c r="M239" s="174" t="s">
        <v>154</v>
      </c>
      <c r="N239" s="174"/>
      <c r="O239" s="174" t="s">
        <v>149</v>
      </c>
      <c r="P239" s="171"/>
      <c r="Q239" s="303"/>
      <c r="R239" s="182">
        <f>0</f>
        <v>0</v>
      </c>
      <c r="S239" s="87"/>
      <c r="T239" s="87"/>
      <c r="U239" s="87"/>
      <c r="V239" s="87"/>
      <c r="W239" s="161">
        <v>4</v>
      </c>
      <c r="X239" s="87"/>
      <c r="Y239" s="87"/>
      <c r="Z239" s="87"/>
      <c r="AA239" s="184"/>
      <c r="AB239" s="186"/>
      <c r="AC239" s="87"/>
      <c r="AD239" s="87"/>
      <c r="AE239" s="87"/>
      <c r="AF239" s="87"/>
      <c r="AG239" s="87"/>
      <c r="AH239" s="87"/>
      <c r="AI239" s="87"/>
      <c r="AJ239" s="87"/>
      <c r="AK239" s="184"/>
      <c r="AL239" s="206">
        <f t="shared" si="6"/>
        <v>4</v>
      </c>
      <c r="AM239" s="91">
        <f>0</f>
        <v>0</v>
      </c>
      <c r="AN239" s="207">
        <f t="shared" si="7"/>
        <v>4</v>
      </c>
      <c r="AO239" s="194">
        <v>45082</v>
      </c>
      <c r="AP239" s="172" t="s">
        <v>273</v>
      </c>
      <c r="AQ239" s="152" t="s">
        <v>900</v>
      </c>
      <c r="AR239" s="178" t="s">
        <v>148</v>
      </c>
      <c r="AS239" s="159"/>
      <c r="AT239" s="153"/>
      <c r="AU239" s="154">
        <v>4</v>
      </c>
      <c r="AV239" s="154"/>
      <c r="AW239" s="99" t="s">
        <v>457</v>
      </c>
      <c r="AX239" s="155"/>
      <c r="AY239" s="156"/>
      <c r="AZ239" s="157"/>
      <c r="BA239" s="81"/>
      <c r="BB239" s="81"/>
      <c r="BC239" s="81"/>
    </row>
    <row r="240" spans="1:55" ht="28" customHeight="1" x14ac:dyDescent="0.25">
      <c r="A240" s="173">
        <v>235</v>
      </c>
      <c r="B240" s="147">
        <v>45079</v>
      </c>
      <c r="C240" s="77" t="s">
        <v>134</v>
      </c>
      <c r="D240" s="77" t="s">
        <v>135</v>
      </c>
      <c r="E240" s="77" t="s">
        <v>136</v>
      </c>
      <c r="F240" s="168" t="s">
        <v>672</v>
      </c>
      <c r="G240" s="168" t="s">
        <v>847</v>
      </c>
      <c r="H240" s="168" t="s">
        <v>110</v>
      </c>
      <c r="I240" s="168" t="s">
        <v>848</v>
      </c>
      <c r="J240" s="175" t="s">
        <v>849</v>
      </c>
      <c r="K240" s="174"/>
      <c r="L240" s="174" t="s">
        <v>676</v>
      </c>
      <c r="M240" s="174" t="s">
        <v>114</v>
      </c>
      <c r="N240" s="174"/>
      <c r="O240" s="174" t="s">
        <v>850</v>
      </c>
      <c r="P240" s="171"/>
      <c r="Q240" s="303"/>
      <c r="R240" s="182">
        <f>0</f>
        <v>0</v>
      </c>
      <c r="S240" s="87"/>
      <c r="T240" s="87"/>
      <c r="U240" s="87"/>
      <c r="V240" s="87"/>
      <c r="W240" s="161">
        <v>2</v>
      </c>
      <c r="X240" s="87"/>
      <c r="Y240" s="87"/>
      <c r="Z240" s="87"/>
      <c r="AA240" s="184"/>
      <c r="AB240" s="186"/>
      <c r="AC240" s="87"/>
      <c r="AD240" s="87"/>
      <c r="AE240" s="87"/>
      <c r="AF240" s="87"/>
      <c r="AG240" s="87"/>
      <c r="AH240" s="87"/>
      <c r="AI240" s="87"/>
      <c r="AJ240" s="87"/>
      <c r="AK240" s="184"/>
      <c r="AL240" s="206">
        <f t="shared" si="6"/>
        <v>2</v>
      </c>
      <c r="AM240" s="91">
        <f>0</f>
        <v>0</v>
      </c>
      <c r="AN240" s="207">
        <f t="shared" si="7"/>
        <v>2</v>
      </c>
      <c r="AO240" s="194">
        <v>45082</v>
      </c>
      <c r="AP240" s="172" t="s">
        <v>273</v>
      </c>
      <c r="AQ240" s="171" t="s">
        <v>902</v>
      </c>
      <c r="AR240" s="171" t="s">
        <v>276</v>
      </c>
      <c r="AS240" s="159"/>
      <c r="AT240" s="153"/>
      <c r="AU240" s="154">
        <v>2</v>
      </c>
      <c r="AV240" s="154"/>
      <c r="AW240" s="99" t="s">
        <v>457</v>
      </c>
      <c r="AX240" s="155"/>
      <c r="AY240" s="156"/>
      <c r="AZ240" s="157"/>
      <c r="BA240" s="81"/>
      <c r="BB240" s="81"/>
      <c r="BC240" s="81"/>
    </row>
    <row r="241" spans="1:55" ht="28" customHeight="1" x14ac:dyDescent="0.25">
      <c r="A241" s="173">
        <v>236</v>
      </c>
      <c r="B241" s="147">
        <v>45079</v>
      </c>
      <c r="C241" s="77" t="s">
        <v>134</v>
      </c>
      <c r="D241" s="77" t="s">
        <v>135</v>
      </c>
      <c r="E241" s="77" t="s">
        <v>136</v>
      </c>
      <c r="F241" s="168" t="s">
        <v>672</v>
      </c>
      <c r="G241" s="168" t="s">
        <v>851</v>
      </c>
      <c r="H241" s="168" t="s">
        <v>110</v>
      </c>
      <c r="I241" s="168" t="s">
        <v>852</v>
      </c>
      <c r="J241" s="175" t="s">
        <v>853</v>
      </c>
      <c r="K241" s="174"/>
      <c r="L241" s="174" t="s">
        <v>676</v>
      </c>
      <c r="M241" s="174" t="s">
        <v>114</v>
      </c>
      <c r="N241" s="174"/>
      <c r="O241" s="174" t="s">
        <v>854</v>
      </c>
      <c r="P241" s="171"/>
      <c r="Q241" s="303"/>
      <c r="R241" s="182">
        <f>0</f>
        <v>0</v>
      </c>
      <c r="S241" s="87"/>
      <c r="T241" s="87"/>
      <c r="U241" s="87"/>
      <c r="V241" s="87"/>
      <c r="W241" s="161">
        <v>1</v>
      </c>
      <c r="X241" s="87"/>
      <c r="Y241" s="87"/>
      <c r="Z241" s="87"/>
      <c r="AA241" s="184"/>
      <c r="AB241" s="186"/>
      <c r="AC241" s="87"/>
      <c r="AD241" s="87"/>
      <c r="AE241" s="87"/>
      <c r="AF241" s="87"/>
      <c r="AG241" s="87"/>
      <c r="AH241" s="87"/>
      <c r="AI241" s="87"/>
      <c r="AJ241" s="87"/>
      <c r="AK241" s="184"/>
      <c r="AL241" s="206">
        <f t="shared" si="6"/>
        <v>1</v>
      </c>
      <c r="AM241" s="91">
        <f>0</f>
        <v>0</v>
      </c>
      <c r="AN241" s="207">
        <f t="shared" si="7"/>
        <v>1</v>
      </c>
      <c r="AO241" s="194">
        <v>45082</v>
      </c>
      <c r="AP241" s="172" t="s">
        <v>273</v>
      </c>
      <c r="AQ241" s="171" t="s">
        <v>902</v>
      </c>
      <c r="AR241" s="171" t="s">
        <v>276</v>
      </c>
      <c r="AS241" s="159"/>
      <c r="AT241" s="153"/>
      <c r="AU241" s="154">
        <v>1</v>
      </c>
      <c r="AV241" s="154"/>
      <c r="AW241" s="99" t="s">
        <v>457</v>
      </c>
      <c r="AX241" s="155"/>
      <c r="AY241" s="156"/>
      <c r="AZ241" s="157"/>
      <c r="BA241" s="81"/>
      <c r="BB241" s="81"/>
      <c r="BC241" s="81"/>
    </row>
    <row r="242" spans="1:55" ht="28" customHeight="1" x14ac:dyDescent="0.25">
      <c r="A242" s="173">
        <v>237</v>
      </c>
      <c r="B242" s="147">
        <v>45079</v>
      </c>
      <c r="C242" s="77" t="s">
        <v>134</v>
      </c>
      <c r="D242" s="77" t="s">
        <v>135</v>
      </c>
      <c r="E242" s="77" t="s">
        <v>136</v>
      </c>
      <c r="F242" s="168" t="s">
        <v>672</v>
      </c>
      <c r="G242" s="168" t="s">
        <v>855</v>
      </c>
      <c r="H242" s="168" t="s">
        <v>110</v>
      </c>
      <c r="I242" s="168" t="s">
        <v>856</v>
      </c>
      <c r="J242" s="175" t="s">
        <v>857</v>
      </c>
      <c r="K242" s="174"/>
      <c r="L242" s="174" t="s">
        <v>153</v>
      </c>
      <c r="M242" s="174" t="s">
        <v>154</v>
      </c>
      <c r="N242" s="174"/>
      <c r="O242" s="174" t="s">
        <v>155</v>
      </c>
      <c r="P242" s="171"/>
      <c r="Q242" s="303"/>
      <c r="R242" s="182">
        <f>0</f>
        <v>0</v>
      </c>
      <c r="S242" s="87"/>
      <c r="T242" s="87"/>
      <c r="U242" s="87"/>
      <c r="V242" s="87"/>
      <c r="W242" s="161">
        <v>1</v>
      </c>
      <c r="X242" s="87"/>
      <c r="Y242" s="87"/>
      <c r="Z242" s="87"/>
      <c r="AA242" s="184"/>
      <c r="AB242" s="186"/>
      <c r="AC242" s="87"/>
      <c r="AD242" s="87"/>
      <c r="AE242" s="87"/>
      <c r="AF242" s="87"/>
      <c r="AG242" s="87"/>
      <c r="AH242" s="87"/>
      <c r="AI242" s="87"/>
      <c r="AJ242" s="87"/>
      <c r="AK242" s="184"/>
      <c r="AL242" s="206">
        <f t="shared" si="6"/>
        <v>1</v>
      </c>
      <c r="AM242" s="91">
        <f>0</f>
        <v>0</v>
      </c>
      <c r="AN242" s="207">
        <f t="shared" si="7"/>
        <v>1</v>
      </c>
      <c r="AO242" s="194">
        <v>45082</v>
      </c>
      <c r="AP242" s="172" t="s">
        <v>273</v>
      </c>
      <c r="AQ242" s="152" t="s">
        <v>900</v>
      </c>
      <c r="AR242" s="171" t="s">
        <v>148</v>
      </c>
      <c r="AS242" s="159"/>
      <c r="AT242" s="153"/>
      <c r="AU242" s="154"/>
      <c r="AV242" s="154"/>
      <c r="AW242" s="154"/>
      <c r="AX242" s="155"/>
      <c r="AY242" s="156"/>
      <c r="AZ242" s="157"/>
      <c r="BA242" s="81"/>
      <c r="BB242" s="81"/>
      <c r="BC242" s="81"/>
    </row>
    <row r="243" spans="1:55" ht="28" customHeight="1" x14ac:dyDescent="0.25">
      <c r="A243" s="173">
        <v>238</v>
      </c>
      <c r="B243" s="147">
        <v>45079</v>
      </c>
      <c r="C243" s="77" t="s">
        <v>134</v>
      </c>
      <c r="D243" s="77" t="s">
        <v>135</v>
      </c>
      <c r="E243" s="77" t="s">
        <v>136</v>
      </c>
      <c r="F243" s="168" t="s">
        <v>672</v>
      </c>
      <c r="G243" s="168" t="s">
        <v>858</v>
      </c>
      <c r="H243" s="168" t="s">
        <v>110</v>
      </c>
      <c r="I243" s="168" t="s">
        <v>859</v>
      </c>
      <c r="J243" s="175" t="s">
        <v>860</v>
      </c>
      <c r="K243" s="174"/>
      <c r="L243" s="174" t="s">
        <v>147</v>
      </c>
      <c r="M243" s="174" t="s">
        <v>154</v>
      </c>
      <c r="N243" s="174" t="s">
        <v>214</v>
      </c>
      <c r="O243" s="174" t="s">
        <v>149</v>
      </c>
      <c r="P243" s="171"/>
      <c r="Q243" s="303"/>
      <c r="R243" s="182">
        <f>0</f>
        <v>0</v>
      </c>
      <c r="S243" s="87"/>
      <c r="T243" s="87"/>
      <c r="U243" s="87"/>
      <c r="V243" s="87"/>
      <c r="W243" s="161">
        <v>1</v>
      </c>
      <c r="X243" s="87"/>
      <c r="Y243" s="87"/>
      <c r="Z243" s="87"/>
      <c r="AA243" s="184"/>
      <c r="AB243" s="186"/>
      <c r="AC243" s="87"/>
      <c r="AD243" s="87"/>
      <c r="AE243" s="87"/>
      <c r="AF243" s="87"/>
      <c r="AG243" s="87"/>
      <c r="AH243" s="87"/>
      <c r="AI243" s="87"/>
      <c r="AJ243" s="87"/>
      <c r="AK243" s="184"/>
      <c r="AL243" s="206">
        <f t="shared" si="6"/>
        <v>1</v>
      </c>
      <c r="AM243" s="91">
        <f>0</f>
        <v>0</v>
      </c>
      <c r="AN243" s="207">
        <f t="shared" si="7"/>
        <v>1</v>
      </c>
      <c r="AO243" s="194">
        <v>45082</v>
      </c>
      <c r="AP243" s="172" t="s">
        <v>273</v>
      </c>
      <c r="AQ243" s="152" t="s">
        <v>900</v>
      </c>
      <c r="AR243" s="171" t="s">
        <v>148</v>
      </c>
      <c r="AS243" s="159"/>
      <c r="AT243" s="153"/>
      <c r="AU243" s="154">
        <v>1</v>
      </c>
      <c r="AV243" s="154"/>
      <c r="AW243" s="99" t="s">
        <v>457</v>
      </c>
      <c r="AX243" s="155"/>
      <c r="AY243" s="156"/>
      <c r="AZ243" s="157"/>
      <c r="BA243" s="81"/>
      <c r="BB243" s="81"/>
      <c r="BC243" s="81"/>
    </row>
    <row r="244" spans="1:55" ht="28" customHeight="1" x14ac:dyDescent="0.25">
      <c r="A244" s="173">
        <v>239</v>
      </c>
      <c r="B244" s="147">
        <v>45079</v>
      </c>
      <c r="C244" s="77" t="s">
        <v>134</v>
      </c>
      <c r="D244" s="77" t="s">
        <v>135</v>
      </c>
      <c r="E244" s="77" t="s">
        <v>136</v>
      </c>
      <c r="F244" s="168" t="s">
        <v>265</v>
      </c>
      <c r="G244" s="168" t="s">
        <v>868</v>
      </c>
      <c r="H244" s="168" t="s">
        <v>287</v>
      </c>
      <c r="I244" s="168" t="s">
        <v>870</v>
      </c>
      <c r="J244" s="175" t="s">
        <v>861</v>
      </c>
      <c r="K244" s="174"/>
      <c r="L244" s="174" t="s">
        <v>153</v>
      </c>
      <c r="M244" s="174" t="s">
        <v>154</v>
      </c>
      <c r="N244" s="174"/>
      <c r="O244" s="174" t="s">
        <v>155</v>
      </c>
      <c r="P244" s="171"/>
      <c r="Q244" s="264"/>
      <c r="R244" s="182">
        <f>0</f>
        <v>0</v>
      </c>
      <c r="S244" s="161">
        <v>1</v>
      </c>
      <c r="T244" s="87"/>
      <c r="U244" s="87"/>
      <c r="V244" s="87"/>
      <c r="W244" s="87"/>
      <c r="X244" s="87"/>
      <c r="Y244" s="87"/>
      <c r="Z244" s="87"/>
      <c r="AA244" s="184"/>
      <c r="AB244" s="187">
        <v>1</v>
      </c>
      <c r="AC244" s="87"/>
      <c r="AD244" s="87"/>
      <c r="AE244" s="87"/>
      <c r="AF244" s="87"/>
      <c r="AG244" s="87"/>
      <c r="AH244" s="87"/>
      <c r="AI244" s="87"/>
      <c r="AJ244" s="87"/>
      <c r="AK244" s="184"/>
      <c r="AL244" s="206">
        <f t="shared" si="6"/>
        <v>2</v>
      </c>
      <c r="AM244" s="91">
        <f>0</f>
        <v>0</v>
      </c>
      <c r="AN244" s="207">
        <f t="shared" si="7"/>
        <v>2</v>
      </c>
      <c r="AO244" s="194">
        <v>45082</v>
      </c>
      <c r="AP244" s="172" t="s">
        <v>273</v>
      </c>
      <c r="AQ244" s="171" t="s">
        <v>873</v>
      </c>
      <c r="AR244" s="171" t="s">
        <v>148</v>
      </c>
      <c r="AS244" s="159"/>
      <c r="AT244" s="153"/>
      <c r="AU244" s="154"/>
      <c r="AV244" s="154"/>
      <c r="AW244" s="154"/>
      <c r="AX244" s="155"/>
      <c r="AY244" s="156"/>
      <c r="AZ244" s="157"/>
      <c r="BA244" s="81"/>
      <c r="BB244" s="81"/>
      <c r="BC244" s="81"/>
    </row>
    <row r="245" spans="1:55" ht="28" customHeight="1" x14ac:dyDescent="0.25">
      <c r="A245" s="173">
        <v>240</v>
      </c>
      <c r="B245" s="147">
        <v>45079</v>
      </c>
      <c r="C245" s="77" t="s">
        <v>134</v>
      </c>
      <c r="D245" s="77" t="s">
        <v>135</v>
      </c>
      <c r="E245" s="77" t="s">
        <v>136</v>
      </c>
      <c r="F245" s="168" t="s">
        <v>265</v>
      </c>
      <c r="G245" s="168" t="s">
        <v>867</v>
      </c>
      <c r="H245" s="168" t="s">
        <v>287</v>
      </c>
      <c r="I245" s="168" t="s">
        <v>239</v>
      </c>
      <c r="J245" s="175" t="s">
        <v>862</v>
      </c>
      <c r="K245" s="174"/>
      <c r="L245" s="174" t="s">
        <v>153</v>
      </c>
      <c r="M245" s="174" t="s">
        <v>154</v>
      </c>
      <c r="N245" s="174"/>
      <c r="O245" s="174" t="s">
        <v>155</v>
      </c>
      <c r="P245" s="171"/>
      <c r="Q245" s="264"/>
      <c r="R245" s="182">
        <f>0</f>
        <v>0</v>
      </c>
      <c r="S245" s="161">
        <v>1</v>
      </c>
      <c r="T245" s="87"/>
      <c r="U245" s="87"/>
      <c r="V245" s="87"/>
      <c r="W245" s="87"/>
      <c r="X245" s="87"/>
      <c r="Y245" s="87"/>
      <c r="Z245" s="87"/>
      <c r="AA245" s="184"/>
      <c r="AB245" s="187">
        <v>1</v>
      </c>
      <c r="AC245" s="87"/>
      <c r="AD245" s="87"/>
      <c r="AE245" s="87"/>
      <c r="AF245" s="87"/>
      <c r="AG245" s="87"/>
      <c r="AH245" s="87"/>
      <c r="AI245" s="87"/>
      <c r="AJ245" s="87"/>
      <c r="AK245" s="184"/>
      <c r="AL245" s="206">
        <f t="shared" si="6"/>
        <v>2</v>
      </c>
      <c r="AM245" s="91">
        <f>0</f>
        <v>0</v>
      </c>
      <c r="AN245" s="207">
        <f t="shared" si="7"/>
        <v>2</v>
      </c>
      <c r="AO245" s="194">
        <v>45082</v>
      </c>
      <c r="AP245" s="172" t="s">
        <v>273</v>
      </c>
      <c r="AQ245" s="171" t="s">
        <v>873</v>
      </c>
      <c r="AR245" s="171" t="s">
        <v>148</v>
      </c>
      <c r="AS245" s="159"/>
      <c r="AT245" s="153"/>
      <c r="AU245" s="154"/>
      <c r="AV245" s="154"/>
      <c r="AW245" s="154"/>
      <c r="AX245" s="155"/>
      <c r="AY245" s="156"/>
      <c r="AZ245" s="157"/>
      <c r="BA245" s="81"/>
      <c r="BB245" s="81"/>
      <c r="BC245" s="81"/>
    </row>
    <row r="246" spans="1:55" ht="28" customHeight="1" x14ac:dyDescent="0.25">
      <c r="A246" s="173">
        <v>241</v>
      </c>
      <c r="B246" s="147">
        <v>45079</v>
      </c>
      <c r="C246" s="77" t="s">
        <v>134</v>
      </c>
      <c r="D246" s="77" t="s">
        <v>135</v>
      </c>
      <c r="E246" s="77" t="s">
        <v>136</v>
      </c>
      <c r="F246" s="168" t="s">
        <v>265</v>
      </c>
      <c r="G246" s="168" t="s">
        <v>866</v>
      </c>
      <c r="H246" s="168" t="s">
        <v>287</v>
      </c>
      <c r="I246" s="168" t="s">
        <v>239</v>
      </c>
      <c r="J246" s="175" t="s">
        <v>863</v>
      </c>
      <c r="K246" s="174"/>
      <c r="L246" s="174" t="s">
        <v>153</v>
      </c>
      <c r="M246" s="174" t="s">
        <v>154</v>
      </c>
      <c r="N246" s="174"/>
      <c r="O246" s="174" t="s">
        <v>155</v>
      </c>
      <c r="P246" s="171"/>
      <c r="Q246" s="264"/>
      <c r="R246" s="182">
        <f>0</f>
        <v>0</v>
      </c>
      <c r="S246" s="161">
        <v>2</v>
      </c>
      <c r="T246" s="87"/>
      <c r="U246" s="87"/>
      <c r="V246" s="87"/>
      <c r="W246" s="87"/>
      <c r="X246" s="87"/>
      <c r="Y246" s="87"/>
      <c r="Z246" s="87"/>
      <c r="AA246" s="184"/>
      <c r="AB246" s="187">
        <v>2</v>
      </c>
      <c r="AC246" s="87"/>
      <c r="AD246" s="87"/>
      <c r="AE246" s="87"/>
      <c r="AF246" s="87"/>
      <c r="AG246" s="87"/>
      <c r="AH246" s="87"/>
      <c r="AI246" s="87"/>
      <c r="AJ246" s="87"/>
      <c r="AK246" s="184"/>
      <c r="AL246" s="206">
        <f t="shared" si="6"/>
        <v>4</v>
      </c>
      <c r="AM246" s="91">
        <f>0</f>
        <v>0</v>
      </c>
      <c r="AN246" s="207">
        <f t="shared" si="7"/>
        <v>4</v>
      </c>
      <c r="AO246" s="194">
        <v>45082</v>
      </c>
      <c r="AP246" s="172" t="s">
        <v>273</v>
      </c>
      <c r="AQ246" s="171" t="s">
        <v>873</v>
      </c>
      <c r="AR246" s="171" t="s">
        <v>148</v>
      </c>
      <c r="AS246" s="159"/>
      <c r="AT246" s="153"/>
      <c r="AU246" s="154"/>
      <c r="AV246" s="154"/>
      <c r="AW246" s="154"/>
      <c r="AX246" s="155"/>
      <c r="AY246" s="156"/>
      <c r="AZ246" s="157"/>
      <c r="BA246" s="81"/>
      <c r="BB246" s="81"/>
      <c r="BC246" s="81"/>
    </row>
    <row r="247" spans="1:55" ht="28" customHeight="1" x14ac:dyDescent="0.25">
      <c r="A247" s="173">
        <v>242</v>
      </c>
      <c r="B247" s="147">
        <v>45079</v>
      </c>
      <c r="C247" s="77" t="s">
        <v>134</v>
      </c>
      <c r="D247" s="77" t="s">
        <v>135</v>
      </c>
      <c r="E247" s="77" t="s">
        <v>136</v>
      </c>
      <c r="F247" s="168" t="s">
        <v>265</v>
      </c>
      <c r="G247" s="168" t="s">
        <v>865</v>
      </c>
      <c r="H247" s="168" t="s">
        <v>287</v>
      </c>
      <c r="I247" s="168" t="s">
        <v>239</v>
      </c>
      <c r="J247" s="175" t="s">
        <v>864</v>
      </c>
      <c r="K247" s="174"/>
      <c r="L247" s="174" t="s">
        <v>869</v>
      </c>
      <c r="M247" s="174" t="s">
        <v>154</v>
      </c>
      <c r="N247" s="174" t="s">
        <v>80</v>
      </c>
      <c r="O247" s="174" t="s">
        <v>149</v>
      </c>
      <c r="P247" s="171"/>
      <c r="Q247" s="264"/>
      <c r="R247" s="182">
        <f>0</f>
        <v>0</v>
      </c>
      <c r="S247" s="161">
        <v>2</v>
      </c>
      <c r="T247" s="87"/>
      <c r="U247" s="87"/>
      <c r="V247" s="87"/>
      <c r="W247" s="87"/>
      <c r="X247" s="87"/>
      <c r="Y247" s="87"/>
      <c r="Z247" s="87"/>
      <c r="AA247" s="184"/>
      <c r="AB247" s="187">
        <v>2</v>
      </c>
      <c r="AC247" s="87"/>
      <c r="AD247" s="87"/>
      <c r="AE247" s="87"/>
      <c r="AF247" s="87"/>
      <c r="AG247" s="87"/>
      <c r="AH247" s="87"/>
      <c r="AI247" s="87"/>
      <c r="AJ247" s="87"/>
      <c r="AK247" s="184"/>
      <c r="AL247" s="206">
        <f t="shared" si="6"/>
        <v>4</v>
      </c>
      <c r="AM247" s="91">
        <f>0</f>
        <v>0</v>
      </c>
      <c r="AN247" s="207">
        <f t="shared" si="7"/>
        <v>4</v>
      </c>
      <c r="AO247" s="194">
        <v>45082</v>
      </c>
      <c r="AP247" s="172" t="s">
        <v>273</v>
      </c>
      <c r="AQ247" s="171" t="s">
        <v>873</v>
      </c>
      <c r="AR247" s="171" t="s">
        <v>148</v>
      </c>
      <c r="AS247" s="159"/>
      <c r="AT247" s="153"/>
      <c r="AU247" s="154"/>
      <c r="AV247" s="154"/>
      <c r="AW247" s="154"/>
      <c r="AX247" s="155"/>
      <c r="AY247" s="156"/>
      <c r="AZ247" s="157"/>
      <c r="BA247" s="81"/>
      <c r="BB247" s="81"/>
      <c r="BC247" s="81"/>
    </row>
    <row r="248" spans="1:55" ht="28" customHeight="1" x14ac:dyDescent="0.25">
      <c r="A248" s="173">
        <v>243</v>
      </c>
      <c r="B248" s="177" t="s">
        <v>874</v>
      </c>
      <c r="C248" s="77" t="s">
        <v>134</v>
      </c>
      <c r="D248" s="77" t="s">
        <v>135</v>
      </c>
      <c r="E248" s="77" t="s">
        <v>136</v>
      </c>
      <c r="F248" s="168" t="s">
        <v>672</v>
      </c>
      <c r="G248" s="168" t="s">
        <v>875</v>
      </c>
      <c r="H248" s="168" t="s">
        <v>110</v>
      </c>
      <c r="I248" s="168" t="s">
        <v>876</v>
      </c>
      <c r="J248" s="175" t="s">
        <v>877</v>
      </c>
      <c r="K248" s="174"/>
      <c r="L248" s="174" t="s">
        <v>846</v>
      </c>
      <c r="M248" s="174" t="s">
        <v>154</v>
      </c>
      <c r="N248" s="174"/>
      <c r="O248" s="174" t="s">
        <v>149</v>
      </c>
      <c r="P248" s="152"/>
      <c r="Q248" s="307"/>
      <c r="R248" s="182">
        <f>0</f>
        <v>0</v>
      </c>
      <c r="S248" s="87"/>
      <c r="T248" s="87"/>
      <c r="U248" s="87"/>
      <c r="V248" s="87"/>
      <c r="W248" s="161">
        <v>1</v>
      </c>
      <c r="X248" s="87"/>
      <c r="Y248" s="87"/>
      <c r="Z248" s="87"/>
      <c r="AA248" s="184"/>
      <c r="AB248" s="186"/>
      <c r="AC248" s="87"/>
      <c r="AD248" s="87"/>
      <c r="AE248" s="87"/>
      <c r="AF248" s="87"/>
      <c r="AG248" s="87"/>
      <c r="AH248" s="87"/>
      <c r="AI248" s="87"/>
      <c r="AJ248" s="87"/>
      <c r="AK248" s="184"/>
      <c r="AL248" s="206">
        <f t="shared" si="6"/>
        <v>1</v>
      </c>
      <c r="AM248" s="91">
        <f>0</f>
        <v>0</v>
      </c>
      <c r="AN248" s="207">
        <f t="shared" si="7"/>
        <v>1</v>
      </c>
      <c r="AO248" s="193">
        <v>45082</v>
      </c>
      <c r="AP248" s="172" t="s">
        <v>273</v>
      </c>
      <c r="AQ248" s="152" t="s">
        <v>900</v>
      </c>
      <c r="AR248" s="152" t="s">
        <v>148</v>
      </c>
      <c r="AS248" s="159"/>
      <c r="AT248" s="153"/>
      <c r="AU248" s="154"/>
      <c r="AV248" s="154"/>
      <c r="AW248" s="154"/>
      <c r="AX248" s="155"/>
      <c r="AY248" s="156"/>
      <c r="AZ248" s="157"/>
      <c r="BA248" s="81"/>
      <c r="BB248" s="81"/>
      <c r="BC248" s="81"/>
    </row>
    <row r="249" spans="1:55" ht="28" customHeight="1" x14ac:dyDescent="0.25">
      <c r="A249" s="173">
        <v>244</v>
      </c>
      <c r="B249" s="177" t="s">
        <v>874</v>
      </c>
      <c r="C249" s="77" t="s">
        <v>134</v>
      </c>
      <c r="D249" s="77" t="s">
        <v>135</v>
      </c>
      <c r="E249" s="77" t="s">
        <v>136</v>
      </c>
      <c r="F249" s="168" t="s">
        <v>672</v>
      </c>
      <c r="G249" s="168" t="s">
        <v>878</v>
      </c>
      <c r="H249" s="168" t="s">
        <v>110</v>
      </c>
      <c r="I249" s="168" t="s">
        <v>879</v>
      </c>
      <c r="J249" s="175" t="s">
        <v>880</v>
      </c>
      <c r="K249" s="174"/>
      <c r="L249" s="174" t="s">
        <v>226</v>
      </c>
      <c r="M249" s="174" t="s">
        <v>154</v>
      </c>
      <c r="N249" s="174"/>
      <c r="O249" s="174" t="s">
        <v>155</v>
      </c>
      <c r="P249" s="152"/>
      <c r="Q249" s="307"/>
      <c r="R249" s="182">
        <f>0</f>
        <v>0</v>
      </c>
      <c r="S249" s="87"/>
      <c r="T249" s="87"/>
      <c r="U249" s="87"/>
      <c r="V249" s="87"/>
      <c r="W249" s="161">
        <v>1</v>
      </c>
      <c r="X249" s="87"/>
      <c r="Y249" s="87"/>
      <c r="Z249" s="87"/>
      <c r="AA249" s="184"/>
      <c r="AB249" s="186"/>
      <c r="AC249" s="87"/>
      <c r="AD249" s="87"/>
      <c r="AE249" s="87"/>
      <c r="AF249" s="87"/>
      <c r="AG249" s="87"/>
      <c r="AH249" s="87"/>
      <c r="AI249" s="87"/>
      <c r="AJ249" s="87"/>
      <c r="AK249" s="184"/>
      <c r="AL249" s="206">
        <f t="shared" si="6"/>
        <v>1</v>
      </c>
      <c r="AM249" s="91">
        <f>0</f>
        <v>0</v>
      </c>
      <c r="AN249" s="207">
        <f t="shared" si="7"/>
        <v>1</v>
      </c>
      <c r="AO249" s="193">
        <v>45082</v>
      </c>
      <c r="AP249" s="172" t="s">
        <v>273</v>
      </c>
      <c r="AQ249" s="152" t="s">
        <v>900</v>
      </c>
      <c r="AR249" s="152" t="s">
        <v>148</v>
      </c>
      <c r="AS249" s="159"/>
      <c r="AT249" s="153"/>
      <c r="AU249" s="154"/>
      <c r="AV249" s="154"/>
      <c r="AW249" s="154"/>
      <c r="AX249" s="155"/>
      <c r="AY249" s="156"/>
      <c r="AZ249" s="157"/>
      <c r="BA249" s="81"/>
      <c r="BB249" s="81"/>
      <c r="BC249" s="81"/>
    </row>
    <row r="250" spans="1:55" ht="28" customHeight="1" x14ac:dyDescent="0.25">
      <c r="A250" s="173">
        <v>245</v>
      </c>
      <c r="B250" s="177" t="s">
        <v>874</v>
      </c>
      <c r="C250" s="77" t="s">
        <v>134</v>
      </c>
      <c r="D250" s="77" t="s">
        <v>135</v>
      </c>
      <c r="E250" s="77" t="s">
        <v>136</v>
      </c>
      <c r="F250" s="168" t="s">
        <v>672</v>
      </c>
      <c r="G250" s="168" t="s">
        <v>881</v>
      </c>
      <c r="H250" s="168" t="s">
        <v>110</v>
      </c>
      <c r="I250" s="168" t="s">
        <v>882</v>
      </c>
      <c r="J250" s="175" t="s">
        <v>883</v>
      </c>
      <c r="K250" s="174"/>
      <c r="L250" s="174" t="s">
        <v>884</v>
      </c>
      <c r="M250" s="174" t="s">
        <v>154</v>
      </c>
      <c r="N250" s="174"/>
      <c r="O250" s="174" t="s">
        <v>80</v>
      </c>
      <c r="P250" s="152"/>
      <c r="Q250" s="307"/>
      <c r="R250" s="182">
        <f>0</f>
        <v>0</v>
      </c>
      <c r="S250" s="87"/>
      <c r="T250" s="87"/>
      <c r="U250" s="87"/>
      <c r="V250" s="87"/>
      <c r="W250" s="161">
        <v>1</v>
      </c>
      <c r="X250" s="87"/>
      <c r="Y250" s="87"/>
      <c r="Z250" s="87"/>
      <c r="AA250" s="184"/>
      <c r="AB250" s="186"/>
      <c r="AC250" s="87"/>
      <c r="AD250" s="87"/>
      <c r="AE250" s="87"/>
      <c r="AF250" s="87"/>
      <c r="AG250" s="87"/>
      <c r="AH250" s="87"/>
      <c r="AI250" s="87"/>
      <c r="AJ250" s="87"/>
      <c r="AK250" s="184"/>
      <c r="AL250" s="206">
        <f t="shared" si="6"/>
        <v>1</v>
      </c>
      <c r="AM250" s="91">
        <f>0</f>
        <v>0</v>
      </c>
      <c r="AN250" s="207">
        <f t="shared" si="7"/>
        <v>1</v>
      </c>
      <c r="AO250" s="193">
        <v>45082</v>
      </c>
      <c r="AP250" s="172" t="s">
        <v>273</v>
      </c>
      <c r="AQ250" s="152" t="s">
        <v>900</v>
      </c>
      <c r="AR250" s="152" t="s">
        <v>148</v>
      </c>
      <c r="AS250" s="159"/>
      <c r="AT250" s="153"/>
      <c r="AU250" s="154"/>
      <c r="AV250" s="154"/>
      <c r="AW250" s="154"/>
      <c r="AX250" s="155"/>
      <c r="AY250" s="156"/>
      <c r="AZ250" s="157"/>
      <c r="BA250" s="81"/>
      <c r="BB250" s="81"/>
      <c r="BC250" s="81"/>
    </row>
    <row r="251" spans="1:55" ht="28" customHeight="1" x14ac:dyDescent="0.25">
      <c r="A251" s="173">
        <v>246</v>
      </c>
      <c r="B251" s="177" t="s">
        <v>874</v>
      </c>
      <c r="C251" s="77" t="s">
        <v>134</v>
      </c>
      <c r="D251" s="77" t="s">
        <v>135</v>
      </c>
      <c r="E251" s="77" t="s">
        <v>136</v>
      </c>
      <c r="F251" s="168" t="s">
        <v>672</v>
      </c>
      <c r="G251" s="168" t="s">
        <v>885</v>
      </c>
      <c r="H251" s="168" t="s">
        <v>110</v>
      </c>
      <c r="I251" s="168" t="s">
        <v>886</v>
      </c>
      <c r="J251" s="175" t="s">
        <v>887</v>
      </c>
      <c r="K251" s="174"/>
      <c r="L251" s="174" t="s">
        <v>846</v>
      </c>
      <c r="M251" s="174" t="s">
        <v>154</v>
      </c>
      <c r="N251" s="174"/>
      <c r="O251" s="174" t="s">
        <v>149</v>
      </c>
      <c r="P251" s="152"/>
      <c r="Q251" s="307"/>
      <c r="R251" s="182">
        <f>0</f>
        <v>0</v>
      </c>
      <c r="S251" s="87"/>
      <c r="T251" s="87"/>
      <c r="U251" s="87"/>
      <c r="V251" s="87"/>
      <c r="W251" s="161">
        <v>1</v>
      </c>
      <c r="X251" s="87"/>
      <c r="Y251" s="87"/>
      <c r="Z251" s="87"/>
      <c r="AA251" s="184"/>
      <c r="AB251" s="186"/>
      <c r="AC251" s="87"/>
      <c r="AD251" s="87"/>
      <c r="AE251" s="87"/>
      <c r="AF251" s="87"/>
      <c r="AG251" s="87"/>
      <c r="AH251" s="87"/>
      <c r="AI251" s="87"/>
      <c r="AJ251" s="87"/>
      <c r="AK251" s="184"/>
      <c r="AL251" s="206">
        <f t="shared" si="6"/>
        <v>1</v>
      </c>
      <c r="AM251" s="91">
        <f>0</f>
        <v>0</v>
      </c>
      <c r="AN251" s="207">
        <f t="shared" si="7"/>
        <v>1</v>
      </c>
      <c r="AO251" s="193">
        <v>45082</v>
      </c>
      <c r="AP251" s="172" t="s">
        <v>273</v>
      </c>
      <c r="AQ251" s="152" t="s">
        <v>900</v>
      </c>
      <c r="AR251" s="152" t="s">
        <v>148</v>
      </c>
      <c r="AS251" s="159"/>
      <c r="AT251" s="153"/>
      <c r="AU251" s="154"/>
      <c r="AV251" s="154"/>
      <c r="AW251" s="154"/>
      <c r="AX251" s="155"/>
      <c r="AY251" s="156"/>
      <c r="AZ251" s="157"/>
      <c r="BA251" s="81"/>
      <c r="BB251" s="81"/>
      <c r="BC251" s="81"/>
    </row>
    <row r="252" spans="1:55" ht="28" customHeight="1" x14ac:dyDescent="0.25">
      <c r="A252" s="173">
        <v>247</v>
      </c>
      <c r="B252" s="177" t="s">
        <v>874</v>
      </c>
      <c r="C252" s="77" t="s">
        <v>134</v>
      </c>
      <c r="D252" s="77" t="s">
        <v>135</v>
      </c>
      <c r="E252" s="77" t="s">
        <v>136</v>
      </c>
      <c r="F252" s="168" t="s">
        <v>672</v>
      </c>
      <c r="G252" s="168" t="s">
        <v>888</v>
      </c>
      <c r="H252" s="168" t="s">
        <v>110</v>
      </c>
      <c r="I252" s="168" t="s">
        <v>889</v>
      </c>
      <c r="J252" s="175" t="s">
        <v>890</v>
      </c>
      <c r="K252" s="174"/>
      <c r="L252" s="174" t="s">
        <v>226</v>
      </c>
      <c r="M252" s="174" t="s">
        <v>154</v>
      </c>
      <c r="N252" s="174"/>
      <c r="O252" s="174" t="s">
        <v>155</v>
      </c>
      <c r="P252" s="152"/>
      <c r="Q252" s="307"/>
      <c r="R252" s="182">
        <f>0</f>
        <v>0</v>
      </c>
      <c r="S252" s="87"/>
      <c r="T252" s="87"/>
      <c r="U252" s="87"/>
      <c r="V252" s="87"/>
      <c r="W252" s="161">
        <v>1</v>
      </c>
      <c r="X252" s="87"/>
      <c r="Y252" s="87"/>
      <c r="Z252" s="87"/>
      <c r="AA252" s="184"/>
      <c r="AB252" s="186"/>
      <c r="AC252" s="87"/>
      <c r="AD252" s="87"/>
      <c r="AE252" s="87"/>
      <c r="AF252" s="87"/>
      <c r="AG252" s="87"/>
      <c r="AH252" s="87"/>
      <c r="AI252" s="87"/>
      <c r="AJ252" s="87"/>
      <c r="AK252" s="184"/>
      <c r="AL252" s="206">
        <f t="shared" si="6"/>
        <v>1</v>
      </c>
      <c r="AM252" s="91">
        <f>0</f>
        <v>0</v>
      </c>
      <c r="AN252" s="207">
        <f t="shared" si="7"/>
        <v>1</v>
      </c>
      <c r="AO252" s="193">
        <v>45082</v>
      </c>
      <c r="AP252" s="172" t="s">
        <v>273</v>
      </c>
      <c r="AQ252" s="152" t="s">
        <v>900</v>
      </c>
      <c r="AR252" s="152" t="s">
        <v>148</v>
      </c>
      <c r="AS252" s="159"/>
      <c r="AT252" s="153"/>
      <c r="AU252" s="154"/>
      <c r="AV252" s="154"/>
      <c r="AW252" s="154"/>
      <c r="AX252" s="155"/>
      <c r="AY252" s="156"/>
      <c r="AZ252" s="157"/>
      <c r="BA252" s="81"/>
      <c r="BB252" s="81"/>
      <c r="BC252" s="81"/>
    </row>
    <row r="253" spans="1:55" ht="28" customHeight="1" x14ac:dyDescent="0.25">
      <c r="A253" s="173">
        <v>248</v>
      </c>
      <c r="B253" s="177" t="s">
        <v>874</v>
      </c>
      <c r="C253" s="77" t="s">
        <v>134</v>
      </c>
      <c r="D253" s="77" t="s">
        <v>135</v>
      </c>
      <c r="E253" s="77" t="s">
        <v>136</v>
      </c>
      <c r="F253" s="168" t="s">
        <v>672</v>
      </c>
      <c r="G253" s="168" t="s">
        <v>891</v>
      </c>
      <c r="H253" s="168" t="s">
        <v>110</v>
      </c>
      <c r="I253" s="168" t="s">
        <v>892</v>
      </c>
      <c r="J253" s="175" t="s">
        <v>893</v>
      </c>
      <c r="K253" s="174"/>
      <c r="L253" s="174" t="s">
        <v>884</v>
      </c>
      <c r="M253" s="174" t="s">
        <v>154</v>
      </c>
      <c r="N253" s="174"/>
      <c r="O253" s="174" t="s">
        <v>80</v>
      </c>
      <c r="P253" s="152"/>
      <c r="Q253" s="307"/>
      <c r="R253" s="182">
        <f>0</f>
        <v>0</v>
      </c>
      <c r="S253" s="87"/>
      <c r="T253" s="87"/>
      <c r="U253" s="87"/>
      <c r="V253" s="87"/>
      <c r="W253" s="161">
        <v>1</v>
      </c>
      <c r="X253" s="87"/>
      <c r="Y253" s="87"/>
      <c r="Z253" s="87"/>
      <c r="AA253" s="184"/>
      <c r="AB253" s="186"/>
      <c r="AC253" s="87"/>
      <c r="AD253" s="87"/>
      <c r="AE253" s="87"/>
      <c r="AF253" s="87"/>
      <c r="AG253" s="87"/>
      <c r="AH253" s="87"/>
      <c r="AI253" s="87"/>
      <c r="AJ253" s="87"/>
      <c r="AK253" s="184"/>
      <c r="AL253" s="206">
        <f t="shared" si="6"/>
        <v>1</v>
      </c>
      <c r="AM253" s="91">
        <f>0</f>
        <v>0</v>
      </c>
      <c r="AN253" s="207">
        <f t="shared" si="7"/>
        <v>1</v>
      </c>
      <c r="AO253" s="193">
        <v>45082</v>
      </c>
      <c r="AP253" s="172" t="s">
        <v>273</v>
      </c>
      <c r="AQ253" s="152" t="s">
        <v>900</v>
      </c>
      <c r="AR253" s="152" t="s">
        <v>148</v>
      </c>
      <c r="AS253" s="159"/>
      <c r="AT253" s="153"/>
      <c r="AU253" s="154">
        <v>1</v>
      </c>
      <c r="AV253" s="154"/>
      <c r="AW253" s="154" t="s">
        <v>457</v>
      </c>
      <c r="AX253" s="155"/>
      <c r="AY253" s="156"/>
      <c r="AZ253" s="157"/>
      <c r="BA253" s="81"/>
      <c r="BB253" s="81"/>
      <c r="BC253" s="81"/>
    </row>
    <row r="254" spans="1:55" ht="28" customHeight="1" x14ac:dyDescent="0.25">
      <c r="A254" s="173">
        <v>249</v>
      </c>
      <c r="B254" s="177" t="s">
        <v>874</v>
      </c>
      <c r="C254" s="77" t="s">
        <v>134</v>
      </c>
      <c r="D254" s="77" t="s">
        <v>135</v>
      </c>
      <c r="E254" s="77" t="s">
        <v>136</v>
      </c>
      <c r="F254" s="168" t="s">
        <v>672</v>
      </c>
      <c r="G254" s="168" t="s">
        <v>894</v>
      </c>
      <c r="H254" s="168" t="s">
        <v>110</v>
      </c>
      <c r="I254" s="168" t="s">
        <v>895</v>
      </c>
      <c r="J254" s="175" t="s">
        <v>896</v>
      </c>
      <c r="K254" s="174"/>
      <c r="L254" s="174" t="s">
        <v>193</v>
      </c>
      <c r="M254" s="174" t="s">
        <v>154</v>
      </c>
      <c r="N254" s="174" t="s">
        <v>214</v>
      </c>
      <c r="O254" s="174" t="s">
        <v>149</v>
      </c>
      <c r="P254" s="152"/>
      <c r="Q254" s="307"/>
      <c r="R254" s="182">
        <f>0</f>
        <v>0</v>
      </c>
      <c r="S254" s="87"/>
      <c r="T254" s="87"/>
      <c r="U254" s="87"/>
      <c r="V254" s="87"/>
      <c r="W254" s="161">
        <v>1</v>
      </c>
      <c r="X254" s="87"/>
      <c r="Y254" s="87"/>
      <c r="Z254" s="87"/>
      <c r="AA254" s="184"/>
      <c r="AB254" s="186"/>
      <c r="AC254" s="87"/>
      <c r="AD254" s="87"/>
      <c r="AE254" s="87"/>
      <c r="AF254" s="87"/>
      <c r="AG254" s="87"/>
      <c r="AH254" s="87"/>
      <c r="AI254" s="87"/>
      <c r="AJ254" s="87"/>
      <c r="AK254" s="184"/>
      <c r="AL254" s="206">
        <f t="shared" si="6"/>
        <v>1</v>
      </c>
      <c r="AM254" s="91">
        <f>0</f>
        <v>0</v>
      </c>
      <c r="AN254" s="207">
        <f t="shared" si="7"/>
        <v>1</v>
      </c>
      <c r="AO254" s="193">
        <v>45082</v>
      </c>
      <c r="AP254" s="172" t="s">
        <v>273</v>
      </c>
      <c r="AQ254" s="152" t="s">
        <v>900</v>
      </c>
      <c r="AR254" s="152" t="s">
        <v>148</v>
      </c>
      <c r="AS254" s="159"/>
      <c r="AT254" s="153"/>
      <c r="AU254" s="154"/>
      <c r="AV254" s="154"/>
      <c r="AW254" s="154"/>
      <c r="AX254" s="155"/>
      <c r="AY254" s="156"/>
      <c r="AZ254" s="157"/>
      <c r="BA254" s="81"/>
      <c r="BB254" s="81"/>
      <c r="BC254" s="81"/>
    </row>
    <row r="255" spans="1:55" ht="28" customHeight="1" x14ac:dyDescent="0.25">
      <c r="A255" s="173">
        <v>250</v>
      </c>
      <c r="B255" s="177" t="s">
        <v>874</v>
      </c>
      <c r="C255" s="77" t="s">
        <v>134</v>
      </c>
      <c r="D255" s="77" t="s">
        <v>135</v>
      </c>
      <c r="E255" s="77" t="s">
        <v>136</v>
      </c>
      <c r="F255" s="168" t="s">
        <v>672</v>
      </c>
      <c r="G255" s="168" t="s">
        <v>897</v>
      </c>
      <c r="H255" s="168" t="s">
        <v>110</v>
      </c>
      <c r="I255" s="168" t="s">
        <v>898</v>
      </c>
      <c r="J255" s="175" t="s">
        <v>899</v>
      </c>
      <c r="K255" s="174"/>
      <c r="L255" s="174" t="s">
        <v>209</v>
      </c>
      <c r="M255" s="174" t="s">
        <v>114</v>
      </c>
      <c r="N255" s="174"/>
      <c r="O255" s="174"/>
      <c r="P255" s="152"/>
      <c r="Q255" s="307"/>
      <c r="R255" s="182">
        <f>0</f>
        <v>0</v>
      </c>
      <c r="S255" s="87"/>
      <c r="T255" s="87"/>
      <c r="U255" s="87"/>
      <c r="V255" s="87"/>
      <c r="W255" s="161">
        <v>1</v>
      </c>
      <c r="X255" s="87"/>
      <c r="Y255" s="87"/>
      <c r="Z255" s="87"/>
      <c r="AA255" s="184"/>
      <c r="AB255" s="186"/>
      <c r="AC255" s="87"/>
      <c r="AD255" s="87"/>
      <c r="AE255" s="87"/>
      <c r="AF255" s="87"/>
      <c r="AG255" s="87"/>
      <c r="AH255" s="87"/>
      <c r="AI255" s="87"/>
      <c r="AJ255" s="87"/>
      <c r="AK255" s="184"/>
      <c r="AL255" s="206">
        <f t="shared" si="6"/>
        <v>1</v>
      </c>
      <c r="AM255" s="91">
        <f>0</f>
        <v>0</v>
      </c>
      <c r="AN255" s="207">
        <f t="shared" si="7"/>
        <v>1</v>
      </c>
      <c r="AO255" s="194">
        <v>45082</v>
      </c>
      <c r="AP255" s="172" t="s">
        <v>273</v>
      </c>
      <c r="AQ255" s="171" t="s">
        <v>902</v>
      </c>
      <c r="AR255" s="171" t="s">
        <v>276</v>
      </c>
      <c r="AS255" s="159"/>
      <c r="AT255" s="153"/>
      <c r="AU255" s="154">
        <v>1</v>
      </c>
      <c r="AV255" s="154"/>
      <c r="AW255" s="99" t="s">
        <v>457</v>
      </c>
      <c r="AX255" s="155"/>
      <c r="AY255" s="156"/>
      <c r="AZ255" s="157"/>
      <c r="BA255" s="81"/>
      <c r="BB255" s="81"/>
      <c r="BC255" s="81"/>
    </row>
    <row r="256" spans="1:55" ht="28" customHeight="1" x14ac:dyDescent="0.25">
      <c r="A256" s="173">
        <v>251</v>
      </c>
      <c r="B256" s="147">
        <v>45084</v>
      </c>
      <c r="C256" s="77" t="s">
        <v>134</v>
      </c>
      <c r="D256" s="77" t="s">
        <v>135</v>
      </c>
      <c r="E256" s="77" t="s">
        <v>136</v>
      </c>
      <c r="F256" s="219" t="s">
        <v>1186</v>
      </c>
      <c r="G256" s="219" t="s">
        <v>903</v>
      </c>
      <c r="H256" s="219" t="s">
        <v>110</v>
      </c>
      <c r="I256" s="219" t="s">
        <v>220</v>
      </c>
      <c r="J256" s="221" t="s">
        <v>904</v>
      </c>
      <c r="K256" s="220" t="s">
        <v>80</v>
      </c>
      <c r="L256" s="220" t="s">
        <v>222</v>
      </c>
      <c r="M256" s="220" t="s">
        <v>154</v>
      </c>
      <c r="N256" s="220" t="s">
        <v>80</v>
      </c>
      <c r="O256" s="220" t="s">
        <v>1220</v>
      </c>
      <c r="P256" s="152" t="s">
        <v>80</v>
      </c>
      <c r="Q256" s="307" t="s">
        <v>80</v>
      </c>
      <c r="R256" s="211">
        <f>0</f>
        <v>0</v>
      </c>
      <c r="S256" s="212">
        <v>0</v>
      </c>
      <c r="T256" s="212">
        <v>0</v>
      </c>
      <c r="U256" s="212">
        <v>0</v>
      </c>
      <c r="V256" s="212">
        <v>0</v>
      </c>
      <c r="W256" s="212">
        <v>0</v>
      </c>
      <c r="X256" s="212">
        <v>0</v>
      </c>
      <c r="Y256" s="212">
        <v>0</v>
      </c>
      <c r="Z256" s="179">
        <v>2</v>
      </c>
      <c r="AA256" s="213">
        <v>0</v>
      </c>
      <c r="AB256" s="214">
        <v>0</v>
      </c>
      <c r="AC256" s="212">
        <v>0</v>
      </c>
      <c r="AD256" s="212">
        <v>0</v>
      </c>
      <c r="AE256" s="212">
        <v>0</v>
      </c>
      <c r="AF256" s="212">
        <v>0</v>
      </c>
      <c r="AG256" s="212">
        <v>0</v>
      </c>
      <c r="AH256" s="212">
        <v>0</v>
      </c>
      <c r="AI256" s="212">
        <v>0</v>
      </c>
      <c r="AJ256" s="212">
        <v>0</v>
      </c>
      <c r="AK256" s="213">
        <v>0</v>
      </c>
      <c r="AL256" s="215">
        <f t="shared" si="6"/>
        <v>2</v>
      </c>
      <c r="AM256" s="216">
        <f>0</f>
        <v>0</v>
      </c>
      <c r="AN256" s="217">
        <f t="shared" si="7"/>
        <v>2</v>
      </c>
      <c r="AO256" s="276">
        <v>45090</v>
      </c>
      <c r="AP256" s="151" t="s">
        <v>273</v>
      </c>
      <c r="AQ256" s="152" t="s">
        <v>1290</v>
      </c>
      <c r="AR256" s="152" t="s">
        <v>148</v>
      </c>
      <c r="AS256" s="159"/>
      <c r="AT256" s="153"/>
      <c r="AU256" s="154"/>
      <c r="AV256" s="154"/>
      <c r="AW256" s="154"/>
      <c r="AX256" s="155"/>
      <c r="AY256" s="156"/>
      <c r="AZ256" s="157"/>
      <c r="BA256" s="81"/>
      <c r="BB256" s="81"/>
      <c r="BC256" s="81"/>
    </row>
    <row r="257" spans="1:55" ht="28" customHeight="1" x14ac:dyDescent="0.25">
      <c r="A257" s="173">
        <v>252</v>
      </c>
      <c r="B257" s="147">
        <v>45084</v>
      </c>
      <c r="C257" s="77" t="s">
        <v>134</v>
      </c>
      <c r="D257" s="77" t="s">
        <v>135</v>
      </c>
      <c r="E257" s="77" t="s">
        <v>136</v>
      </c>
      <c r="F257" s="219" t="s">
        <v>1186</v>
      </c>
      <c r="G257" s="219" t="s">
        <v>905</v>
      </c>
      <c r="H257" s="219" t="s">
        <v>110</v>
      </c>
      <c r="I257" s="219" t="s">
        <v>906</v>
      </c>
      <c r="J257" s="221" t="s">
        <v>907</v>
      </c>
      <c r="K257" s="220" t="s">
        <v>80</v>
      </c>
      <c r="L257" s="220" t="s">
        <v>168</v>
      </c>
      <c r="M257" s="220" t="s">
        <v>154</v>
      </c>
      <c r="N257" s="220" t="s">
        <v>80</v>
      </c>
      <c r="O257" s="220" t="s">
        <v>149</v>
      </c>
      <c r="P257" s="152" t="s">
        <v>80</v>
      </c>
      <c r="Q257" s="307" t="s">
        <v>80</v>
      </c>
      <c r="R257" s="211">
        <f>0</f>
        <v>0</v>
      </c>
      <c r="S257" s="212">
        <v>0</v>
      </c>
      <c r="T257" s="212">
        <v>0</v>
      </c>
      <c r="U257" s="212">
        <v>0</v>
      </c>
      <c r="V257" s="212">
        <v>0</v>
      </c>
      <c r="W257" s="212">
        <v>0</v>
      </c>
      <c r="X257" s="212">
        <v>0</v>
      </c>
      <c r="Y257" s="212">
        <v>0</v>
      </c>
      <c r="Z257" s="179">
        <v>1</v>
      </c>
      <c r="AA257" s="213">
        <v>0</v>
      </c>
      <c r="AB257" s="214">
        <v>0</v>
      </c>
      <c r="AC257" s="212">
        <v>0</v>
      </c>
      <c r="AD257" s="212">
        <v>0</v>
      </c>
      <c r="AE257" s="212">
        <v>0</v>
      </c>
      <c r="AF257" s="212">
        <v>0</v>
      </c>
      <c r="AG257" s="212">
        <v>0</v>
      </c>
      <c r="AH257" s="212">
        <v>0</v>
      </c>
      <c r="AI257" s="212">
        <v>0</v>
      </c>
      <c r="AJ257" s="212">
        <v>0</v>
      </c>
      <c r="AK257" s="213">
        <v>0</v>
      </c>
      <c r="AL257" s="215">
        <f t="shared" si="6"/>
        <v>1</v>
      </c>
      <c r="AM257" s="216">
        <f>0</f>
        <v>0</v>
      </c>
      <c r="AN257" s="217">
        <f t="shared" si="7"/>
        <v>1</v>
      </c>
      <c r="AO257" s="276">
        <v>45092</v>
      </c>
      <c r="AP257" s="224" t="s">
        <v>273</v>
      </c>
      <c r="AQ257" s="97" t="s">
        <v>1305</v>
      </c>
      <c r="AR257" s="219" t="s">
        <v>148</v>
      </c>
      <c r="AS257" s="159"/>
      <c r="AT257" s="153"/>
      <c r="AU257" s="154">
        <v>1</v>
      </c>
      <c r="AV257" s="154"/>
      <c r="AW257" s="154" t="s">
        <v>457</v>
      </c>
      <c r="AX257" s="155"/>
      <c r="AY257" s="156"/>
      <c r="AZ257" s="157"/>
      <c r="BA257" s="81"/>
      <c r="BB257" s="81"/>
      <c r="BC257" s="81"/>
    </row>
    <row r="258" spans="1:55" ht="28" customHeight="1" x14ac:dyDescent="0.25">
      <c r="A258" s="173">
        <v>253</v>
      </c>
      <c r="B258" s="147">
        <v>45084</v>
      </c>
      <c r="C258" s="77" t="s">
        <v>134</v>
      </c>
      <c r="D258" s="77" t="s">
        <v>135</v>
      </c>
      <c r="E258" s="77" t="s">
        <v>136</v>
      </c>
      <c r="F258" s="219" t="s">
        <v>1186</v>
      </c>
      <c r="G258" s="219" t="s">
        <v>908</v>
      </c>
      <c r="H258" s="219" t="s">
        <v>110</v>
      </c>
      <c r="I258" s="219" t="s">
        <v>909</v>
      </c>
      <c r="J258" s="221" t="s">
        <v>910</v>
      </c>
      <c r="K258" s="220" t="s">
        <v>80</v>
      </c>
      <c r="L258" s="220" t="s">
        <v>189</v>
      </c>
      <c r="M258" s="220" t="s">
        <v>154</v>
      </c>
      <c r="N258" s="220" t="s">
        <v>80</v>
      </c>
      <c r="O258" s="220" t="s">
        <v>1219</v>
      </c>
      <c r="P258" s="152" t="s">
        <v>80</v>
      </c>
      <c r="Q258" s="307" t="s">
        <v>80</v>
      </c>
      <c r="R258" s="211">
        <f>0</f>
        <v>0</v>
      </c>
      <c r="S258" s="212">
        <v>0</v>
      </c>
      <c r="T258" s="212">
        <v>0</v>
      </c>
      <c r="U258" s="212">
        <v>0</v>
      </c>
      <c r="V258" s="212">
        <v>0</v>
      </c>
      <c r="W258" s="212">
        <v>0</v>
      </c>
      <c r="X258" s="212">
        <v>0</v>
      </c>
      <c r="Y258" s="212">
        <v>0</v>
      </c>
      <c r="Z258" s="179">
        <v>1</v>
      </c>
      <c r="AA258" s="213">
        <v>0</v>
      </c>
      <c r="AB258" s="214">
        <v>0</v>
      </c>
      <c r="AC258" s="212">
        <v>0</v>
      </c>
      <c r="AD258" s="212">
        <v>0</v>
      </c>
      <c r="AE258" s="212">
        <v>0</v>
      </c>
      <c r="AF258" s="212">
        <v>0</v>
      </c>
      <c r="AG258" s="212">
        <v>0</v>
      </c>
      <c r="AH258" s="212">
        <v>0</v>
      </c>
      <c r="AI258" s="212">
        <v>0</v>
      </c>
      <c r="AJ258" s="212">
        <v>0</v>
      </c>
      <c r="AK258" s="213">
        <v>0</v>
      </c>
      <c r="AL258" s="215">
        <f t="shared" si="6"/>
        <v>1</v>
      </c>
      <c r="AM258" s="216">
        <f>0</f>
        <v>0</v>
      </c>
      <c r="AN258" s="217">
        <f t="shared" si="7"/>
        <v>1</v>
      </c>
      <c r="AO258" s="276">
        <v>45090</v>
      </c>
      <c r="AP258" s="151" t="s">
        <v>273</v>
      </c>
      <c r="AQ258" s="152" t="s">
        <v>1290</v>
      </c>
      <c r="AR258" s="152" t="s">
        <v>148</v>
      </c>
      <c r="AS258" s="159"/>
      <c r="AT258" s="153"/>
      <c r="AU258" s="154"/>
      <c r="AV258" s="154"/>
      <c r="AW258" s="154"/>
      <c r="AX258" s="155"/>
      <c r="AY258" s="156"/>
      <c r="AZ258" s="157"/>
      <c r="BA258" s="81"/>
      <c r="BB258" s="81"/>
      <c r="BC258" s="81"/>
    </row>
    <row r="259" spans="1:55" ht="28" customHeight="1" x14ac:dyDescent="0.25">
      <c r="A259" s="173">
        <v>254</v>
      </c>
      <c r="B259" s="147">
        <v>45084</v>
      </c>
      <c r="C259" s="77" t="s">
        <v>134</v>
      </c>
      <c r="D259" s="77" t="s">
        <v>135</v>
      </c>
      <c r="E259" s="77" t="s">
        <v>136</v>
      </c>
      <c r="F259" s="219" t="s">
        <v>1186</v>
      </c>
      <c r="G259" s="219" t="s">
        <v>911</v>
      </c>
      <c r="H259" s="219" t="s">
        <v>110</v>
      </c>
      <c r="I259" s="219" t="s">
        <v>912</v>
      </c>
      <c r="J259" s="221" t="s">
        <v>913</v>
      </c>
      <c r="K259" s="220" t="s">
        <v>80</v>
      </c>
      <c r="L259" s="220" t="s">
        <v>193</v>
      </c>
      <c r="M259" s="220" t="s">
        <v>154</v>
      </c>
      <c r="N259" s="220" t="s">
        <v>212</v>
      </c>
      <c r="O259" s="220" t="s">
        <v>149</v>
      </c>
      <c r="P259" s="152" t="s">
        <v>80</v>
      </c>
      <c r="Q259" s="307" t="s">
        <v>80</v>
      </c>
      <c r="R259" s="211">
        <f>0</f>
        <v>0</v>
      </c>
      <c r="S259" s="212">
        <v>0</v>
      </c>
      <c r="T259" s="212">
        <v>0</v>
      </c>
      <c r="U259" s="212">
        <v>0</v>
      </c>
      <c r="V259" s="212">
        <v>0</v>
      </c>
      <c r="W259" s="212">
        <v>0</v>
      </c>
      <c r="X259" s="212">
        <v>0</v>
      </c>
      <c r="Y259" s="212">
        <v>0</v>
      </c>
      <c r="Z259" s="179">
        <v>1</v>
      </c>
      <c r="AA259" s="213">
        <v>0</v>
      </c>
      <c r="AB259" s="214">
        <v>0</v>
      </c>
      <c r="AC259" s="212">
        <v>0</v>
      </c>
      <c r="AD259" s="212">
        <v>0</v>
      </c>
      <c r="AE259" s="212">
        <v>0</v>
      </c>
      <c r="AF259" s="212">
        <v>0</v>
      </c>
      <c r="AG259" s="212">
        <v>0</v>
      </c>
      <c r="AH259" s="212">
        <v>0</v>
      </c>
      <c r="AI259" s="212">
        <v>0</v>
      </c>
      <c r="AJ259" s="212">
        <v>0</v>
      </c>
      <c r="AK259" s="213">
        <v>0</v>
      </c>
      <c r="AL259" s="215">
        <f t="shared" si="6"/>
        <v>1</v>
      </c>
      <c r="AM259" s="216">
        <f>0</f>
        <v>0</v>
      </c>
      <c r="AN259" s="217">
        <f t="shared" si="7"/>
        <v>1</v>
      </c>
      <c r="AO259" s="276">
        <v>45090</v>
      </c>
      <c r="AP259" s="151" t="s">
        <v>273</v>
      </c>
      <c r="AQ259" s="152" t="s">
        <v>1290</v>
      </c>
      <c r="AR259" s="152" t="s">
        <v>148</v>
      </c>
      <c r="AS259" s="159"/>
      <c r="AT259" s="153"/>
      <c r="AU259" s="154"/>
      <c r="AV259" s="154"/>
      <c r="AW259" s="154"/>
      <c r="AX259" s="155"/>
      <c r="AY259" s="156"/>
      <c r="AZ259" s="157"/>
      <c r="BA259" s="81"/>
      <c r="BB259" s="81"/>
      <c r="BC259" s="81"/>
    </row>
    <row r="260" spans="1:55" ht="28" customHeight="1" x14ac:dyDescent="0.25">
      <c r="A260" s="173">
        <v>255</v>
      </c>
      <c r="B260" s="147">
        <v>45084</v>
      </c>
      <c r="C260" s="77" t="s">
        <v>134</v>
      </c>
      <c r="D260" s="77" t="s">
        <v>135</v>
      </c>
      <c r="E260" s="77" t="s">
        <v>136</v>
      </c>
      <c r="F260" s="219" t="s">
        <v>1186</v>
      </c>
      <c r="G260" s="219" t="s">
        <v>914</v>
      </c>
      <c r="H260" s="219" t="s">
        <v>110</v>
      </c>
      <c r="I260" s="219" t="s">
        <v>906</v>
      </c>
      <c r="J260" s="221" t="s">
        <v>915</v>
      </c>
      <c r="K260" s="220" t="s">
        <v>80</v>
      </c>
      <c r="L260" s="220" t="s">
        <v>193</v>
      </c>
      <c r="M260" s="220" t="s">
        <v>154</v>
      </c>
      <c r="N260" s="220" t="s">
        <v>212</v>
      </c>
      <c r="O260" s="220" t="s">
        <v>149</v>
      </c>
      <c r="P260" s="152" t="s">
        <v>80</v>
      </c>
      <c r="Q260" s="307" t="s">
        <v>80</v>
      </c>
      <c r="R260" s="211">
        <f>0</f>
        <v>0</v>
      </c>
      <c r="S260" s="212">
        <v>0</v>
      </c>
      <c r="T260" s="212">
        <v>0</v>
      </c>
      <c r="U260" s="212">
        <v>0</v>
      </c>
      <c r="V260" s="212">
        <v>0</v>
      </c>
      <c r="W260" s="212">
        <v>0</v>
      </c>
      <c r="X260" s="212">
        <v>0</v>
      </c>
      <c r="Y260" s="212">
        <v>0</v>
      </c>
      <c r="Z260" s="179">
        <v>1</v>
      </c>
      <c r="AA260" s="213">
        <v>0</v>
      </c>
      <c r="AB260" s="214">
        <v>0</v>
      </c>
      <c r="AC260" s="212">
        <v>0</v>
      </c>
      <c r="AD260" s="212">
        <v>0</v>
      </c>
      <c r="AE260" s="212">
        <v>0</v>
      </c>
      <c r="AF260" s="212">
        <v>0</v>
      </c>
      <c r="AG260" s="212">
        <v>0</v>
      </c>
      <c r="AH260" s="212">
        <v>0</v>
      </c>
      <c r="AI260" s="212">
        <v>0</v>
      </c>
      <c r="AJ260" s="212">
        <v>0</v>
      </c>
      <c r="AK260" s="213">
        <v>0</v>
      </c>
      <c r="AL260" s="215">
        <f t="shared" si="6"/>
        <v>1</v>
      </c>
      <c r="AM260" s="216">
        <f>0</f>
        <v>0</v>
      </c>
      <c r="AN260" s="217">
        <f t="shared" si="7"/>
        <v>1</v>
      </c>
      <c r="AO260" s="276">
        <v>45090</v>
      </c>
      <c r="AP260" s="151" t="s">
        <v>273</v>
      </c>
      <c r="AQ260" s="152" t="s">
        <v>1290</v>
      </c>
      <c r="AR260" s="152" t="s">
        <v>148</v>
      </c>
      <c r="AS260" s="159"/>
      <c r="AT260" s="153"/>
      <c r="AU260" s="154"/>
      <c r="AV260" s="154"/>
      <c r="AW260" s="154"/>
      <c r="AX260" s="155"/>
      <c r="AY260" s="156"/>
      <c r="AZ260" s="157"/>
      <c r="BA260" s="81"/>
      <c r="BB260" s="81"/>
      <c r="BC260" s="81"/>
    </row>
    <row r="261" spans="1:55" ht="28" customHeight="1" x14ac:dyDescent="0.25">
      <c r="A261" s="173">
        <v>256</v>
      </c>
      <c r="B261" s="147">
        <v>45084</v>
      </c>
      <c r="C261" s="77" t="s">
        <v>134</v>
      </c>
      <c r="D261" s="77" t="s">
        <v>135</v>
      </c>
      <c r="E261" s="77" t="s">
        <v>136</v>
      </c>
      <c r="F261" s="219" t="s">
        <v>1186</v>
      </c>
      <c r="G261" s="219" t="s">
        <v>916</v>
      </c>
      <c r="H261" s="219" t="s">
        <v>110</v>
      </c>
      <c r="I261" s="219" t="s">
        <v>917</v>
      </c>
      <c r="J261" s="221" t="s">
        <v>918</v>
      </c>
      <c r="K261" s="220" t="s">
        <v>80</v>
      </c>
      <c r="L261" s="220" t="s">
        <v>168</v>
      </c>
      <c r="M261" s="220" t="s">
        <v>154</v>
      </c>
      <c r="N261" s="220" t="s">
        <v>212</v>
      </c>
      <c r="O261" s="220" t="s">
        <v>149</v>
      </c>
      <c r="P261" s="152" t="s">
        <v>80</v>
      </c>
      <c r="Q261" s="307" t="s">
        <v>80</v>
      </c>
      <c r="R261" s="211">
        <f>0</f>
        <v>0</v>
      </c>
      <c r="S261" s="212">
        <v>0</v>
      </c>
      <c r="T261" s="212">
        <v>0</v>
      </c>
      <c r="U261" s="212">
        <v>0</v>
      </c>
      <c r="V261" s="212">
        <v>0</v>
      </c>
      <c r="W261" s="212">
        <v>0</v>
      </c>
      <c r="X261" s="212">
        <v>0</v>
      </c>
      <c r="Y261" s="212">
        <v>0</v>
      </c>
      <c r="Z261" s="179">
        <v>1</v>
      </c>
      <c r="AA261" s="213">
        <v>0</v>
      </c>
      <c r="AB261" s="214">
        <v>0</v>
      </c>
      <c r="AC261" s="212">
        <v>0</v>
      </c>
      <c r="AD261" s="212">
        <v>0</v>
      </c>
      <c r="AE261" s="212">
        <v>0</v>
      </c>
      <c r="AF261" s="212">
        <v>0</v>
      </c>
      <c r="AG261" s="212">
        <v>0</v>
      </c>
      <c r="AH261" s="212">
        <v>0</v>
      </c>
      <c r="AI261" s="212">
        <v>0</v>
      </c>
      <c r="AJ261" s="212">
        <v>0</v>
      </c>
      <c r="AK261" s="213">
        <v>0</v>
      </c>
      <c r="AL261" s="215">
        <f t="shared" si="6"/>
        <v>1</v>
      </c>
      <c r="AM261" s="216">
        <f>0</f>
        <v>0</v>
      </c>
      <c r="AN261" s="217">
        <f t="shared" si="7"/>
        <v>1</v>
      </c>
      <c r="AO261" s="276">
        <v>45090</v>
      </c>
      <c r="AP261" s="151" t="s">
        <v>273</v>
      </c>
      <c r="AQ261" s="152" t="s">
        <v>1290</v>
      </c>
      <c r="AR261" s="152" t="s">
        <v>148</v>
      </c>
      <c r="AS261" s="159"/>
      <c r="AT261" s="153"/>
      <c r="AU261" s="154"/>
      <c r="AV261" s="154"/>
      <c r="AW261" s="154"/>
      <c r="AX261" s="155"/>
      <c r="AY261" s="156"/>
      <c r="AZ261" s="157"/>
      <c r="BA261" s="81"/>
      <c r="BB261" s="81"/>
      <c r="BC261" s="81"/>
    </row>
    <row r="262" spans="1:55" ht="28" customHeight="1" x14ac:dyDescent="0.25">
      <c r="A262" s="173">
        <v>257</v>
      </c>
      <c r="B262" s="147">
        <v>45084</v>
      </c>
      <c r="C262" s="77" t="s">
        <v>134</v>
      </c>
      <c r="D262" s="77" t="s">
        <v>135</v>
      </c>
      <c r="E262" s="77" t="s">
        <v>136</v>
      </c>
      <c r="F262" s="219" t="s">
        <v>1186</v>
      </c>
      <c r="G262" s="219" t="s">
        <v>919</v>
      </c>
      <c r="H262" s="219" t="s">
        <v>110</v>
      </c>
      <c r="I262" s="219" t="s">
        <v>920</v>
      </c>
      <c r="J262" s="221" t="s">
        <v>921</v>
      </c>
      <c r="K262" s="220" t="s">
        <v>922</v>
      </c>
      <c r="L262" s="220" t="s">
        <v>923</v>
      </c>
      <c r="M262" s="220" t="s">
        <v>154</v>
      </c>
      <c r="N262" s="220" t="s">
        <v>80</v>
      </c>
      <c r="O262" s="220" t="s">
        <v>1220</v>
      </c>
      <c r="P262" s="152" t="s">
        <v>80</v>
      </c>
      <c r="Q262" s="307" t="s">
        <v>80</v>
      </c>
      <c r="R262" s="211">
        <f>0</f>
        <v>0</v>
      </c>
      <c r="S262" s="212">
        <v>0</v>
      </c>
      <c r="T262" s="212">
        <v>0</v>
      </c>
      <c r="U262" s="212">
        <v>0</v>
      </c>
      <c r="V262" s="212">
        <v>0</v>
      </c>
      <c r="W262" s="212">
        <v>0</v>
      </c>
      <c r="X262" s="212">
        <v>0</v>
      </c>
      <c r="Y262" s="212">
        <v>0</v>
      </c>
      <c r="Z262" s="179">
        <v>1</v>
      </c>
      <c r="AA262" s="213">
        <v>0</v>
      </c>
      <c r="AB262" s="214">
        <v>0</v>
      </c>
      <c r="AC262" s="212">
        <v>0</v>
      </c>
      <c r="AD262" s="212">
        <v>0</v>
      </c>
      <c r="AE262" s="212">
        <v>0</v>
      </c>
      <c r="AF262" s="212">
        <v>0</v>
      </c>
      <c r="AG262" s="212">
        <v>0</v>
      </c>
      <c r="AH262" s="212">
        <v>0</v>
      </c>
      <c r="AI262" s="212">
        <v>0</v>
      </c>
      <c r="AJ262" s="212">
        <v>0</v>
      </c>
      <c r="AK262" s="213">
        <v>0</v>
      </c>
      <c r="AL262" s="215">
        <f t="shared" ref="AL262:AL325" si="8">SUM(R262:AK262)</f>
        <v>1</v>
      </c>
      <c r="AM262" s="216">
        <f>0</f>
        <v>0</v>
      </c>
      <c r="AN262" s="217">
        <f t="shared" ref="AN262:AN325" si="9">AL262-AM262</f>
        <v>1</v>
      </c>
      <c r="AO262" s="276">
        <v>45090</v>
      </c>
      <c r="AP262" s="151" t="s">
        <v>273</v>
      </c>
      <c r="AQ262" s="152" t="s">
        <v>1290</v>
      </c>
      <c r="AR262" s="152" t="s">
        <v>148</v>
      </c>
      <c r="AS262" s="159"/>
      <c r="AT262" s="153"/>
      <c r="AU262" s="154">
        <v>1</v>
      </c>
      <c r="AV262" s="154"/>
      <c r="AW262" s="154" t="s">
        <v>1811</v>
      </c>
      <c r="AX262" s="155"/>
      <c r="AY262" s="156"/>
      <c r="AZ262" s="157"/>
      <c r="BA262" s="81"/>
      <c r="BB262" s="81"/>
      <c r="BC262" s="81"/>
    </row>
    <row r="263" spans="1:55" ht="28" customHeight="1" x14ac:dyDescent="0.25">
      <c r="A263" s="173">
        <v>258</v>
      </c>
      <c r="B263" s="147">
        <v>45084</v>
      </c>
      <c r="C263" s="77" t="s">
        <v>134</v>
      </c>
      <c r="D263" s="77" t="s">
        <v>135</v>
      </c>
      <c r="E263" s="77" t="s">
        <v>136</v>
      </c>
      <c r="F263" s="219" t="s">
        <v>1186</v>
      </c>
      <c r="G263" s="219" t="s">
        <v>924</v>
      </c>
      <c r="H263" s="219" t="s">
        <v>110</v>
      </c>
      <c r="I263" s="219" t="s">
        <v>925</v>
      </c>
      <c r="J263" s="221" t="s">
        <v>926</v>
      </c>
      <c r="K263" s="220" t="s">
        <v>80</v>
      </c>
      <c r="L263" s="220" t="s">
        <v>222</v>
      </c>
      <c r="M263" s="220" t="s">
        <v>154</v>
      </c>
      <c r="N263" s="220" t="s">
        <v>80</v>
      </c>
      <c r="O263" s="220" t="s">
        <v>149</v>
      </c>
      <c r="P263" s="152" t="s">
        <v>80</v>
      </c>
      <c r="Q263" s="307" t="s">
        <v>80</v>
      </c>
      <c r="R263" s="211">
        <f>0</f>
        <v>0</v>
      </c>
      <c r="S263" s="212">
        <v>0</v>
      </c>
      <c r="T263" s="212">
        <v>0</v>
      </c>
      <c r="U263" s="212">
        <v>0</v>
      </c>
      <c r="V263" s="212">
        <v>0</v>
      </c>
      <c r="W263" s="212">
        <v>0</v>
      </c>
      <c r="X263" s="212">
        <v>0</v>
      </c>
      <c r="Y263" s="212">
        <v>0</v>
      </c>
      <c r="Z263" s="179">
        <v>1</v>
      </c>
      <c r="AA263" s="213">
        <v>0</v>
      </c>
      <c r="AB263" s="214">
        <v>0</v>
      </c>
      <c r="AC263" s="212">
        <v>0</v>
      </c>
      <c r="AD263" s="212">
        <v>0</v>
      </c>
      <c r="AE263" s="212">
        <v>0</v>
      </c>
      <c r="AF263" s="212">
        <v>0</v>
      </c>
      <c r="AG263" s="212">
        <v>0</v>
      </c>
      <c r="AH263" s="212">
        <v>0</v>
      </c>
      <c r="AI263" s="212">
        <v>0</v>
      </c>
      <c r="AJ263" s="212">
        <v>0</v>
      </c>
      <c r="AK263" s="213">
        <v>0</v>
      </c>
      <c r="AL263" s="215">
        <f t="shared" si="8"/>
        <v>1</v>
      </c>
      <c r="AM263" s="216">
        <f>0</f>
        <v>0</v>
      </c>
      <c r="AN263" s="217">
        <f t="shared" si="9"/>
        <v>1</v>
      </c>
      <c r="AO263" s="276">
        <v>45090</v>
      </c>
      <c r="AP263" s="151" t="s">
        <v>273</v>
      </c>
      <c r="AQ263" s="152" t="s">
        <v>1290</v>
      </c>
      <c r="AR263" s="152" t="s">
        <v>148</v>
      </c>
      <c r="AS263" s="159"/>
      <c r="AT263" s="153"/>
      <c r="AU263" s="154"/>
      <c r="AV263" s="154"/>
      <c r="AW263" s="154"/>
      <c r="AX263" s="155"/>
      <c r="AY263" s="156"/>
      <c r="AZ263" s="157"/>
      <c r="BA263" s="81"/>
      <c r="BB263" s="81"/>
      <c r="BC263" s="81"/>
    </row>
    <row r="264" spans="1:55" ht="28" customHeight="1" x14ac:dyDescent="0.25">
      <c r="A264" s="173">
        <v>259</v>
      </c>
      <c r="B264" s="147">
        <v>45084</v>
      </c>
      <c r="C264" s="77" t="s">
        <v>134</v>
      </c>
      <c r="D264" s="77" t="s">
        <v>135</v>
      </c>
      <c r="E264" s="77" t="s">
        <v>136</v>
      </c>
      <c r="F264" s="219" t="s">
        <v>1186</v>
      </c>
      <c r="G264" s="219" t="s">
        <v>927</v>
      </c>
      <c r="H264" s="219" t="s">
        <v>110</v>
      </c>
      <c r="I264" s="219" t="s">
        <v>928</v>
      </c>
      <c r="J264" s="221" t="s">
        <v>929</v>
      </c>
      <c r="K264" s="220"/>
      <c r="L264" s="220" t="s">
        <v>222</v>
      </c>
      <c r="M264" s="220" t="s">
        <v>154</v>
      </c>
      <c r="N264" s="220" t="s">
        <v>80</v>
      </c>
      <c r="O264" s="220" t="s">
        <v>149</v>
      </c>
      <c r="P264" s="152" t="s">
        <v>80</v>
      </c>
      <c r="Q264" s="307" t="s">
        <v>80</v>
      </c>
      <c r="R264" s="211">
        <f>0</f>
        <v>0</v>
      </c>
      <c r="S264" s="212">
        <v>0</v>
      </c>
      <c r="T264" s="212">
        <v>0</v>
      </c>
      <c r="U264" s="212">
        <v>0</v>
      </c>
      <c r="V264" s="212">
        <v>0</v>
      </c>
      <c r="W264" s="212">
        <v>0</v>
      </c>
      <c r="X264" s="212">
        <v>0</v>
      </c>
      <c r="Y264" s="212">
        <v>0</v>
      </c>
      <c r="Z264" s="179">
        <v>1</v>
      </c>
      <c r="AA264" s="213">
        <v>0</v>
      </c>
      <c r="AB264" s="214">
        <v>0</v>
      </c>
      <c r="AC264" s="212">
        <v>0</v>
      </c>
      <c r="AD264" s="212">
        <v>0</v>
      </c>
      <c r="AE264" s="212">
        <v>0</v>
      </c>
      <c r="AF264" s="212">
        <v>0</v>
      </c>
      <c r="AG264" s="212">
        <v>0</v>
      </c>
      <c r="AH264" s="212">
        <v>0</v>
      </c>
      <c r="AI264" s="212">
        <v>0</v>
      </c>
      <c r="AJ264" s="212">
        <v>0</v>
      </c>
      <c r="AK264" s="213">
        <v>0</v>
      </c>
      <c r="AL264" s="215">
        <f t="shared" si="8"/>
        <v>1</v>
      </c>
      <c r="AM264" s="216">
        <f>0</f>
        <v>0</v>
      </c>
      <c r="AN264" s="217">
        <f t="shared" si="9"/>
        <v>1</v>
      </c>
      <c r="AO264" s="276">
        <v>45090</v>
      </c>
      <c r="AP264" s="151" t="s">
        <v>273</v>
      </c>
      <c r="AQ264" s="152" t="s">
        <v>1290</v>
      </c>
      <c r="AR264" s="152" t="s">
        <v>148</v>
      </c>
      <c r="AS264" s="159"/>
      <c r="AT264" s="153"/>
      <c r="AU264" s="154"/>
      <c r="AV264" s="154"/>
      <c r="AW264" s="154"/>
      <c r="AX264" s="155"/>
      <c r="AY264" s="156"/>
      <c r="AZ264" s="157"/>
      <c r="BA264" s="81"/>
      <c r="BB264" s="81"/>
      <c r="BC264" s="81"/>
    </row>
    <row r="265" spans="1:55" ht="28" customHeight="1" x14ac:dyDescent="0.25">
      <c r="A265" s="173">
        <v>260</v>
      </c>
      <c r="B265" s="147">
        <v>45084</v>
      </c>
      <c r="C265" s="77" t="s">
        <v>134</v>
      </c>
      <c r="D265" s="77" t="s">
        <v>135</v>
      </c>
      <c r="E265" s="77" t="s">
        <v>136</v>
      </c>
      <c r="F265" s="219" t="s">
        <v>1186</v>
      </c>
      <c r="G265" s="219" t="s">
        <v>930</v>
      </c>
      <c r="H265" s="219" t="s">
        <v>287</v>
      </c>
      <c r="I265" s="219" t="s">
        <v>1187</v>
      </c>
      <c r="J265" s="221" t="s">
        <v>1188</v>
      </c>
      <c r="K265" s="220" t="s">
        <v>80</v>
      </c>
      <c r="L265" s="220" t="s">
        <v>304</v>
      </c>
      <c r="M265" s="220" t="s">
        <v>154</v>
      </c>
      <c r="N265" s="220" t="s">
        <v>80</v>
      </c>
      <c r="O265" s="220" t="s">
        <v>708</v>
      </c>
      <c r="P265" s="152" t="s">
        <v>80</v>
      </c>
      <c r="Q265" s="307" t="s">
        <v>80</v>
      </c>
      <c r="R265" s="211">
        <f>0</f>
        <v>0</v>
      </c>
      <c r="S265" s="212">
        <v>0</v>
      </c>
      <c r="T265" s="212">
        <v>0</v>
      </c>
      <c r="U265" s="212">
        <v>0</v>
      </c>
      <c r="V265" s="212">
        <v>0</v>
      </c>
      <c r="W265" s="212">
        <v>0</v>
      </c>
      <c r="X265" s="212">
        <v>0</v>
      </c>
      <c r="Y265" s="212">
        <v>0</v>
      </c>
      <c r="Z265" s="179">
        <v>1</v>
      </c>
      <c r="AA265" s="213">
        <v>0</v>
      </c>
      <c r="AB265" s="214">
        <v>0</v>
      </c>
      <c r="AC265" s="212">
        <v>0</v>
      </c>
      <c r="AD265" s="212">
        <v>0</v>
      </c>
      <c r="AE265" s="212">
        <v>0</v>
      </c>
      <c r="AF265" s="212">
        <v>0</v>
      </c>
      <c r="AG265" s="212">
        <v>0</v>
      </c>
      <c r="AH265" s="212">
        <v>0</v>
      </c>
      <c r="AI265" s="212">
        <v>0</v>
      </c>
      <c r="AJ265" s="212">
        <v>0</v>
      </c>
      <c r="AK265" s="213">
        <v>0</v>
      </c>
      <c r="AL265" s="215">
        <f t="shared" si="8"/>
        <v>1</v>
      </c>
      <c r="AM265" s="216">
        <f>0</f>
        <v>0</v>
      </c>
      <c r="AN265" s="217">
        <f t="shared" si="9"/>
        <v>1</v>
      </c>
      <c r="AO265" s="276">
        <v>45090</v>
      </c>
      <c r="AP265" s="151" t="s">
        <v>273</v>
      </c>
      <c r="AQ265" s="152" t="s">
        <v>1290</v>
      </c>
      <c r="AR265" s="152" t="s">
        <v>148</v>
      </c>
      <c r="AS265" s="159"/>
      <c r="AT265" s="153"/>
      <c r="AU265" s="154"/>
      <c r="AV265" s="154"/>
      <c r="AW265" s="154"/>
      <c r="AX265" s="155"/>
      <c r="AY265" s="156"/>
      <c r="AZ265" s="157"/>
      <c r="BA265" s="81"/>
      <c r="BB265" s="81"/>
      <c r="BC265" s="81"/>
    </row>
    <row r="266" spans="1:55" ht="28" customHeight="1" x14ac:dyDescent="0.25">
      <c r="A266" s="173">
        <v>261</v>
      </c>
      <c r="B266" s="147">
        <v>45084</v>
      </c>
      <c r="C266" s="162"/>
      <c r="D266" s="163"/>
      <c r="E266" s="85" t="s">
        <v>136</v>
      </c>
      <c r="F266" s="219" t="s">
        <v>1186</v>
      </c>
      <c r="G266" s="219" t="s">
        <v>931</v>
      </c>
      <c r="H266" s="219" t="s">
        <v>287</v>
      </c>
      <c r="I266" s="219" t="s">
        <v>1189</v>
      </c>
      <c r="J266" s="221" t="s">
        <v>1190</v>
      </c>
      <c r="K266" s="220" t="s">
        <v>80</v>
      </c>
      <c r="L266" s="220" t="s">
        <v>304</v>
      </c>
      <c r="M266" s="220" t="s">
        <v>154</v>
      </c>
      <c r="N266" s="220" t="s">
        <v>80</v>
      </c>
      <c r="O266" s="220" t="s">
        <v>708</v>
      </c>
      <c r="P266" s="152" t="s">
        <v>80</v>
      </c>
      <c r="Q266" s="307" t="s">
        <v>80</v>
      </c>
      <c r="R266" s="211">
        <f>0</f>
        <v>0</v>
      </c>
      <c r="S266" s="212">
        <v>0</v>
      </c>
      <c r="T266" s="212">
        <v>0</v>
      </c>
      <c r="U266" s="212">
        <v>0</v>
      </c>
      <c r="V266" s="212">
        <v>0</v>
      </c>
      <c r="W266" s="212">
        <v>0</v>
      </c>
      <c r="X266" s="212">
        <v>0</v>
      </c>
      <c r="Y266" s="212">
        <v>0</v>
      </c>
      <c r="Z266" s="179">
        <v>1</v>
      </c>
      <c r="AA266" s="213">
        <v>0</v>
      </c>
      <c r="AB266" s="214">
        <v>0</v>
      </c>
      <c r="AC266" s="212">
        <v>0</v>
      </c>
      <c r="AD266" s="212">
        <v>0</v>
      </c>
      <c r="AE266" s="212">
        <v>0</v>
      </c>
      <c r="AF266" s="212">
        <v>0</v>
      </c>
      <c r="AG266" s="212">
        <v>0</v>
      </c>
      <c r="AH266" s="212">
        <v>0</v>
      </c>
      <c r="AI266" s="212">
        <v>0</v>
      </c>
      <c r="AJ266" s="212">
        <v>0</v>
      </c>
      <c r="AK266" s="213">
        <v>0</v>
      </c>
      <c r="AL266" s="215">
        <f t="shared" si="8"/>
        <v>1</v>
      </c>
      <c r="AM266" s="216">
        <f>0</f>
        <v>0</v>
      </c>
      <c r="AN266" s="217">
        <f t="shared" si="9"/>
        <v>1</v>
      </c>
      <c r="AO266" s="276">
        <v>45090</v>
      </c>
      <c r="AP266" s="151" t="s">
        <v>273</v>
      </c>
      <c r="AQ266" s="152" t="s">
        <v>1290</v>
      </c>
      <c r="AR266" s="152" t="s">
        <v>148</v>
      </c>
      <c r="AS266" s="159"/>
      <c r="AT266" s="153"/>
      <c r="AU266" s="154"/>
      <c r="AV266" s="154"/>
      <c r="AW266" s="154"/>
      <c r="AX266" s="155"/>
      <c r="AY266" s="156"/>
      <c r="AZ266" s="157"/>
      <c r="BA266" s="81"/>
      <c r="BB266" s="81"/>
      <c r="BC266" s="81"/>
    </row>
    <row r="267" spans="1:55" ht="28" customHeight="1" x14ac:dyDescent="0.25">
      <c r="A267" s="173">
        <v>262</v>
      </c>
      <c r="B267" s="147">
        <v>45084</v>
      </c>
      <c r="C267" s="77" t="s">
        <v>134</v>
      </c>
      <c r="D267" s="77" t="s">
        <v>135</v>
      </c>
      <c r="E267" s="77" t="s">
        <v>136</v>
      </c>
      <c r="F267" s="219" t="s">
        <v>1186</v>
      </c>
      <c r="G267" s="219" t="s">
        <v>932</v>
      </c>
      <c r="H267" s="219" t="s">
        <v>110</v>
      </c>
      <c r="I267" s="219" t="s">
        <v>1187</v>
      </c>
      <c r="J267" s="221" t="s">
        <v>1191</v>
      </c>
      <c r="K267" s="220" t="s">
        <v>80</v>
      </c>
      <c r="L267" s="220" t="s">
        <v>304</v>
      </c>
      <c r="M267" s="220" t="s">
        <v>154</v>
      </c>
      <c r="N267" s="220" t="s">
        <v>80</v>
      </c>
      <c r="O267" s="220" t="s">
        <v>708</v>
      </c>
      <c r="P267" s="152" t="s">
        <v>80</v>
      </c>
      <c r="Q267" s="307" t="s">
        <v>80</v>
      </c>
      <c r="R267" s="211">
        <f>0</f>
        <v>0</v>
      </c>
      <c r="S267" s="212">
        <v>0</v>
      </c>
      <c r="T267" s="212">
        <v>0</v>
      </c>
      <c r="U267" s="212">
        <v>0</v>
      </c>
      <c r="V267" s="212">
        <v>0</v>
      </c>
      <c r="W267" s="212">
        <v>0</v>
      </c>
      <c r="X267" s="212">
        <v>0</v>
      </c>
      <c r="Y267" s="212">
        <v>0</v>
      </c>
      <c r="Z267" s="179">
        <v>1</v>
      </c>
      <c r="AA267" s="213">
        <v>0</v>
      </c>
      <c r="AB267" s="214">
        <v>0</v>
      </c>
      <c r="AC267" s="212">
        <v>0</v>
      </c>
      <c r="AD267" s="212">
        <v>0</v>
      </c>
      <c r="AE267" s="212">
        <v>0</v>
      </c>
      <c r="AF267" s="212">
        <v>0</v>
      </c>
      <c r="AG267" s="212">
        <v>0</v>
      </c>
      <c r="AH267" s="212">
        <v>0</v>
      </c>
      <c r="AI267" s="212">
        <v>0</v>
      </c>
      <c r="AJ267" s="212">
        <v>0</v>
      </c>
      <c r="AK267" s="213">
        <v>0</v>
      </c>
      <c r="AL267" s="215">
        <f t="shared" si="8"/>
        <v>1</v>
      </c>
      <c r="AM267" s="216">
        <f>0</f>
        <v>0</v>
      </c>
      <c r="AN267" s="217">
        <f t="shared" si="9"/>
        <v>1</v>
      </c>
      <c r="AO267" s="276">
        <v>45090</v>
      </c>
      <c r="AP267" s="151" t="s">
        <v>273</v>
      </c>
      <c r="AQ267" s="152" t="s">
        <v>1290</v>
      </c>
      <c r="AR267" s="152" t="s">
        <v>148</v>
      </c>
      <c r="AS267" s="159"/>
      <c r="AT267" s="153"/>
      <c r="AU267" s="154"/>
      <c r="AV267" s="154"/>
      <c r="AW267" s="154"/>
      <c r="AX267" s="155"/>
      <c r="AY267" s="156"/>
      <c r="AZ267" s="157"/>
      <c r="BA267" s="81"/>
      <c r="BB267" s="81"/>
      <c r="BC267" s="81"/>
    </row>
    <row r="268" spans="1:55" ht="28" customHeight="1" x14ac:dyDescent="0.25">
      <c r="A268" s="173">
        <v>263</v>
      </c>
      <c r="B268" s="147">
        <v>45084</v>
      </c>
      <c r="C268" s="162"/>
      <c r="D268" s="163"/>
      <c r="E268" s="85" t="s">
        <v>136</v>
      </c>
      <c r="F268" s="219" t="s">
        <v>1186</v>
      </c>
      <c r="G268" s="219" t="s">
        <v>933</v>
      </c>
      <c r="H268" s="219" t="s">
        <v>110</v>
      </c>
      <c r="I268" s="219" t="s">
        <v>1189</v>
      </c>
      <c r="J268" s="221" t="s">
        <v>1192</v>
      </c>
      <c r="K268" s="220" t="s">
        <v>80</v>
      </c>
      <c r="L268" s="220" t="s">
        <v>304</v>
      </c>
      <c r="M268" s="220" t="s">
        <v>154</v>
      </c>
      <c r="N268" s="220" t="s">
        <v>80</v>
      </c>
      <c r="O268" s="220" t="s">
        <v>708</v>
      </c>
      <c r="P268" s="152" t="s">
        <v>80</v>
      </c>
      <c r="Q268" s="307" t="s">
        <v>80</v>
      </c>
      <c r="R268" s="211">
        <f>0</f>
        <v>0</v>
      </c>
      <c r="S268" s="212">
        <v>0</v>
      </c>
      <c r="T268" s="212">
        <v>0</v>
      </c>
      <c r="U268" s="212">
        <v>0</v>
      </c>
      <c r="V268" s="212">
        <v>0</v>
      </c>
      <c r="W268" s="212">
        <v>0</v>
      </c>
      <c r="X268" s="212">
        <v>0</v>
      </c>
      <c r="Y268" s="212">
        <v>0</v>
      </c>
      <c r="Z268" s="179">
        <v>1</v>
      </c>
      <c r="AA268" s="213">
        <v>0</v>
      </c>
      <c r="AB268" s="214">
        <v>0</v>
      </c>
      <c r="AC268" s="212">
        <v>0</v>
      </c>
      <c r="AD268" s="212">
        <v>0</v>
      </c>
      <c r="AE268" s="212">
        <v>0</v>
      </c>
      <c r="AF268" s="212">
        <v>0</v>
      </c>
      <c r="AG268" s="212">
        <v>0</v>
      </c>
      <c r="AH268" s="212">
        <v>0</v>
      </c>
      <c r="AI268" s="212">
        <v>0</v>
      </c>
      <c r="AJ268" s="212">
        <v>0</v>
      </c>
      <c r="AK268" s="213">
        <v>0</v>
      </c>
      <c r="AL268" s="215">
        <f t="shared" si="8"/>
        <v>1</v>
      </c>
      <c r="AM268" s="216">
        <f>0</f>
        <v>0</v>
      </c>
      <c r="AN268" s="217">
        <f t="shared" si="9"/>
        <v>1</v>
      </c>
      <c r="AO268" s="276">
        <v>45090</v>
      </c>
      <c r="AP268" s="151" t="s">
        <v>273</v>
      </c>
      <c r="AQ268" s="152" t="s">
        <v>1290</v>
      </c>
      <c r="AR268" s="152" t="s">
        <v>148</v>
      </c>
      <c r="AS268" s="159"/>
      <c r="AT268" s="153"/>
      <c r="AU268" s="154"/>
      <c r="AV268" s="154"/>
      <c r="AW268" s="154"/>
      <c r="AX268" s="155"/>
      <c r="AY268" s="156"/>
      <c r="AZ268" s="157"/>
      <c r="BA268" s="81"/>
      <c r="BB268" s="81"/>
      <c r="BC268" s="81"/>
    </row>
    <row r="269" spans="1:55" ht="28" customHeight="1" x14ac:dyDescent="0.25">
      <c r="A269" s="173">
        <v>264</v>
      </c>
      <c r="B269" s="147">
        <v>45084</v>
      </c>
      <c r="C269" s="77" t="s">
        <v>134</v>
      </c>
      <c r="D269" s="77" t="s">
        <v>135</v>
      </c>
      <c r="E269" s="77" t="s">
        <v>136</v>
      </c>
      <c r="F269" s="219" t="s">
        <v>1186</v>
      </c>
      <c r="G269" s="219" t="s">
        <v>934</v>
      </c>
      <c r="H269" s="219" t="s">
        <v>283</v>
      </c>
      <c r="I269" s="219" t="s">
        <v>1187</v>
      </c>
      <c r="J269" s="221" t="s">
        <v>1193</v>
      </c>
      <c r="K269" s="220" t="s">
        <v>80</v>
      </c>
      <c r="L269" s="220" t="s">
        <v>304</v>
      </c>
      <c r="M269" s="220" t="s">
        <v>154</v>
      </c>
      <c r="N269" s="220" t="s">
        <v>80</v>
      </c>
      <c r="O269" s="220" t="s">
        <v>708</v>
      </c>
      <c r="P269" s="152" t="s">
        <v>80</v>
      </c>
      <c r="Q269" s="307" t="s">
        <v>80</v>
      </c>
      <c r="R269" s="211">
        <f>0</f>
        <v>0</v>
      </c>
      <c r="S269" s="212">
        <v>0</v>
      </c>
      <c r="T269" s="212">
        <v>0</v>
      </c>
      <c r="U269" s="212">
        <v>0</v>
      </c>
      <c r="V269" s="212">
        <v>0</v>
      </c>
      <c r="W269" s="212">
        <v>0</v>
      </c>
      <c r="X269" s="212">
        <v>0</v>
      </c>
      <c r="Y269" s="212">
        <v>0</v>
      </c>
      <c r="Z269" s="179">
        <v>1</v>
      </c>
      <c r="AA269" s="213">
        <v>0</v>
      </c>
      <c r="AB269" s="214">
        <v>0</v>
      </c>
      <c r="AC269" s="212">
        <v>0</v>
      </c>
      <c r="AD269" s="212">
        <v>0</v>
      </c>
      <c r="AE269" s="212">
        <v>0</v>
      </c>
      <c r="AF269" s="212">
        <v>0</v>
      </c>
      <c r="AG269" s="212">
        <v>0</v>
      </c>
      <c r="AH269" s="212">
        <v>0</v>
      </c>
      <c r="AI269" s="212">
        <v>0</v>
      </c>
      <c r="AJ269" s="212">
        <v>0</v>
      </c>
      <c r="AK269" s="213">
        <v>0</v>
      </c>
      <c r="AL269" s="215">
        <f t="shared" si="8"/>
        <v>1</v>
      </c>
      <c r="AM269" s="216">
        <f>0</f>
        <v>0</v>
      </c>
      <c r="AN269" s="217">
        <f t="shared" si="9"/>
        <v>1</v>
      </c>
      <c r="AO269" s="276">
        <v>45090</v>
      </c>
      <c r="AP269" s="151" t="s">
        <v>273</v>
      </c>
      <c r="AQ269" s="152" t="s">
        <v>1290</v>
      </c>
      <c r="AR269" s="152" t="s">
        <v>148</v>
      </c>
      <c r="AS269" s="159"/>
      <c r="AT269" s="153"/>
      <c r="AU269" s="154"/>
      <c r="AV269" s="154"/>
      <c r="AW269" s="154"/>
      <c r="AX269" s="155"/>
      <c r="AY269" s="156"/>
      <c r="AZ269" s="157"/>
      <c r="BA269" s="81"/>
      <c r="BB269" s="81"/>
      <c r="BC269" s="81"/>
    </row>
    <row r="270" spans="1:55" ht="28" customHeight="1" x14ac:dyDescent="0.25">
      <c r="A270" s="173">
        <v>265</v>
      </c>
      <c r="B270" s="147">
        <v>45084</v>
      </c>
      <c r="C270" s="162"/>
      <c r="D270" s="163"/>
      <c r="E270" s="163"/>
      <c r="F270" s="219" t="s">
        <v>1186</v>
      </c>
      <c r="G270" s="219" t="s">
        <v>935</v>
      </c>
      <c r="H270" s="219" t="s">
        <v>283</v>
      </c>
      <c r="I270" s="219" t="s">
        <v>1189</v>
      </c>
      <c r="J270" s="221" t="s">
        <v>1194</v>
      </c>
      <c r="K270" s="220" t="s">
        <v>80</v>
      </c>
      <c r="L270" s="220" t="s">
        <v>304</v>
      </c>
      <c r="M270" s="220" t="s">
        <v>154</v>
      </c>
      <c r="N270" s="220" t="s">
        <v>80</v>
      </c>
      <c r="O270" s="220" t="s">
        <v>708</v>
      </c>
      <c r="P270" s="152" t="s">
        <v>80</v>
      </c>
      <c r="Q270" s="307" t="s">
        <v>80</v>
      </c>
      <c r="R270" s="211">
        <f>0</f>
        <v>0</v>
      </c>
      <c r="S270" s="212">
        <v>0</v>
      </c>
      <c r="T270" s="212">
        <v>0</v>
      </c>
      <c r="U270" s="212">
        <v>0</v>
      </c>
      <c r="V270" s="212">
        <v>0</v>
      </c>
      <c r="W270" s="212">
        <v>0</v>
      </c>
      <c r="X270" s="212">
        <v>0</v>
      </c>
      <c r="Y270" s="212">
        <v>0</v>
      </c>
      <c r="Z270" s="179">
        <v>1</v>
      </c>
      <c r="AA270" s="213">
        <v>0</v>
      </c>
      <c r="AB270" s="214">
        <v>0</v>
      </c>
      <c r="AC270" s="212">
        <v>0</v>
      </c>
      <c r="AD270" s="212">
        <v>0</v>
      </c>
      <c r="AE270" s="212">
        <v>0</v>
      </c>
      <c r="AF270" s="212">
        <v>0</v>
      </c>
      <c r="AG270" s="212">
        <v>0</v>
      </c>
      <c r="AH270" s="212">
        <v>0</v>
      </c>
      <c r="AI270" s="212">
        <v>0</v>
      </c>
      <c r="AJ270" s="212">
        <v>0</v>
      </c>
      <c r="AK270" s="213">
        <v>0</v>
      </c>
      <c r="AL270" s="215">
        <f t="shared" si="8"/>
        <v>1</v>
      </c>
      <c r="AM270" s="216">
        <f>0</f>
        <v>0</v>
      </c>
      <c r="AN270" s="217">
        <f t="shared" si="9"/>
        <v>1</v>
      </c>
      <c r="AO270" s="276">
        <v>45090</v>
      </c>
      <c r="AP270" s="151" t="s">
        <v>273</v>
      </c>
      <c r="AQ270" s="152" t="s">
        <v>1290</v>
      </c>
      <c r="AR270" s="152" t="s">
        <v>148</v>
      </c>
      <c r="AS270" s="159"/>
      <c r="AT270" s="153"/>
      <c r="AU270" s="154"/>
      <c r="AV270" s="154"/>
      <c r="AW270" s="154"/>
      <c r="AX270" s="155"/>
      <c r="AY270" s="156"/>
      <c r="AZ270" s="157"/>
      <c r="BA270" s="81"/>
      <c r="BB270" s="81"/>
      <c r="BC270" s="81"/>
    </row>
    <row r="271" spans="1:55" ht="28" customHeight="1" x14ac:dyDescent="0.25">
      <c r="A271" s="173">
        <v>266</v>
      </c>
      <c r="B271" s="147">
        <v>45084</v>
      </c>
      <c r="C271" s="77" t="s">
        <v>134</v>
      </c>
      <c r="D271" s="77" t="s">
        <v>135</v>
      </c>
      <c r="E271" s="77" t="s">
        <v>136</v>
      </c>
      <c r="F271" s="219" t="s">
        <v>1186</v>
      </c>
      <c r="G271" s="219" t="s">
        <v>936</v>
      </c>
      <c r="H271" s="219" t="s">
        <v>110</v>
      </c>
      <c r="I271" s="219" t="s">
        <v>1187</v>
      </c>
      <c r="J271" s="221" t="s">
        <v>1195</v>
      </c>
      <c r="K271" s="220" t="s">
        <v>80</v>
      </c>
      <c r="L271" s="220" t="s">
        <v>304</v>
      </c>
      <c r="M271" s="220" t="s">
        <v>154</v>
      </c>
      <c r="N271" s="220" t="s">
        <v>80</v>
      </c>
      <c r="O271" s="220" t="s">
        <v>708</v>
      </c>
      <c r="P271" s="152" t="s">
        <v>80</v>
      </c>
      <c r="Q271" s="307" t="s">
        <v>80</v>
      </c>
      <c r="R271" s="211">
        <f>0</f>
        <v>0</v>
      </c>
      <c r="S271" s="212">
        <v>0</v>
      </c>
      <c r="T271" s="212">
        <v>0</v>
      </c>
      <c r="U271" s="212">
        <v>0</v>
      </c>
      <c r="V271" s="212">
        <v>0</v>
      </c>
      <c r="W271" s="212">
        <v>0</v>
      </c>
      <c r="X271" s="212">
        <v>0</v>
      </c>
      <c r="Y271" s="212">
        <v>0</v>
      </c>
      <c r="Z271" s="179">
        <v>1</v>
      </c>
      <c r="AA271" s="213">
        <v>0</v>
      </c>
      <c r="AB271" s="214">
        <v>0</v>
      </c>
      <c r="AC271" s="212">
        <v>0</v>
      </c>
      <c r="AD271" s="212">
        <v>0</v>
      </c>
      <c r="AE271" s="212">
        <v>0</v>
      </c>
      <c r="AF271" s="212">
        <v>0</v>
      </c>
      <c r="AG271" s="212">
        <v>0</v>
      </c>
      <c r="AH271" s="212">
        <v>0</v>
      </c>
      <c r="AI271" s="212">
        <v>0</v>
      </c>
      <c r="AJ271" s="212">
        <v>0</v>
      </c>
      <c r="AK271" s="213">
        <v>0</v>
      </c>
      <c r="AL271" s="215">
        <f t="shared" si="8"/>
        <v>1</v>
      </c>
      <c r="AM271" s="216">
        <f>0</f>
        <v>0</v>
      </c>
      <c r="AN271" s="217">
        <f t="shared" si="9"/>
        <v>1</v>
      </c>
      <c r="AO271" s="276">
        <v>45090</v>
      </c>
      <c r="AP271" s="151" t="s">
        <v>273</v>
      </c>
      <c r="AQ271" s="152" t="s">
        <v>1290</v>
      </c>
      <c r="AR271" s="152" t="s">
        <v>148</v>
      </c>
      <c r="AS271" s="159"/>
      <c r="AT271" s="153"/>
      <c r="AU271" s="154"/>
      <c r="AV271" s="154"/>
      <c r="AW271" s="154"/>
      <c r="AX271" s="155"/>
      <c r="AY271" s="156"/>
      <c r="AZ271" s="157"/>
      <c r="BA271" s="81"/>
      <c r="BB271" s="81"/>
      <c r="BC271" s="81"/>
    </row>
    <row r="272" spans="1:55" ht="28" customHeight="1" x14ac:dyDescent="0.25">
      <c r="A272" s="173">
        <v>267</v>
      </c>
      <c r="B272" s="147">
        <v>45084</v>
      </c>
      <c r="C272" s="162"/>
      <c r="D272" s="163"/>
      <c r="E272" s="85" t="s">
        <v>136</v>
      </c>
      <c r="F272" s="219" t="s">
        <v>1186</v>
      </c>
      <c r="G272" s="219" t="s">
        <v>937</v>
      </c>
      <c r="H272" s="219" t="s">
        <v>110</v>
      </c>
      <c r="I272" s="219" t="s">
        <v>1189</v>
      </c>
      <c r="J272" s="221" t="s">
        <v>1196</v>
      </c>
      <c r="K272" s="220" t="s">
        <v>80</v>
      </c>
      <c r="L272" s="220" t="s">
        <v>304</v>
      </c>
      <c r="M272" s="220" t="s">
        <v>154</v>
      </c>
      <c r="N272" s="220" t="s">
        <v>80</v>
      </c>
      <c r="O272" s="220" t="s">
        <v>708</v>
      </c>
      <c r="P272" s="152" t="s">
        <v>80</v>
      </c>
      <c r="Q272" s="307" t="s">
        <v>80</v>
      </c>
      <c r="R272" s="211">
        <f>0</f>
        <v>0</v>
      </c>
      <c r="S272" s="212">
        <v>0</v>
      </c>
      <c r="T272" s="212">
        <v>0</v>
      </c>
      <c r="U272" s="212">
        <v>0</v>
      </c>
      <c r="V272" s="212">
        <v>0</v>
      </c>
      <c r="W272" s="212">
        <v>0</v>
      </c>
      <c r="X272" s="212">
        <v>0</v>
      </c>
      <c r="Y272" s="212">
        <v>0</v>
      </c>
      <c r="Z272" s="179">
        <v>1</v>
      </c>
      <c r="AA272" s="213">
        <v>0</v>
      </c>
      <c r="AB272" s="214">
        <v>0</v>
      </c>
      <c r="AC272" s="212">
        <v>0</v>
      </c>
      <c r="AD272" s="212">
        <v>0</v>
      </c>
      <c r="AE272" s="212">
        <v>0</v>
      </c>
      <c r="AF272" s="212">
        <v>0</v>
      </c>
      <c r="AG272" s="212">
        <v>0</v>
      </c>
      <c r="AH272" s="212">
        <v>0</v>
      </c>
      <c r="AI272" s="212">
        <v>0</v>
      </c>
      <c r="AJ272" s="212">
        <v>0</v>
      </c>
      <c r="AK272" s="213">
        <v>0</v>
      </c>
      <c r="AL272" s="215">
        <f t="shared" si="8"/>
        <v>1</v>
      </c>
      <c r="AM272" s="216">
        <f>0</f>
        <v>0</v>
      </c>
      <c r="AN272" s="217">
        <f t="shared" si="9"/>
        <v>1</v>
      </c>
      <c r="AO272" s="276">
        <v>45090</v>
      </c>
      <c r="AP272" s="151" t="s">
        <v>273</v>
      </c>
      <c r="AQ272" s="152" t="s">
        <v>1290</v>
      </c>
      <c r="AR272" s="152" t="s">
        <v>148</v>
      </c>
      <c r="AS272" s="159"/>
      <c r="AT272" s="153"/>
      <c r="AU272" s="154"/>
      <c r="AV272" s="154"/>
      <c r="AW272" s="154"/>
      <c r="AX272" s="155"/>
      <c r="AY272" s="156"/>
      <c r="AZ272" s="157"/>
      <c r="BA272" s="81"/>
      <c r="BB272" s="81"/>
      <c r="BC272" s="81"/>
    </row>
    <row r="273" spans="1:55" ht="28" customHeight="1" x14ac:dyDescent="0.25">
      <c r="A273" s="173">
        <v>268</v>
      </c>
      <c r="B273" s="147">
        <v>45084</v>
      </c>
      <c r="C273" s="77" t="s">
        <v>134</v>
      </c>
      <c r="D273" s="77" t="s">
        <v>135</v>
      </c>
      <c r="E273" s="77" t="s">
        <v>136</v>
      </c>
      <c r="F273" s="219" t="s">
        <v>1186</v>
      </c>
      <c r="G273" s="219" t="s">
        <v>938</v>
      </c>
      <c r="H273" s="219" t="s">
        <v>110</v>
      </c>
      <c r="I273" s="219" t="s">
        <v>1187</v>
      </c>
      <c r="J273" s="221" t="s">
        <v>1197</v>
      </c>
      <c r="K273" s="220" t="s">
        <v>80</v>
      </c>
      <c r="L273" s="220" t="s">
        <v>304</v>
      </c>
      <c r="M273" s="220" t="s">
        <v>154</v>
      </c>
      <c r="N273" s="220" t="s">
        <v>80</v>
      </c>
      <c r="O273" s="220" t="s">
        <v>708</v>
      </c>
      <c r="P273" s="152" t="s">
        <v>80</v>
      </c>
      <c r="Q273" s="307" t="s">
        <v>80</v>
      </c>
      <c r="R273" s="211">
        <f>0</f>
        <v>0</v>
      </c>
      <c r="S273" s="212">
        <v>0</v>
      </c>
      <c r="T273" s="212">
        <v>0</v>
      </c>
      <c r="U273" s="212">
        <v>0</v>
      </c>
      <c r="V273" s="212">
        <v>0</v>
      </c>
      <c r="W273" s="212">
        <v>0</v>
      </c>
      <c r="X273" s="212">
        <v>0</v>
      </c>
      <c r="Y273" s="212">
        <v>0</v>
      </c>
      <c r="Z273" s="179">
        <v>1</v>
      </c>
      <c r="AA273" s="213">
        <v>0</v>
      </c>
      <c r="AB273" s="214">
        <v>0</v>
      </c>
      <c r="AC273" s="212">
        <v>0</v>
      </c>
      <c r="AD273" s="212">
        <v>0</v>
      </c>
      <c r="AE273" s="212">
        <v>0</v>
      </c>
      <c r="AF273" s="212">
        <v>0</v>
      </c>
      <c r="AG273" s="212">
        <v>0</v>
      </c>
      <c r="AH273" s="212">
        <v>0</v>
      </c>
      <c r="AI273" s="212">
        <v>0</v>
      </c>
      <c r="AJ273" s="212">
        <v>0</v>
      </c>
      <c r="AK273" s="213">
        <v>0</v>
      </c>
      <c r="AL273" s="215">
        <f t="shared" si="8"/>
        <v>1</v>
      </c>
      <c r="AM273" s="216">
        <f>0</f>
        <v>0</v>
      </c>
      <c r="AN273" s="217">
        <f t="shared" si="9"/>
        <v>1</v>
      </c>
      <c r="AO273" s="276">
        <v>45090</v>
      </c>
      <c r="AP273" s="151" t="s">
        <v>273</v>
      </c>
      <c r="AQ273" s="152" t="s">
        <v>1290</v>
      </c>
      <c r="AR273" s="152" t="s">
        <v>148</v>
      </c>
      <c r="AS273" s="159"/>
      <c r="AT273" s="153"/>
      <c r="AU273" s="154"/>
      <c r="AV273" s="154"/>
      <c r="AW273" s="154"/>
      <c r="AX273" s="155"/>
      <c r="AY273" s="156"/>
      <c r="AZ273" s="157"/>
      <c r="BA273" s="81"/>
      <c r="BB273" s="81"/>
      <c r="BC273" s="81"/>
    </row>
    <row r="274" spans="1:55" ht="28" customHeight="1" x14ac:dyDescent="0.25">
      <c r="A274" s="173">
        <v>269</v>
      </c>
      <c r="B274" s="147">
        <v>45084</v>
      </c>
      <c r="C274" s="162"/>
      <c r="D274" s="163"/>
      <c r="E274" s="85" t="s">
        <v>136</v>
      </c>
      <c r="F274" s="219" t="s">
        <v>1186</v>
      </c>
      <c r="G274" s="219" t="s">
        <v>939</v>
      </c>
      <c r="H274" s="219" t="s">
        <v>110</v>
      </c>
      <c r="I274" s="219" t="s">
        <v>1189</v>
      </c>
      <c r="J274" s="221" t="s">
        <v>1198</v>
      </c>
      <c r="K274" s="220" t="s">
        <v>80</v>
      </c>
      <c r="L274" s="220" t="s">
        <v>304</v>
      </c>
      <c r="M274" s="220" t="s">
        <v>154</v>
      </c>
      <c r="N274" s="220" t="s">
        <v>80</v>
      </c>
      <c r="O274" s="220" t="s">
        <v>708</v>
      </c>
      <c r="P274" s="152" t="s">
        <v>80</v>
      </c>
      <c r="Q274" s="307" t="s">
        <v>80</v>
      </c>
      <c r="R274" s="211">
        <f>0</f>
        <v>0</v>
      </c>
      <c r="S274" s="212">
        <v>0</v>
      </c>
      <c r="T274" s="212">
        <v>0</v>
      </c>
      <c r="U274" s="212">
        <v>0</v>
      </c>
      <c r="V274" s="212">
        <v>0</v>
      </c>
      <c r="W274" s="212">
        <v>0</v>
      </c>
      <c r="X274" s="212">
        <v>0</v>
      </c>
      <c r="Y274" s="212">
        <v>0</v>
      </c>
      <c r="Z274" s="179">
        <v>1</v>
      </c>
      <c r="AA274" s="213">
        <v>0</v>
      </c>
      <c r="AB274" s="214">
        <v>0</v>
      </c>
      <c r="AC274" s="212">
        <v>0</v>
      </c>
      <c r="AD274" s="212">
        <v>0</v>
      </c>
      <c r="AE274" s="212">
        <v>0</v>
      </c>
      <c r="AF274" s="212">
        <v>0</v>
      </c>
      <c r="AG274" s="212">
        <v>0</v>
      </c>
      <c r="AH274" s="212">
        <v>0</v>
      </c>
      <c r="AI274" s="212">
        <v>0</v>
      </c>
      <c r="AJ274" s="212">
        <v>0</v>
      </c>
      <c r="AK274" s="213">
        <v>0</v>
      </c>
      <c r="AL274" s="215">
        <f t="shared" si="8"/>
        <v>1</v>
      </c>
      <c r="AM274" s="216">
        <f>0</f>
        <v>0</v>
      </c>
      <c r="AN274" s="217">
        <f t="shared" si="9"/>
        <v>1</v>
      </c>
      <c r="AO274" s="276">
        <v>45090</v>
      </c>
      <c r="AP274" s="151" t="s">
        <v>273</v>
      </c>
      <c r="AQ274" s="152" t="s">
        <v>1290</v>
      </c>
      <c r="AR274" s="152" t="s">
        <v>148</v>
      </c>
      <c r="AS274" s="159"/>
      <c r="AT274" s="153"/>
      <c r="AU274" s="154"/>
      <c r="AV274" s="154"/>
      <c r="AW274" s="154"/>
      <c r="AX274" s="155"/>
      <c r="AY274" s="156"/>
      <c r="AZ274" s="157"/>
      <c r="BA274" s="81"/>
      <c r="BB274" s="81"/>
      <c r="BC274" s="81"/>
    </row>
    <row r="275" spans="1:55" ht="28" customHeight="1" x14ac:dyDescent="0.25">
      <c r="A275" s="173">
        <v>270</v>
      </c>
      <c r="B275" s="147">
        <v>45084</v>
      </c>
      <c r="C275" s="77" t="s">
        <v>134</v>
      </c>
      <c r="D275" s="77" t="s">
        <v>135</v>
      </c>
      <c r="E275" s="77" t="s">
        <v>136</v>
      </c>
      <c r="F275" s="219" t="s">
        <v>1186</v>
      </c>
      <c r="G275" s="219" t="s">
        <v>940</v>
      </c>
      <c r="H275" s="219" t="s">
        <v>110</v>
      </c>
      <c r="I275" s="219" t="s">
        <v>1187</v>
      </c>
      <c r="J275" s="221" t="s">
        <v>1199</v>
      </c>
      <c r="K275" s="220" t="s">
        <v>80</v>
      </c>
      <c r="L275" s="220" t="s">
        <v>304</v>
      </c>
      <c r="M275" s="220" t="s">
        <v>154</v>
      </c>
      <c r="N275" s="220" t="s">
        <v>80</v>
      </c>
      <c r="O275" s="220" t="s">
        <v>708</v>
      </c>
      <c r="P275" s="152" t="s">
        <v>80</v>
      </c>
      <c r="Q275" s="307" t="s">
        <v>80</v>
      </c>
      <c r="R275" s="211">
        <f>0</f>
        <v>0</v>
      </c>
      <c r="S275" s="212">
        <v>0</v>
      </c>
      <c r="T275" s="212">
        <v>0</v>
      </c>
      <c r="U275" s="212">
        <v>0</v>
      </c>
      <c r="V275" s="212">
        <v>0</v>
      </c>
      <c r="W275" s="212">
        <v>0</v>
      </c>
      <c r="X275" s="212">
        <v>0</v>
      </c>
      <c r="Y275" s="212">
        <v>0</v>
      </c>
      <c r="Z275" s="179">
        <v>1</v>
      </c>
      <c r="AA275" s="213">
        <v>0</v>
      </c>
      <c r="AB275" s="214">
        <v>0</v>
      </c>
      <c r="AC275" s="212">
        <v>0</v>
      </c>
      <c r="AD275" s="212">
        <v>0</v>
      </c>
      <c r="AE275" s="212">
        <v>0</v>
      </c>
      <c r="AF275" s="212">
        <v>0</v>
      </c>
      <c r="AG275" s="212">
        <v>0</v>
      </c>
      <c r="AH275" s="212">
        <v>0</v>
      </c>
      <c r="AI275" s="212">
        <v>0</v>
      </c>
      <c r="AJ275" s="212">
        <v>0</v>
      </c>
      <c r="AK275" s="213">
        <v>0</v>
      </c>
      <c r="AL275" s="215">
        <f t="shared" si="8"/>
        <v>1</v>
      </c>
      <c r="AM275" s="216">
        <f>0</f>
        <v>0</v>
      </c>
      <c r="AN275" s="217">
        <f t="shared" si="9"/>
        <v>1</v>
      </c>
      <c r="AO275" s="276">
        <v>45090</v>
      </c>
      <c r="AP275" s="151" t="s">
        <v>273</v>
      </c>
      <c r="AQ275" s="152" t="s">
        <v>1290</v>
      </c>
      <c r="AR275" s="152" t="s">
        <v>148</v>
      </c>
      <c r="AS275" s="159"/>
      <c r="AT275" s="153"/>
      <c r="AU275" s="154"/>
      <c r="AV275" s="154"/>
      <c r="AW275" s="154"/>
      <c r="AX275" s="155"/>
      <c r="AY275" s="156"/>
      <c r="AZ275" s="157"/>
      <c r="BA275" s="81"/>
      <c r="BB275" s="81"/>
      <c r="BC275" s="81"/>
    </row>
    <row r="276" spans="1:55" ht="28" customHeight="1" x14ac:dyDescent="0.25">
      <c r="A276" s="173">
        <v>271</v>
      </c>
      <c r="B276" s="147">
        <v>45084</v>
      </c>
      <c r="C276" s="162"/>
      <c r="D276" s="163"/>
      <c r="E276" s="85" t="s">
        <v>136</v>
      </c>
      <c r="F276" s="219" t="s">
        <v>1186</v>
      </c>
      <c r="G276" s="219" t="s">
        <v>941</v>
      </c>
      <c r="H276" s="219" t="s">
        <v>110</v>
      </c>
      <c r="I276" s="219" t="s">
        <v>1189</v>
      </c>
      <c r="J276" s="221" t="s">
        <v>1200</v>
      </c>
      <c r="K276" s="220" t="s">
        <v>80</v>
      </c>
      <c r="L276" s="220" t="s">
        <v>304</v>
      </c>
      <c r="M276" s="220" t="s">
        <v>154</v>
      </c>
      <c r="N276" s="220" t="s">
        <v>80</v>
      </c>
      <c r="O276" s="220" t="s">
        <v>708</v>
      </c>
      <c r="P276" s="152" t="s">
        <v>80</v>
      </c>
      <c r="Q276" s="307" t="s">
        <v>80</v>
      </c>
      <c r="R276" s="211">
        <f>0</f>
        <v>0</v>
      </c>
      <c r="S276" s="212">
        <v>0</v>
      </c>
      <c r="T276" s="212">
        <v>0</v>
      </c>
      <c r="U276" s="212">
        <v>0</v>
      </c>
      <c r="V276" s="212">
        <v>0</v>
      </c>
      <c r="W276" s="212">
        <v>0</v>
      </c>
      <c r="X276" s="212">
        <v>0</v>
      </c>
      <c r="Y276" s="212">
        <v>0</v>
      </c>
      <c r="Z276" s="179">
        <v>1</v>
      </c>
      <c r="AA276" s="213">
        <v>0</v>
      </c>
      <c r="AB276" s="214">
        <v>0</v>
      </c>
      <c r="AC276" s="212">
        <v>0</v>
      </c>
      <c r="AD276" s="212">
        <v>0</v>
      </c>
      <c r="AE276" s="212">
        <v>0</v>
      </c>
      <c r="AF276" s="212">
        <v>0</v>
      </c>
      <c r="AG276" s="212">
        <v>0</v>
      </c>
      <c r="AH276" s="212">
        <v>0</v>
      </c>
      <c r="AI276" s="212">
        <v>0</v>
      </c>
      <c r="AJ276" s="212">
        <v>0</v>
      </c>
      <c r="AK276" s="213">
        <v>0</v>
      </c>
      <c r="AL276" s="215">
        <f t="shared" si="8"/>
        <v>1</v>
      </c>
      <c r="AM276" s="216">
        <f>0</f>
        <v>0</v>
      </c>
      <c r="AN276" s="217">
        <f t="shared" si="9"/>
        <v>1</v>
      </c>
      <c r="AO276" s="276">
        <v>45090</v>
      </c>
      <c r="AP276" s="151" t="s">
        <v>273</v>
      </c>
      <c r="AQ276" s="152" t="s">
        <v>1290</v>
      </c>
      <c r="AR276" s="152" t="s">
        <v>148</v>
      </c>
      <c r="AS276" s="159"/>
      <c r="AT276" s="153"/>
      <c r="AU276" s="154"/>
      <c r="AV276" s="154"/>
      <c r="AW276" s="154"/>
      <c r="AX276" s="155"/>
      <c r="AY276" s="156"/>
      <c r="AZ276" s="157"/>
      <c r="BA276" s="81"/>
      <c r="BB276" s="81"/>
      <c r="BC276" s="81"/>
    </row>
    <row r="277" spans="1:55" ht="28" customHeight="1" x14ac:dyDescent="0.25">
      <c r="A277" s="322">
        <v>272</v>
      </c>
      <c r="B277" s="323">
        <v>45084</v>
      </c>
      <c r="C277" s="77" t="s">
        <v>134</v>
      </c>
      <c r="D277" s="77" t="s">
        <v>135</v>
      </c>
      <c r="E277" s="77" t="s">
        <v>136</v>
      </c>
      <c r="F277" s="337" t="s">
        <v>1186</v>
      </c>
      <c r="G277" s="337" t="s">
        <v>942</v>
      </c>
      <c r="H277" s="337" t="s">
        <v>110</v>
      </c>
      <c r="I277" s="337" t="s">
        <v>126</v>
      </c>
      <c r="J277" s="354" t="s">
        <v>943</v>
      </c>
      <c r="K277" s="355" t="s">
        <v>80</v>
      </c>
      <c r="L277" s="355" t="s">
        <v>113</v>
      </c>
      <c r="M277" s="355" t="s">
        <v>126</v>
      </c>
      <c r="N277" s="355" t="s">
        <v>80</v>
      </c>
      <c r="O277" s="355" t="s">
        <v>1219</v>
      </c>
      <c r="P277" s="352" t="s">
        <v>80</v>
      </c>
      <c r="Q277" s="353" t="s">
        <v>80</v>
      </c>
      <c r="R277" s="211">
        <f>0</f>
        <v>0</v>
      </c>
      <c r="S277" s="212">
        <v>0</v>
      </c>
      <c r="T277" s="212">
        <v>0</v>
      </c>
      <c r="U277" s="212">
        <v>0</v>
      </c>
      <c r="V277" s="212">
        <v>0</v>
      </c>
      <c r="W277" s="212">
        <v>0</v>
      </c>
      <c r="X277" s="212">
        <v>0</v>
      </c>
      <c r="Y277" s="212">
        <v>0</v>
      </c>
      <c r="Z277" s="179">
        <v>1</v>
      </c>
      <c r="AA277" s="213">
        <v>0</v>
      </c>
      <c r="AB277" s="214">
        <v>0</v>
      </c>
      <c r="AC277" s="212">
        <v>0</v>
      </c>
      <c r="AD277" s="212">
        <v>0</v>
      </c>
      <c r="AE277" s="212">
        <v>0</v>
      </c>
      <c r="AF277" s="212">
        <v>0</v>
      </c>
      <c r="AG277" s="212">
        <v>0</v>
      </c>
      <c r="AH277" s="212">
        <v>0</v>
      </c>
      <c r="AI277" s="212">
        <v>0</v>
      </c>
      <c r="AJ277" s="212">
        <v>0</v>
      </c>
      <c r="AK277" s="213">
        <v>0</v>
      </c>
      <c r="AL277" s="215">
        <f t="shared" si="8"/>
        <v>1</v>
      </c>
      <c r="AM277" s="216">
        <f>0</f>
        <v>0</v>
      </c>
      <c r="AN277" s="217">
        <f t="shared" si="9"/>
        <v>1</v>
      </c>
      <c r="AO277" s="358"/>
      <c r="AP277" s="359"/>
      <c r="AQ277" s="330"/>
      <c r="AR277" s="337" t="s">
        <v>271</v>
      </c>
      <c r="AS277" s="330"/>
      <c r="AT277" s="330"/>
      <c r="AU277" s="331"/>
      <c r="AV277" s="331"/>
      <c r="AW277" s="331"/>
      <c r="AX277" s="332"/>
      <c r="AY277" s="333"/>
      <c r="AZ277" s="334"/>
      <c r="BA277" s="319"/>
      <c r="BB277" s="319"/>
      <c r="BC277" s="319"/>
    </row>
    <row r="278" spans="1:55" ht="28" customHeight="1" x14ac:dyDescent="0.25">
      <c r="A278" s="173">
        <v>273</v>
      </c>
      <c r="B278" s="147">
        <v>45084</v>
      </c>
      <c r="C278" s="77" t="s">
        <v>134</v>
      </c>
      <c r="D278" s="77" t="s">
        <v>135</v>
      </c>
      <c r="E278" s="77" t="s">
        <v>136</v>
      </c>
      <c r="F278" s="219" t="s">
        <v>1186</v>
      </c>
      <c r="G278" s="219" t="s">
        <v>944</v>
      </c>
      <c r="H278" s="219" t="s">
        <v>110</v>
      </c>
      <c r="I278" s="219" t="s">
        <v>1201</v>
      </c>
      <c r="J278" s="221" t="s">
        <v>945</v>
      </c>
      <c r="K278" s="220" t="s">
        <v>80</v>
      </c>
      <c r="L278" s="220" t="s">
        <v>226</v>
      </c>
      <c r="M278" s="220" t="s">
        <v>154</v>
      </c>
      <c r="N278" s="220" t="s">
        <v>80</v>
      </c>
      <c r="O278" s="220" t="s">
        <v>155</v>
      </c>
      <c r="P278" s="152" t="s">
        <v>80</v>
      </c>
      <c r="Q278" s="307" t="s">
        <v>80</v>
      </c>
      <c r="R278" s="211">
        <f>0</f>
        <v>0</v>
      </c>
      <c r="S278" s="212">
        <v>0</v>
      </c>
      <c r="T278" s="212">
        <v>0</v>
      </c>
      <c r="U278" s="212">
        <v>0</v>
      </c>
      <c r="V278" s="212">
        <v>0</v>
      </c>
      <c r="W278" s="212">
        <v>0</v>
      </c>
      <c r="X278" s="212">
        <v>0</v>
      </c>
      <c r="Y278" s="212">
        <v>0</v>
      </c>
      <c r="Z278" s="179">
        <v>1</v>
      </c>
      <c r="AA278" s="213">
        <v>0</v>
      </c>
      <c r="AB278" s="214">
        <v>0</v>
      </c>
      <c r="AC278" s="212">
        <v>0</v>
      </c>
      <c r="AD278" s="212">
        <v>0</v>
      </c>
      <c r="AE278" s="212">
        <v>0</v>
      </c>
      <c r="AF278" s="212">
        <v>0</v>
      </c>
      <c r="AG278" s="212">
        <v>0</v>
      </c>
      <c r="AH278" s="212">
        <v>0</v>
      </c>
      <c r="AI278" s="212">
        <v>0</v>
      </c>
      <c r="AJ278" s="212">
        <v>0</v>
      </c>
      <c r="AK278" s="213">
        <v>0</v>
      </c>
      <c r="AL278" s="215">
        <f t="shared" si="8"/>
        <v>1</v>
      </c>
      <c r="AM278" s="216">
        <f>0</f>
        <v>0</v>
      </c>
      <c r="AN278" s="217">
        <f t="shared" si="9"/>
        <v>1</v>
      </c>
      <c r="AO278" s="276">
        <v>45090</v>
      </c>
      <c r="AP278" s="151" t="s">
        <v>273</v>
      </c>
      <c r="AQ278" s="152" t="s">
        <v>1290</v>
      </c>
      <c r="AR278" s="152" t="s">
        <v>148</v>
      </c>
      <c r="AS278" s="159"/>
      <c r="AT278" s="153"/>
      <c r="AU278" s="154"/>
      <c r="AV278" s="154"/>
      <c r="AW278" s="154"/>
      <c r="AX278" s="155"/>
      <c r="AY278" s="156"/>
      <c r="AZ278" s="157"/>
      <c r="BA278" s="81"/>
      <c r="BB278" s="81"/>
      <c r="BC278" s="81"/>
    </row>
    <row r="279" spans="1:55" ht="28" customHeight="1" x14ac:dyDescent="0.25">
      <c r="A279" s="173">
        <v>274</v>
      </c>
      <c r="B279" s="147">
        <v>45084</v>
      </c>
      <c r="C279" s="77" t="s">
        <v>134</v>
      </c>
      <c r="D279" s="77" t="s">
        <v>135</v>
      </c>
      <c r="E279" s="77" t="s">
        <v>136</v>
      </c>
      <c r="F279" s="219" t="s">
        <v>1186</v>
      </c>
      <c r="G279" s="219" t="s">
        <v>946</v>
      </c>
      <c r="H279" s="219" t="s">
        <v>287</v>
      </c>
      <c r="I279" s="219" t="s">
        <v>1202</v>
      </c>
      <c r="J279" s="221" t="s">
        <v>947</v>
      </c>
      <c r="K279" s="220" t="s">
        <v>80</v>
      </c>
      <c r="L279" s="220" t="s">
        <v>226</v>
      </c>
      <c r="M279" s="220" t="s">
        <v>154</v>
      </c>
      <c r="N279" s="220" t="s">
        <v>80</v>
      </c>
      <c r="O279" s="220" t="s">
        <v>155</v>
      </c>
      <c r="P279" s="152" t="s">
        <v>80</v>
      </c>
      <c r="Q279" s="307" t="s">
        <v>80</v>
      </c>
      <c r="R279" s="211">
        <f>0</f>
        <v>0</v>
      </c>
      <c r="S279" s="212">
        <v>0</v>
      </c>
      <c r="T279" s="212">
        <v>0</v>
      </c>
      <c r="U279" s="212">
        <v>0</v>
      </c>
      <c r="V279" s="212">
        <v>0</v>
      </c>
      <c r="W279" s="212">
        <v>0</v>
      </c>
      <c r="X279" s="212">
        <v>0</v>
      </c>
      <c r="Y279" s="212">
        <v>0</v>
      </c>
      <c r="Z279" s="179">
        <v>1</v>
      </c>
      <c r="AA279" s="213">
        <v>0</v>
      </c>
      <c r="AB279" s="214">
        <v>0</v>
      </c>
      <c r="AC279" s="212">
        <v>0</v>
      </c>
      <c r="AD279" s="212">
        <v>0</v>
      </c>
      <c r="AE279" s="212">
        <v>0</v>
      </c>
      <c r="AF279" s="212">
        <v>0</v>
      </c>
      <c r="AG279" s="212">
        <v>0</v>
      </c>
      <c r="AH279" s="212">
        <v>0</v>
      </c>
      <c r="AI279" s="212">
        <v>0</v>
      </c>
      <c r="AJ279" s="212">
        <v>0</v>
      </c>
      <c r="AK279" s="213">
        <v>0</v>
      </c>
      <c r="AL279" s="215">
        <f t="shared" si="8"/>
        <v>1</v>
      </c>
      <c r="AM279" s="216">
        <f>0</f>
        <v>0</v>
      </c>
      <c r="AN279" s="217">
        <f t="shared" si="9"/>
        <v>1</v>
      </c>
      <c r="AO279" s="276">
        <v>45090</v>
      </c>
      <c r="AP279" s="151" t="s">
        <v>273</v>
      </c>
      <c r="AQ279" s="152" t="s">
        <v>1290</v>
      </c>
      <c r="AR279" s="152" t="s">
        <v>148</v>
      </c>
      <c r="AS279" s="159"/>
      <c r="AT279" s="153"/>
      <c r="AU279" s="154"/>
      <c r="AV279" s="154"/>
      <c r="AW279" s="154"/>
      <c r="AX279" s="155"/>
      <c r="AY279" s="156"/>
      <c r="AZ279" s="157"/>
      <c r="BA279" s="81"/>
      <c r="BB279" s="81"/>
      <c r="BC279" s="81"/>
    </row>
    <row r="280" spans="1:55" ht="28" customHeight="1" x14ac:dyDescent="0.25">
      <c r="A280" s="173">
        <v>275</v>
      </c>
      <c r="B280" s="147">
        <v>45084</v>
      </c>
      <c r="C280" s="77" t="s">
        <v>134</v>
      </c>
      <c r="D280" s="77" t="s">
        <v>135</v>
      </c>
      <c r="E280" s="77" t="s">
        <v>136</v>
      </c>
      <c r="F280" s="219" t="s">
        <v>1186</v>
      </c>
      <c r="G280" s="219" t="s">
        <v>948</v>
      </c>
      <c r="H280" s="219" t="s">
        <v>283</v>
      </c>
      <c r="I280" s="219" t="s">
        <v>949</v>
      </c>
      <c r="J280" s="221" t="s">
        <v>950</v>
      </c>
      <c r="K280" s="220" t="s">
        <v>80</v>
      </c>
      <c r="L280" s="220" t="s">
        <v>226</v>
      </c>
      <c r="M280" s="220" t="s">
        <v>154</v>
      </c>
      <c r="N280" s="220" t="s">
        <v>80</v>
      </c>
      <c r="O280" s="220" t="s">
        <v>155</v>
      </c>
      <c r="P280" s="152" t="s">
        <v>80</v>
      </c>
      <c r="Q280" s="307" t="s">
        <v>80</v>
      </c>
      <c r="R280" s="211">
        <f>0</f>
        <v>0</v>
      </c>
      <c r="S280" s="212">
        <v>0</v>
      </c>
      <c r="T280" s="212">
        <v>0</v>
      </c>
      <c r="U280" s="212">
        <v>0</v>
      </c>
      <c r="V280" s="212">
        <v>0</v>
      </c>
      <c r="W280" s="212">
        <v>0</v>
      </c>
      <c r="X280" s="212">
        <v>0</v>
      </c>
      <c r="Y280" s="212">
        <v>0</v>
      </c>
      <c r="Z280" s="179">
        <v>1</v>
      </c>
      <c r="AA280" s="213">
        <v>0</v>
      </c>
      <c r="AB280" s="214">
        <v>0</v>
      </c>
      <c r="AC280" s="212">
        <v>0</v>
      </c>
      <c r="AD280" s="212">
        <v>0</v>
      </c>
      <c r="AE280" s="212">
        <v>0</v>
      </c>
      <c r="AF280" s="212">
        <v>0</v>
      </c>
      <c r="AG280" s="212">
        <v>0</v>
      </c>
      <c r="AH280" s="212">
        <v>0</v>
      </c>
      <c r="AI280" s="212">
        <v>0</v>
      </c>
      <c r="AJ280" s="212">
        <v>0</v>
      </c>
      <c r="AK280" s="213">
        <v>0</v>
      </c>
      <c r="AL280" s="215">
        <f t="shared" si="8"/>
        <v>1</v>
      </c>
      <c r="AM280" s="216">
        <f>0</f>
        <v>0</v>
      </c>
      <c r="AN280" s="217">
        <f t="shared" si="9"/>
        <v>1</v>
      </c>
      <c r="AO280" s="276">
        <v>45090</v>
      </c>
      <c r="AP280" s="151" t="s">
        <v>273</v>
      </c>
      <c r="AQ280" s="152" t="s">
        <v>1290</v>
      </c>
      <c r="AR280" s="152" t="s">
        <v>148</v>
      </c>
      <c r="AS280" s="159"/>
      <c r="AT280" s="153"/>
      <c r="AU280" s="154"/>
      <c r="AV280" s="154"/>
      <c r="AW280" s="154"/>
      <c r="AX280" s="155"/>
      <c r="AY280" s="156"/>
      <c r="AZ280" s="157"/>
      <c r="BA280" s="81"/>
      <c r="BB280" s="81"/>
      <c r="BC280" s="81"/>
    </row>
    <row r="281" spans="1:55" ht="28" customHeight="1" x14ac:dyDescent="0.25">
      <c r="A281" s="173">
        <v>276</v>
      </c>
      <c r="B281" s="147">
        <v>45084</v>
      </c>
      <c r="C281" s="77" t="s">
        <v>134</v>
      </c>
      <c r="D281" s="77" t="s">
        <v>135</v>
      </c>
      <c r="E281" s="77" t="s">
        <v>136</v>
      </c>
      <c r="F281" s="219" t="s">
        <v>1186</v>
      </c>
      <c r="G281" s="219" t="s">
        <v>951</v>
      </c>
      <c r="H281" s="219" t="s">
        <v>110</v>
      </c>
      <c r="I281" s="219" t="s">
        <v>952</v>
      </c>
      <c r="J281" s="221" t="s">
        <v>953</v>
      </c>
      <c r="K281" s="220" t="s">
        <v>80</v>
      </c>
      <c r="L281" s="220" t="s">
        <v>153</v>
      </c>
      <c r="M281" s="220" t="s">
        <v>154</v>
      </c>
      <c r="N281" s="220" t="s">
        <v>80</v>
      </c>
      <c r="O281" s="220" t="s">
        <v>1219</v>
      </c>
      <c r="P281" s="152" t="s">
        <v>80</v>
      </c>
      <c r="Q281" s="307" t="s">
        <v>80</v>
      </c>
      <c r="R281" s="211">
        <f>0</f>
        <v>0</v>
      </c>
      <c r="S281" s="212">
        <v>0</v>
      </c>
      <c r="T281" s="212">
        <v>0</v>
      </c>
      <c r="U281" s="212">
        <v>0</v>
      </c>
      <c r="V281" s="212">
        <v>0</v>
      </c>
      <c r="W281" s="212">
        <v>0</v>
      </c>
      <c r="X281" s="212">
        <v>0</v>
      </c>
      <c r="Y281" s="212">
        <v>0</v>
      </c>
      <c r="Z281" s="179">
        <v>1</v>
      </c>
      <c r="AA281" s="213">
        <v>0</v>
      </c>
      <c r="AB281" s="214">
        <v>0</v>
      </c>
      <c r="AC281" s="212">
        <v>0</v>
      </c>
      <c r="AD281" s="212">
        <v>0</v>
      </c>
      <c r="AE281" s="212">
        <v>0</v>
      </c>
      <c r="AF281" s="212">
        <v>0</v>
      </c>
      <c r="AG281" s="212">
        <v>0</v>
      </c>
      <c r="AH281" s="212">
        <v>0</v>
      </c>
      <c r="AI281" s="212">
        <v>0</v>
      </c>
      <c r="AJ281" s="212">
        <v>0</v>
      </c>
      <c r="AK281" s="213">
        <v>0</v>
      </c>
      <c r="AL281" s="215">
        <f t="shared" si="8"/>
        <v>1</v>
      </c>
      <c r="AM281" s="216">
        <f>0</f>
        <v>0</v>
      </c>
      <c r="AN281" s="217">
        <f t="shared" si="9"/>
        <v>1</v>
      </c>
      <c r="AO281" s="276">
        <v>45090</v>
      </c>
      <c r="AP281" s="151" t="s">
        <v>273</v>
      </c>
      <c r="AQ281" s="152" t="s">
        <v>1290</v>
      </c>
      <c r="AR281" s="152" t="s">
        <v>148</v>
      </c>
      <c r="AS281" s="159"/>
      <c r="AT281" s="153"/>
      <c r="AU281" s="154"/>
      <c r="AV281" s="154"/>
      <c r="AW281" s="154"/>
      <c r="AX281" s="155"/>
      <c r="AY281" s="156"/>
      <c r="AZ281" s="157"/>
      <c r="BA281" s="81"/>
      <c r="BB281" s="81"/>
      <c r="BC281" s="81"/>
    </row>
    <row r="282" spans="1:55" ht="28" customHeight="1" x14ac:dyDescent="0.25">
      <c r="A282" s="173">
        <v>277</v>
      </c>
      <c r="B282" s="147">
        <v>45084</v>
      </c>
      <c r="C282" s="77" t="s">
        <v>134</v>
      </c>
      <c r="D282" s="77" t="s">
        <v>135</v>
      </c>
      <c r="E282" s="77" t="s">
        <v>136</v>
      </c>
      <c r="F282" s="219" t="s">
        <v>1186</v>
      </c>
      <c r="G282" s="219" t="s">
        <v>954</v>
      </c>
      <c r="H282" s="219" t="s">
        <v>110</v>
      </c>
      <c r="I282" s="219" t="s">
        <v>239</v>
      </c>
      <c r="J282" s="221" t="s">
        <v>955</v>
      </c>
      <c r="K282" s="220" t="s">
        <v>80</v>
      </c>
      <c r="L282" s="220" t="s">
        <v>153</v>
      </c>
      <c r="M282" s="220" t="s">
        <v>154</v>
      </c>
      <c r="N282" s="220" t="s">
        <v>80</v>
      </c>
      <c r="O282" s="220" t="s">
        <v>1219</v>
      </c>
      <c r="P282" s="152" t="s">
        <v>80</v>
      </c>
      <c r="Q282" s="307" t="s">
        <v>80</v>
      </c>
      <c r="R282" s="211">
        <f>0</f>
        <v>0</v>
      </c>
      <c r="S282" s="212">
        <v>0</v>
      </c>
      <c r="T282" s="212">
        <v>0</v>
      </c>
      <c r="U282" s="212">
        <v>0</v>
      </c>
      <c r="V282" s="212">
        <v>0</v>
      </c>
      <c r="W282" s="212">
        <v>0</v>
      </c>
      <c r="X282" s="212">
        <v>0</v>
      </c>
      <c r="Y282" s="212">
        <v>0</v>
      </c>
      <c r="Z282" s="179">
        <v>1</v>
      </c>
      <c r="AA282" s="213">
        <v>0</v>
      </c>
      <c r="AB282" s="214">
        <v>0</v>
      </c>
      <c r="AC282" s="212">
        <v>0</v>
      </c>
      <c r="AD282" s="212">
        <v>0</v>
      </c>
      <c r="AE282" s="212">
        <v>0</v>
      </c>
      <c r="AF282" s="212">
        <v>0</v>
      </c>
      <c r="AG282" s="212">
        <v>0</v>
      </c>
      <c r="AH282" s="212">
        <v>0</v>
      </c>
      <c r="AI282" s="212">
        <v>0</v>
      </c>
      <c r="AJ282" s="212">
        <v>0</v>
      </c>
      <c r="AK282" s="213">
        <v>0</v>
      </c>
      <c r="AL282" s="215">
        <f t="shared" si="8"/>
        <v>1</v>
      </c>
      <c r="AM282" s="216">
        <f>0</f>
        <v>0</v>
      </c>
      <c r="AN282" s="217">
        <f t="shared" si="9"/>
        <v>1</v>
      </c>
      <c r="AO282" s="276">
        <v>45090</v>
      </c>
      <c r="AP282" s="151" t="s">
        <v>273</v>
      </c>
      <c r="AQ282" s="152" t="s">
        <v>1290</v>
      </c>
      <c r="AR282" s="152" t="s">
        <v>148</v>
      </c>
      <c r="AS282" s="159"/>
      <c r="AT282" s="153"/>
      <c r="AU282" s="154"/>
      <c r="AV282" s="154"/>
      <c r="AW282" s="154"/>
      <c r="AX282" s="155"/>
      <c r="AY282" s="156"/>
      <c r="AZ282" s="157"/>
      <c r="BA282" s="81"/>
      <c r="BB282" s="81"/>
      <c r="BC282" s="81"/>
    </row>
    <row r="283" spans="1:55" ht="28" customHeight="1" x14ac:dyDescent="0.25">
      <c r="A283" s="173">
        <v>278</v>
      </c>
      <c r="B283" s="147">
        <v>45084</v>
      </c>
      <c r="C283" s="77" t="s">
        <v>134</v>
      </c>
      <c r="D283" s="77" t="s">
        <v>135</v>
      </c>
      <c r="E283" s="77" t="s">
        <v>136</v>
      </c>
      <c r="F283" s="219" t="s">
        <v>1186</v>
      </c>
      <c r="G283" s="219" t="s">
        <v>956</v>
      </c>
      <c r="H283" s="219" t="s">
        <v>110</v>
      </c>
      <c r="I283" s="219" t="s">
        <v>957</v>
      </c>
      <c r="J283" s="221" t="s">
        <v>958</v>
      </c>
      <c r="K283" s="220" t="s">
        <v>80</v>
      </c>
      <c r="L283" s="220" t="s">
        <v>153</v>
      </c>
      <c r="M283" s="220" t="s">
        <v>154</v>
      </c>
      <c r="N283" s="220" t="s">
        <v>80</v>
      </c>
      <c r="O283" s="220" t="s">
        <v>155</v>
      </c>
      <c r="P283" s="152" t="s">
        <v>80</v>
      </c>
      <c r="Q283" s="307" t="s">
        <v>80</v>
      </c>
      <c r="R283" s="211">
        <f>0</f>
        <v>0</v>
      </c>
      <c r="S283" s="212">
        <v>0</v>
      </c>
      <c r="T283" s="212">
        <v>0</v>
      </c>
      <c r="U283" s="212">
        <v>0</v>
      </c>
      <c r="V283" s="212">
        <v>0</v>
      </c>
      <c r="W283" s="212">
        <v>0</v>
      </c>
      <c r="X283" s="212">
        <v>0</v>
      </c>
      <c r="Y283" s="212">
        <v>0</v>
      </c>
      <c r="Z283" s="179">
        <v>2</v>
      </c>
      <c r="AA283" s="213">
        <v>0</v>
      </c>
      <c r="AB283" s="214">
        <v>0</v>
      </c>
      <c r="AC283" s="212">
        <v>0</v>
      </c>
      <c r="AD283" s="212">
        <v>0</v>
      </c>
      <c r="AE283" s="212">
        <v>0</v>
      </c>
      <c r="AF283" s="212">
        <v>0</v>
      </c>
      <c r="AG283" s="212">
        <v>0</v>
      </c>
      <c r="AH283" s="212">
        <v>0</v>
      </c>
      <c r="AI283" s="212">
        <v>0</v>
      </c>
      <c r="AJ283" s="212">
        <v>0</v>
      </c>
      <c r="AK283" s="213">
        <v>0</v>
      </c>
      <c r="AL283" s="215">
        <f t="shared" si="8"/>
        <v>2</v>
      </c>
      <c r="AM283" s="216">
        <f>0</f>
        <v>0</v>
      </c>
      <c r="AN283" s="217">
        <f t="shared" si="9"/>
        <v>2</v>
      </c>
      <c r="AO283" s="276">
        <v>45090</v>
      </c>
      <c r="AP283" s="151" t="s">
        <v>273</v>
      </c>
      <c r="AQ283" s="152" t="s">
        <v>1290</v>
      </c>
      <c r="AR283" s="152" t="s">
        <v>148</v>
      </c>
      <c r="AS283" s="159"/>
      <c r="AT283" s="153"/>
      <c r="AU283" s="154"/>
      <c r="AV283" s="154"/>
      <c r="AW283" s="154"/>
      <c r="AX283" s="155"/>
      <c r="AY283" s="156"/>
      <c r="AZ283" s="157"/>
      <c r="BA283" s="81"/>
      <c r="BB283" s="81"/>
      <c r="BC283" s="81"/>
    </row>
    <row r="284" spans="1:55" ht="28" customHeight="1" x14ac:dyDescent="0.25">
      <c r="A284" s="173">
        <v>279</v>
      </c>
      <c r="B284" s="147">
        <v>45084</v>
      </c>
      <c r="C284" s="77" t="s">
        <v>134</v>
      </c>
      <c r="D284" s="77" t="s">
        <v>135</v>
      </c>
      <c r="E284" s="77" t="s">
        <v>136</v>
      </c>
      <c r="F284" s="219" t="s">
        <v>1186</v>
      </c>
      <c r="G284" s="219" t="s">
        <v>959</v>
      </c>
      <c r="H284" s="219" t="s">
        <v>287</v>
      </c>
      <c r="I284" s="219" t="s">
        <v>495</v>
      </c>
      <c r="J284" s="221" t="s">
        <v>960</v>
      </c>
      <c r="K284" s="220"/>
      <c r="L284" s="220" t="s">
        <v>153</v>
      </c>
      <c r="M284" s="220" t="s">
        <v>154</v>
      </c>
      <c r="N284" s="220" t="s">
        <v>80</v>
      </c>
      <c r="O284" s="220" t="s">
        <v>155</v>
      </c>
      <c r="P284" s="152" t="s">
        <v>80</v>
      </c>
      <c r="Q284" s="307" t="s">
        <v>80</v>
      </c>
      <c r="R284" s="211">
        <f>0</f>
        <v>0</v>
      </c>
      <c r="S284" s="212">
        <v>0</v>
      </c>
      <c r="T284" s="212">
        <v>0</v>
      </c>
      <c r="U284" s="212">
        <v>0</v>
      </c>
      <c r="V284" s="212">
        <v>0</v>
      </c>
      <c r="W284" s="212">
        <v>0</v>
      </c>
      <c r="X284" s="212">
        <v>0</v>
      </c>
      <c r="Y284" s="212">
        <v>0</v>
      </c>
      <c r="Z284" s="179">
        <v>1</v>
      </c>
      <c r="AA284" s="213">
        <v>0</v>
      </c>
      <c r="AB284" s="214">
        <v>0</v>
      </c>
      <c r="AC284" s="212">
        <v>0</v>
      </c>
      <c r="AD284" s="212">
        <v>0</v>
      </c>
      <c r="AE284" s="212">
        <v>0</v>
      </c>
      <c r="AF284" s="212">
        <v>0</v>
      </c>
      <c r="AG284" s="212">
        <v>0</v>
      </c>
      <c r="AH284" s="212">
        <v>0</v>
      </c>
      <c r="AI284" s="212">
        <v>0</v>
      </c>
      <c r="AJ284" s="212">
        <v>0</v>
      </c>
      <c r="AK284" s="213">
        <v>0</v>
      </c>
      <c r="AL284" s="215">
        <f t="shared" si="8"/>
        <v>1</v>
      </c>
      <c r="AM284" s="216">
        <f>0</f>
        <v>0</v>
      </c>
      <c r="AN284" s="217">
        <f t="shared" si="9"/>
        <v>1</v>
      </c>
      <c r="AO284" s="276">
        <v>45090</v>
      </c>
      <c r="AP284" s="151" t="s">
        <v>273</v>
      </c>
      <c r="AQ284" s="152" t="s">
        <v>1290</v>
      </c>
      <c r="AR284" s="152" t="s">
        <v>148</v>
      </c>
      <c r="AS284" s="159"/>
      <c r="AT284" s="153"/>
      <c r="AU284" s="154"/>
      <c r="AV284" s="154"/>
      <c r="AW284" s="154"/>
      <c r="AX284" s="155"/>
      <c r="AY284" s="156"/>
      <c r="AZ284" s="157"/>
      <c r="BA284" s="81"/>
      <c r="BB284" s="81"/>
      <c r="BC284" s="81"/>
    </row>
    <row r="285" spans="1:55" ht="28" customHeight="1" x14ac:dyDescent="0.25">
      <c r="A285" s="173">
        <v>280</v>
      </c>
      <c r="B285" s="147">
        <v>45084</v>
      </c>
      <c r="C285" s="77" t="s">
        <v>134</v>
      </c>
      <c r="D285" s="77" t="s">
        <v>135</v>
      </c>
      <c r="E285" s="77" t="s">
        <v>136</v>
      </c>
      <c r="F285" s="219" t="s">
        <v>1186</v>
      </c>
      <c r="G285" s="219" t="s">
        <v>961</v>
      </c>
      <c r="H285" s="219" t="s">
        <v>110</v>
      </c>
      <c r="I285" s="219" t="s">
        <v>957</v>
      </c>
      <c r="J285" s="221" t="s">
        <v>962</v>
      </c>
      <c r="K285" s="220" t="s">
        <v>80</v>
      </c>
      <c r="L285" s="220" t="s">
        <v>153</v>
      </c>
      <c r="M285" s="220" t="s">
        <v>154</v>
      </c>
      <c r="N285" s="220" t="s">
        <v>80</v>
      </c>
      <c r="O285" s="220" t="s">
        <v>155</v>
      </c>
      <c r="P285" s="152" t="s">
        <v>80</v>
      </c>
      <c r="Q285" s="307" t="s">
        <v>80</v>
      </c>
      <c r="R285" s="211">
        <f>0</f>
        <v>0</v>
      </c>
      <c r="S285" s="212">
        <v>0</v>
      </c>
      <c r="T285" s="212">
        <v>0</v>
      </c>
      <c r="U285" s="212">
        <v>0</v>
      </c>
      <c r="V285" s="212">
        <v>0</v>
      </c>
      <c r="W285" s="212">
        <v>0</v>
      </c>
      <c r="X285" s="212">
        <v>0</v>
      </c>
      <c r="Y285" s="212">
        <v>0</v>
      </c>
      <c r="Z285" s="179">
        <v>1</v>
      </c>
      <c r="AA285" s="213">
        <v>0</v>
      </c>
      <c r="AB285" s="214">
        <v>0</v>
      </c>
      <c r="AC285" s="212">
        <v>0</v>
      </c>
      <c r="AD285" s="212">
        <v>0</v>
      </c>
      <c r="AE285" s="212">
        <v>0</v>
      </c>
      <c r="AF285" s="212">
        <v>0</v>
      </c>
      <c r="AG285" s="212">
        <v>0</v>
      </c>
      <c r="AH285" s="212">
        <v>0</v>
      </c>
      <c r="AI285" s="212">
        <v>0</v>
      </c>
      <c r="AJ285" s="212">
        <v>0</v>
      </c>
      <c r="AK285" s="213">
        <v>0</v>
      </c>
      <c r="AL285" s="215">
        <f t="shared" si="8"/>
        <v>1</v>
      </c>
      <c r="AM285" s="216">
        <f>0</f>
        <v>0</v>
      </c>
      <c r="AN285" s="217">
        <f t="shared" si="9"/>
        <v>1</v>
      </c>
      <c r="AO285" s="276">
        <v>45090</v>
      </c>
      <c r="AP285" s="151" t="s">
        <v>273</v>
      </c>
      <c r="AQ285" s="152" t="s">
        <v>1290</v>
      </c>
      <c r="AR285" s="152" t="s">
        <v>148</v>
      </c>
      <c r="AS285" s="159"/>
      <c r="AT285" s="153"/>
      <c r="AU285" s="154"/>
      <c r="AV285" s="154"/>
      <c r="AW285" s="154"/>
      <c r="AX285" s="155"/>
      <c r="AY285" s="156"/>
      <c r="AZ285" s="157"/>
      <c r="BA285" s="81"/>
      <c r="BB285" s="81"/>
      <c r="BC285" s="81"/>
    </row>
    <row r="286" spans="1:55" ht="28" customHeight="1" x14ac:dyDescent="0.25">
      <c r="A286" s="173">
        <v>281</v>
      </c>
      <c r="B286" s="147">
        <v>45084</v>
      </c>
      <c r="C286" s="77" t="s">
        <v>134</v>
      </c>
      <c r="D286" s="77" t="s">
        <v>135</v>
      </c>
      <c r="E286" s="77" t="s">
        <v>136</v>
      </c>
      <c r="F286" s="219" t="s">
        <v>1186</v>
      </c>
      <c r="G286" s="219" t="s">
        <v>963</v>
      </c>
      <c r="H286" s="219" t="s">
        <v>110</v>
      </c>
      <c r="I286" s="219" t="s">
        <v>163</v>
      </c>
      <c r="J286" s="221" t="s">
        <v>964</v>
      </c>
      <c r="K286" s="220" t="s">
        <v>80</v>
      </c>
      <c r="L286" s="220" t="s">
        <v>153</v>
      </c>
      <c r="M286" s="220" t="s">
        <v>154</v>
      </c>
      <c r="N286" s="220" t="s">
        <v>80</v>
      </c>
      <c r="O286" s="220" t="s">
        <v>155</v>
      </c>
      <c r="P286" s="152" t="s">
        <v>80</v>
      </c>
      <c r="Q286" s="307" t="s">
        <v>80</v>
      </c>
      <c r="R286" s="211">
        <f>0</f>
        <v>0</v>
      </c>
      <c r="S286" s="212">
        <v>0</v>
      </c>
      <c r="T286" s="212">
        <v>0</v>
      </c>
      <c r="U286" s="212">
        <v>0</v>
      </c>
      <c r="V286" s="212">
        <v>0</v>
      </c>
      <c r="W286" s="212">
        <v>0</v>
      </c>
      <c r="X286" s="212">
        <v>0</v>
      </c>
      <c r="Y286" s="212">
        <v>0</v>
      </c>
      <c r="Z286" s="179">
        <v>1</v>
      </c>
      <c r="AA286" s="213">
        <v>0</v>
      </c>
      <c r="AB286" s="214">
        <v>0</v>
      </c>
      <c r="AC286" s="212">
        <v>0</v>
      </c>
      <c r="AD286" s="212">
        <v>0</v>
      </c>
      <c r="AE286" s="212">
        <v>0</v>
      </c>
      <c r="AF286" s="212">
        <v>0</v>
      </c>
      <c r="AG286" s="212">
        <v>0</v>
      </c>
      <c r="AH286" s="212">
        <v>0</v>
      </c>
      <c r="AI286" s="212">
        <v>0</v>
      </c>
      <c r="AJ286" s="212">
        <v>0</v>
      </c>
      <c r="AK286" s="213">
        <v>0</v>
      </c>
      <c r="AL286" s="215">
        <f t="shared" si="8"/>
        <v>1</v>
      </c>
      <c r="AM286" s="216">
        <f>0</f>
        <v>0</v>
      </c>
      <c r="AN286" s="217">
        <f t="shared" si="9"/>
        <v>1</v>
      </c>
      <c r="AO286" s="276">
        <v>45090</v>
      </c>
      <c r="AP286" s="151" t="s">
        <v>273</v>
      </c>
      <c r="AQ286" s="152" t="s">
        <v>1290</v>
      </c>
      <c r="AR286" s="152" t="s">
        <v>148</v>
      </c>
      <c r="AS286" s="159"/>
      <c r="AT286" s="153"/>
      <c r="AU286" s="154"/>
      <c r="AV286" s="154"/>
      <c r="AW286" s="154"/>
      <c r="AX286" s="155"/>
      <c r="AY286" s="156"/>
      <c r="AZ286" s="157"/>
      <c r="BA286" s="81"/>
      <c r="BB286" s="81"/>
      <c r="BC286" s="81"/>
    </row>
    <row r="287" spans="1:55" ht="28" customHeight="1" x14ac:dyDescent="0.25">
      <c r="A287" s="173">
        <v>282</v>
      </c>
      <c r="B287" s="147">
        <v>45084</v>
      </c>
      <c r="C287" s="77" t="s">
        <v>134</v>
      </c>
      <c r="D287" s="77" t="s">
        <v>135</v>
      </c>
      <c r="E287" s="77" t="s">
        <v>136</v>
      </c>
      <c r="F287" s="219" t="s">
        <v>1186</v>
      </c>
      <c r="G287" s="219" t="s">
        <v>965</v>
      </c>
      <c r="H287" s="219" t="s">
        <v>110</v>
      </c>
      <c r="I287" s="219" t="s">
        <v>957</v>
      </c>
      <c r="J287" s="221" t="s">
        <v>966</v>
      </c>
      <c r="K287" s="220" t="s">
        <v>80</v>
      </c>
      <c r="L287" s="220" t="s">
        <v>153</v>
      </c>
      <c r="M287" s="220" t="s">
        <v>154</v>
      </c>
      <c r="N287" s="220" t="s">
        <v>80</v>
      </c>
      <c r="O287" s="220" t="s">
        <v>1219</v>
      </c>
      <c r="P287" s="152" t="s">
        <v>80</v>
      </c>
      <c r="Q287" s="307" t="s">
        <v>80</v>
      </c>
      <c r="R287" s="211">
        <f>0</f>
        <v>0</v>
      </c>
      <c r="S287" s="212">
        <v>0</v>
      </c>
      <c r="T287" s="212">
        <v>0</v>
      </c>
      <c r="U287" s="212">
        <v>0</v>
      </c>
      <c r="V287" s="212">
        <v>0</v>
      </c>
      <c r="W287" s="212">
        <v>0</v>
      </c>
      <c r="X287" s="212">
        <v>0</v>
      </c>
      <c r="Y287" s="212">
        <v>0</v>
      </c>
      <c r="Z287" s="179">
        <v>1</v>
      </c>
      <c r="AA287" s="213">
        <v>0</v>
      </c>
      <c r="AB287" s="214">
        <v>0</v>
      </c>
      <c r="AC287" s="212">
        <v>0</v>
      </c>
      <c r="AD287" s="212">
        <v>0</v>
      </c>
      <c r="AE287" s="212">
        <v>0</v>
      </c>
      <c r="AF287" s="212">
        <v>0</v>
      </c>
      <c r="AG287" s="212">
        <v>0</v>
      </c>
      <c r="AH287" s="212">
        <v>0</v>
      </c>
      <c r="AI287" s="212">
        <v>0</v>
      </c>
      <c r="AJ287" s="212">
        <v>0</v>
      </c>
      <c r="AK287" s="213">
        <v>0</v>
      </c>
      <c r="AL287" s="215">
        <f t="shared" si="8"/>
        <v>1</v>
      </c>
      <c r="AM287" s="216">
        <f>0</f>
        <v>0</v>
      </c>
      <c r="AN287" s="217">
        <f t="shared" si="9"/>
        <v>1</v>
      </c>
      <c r="AO287" s="276">
        <v>45090</v>
      </c>
      <c r="AP287" s="151" t="s">
        <v>273</v>
      </c>
      <c r="AQ287" s="152" t="s">
        <v>1290</v>
      </c>
      <c r="AR287" s="152" t="s">
        <v>148</v>
      </c>
      <c r="AS287" s="159"/>
      <c r="AT287" s="153"/>
      <c r="AU287" s="154"/>
      <c r="AV287" s="154"/>
      <c r="AW287" s="154"/>
      <c r="AX287" s="155"/>
      <c r="AY287" s="156"/>
      <c r="AZ287" s="157"/>
      <c r="BA287" s="81"/>
      <c r="BB287" s="81"/>
      <c r="BC287" s="81"/>
    </row>
    <row r="288" spans="1:55" ht="28" customHeight="1" x14ac:dyDescent="0.25">
      <c r="A288" s="173">
        <v>283</v>
      </c>
      <c r="B288" s="147">
        <v>45084</v>
      </c>
      <c r="C288" s="77" t="s">
        <v>134</v>
      </c>
      <c r="D288" s="77" t="s">
        <v>135</v>
      </c>
      <c r="E288" s="77" t="s">
        <v>136</v>
      </c>
      <c r="F288" s="219" t="s">
        <v>1186</v>
      </c>
      <c r="G288" s="219" t="s">
        <v>967</v>
      </c>
      <c r="H288" s="219" t="s">
        <v>110</v>
      </c>
      <c r="I288" s="219" t="s">
        <v>968</v>
      </c>
      <c r="J288" s="221" t="s">
        <v>969</v>
      </c>
      <c r="K288" s="220" t="s">
        <v>80</v>
      </c>
      <c r="L288" s="220" t="s">
        <v>153</v>
      </c>
      <c r="M288" s="220" t="s">
        <v>154</v>
      </c>
      <c r="N288" s="220" t="s">
        <v>80</v>
      </c>
      <c r="O288" s="220" t="s">
        <v>1219</v>
      </c>
      <c r="P288" s="152" t="s">
        <v>80</v>
      </c>
      <c r="Q288" s="307" t="s">
        <v>80</v>
      </c>
      <c r="R288" s="211">
        <f>0</f>
        <v>0</v>
      </c>
      <c r="S288" s="212">
        <v>0</v>
      </c>
      <c r="T288" s="212">
        <v>0</v>
      </c>
      <c r="U288" s="212">
        <v>0</v>
      </c>
      <c r="V288" s="212">
        <v>0</v>
      </c>
      <c r="W288" s="212">
        <v>0</v>
      </c>
      <c r="X288" s="212">
        <v>0</v>
      </c>
      <c r="Y288" s="212">
        <v>0</v>
      </c>
      <c r="Z288" s="179">
        <v>1</v>
      </c>
      <c r="AA288" s="213">
        <v>0</v>
      </c>
      <c r="AB288" s="214">
        <v>0</v>
      </c>
      <c r="AC288" s="212">
        <v>0</v>
      </c>
      <c r="AD288" s="212">
        <v>0</v>
      </c>
      <c r="AE288" s="212">
        <v>0</v>
      </c>
      <c r="AF288" s="212">
        <v>0</v>
      </c>
      <c r="AG288" s="212">
        <v>0</v>
      </c>
      <c r="AH288" s="212">
        <v>0</v>
      </c>
      <c r="AI288" s="212">
        <v>0</v>
      </c>
      <c r="AJ288" s="212">
        <v>0</v>
      </c>
      <c r="AK288" s="213">
        <v>0</v>
      </c>
      <c r="AL288" s="215">
        <f t="shared" si="8"/>
        <v>1</v>
      </c>
      <c r="AM288" s="216">
        <f>0</f>
        <v>0</v>
      </c>
      <c r="AN288" s="217">
        <f t="shared" si="9"/>
        <v>1</v>
      </c>
      <c r="AO288" s="276">
        <v>45090</v>
      </c>
      <c r="AP288" s="151" t="s">
        <v>273</v>
      </c>
      <c r="AQ288" s="152" t="s">
        <v>1290</v>
      </c>
      <c r="AR288" s="152" t="s">
        <v>148</v>
      </c>
      <c r="AS288" s="159"/>
      <c r="AT288" s="153"/>
      <c r="AU288" s="154">
        <v>1</v>
      </c>
      <c r="AV288" s="154"/>
      <c r="AW288" s="99" t="s">
        <v>457</v>
      </c>
      <c r="AX288" s="155"/>
      <c r="AY288" s="156"/>
      <c r="AZ288" s="157"/>
      <c r="BA288" s="81"/>
      <c r="BB288" s="81"/>
      <c r="BC288" s="81"/>
    </row>
    <row r="289" spans="1:55" ht="28" customHeight="1" x14ac:dyDescent="0.25">
      <c r="A289" s="173">
        <v>284</v>
      </c>
      <c r="B289" s="147">
        <v>45084</v>
      </c>
      <c r="C289" s="77" t="s">
        <v>134</v>
      </c>
      <c r="D289" s="77" t="s">
        <v>135</v>
      </c>
      <c r="E289" s="77" t="s">
        <v>136</v>
      </c>
      <c r="F289" s="219" t="s">
        <v>1186</v>
      </c>
      <c r="G289" s="219" t="s">
        <v>970</v>
      </c>
      <c r="H289" s="219" t="s">
        <v>110</v>
      </c>
      <c r="I289" s="219" t="s">
        <v>245</v>
      </c>
      <c r="J289" s="221" t="s">
        <v>971</v>
      </c>
      <c r="K289" s="220" t="s">
        <v>80</v>
      </c>
      <c r="L289" s="220" t="s">
        <v>153</v>
      </c>
      <c r="M289" s="220" t="s">
        <v>154</v>
      </c>
      <c r="N289" s="220" t="s">
        <v>80</v>
      </c>
      <c r="O289" s="220" t="s">
        <v>155</v>
      </c>
      <c r="P289" s="152" t="s">
        <v>80</v>
      </c>
      <c r="Q289" s="307" t="s">
        <v>80</v>
      </c>
      <c r="R289" s="211">
        <f>0</f>
        <v>0</v>
      </c>
      <c r="S289" s="212">
        <v>0</v>
      </c>
      <c r="T289" s="212">
        <v>0</v>
      </c>
      <c r="U289" s="212">
        <v>0</v>
      </c>
      <c r="V289" s="212">
        <v>0</v>
      </c>
      <c r="W289" s="212">
        <v>0</v>
      </c>
      <c r="X289" s="212">
        <v>0</v>
      </c>
      <c r="Y289" s="212">
        <v>0</v>
      </c>
      <c r="Z289" s="179">
        <v>1</v>
      </c>
      <c r="AA289" s="213">
        <v>0</v>
      </c>
      <c r="AB289" s="214">
        <v>0</v>
      </c>
      <c r="AC289" s="212">
        <v>0</v>
      </c>
      <c r="AD289" s="212">
        <v>0</v>
      </c>
      <c r="AE289" s="212">
        <v>0</v>
      </c>
      <c r="AF289" s="212">
        <v>0</v>
      </c>
      <c r="AG289" s="212">
        <v>0</v>
      </c>
      <c r="AH289" s="212">
        <v>0</v>
      </c>
      <c r="AI289" s="212">
        <v>0</v>
      </c>
      <c r="AJ289" s="212">
        <v>0</v>
      </c>
      <c r="AK289" s="213">
        <v>0</v>
      </c>
      <c r="AL289" s="215">
        <f t="shared" si="8"/>
        <v>1</v>
      </c>
      <c r="AM289" s="216">
        <f>0</f>
        <v>0</v>
      </c>
      <c r="AN289" s="217">
        <f t="shared" si="9"/>
        <v>1</v>
      </c>
      <c r="AO289" s="276">
        <v>45090</v>
      </c>
      <c r="AP289" s="151" t="s">
        <v>273</v>
      </c>
      <c r="AQ289" s="152" t="s">
        <v>1290</v>
      </c>
      <c r="AR289" s="152" t="s">
        <v>148</v>
      </c>
      <c r="AS289" s="159"/>
      <c r="AT289" s="153"/>
      <c r="AU289" s="154"/>
      <c r="AV289" s="154"/>
      <c r="AW289" s="154"/>
      <c r="AX289" s="155"/>
      <c r="AY289" s="156"/>
      <c r="AZ289" s="157"/>
      <c r="BA289" s="81"/>
      <c r="BB289" s="81"/>
      <c r="BC289" s="81"/>
    </row>
    <row r="290" spans="1:55" ht="28" customHeight="1" x14ac:dyDescent="0.25">
      <c r="A290" s="173">
        <v>285</v>
      </c>
      <c r="B290" s="147">
        <v>45084</v>
      </c>
      <c r="C290" s="77" t="s">
        <v>134</v>
      </c>
      <c r="D290" s="77" t="s">
        <v>135</v>
      </c>
      <c r="E290" s="77" t="s">
        <v>136</v>
      </c>
      <c r="F290" s="219" t="s">
        <v>1186</v>
      </c>
      <c r="G290" s="219" t="s">
        <v>972</v>
      </c>
      <c r="H290" s="219" t="s">
        <v>110</v>
      </c>
      <c r="I290" s="219" t="s">
        <v>230</v>
      </c>
      <c r="J290" s="221" t="s">
        <v>973</v>
      </c>
      <c r="K290" s="220" t="s">
        <v>80</v>
      </c>
      <c r="L290" s="220" t="s">
        <v>153</v>
      </c>
      <c r="M290" s="220" t="s">
        <v>154</v>
      </c>
      <c r="N290" s="220" t="s">
        <v>80</v>
      </c>
      <c r="O290" s="220" t="s">
        <v>155</v>
      </c>
      <c r="P290" s="152" t="s">
        <v>80</v>
      </c>
      <c r="Q290" s="307" t="s">
        <v>80</v>
      </c>
      <c r="R290" s="211">
        <f>0</f>
        <v>0</v>
      </c>
      <c r="S290" s="212">
        <v>0</v>
      </c>
      <c r="T290" s="212">
        <v>0</v>
      </c>
      <c r="U290" s="212">
        <v>0</v>
      </c>
      <c r="V290" s="212">
        <v>0</v>
      </c>
      <c r="W290" s="212">
        <v>0</v>
      </c>
      <c r="X290" s="212">
        <v>0</v>
      </c>
      <c r="Y290" s="212">
        <v>0</v>
      </c>
      <c r="Z290" s="179">
        <v>1</v>
      </c>
      <c r="AA290" s="213">
        <v>0</v>
      </c>
      <c r="AB290" s="214">
        <v>0</v>
      </c>
      <c r="AC290" s="212">
        <v>0</v>
      </c>
      <c r="AD290" s="212">
        <v>0</v>
      </c>
      <c r="AE290" s="212">
        <v>0</v>
      </c>
      <c r="AF290" s="212">
        <v>0</v>
      </c>
      <c r="AG290" s="212">
        <v>0</v>
      </c>
      <c r="AH290" s="212">
        <v>0</v>
      </c>
      <c r="AI290" s="212">
        <v>0</v>
      </c>
      <c r="AJ290" s="212">
        <v>0</v>
      </c>
      <c r="AK290" s="213">
        <v>0</v>
      </c>
      <c r="AL290" s="215">
        <f t="shared" si="8"/>
        <v>1</v>
      </c>
      <c r="AM290" s="216">
        <f>0</f>
        <v>0</v>
      </c>
      <c r="AN290" s="217">
        <f t="shared" si="9"/>
        <v>1</v>
      </c>
      <c r="AO290" s="276">
        <v>45090</v>
      </c>
      <c r="AP290" s="151" t="s">
        <v>273</v>
      </c>
      <c r="AQ290" s="152" t="s">
        <v>1290</v>
      </c>
      <c r="AR290" s="152" t="s">
        <v>148</v>
      </c>
      <c r="AS290" s="159"/>
      <c r="AT290" s="153"/>
      <c r="AU290" s="154"/>
      <c r="AV290" s="154"/>
      <c r="AW290" s="154"/>
      <c r="AX290" s="155"/>
      <c r="AY290" s="156"/>
      <c r="AZ290" s="157"/>
      <c r="BA290" s="81"/>
      <c r="BB290" s="81"/>
      <c r="BC290" s="81"/>
    </row>
    <row r="291" spans="1:55" ht="28" customHeight="1" x14ac:dyDescent="0.25">
      <c r="A291" s="173">
        <v>286</v>
      </c>
      <c r="B291" s="147">
        <v>45084</v>
      </c>
      <c r="C291" s="77" t="s">
        <v>134</v>
      </c>
      <c r="D291" s="77" t="s">
        <v>135</v>
      </c>
      <c r="E291" s="77" t="s">
        <v>136</v>
      </c>
      <c r="F291" s="219" t="s">
        <v>1186</v>
      </c>
      <c r="G291" s="219" t="s">
        <v>974</v>
      </c>
      <c r="H291" s="219" t="s">
        <v>110</v>
      </c>
      <c r="I291" s="219" t="s">
        <v>224</v>
      </c>
      <c r="J291" s="221" t="s">
        <v>975</v>
      </c>
      <c r="K291" s="220" t="s">
        <v>80</v>
      </c>
      <c r="L291" s="220" t="s">
        <v>153</v>
      </c>
      <c r="M291" s="220" t="s">
        <v>154</v>
      </c>
      <c r="N291" s="220" t="s">
        <v>80</v>
      </c>
      <c r="O291" s="220" t="s">
        <v>155</v>
      </c>
      <c r="P291" s="152" t="s">
        <v>80</v>
      </c>
      <c r="Q291" s="307" t="s">
        <v>80</v>
      </c>
      <c r="R291" s="211">
        <f>0</f>
        <v>0</v>
      </c>
      <c r="S291" s="212">
        <v>0</v>
      </c>
      <c r="T291" s="212">
        <v>0</v>
      </c>
      <c r="U291" s="212">
        <v>0</v>
      </c>
      <c r="V291" s="212">
        <v>0</v>
      </c>
      <c r="W291" s="212">
        <v>0</v>
      </c>
      <c r="X291" s="212">
        <v>0</v>
      </c>
      <c r="Y291" s="212">
        <v>0</v>
      </c>
      <c r="Z291" s="179">
        <v>1</v>
      </c>
      <c r="AA291" s="213">
        <v>0</v>
      </c>
      <c r="AB291" s="214">
        <v>0</v>
      </c>
      <c r="AC291" s="212">
        <v>0</v>
      </c>
      <c r="AD291" s="212">
        <v>0</v>
      </c>
      <c r="AE291" s="212">
        <v>0</v>
      </c>
      <c r="AF291" s="212">
        <v>0</v>
      </c>
      <c r="AG291" s="212">
        <v>0</v>
      </c>
      <c r="AH291" s="212">
        <v>0</v>
      </c>
      <c r="AI291" s="212">
        <v>0</v>
      </c>
      <c r="AJ291" s="212">
        <v>0</v>
      </c>
      <c r="AK291" s="213">
        <v>0</v>
      </c>
      <c r="AL291" s="215">
        <f t="shared" si="8"/>
        <v>1</v>
      </c>
      <c r="AM291" s="216">
        <f>0</f>
        <v>0</v>
      </c>
      <c r="AN291" s="217">
        <f t="shared" si="9"/>
        <v>1</v>
      </c>
      <c r="AO291" s="276">
        <v>45090</v>
      </c>
      <c r="AP291" s="151" t="s">
        <v>273</v>
      </c>
      <c r="AQ291" s="152" t="s">
        <v>1290</v>
      </c>
      <c r="AR291" s="152" t="s">
        <v>148</v>
      </c>
      <c r="AS291" s="159"/>
      <c r="AT291" s="153"/>
      <c r="AU291" s="154"/>
      <c r="AV291" s="154"/>
      <c r="AW291" s="154"/>
      <c r="AX291" s="155"/>
      <c r="AY291" s="156"/>
      <c r="AZ291" s="157"/>
      <c r="BA291" s="81"/>
      <c r="BB291" s="81"/>
      <c r="BC291" s="81"/>
    </row>
    <row r="292" spans="1:55" ht="28" customHeight="1" x14ac:dyDescent="0.25">
      <c r="A292" s="173">
        <v>287</v>
      </c>
      <c r="B292" s="147">
        <v>45084</v>
      </c>
      <c r="C292" s="77" t="s">
        <v>134</v>
      </c>
      <c r="D292" s="77" t="s">
        <v>135</v>
      </c>
      <c r="E292" s="77" t="s">
        <v>136</v>
      </c>
      <c r="F292" s="219" t="s">
        <v>1186</v>
      </c>
      <c r="G292" s="219" t="s">
        <v>976</v>
      </c>
      <c r="H292" s="219" t="s">
        <v>110</v>
      </c>
      <c r="I292" s="219" t="s">
        <v>253</v>
      </c>
      <c r="J292" s="221" t="s">
        <v>977</v>
      </c>
      <c r="K292" s="220" t="s">
        <v>80</v>
      </c>
      <c r="L292" s="220" t="s">
        <v>153</v>
      </c>
      <c r="M292" s="220" t="s">
        <v>154</v>
      </c>
      <c r="N292" s="220" t="s">
        <v>80</v>
      </c>
      <c r="O292" s="220" t="s">
        <v>155</v>
      </c>
      <c r="P292" s="152" t="s">
        <v>80</v>
      </c>
      <c r="Q292" s="307" t="s">
        <v>80</v>
      </c>
      <c r="R292" s="211">
        <f>0</f>
        <v>0</v>
      </c>
      <c r="S292" s="212">
        <v>0</v>
      </c>
      <c r="T292" s="212">
        <v>0</v>
      </c>
      <c r="U292" s="212">
        <v>0</v>
      </c>
      <c r="V292" s="212">
        <v>0</v>
      </c>
      <c r="W292" s="212">
        <v>0</v>
      </c>
      <c r="X292" s="212">
        <v>0</v>
      </c>
      <c r="Y292" s="212">
        <v>0</v>
      </c>
      <c r="Z292" s="179">
        <v>1</v>
      </c>
      <c r="AA292" s="213">
        <v>0</v>
      </c>
      <c r="AB292" s="214">
        <v>0</v>
      </c>
      <c r="AC292" s="212">
        <v>0</v>
      </c>
      <c r="AD292" s="212">
        <v>0</v>
      </c>
      <c r="AE292" s="212">
        <v>0</v>
      </c>
      <c r="AF292" s="212">
        <v>0</v>
      </c>
      <c r="AG292" s="212">
        <v>0</v>
      </c>
      <c r="AH292" s="212">
        <v>0</v>
      </c>
      <c r="AI292" s="212">
        <v>0</v>
      </c>
      <c r="AJ292" s="212">
        <v>0</v>
      </c>
      <c r="AK292" s="213">
        <v>0</v>
      </c>
      <c r="AL292" s="215">
        <f t="shared" si="8"/>
        <v>1</v>
      </c>
      <c r="AM292" s="216">
        <f>0</f>
        <v>0</v>
      </c>
      <c r="AN292" s="217">
        <f t="shared" si="9"/>
        <v>1</v>
      </c>
      <c r="AO292" s="276">
        <v>45090</v>
      </c>
      <c r="AP292" s="151" t="s">
        <v>273</v>
      </c>
      <c r="AQ292" s="152" t="s">
        <v>1290</v>
      </c>
      <c r="AR292" s="152" t="s">
        <v>148</v>
      </c>
      <c r="AS292" s="159"/>
      <c r="AT292" s="153"/>
      <c r="AU292" s="154"/>
      <c r="AV292" s="154"/>
      <c r="AW292" s="154"/>
      <c r="AX292" s="155"/>
      <c r="AY292" s="156"/>
      <c r="AZ292" s="157"/>
      <c r="BA292" s="81"/>
      <c r="BB292" s="81"/>
      <c r="BC292" s="81"/>
    </row>
    <row r="293" spans="1:55" ht="28" customHeight="1" x14ac:dyDescent="0.25">
      <c r="A293" s="173">
        <v>288</v>
      </c>
      <c r="B293" s="147">
        <v>45084</v>
      </c>
      <c r="C293" s="77" t="s">
        <v>134</v>
      </c>
      <c r="D293" s="77" t="s">
        <v>135</v>
      </c>
      <c r="E293" s="77" t="s">
        <v>136</v>
      </c>
      <c r="F293" s="219" t="s">
        <v>1186</v>
      </c>
      <c r="G293" s="219" t="s">
        <v>978</v>
      </c>
      <c r="H293" s="219" t="s">
        <v>110</v>
      </c>
      <c r="I293" s="219" t="s">
        <v>495</v>
      </c>
      <c r="J293" s="221" t="s">
        <v>979</v>
      </c>
      <c r="K293" s="220"/>
      <c r="L293" s="220" t="s">
        <v>153</v>
      </c>
      <c r="M293" s="220" t="s">
        <v>154</v>
      </c>
      <c r="N293" s="220" t="s">
        <v>80</v>
      </c>
      <c r="O293" s="220" t="s">
        <v>155</v>
      </c>
      <c r="P293" s="152" t="s">
        <v>80</v>
      </c>
      <c r="Q293" s="307" t="s">
        <v>80</v>
      </c>
      <c r="R293" s="211">
        <f>0</f>
        <v>0</v>
      </c>
      <c r="S293" s="212">
        <v>0</v>
      </c>
      <c r="T293" s="212">
        <v>0</v>
      </c>
      <c r="U293" s="212">
        <v>0</v>
      </c>
      <c r="V293" s="212">
        <v>0</v>
      </c>
      <c r="W293" s="212">
        <v>0</v>
      </c>
      <c r="X293" s="212">
        <v>0</v>
      </c>
      <c r="Y293" s="212">
        <v>0</v>
      </c>
      <c r="Z293" s="179">
        <v>1</v>
      </c>
      <c r="AA293" s="213">
        <v>0</v>
      </c>
      <c r="AB293" s="214">
        <v>0</v>
      </c>
      <c r="AC293" s="212">
        <v>0</v>
      </c>
      <c r="AD293" s="212">
        <v>0</v>
      </c>
      <c r="AE293" s="212">
        <v>0</v>
      </c>
      <c r="AF293" s="212">
        <v>0</v>
      </c>
      <c r="AG293" s="212">
        <v>0</v>
      </c>
      <c r="AH293" s="212">
        <v>0</v>
      </c>
      <c r="AI293" s="212">
        <v>0</v>
      </c>
      <c r="AJ293" s="212">
        <v>0</v>
      </c>
      <c r="AK293" s="213">
        <v>0</v>
      </c>
      <c r="AL293" s="215">
        <f t="shared" si="8"/>
        <v>1</v>
      </c>
      <c r="AM293" s="216">
        <f>0</f>
        <v>0</v>
      </c>
      <c r="AN293" s="217">
        <f t="shared" si="9"/>
        <v>1</v>
      </c>
      <c r="AO293" s="276">
        <v>45090</v>
      </c>
      <c r="AP293" s="151" t="s">
        <v>273</v>
      </c>
      <c r="AQ293" s="152" t="s">
        <v>1290</v>
      </c>
      <c r="AR293" s="152" t="s">
        <v>148</v>
      </c>
      <c r="AS293" s="159"/>
      <c r="AT293" s="153"/>
      <c r="AU293" s="154"/>
      <c r="AV293" s="154"/>
      <c r="AW293" s="154"/>
      <c r="AX293" s="155"/>
      <c r="AY293" s="156"/>
      <c r="AZ293" s="157"/>
      <c r="BA293" s="81"/>
      <c r="BB293" s="81"/>
      <c r="BC293" s="81"/>
    </row>
    <row r="294" spans="1:55" ht="28" customHeight="1" x14ac:dyDescent="0.25">
      <c r="A294" s="173">
        <v>289</v>
      </c>
      <c r="B294" s="147">
        <v>45084</v>
      </c>
      <c r="C294" s="77" t="s">
        <v>134</v>
      </c>
      <c r="D294" s="77" t="s">
        <v>135</v>
      </c>
      <c r="E294" s="77" t="s">
        <v>136</v>
      </c>
      <c r="F294" s="219" t="s">
        <v>1186</v>
      </c>
      <c r="G294" s="219" t="s">
        <v>980</v>
      </c>
      <c r="H294" s="219" t="s">
        <v>110</v>
      </c>
      <c r="I294" s="219" t="s">
        <v>239</v>
      </c>
      <c r="J294" s="221" t="s">
        <v>981</v>
      </c>
      <c r="K294" s="220" t="s">
        <v>80</v>
      </c>
      <c r="L294" s="220" t="s">
        <v>153</v>
      </c>
      <c r="M294" s="220" t="s">
        <v>154</v>
      </c>
      <c r="N294" s="220" t="s">
        <v>80</v>
      </c>
      <c r="O294" s="220" t="s">
        <v>155</v>
      </c>
      <c r="P294" s="152" t="s">
        <v>80</v>
      </c>
      <c r="Q294" s="307" t="s">
        <v>80</v>
      </c>
      <c r="R294" s="211">
        <f>0</f>
        <v>0</v>
      </c>
      <c r="S294" s="212">
        <v>0</v>
      </c>
      <c r="T294" s="212">
        <v>0</v>
      </c>
      <c r="U294" s="212">
        <v>0</v>
      </c>
      <c r="V294" s="212">
        <v>0</v>
      </c>
      <c r="W294" s="212">
        <v>0</v>
      </c>
      <c r="X294" s="212">
        <v>0</v>
      </c>
      <c r="Y294" s="212">
        <v>0</v>
      </c>
      <c r="Z294" s="179">
        <v>1</v>
      </c>
      <c r="AA294" s="213">
        <v>0</v>
      </c>
      <c r="AB294" s="214">
        <v>0</v>
      </c>
      <c r="AC294" s="212">
        <v>0</v>
      </c>
      <c r="AD294" s="212">
        <v>0</v>
      </c>
      <c r="AE294" s="212">
        <v>0</v>
      </c>
      <c r="AF294" s="212">
        <v>0</v>
      </c>
      <c r="AG294" s="212">
        <v>0</v>
      </c>
      <c r="AH294" s="212">
        <v>0</v>
      </c>
      <c r="AI294" s="212">
        <v>0</v>
      </c>
      <c r="AJ294" s="212">
        <v>0</v>
      </c>
      <c r="AK294" s="213">
        <v>0</v>
      </c>
      <c r="AL294" s="215">
        <f t="shared" si="8"/>
        <v>1</v>
      </c>
      <c r="AM294" s="216">
        <f>0</f>
        <v>0</v>
      </c>
      <c r="AN294" s="217">
        <f t="shared" si="9"/>
        <v>1</v>
      </c>
      <c r="AO294" s="276">
        <v>45090</v>
      </c>
      <c r="AP294" s="151" t="s">
        <v>273</v>
      </c>
      <c r="AQ294" s="152" t="s">
        <v>1290</v>
      </c>
      <c r="AR294" s="152" t="s">
        <v>148</v>
      </c>
      <c r="AS294" s="159"/>
      <c r="AT294" s="153"/>
      <c r="AU294" s="154"/>
      <c r="AV294" s="154"/>
      <c r="AW294" s="154"/>
      <c r="AX294" s="155"/>
      <c r="AY294" s="156"/>
      <c r="AZ294" s="157"/>
      <c r="BA294" s="81"/>
      <c r="BB294" s="81"/>
      <c r="BC294" s="81"/>
    </row>
    <row r="295" spans="1:55" ht="28" customHeight="1" x14ac:dyDescent="0.25">
      <c r="A295" s="173">
        <v>290</v>
      </c>
      <c r="B295" s="147">
        <v>45084</v>
      </c>
      <c r="C295" s="77" t="s">
        <v>134</v>
      </c>
      <c r="D295" s="77" t="s">
        <v>135</v>
      </c>
      <c r="E295" s="77" t="s">
        <v>136</v>
      </c>
      <c r="F295" s="219" t="s">
        <v>1186</v>
      </c>
      <c r="G295" s="219" t="s">
        <v>982</v>
      </c>
      <c r="H295" s="219" t="s">
        <v>110</v>
      </c>
      <c r="I295" s="219" t="s">
        <v>983</v>
      </c>
      <c r="J295" s="221" t="s">
        <v>984</v>
      </c>
      <c r="K295" s="220"/>
      <c r="L295" s="220" t="s">
        <v>153</v>
      </c>
      <c r="M295" s="220" t="s">
        <v>154</v>
      </c>
      <c r="N295" s="220" t="s">
        <v>80</v>
      </c>
      <c r="O295" s="220" t="s">
        <v>155</v>
      </c>
      <c r="P295" s="152" t="s">
        <v>80</v>
      </c>
      <c r="Q295" s="307" t="s">
        <v>80</v>
      </c>
      <c r="R295" s="211">
        <f>0</f>
        <v>0</v>
      </c>
      <c r="S295" s="212">
        <v>0</v>
      </c>
      <c r="T295" s="212">
        <v>0</v>
      </c>
      <c r="U295" s="212">
        <v>0</v>
      </c>
      <c r="V295" s="212">
        <v>0</v>
      </c>
      <c r="W295" s="212">
        <v>0</v>
      </c>
      <c r="X295" s="212">
        <v>0</v>
      </c>
      <c r="Y295" s="212">
        <v>0</v>
      </c>
      <c r="Z295" s="179">
        <v>1</v>
      </c>
      <c r="AA295" s="213">
        <v>0</v>
      </c>
      <c r="AB295" s="214">
        <v>0</v>
      </c>
      <c r="AC295" s="212">
        <v>0</v>
      </c>
      <c r="AD295" s="212">
        <v>0</v>
      </c>
      <c r="AE295" s="212">
        <v>0</v>
      </c>
      <c r="AF295" s="212">
        <v>0</v>
      </c>
      <c r="AG295" s="212">
        <v>0</v>
      </c>
      <c r="AH295" s="212">
        <v>0</v>
      </c>
      <c r="AI295" s="212">
        <v>0</v>
      </c>
      <c r="AJ295" s="212">
        <v>0</v>
      </c>
      <c r="AK295" s="213">
        <v>0</v>
      </c>
      <c r="AL295" s="215">
        <f t="shared" si="8"/>
        <v>1</v>
      </c>
      <c r="AM295" s="216">
        <f>0</f>
        <v>0</v>
      </c>
      <c r="AN295" s="217">
        <f t="shared" si="9"/>
        <v>1</v>
      </c>
      <c r="AO295" s="276">
        <v>45090</v>
      </c>
      <c r="AP295" s="151" t="s">
        <v>273</v>
      </c>
      <c r="AQ295" s="152" t="s">
        <v>1290</v>
      </c>
      <c r="AR295" s="152" t="s">
        <v>148</v>
      </c>
      <c r="AS295" s="159"/>
      <c r="AT295" s="153"/>
      <c r="AU295" s="154"/>
      <c r="AV295" s="154"/>
      <c r="AW295" s="154"/>
      <c r="AX295" s="155"/>
      <c r="AY295" s="156"/>
      <c r="AZ295" s="157"/>
      <c r="BA295" s="81"/>
      <c r="BB295" s="81"/>
      <c r="BC295" s="81"/>
    </row>
    <row r="296" spans="1:55" ht="28" customHeight="1" x14ac:dyDescent="0.25">
      <c r="A296" s="173">
        <v>291</v>
      </c>
      <c r="B296" s="147">
        <v>45084</v>
      </c>
      <c r="C296" s="77" t="s">
        <v>134</v>
      </c>
      <c r="D296" s="77" t="s">
        <v>135</v>
      </c>
      <c r="E296" s="77" t="s">
        <v>136</v>
      </c>
      <c r="F296" s="219" t="s">
        <v>1186</v>
      </c>
      <c r="G296" s="219" t="s">
        <v>985</v>
      </c>
      <c r="H296" s="219" t="s">
        <v>110</v>
      </c>
      <c r="I296" s="219" t="s">
        <v>151</v>
      </c>
      <c r="J296" s="221" t="s">
        <v>986</v>
      </c>
      <c r="K296" s="220" t="s">
        <v>80</v>
      </c>
      <c r="L296" s="220" t="s">
        <v>153</v>
      </c>
      <c r="M296" s="220" t="s">
        <v>154</v>
      </c>
      <c r="N296" s="220" t="s">
        <v>80</v>
      </c>
      <c r="O296" s="220" t="s">
        <v>155</v>
      </c>
      <c r="P296" s="152" t="s">
        <v>80</v>
      </c>
      <c r="Q296" s="307" t="s">
        <v>80</v>
      </c>
      <c r="R296" s="211">
        <f>0</f>
        <v>0</v>
      </c>
      <c r="S296" s="212">
        <v>0</v>
      </c>
      <c r="T296" s="212">
        <v>0</v>
      </c>
      <c r="U296" s="212">
        <v>0</v>
      </c>
      <c r="V296" s="212">
        <v>0</v>
      </c>
      <c r="W296" s="212">
        <v>0</v>
      </c>
      <c r="X296" s="212">
        <v>0</v>
      </c>
      <c r="Y296" s="212">
        <v>0</v>
      </c>
      <c r="Z296" s="179">
        <v>1</v>
      </c>
      <c r="AA296" s="213">
        <v>0</v>
      </c>
      <c r="AB296" s="214">
        <v>0</v>
      </c>
      <c r="AC296" s="212">
        <v>0</v>
      </c>
      <c r="AD296" s="212">
        <v>0</v>
      </c>
      <c r="AE296" s="212">
        <v>0</v>
      </c>
      <c r="AF296" s="212">
        <v>0</v>
      </c>
      <c r="AG296" s="212">
        <v>0</v>
      </c>
      <c r="AH296" s="212">
        <v>0</v>
      </c>
      <c r="AI296" s="212">
        <v>0</v>
      </c>
      <c r="AJ296" s="212">
        <v>0</v>
      </c>
      <c r="AK296" s="213">
        <v>0</v>
      </c>
      <c r="AL296" s="215">
        <f t="shared" si="8"/>
        <v>1</v>
      </c>
      <c r="AM296" s="216">
        <f>0</f>
        <v>0</v>
      </c>
      <c r="AN296" s="217">
        <f t="shared" si="9"/>
        <v>1</v>
      </c>
      <c r="AO296" s="276">
        <v>45090</v>
      </c>
      <c r="AP296" s="151" t="s">
        <v>273</v>
      </c>
      <c r="AQ296" s="152" t="s">
        <v>1290</v>
      </c>
      <c r="AR296" s="152" t="s">
        <v>148</v>
      </c>
      <c r="AS296" s="159"/>
      <c r="AT296" s="153"/>
      <c r="AU296" s="154"/>
      <c r="AV296" s="154"/>
      <c r="AW296" s="154"/>
      <c r="AX296" s="155"/>
      <c r="AY296" s="156"/>
      <c r="AZ296" s="157"/>
      <c r="BA296" s="81"/>
      <c r="BB296" s="81"/>
      <c r="BC296" s="81"/>
    </row>
    <row r="297" spans="1:55" ht="28" customHeight="1" x14ac:dyDescent="0.25">
      <c r="A297" s="173">
        <v>292</v>
      </c>
      <c r="B297" s="147">
        <v>45084</v>
      </c>
      <c r="C297" s="77" t="s">
        <v>134</v>
      </c>
      <c r="D297" s="77" t="s">
        <v>135</v>
      </c>
      <c r="E297" s="77" t="s">
        <v>136</v>
      </c>
      <c r="F297" s="219" t="s">
        <v>1186</v>
      </c>
      <c r="G297" s="219" t="s">
        <v>987</v>
      </c>
      <c r="H297" s="219" t="s">
        <v>110</v>
      </c>
      <c r="I297" s="219" t="s">
        <v>1203</v>
      </c>
      <c r="J297" s="221" t="s">
        <v>988</v>
      </c>
      <c r="K297" s="220" t="s">
        <v>80</v>
      </c>
      <c r="L297" s="220" t="s">
        <v>153</v>
      </c>
      <c r="M297" s="220" t="s">
        <v>154</v>
      </c>
      <c r="N297" s="220" t="s">
        <v>80</v>
      </c>
      <c r="O297" s="220" t="s">
        <v>155</v>
      </c>
      <c r="P297" s="152" t="s">
        <v>80</v>
      </c>
      <c r="Q297" s="307" t="s">
        <v>80</v>
      </c>
      <c r="R297" s="211">
        <f>0</f>
        <v>0</v>
      </c>
      <c r="S297" s="212">
        <v>0</v>
      </c>
      <c r="T297" s="212">
        <v>0</v>
      </c>
      <c r="U297" s="212">
        <v>0</v>
      </c>
      <c r="V297" s="212">
        <v>0</v>
      </c>
      <c r="W297" s="212">
        <v>0</v>
      </c>
      <c r="X297" s="212">
        <v>0</v>
      </c>
      <c r="Y297" s="212">
        <v>0</v>
      </c>
      <c r="Z297" s="179">
        <v>1</v>
      </c>
      <c r="AA297" s="213">
        <v>0</v>
      </c>
      <c r="AB297" s="214">
        <v>0</v>
      </c>
      <c r="AC297" s="212">
        <v>0</v>
      </c>
      <c r="AD297" s="212">
        <v>0</v>
      </c>
      <c r="AE297" s="212">
        <v>0</v>
      </c>
      <c r="AF297" s="212">
        <v>0</v>
      </c>
      <c r="AG297" s="212">
        <v>0</v>
      </c>
      <c r="AH297" s="212">
        <v>0</v>
      </c>
      <c r="AI297" s="212">
        <v>0</v>
      </c>
      <c r="AJ297" s="212">
        <v>0</v>
      </c>
      <c r="AK297" s="213">
        <v>0</v>
      </c>
      <c r="AL297" s="215">
        <f t="shared" si="8"/>
        <v>1</v>
      </c>
      <c r="AM297" s="216">
        <f>0</f>
        <v>0</v>
      </c>
      <c r="AN297" s="217">
        <f t="shared" si="9"/>
        <v>1</v>
      </c>
      <c r="AO297" s="276">
        <v>45090</v>
      </c>
      <c r="AP297" s="151" t="s">
        <v>273</v>
      </c>
      <c r="AQ297" s="152" t="s">
        <v>1290</v>
      </c>
      <c r="AR297" s="152" t="s">
        <v>148</v>
      </c>
      <c r="AS297" s="159"/>
      <c r="AT297" s="153"/>
      <c r="AU297" s="154"/>
      <c r="AV297" s="154"/>
      <c r="AW297" s="154"/>
      <c r="AX297" s="155"/>
      <c r="AY297" s="156"/>
      <c r="AZ297" s="157"/>
      <c r="BA297" s="81"/>
      <c r="BB297" s="81"/>
      <c r="BC297" s="81"/>
    </row>
    <row r="298" spans="1:55" ht="28" customHeight="1" x14ac:dyDescent="0.25">
      <c r="A298" s="173">
        <v>293</v>
      </c>
      <c r="B298" s="147">
        <v>45084</v>
      </c>
      <c r="C298" s="77" t="s">
        <v>134</v>
      </c>
      <c r="D298" s="77" t="s">
        <v>135</v>
      </c>
      <c r="E298" s="77" t="s">
        <v>136</v>
      </c>
      <c r="F298" s="219" t="s">
        <v>1186</v>
      </c>
      <c r="G298" s="219" t="s">
        <v>989</v>
      </c>
      <c r="H298" s="219" t="s">
        <v>110</v>
      </c>
      <c r="I298" s="219" t="s">
        <v>163</v>
      </c>
      <c r="J298" s="221" t="s">
        <v>990</v>
      </c>
      <c r="K298" s="220" t="s">
        <v>80</v>
      </c>
      <c r="L298" s="220" t="s">
        <v>153</v>
      </c>
      <c r="M298" s="220" t="s">
        <v>154</v>
      </c>
      <c r="N298" s="220" t="s">
        <v>80</v>
      </c>
      <c r="O298" s="220" t="s">
        <v>155</v>
      </c>
      <c r="P298" s="152" t="s">
        <v>80</v>
      </c>
      <c r="Q298" s="307" t="s">
        <v>80</v>
      </c>
      <c r="R298" s="211">
        <f>0</f>
        <v>0</v>
      </c>
      <c r="S298" s="212">
        <v>0</v>
      </c>
      <c r="T298" s="212">
        <v>0</v>
      </c>
      <c r="U298" s="212">
        <v>0</v>
      </c>
      <c r="V298" s="212">
        <v>0</v>
      </c>
      <c r="W298" s="212">
        <v>0</v>
      </c>
      <c r="X298" s="212">
        <v>0</v>
      </c>
      <c r="Y298" s="212">
        <v>0</v>
      </c>
      <c r="Z298" s="179">
        <v>1</v>
      </c>
      <c r="AA298" s="213">
        <v>0</v>
      </c>
      <c r="AB298" s="214">
        <v>0</v>
      </c>
      <c r="AC298" s="212">
        <v>0</v>
      </c>
      <c r="AD298" s="212">
        <v>0</v>
      </c>
      <c r="AE298" s="212">
        <v>0</v>
      </c>
      <c r="AF298" s="212">
        <v>0</v>
      </c>
      <c r="AG298" s="212">
        <v>0</v>
      </c>
      <c r="AH298" s="212">
        <v>0</v>
      </c>
      <c r="AI298" s="212">
        <v>0</v>
      </c>
      <c r="AJ298" s="212">
        <v>0</v>
      </c>
      <c r="AK298" s="213">
        <v>0</v>
      </c>
      <c r="AL298" s="215">
        <f t="shared" si="8"/>
        <v>1</v>
      </c>
      <c r="AM298" s="216">
        <f>0</f>
        <v>0</v>
      </c>
      <c r="AN298" s="217">
        <f t="shared" si="9"/>
        <v>1</v>
      </c>
      <c r="AO298" s="276">
        <v>45090</v>
      </c>
      <c r="AP298" s="151" t="s">
        <v>273</v>
      </c>
      <c r="AQ298" s="152" t="s">
        <v>1290</v>
      </c>
      <c r="AR298" s="152" t="s">
        <v>148</v>
      </c>
      <c r="AS298" s="159"/>
      <c r="AT298" s="153"/>
      <c r="AU298" s="154"/>
      <c r="AV298" s="154"/>
      <c r="AW298" s="154"/>
      <c r="AX298" s="155"/>
      <c r="AY298" s="156"/>
      <c r="AZ298" s="157"/>
      <c r="BA298" s="81"/>
      <c r="BB298" s="81"/>
      <c r="BC298" s="81"/>
    </row>
    <row r="299" spans="1:55" ht="28" customHeight="1" x14ac:dyDescent="0.25">
      <c r="A299" s="173">
        <v>294</v>
      </c>
      <c r="B299" s="147">
        <v>45084</v>
      </c>
      <c r="C299" s="77" t="s">
        <v>134</v>
      </c>
      <c r="D299" s="77" t="s">
        <v>135</v>
      </c>
      <c r="E299" s="77" t="s">
        <v>136</v>
      </c>
      <c r="F299" s="219" t="s">
        <v>1186</v>
      </c>
      <c r="G299" s="219" t="s">
        <v>991</v>
      </c>
      <c r="H299" s="219" t="s">
        <v>110</v>
      </c>
      <c r="I299" s="219" t="s">
        <v>992</v>
      </c>
      <c r="J299" s="221" t="s">
        <v>993</v>
      </c>
      <c r="K299" s="220"/>
      <c r="L299" s="220" t="s">
        <v>469</v>
      </c>
      <c r="M299" s="220" t="s">
        <v>154</v>
      </c>
      <c r="N299" s="220" t="s">
        <v>212</v>
      </c>
      <c r="O299" s="220" t="s">
        <v>149</v>
      </c>
      <c r="P299" s="152" t="s">
        <v>80</v>
      </c>
      <c r="Q299" s="307" t="s">
        <v>80</v>
      </c>
      <c r="R299" s="211">
        <f>0</f>
        <v>0</v>
      </c>
      <c r="S299" s="212">
        <v>0</v>
      </c>
      <c r="T299" s="212">
        <v>0</v>
      </c>
      <c r="U299" s="212">
        <v>0</v>
      </c>
      <c r="V299" s="212">
        <v>0</v>
      </c>
      <c r="W299" s="212">
        <v>0</v>
      </c>
      <c r="X299" s="212">
        <v>0</v>
      </c>
      <c r="Y299" s="212">
        <v>0</v>
      </c>
      <c r="Z299" s="179">
        <v>1</v>
      </c>
      <c r="AA299" s="213">
        <v>0</v>
      </c>
      <c r="AB299" s="214">
        <v>0</v>
      </c>
      <c r="AC299" s="212">
        <v>0</v>
      </c>
      <c r="AD299" s="212">
        <v>0</v>
      </c>
      <c r="AE299" s="212">
        <v>0</v>
      </c>
      <c r="AF299" s="212">
        <v>0</v>
      </c>
      <c r="AG299" s="212">
        <v>0</v>
      </c>
      <c r="AH299" s="212">
        <v>0</v>
      </c>
      <c r="AI299" s="212">
        <v>0</v>
      </c>
      <c r="AJ299" s="212">
        <v>0</v>
      </c>
      <c r="AK299" s="213">
        <v>0</v>
      </c>
      <c r="AL299" s="215">
        <f t="shared" si="8"/>
        <v>1</v>
      </c>
      <c r="AM299" s="216">
        <f>0</f>
        <v>0</v>
      </c>
      <c r="AN299" s="217">
        <f t="shared" si="9"/>
        <v>1</v>
      </c>
      <c r="AO299" s="276">
        <v>45090</v>
      </c>
      <c r="AP299" s="151" t="s">
        <v>273</v>
      </c>
      <c r="AQ299" s="152" t="s">
        <v>1290</v>
      </c>
      <c r="AR299" s="152" t="s">
        <v>148</v>
      </c>
      <c r="AS299" s="159"/>
      <c r="AT299" s="153"/>
      <c r="AU299" s="154"/>
      <c r="AV299" s="154"/>
      <c r="AW299" s="154"/>
      <c r="AX299" s="155"/>
      <c r="AY299" s="156"/>
      <c r="AZ299" s="157"/>
      <c r="BA299" s="81"/>
      <c r="BB299" s="81"/>
      <c r="BC299" s="81"/>
    </row>
    <row r="300" spans="1:55" ht="28" customHeight="1" x14ac:dyDescent="0.25">
      <c r="A300" s="173">
        <v>295</v>
      </c>
      <c r="B300" s="147">
        <v>45084</v>
      </c>
      <c r="C300" s="77" t="s">
        <v>134</v>
      </c>
      <c r="D300" s="77" t="s">
        <v>135</v>
      </c>
      <c r="E300" s="77" t="s">
        <v>136</v>
      </c>
      <c r="F300" s="219" t="s">
        <v>1186</v>
      </c>
      <c r="G300" s="219" t="s">
        <v>994</v>
      </c>
      <c r="H300" s="219" t="s">
        <v>110</v>
      </c>
      <c r="I300" s="219" t="s">
        <v>995</v>
      </c>
      <c r="J300" s="221" t="s">
        <v>996</v>
      </c>
      <c r="K300" s="220"/>
      <c r="L300" s="220" t="s">
        <v>469</v>
      </c>
      <c r="M300" s="220" t="s">
        <v>154</v>
      </c>
      <c r="N300" s="220" t="s">
        <v>578</v>
      </c>
      <c r="O300" s="220" t="s">
        <v>149</v>
      </c>
      <c r="P300" s="152" t="s">
        <v>80</v>
      </c>
      <c r="Q300" s="307" t="s">
        <v>80</v>
      </c>
      <c r="R300" s="211">
        <f>0</f>
        <v>0</v>
      </c>
      <c r="S300" s="212">
        <v>0</v>
      </c>
      <c r="T300" s="212">
        <v>0</v>
      </c>
      <c r="U300" s="212">
        <v>0</v>
      </c>
      <c r="V300" s="212">
        <v>0</v>
      </c>
      <c r="W300" s="212">
        <v>0</v>
      </c>
      <c r="X300" s="212">
        <v>0</v>
      </c>
      <c r="Y300" s="212">
        <v>0</v>
      </c>
      <c r="Z300" s="179">
        <v>1</v>
      </c>
      <c r="AA300" s="213">
        <v>0</v>
      </c>
      <c r="AB300" s="214">
        <v>0</v>
      </c>
      <c r="AC300" s="212">
        <v>0</v>
      </c>
      <c r="AD300" s="212">
        <v>0</v>
      </c>
      <c r="AE300" s="212">
        <v>0</v>
      </c>
      <c r="AF300" s="212">
        <v>0</v>
      </c>
      <c r="AG300" s="212">
        <v>0</v>
      </c>
      <c r="AH300" s="212">
        <v>0</v>
      </c>
      <c r="AI300" s="212">
        <v>0</v>
      </c>
      <c r="AJ300" s="212">
        <v>0</v>
      </c>
      <c r="AK300" s="213">
        <v>0</v>
      </c>
      <c r="AL300" s="215">
        <f t="shared" si="8"/>
        <v>1</v>
      </c>
      <c r="AM300" s="216">
        <f>0</f>
        <v>0</v>
      </c>
      <c r="AN300" s="217">
        <f t="shared" si="9"/>
        <v>1</v>
      </c>
      <c r="AO300" s="276">
        <v>45090</v>
      </c>
      <c r="AP300" s="151" t="s">
        <v>273</v>
      </c>
      <c r="AQ300" s="152" t="s">
        <v>1290</v>
      </c>
      <c r="AR300" s="152" t="s">
        <v>148</v>
      </c>
      <c r="AS300" s="159"/>
      <c r="AT300" s="153"/>
      <c r="AU300" s="154"/>
      <c r="AV300" s="154"/>
      <c r="AW300" s="154"/>
      <c r="AX300" s="155"/>
      <c r="AY300" s="156"/>
      <c r="AZ300" s="157"/>
      <c r="BA300" s="81"/>
      <c r="BB300" s="81"/>
      <c r="BC300" s="81"/>
    </row>
    <row r="301" spans="1:55" ht="28" customHeight="1" x14ac:dyDescent="0.25">
      <c r="A301" s="173">
        <v>296</v>
      </c>
      <c r="B301" s="147">
        <v>45084</v>
      </c>
      <c r="C301" s="77" t="s">
        <v>134</v>
      </c>
      <c r="D301" s="77" t="s">
        <v>135</v>
      </c>
      <c r="E301" s="77" t="s">
        <v>136</v>
      </c>
      <c r="F301" s="219" t="s">
        <v>1186</v>
      </c>
      <c r="G301" s="219" t="s">
        <v>997</v>
      </c>
      <c r="H301" s="219" t="s">
        <v>110</v>
      </c>
      <c r="I301" s="219" t="s">
        <v>998</v>
      </c>
      <c r="J301" s="221" t="s">
        <v>999</v>
      </c>
      <c r="K301" s="220" t="s">
        <v>80</v>
      </c>
      <c r="L301" s="220" t="s">
        <v>1000</v>
      </c>
      <c r="M301" s="220" t="s">
        <v>154</v>
      </c>
      <c r="N301" s="220" t="s">
        <v>212</v>
      </c>
      <c r="O301" s="220" t="s">
        <v>149</v>
      </c>
      <c r="P301" s="152" t="s">
        <v>80</v>
      </c>
      <c r="Q301" s="307" t="s">
        <v>80</v>
      </c>
      <c r="R301" s="211">
        <f>0</f>
        <v>0</v>
      </c>
      <c r="S301" s="212">
        <v>0</v>
      </c>
      <c r="T301" s="212">
        <v>0</v>
      </c>
      <c r="U301" s="212">
        <v>0</v>
      </c>
      <c r="V301" s="212">
        <v>0</v>
      </c>
      <c r="W301" s="212">
        <v>0</v>
      </c>
      <c r="X301" s="212">
        <v>0</v>
      </c>
      <c r="Y301" s="212">
        <v>0</v>
      </c>
      <c r="Z301" s="179">
        <v>1</v>
      </c>
      <c r="AA301" s="213">
        <v>0</v>
      </c>
      <c r="AB301" s="214">
        <v>0</v>
      </c>
      <c r="AC301" s="212">
        <v>0</v>
      </c>
      <c r="AD301" s="212">
        <v>0</v>
      </c>
      <c r="AE301" s="212">
        <v>0</v>
      </c>
      <c r="AF301" s="212">
        <v>0</v>
      </c>
      <c r="AG301" s="212">
        <v>0</v>
      </c>
      <c r="AH301" s="212">
        <v>0</v>
      </c>
      <c r="AI301" s="212">
        <v>0</v>
      </c>
      <c r="AJ301" s="212">
        <v>0</v>
      </c>
      <c r="AK301" s="213">
        <v>0</v>
      </c>
      <c r="AL301" s="215">
        <f t="shared" si="8"/>
        <v>1</v>
      </c>
      <c r="AM301" s="216">
        <f>0</f>
        <v>0</v>
      </c>
      <c r="AN301" s="217">
        <f t="shared" si="9"/>
        <v>1</v>
      </c>
      <c r="AO301" s="276">
        <v>45090</v>
      </c>
      <c r="AP301" s="151" t="s">
        <v>273</v>
      </c>
      <c r="AQ301" s="152" t="s">
        <v>1290</v>
      </c>
      <c r="AR301" s="152" t="s">
        <v>148</v>
      </c>
      <c r="AS301" s="159"/>
      <c r="AT301" s="153"/>
      <c r="AU301" s="154"/>
      <c r="AV301" s="154"/>
      <c r="AW301" s="154"/>
      <c r="AX301" s="155"/>
      <c r="AY301" s="156"/>
      <c r="AZ301" s="157"/>
      <c r="BA301" s="81"/>
      <c r="BB301" s="81"/>
      <c r="BC301" s="81"/>
    </row>
    <row r="302" spans="1:55" ht="28" customHeight="1" x14ac:dyDescent="0.25">
      <c r="A302" s="173">
        <v>297</v>
      </c>
      <c r="B302" s="147">
        <v>45084</v>
      </c>
      <c r="C302" s="77" t="s">
        <v>134</v>
      </c>
      <c r="D302" s="77" t="s">
        <v>135</v>
      </c>
      <c r="E302" s="77" t="s">
        <v>136</v>
      </c>
      <c r="F302" s="219" t="s">
        <v>1186</v>
      </c>
      <c r="G302" s="219" t="s">
        <v>1001</v>
      </c>
      <c r="H302" s="219" t="s">
        <v>110</v>
      </c>
      <c r="I302" s="219" t="s">
        <v>1203</v>
      </c>
      <c r="J302" s="221" t="s">
        <v>1002</v>
      </c>
      <c r="K302" s="220" t="s">
        <v>80</v>
      </c>
      <c r="L302" s="220" t="s">
        <v>1204</v>
      </c>
      <c r="M302" s="220" t="s">
        <v>154</v>
      </c>
      <c r="N302" s="220" t="s">
        <v>80</v>
      </c>
      <c r="O302" s="220" t="s">
        <v>155</v>
      </c>
      <c r="P302" s="152" t="s">
        <v>80</v>
      </c>
      <c r="Q302" s="307" t="s">
        <v>80</v>
      </c>
      <c r="R302" s="211">
        <f>0</f>
        <v>0</v>
      </c>
      <c r="S302" s="212">
        <v>0</v>
      </c>
      <c r="T302" s="212">
        <v>0</v>
      </c>
      <c r="U302" s="212">
        <v>0</v>
      </c>
      <c r="V302" s="212">
        <v>0</v>
      </c>
      <c r="W302" s="212">
        <v>0</v>
      </c>
      <c r="X302" s="212">
        <v>0</v>
      </c>
      <c r="Y302" s="212">
        <v>0</v>
      </c>
      <c r="Z302" s="179">
        <v>1</v>
      </c>
      <c r="AA302" s="213">
        <v>0</v>
      </c>
      <c r="AB302" s="214">
        <v>0</v>
      </c>
      <c r="AC302" s="212">
        <v>0</v>
      </c>
      <c r="AD302" s="212">
        <v>0</v>
      </c>
      <c r="AE302" s="212">
        <v>0</v>
      </c>
      <c r="AF302" s="212">
        <v>0</v>
      </c>
      <c r="AG302" s="212">
        <v>0</v>
      </c>
      <c r="AH302" s="212">
        <v>0</v>
      </c>
      <c r="AI302" s="212">
        <v>0</v>
      </c>
      <c r="AJ302" s="212">
        <v>0</v>
      </c>
      <c r="AK302" s="213">
        <v>0</v>
      </c>
      <c r="AL302" s="215">
        <f t="shared" si="8"/>
        <v>1</v>
      </c>
      <c r="AM302" s="216">
        <f>0</f>
        <v>0</v>
      </c>
      <c r="AN302" s="217">
        <f t="shared" si="9"/>
        <v>1</v>
      </c>
      <c r="AO302" s="276">
        <v>45090</v>
      </c>
      <c r="AP302" s="151" t="s">
        <v>273</v>
      </c>
      <c r="AQ302" s="152" t="s">
        <v>1290</v>
      </c>
      <c r="AR302" s="152" t="s">
        <v>148</v>
      </c>
      <c r="AS302" s="159"/>
      <c r="AT302" s="153"/>
      <c r="AU302" s="154"/>
      <c r="AV302" s="154"/>
      <c r="AW302" s="154"/>
      <c r="AX302" s="155"/>
      <c r="AY302" s="156"/>
      <c r="AZ302" s="157"/>
      <c r="BA302" s="81"/>
      <c r="BB302" s="81"/>
      <c r="BC302" s="81"/>
    </row>
    <row r="303" spans="1:55" ht="28" customHeight="1" x14ac:dyDescent="0.25">
      <c r="A303" s="173">
        <v>298</v>
      </c>
      <c r="B303" s="147">
        <v>45084</v>
      </c>
      <c r="C303" s="77" t="s">
        <v>134</v>
      </c>
      <c r="D303" s="77" t="s">
        <v>135</v>
      </c>
      <c r="E303" s="77" t="s">
        <v>136</v>
      </c>
      <c r="F303" s="219" t="s">
        <v>1186</v>
      </c>
      <c r="G303" s="219" t="s">
        <v>1003</v>
      </c>
      <c r="H303" s="219" t="s">
        <v>110</v>
      </c>
      <c r="I303" s="219" t="s">
        <v>245</v>
      </c>
      <c r="J303" s="221" t="s">
        <v>1004</v>
      </c>
      <c r="K303" s="220" t="s">
        <v>80</v>
      </c>
      <c r="L303" s="220" t="s">
        <v>168</v>
      </c>
      <c r="M303" s="220" t="s">
        <v>154</v>
      </c>
      <c r="N303" s="220" t="s">
        <v>80</v>
      </c>
      <c r="O303" s="220" t="s">
        <v>149</v>
      </c>
      <c r="P303" s="152" t="s">
        <v>80</v>
      </c>
      <c r="Q303" s="307" t="s">
        <v>80</v>
      </c>
      <c r="R303" s="211">
        <f>0</f>
        <v>0</v>
      </c>
      <c r="S303" s="212">
        <v>0</v>
      </c>
      <c r="T303" s="212">
        <v>0</v>
      </c>
      <c r="U303" s="212">
        <v>0</v>
      </c>
      <c r="V303" s="212">
        <v>0</v>
      </c>
      <c r="W303" s="212">
        <v>0</v>
      </c>
      <c r="X303" s="212">
        <v>0</v>
      </c>
      <c r="Y303" s="212">
        <v>0</v>
      </c>
      <c r="Z303" s="179">
        <v>2</v>
      </c>
      <c r="AA303" s="213">
        <v>0</v>
      </c>
      <c r="AB303" s="214">
        <v>0</v>
      </c>
      <c r="AC303" s="212">
        <v>0</v>
      </c>
      <c r="AD303" s="212">
        <v>0</v>
      </c>
      <c r="AE303" s="212">
        <v>0</v>
      </c>
      <c r="AF303" s="212">
        <v>0</v>
      </c>
      <c r="AG303" s="212">
        <v>0</v>
      </c>
      <c r="AH303" s="212">
        <v>0</v>
      </c>
      <c r="AI303" s="212">
        <v>0</v>
      </c>
      <c r="AJ303" s="212">
        <v>0</v>
      </c>
      <c r="AK303" s="213">
        <v>0</v>
      </c>
      <c r="AL303" s="215">
        <f t="shared" si="8"/>
        <v>2</v>
      </c>
      <c r="AM303" s="216">
        <f>0</f>
        <v>0</v>
      </c>
      <c r="AN303" s="217">
        <f t="shared" si="9"/>
        <v>2</v>
      </c>
      <c r="AO303" s="276">
        <v>45090</v>
      </c>
      <c r="AP303" s="151" t="s">
        <v>273</v>
      </c>
      <c r="AQ303" s="152" t="s">
        <v>1290</v>
      </c>
      <c r="AR303" s="152" t="s">
        <v>148</v>
      </c>
      <c r="AS303" s="159"/>
      <c r="AT303" s="153"/>
      <c r="AU303" s="154"/>
      <c r="AV303" s="154"/>
      <c r="AW303" s="154"/>
      <c r="AX303" s="155"/>
      <c r="AY303" s="156"/>
      <c r="AZ303" s="157"/>
      <c r="BA303" s="81"/>
      <c r="BB303" s="81"/>
      <c r="BC303" s="81"/>
    </row>
    <row r="304" spans="1:55" ht="28" customHeight="1" x14ac:dyDescent="0.25">
      <c r="A304" s="173">
        <v>299</v>
      </c>
      <c r="B304" s="147">
        <v>45084</v>
      </c>
      <c r="C304" s="77" t="s">
        <v>134</v>
      </c>
      <c r="D304" s="77" t="s">
        <v>135</v>
      </c>
      <c r="E304" s="77" t="s">
        <v>136</v>
      </c>
      <c r="F304" s="219" t="s">
        <v>1186</v>
      </c>
      <c r="G304" s="219" t="s">
        <v>1005</v>
      </c>
      <c r="H304" s="219" t="s">
        <v>110</v>
      </c>
      <c r="I304" s="219" t="s">
        <v>1006</v>
      </c>
      <c r="J304" s="221" t="s">
        <v>1007</v>
      </c>
      <c r="K304" s="220" t="s">
        <v>80</v>
      </c>
      <c r="L304" s="220" t="s">
        <v>168</v>
      </c>
      <c r="M304" s="220" t="s">
        <v>154</v>
      </c>
      <c r="N304" s="220" t="s">
        <v>80</v>
      </c>
      <c r="O304" s="220" t="s">
        <v>149</v>
      </c>
      <c r="P304" s="152" t="s">
        <v>80</v>
      </c>
      <c r="Q304" s="307" t="s">
        <v>80</v>
      </c>
      <c r="R304" s="211">
        <f>0</f>
        <v>0</v>
      </c>
      <c r="S304" s="212">
        <v>0</v>
      </c>
      <c r="T304" s="212">
        <v>0</v>
      </c>
      <c r="U304" s="212">
        <v>0</v>
      </c>
      <c r="V304" s="212">
        <v>0</v>
      </c>
      <c r="W304" s="212">
        <v>0</v>
      </c>
      <c r="X304" s="212">
        <v>0</v>
      </c>
      <c r="Y304" s="212">
        <v>0</v>
      </c>
      <c r="Z304" s="179">
        <v>1</v>
      </c>
      <c r="AA304" s="213">
        <v>0</v>
      </c>
      <c r="AB304" s="214">
        <v>0</v>
      </c>
      <c r="AC304" s="212">
        <v>0</v>
      </c>
      <c r="AD304" s="212">
        <v>0</v>
      </c>
      <c r="AE304" s="212">
        <v>0</v>
      </c>
      <c r="AF304" s="212">
        <v>0</v>
      </c>
      <c r="AG304" s="212">
        <v>0</v>
      </c>
      <c r="AH304" s="212">
        <v>0</v>
      </c>
      <c r="AI304" s="212">
        <v>0</v>
      </c>
      <c r="AJ304" s="212">
        <v>0</v>
      </c>
      <c r="AK304" s="213">
        <v>0</v>
      </c>
      <c r="AL304" s="215">
        <f t="shared" si="8"/>
        <v>1</v>
      </c>
      <c r="AM304" s="216">
        <f>0</f>
        <v>0</v>
      </c>
      <c r="AN304" s="217">
        <f t="shared" si="9"/>
        <v>1</v>
      </c>
      <c r="AO304" s="276">
        <v>45090</v>
      </c>
      <c r="AP304" s="151" t="s">
        <v>273</v>
      </c>
      <c r="AQ304" s="152" t="s">
        <v>1290</v>
      </c>
      <c r="AR304" s="152" t="s">
        <v>148</v>
      </c>
      <c r="AS304" s="159"/>
      <c r="AT304" s="153"/>
      <c r="AU304" s="154"/>
      <c r="AV304" s="154"/>
      <c r="AW304" s="99" t="s">
        <v>457</v>
      </c>
      <c r="AX304" s="155"/>
      <c r="AY304" s="156"/>
      <c r="AZ304" s="157"/>
      <c r="BA304" s="81"/>
      <c r="BB304" s="81"/>
      <c r="BC304" s="81"/>
    </row>
    <row r="305" spans="1:55" ht="28" customHeight="1" x14ac:dyDescent="0.25">
      <c r="A305" s="173">
        <v>300</v>
      </c>
      <c r="B305" s="147">
        <v>45084</v>
      </c>
      <c r="C305" s="77" t="s">
        <v>134</v>
      </c>
      <c r="D305" s="77" t="s">
        <v>135</v>
      </c>
      <c r="E305" s="77" t="s">
        <v>136</v>
      </c>
      <c r="F305" s="219" t="s">
        <v>1186</v>
      </c>
      <c r="G305" s="219" t="s">
        <v>1008</v>
      </c>
      <c r="H305" s="219" t="s">
        <v>110</v>
      </c>
      <c r="I305" s="219" t="s">
        <v>239</v>
      </c>
      <c r="J305" s="221" t="s">
        <v>1009</v>
      </c>
      <c r="K305" s="220" t="s">
        <v>80</v>
      </c>
      <c r="L305" s="220" t="s">
        <v>168</v>
      </c>
      <c r="M305" s="220" t="s">
        <v>154</v>
      </c>
      <c r="N305" s="220" t="s">
        <v>80</v>
      </c>
      <c r="O305" s="220" t="s">
        <v>149</v>
      </c>
      <c r="P305" s="152" t="s">
        <v>80</v>
      </c>
      <c r="Q305" s="307" t="s">
        <v>80</v>
      </c>
      <c r="R305" s="211">
        <f>0</f>
        <v>0</v>
      </c>
      <c r="S305" s="212">
        <v>0</v>
      </c>
      <c r="T305" s="212">
        <v>0</v>
      </c>
      <c r="U305" s="212">
        <v>0</v>
      </c>
      <c r="V305" s="212">
        <v>0</v>
      </c>
      <c r="W305" s="212">
        <v>0</v>
      </c>
      <c r="X305" s="212">
        <v>0</v>
      </c>
      <c r="Y305" s="212">
        <v>0</v>
      </c>
      <c r="Z305" s="179">
        <v>1</v>
      </c>
      <c r="AA305" s="213">
        <v>0</v>
      </c>
      <c r="AB305" s="214">
        <v>0</v>
      </c>
      <c r="AC305" s="212">
        <v>0</v>
      </c>
      <c r="AD305" s="212">
        <v>0</v>
      </c>
      <c r="AE305" s="212">
        <v>0</v>
      </c>
      <c r="AF305" s="212">
        <v>0</v>
      </c>
      <c r="AG305" s="212">
        <v>0</v>
      </c>
      <c r="AH305" s="212">
        <v>0</v>
      </c>
      <c r="AI305" s="212">
        <v>0</v>
      </c>
      <c r="AJ305" s="212">
        <v>0</v>
      </c>
      <c r="AK305" s="213">
        <v>0</v>
      </c>
      <c r="AL305" s="215">
        <f t="shared" si="8"/>
        <v>1</v>
      </c>
      <c r="AM305" s="216">
        <f>0</f>
        <v>0</v>
      </c>
      <c r="AN305" s="217">
        <f t="shared" si="9"/>
        <v>1</v>
      </c>
      <c r="AO305" s="276">
        <v>45090</v>
      </c>
      <c r="AP305" s="151" t="s">
        <v>273</v>
      </c>
      <c r="AQ305" s="152" t="s">
        <v>1290</v>
      </c>
      <c r="AR305" s="152" t="s">
        <v>148</v>
      </c>
      <c r="AS305" s="159"/>
      <c r="AT305" s="153"/>
      <c r="AU305" s="154">
        <v>1</v>
      </c>
      <c r="AV305" s="154"/>
      <c r="AW305" s="154" t="s">
        <v>457</v>
      </c>
      <c r="AX305" s="155"/>
      <c r="AY305" s="156"/>
      <c r="AZ305" s="157"/>
      <c r="BA305" s="81"/>
      <c r="BB305" s="81"/>
      <c r="BC305" s="81"/>
    </row>
    <row r="306" spans="1:55" ht="28" customHeight="1" x14ac:dyDescent="0.25">
      <c r="A306" s="173">
        <v>301</v>
      </c>
      <c r="B306" s="147">
        <v>45084</v>
      </c>
      <c r="C306" s="77" t="s">
        <v>134</v>
      </c>
      <c r="D306" s="77" t="s">
        <v>135</v>
      </c>
      <c r="E306" s="77" t="s">
        <v>136</v>
      </c>
      <c r="F306" s="219" t="s">
        <v>1186</v>
      </c>
      <c r="G306" s="219" t="s">
        <v>1010</v>
      </c>
      <c r="H306" s="219" t="s">
        <v>287</v>
      </c>
      <c r="I306" s="219" t="s">
        <v>1011</v>
      </c>
      <c r="J306" s="221" t="s">
        <v>1012</v>
      </c>
      <c r="K306" s="220" t="s">
        <v>80</v>
      </c>
      <c r="L306" s="220" t="s">
        <v>168</v>
      </c>
      <c r="M306" s="220" t="s">
        <v>154</v>
      </c>
      <c r="N306" s="220" t="s">
        <v>80</v>
      </c>
      <c r="O306" s="220" t="s">
        <v>149</v>
      </c>
      <c r="P306" s="152" t="s">
        <v>80</v>
      </c>
      <c r="Q306" s="307" t="s">
        <v>80</v>
      </c>
      <c r="R306" s="211">
        <f>0</f>
        <v>0</v>
      </c>
      <c r="S306" s="212">
        <v>0</v>
      </c>
      <c r="T306" s="212">
        <v>0</v>
      </c>
      <c r="U306" s="212">
        <v>0</v>
      </c>
      <c r="V306" s="212">
        <v>0</v>
      </c>
      <c r="W306" s="212">
        <v>0</v>
      </c>
      <c r="X306" s="212">
        <v>0</v>
      </c>
      <c r="Y306" s="212">
        <v>0</v>
      </c>
      <c r="Z306" s="179">
        <v>1</v>
      </c>
      <c r="AA306" s="213">
        <v>0</v>
      </c>
      <c r="AB306" s="214">
        <v>0</v>
      </c>
      <c r="AC306" s="212">
        <v>0</v>
      </c>
      <c r="AD306" s="212">
        <v>0</v>
      </c>
      <c r="AE306" s="212">
        <v>0</v>
      </c>
      <c r="AF306" s="212">
        <v>0</v>
      </c>
      <c r="AG306" s="212">
        <v>0</v>
      </c>
      <c r="AH306" s="212">
        <v>0</v>
      </c>
      <c r="AI306" s="212">
        <v>0</v>
      </c>
      <c r="AJ306" s="212">
        <v>0</v>
      </c>
      <c r="AK306" s="213">
        <v>0</v>
      </c>
      <c r="AL306" s="215">
        <f t="shared" si="8"/>
        <v>1</v>
      </c>
      <c r="AM306" s="216">
        <f>0</f>
        <v>0</v>
      </c>
      <c r="AN306" s="217">
        <f t="shared" si="9"/>
        <v>1</v>
      </c>
      <c r="AO306" s="276">
        <v>45090</v>
      </c>
      <c r="AP306" s="151" t="s">
        <v>273</v>
      </c>
      <c r="AQ306" s="152" t="s">
        <v>1290</v>
      </c>
      <c r="AR306" s="152" t="s">
        <v>148</v>
      </c>
      <c r="AS306" s="159"/>
      <c r="AT306" s="153"/>
      <c r="AU306" s="154">
        <v>1</v>
      </c>
      <c r="AV306" s="154"/>
      <c r="AW306" s="154" t="s">
        <v>457</v>
      </c>
      <c r="AX306" s="155"/>
      <c r="AY306" s="156"/>
      <c r="AZ306" s="157"/>
      <c r="BA306" s="81"/>
      <c r="BB306" s="81"/>
      <c r="BC306" s="81"/>
    </row>
    <row r="307" spans="1:55" ht="28" customHeight="1" x14ac:dyDescent="0.25">
      <c r="A307" s="173">
        <v>302</v>
      </c>
      <c r="B307" s="147">
        <v>45084</v>
      </c>
      <c r="C307" s="77" t="s">
        <v>134</v>
      </c>
      <c r="D307" s="77" t="s">
        <v>135</v>
      </c>
      <c r="E307" s="77" t="s">
        <v>136</v>
      </c>
      <c r="F307" s="219" t="s">
        <v>1186</v>
      </c>
      <c r="G307" s="219" t="s">
        <v>1013</v>
      </c>
      <c r="H307" s="219" t="s">
        <v>110</v>
      </c>
      <c r="I307" s="219" t="s">
        <v>1014</v>
      </c>
      <c r="J307" s="221" t="s">
        <v>1015</v>
      </c>
      <c r="K307" s="220" t="s">
        <v>80</v>
      </c>
      <c r="L307" s="220" t="s">
        <v>168</v>
      </c>
      <c r="M307" s="220" t="s">
        <v>154</v>
      </c>
      <c r="N307" s="220" t="s">
        <v>80</v>
      </c>
      <c r="O307" s="220" t="s">
        <v>149</v>
      </c>
      <c r="P307" s="152" t="s">
        <v>80</v>
      </c>
      <c r="Q307" s="307" t="s">
        <v>80</v>
      </c>
      <c r="R307" s="211">
        <f>0</f>
        <v>0</v>
      </c>
      <c r="S307" s="212">
        <v>0</v>
      </c>
      <c r="T307" s="212">
        <v>0</v>
      </c>
      <c r="U307" s="212">
        <v>0</v>
      </c>
      <c r="V307" s="212">
        <v>0</v>
      </c>
      <c r="W307" s="212">
        <v>0</v>
      </c>
      <c r="X307" s="212">
        <v>0</v>
      </c>
      <c r="Y307" s="212">
        <v>0</v>
      </c>
      <c r="Z307" s="179">
        <v>1</v>
      </c>
      <c r="AA307" s="213">
        <v>0</v>
      </c>
      <c r="AB307" s="214">
        <v>0</v>
      </c>
      <c r="AC307" s="212">
        <v>0</v>
      </c>
      <c r="AD307" s="212">
        <v>0</v>
      </c>
      <c r="AE307" s="212">
        <v>0</v>
      </c>
      <c r="AF307" s="212">
        <v>0</v>
      </c>
      <c r="AG307" s="212">
        <v>0</v>
      </c>
      <c r="AH307" s="212">
        <v>0</v>
      </c>
      <c r="AI307" s="212">
        <v>0</v>
      </c>
      <c r="AJ307" s="212">
        <v>0</v>
      </c>
      <c r="AK307" s="213">
        <v>0</v>
      </c>
      <c r="AL307" s="215">
        <f t="shared" si="8"/>
        <v>1</v>
      </c>
      <c r="AM307" s="216">
        <f>0</f>
        <v>0</v>
      </c>
      <c r="AN307" s="217">
        <f t="shared" si="9"/>
        <v>1</v>
      </c>
      <c r="AO307" s="276">
        <v>45096</v>
      </c>
      <c r="AP307" s="224" t="s">
        <v>273</v>
      </c>
      <c r="AQ307" s="225" t="s">
        <v>1293</v>
      </c>
      <c r="AR307" s="247" t="s">
        <v>669</v>
      </c>
      <c r="AS307" s="226"/>
      <c r="AT307" s="219"/>
      <c r="AU307" s="154"/>
      <c r="AV307" s="154"/>
      <c r="AW307" s="154"/>
      <c r="AX307" s="155"/>
      <c r="AY307" s="156"/>
      <c r="AZ307" s="157"/>
      <c r="BA307" s="81"/>
      <c r="BB307" s="81"/>
      <c r="BC307" s="81"/>
    </row>
    <row r="308" spans="1:55" ht="28" customHeight="1" x14ac:dyDescent="0.25">
      <c r="A308" s="173">
        <v>303</v>
      </c>
      <c r="B308" s="147">
        <v>45084</v>
      </c>
      <c r="C308" s="77" t="s">
        <v>134</v>
      </c>
      <c r="D308" s="77" t="s">
        <v>135</v>
      </c>
      <c r="E308" s="77" t="s">
        <v>136</v>
      </c>
      <c r="F308" s="219" t="s">
        <v>1186</v>
      </c>
      <c r="G308" s="219" t="s">
        <v>1016</v>
      </c>
      <c r="H308" s="219" t="s">
        <v>110</v>
      </c>
      <c r="I308" s="219" t="s">
        <v>1006</v>
      </c>
      <c r="J308" s="221" t="s">
        <v>1017</v>
      </c>
      <c r="K308" s="220" t="s">
        <v>80</v>
      </c>
      <c r="L308" s="220" t="s">
        <v>168</v>
      </c>
      <c r="M308" s="220" t="s">
        <v>154</v>
      </c>
      <c r="N308" s="220" t="s">
        <v>80</v>
      </c>
      <c r="O308" s="220" t="s">
        <v>149</v>
      </c>
      <c r="P308" s="152" t="s">
        <v>80</v>
      </c>
      <c r="Q308" s="307" t="s">
        <v>80</v>
      </c>
      <c r="R308" s="211">
        <f>0</f>
        <v>0</v>
      </c>
      <c r="S308" s="212">
        <v>0</v>
      </c>
      <c r="T308" s="212">
        <v>0</v>
      </c>
      <c r="U308" s="212">
        <v>0</v>
      </c>
      <c r="V308" s="212">
        <v>0</v>
      </c>
      <c r="W308" s="212">
        <v>0</v>
      </c>
      <c r="X308" s="212">
        <v>0</v>
      </c>
      <c r="Y308" s="212">
        <v>0</v>
      </c>
      <c r="Z308" s="179">
        <v>1</v>
      </c>
      <c r="AA308" s="213">
        <v>0</v>
      </c>
      <c r="AB308" s="214">
        <v>0</v>
      </c>
      <c r="AC308" s="212">
        <v>0</v>
      </c>
      <c r="AD308" s="212">
        <v>0</v>
      </c>
      <c r="AE308" s="212">
        <v>0</v>
      </c>
      <c r="AF308" s="212">
        <v>0</v>
      </c>
      <c r="AG308" s="212">
        <v>0</v>
      </c>
      <c r="AH308" s="212">
        <v>0</v>
      </c>
      <c r="AI308" s="212">
        <v>0</v>
      </c>
      <c r="AJ308" s="212">
        <v>0</v>
      </c>
      <c r="AK308" s="213">
        <v>0</v>
      </c>
      <c r="AL308" s="215">
        <f t="shared" si="8"/>
        <v>1</v>
      </c>
      <c r="AM308" s="216">
        <f>0</f>
        <v>0</v>
      </c>
      <c r="AN308" s="217">
        <f t="shared" si="9"/>
        <v>1</v>
      </c>
      <c r="AO308" s="276">
        <v>45096</v>
      </c>
      <c r="AP308" s="224" t="s">
        <v>273</v>
      </c>
      <c r="AQ308" s="225" t="s">
        <v>1293</v>
      </c>
      <c r="AR308" s="247" t="s">
        <v>669</v>
      </c>
      <c r="AS308" s="226"/>
      <c r="AT308" s="219"/>
      <c r="AU308" s="154"/>
      <c r="AV308" s="154"/>
      <c r="AW308" s="154"/>
      <c r="AX308" s="155"/>
      <c r="AY308" s="156"/>
      <c r="AZ308" s="157"/>
      <c r="BA308" s="81"/>
      <c r="BB308" s="81"/>
      <c r="BC308" s="81"/>
    </row>
    <row r="309" spans="1:55" ht="28" customHeight="1" x14ac:dyDescent="0.25">
      <c r="A309" s="173">
        <v>304</v>
      </c>
      <c r="B309" s="147">
        <v>45084</v>
      </c>
      <c r="C309" s="77" t="s">
        <v>134</v>
      </c>
      <c r="D309" s="77" t="s">
        <v>135</v>
      </c>
      <c r="E309" s="77" t="s">
        <v>136</v>
      </c>
      <c r="F309" s="219" t="s">
        <v>1186</v>
      </c>
      <c r="G309" s="219" t="s">
        <v>1018</v>
      </c>
      <c r="H309" s="219" t="s">
        <v>110</v>
      </c>
      <c r="I309" s="219" t="s">
        <v>1019</v>
      </c>
      <c r="J309" s="221" t="s">
        <v>1020</v>
      </c>
      <c r="K309" s="220" t="s">
        <v>80</v>
      </c>
      <c r="L309" s="220" t="s">
        <v>168</v>
      </c>
      <c r="M309" s="220" t="s">
        <v>154</v>
      </c>
      <c r="N309" s="220" t="s">
        <v>80</v>
      </c>
      <c r="O309" s="220" t="s">
        <v>149</v>
      </c>
      <c r="P309" s="152" t="s">
        <v>80</v>
      </c>
      <c r="Q309" s="307" t="s">
        <v>80</v>
      </c>
      <c r="R309" s="211">
        <f>0</f>
        <v>0</v>
      </c>
      <c r="S309" s="212">
        <v>0</v>
      </c>
      <c r="T309" s="212">
        <v>0</v>
      </c>
      <c r="U309" s="212">
        <v>0</v>
      </c>
      <c r="V309" s="212">
        <v>0</v>
      </c>
      <c r="W309" s="212">
        <v>0</v>
      </c>
      <c r="X309" s="212">
        <v>0</v>
      </c>
      <c r="Y309" s="212">
        <v>0</v>
      </c>
      <c r="Z309" s="179">
        <v>1</v>
      </c>
      <c r="AA309" s="213">
        <v>0</v>
      </c>
      <c r="AB309" s="214">
        <v>0</v>
      </c>
      <c r="AC309" s="212">
        <v>0</v>
      </c>
      <c r="AD309" s="212">
        <v>0</v>
      </c>
      <c r="AE309" s="212">
        <v>0</v>
      </c>
      <c r="AF309" s="212">
        <v>0</v>
      </c>
      <c r="AG309" s="212">
        <v>0</v>
      </c>
      <c r="AH309" s="212">
        <v>0</v>
      </c>
      <c r="AI309" s="212">
        <v>0</v>
      </c>
      <c r="AJ309" s="212">
        <v>0</v>
      </c>
      <c r="AK309" s="213">
        <v>0</v>
      </c>
      <c r="AL309" s="215">
        <f t="shared" si="8"/>
        <v>1</v>
      </c>
      <c r="AM309" s="216">
        <f>0</f>
        <v>0</v>
      </c>
      <c r="AN309" s="217">
        <f t="shared" si="9"/>
        <v>1</v>
      </c>
      <c r="AO309" s="276">
        <v>45090</v>
      </c>
      <c r="AP309" s="151" t="s">
        <v>273</v>
      </c>
      <c r="AQ309" s="152" t="s">
        <v>1290</v>
      </c>
      <c r="AR309" s="152" t="s">
        <v>148</v>
      </c>
      <c r="AS309" s="159"/>
      <c r="AT309" s="153"/>
      <c r="AU309" s="154"/>
      <c r="AV309" s="154"/>
      <c r="AW309" s="99" t="s">
        <v>457</v>
      </c>
      <c r="AX309" s="155"/>
      <c r="AY309" s="156"/>
      <c r="AZ309" s="157"/>
      <c r="BA309" s="81"/>
      <c r="BB309" s="81"/>
      <c r="BC309" s="81"/>
    </row>
    <row r="310" spans="1:55" ht="28" customHeight="1" x14ac:dyDescent="0.25">
      <c r="A310" s="173">
        <v>305</v>
      </c>
      <c r="B310" s="147">
        <v>45084</v>
      </c>
      <c r="C310" s="77" t="s">
        <v>134</v>
      </c>
      <c r="D310" s="77" t="s">
        <v>135</v>
      </c>
      <c r="E310" s="77" t="s">
        <v>136</v>
      </c>
      <c r="F310" s="219" t="s">
        <v>1186</v>
      </c>
      <c r="G310" s="219" t="s">
        <v>1021</v>
      </c>
      <c r="H310" s="219" t="s">
        <v>110</v>
      </c>
      <c r="I310" s="219" t="s">
        <v>957</v>
      </c>
      <c r="J310" s="221" t="s">
        <v>1022</v>
      </c>
      <c r="K310" s="220" t="s">
        <v>80</v>
      </c>
      <c r="L310" s="220" t="s">
        <v>168</v>
      </c>
      <c r="M310" s="220" t="s">
        <v>154</v>
      </c>
      <c r="N310" s="220" t="s">
        <v>80</v>
      </c>
      <c r="O310" s="220" t="s">
        <v>149</v>
      </c>
      <c r="P310" s="152" t="s">
        <v>80</v>
      </c>
      <c r="Q310" s="307" t="s">
        <v>80</v>
      </c>
      <c r="R310" s="211">
        <f>0</f>
        <v>0</v>
      </c>
      <c r="S310" s="212">
        <v>0</v>
      </c>
      <c r="T310" s="212">
        <v>0</v>
      </c>
      <c r="U310" s="212">
        <v>0</v>
      </c>
      <c r="V310" s="212">
        <v>0</v>
      </c>
      <c r="W310" s="212">
        <v>0</v>
      </c>
      <c r="X310" s="212">
        <v>0</v>
      </c>
      <c r="Y310" s="212">
        <v>0</v>
      </c>
      <c r="Z310" s="179">
        <v>1</v>
      </c>
      <c r="AA310" s="213">
        <v>0</v>
      </c>
      <c r="AB310" s="214">
        <v>0</v>
      </c>
      <c r="AC310" s="212">
        <v>0</v>
      </c>
      <c r="AD310" s="212">
        <v>0</v>
      </c>
      <c r="AE310" s="212">
        <v>0</v>
      </c>
      <c r="AF310" s="212">
        <v>0</v>
      </c>
      <c r="AG310" s="212">
        <v>0</v>
      </c>
      <c r="AH310" s="212">
        <v>0</v>
      </c>
      <c r="AI310" s="212">
        <v>0</v>
      </c>
      <c r="AJ310" s="212">
        <v>0</v>
      </c>
      <c r="AK310" s="213">
        <v>0</v>
      </c>
      <c r="AL310" s="215">
        <f t="shared" si="8"/>
        <v>1</v>
      </c>
      <c r="AM310" s="216">
        <f>0</f>
        <v>0</v>
      </c>
      <c r="AN310" s="217">
        <f t="shared" si="9"/>
        <v>1</v>
      </c>
      <c r="AO310" s="276">
        <v>45096</v>
      </c>
      <c r="AP310" s="224" t="s">
        <v>273</v>
      </c>
      <c r="AQ310" s="225" t="s">
        <v>1293</v>
      </c>
      <c r="AR310" s="247" t="s">
        <v>669</v>
      </c>
      <c r="AS310" s="226"/>
      <c r="AT310" s="219"/>
      <c r="AU310" s="154"/>
      <c r="AV310" s="154"/>
      <c r="AW310" s="154"/>
      <c r="AX310" s="155"/>
      <c r="AY310" s="156"/>
      <c r="AZ310" s="157"/>
      <c r="BA310" s="81"/>
      <c r="BB310" s="81"/>
      <c r="BC310" s="81"/>
    </row>
    <row r="311" spans="1:55" ht="28" customHeight="1" x14ac:dyDescent="0.25">
      <c r="A311" s="173">
        <v>306</v>
      </c>
      <c r="B311" s="147">
        <v>45084</v>
      </c>
      <c r="C311" s="77" t="s">
        <v>134</v>
      </c>
      <c r="D311" s="77" t="s">
        <v>135</v>
      </c>
      <c r="E311" s="77" t="s">
        <v>136</v>
      </c>
      <c r="F311" s="219" t="s">
        <v>1186</v>
      </c>
      <c r="G311" s="219" t="s">
        <v>1023</v>
      </c>
      <c r="H311" s="219" t="s">
        <v>110</v>
      </c>
      <c r="I311" s="219" t="s">
        <v>957</v>
      </c>
      <c r="J311" s="221" t="s">
        <v>1024</v>
      </c>
      <c r="K311" s="220" t="s">
        <v>80</v>
      </c>
      <c r="L311" s="220" t="s">
        <v>168</v>
      </c>
      <c r="M311" s="220" t="s">
        <v>154</v>
      </c>
      <c r="N311" s="220" t="s">
        <v>80</v>
      </c>
      <c r="O311" s="220" t="s">
        <v>149</v>
      </c>
      <c r="P311" s="152" t="s">
        <v>80</v>
      </c>
      <c r="Q311" s="307" t="s">
        <v>80</v>
      </c>
      <c r="R311" s="211">
        <f>0</f>
        <v>0</v>
      </c>
      <c r="S311" s="212">
        <v>0</v>
      </c>
      <c r="T311" s="212">
        <v>0</v>
      </c>
      <c r="U311" s="212">
        <v>0</v>
      </c>
      <c r="V311" s="212">
        <v>0</v>
      </c>
      <c r="W311" s="212">
        <v>0</v>
      </c>
      <c r="X311" s="212">
        <v>0</v>
      </c>
      <c r="Y311" s="212">
        <v>0</v>
      </c>
      <c r="Z311" s="179">
        <v>1</v>
      </c>
      <c r="AA311" s="213">
        <v>0</v>
      </c>
      <c r="AB311" s="214">
        <v>0</v>
      </c>
      <c r="AC311" s="212">
        <v>0</v>
      </c>
      <c r="AD311" s="212">
        <v>0</v>
      </c>
      <c r="AE311" s="212">
        <v>0</v>
      </c>
      <c r="AF311" s="212">
        <v>0</v>
      </c>
      <c r="AG311" s="212">
        <v>0</v>
      </c>
      <c r="AH311" s="212">
        <v>0</v>
      </c>
      <c r="AI311" s="212">
        <v>0</v>
      </c>
      <c r="AJ311" s="212">
        <v>0</v>
      </c>
      <c r="AK311" s="213">
        <v>0</v>
      </c>
      <c r="AL311" s="215">
        <f t="shared" si="8"/>
        <v>1</v>
      </c>
      <c r="AM311" s="216">
        <f>0</f>
        <v>0</v>
      </c>
      <c r="AN311" s="217">
        <f t="shared" si="9"/>
        <v>1</v>
      </c>
      <c r="AO311" s="276">
        <v>45092</v>
      </c>
      <c r="AP311" s="224" t="s">
        <v>273</v>
      </c>
      <c r="AQ311" s="97" t="s">
        <v>1305</v>
      </c>
      <c r="AR311" s="219" t="s">
        <v>148</v>
      </c>
      <c r="AS311" s="226"/>
      <c r="AT311" s="219"/>
      <c r="AU311" s="154">
        <v>1</v>
      </c>
      <c r="AV311" s="154"/>
      <c r="AW311" s="154" t="s">
        <v>457</v>
      </c>
      <c r="AX311" s="155"/>
      <c r="AY311" s="156"/>
      <c r="AZ311" s="157"/>
      <c r="BA311" s="81"/>
      <c r="BB311" s="81"/>
      <c r="BC311" s="81"/>
    </row>
    <row r="312" spans="1:55" ht="28" customHeight="1" x14ac:dyDescent="0.25">
      <c r="A312" s="173">
        <v>307</v>
      </c>
      <c r="B312" s="147">
        <v>45084</v>
      </c>
      <c r="C312" s="77" t="s">
        <v>134</v>
      </c>
      <c r="D312" s="77" t="s">
        <v>135</v>
      </c>
      <c r="E312" s="77" t="s">
        <v>136</v>
      </c>
      <c r="F312" s="219" t="s">
        <v>1186</v>
      </c>
      <c r="G312" s="219" t="s">
        <v>1025</v>
      </c>
      <c r="H312" s="219" t="s">
        <v>110</v>
      </c>
      <c r="I312" s="219" t="s">
        <v>245</v>
      </c>
      <c r="J312" s="221" t="s">
        <v>1026</v>
      </c>
      <c r="K312" s="220" t="s">
        <v>80</v>
      </c>
      <c r="L312" s="220" t="s">
        <v>168</v>
      </c>
      <c r="M312" s="220" t="s">
        <v>154</v>
      </c>
      <c r="N312" s="220" t="s">
        <v>80</v>
      </c>
      <c r="O312" s="220" t="s">
        <v>149</v>
      </c>
      <c r="P312" s="152" t="s">
        <v>80</v>
      </c>
      <c r="Q312" s="307" t="s">
        <v>80</v>
      </c>
      <c r="R312" s="211">
        <f>0</f>
        <v>0</v>
      </c>
      <c r="S312" s="212">
        <v>0</v>
      </c>
      <c r="T312" s="212">
        <v>0</v>
      </c>
      <c r="U312" s="212">
        <v>0</v>
      </c>
      <c r="V312" s="212">
        <v>0</v>
      </c>
      <c r="W312" s="212">
        <v>0</v>
      </c>
      <c r="X312" s="212">
        <v>0</v>
      </c>
      <c r="Y312" s="212">
        <v>0</v>
      </c>
      <c r="Z312" s="179">
        <v>3</v>
      </c>
      <c r="AA312" s="213">
        <v>0</v>
      </c>
      <c r="AB312" s="214">
        <v>0</v>
      </c>
      <c r="AC312" s="212">
        <v>0</v>
      </c>
      <c r="AD312" s="212">
        <v>0</v>
      </c>
      <c r="AE312" s="212">
        <v>0</v>
      </c>
      <c r="AF312" s="212">
        <v>0</v>
      </c>
      <c r="AG312" s="212">
        <v>0</v>
      </c>
      <c r="AH312" s="212">
        <v>0</v>
      </c>
      <c r="AI312" s="212">
        <v>0</v>
      </c>
      <c r="AJ312" s="212">
        <v>0</v>
      </c>
      <c r="AK312" s="213">
        <v>0</v>
      </c>
      <c r="AL312" s="215">
        <f t="shared" si="8"/>
        <v>3</v>
      </c>
      <c r="AM312" s="216">
        <f>0</f>
        <v>0</v>
      </c>
      <c r="AN312" s="217">
        <f t="shared" si="9"/>
        <v>3</v>
      </c>
      <c r="AO312" s="276">
        <v>45090</v>
      </c>
      <c r="AP312" s="151" t="s">
        <v>273</v>
      </c>
      <c r="AQ312" s="152" t="s">
        <v>1290</v>
      </c>
      <c r="AR312" s="152" t="s">
        <v>148</v>
      </c>
      <c r="AS312" s="159"/>
      <c r="AT312" s="153"/>
      <c r="AU312" s="154"/>
      <c r="AV312" s="154"/>
      <c r="AW312" s="154"/>
      <c r="AX312" s="155"/>
      <c r="AY312" s="156"/>
      <c r="AZ312" s="157"/>
      <c r="BA312" s="81"/>
      <c r="BB312" s="81"/>
      <c r="BC312" s="81"/>
    </row>
    <row r="313" spans="1:55" ht="28" customHeight="1" x14ac:dyDescent="0.25">
      <c r="A313" s="173">
        <v>308</v>
      </c>
      <c r="B313" s="147">
        <v>45084</v>
      </c>
      <c r="C313" s="77" t="s">
        <v>134</v>
      </c>
      <c r="D313" s="77" t="s">
        <v>135</v>
      </c>
      <c r="E313" s="77" t="s">
        <v>136</v>
      </c>
      <c r="F313" s="219" t="s">
        <v>1186</v>
      </c>
      <c r="G313" s="219" t="s">
        <v>1027</v>
      </c>
      <c r="H313" s="219" t="s">
        <v>110</v>
      </c>
      <c r="I313" s="219" t="s">
        <v>957</v>
      </c>
      <c r="J313" s="221" t="s">
        <v>1028</v>
      </c>
      <c r="K313" s="220" t="s">
        <v>80</v>
      </c>
      <c r="L313" s="220" t="s">
        <v>168</v>
      </c>
      <c r="M313" s="220" t="s">
        <v>154</v>
      </c>
      <c r="N313" s="220" t="s">
        <v>80</v>
      </c>
      <c r="O313" s="220" t="s">
        <v>149</v>
      </c>
      <c r="P313" s="152" t="s">
        <v>80</v>
      </c>
      <c r="Q313" s="307" t="s">
        <v>80</v>
      </c>
      <c r="R313" s="211">
        <f>0</f>
        <v>0</v>
      </c>
      <c r="S313" s="212">
        <v>0</v>
      </c>
      <c r="T313" s="212">
        <v>0</v>
      </c>
      <c r="U313" s="212">
        <v>0</v>
      </c>
      <c r="V313" s="212">
        <v>0</v>
      </c>
      <c r="W313" s="212">
        <v>0</v>
      </c>
      <c r="X313" s="212">
        <v>0</v>
      </c>
      <c r="Y313" s="212">
        <v>0</v>
      </c>
      <c r="Z313" s="179">
        <v>1</v>
      </c>
      <c r="AA313" s="213">
        <v>0</v>
      </c>
      <c r="AB313" s="214">
        <v>0</v>
      </c>
      <c r="AC313" s="212">
        <v>0</v>
      </c>
      <c r="AD313" s="212">
        <v>0</v>
      </c>
      <c r="AE313" s="212">
        <v>0</v>
      </c>
      <c r="AF313" s="212">
        <v>0</v>
      </c>
      <c r="AG313" s="212">
        <v>0</v>
      </c>
      <c r="AH313" s="212">
        <v>0</v>
      </c>
      <c r="AI313" s="212">
        <v>0</v>
      </c>
      <c r="AJ313" s="212">
        <v>0</v>
      </c>
      <c r="AK313" s="213">
        <v>0</v>
      </c>
      <c r="AL313" s="215">
        <f t="shared" si="8"/>
        <v>1</v>
      </c>
      <c r="AM313" s="216">
        <f>0</f>
        <v>0</v>
      </c>
      <c r="AN313" s="217">
        <f t="shared" si="9"/>
        <v>1</v>
      </c>
      <c r="AO313" s="276">
        <v>45096</v>
      </c>
      <c r="AP313" s="224" t="s">
        <v>273</v>
      </c>
      <c r="AQ313" s="225" t="s">
        <v>1293</v>
      </c>
      <c r="AR313" s="247" t="s">
        <v>669</v>
      </c>
      <c r="AS313" s="226"/>
      <c r="AT313" s="219"/>
      <c r="AU313" s="154"/>
      <c r="AV313" s="154"/>
      <c r="AW313" s="154"/>
      <c r="AX313" s="155"/>
      <c r="AY313" s="156"/>
      <c r="AZ313" s="157"/>
      <c r="BA313" s="81"/>
      <c r="BB313" s="81"/>
      <c r="BC313" s="81"/>
    </row>
    <row r="314" spans="1:55" ht="28" customHeight="1" x14ac:dyDescent="0.25">
      <c r="A314" s="173">
        <v>309</v>
      </c>
      <c r="B314" s="147">
        <v>45084</v>
      </c>
      <c r="C314" s="77" t="s">
        <v>134</v>
      </c>
      <c r="D314" s="77" t="s">
        <v>135</v>
      </c>
      <c r="E314" s="77" t="s">
        <v>136</v>
      </c>
      <c r="F314" s="219" t="s">
        <v>1186</v>
      </c>
      <c r="G314" s="219" t="s">
        <v>1029</v>
      </c>
      <c r="H314" s="219" t="s">
        <v>110</v>
      </c>
      <c r="I314" s="219" t="s">
        <v>957</v>
      </c>
      <c r="J314" s="221" t="s">
        <v>1030</v>
      </c>
      <c r="K314" s="220" t="s">
        <v>80</v>
      </c>
      <c r="L314" s="220" t="s">
        <v>168</v>
      </c>
      <c r="M314" s="220" t="s">
        <v>154</v>
      </c>
      <c r="N314" s="220" t="s">
        <v>80</v>
      </c>
      <c r="O314" s="220" t="s">
        <v>149</v>
      </c>
      <c r="P314" s="152" t="s">
        <v>80</v>
      </c>
      <c r="Q314" s="307" t="s">
        <v>80</v>
      </c>
      <c r="R314" s="211">
        <f>0</f>
        <v>0</v>
      </c>
      <c r="S314" s="212">
        <v>0</v>
      </c>
      <c r="T314" s="212">
        <v>0</v>
      </c>
      <c r="U314" s="212">
        <v>0</v>
      </c>
      <c r="V314" s="212">
        <v>0</v>
      </c>
      <c r="W314" s="212">
        <v>0</v>
      </c>
      <c r="X314" s="212">
        <v>0</v>
      </c>
      <c r="Y314" s="212">
        <v>0</v>
      </c>
      <c r="Z314" s="179">
        <v>1</v>
      </c>
      <c r="AA314" s="213">
        <v>0</v>
      </c>
      <c r="AB314" s="214">
        <v>0</v>
      </c>
      <c r="AC314" s="212">
        <v>0</v>
      </c>
      <c r="AD314" s="212">
        <v>0</v>
      </c>
      <c r="AE314" s="212">
        <v>0</v>
      </c>
      <c r="AF314" s="212">
        <v>0</v>
      </c>
      <c r="AG314" s="212">
        <v>0</v>
      </c>
      <c r="AH314" s="212">
        <v>0</v>
      </c>
      <c r="AI314" s="212">
        <v>0</v>
      </c>
      <c r="AJ314" s="212">
        <v>0</v>
      </c>
      <c r="AK314" s="213">
        <v>0</v>
      </c>
      <c r="AL314" s="215">
        <f t="shared" si="8"/>
        <v>1</v>
      </c>
      <c r="AM314" s="216">
        <f>0</f>
        <v>0</v>
      </c>
      <c r="AN314" s="217">
        <f t="shared" si="9"/>
        <v>1</v>
      </c>
      <c r="AO314" s="276">
        <v>45092</v>
      </c>
      <c r="AP314" s="224" t="s">
        <v>273</v>
      </c>
      <c r="AQ314" s="97" t="s">
        <v>1305</v>
      </c>
      <c r="AR314" s="219" t="s">
        <v>148</v>
      </c>
      <c r="AS314" s="226"/>
      <c r="AT314" s="219"/>
      <c r="AU314" s="154"/>
      <c r="AV314" s="154"/>
      <c r="AW314" s="154"/>
      <c r="AX314" s="155"/>
      <c r="AY314" s="156"/>
      <c r="AZ314" s="157"/>
      <c r="BA314" s="81"/>
      <c r="BB314" s="81"/>
      <c r="BC314" s="81"/>
    </row>
    <row r="315" spans="1:55" ht="28" customHeight="1" x14ac:dyDescent="0.25">
      <c r="A315" s="173">
        <v>310</v>
      </c>
      <c r="B315" s="147">
        <v>45084</v>
      </c>
      <c r="C315" s="77" t="s">
        <v>134</v>
      </c>
      <c r="D315" s="77" t="s">
        <v>135</v>
      </c>
      <c r="E315" s="77" t="s">
        <v>136</v>
      </c>
      <c r="F315" s="219" t="s">
        <v>1186</v>
      </c>
      <c r="G315" s="219" t="s">
        <v>1031</v>
      </c>
      <c r="H315" s="219" t="s">
        <v>110</v>
      </c>
      <c r="I315" s="219" t="s">
        <v>1032</v>
      </c>
      <c r="J315" s="221" t="s">
        <v>1033</v>
      </c>
      <c r="K315" s="220" t="s">
        <v>80</v>
      </c>
      <c r="L315" s="220" t="s">
        <v>168</v>
      </c>
      <c r="M315" s="220" t="s">
        <v>148</v>
      </c>
      <c r="N315" s="220" t="s">
        <v>214</v>
      </c>
      <c r="O315" s="220" t="s">
        <v>149</v>
      </c>
      <c r="P315" s="152" t="s">
        <v>80</v>
      </c>
      <c r="Q315" s="307" t="s">
        <v>80</v>
      </c>
      <c r="R315" s="211">
        <f>0</f>
        <v>0</v>
      </c>
      <c r="S315" s="212">
        <v>0</v>
      </c>
      <c r="T315" s="212">
        <v>0</v>
      </c>
      <c r="U315" s="212">
        <v>0</v>
      </c>
      <c r="V315" s="212">
        <v>0</v>
      </c>
      <c r="W315" s="212">
        <v>0</v>
      </c>
      <c r="X315" s="212">
        <v>0</v>
      </c>
      <c r="Y315" s="212">
        <v>0</v>
      </c>
      <c r="Z315" s="179">
        <v>4</v>
      </c>
      <c r="AA315" s="213">
        <v>0</v>
      </c>
      <c r="AB315" s="214">
        <v>0</v>
      </c>
      <c r="AC315" s="212">
        <v>0</v>
      </c>
      <c r="AD315" s="212">
        <v>0</v>
      </c>
      <c r="AE315" s="212">
        <v>0</v>
      </c>
      <c r="AF315" s="212">
        <v>0</v>
      </c>
      <c r="AG315" s="212">
        <v>0</v>
      </c>
      <c r="AH315" s="212">
        <v>0</v>
      </c>
      <c r="AI315" s="212">
        <v>0</v>
      </c>
      <c r="AJ315" s="212">
        <v>0</v>
      </c>
      <c r="AK315" s="213">
        <v>0</v>
      </c>
      <c r="AL315" s="215">
        <f t="shared" si="8"/>
        <v>4</v>
      </c>
      <c r="AM315" s="216">
        <f>0</f>
        <v>0</v>
      </c>
      <c r="AN315" s="217">
        <f t="shared" si="9"/>
        <v>4</v>
      </c>
      <c r="AO315" s="276">
        <v>45090</v>
      </c>
      <c r="AP315" s="151" t="s">
        <v>273</v>
      </c>
      <c r="AQ315" s="152" t="s">
        <v>1290</v>
      </c>
      <c r="AR315" s="152" t="s">
        <v>148</v>
      </c>
      <c r="AS315" s="159"/>
      <c r="AT315" s="153"/>
      <c r="AU315" s="154"/>
      <c r="AV315" s="154"/>
      <c r="AW315" s="154"/>
      <c r="AX315" s="155"/>
      <c r="AY315" s="156"/>
      <c r="AZ315" s="157"/>
      <c r="BA315" s="81"/>
      <c r="BB315" s="81"/>
      <c r="BC315" s="81"/>
    </row>
    <row r="316" spans="1:55" ht="28" customHeight="1" x14ac:dyDescent="0.25">
      <c r="A316" s="173">
        <v>311</v>
      </c>
      <c r="B316" s="147">
        <v>45084</v>
      </c>
      <c r="C316" s="77" t="s">
        <v>134</v>
      </c>
      <c r="D316" s="77" t="s">
        <v>135</v>
      </c>
      <c r="E316" s="77" t="s">
        <v>136</v>
      </c>
      <c r="F316" s="219" t="s">
        <v>1186</v>
      </c>
      <c r="G316" s="219" t="s">
        <v>1034</v>
      </c>
      <c r="H316" s="219" t="s">
        <v>110</v>
      </c>
      <c r="I316" s="219" t="s">
        <v>1205</v>
      </c>
      <c r="J316" s="221" t="s">
        <v>1035</v>
      </c>
      <c r="K316" s="220" t="s">
        <v>80</v>
      </c>
      <c r="L316" s="220" t="s">
        <v>168</v>
      </c>
      <c r="M316" s="220" t="s">
        <v>154</v>
      </c>
      <c r="N316" s="220" t="s">
        <v>80</v>
      </c>
      <c r="O316" s="220" t="s">
        <v>149</v>
      </c>
      <c r="P316" s="152" t="s">
        <v>80</v>
      </c>
      <c r="Q316" s="307" t="s">
        <v>80</v>
      </c>
      <c r="R316" s="211">
        <f>0</f>
        <v>0</v>
      </c>
      <c r="S316" s="212">
        <v>0</v>
      </c>
      <c r="T316" s="212">
        <v>0</v>
      </c>
      <c r="U316" s="212">
        <v>0</v>
      </c>
      <c r="V316" s="212">
        <v>0</v>
      </c>
      <c r="W316" s="212">
        <v>0</v>
      </c>
      <c r="X316" s="212">
        <v>0</v>
      </c>
      <c r="Y316" s="212">
        <v>0</v>
      </c>
      <c r="Z316" s="179">
        <v>1</v>
      </c>
      <c r="AA316" s="213">
        <v>0</v>
      </c>
      <c r="AB316" s="214">
        <v>0</v>
      </c>
      <c r="AC316" s="212">
        <v>0</v>
      </c>
      <c r="AD316" s="212">
        <v>0</v>
      </c>
      <c r="AE316" s="212">
        <v>0</v>
      </c>
      <c r="AF316" s="212">
        <v>0</v>
      </c>
      <c r="AG316" s="212">
        <v>0</v>
      </c>
      <c r="AH316" s="212">
        <v>0</v>
      </c>
      <c r="AI316" s="212">
        <v>0</v>
      </c>
      <c r="AJ316" s="212">
        <v>0</v>
      </c>
      <c r="AK316" s="213">
        <v>0</v>
      </c>
      <c r="AL316" s="215">
        <f t="shared" si="8"/>
        <v>1</v>
      </c>
      <c r="AM316" s="216">
        <f>0</f>
        <v>0</v>
      </c>
      <c r="AN316" s="217">
        <f t="shared" si="9"/>
        <v>1</v>
      </c>
      <c r="AO316" s="276">
        <v>45096</v>
      </c>
      <c r="AP316" s="224" t="s">
        <v>273</v>
      </c>
      <c r="AQ316" s="225" t="s">
        <v>1293</v>
      </c>
      <c r="AR316" s="247" t="s">
        <v>669</v>
      </c>
      <c r="AS316" s="226"/>
      <c r="AT316" s="219"/>
      <c r="AU316" s="154"/>
      <c r="AV316" s="154"/>
      <c r="AW316" s="154"/>
      <c r="AX316" s="155"/>
      <c r="AY316" s="156"/>
      <c r="AZ316" s="157"/>
      <c r="BA316" s="81"/>
      <c r="BB316" s="81"/>
      <c r="BC316" s="81"/>
    </row>
    <row r="317" spans="1:55" ht="28" customHeight="1" x14ac:dyDescent="0.25">
      <c r="A317" s="173">
        <v>312</v>
      </c>
      <c r="B317" s="147">
        <v>45084</v>
      </c>
      <c r="C317" s="77" t="s">
        <v>134</v>
      </c>
      <c r="D317" s="77" t="s">
        <v>135</v>
      </c>
      <c r="E317" s="77" t="s">
        <v>136</v>
      </c>
      <c r="F317" s="219" t="s">
        <v>1186</v>
      </c>
      <c r="G317" s="219" t="s">
        <v>1036</v>
      </c>
      <c r="H317" s="219" t="s">
        <v>110</v>
      </c>
      <c r="I317" s="219" t="s">
        <v>146</v>
      </c>
      <c r="J317" s="221" t="s">
        <v>1037</v>
      </c>
      <c r="K317" s="220" t="s">
        <v>80</v>
      </c>
      <c r="L317" s="220" t="s">
        <v>168</v>
      </c>
      <c r="M317" s="220" t="s">
        <v>154</v>
      </c>
      <c r="N317" s="220" t="s">
        <v>80</v>
      </c>
      <c r="O317" s="220" t="s">
        <v>149</v>
      </c>
      <c r="P317" s="152" t="s">
        <v>80</v>
      </c>
      <c r="Q317" s="307" t="s">
        <v>80</v>
      </c>
      <c r="R317" s="211">
        <f>0</f>
        <v>0</v>
      </c>
      <c r="S317" s="212">
        <v>0</v>
      </c>
      <c r="T317" s="212">
        <v>0</v>
      </c>
      <c r="U317" s="212">
        <v>0</v>
      </c>
      <c r="V317" s="212">
        <v>0</v>
      </c>
      <c r="W317" s="212">
        <v>0</v>
      </c>
      <c r="X317" s="212">
        <v>0</v>
      </c>
      <c r="Y317" s="212">
        <v>0</v>
      </c>
      <c r="Z317" s="179">
        <v>1</v>
      </c>
      <c r="AA317" s="213">
        <v>0</v>
      </c>
      <c r="AB317" s="214">
        <v>0</v>
      </c>
      <c r="AC317" s="212">
        <v>0</v>
      </c>
      <c r="AD317" s="212">
        <v>0</v>
      </c>
      <c r="AE317" s="212">
        <v>0</v>
      </c>
      <c r="AF317" s="212">
        <v>0</v>
      </c>
      <c r="AG317" s="212">
        <v>0</v>
      </c>
      <c r="AH317" s="212">
        <v>0</v>
      </c>
      <c r="AI317" s="212">
        <v>0</v>
      </c>
      <c r="AJ317" s="212">
        <v>0</v>
      </c>
      <c r="AK317" s="213">
        <v>0</v>
      </c>
      <c r="AL317" s="215">
        <f t="shared" si="8"/>
        <v>1</v>
      </c>
      <c r="AM317" s="216">
        <f>0</f>
        <v>0</v>
      </c>
      <c r="AN317" s="217">
        <f t="shared" si="9"/>
        <v>1</v>
      </c>
      <c r="AO317" s="276">
        <v>45090</v>
      </c>
      <c r="AP317" s="151" t="s">
        <v>273</v>
      </c>
      <c r="AQ317" s="152" t="s">
        <v>1290</v>
      </c>
      <c r="AR317" s="152" t="s">
        <v>148</v>
      </c>
      <c r="AS317" s="159"/>
      <c r="AT317" s="153"/>
      <c r="AU317" s="154"/>
      <c r="AV317" s="154"/>
      <c r="AW317" s="154"/>
      <c r="AX317" s="155"/>
      <c r="AY317" s="156"/>
      <c r="AZ317" s="157"/>
      <c r="BA317" s="81"/>
      <c r="BB317" s="81"/>
      <c r="BC317" s="81"/>
    </row>
    <row r="318" spans="1:55" ht="28" customHeight="1" x14ac:dyDescent="0.25">
      <c r="A318" s="173">
        <v>313</v>
      </c>
      <c r="B318" s="147">
        <v>45084</v>
      </c>
      <c r="C318" s="77" t="s">
        <v>134</v>
      </c>
      <c r="D318" s="77" t="s">
        <v>135</v>
      </c>
      <c r="E318" s="77" t="s">
        <v>136</v>
      </c>
      <c r="F318" s="219" t="s">
        <v>1186</v>
      </c>
      <c r="G318" s="219" t="s">
        <v>1038</v>
      </c>
      <c r="H318" s="219" t="s">
        <v>110</v>
      </c>
      <c r="I318" s="219" t="s">
        <v>1039</v>
      </c>
      <c r="J318" s="221" t="s">
        <v>1040</v>
      </c>
      <c r="K318" s="220" t="s">
        <v>80</v>
      </c>
      <c r="L318" s="220" t="s">
        <v>168</v>
      </c>
      <c r="M318" s="220" t="s">
        <v>154</v>
      </c>
      <c r="N318" s="220" t="s">
        <v>80</v>
      </c>
      <c r="O318" s="220" t="s">
        <v>149</v>
      </c>
      <c r="P318" s="152" t="s">
        <v>80</v>
      </c>
      <c r="Q318" s="307" t="s">
        <v>80</v>
      </c>
      <c r="R318" s="211">
        <f>0</f>
        <v>0</v>
      </c>
      <c r="S318" s="212">
        <v>0</v>
      </c>
      <c r="T318" s="212">
        <v>0</v>
      </c>
      <c r="U318" s="212">
        <v>0</v>
      </c>
      <c r="V318" s="212">
        <v>0</v>
      </c>
      <c r="W318" s="212">
        <v>0</v>
      </c>
      <c r="X318" s="212">
        <v>0</v>
      </c>
      <c r="Y318" s="212">
        <v>0</v>
      </c>
      <c r="Z318" s="179">
        <v>1</v>
      </c>
      <c r="AA318" s="213">
        <v>0</v>
      </c>
      <c r="AB318" s="214">
        <v>0</v>
      </c>
      <c r="AC318" s="212">
        <v>0</v>
      </c>
      <c r="AD318" s="212">
        <v>0</v>
      </c>
      <c r="AE318" s="212">
        <v>0</v>
      </c>
      <c r="AF318" s="212">
        <v>0</v>
      </c>
      <c r="AG318" s="212">
        <v>0</v>
      </c>
      <c r="AH318" s="212">
        <v>0</v>
      </c>
      <c r="AI318" s="212">
        <v>0</v>
      </c>
      <c r="AJ318" s="212">
        <v>0</v>
      </c>
      <c r="AK318" s="213">
        <v>0</v>
      </c>
      <c r="AL318" s="215">
        <f t="shared" si="8"/>
        <v>1</v>
      </c>
      <c r="AM318" s="216">
        <f>0</f>
        <v>0</v>
      </c>
      <c r="AN318" s="217">
        <f t="shared" si="9"/>
        <v>1</v>
      </c>
      <c r="AO318" s="276">
        <v>45090</v>
      </c>
      <c r="AP318" s="151" t="s">
        <v>273</v>
      </c>
      <c r="AQ318" s="152" t="s">
        <v>1290</v>
      </c>
      <c r="AR318" s="152" t="s">
        <v>148</v>
      </c>
      <c r="AS318" s="159"/>
      <c r="AT318" s="153"/>
      <c r="AU318" s="154">
        <v>1</v>
      </c>
      <c r="AV318" s="154"/>
      <c r="AW318" s="154" t="s">
        <v>457</v>
      </c>
      <c r="AX318" s="155"/>
      <c r="AY318" s="156"/>
      <c r="AZ318" s="157"/>
      <c r="BA318" s="81"/>
      <c r="BB318" s="81"/>
      <c r="BC318" s="81"/>
    </row>
    <row r="319" spans="1:55" ht="28" customHeight="1" x14ac:dyDescent="0.25">
      <c r="A319" s="173">
        <v>314</v>
      </c>
      <c r="B319" s="147">
        <v>45084</v>
      </c>
      <c r="C319" s="77" t="s">
        <v>134</v>
      </c>
      <c r="D319" s="77" t="s">
        <v>135</v>
      </c>
      <c r="E319" s="77" t="s">
        <v>136</v>
      </c>
      <c r="F319" s="219" t="s">
        <v>1186</v>
      </c>
      <c r="G319" s="219" t="s">
        <v>1041</v>
      </c>
      <c r="H319" s="219" t="s">
        <v>110</v>
      </c>
      <c r="I319" s="219" t="s">
        <v>1042</v>
      </c>
      <c r="J319" s="221" t="s">
        <v>1043</v>
      </c>
      <c r="K319" s="220" t="s">
        <v>80</v>
      </c>
      <c r="L319" s="220" t="s">
        <v>168</v>
      </c>
      <c r="M319" s="220" t="s">
        <v>154</v>
      </c>
      <c r="N319" s="220" t="s">
        <v>80</v>
      </c>
      <c r="O319" s="220" t="s">
        <v>149</v>
      </c>
      <c r="P319" s="152" t="s">
        <v>80</v>
      </c>
      <c r="Q319" s="307" t="s">
        <v>80</v>
      </c>
      <c r="R319" s="211">
        <f>0</f>
        <v>0</v>
      </c>
      <c r="S319" s="212">
        <v>0</v>
      </c>
      <c r="T319" s="212">
        <v>0</v>
      </c>
      <c r="U319" s="212">
        <v>0</v>
      </c>
      <c r="V319" s="212">
        <v>0</v>
      </c>
      <c r="W319" s="212">
        <v>0</v>
      </c>
      <c r="X319" s="212">
        <v>0</v>
      </c>
      <c r="Y319" s="212">
        <v>0</v>
      </c>
      <c r="Z319" s="179">
        <v>1</v>
      </c>
      <c r="AA319" s="213">
        <v>0</v>
      </c>
      <c r="AB319" s="214">
        <v>0</v>
      </c>
      <c r="AC319" s="212">
        <v>0</v>
      </c>
      <c r="AD319" s="212">
        <v>0</v>
      </c>
      <c r="AE319" s="212">
        <v>0</v>
      </c>
      <c r="AF319" s="212">
        <v>0</v>
      </c>
      <c r="AG319" s="212">
        <v>0</v>
      </c>
      <c r="AH319" s="212">
        <v>0</v>
      </c>
      <c r="AI319" s="212">
        <v>0</v>
      </c>
      <c r="AJ319" s="212">
        <v>0</v>
      </c>
      <c r="AK319" s="213">
        <v>0</v>
      </c>
      <c r="AL319" s="215">
        <f t="shared" si="8"/>
        <v>1</v>
      </c>
      <c r="AM319" s="216">
        <f>0</f>
        <v>0</v>
      </c>
      <c r="AN319" s="217">
        <f t="shared" si="9"/>
        <v>1</v>
      </c>
      <c r="AO319" s="276">
        <v>45090</v>
      </c>
      <c r="AP319" s="151" t="s">
        <v>273</v>
      </c>
      <c r="AQ319" s="152" t="s">
        <v>1290</v>
      </c>
      <c r="AR319" s="152" t="s">
        <v>148</v>
      </c>
      <c r="AS319" s="159"/>
      <c r="AT319" s="153"/>
      <c r="AU319" s="154"/>
      <c r="AV319" s="154"/>
      <c r="AW319" s="99" t="s">
        <v>457</v>
      </c>
      <c r="AX319" s="155"/>
      <c r="AY319" s="156"/>
      <c r="AZ319" s="157"/>
      <c r="BA319" s="81"/>
      <c r="BB319" s="81"/>
      <c r="BC319" s="81"/>
    </row>
    <row r="320" spans="1:55" ht="28" customHeight="1" x14ac:dyDescent="0.25">
      <c r="A320" s="173">
        <v>315</v>
      </c>
      <c r="B320" s="147">
        <v>45084</v>
      </c>
      <c r="C320" s="77" t="s">
        <v>134</v>
      </c>
      <c r="D320" s="77" t="s">
        <v>135</v>
      </c>
      <c r="E320" s="77" t="s">
        <v>136</v>
      </c>
      <c r="F320" s="219" t="s">
        <v>1186</v>
      </c>
      <c r="G320" s="219" t="s">
        <v>1044</v>
      </c>
      <c r="H320" s="219" t="s">
        <v>110</v>
      </c>
      <c r="I320" s="219" t="s">
        <v>535</v>
      </c>
      <c r="J320" s="221" t="s">
        <v>1045</v>
      </c>
      <c r="K320" s="220" t="s">
        <v>80</v>
      </c>
      <c r="L320" s="220" t="s">
        <v>168</v>
      </c>
      <c r="M320" s="220" t="s">
        <v>154</v>
      </c>
      <c r="N320" s="220" t="s">
        <v>80</v>
      </c>
      <c r="O320" s="220" t="s">
        <v>149</v>
      </c>
      <c r="P320" s="152" t="s">
        <v>80</v>
      </c>
      <c r="Q320" s="307" t="s">
        <v>80</v>
      </c>
      <c r="R320" s="211">
        <f>0</f>
        <v>0</v>
      </c>
      <c r="S320" s="212">
        <v>0</v>
      </c>
      <c r="T320" s="212">
        <v>0</v>
      </c>
      <c r="U320" s="212">
        <v>0</v>
      </c>
      <c r="V320" s="212">
        <v>0</v>
      </c>
      <c r="W320" s="212">
        <v>0</v>
      </c>
      <c r="X320" s="212">
        <v>0</v>
      </c>
      <c r="Y320" s="212">
        <v>0</v>
      </c>
      <c r="Z320" s="179">
        <v>2</v>
      </c>
      <c r="AA320" s="213">
        <v>0</v>
      </c>
      <c r="AB320" s="214">
        <v>0</v>
      </c>
      <c r="AC320" s="212">
        <v>0</v>
      </c>
      <c r="AD320" s="212">
        <v>0</v>
      </c>
      <c r="AE320" s="212">
        <v>0</v>
      </c>
      <c r="AF320" s="212">
        <v>0</v>
      </c>
      <c r="AG320" s="212">
        <v>0</v>
      </c>
      <c r="AH320" s="212">
        <v>0</v>
      </c>
      <c r="AI320" s="212">
        <v>0</v>
      </c>
      <c r="AJ320" s="212">
        <v>0</v>
      </c>
      <c r="AK320" s="213">
        <v>0</v>
      </c>
      <c r="AL320" s="215">
        <f t="shared" si="8"/>
        <v>2</v>
      </c>
      <c r="AM320" s="216">
        <f>0</f>
        <v>0</v>
      </c>
      <c r="AN320" s="217">
        <f t="shared" si="9"/>
        <v>2</v>
      </c>
      <c r="AO320" s="276">
        <v>45090</v>
      </c>
      <c r="AP320" s="151" t="s">
        <v>273</v>
      </c>
      <c r="AQ320" s="152" t="s">
        <v>1290</v>
      </c>
      <c r="AR320" s="152" t="s">
        <v>148</v>
      </c>
      <c r="AS320" s="159"/>
      <c r="AT320" s="153"/>
      <c r="AU320" s="154"/>
      <c r="AV320" s="154"/>
      <c r="AW320" s="99" t="s">
        <v>457</v>
      </c>
      <c r="AX320" s="155"/>
      <c r="AY320" s="156"/>
      <c r="AZ320" s="157"/>
      <c r="BA320" s="81"/>
      <c r="BB320" s="81"/>
      <c r="BC320" s="81"/>
    </row>
    <row r="321" spans="1:55" ht="28" customHeight="1" x14ac:dyDescent="0.25">
      <c r="A321" s="173">
        <v>316</v>
      </c>
      <c r="B321" s="147">
        <v>45084</v>
      </c>
      <c r="C321" s="77" t="s">
        <v>134</v>
      </c>
      <c r="D321" s="77" t="s">
        <v>135</v>
      </c>
      <c r="E321" s="77" t="s">
        <v>136</v>
      </c>
      <c r="F321" s="219" t="s">
        <v>1186</v>
      </c>
      <c r="G321" s="219" t="s">
        <v>1046</v>
      </c>
      <c r="H321" s="219" t="s">
        <v>110</v>
      </c>
      <c r="I321" s="219" t="s">
        <v>1047</v>
      </c>
      <c r="J321" s="221" t="s">
        <v>1048</v>
      </c>
      <c r="K321" s="220" t="s">
        <v>80</v>
      </c>
      <c r="L321" s="220" t="s">
        <v>168</v>
      </c>
      <c r="M321" s="220" t="s">
        <v>154</v>
      </c>
      <c r="N321" s="220" t="s">
        <v>80</v>
      </c>
      <c r="O321" s="220" t="s">
        <v>149</v>
      </c>
      <c r="P321" s="152" t="s">
        <v>80</v>
      </c>
      <c r="Q321" s="307" t="s">
        <v>80</v>
      </c>
      <c r="R321" s="211">
        <f>0</f>
        <v>0</v>
      </c>
      <c r="S321" s="212">
        <v>0</v>
      </c>
      <c r="T321" s="212">
        <v>0</v>
      </c>
      <c r="U321" s="212">
        <v>0</v>
      </c>
      <c r="V321" s="212">
        <v>0</v>
      </c>
      <c r="W321" s="212">
        <v>0</v>
      </c>
      <c r="X321" s="212">
        <v>0</v>
      </c>
      <c r="Y321" s="212">
        <v>0</v>
      </c>
      <c r="Z321" s="179">
        <v>5</v>
      </c>
      <c r="AA321" s="213">
        <v>0</v>
      </c>
      <c r="AB321" s="214">
        <v>0</v>
      </c>
      <c r="AC321" s="212">
        <v>0</v>
      </c>
      <c r="AD321" s="212">
        <v>0</v>
      </c>
      <c r="AE321" s="212">
        <v>0</v>
      </c>
      <c r="AF321" s="212">
        <v>0</v>
      </c>
      <c r="AG321" s="212">
        <v>0</v>
      </c>
      <c r="AH321" s="212">
        <v>0</v>
      </c>
      <c r="AI321" s="212">
        <v>0</v>
      </c>
      <c r="AJ321" s="212">
        <v>0</v>
      </c>
      <c r="AK321" s="213">
        <v>0</v>
      </c>
      <c r="AL321" s="215">
        <f t="shared" si="8"/>
        <v>5</v>
      </c>
      <c r="AM321" s="216">
        <f>0</f>
        <v>0</v>
      </c>
      <c r="AN321" s="217">
        <f t="shared" si="9"/>
        <v>5</v>
      </c>
      <c r="AO321" s="276">
        <v>45090</v>
      </c>
      <c r="AP321" s="151" t="s">
        <v>273</v>
      </c>
      <c r="AQ321" s="152" t="s">
        <v>1290</v>
      </c>
      <c r="AR321" s="152" t="s">
        <v>148</v>
      </c>
      <c r="AS321" s="159"/>
      <c r="AT321" s="153"/>
      <c r="AU321" s="154"/>
      <c r="AV321" s="154"/>
      <c r="AW321" s="154"/>
      <c r="AX321" s="155"/>
      <c r="AY321" s="156"/>
      <c r="AZ321" s="157"/>
      <c r="BA321" s="81"/>
      <c r="BB321" s="81"/>
      <c r="BC321" s="81"/>
    </row>
    <row r="322" spans="1:55" ht="28" customHeight="1" x14ac:dyDescent="0.25">
      <c r="A322" s="173">
        <v>317</v>
      </c>
      <c r="B322" s="147">
        <v>45084</v>
      </c>
      <c r="C322" s="77" t="s">
        <v>134</v>
      </c>
      <c r="D322" s="77" t="s">
        <v>135</v>
      </c>
      <c r="E322" s="77" t="s">
        <v>136</v>
      </c>
      <c r="F322" s="219" t="s">
        <v>1186</v>
      </c>
      <c r="G322" s="219" t="s">
        <v>1049</v>
      </c>
      <c r="H322" s="219" t="s">
        <v>110</v>
      </c>
      <c r="I322" s="219" t="s">
        <v>1047</v>
      </c>
      <c r="J322" s="221" t="s">
        <v>1050</v>
      </c>
      <c r="K322" s="220" t="s">
        <v>80</v>
      </c>
      <c r="L322" s="220" t="s">
        <v>168</v>
      </c>
      <c r="M322" s="220" t="s">
        <v>154</v>
      </c>
      <c r="N322" s="220" t="s">
        <v>80</v>
      </c>
      <c r="O322" s="220" t="s">
        <v>149</v>
      </c>
      <c r="P322" s="152" t="s">
        <v>80</v>
      </c>
      <c r="Q322" s="307" t="s">
        <v>80</v>
      </c>
      <c r="R322" s="211">
        <f>0</f>
        <v>0</v>
      </c>
      <c r="S322" s="212">
        <v>0</v>
      </c>
      <c r="T322" s="212">
        <v>0</v>
      </c>
      <c r="U322" s="212">
        <v>0</v>
      </c>
      <c r="V322" s="212">
        <v>0</v>
      </c>
      <c r="W322" s="212">
        <v>0</v>
      </c>
      <c r="X322" s="212">
        <v>0</v>
      </c>
      <c r="Y322" s="212">
        <v>0</v>
      </c>
      <c r="Z322" s="179">
        <v>2</v>
      </c>
      <c r="AA322" s="213">
        <v>0</v>
      </c>
      <c r="AB322" s="214">
        <v>0</v>
      </c>
      <c r="AC322" s="212">
        <v>0</v>
      </c>
      <c r="AD322" s="212">
        <v>0</v>
      </c>
      <c r="AE322" s="212">
        <v>0</v>
      </c>
      <c r="AF322" s="212">
        <v>0</v>
      </c>
      <c r="AG322" s="212">
        <v>0</v>
      </c>
      <c r="AH322" s="212">
        <v>0</v>
      </c>
      <c r="AI322" s="212">
        <v>0</v>
      </c>
      <c r="AJ322" s="212">
        <v>0</v>
      </c>
      <c r="AK322" s="213">
        <v>0</v>
      </c>
      <c r="AL322" s="215">
        <f t="shared" si="8"/>
        <v>2</v>
      </c>
      <c r="AM322" s="216">
        <f>0</f>
        <v>0</v>
      </c>
      <c r="AN322" s="217">
        <f t="shared" si="9"/>
        <v>2</v>
      </c>
      <c r="AO322" s="276">
        <v>45090</v>
      </c>
      <c r="AP322" s="151" t="s">
        <v>273</v>
      </c>
      <c r="AQ322" s="152" t="s">
        <v>1290</v>
      </c>
      <c r="AR322" s="152" t="s">
        <v>148</v>
      </c>
      <c r="AS322" s="159"/>
      <c r="AT322" s="153"/>
      <c r="AU322" s="154"/>
      <c r="AV322" s="154"/>
      <c r="AW322" s="154"/>
      <c r="AX322" s="155"/>
      <c r="AY322" s="156"/>
      <c r="AZ322" s="157"/>
      <c r="BA322" s="81"/>
      <c r="BB322" s="81"/>
      <c r="BC322" s="81"/>
    </row>
    <row r="323" spans="1:55" ht="28" customHeight="1" x14ac:dyDescent="0.25">
      <c r="A323" s="173">
        <v>318</v>
      </c>
      <c r="B323" s="147">
        <v>45084</v>
      </c>
      <c r="C323" s="77" t="s">
        <v>134</v>
      </c>
      <c r="D323" s="77" t="s">
        <v>135</v>
      </c>
      <c r="E323" s="77" t="s">
        <v>136</v>
      </c>
      <c r="F323" s="219" t="s">
        <v>1186</v>
      </c>
      <c r="G323" s="219" t="s">
        <v>1051</v>
      </c>
      <c r="H323" s="219" t="s">
        <v>110</v>
      </c>
      <c r="I323" s="219" t="s">
        <v>1052</v>
      </c>
      <c r="J323" s="221" t="s">
        <v>1053</v>
      </c>
      <c r="K323" s="220" t="s">
        <v>80</v>
      </c>
      <c r="L323" s="220" t="s">
        <v>168</v>
      </c>
      <c r="M323" s="220" t="s">
        <v>154</v>
      </c>
      <c r="N323" s="220" t="s">
        <v>80</v>
      </c>
      <c r="O323" s="220" t="s">
        <v>149</v>
      </c>
      <c r="P323" s="152" t="s">
        <v>80</v>
      </c>
      <c r="Q323" s="307" t="s">
        <v>80</v>
      </c>
      <c r="R323" s="211">
        <f>0</f>
        <v>0</v>
      </c>
      <c r="S323" s="212">
        <v>0</v>
      </c>
      <c r="T323" s="212">
        <v>0</v>
      </c>
      <c r="U323" s="212">
        <v>0</v>
      </c>
      <c r="V323" s="212">
        <v>0</v>
      </c>
      <c r="W323" s="212">
        <v>0</v>
      </c>
      <c r="X323" s="212">
        <v>0</v>
      </c>
      <c r="Y323" s="212">
        <v>0</v>
      </c>
      <c r="Z323" s="179">
        <v>1</v>
      </c>
      <c r="AA323" s="213">
        <v>0</v>
      </c>
      <c r="AB323" s="214">
        <v>0</v>
      </c>
      <c r="AC323" s="212">
        <v>0</v>
      </c>
      <c r="AD323" s="212">
        <v>0</v>
      </c>
      <c r="AE323" s="212">
        <v>0</v>
      </c>
      <c r="AF323" s="212">
        <v>0</v>
      </c>
      <c r="AG323" s="212">
        <v>0</v>
      </c>
      <c r="AH323" s="212">
        <v>0</v>
      </c>
      <c r="AI323" s="212">
        <v>0</v>
      </c>
      <c r="AJ323" s="212">
        <v>0</v>
      </c>
      <c r="AK323" s="213">
        <v>0</v>
      </c>
      <c r="AL323" s="215">
        <f t="shared" si="8"/>
        <v>1</v>
      </c>
      <c r="AM323" s="216">
        <f>0</f>
        <v>0</v>
      </c>
      <c r="AN323" s="217">
        <f t="shared" si="9"/>
        <v>1</v>
      </c>
      <c r="AO323" s="276">
        <v>45090</v>
      </c>
      <c r="AP323" s="151" t="s">
        <v>273</v>
      </c>
      <c r="AQ323" s="152" t="s">
        <v>1290</v>
      </c>
      <c r="AR323" s="152" t="s">
        <v>148</v>
      </c>
      <c r="AS323" s="159"/>
      <c r="AT323" s="153"/>
      <c r="AU323" s="154"/>
      <c r="AV323" s="154"/>
      <c r="AW323" s="99" t="s">
        <v>457</v>
      </c>
      <c r="AX323" s="155"/>
      <c r="AY323" s="156"/>
      <c r="AZ323" s="157"/>
      <c r="BA323" s="81"/>
      <c r="BB323" s="81"/>
      <c r="BC323" s="81"/>
    </row>
    <row r="324" spans="1:55" ht="28" customHeight="1" x14ac:dyDescent="0.25">
      <c r="A324" s="173">
        <v>319</v>
      </c>
      <c r="B324" s="147">
        <v>45084</v>
      </c>
      <c r="C324" s="77" t="s">
        <v>134</v>
      </c>
      <c r="D324" s="77" t="s">
        <v>135</v>
      </c>
      <c r="E324" s="77" t="s">
        <v>136</v>
      </c>
      <c r="F324" s="219" t="s">
        <v>1186</v>
      </c>
      <c r="G324" s="219" t="s">
        <v>1054</v>
      </c>
      <c r="H324" s="219" t="s">
        <v>110</v>
      </c>
      <c r="I324" s="219" t="s">
        <v>239</v>
      </c>
      <c r="J324" s="221" t="s">
        <v>1055</v>
      </c>
      <c r="K324" s="220" t="s">
        <v>80</v>
      </c>
      <c r="L324" s="220" t="s">
        <v>168</v>
      </c>
      <c r="M324" s="220" t="s">
        <v>154</v>
      </c>
      <c r="N324" s="220" t="s">
        <v>80</v>
      </c>
      <c r="O324" s="220" t="s">
        <v>149</v>
      </c>
      <c r="P324" s="152" t="s">
        <v>80</v>
      </c>
      <c r="Q324" s="307" t="s">
        <v>80</v>
      </c>
      <c r="R324" s="211">
        <f>0</f>
        <v>0</v>
      </c>
      <c r="S324" s="212">
        <v>0</v>
      </c>
      <c r="T324" s="212">
        <v>0</v>
      </c>
      <c r="U324" s="212">
        <v>0</v>
      </c>
      <c r="V324" s="212">
        <v>0</v>
      </c>
      <c r="W324" s="212">
        <v>0</v>
      </c>
      <c r="X324" s="212">
        <v>0</v>
      </c>
      <c r="Y324" s="212">
        <v>0</v>
      </c>
      <c r="Z324" s="179">
        <v>1</v>
      </c>
      <c r="AA324" s="213">
        <v>0</v>
      </c>
      <c r="AB324" s="214">
        <v>0</v>
      </c>
      <c r="AC324" s="212">
        <v>0</v>
      </c>
      <c r="AD324" s="212">
        <v>0</v>
      </c>
      <c r="AE324" s="212">
        <v>0</v>
      </c>
      <c r="AF324" s="212">
        <v>0</v>
      </c>
      <c r="AG324" s="212">
        <v>0</v>
      </c>
      <c r="AH324" s="212">
        <v>0</v>
      </c>
      <c r="AI324" s="212">
        <v>0</v>
      </c>
      <c r="AJ324" s="212">
        <v>0</v>
      </c>
      <c r="AK324" s="213">
        <v>0</v>
      </c>
      <c r="AL324" s="215">
        <f t="shared" si="8"/>
        <v>1</v>
      </c>
      <c r="AM324" s="216">
        <f>0</f>
        <v>0</v>
      </c>
      <c r="AN324" s="217">
        <f t="shared" si="9"/>
        <v>1</v>
      </c>
      <c r="AO324" s="276">
        <v>45096</v>
      </c>
      <c r="AP324" s="224" t="s">
        <v>273</v>
      </c>
      <c r="AQ324" s="225" t="s">
        <v>1293</v>
      </c>
      <c r="AR324" s="247" t="s">
        <v>669</v>
      </c>
      <c r="AS324" s="226"/>
      <c r="AT324" s="219"/>
      <c r="AU324" s="154"/>
      <c r="AV324" s="154"/>
      <c r="AW324" s="154"/>
      <c r="AX324" s="155"/>
      <c r="AY324" s="156"/>
      <c r="AZ324" s="157"/>
      <c r="BA324" s="81"/>
      <c r="BB324" s="81"/>
      <c r="BC324" s="81"/>
    </row>
    <row r="325" spans="1:55" ht="28" customHeight="1" x14ac:dyDescent="0.25">
      <c r="A325" s="173">
        <v>320</v>
      </c>
      <c r="B325" s="147">
        <v>45084</v>
      </c>
      <c r="C325" s="77" t="s">
        <v>134</v>
      </c>
      <c r="D325" s="77" t="s">
        <v>135</v>
      </c>
      <c r="E325" s="77" t="s">
        <v>136</v>
      </c>
      <c r="F325" s="219" t="s">
        <v>1186</v>
      </c>
      <c r="G325" s="219" t="s">
        <v>1056</v>
      </c>
      <c r="H325" s="219" t="s">
        <v>287</v>
      </c>
      <c r="I325" s="219" t="s">
        <v>1047</v>
      </c>
      <c r="J325" s="221" t="s">
        <v>1057</v>
      </c>
      <c r="K325" s="220" t="s">
        <v>80</v>
      </c>
      <c r="L325" s="220" t="s">
        <v>168</v>
      </c>
      <c r="M325" s="220" t="s">
        <v>154</v>
      </c>
      <c r="N325" s="220" t="s">
        <v>80</v>
      </c>
      <c r="O325" s="220" t="s">
        <v>149</v>
      </c>
      <c r="P325" s="152" t="s">
        <v>80</v>
      </c>
      <c r="Q325" s="307" t="s">
        <v>80</v>
      </c>
      <c r="R325" s="211">
        <f>0</f>
        <v>0</v>
      </c>
      <c r="S325" s="212">
        <v>0</v>
      </c>
      <c r="T325" s="212">
        <v>0</v>
      </c>
      <c r="U325" s="212">
        <v>0</v>
      </c>
      <c r="V325" s="212">
        <v>0</v>
      </c>
      <c r="W325" s="212">
        <v>0</v>
      </c>
      <c r="X325" s="212">
        <v>0</v>
      </c>
      <c r="Y325" s="212">
        <v>0</v>
      </c>
      <c r="Z325" s="179">
        <v>1</v>
      </c>
      <c r="AA325" s="213">
        <v>0</v>
      </c>
      <c r="AB325" s="214">
        <v>0</v>
      </c>
      <c r="AC325" s="212">
        <v>0</v>
      </c>
      <c r="AD325" s="212">
        <v>0</v>
      </c>
      <c r="AE325" s="212">
        <v>0</v>
      </c>
      <c r="AF325" s="212">
        <v>0</v>
      </c>
      <c r="AG325" s="212">
        <v>0</v>
      </c>
      <c r="AH325" s="212">
        <v>0</v>
      </c>
      <c r="AI325" s="212">
        <v>0</v>
      </c>
      <c r="AJ325" s="212">
        <v>0</v>
      </c>
      <c r="AK325" s="213">
        <v>0</v>
      </c>
      <c r="AL325" s="215">
        <f t="shared" si="8"/>
        <v>1</v>
      </c>
      <c r="AM325" s="216">
        <f>0</f>
        <v>0</v>
      </c>
      <c r="AN325" s="217">
        <f t="shared" si="9"/>
        <v>1</v>
      </c>
      <c r="AO325" s="276">
        <v>45090</v>
      </c>
      <c r="AP325" s="151" t="s">
        <v>273</v>
      </c>
      <c r="AQ325" s="152" t="s">
        <v>1290</v>
      </c>
      <c r="AR325" s="152" t="s">
        <v>148</v>
      </c>
      <c r="AS325" s="159"/>
      <c r="AT325" s="153"/>
      <c r="AU325" s="154"/>
      <c r="AV325" s="154"/>
      <c r="AW325" s="154"/>
      <c r="AX325" s="155"/>
      <c r="AY325" s="156"/>
      <c r="AZ325" s="157"/>
      <c r="BA325" s="81"/>
      <c r="BB325" s="81"/>
      <c r="BC325" s="81"/>
    </row>
    <row r="326" spans="1:55" ht="28" customHeight="1" x14ac:dyDescent="0.25">
      <c r="A326" s="173">
        <v>321</v>
      </c>
      <c r="B326" s="147">
        <v>45084</v>
      </c>
      <c r="C326" s="77" t="s">
        <v>134</v>
      </c>
      <c r="D326" s="77" t="s">
        <v>135</v>
      </c>
      <c r="E326" s="77" t="s">
        <v>136</v>
      </c>
      <c r="F326" s="219" t="s">
        <v>1186</v>
      </c>
      <c r="G326" s="219" t="s">
        <v>1058</v>
      </c>
      <c r="H326" s="219" t="s">
        <v>110</v>
      </c>
      <c r="I326" s="219" t="s">
        <v>1006</v>
      </c>
      <c r="J326" s="221" t="s">
        <v>1059</v>
      </c>
      <c r="K326" s="220" t="s">
        <v>80</v>
      </c>
      <c r="L326" s="220" t="s">
        <v>168</v>
      </c>
      <c r="M326" s="220" t="s">
        <v>154</v>
      </c>
      <c r="N326" s="220" t="s">
        <v>80</v>
      </c>
      <c r="O326" s="220" t="s">
        <v>149</v>
      </c>
      <c r="P326" s="152" t="s">
        <v>80</v>
      </c>
      <c r="Q326" s="307" t="s">
        <v>80</v>
      </c>
      <c r="R326" s="211">
        <f>0</f>
        <v>0</v>
      </c>
      <c r="S326" s="212">
        <v>0</v>
      </c>
      <c r="T326" s="212">
        <v>0</v>
      </c>
      <c r="U326" s="212">
        <v>0</v>
      </c>
      <c r="V326" s="212">
        <v>0</v>
      </c>
      <c r="W326" s="212">
        <v>0</v>
      </c>
      <c r="X326" s="212">
        <v>0</v>
      </c>
      <c r="Y326" s="212">
        <v>0</v>
      </c>
      <c r="Z326" s="179">
        <v>1</v>
      </c>
      <c r="AA326" s="213">
        <v>0</v>
      </c>
      <c r="AB326" s="214">
        <v>0</v>
      </c>
      <c r="AC326" s="212">
        <v>0</v>
      </c>
      <c r="AD326" s="212">
        <v>0</v>
      </c>
      <c r="AE326" s="212">
        <v>0</v>
      </c>
      <c r="AF326" s="212">
        <v>0</v>
      </c>
      <c r="AG326" s="212">
        <v>0</v>
      </c>
      <c r="AH326" s="212">
        <v>0</v>
      </c>
      <c r="AI326" s="212">
        <v>0</v>
      </c>
      <c r="AJ326" s="212">
        <v>0</v>
      </c>
      <c r="AK326" s="213">
        <v>0</v>
      </c>
      <c r="AL326" s="215">
        <f t="shared" ref="AL326:AL389" si="10">SUM(R326:AK326)</f>
        <v>1</v>
      </c>
      <c r="AM326" s="216">
        <f>0</f>
        <v>0</v>
      </c>
      <c r="AN326" s="217">
        <f t="shared" ref="AN326:AN389" si="11">AL326-AM326</f>
        <v>1</v>
      </c>
      <c r="AO326" s="276">
        <v>45090</v>
      </c>
      <c r="AP326" s="151" t="s">
        <v>273</v>
      </c>
      <c r="AQ326" s="152" t="s">
        <v>1290</v>
      </c>
      <c r="AR326" s="152" t="s">
        <v>148</v>
      </c>
      <c r="AS326" s="159"/>
      <c r="AT326" s="153"/>
      <c r="AU326" s="154"/>
      <c r="AV326" s="154"/>
      <c r="AW326" s="99" t="s">
        <v>457</v>
      </c>
      <c r="AX326" s="155"/>
      <c r="AY326" s="156"/>
      <c r="AZ326" s="157"/>
      <c r="BA326" s="81"/>
      <c r="BB326" s="81"/>
      <c r="BC326" s="81"/>
    </row>
    <row r="327" spans="1:55" ht="28" customHeight="1" x14ac:dyDescent="0.25">
      <c r="A327" s="173">
        <v>322</v>
      </c>
      <c r="B327" s="147">
        <v>45084</v>
      </c>
      <c r="C327" s="77" t="s">
        <v>134</v>
      </c>
      <c r="D327" s="77" t="s">
        <v>135</v>
      </c>
      <c r="E327" s="77" t="s">
        <v>136</v>
      </c>
      <c r="F327" s="219" t="s">
        <v>1186</v>
      </c>
      <c r="G327" s="219" t="s">
        <v>1060</v>
      </c>
      <c r="H327" s="219" t="s">
        <v>287</v>
      </c>
      <c r="I327" s="219" t="s">
        <v>1006</v>
      </c>
      <c r="J327" s="221" t="s">
        <v>1061</v>
      </c>
      <c r="K327" s="220" t="s">
        <v>80</v>
      </c>
      <c r="L327" s="220" t="s">
        <v>168</v>
      </c>
      <c r="M327" s="220" t="s">
        <v>154</v>
      </c>
      <c r="N327" s="220" t="s">
        <v>80</v>
      </c>
      <c r="O327" s="220" t="s">
        <v>149</v>
      </c>
      <c r="P327" s="152" t="s">
        <v>80</v>
      </c>
      <c r="Q327" s="307" t="s">
        <v>80</v>
      </c>
      <c r="R327" s="211">
        <f>0</f>
        <v>0</v>
      </c>
      <c r="S327" s="212">
        <v>0</v>
      </c>
      <c r="T327" s="212">
        <v>0</v>
      </c>
      <c r="U327" s="212">
        <v>0</v>
      </c>
      <c r="V327" s="212">
        <v>0</v>
      </c>
      <c r="W327" s="212">
        <v>0</v>
      </c>
      <c r="X327" s="212">
        <v>0</v>
      </c>
      <c r="Y327" s="212">
        <v>0</v>
      </c>
      <c r="Z327" s="179">
        <v>1</v>
      </c>
      <c r="AA327" s="213">
        <v>0</v>
      </c>
      <c r="AB327" s="214">
        <v>0</v>
      </c>
      <c r="AC327" s="212">
        <v>0</v>
      </c>
      <c r="AD327" s="212">
        <v>0</v>
      </c>
      <c r="AE327" s="212">
        <v>0</v>
      </c>
      <c r="AF327" s="212">
        <v>0</v>
      </c>
      <c r="AG327" s="212">
        <v>0</v>
      </c>
      <c r="AH327" s="212">
        <v>0</v>
      </c>
      <c r="AI327" s="212">
        <v>0</v>
      </c>
      <c r="AJ327" s="212">
        <v>0</v>
      </c>
      <c r="AK327" s="213">
        <v>0</v>
      </c>
      <c r="AL327" s="215">
        <f t="shared" si="10"/>
        <v>1</v>
      </c>
      <c r="AM327" s="216">
        <f>0</f>
        <v>0</v>
      </c>
      <c r="AN327" s="217">
        <f t="shared" si="11"/>
        <v>1</v>
      </c>
      <c r="AO327" s="276">
        <v>45096</v>
      </c>
      <c r="AP327" s="224" t="s">
        <v>273</v>
      </c>
      <c r="AQ327" s="225" t="s">
        <v>1293</v>
      </c>
      <c r="AR327" s="247" t="s">
        <v>669</v>
      </c>
      <c r="AS327" s="226"/>
      <c r="AT327" s="219"/>
      <c r="AU327" s="154"/>
      <c r="AV327" s="154"/>
      <c r="AW327" s="154"/>
      <c r="AX327" s="155"/>
      <c r="AY327" s="156"/>
      <c r="AZ327" s="157"/>
      <c r="BA327" s="81"/>
      <c r="BB327" s="81"/>
      <c r="BC327" s="81"/>
    </row>
    <row r="328" spans="1:55" ht="28" customHeight="1" x14ac:dyDescent="0.25">
      <c r="A328" s="173">
        <v>323</v>
      </c>
      <c r="B328" s="147">
        <v>45084</v>
      </c>
      <c r="C328" s="77" t="s">
        <v>134</v>
      </c>
      <c r="D328" s="77" t="s">
        <v>135</v>
      </c>
      <c r="E328" s="77" t="s">
        <v>136</v>
      </c>
      <c r="F328" s="219" t="s">
        <v>1186</v>
      </c>
      <c r="G328" s="219" t="s">
        <v>1062</v>
      </c>
      <c r="H328" s="219" t="s">
        <v>110</v>
      </c>
      <c r="I328" s="219" t="s">
        <v>1063</v>
      </c>
      <c r="J328" s="221" t="s">
        <v>1064</v>
      </c>
      <c r="K328" s="220"/>
      <c r="L328" s="220" t="s">
        <v>168</v>
      </c>
      <c r="M328" s="220" t="s">
        <v>154</v>
      </c>
      <c r="N328" s="220" t="s">
        <v>80</v>
      </c>
      <c r="O328" s="220" t="s">
        <v>149</v>
      </c>
      <c r="P328" s="152" t="s">
        <v>80</v>
      </c>
      <c r="Q328" s="307" t="s">
        <v>80</v>
      </c>
      <c r="R328" s="211">
        <f>0</f>
        <v>0</v>
      </c>
      <c r="S328" s="212">
        <v>0</v>
      </c>
      <c r="T328" s="212">
        <v>0</v>
      </c>
      <c r="U328" s="212">
        <v>0</v>
      </c>
      <c r="V328" s="212">
        <v>0</v>
      </c>
      <c r="W328" s="212">
        <v>0</v>
      </c>
      <c r="X328" s="212">
        <v>0</v>
      </c>
      <c r="Y328" s="212">
        <v>0</v>
      </c>
      <c r="Z328" s="179">
        <v>1</v>
      </c>
      <c r="AA328" s="213">
        <v>0</v>
      </c>
      <c r="AB328" s="214">
        <v>0</v>
      </c>
      <c r="AC328" s="212">
        <v>0</v>
      </c>
      <c r="AD328" s="212">
        <v>0</v>
      </c>
      <c r="AE328" s="212">
        <v>0</v>
      </c>
      <c r="AF328" s="212">
        <v>0</v>
      </c>
      <c r="AG328" s="212">
        <v>0</v>
      </c>
      <c r="AH328" s="212">
        <v>0</v>
      </c>
      <c r="AI328" s="212">
        <v>0</v>
      </c>
      <c r="AJ328" s="212">
        <v>0</v>
      </c>
      <c r="AK328" s="213">
        <v>0</v>
      </c>
      <c r="AL328" s="215">
        <f t="shared" si="10"/>
        <v>1</v>
      </c>
      <c r="AM328" s="216">
        <f>0</f>
        <v>0</v>
      </c>
      <c r="AN328" s="217">
        <f t="shared" si="11"/>
        <v>1</v>
      </c>
      <c r="AO328" s="276">
        <v>45090</v>
      </c>
      <c r="AP328" s="151" t="s">
        <v>273</v>
      </c>
      <c r="AQ328" s="152" t="s">
        <v>1290</v>
      </c>
      <c r="AR328" s="152" t="s">
        <v>148</v>
      </c>
      <c r="AS328" s="159"/>
      <c r="AT328" s="153"/>
      <c r="AU328" s="154"/>
      <c r="AV328" s="154"/>
      <c r="AW328" s="99" t="s">
        <v>457</v>
      </c>
      <c r="AX328" s="155"/>
      <c r="AY328" s="156"/>
      <c r="AZ328" s="157"/>
      <c r="BA328" s="81"/>
      <c r="BB328" s="81"/>
      <c r="BC328" s="81"/>
    </row>
    <row r="329" spans="1:55" ht="28" customHeight="1" x14ac:dyDescent="0.25">
      <c r="A329" s="173">
        <v>324</v>
      </c>
      <c r="B329" s="147">
        <v>45084</v>
      </c>
      <c r="C329" s="77" t="s">
        <v>134</v>
      </c>
      <c r="D329" s="77" t="s">
        <v>135</v>
      </c>
      <c r="E329" s="77" t="s">
        <v>136</v>
      </c>
      <c r="F329" s="219" t="s">
        <v>1186</v>
      </c>
      <c r="G329" s="219" t="s">
        <v>1065</v>
      </c>
      <c r="H329" s="219" t="s">
        <v>110</v>
      </c>
      <c r="I329" s="219" t="s">
        <v>1066</v>
      </c>
      <c r="J329" s="221" t="s">
        <v>1067</v>
      </c>
      <c r="K329" s="220" t="s">
        <v>80</v>
      </c>
      <c r="L329" s="220" t="s">
        <v>168</v>
      </c>
      <c r="M329" s="220" t="s">
        <v>154</v>
      </c>
      <c r="N329" s="220" t="s">
        <v>80</v>
      </c>
      <c r="O329" s="220" t="s">
        <v>149</v>
      </c>
      <c r="P329" s="152" t="s">
        <v>80</v>
      </c>
      <c r="Q329" s="307" t="s">
        <v>80</v>
      </c>
      <c r="R329" s="211">
        <f>0</f>
        <v>0</v>
      </c>
      <c r="S329" s="212">
        <v>0</v>
      </c>
      <c r="T329" s="212">
        <v>0</v>
      </c>
      <c r="U329" s="212">
        <v>0</v>
      </c>
      <c r="V329" s="212">
        <v>0</v>
      </c>
      <c r="W329" s="212">
        <v>0</v>
      </c>
      <c r="X329" s="212">
        <v>0</v>
      </c>
      <c r="Y329" s="212">
        <v>0</v>
      </c>
      <c r="Z329" s="179">
        <v>1</v>
      </c>
      <c r="AA329" s="213">
        <v>0</v>
      </c>
      <c r="AB329" s="214">
        <v>0</v>
      </c>
      <c r="AC329" s="212">
        <v>0</v>
      </c>
      <c r="AD329" s="212">
        <v>0</v>
      </c>
      <c r="AE329" s="212">
        <v>0</v>
      </c>
      <c r="AF329" s="212">
        <v>0</v>
      </c>
      <c r="AG329" s="212">
        <v>0</v>
      </c>
      <c r="AH329" s="212">
        <v>0</v>
      </c>
      <c r="AI329" s="212">
        <v>0</v>
      </c>
      <c r="AJ329" s="212">
        <v>0</v>
      </c>
      <c r="AK329" s="213">
        <v>0</v>
      </c>
      <c r="AL329" s="215">
        <f t="shared" si="10"/>
        <v>1</v>
      </c>
      <c r="AM329" s="216">
        <f>0</f>
        <v>0</v>
      </c>
      <c r="AN329" s="217">
        <f t="shared" si="11"/>
        <v>1</v>
      </c>
      <c r="AO329" s="276">
        <v>45092</v>
      </c>
      <c r="AP329" s="224" t="s">
        <v>273</v>
      </c>
      <c r="AQ329" s="97" t="s">
        <v>1305</v>
      </c>
      <c r="AR329" s="219" t="s">
        <v>148</v>
      </c>
      <c r="AS329" s="226"/>
      <c r="AT329" s="219"/>
      <c r="AU329" s="154">
        <v>1</v>
      </c>
      <c r="AV329" s="154"/>
      <c r="AW329" s="154" t="s">
        <v>457</v>
      </c>
      <c r="AX329" s="155"/>
      <c r="AY329" s="156"/>
      <c r="AZ329" s="157"/>
      <c r="BA329" s="81"/>
      <c r="BB329" s="81"/>
      <c r="BC329" s="81"/>
    </row>
    <row r="330" spans="1:55" ht="28" customHeight="1" x14ac:dyDescent="0.25">
      <c r="A330" s="173">
        <v>325</v>
      </c>
      <c r="B330" s="147">
        <v>45084</v>
      </c>
      <c r="C330" s="77" t="s">
        <v>134</v>
      </c>
      <c r="D330" s="77" t="s">
        <v>135</v>
      </c>
      <c r="E330" s="77" t="s">
        <v>136</v>
      </c>
      <c r="F330" s="219" t="s">
        <v>1186</v>
      </c>
      <c r="G330" s="219" t="s">
        <v>1068</v>
      </c>
      <c r="H330" s="219" t="s">
        <v>110</v>
      </c>
      <c r="I330" s="219" t="s">
        <v>1069</v>
      </c>
      <c r="J330" s="221" t="s">
        <v>1070</v>
      </c>
      <c r="K330" s="220" t="s">
        <v>80</v>
      </c>
      <c r="L330" s="220" t="s">
        <v>510</v>
      </c>
      <c r="M330" s="220" t="s">
        <v>479</v>
      </c>
      <c r="N330" s="220" t="s">
        <v>212</v>
      </c>
      <c r="O330" s="220" t="s">
        <v>149</v>
      </c>
      <c r="P330" s="152" t="s">
        <v>80</v>
      </c>
      <c r="Q330" s="307" t="s">
        <v>80</v>
      </c>
      <c r="R330" s="211">
        <f>0</f>
        <v>0</v>
      </c>
      <c r="S330" s="212">
        <v>0</v>
      </c>
      <c r="T330" s="212">
        <v>0</v>
      </c>
      <c r="U330" s="212">
        <v>0</v>
      </c>
      <c r="V330" s="212">
        <v>0</v>
      </c>
      <c r="W330" s="212">
        <v>0</v>
      </c>
      <c r="X330" s="212">
        <v>0</v>
      </c>
      <c r="Y330" s="212">
        <v>0</v>
      </c>
      <c r="Z330" s="179">
        <v>1</v>
      </c>
      <c r="AA330" s="213">
        <v>0</v>
      </c>
      <c r="AB330" s="214">
        <v>0</v>
      </c>
      <c r="AC330" s="212">
        <v>0</v>
      </c>
      <c r="AD330" s="212">
        <v>0</v>
      </c>
      <c r="AE330" s="212">
        <v>0</v>
      </c>
      <c r="AF330" s="212">
        <v>0</v>
      </c>
      <c r="AG330" s="212">
        <v>0</v>
      </c>
      <c r="AH330" s="212">
        <v>0</v>
      </c>
      <c r="AI330" s="212">
        <v>0</v>
      </c>
      <c r="AJ330" s="212">
        <v>0</v>
      </c>
      <c r="AK330" s="213">
        <v>0</v>
      </c>
      <c r="AL330" s="215">
        <f t="shared" si="10"/>
        <v>1</v>
      </c>
      <c r="AM330" s="216">
        <f>0</f>
        <v>0</v>
      </c>
      <c r="AN330" s="217">
        <f t="shared" si="11"/>
        <v>1</v>
      </c>
      <c r="AO330" s="277">
        <v>45110</v>
      </c>
      <c r="AP330" s="224" t="s">
        <v>273</v>
      </c>
      <c r="AQ330" s="225" t="s">
        <v>1663</v>
      </c>
      <c r="AR330" s="219" t="s">
        <v>1662</v>
      </c>
      <c r="AS330" s="226"/>
      <c r="AT330" s="219"/>
      <c r="AU330" s="154"/>
      <c r="AV330" s="154"/>
      <c r="AW330" s="154"/>
      <c r="AX330" s="155"/>
      <c r="AY330" s="156"/>
      <c r="AZ330" s="157"/>
      <c r="BA330" s="81"/>
      <c r="BB330" s="81"/>
      <c r="BC330" s="81"/>
    </row>
    <row r="331" spans="1:55" ht="28" customHeight="1" x14ac:dyDescent="0.25">
      <c r="A331" s="173">
        <v>326</v>
      </c>
      <c r="B331" s="147">
        <v>45084</v>
      </c>
      <c r="C331" s="77" t="s">
        <v>134</v>
      </c>
      <c r="D331" s="77" t="s">
        <v>135</v>
      </c>
      <c r="E331" s="77" t="s">
        <v>136</v>
      </c>
      <c r="F331" s="219" t="s">
        <v>1186</v>
      </c>
      <c r="G331" s="219" t="s">
        <v>1071</v>
      </c>
      <c r="H331" s="219" t="s">
        <v>287</v>
      </c>
      <c r="I331" s="219" t="s">
        <v>1072</v>
      </c>
      <c r="J331" s="221" t="s">
        <v>1073</v>
      </c>
      <c r="K331" s="220" t="s">
        <v>80</v>
      </c>
      <c r="L331" s="220" t="s">
        <v>510</v>
      </c>
      <c r="M331" s="220" t="s">
        <v>154</v>
      </c>
      <c r="N331" s="220" t="s">
        <v>212</v>
      </c>
      <c r="O331" s="220" t="s">
        <v>149</v>
      </c>
      <c r="P331" s="152" t="s">
        <v>80</v>
      </c>
      <c r="Q331" s="307" t="s">
        <v>80</v>
      </c>
      <c r="R331" s="211">
        <f>0</f>
        <v>0</v>
      </c>
      <c r="S331" s="212">
        <v>0</v>
      </c>
      <c r="T331" s="212">
        <v>0</v>
      </c>
      <c r="U331" s="212">
        <v>0</v>
      </c>
      <c r="V331" s="212">
        <v>0</v>
      </c>
      <c r="W331" s="212">
        <v>0</v>
      </c>
      <c r="X331" s="212">
        <v>0</v>
      </c>
      <c r="Y331" s="212">
        <v>0</v>
      </c>
      <c r="Z331" s="179">
        <v>1</v>
      </c>
      <c r="AA331" s="213">
        <v>0</v>
      </c>
      <c r="AB331" s="214">
        <v>0</v>
      </c>
      <c r="AC331" s="212">
        <v>0</v>
      </c>
      <c r="AD331" s="212">
        <v>0</v>
      </c>
      <c r="AE331" s="212">
        <v>0</v>
      </c>
      <c r="AF331" s="212">
        <v>0</v>
      </c>
      <c r="AG331" s="212">
        <v>0</v>
      </c>
      <c r="AH331" s="212">
        <v>0</v>
      </c>
      <c r="AI331" s="212">
        <v>0</v>
      </c>
      <c r="AJ331" s="212">
        <v>0</v>
      </c>
      <c r="AK331" s="213">
        <v>0</v>
      </c>
      <c r="AL331" s="215">
        <f t="shared" si="10"/>
        <v>1</v>
      </c>
      <c r="AM331" s="216">
        <f>0</f>
        <v>0</v>
      </c>
      <c r="AN331" s="217">
        <f t="shared" si="11"/>
        <v>1</v>
      </c>
      <c r="AO331" s="277">
        <v>45110</v>
      </c>
      <c r="AP331" s="224" t="s">
        <v>273</v>
      </c>
      <c r="AQ331" s="225" t="s">
        <v>1663</v>
      </c>
      <c r="AR331" s="219" t="s">
        <v>1662</v>
      </c>
      <c r="AS331" s="226"/>
      <c r="AT331" s="219"/>
      <c r="AU331" s="154"/>
      <c r="AV331" s="154"/>
      <c r="AW331" s="154"/>
      <c r="AX331" s="155"/>
      <c r="AY331" s="156"/>
      <c r="AZ331" s="157"/>
      <c r="BA331" s="81"/>
      <c r="BB331" s="81"/>
      <c r="BC331" s="81"/>
    </row>
    <row r="332" spans="1:55" ht="28" customHeight="1" x14ac:dyDescent="0.25">
      <c r="A332" s="322">
        <v>327</v>
      </c>
      <c r="B332" s="323">
        <v>45084</v>
      </c>
      <c r="C332" s="77" t="s">
        <v>134</v>
      </c>
      <c r="D332" s="77" t="s">
        <v>135</v>
      </c>
      <c r="E332" s="77" t="s">
        <v>136</v>
      </c>
      <c r="F332" s="337" t="s">
        <v>1186</v>
      </c>
      <c r="G332" s="337" t="s">
        <v>1074</v>
      </c>
      <c r="H332" s="337" t="s">
        <v>110</v>
      </c>
      <c r="I332" s="337" t="s">
        <v>1075</v>
      </c>
      <c r="J332" s="354" t="s">
        <v>1076</v>
      </c>
      <c r="K332" s="355" t="s">
        <v>80</v>
      </c>
      <c r="L332" s="355" t="s">
        <v>510</v>
      </c>
      <c r="M332" s="355" t="s">
        <v>154</v>
      </c>
      <c r="N332" s="355" t="s">
        <v>578</v>
      </c>
      <c r="O332" s="355" t="s">
        <v>149</v>
      </c>
      <c r="P332" s="352" t="s">
        <v>80</v>
      </c>
      <c r="Q332" s="353" t="s">
        <v>80</v>
      </c>
      <c r="R332" s="211">
        <f>0</f>
        <v>0</v>
      </c>
      <c r="S332" s="212">
        <v>0</v>
      </c>
      <c r="T332" s="212">
        <v>0</v>
      </c>
      <c r="U332" s="212">
        <v>0</v>
      </c>
      <c r="V332" s="212">
        <v>0</v>
      </c>
      <c r="W332" s="212">
        <v>0</v>
      </c>
      <c r="X332" s="212">
        <v>0</v>
      </c>
      <c r="Y332" s="212">
        <v>0</v>
      </c>
      <c r="Z332" s="179">
        <v>1</v>
      </c>
      <c r="AA332" s="213">
        <v>0</v>
      </c>
      <c r="AB332" s="214">
        <v>0</v>
      </c>
      <c r="AC332" s="212">
        <v>0</v>
      </c>
      <c r="AD332" s="212">
        <v>0</v>
      </c>
      <c r="AE332" s="212">
        <v>0</v>
      </c>
      <c r="AF332" s="212">
        <v>0</v>
      </c>
      <c r="AG332" s="212">
        <v>0</v>
      </c>
      <c r="AH332" s="212">
        <v>0</v>
      </c>
      <c r="AI332" s="212">
        <v>0</v>
      </c>
      <c r="AJ332" s="212">
        <v>0</v>
      </c>
      <c r="AK332" s="213">
        <v>0</v>
      </c>
      <c r="AL332" s="215">
        <f t="shared" si="10"/>
        <v>1</v>
      </c>
      <c r="AM332" s="216">
        <f>0</f>
        <v>0</v>
      </c>
      <c r="AN332" s="217">
        <f t="shared" si="11"/>
        <v>1</v>
      </c>
      <c r="AO332" s="356"/>
      <c r="AP332" s="357"/>
      <c r="AQ332" s="360"/>
      <c r="AR332" s="337" t="s">
        <v>1664</v>
      </c>
      <c r="AS332" s="361"/>
      <c r="AT332" s="337"/>
      <c r="AU332" s="331"/>
      <c r="AV332" s="331"/>
      <c r="AW332" s="331"/>
      <c r="AX332" s="332"/>
      <c r="AY332" s="333"/>
      <c r="AZ332" s="334"/>
      <c r="BA332" s="319"/>
      <c r="BB332" s="319"/>
      <c r="BC332" s="319"/>
    </row>
    <row r="333" spans="1:55" ht="28" customHeight="1" x14ac:dyDescent="0.25">
      <c r="A333" s="173">
        <v>328</v>
      </c>
      <c r="B333" s="147">
        <v>45084</v>
      </c>
      <c r="C333" s="77" t="s">
        <v>134</v>
      </c>
      <c r="D333" s="77" t="s">
        <v>135</v>
      </c>
      <c r="E333" s="77" t="s">
        <v>136</v>
      </c>
      <c r="F333" s="219" t="s">
        <v>1186</v>
      </c>
      <c r="G333" s="219" t="s">
        <v>1077</v>
      </c>
      <c r="H333" s="219" t="s">
        <v>110</v>
      </c>
      <c r="I333" s="219" t="s">
        <v>1078</v>
      </c>
      <c r="J333" s="221" t="s">
        <v>1079</v>
      </c>
      <c r="K333" s="220" t="s">
        <v>80</v>
      </c>
      <c r="L333" s="220" t="s">
        <v>510</v>
      </c>
      <c r="M333" s="220" t="s">
        <v>479</v>
      </c>
      <c r="N333" s="220" t="s">
        <v>212</v>
      </c>
      <c r="O333" s="220" t="s">
        <v>149</v>
      </c>
      <c r="P333" s="152" t="s">
        <v>80</v>
      </c>
      <c r="Q333" s="307" t="s">
        <v>80</v>
      </c>
      <c r="R333" s="211">
        <f>0</f>
        <v>0</v>
      </c>
      <c r="S333" s="212">
        <v>0</v>
      </c>
      <c r="T333" s="212">
        <v>0</v>
      </c>
      <c r="U333" s="212">
        <v>0</v>
      </c>
      <c r="V333" s="212">
        <v>0</v>
      </c>
      <c r="W333" s="212">
        <v>0</v>
      </c>
      <c r="X333" s="212">
        <v>0</v>
      </c>
      <c r="Y333" s="212">
        <v>0</v>
      </c>
      <c r="Z333" s="179">
        <v>1</v>
      </c>
      <c r="AA333" s="213">
        <v>0</v>
      </c>
      <c r="AB333" s="214">
        <v>0</v>
      </c>
      <c r="AC333" s="212">
        <v>0</v>
      </c>
      <c r="AD333" s="212">
        <v>0</v>
      </c>
      <c r="AE333" s="212">
        <v>0</v>
      </c>
      <c r="AF333" s="212">
        <v>0</v>
      </c>
      <c r="AG333" s="212">
        <v>0</v>
      </c>
      <c r="AH333" s="212">
        <v>0</v>
      </c>
      <c r="AI333" s="212">
        <v>0</v>
      </c>
      <c r="AJ333" s="212">
        <v>0</v>
      </c>
      <c r="AK333" s="213">
        <v>0</v>
      </c>
      <c r="AL333" s="215">
        <f t="shared" si="10"/>
        <v>1</v>
      </c>
      <c r="AM333" s="216">
        <f>0</f>
        <v>0</v>
      </c>
      <c r="AN333" s="217">
        <f t="shared" si="11"/>
        <v>1</v>
      </c>
      <c r="AO333" s="277">
        <v>45110</v>
      </c>
      <c r="AP333" s="224" t="s">
        <v>273</v>
      </c>
      <c r="AQ333" s="225" t="s">
        <v>1663</v>
      </c>
      <c r="AR333" s="219" t="s">
        <v>1662</v>
      </c>
      <c r="AS333" s="226"/>
      <c r="AT333" s="219"/>
      <c r="AU333" s="154"/>
      <c r="AV333" s="154"/>
      <c r="AW333" s="154"/>
      <c r="AX333" s="155"/>
      <c r="AY333" s="156"/>
      <c r="AZ333" s="157"/>
      <c r="BA333" s="81"/>
      <c r="BB333" s="81"/>
      <c r="BC333" s="81"/>
    </row>
    <row r="334" spans="1:55" ht="28" customHeight="1" x14ac:dyDescent="0.25">
      <c r="A334" s="173">
        <v>329</v>
      </c>
      <c r="B334" s="147">
        <v>45084</v>
      </c>
      <c r="C334" s="77" t="s">
        <v>134</v>
      </c>
      <c r="D334" s="77" t="s">
        <v>135</v>
      </c>
      <c r="E334" s="77" t="s">
        <v>136</v>
      </c>
      <c r="F334" s="219" t="s">
        <v>1186</v>
      </c>
      <c r="G334" s="219" t="s">
        <v>1080</v>
      </c>
      <c r="H334" s="219" t="s">
        <v>110</v>
      </c>
      <c r="I334" s="219" t="s">
        <v>1081</v>
      </c>
      <c r="J334" s="221" t="s">
        <v>1082</v>
      </c>
      <c r="K334" s="220" t="s">
        <v>80</v>
      </c>
      <c r="L334" s="220" t="s">
        <v>510</v>
      </c>
      <c r="M334" s="220" t="s">
        <v>154</v>
      </c>
      <c r="N334" s="220" t="s">
        <v>212</v>
      </c>
      <c r="O334" s="220" t="s">
        <v>149</v>
      </c>
      <c r="P334" s="152" t="s">
        <v>80</v>
      </c>
      <c r="Q334" s="307" t="s">
        <v>80</v>
      </c>
      <c r="R334" s="211">
        <f>0</f>
        <v>0</v>
      </c>
      <c r="S334" s="212">
        <v>0</v>
      </c>
      <c r="T334" s="212">
        <v>0</v>
      </c>
      <c r="U334" s="212">
        <v>0</v>
      </c>
      <c r="V334" s="212">
        <v>0</v>
      </c>
      <c r="W334" s="212">
        <v>0</v>
      </c>
      <c r="X334" s="212">
        <v>0</v>
      </c>
      <c r="Y334" s="212">
        <v>0</v>
      </c>
      <c r="Z334" s="179">
        <v>1</v>
      </c>
      <c r="AA334" s="213">
        <v>0</v>
      </c>
      <c r="AB334" s="214">
        <v>0</v>
      </c>
      <c r="AC334" s="212">
        <v>0</v>
      </c>
      <c r="AD334" s="212">
        <v>0</v>
      </c>
      <c r="AE334" s="212">
        <v>0</v>
      </c>
      <c r="AF334" s="212">
        <v>0</v>
      </c>
      <c r="AG334" s="212">
        <v>0</v>
      </c>
      <c r="AH334" s="212">
        <v>0</v>
      </c>
      <c r="AI334" s="212">
        <v>0</v>
      </c>
      <c r="AJ334" s="212">
        <v>0</v>
      </c>
      <c r="AK334" s="213">
        <v>0</v>
      </c>
      <c r="AL334" s="215">
        <f t="shared" si="10"/>
        <v>1</v>
      </c>
      <c r="AM334" s="216">
        <f>0</f>
        <v>0</v>
      </c>
      <c r="AN334" s="217">
        <f t="shared" si="11"/>
        <v>1</v>
      </c>
      <c r="AO334" s="277">
        <v>45110</v>
      </c>
      <c r="AP334" s="224" t="s">
        <v>273</v>
      </c>
      <c r="AQ334" s="225" t="s">
        <v>1663</v>
      </c>
      <c r="AR334" s="219" t="s">
        <v>1662</v>
      </c>
      <c r="AS334" s="226"/>
      <c r="AT334" s="219"/>
      <c r="AU334" s="154"/>
      <c r="AV334" s="154"/>
      <c r="AW334" s="154"/>
      <c r="AX334" s="155"/>
      <c r="AY334" s="156"/>
      <c r="AZ334" s="157"/>
      <c r="BA334" s="81"/>
      <c r="BB334" s="81"/>
      <c r="BC334" s="81"/>
    </row>
    <row r="335" spans="1:55" ht="28" customHeight="1" x14ac:dyDescent="0.25">
      <c r="A335" s="173">
        <v>330</v>
      </c>
      <c r="B335" s="147">
        <v>45084</v>
      </c>
      <c r="C335" s="77" t="s">
        <v>134</v>
      </c>
      <c r="D335" s="77" t="s">
        <v>135</v>
      </c>
      <c r="E335" s="77" t="s">
        <v>136</v>
      </c>
      <c r="F335" s="219" t="s">
        <v>1186</v>
      </c>
      <c r="G335" s="219" t="s">
        <v>1083</v>
      </c>
      <c r="H335" s="219" t="s">
        <v>110</v>
      </c>
      <c r="I335" s="219" t="s">
        <v>1084</v>
      </c>
      <c r="J335" s="221" t="s">
        <v>1085</v>
      </c>
      <c r="K335" s="220"/>
      <c r="L335" s="220" t="s">
        <v>1206</v>
      </c>
      <c r="M335" s="220" t="s">
        <v>154</v>
      </c>
      <c r="N335" s="220" t="s">
        <v>1207</v>
      </c>
      <c r="O335" s="220" t="s">
        <v>149</v>
      </c>
      <c r="P335" s="152" t="s">
        <v>80</v>
      </c>
      <c r="Q335" s="307" t="s">
        <v>80</v>
      </c>
      <c r="R335" s="211">
        <f>0</f>
        <v>0</v>
      </c>
      <c r="S335" s="212">
        <v>0</v>
      </c>
      <c r="T335" s="212">
        <v>0</v>
      </c>
      <c r="U335" s="212">
        <v>0</v>
      </c>
      <c r="V335" s="212">
        <v>0</v>
      </c>
      <c r="W335" s="212">
        <v>0</v>
      </c>
      <c r="X335" s="212">
        <v>0</v>
      </c>
      <c r="Y335" s="212">
        <v>0</v>
      </c>
      <c r="Z335" s="179">
        <v>1</v>
      </c>
      <c r="AA335" s="213">
        <v>0</v>
      </c>
      <c r="AB335" s="214">
        <v>0</v>
      </c>
      <c r="AC335" s="212">
        <v>0</v>
      </c>
      <c r="AD335" s="212">
        <v>0</v>
      </c>
      <c r="AE335" s="212">
        <v>0</v>
      </c>
      <c r="AF335" s="212">
        <v>0</v>
      </c>
      <c r="AG335" s="212">
        <v>0</v>
      </c>
      <c r="AH335" s="212">
        <v>0</v>
      </c>
      <c r="AI335" s="212">
        <v>0</v>
      </c>
      <c r="AJ335" s="212">
        <v>0</v>
      </c>
      <c r="AK335" s="213">
        <v>0</v>
      </c>
      <c r="AL335" s="215">
        <f t="shared" si="10"/>
        <v>1</v>
      </c>
      <c r="AM335" s="216">
        <f>0</f>
        <v>0</v>
      </c>
      <c r="AN335" s="217">
        <f t="shared" si="11"/>
        <v>1</v>
      </c>
      <c r="AO335" s="276">
        <v>45090</v>
      </c>
      <c r="AP335" s="151" t="s">
        <v>273</v>
      </c>
      <c r="AQ335" s="152" t="s">
        <v>1290</v>
      </c>
      <c r="AR335" s="152" t="s">
        <v>148</v>
      </c>
      <c r="AS335" s="159"/>
      <c r="AT335" s="153"/>
      <c r="AU335" s="154"/>
      <c r="AV335" s="154"/>
      <c r="AW335" s="154"/>
      <c r="AX335" s="155"/>
      <c r="AY335" s="156"/>
      <c r="AZ335" s="157"/>
      <c r="BA335" s="81"/>
      <c r="BB335" s="81"/>
      <c r="BC335" s="81"/>
    </row>
    <row r="336" spans="1:55" ht="28" customHeight="1" x14ac:dyDescent="0.25">
      <c r="A336" s="173">
        <v>331</v>
      </c>
      <c r="B336" s="147">
        <v>45084</v>
      </c>
      <c r="C336" s="77" t="s">
        <v>134</v>
      </c>
      <c r="D336" s="77" t="s">
        <v>135</v>
      </c>
      <c r="E336" s="77" t="s">
        <v>136</v>
      </c>
      <c r="F336" s="219" t="s">
        <v>1186</v>
      </c>
      <c r="G336" s="219" t="s">
        <v>1086</v>
      </c>
      <c r="H336" s="219" t="s">
        <v>110</v>
      </c>
      <c r="I336" s="219" t="s">
        <v>1084</v>
      </c>
      <c r="J336" s="221" t="s">
        <v>1087</v>
      </c>
      <c r="K336" s="220"/>
      <c r="L336" s="220" t="s">
        <v>1206</v>
      </c>
      <c r="M336" s="220" t="s">
        <v>154</v>
      </c>
      <c r="N336" s="220" t="s">
        <v>1207</v>
      </c>
      <c r="O336" s="220" t="s">
        <v>149</v>
      </c>
      <c r="P336" s="152" t="s">
        <v>80</v>
      </c>
      <c r="Q336" s="307" t="s">
        <v>80</v>
      </c>
      <c r="R336" s="211">
        <f>0</f>
        <v>0</v>
      </c>
      <c r="S336" s="212">
        <v>0</v>
      </c>
      <c r="T336" s="212">
        <v>0</v>
      </c>
      <c r="U336" s="212">
        <v>0</v>
      </c>
      <c r="V336" s="212">
        <v>0</v>
      </c>
      <c r="W336" s="212">
        <v>0</v>
      </c>
      <c r="X336" s="212">
        <v>0</v>
      </c>
      <c r="Y336" s="212">
        <v>0</v>
      </c>
      <c r="Z336" s="179">
        <v>1</v>
      </c>
      <c r="AA336" s="213">
        <v>0</v>
      </c>
      <c r="AB336" s="214">
        <v>0</v>
      </c>
      <c r="AC336" s="212">
        <v>0</v>
      </c>
      <c r="AD336" s="212">
        <v>0</v>
      </c>
      <c r="AE336" s="212">
        <v>0</v>
      </c>
      <c r="AF336" s="212">
        <v>0</v>
      </c>
      <c r="AG336" s="212">
        <v>0</v>
      </c>
      <c r="AH336" s="212">
        <v>0</v>
      </c>
      <c r="AI336" s="212">
        <v>0</v>
      </c>
      <c r="AJ336" s="212">
        <v>0</v>
      </c>
      <c r="AK336" s="213">
        <v>0</v>
      </c>
      <c r="AL336" s="215">
        <f t="shared" si="10"/>
        <v>1</v>
      </c>
      <c r="AM336" s="216">
        <f>0</f>
        <v>0</v>
      </c>
      <c r="AN336" s="217">
        <f t="shared" si="11"/>
        <v>1</v>
      </c>
      <c r="AO336" s="276">
        <v>45090</v>
      </c>
      <c r="AP336" s="151" t="s">
        <v>273</v>
      </c>
      <c r="AQ336" s="152" t="s">
        <v>1290</v>
      </c>
      <c r="AR336" s="152" t="s">
        <v>148</v>
      </c>
      <c r="AS336" s="159"/>
      <c r="AT336" s="153"/>
      <c r="AU336" s="154"/>
      <c r="AV336" s="154"/>
      <c r="AW336" s="154"/>
      <c r="AX336" s="155"/>
      <c r="AY336" s="156"/>
      <c r="AZ336" s="157"/>
      <c r="BA336" s="81"/>
      <c r="BB336" s="81"/>
      <c r="BC336" s="81"/>
    </row>
    <row r="337" spans="1:55" ht="28" customHeight="1" x14ac:dyDescent="0.25">
      <c r="A337" s="173">
        <v>332</v>
      </c>
      <c r="B337" s="147">
        <v>45084</v>
      </c>
      <c r="C337" s="77" t="s">
        <v>134</v>
      </c>
      <c r="D337" s="77" t="s">
        <v>135</v>
      </c>
      <c r="E337" s="77" t="s">
        <v>136</v>
      </c>
      <c r="F337" s="219" t="s">
        <v>1186</v>
      </c>
      <c r="G337" s="219" t="s">
        <v>1088</v>
      </c>
      <c r="H337" s="219" t="s">
        <v>110</v>
      </c>
      <c r="I337" s="219" t="s">
        <v>517</v>
      </c>
      <c r="J337" s="221" t="s">
        <v>1089</v>
      </c>
      <c r="K337" s="220" t="s">
        <v>80</v>
      </c>
      <c r="L337" s="220" t="s">
        <v>193</v>
      </c>
      <c r="M337" s="220" t="s">
        <v>154</v>
      </c>
      <c r="N337" s="220" t="s">
        <v>578</v>
      </c>
      <c r="O337" s="220" t="s">
        <v>149</v>
      </c>
      <c r="P337" s="152" t="s">
        <v>80</v>
      </c>
      <c r="Q337" s="307" t="s">
        <v>80</v>
      </c>
      <c r="R337" s="211">
        <f>0</f>
        <v>0</v>
      </c>
      <c r="S337" s="212">
        <v>0</v>
      </c>
      <c r="T337" s="212">
        <v>0</v>
      </c>
      <c r="U337" s="212">
        <v>0</v>
      </c>
      <c r="V337" s="212">
        <v>0</v>
      </c>
      <c r="W337" s="212">
        <v>0</v>
      </c>
      <c r="X337" s="212">
        <v>0</v>
      </c>
      <c r="Y337" s="212">
        <v>0</v>
      </c>
      <c r="Z337" s="179">
        <v>1</v>
      </c>
      <c r="AA337" s="213">
        <v>0</v>
      </c>
      <c r="AB337" s="214">
        <v>0</v>
      </c>
      <c r="AC337" s="212">
        <v>0</v>
      </c>
      <c r="AD337" s="212">
        <v>0</v>
      </c>
      <c r="AE337" s="212">
        <v>0</v>
      </c>
      <c r="AF337" s="212">
        <v>0</v>
      </c>
      <c r="AG337" s="212">
        <v>0</v>
      </c>
      <c r="AH337" s="212">
        <v>0</v>
      </c>
      <c r="AI337" s="212">
        <v>0</v>
      </c>
      <c r="AJ337" s="212">
        <v>0</v>
      </c>
      <c r="AK337" s="213">
        <v>0</v>
      </c>
      <c r="AL337" s="215">
        <f t="shared" si="10"/>
        <v>1</v>
      </c>
      <c r="AM337" s="216">
        <f>0</f>
        <v>0</v>
      </c>
      <c r="AN337" s="217">
        <f t="shared" si="11"/>
        <v>1</v>
      </c>
      <c r="AO337" s="276">
        <v>45090</v>
      </c>
      <c r="AP337" s="151" t="s">
        <v>273</v>
      </c>
      <c r="AQ337" s="152" t="s">
        <v>1290</v>
      </c>
      <c r="AR337" s="152" t="s">
        <v>148</v>
      </c>
      <c r="AS337" s="159"/>
      <c r="AT337" s="153"/>
      <c r="AU337" s="154"/>
      <c r="AV337" s="154"/>
      <c r="AW337" s="154"/>
      <c r="AX337" s="155"/>
      <c r="AY337" s="156"/>
      <c r="AZ337" s="157"/>
      <c r="BA337" s="81"/>
      <c r="BB337" s="81"/>
      <c r="BC337" s="81"/>
    </row>
    <row r="338" spans="1:55" ht="28" customHeight="1" x14ac:dyDescent="0.25">
      <c r="A338" s="173">
        <v>333</v>
      </c>
      <c r="B338" s="147">
        <v>45084</v>
      </c>
      <c r="C338" s="77" t="s">
        <v>134</v>
      </c>
      <c r="D338" s="77" t="s">
        <v>135</v>
      </c>
      <c r="E338" s="77" t="s">
        <v>136</v>
      </c>
      <c r="F338" s="219" t="s">
        <v>1186</v>
      </c>
      <c r="G338" s="219" t="s">
        <v>1090</v>
      </c>
      <c r="H338" s="219" t="s">
        <v>110</v>
      </c>
      <c r="I338" s="219" t="s">
        <v>1091</v>
      </c>
      <c r="J338" s="221" t="s">
        <v>1092</v>
      </c>
      <c r="K338" s="220" t="s">
        <v>80</v>
      </c>
      <c r="L338" s="220" t="s">
        <v>193</v>
      </c>
      <c r="M338" s="220" t="s">
        <v>154</v>
      </c>
      <c r="N338" s="220" t="s">
        <v>212</v>
      </c>
      <c r="O338" s="220" t="s">
        <v>149</v>
      </c>
      <c r="P338" s="152" t="s">
        <v>80</v>
      </c>
      <c r="Q338" s="307" t="s">
        <v>80</v>
      </c>
      <c r="R338" s="211">
        <f>0</f>
        <v>0</v>
      </c>
      <c r="S338" s="212">
        <v>0</v>
      </c>
      <c r="T338" s="212">
        <v>0</v>
      </c>
      <c r="U338" s="212">
        <v>0</v>
      </c>
      <c r="V338" s="212">
        <v>0</v>
      </c>
      <c r="W338" s="212">
        <v>0</v>
      </c>
      <c r="X338" s="212">
        <v>0</v>
      </c>
      <c r="Y338" s="212">
        <v>0</v>
      </c>
      <c r="Z338" s="179">
        <v>2</v>
      </c>
      <c r="AA338" s="213">
        <v>0</v>
      </c>
      <c r="AB338" s="214">
        <v>0</v>
      </c>
      <c r="AC338" s="212">
        <v>0</v>
      </c>
      <c r="AD338" s="212">
        <v>0</v>
      </c>
      <c r="AE338" s="212">
        <v>0</v>
      </c>
      <c r="AF338" s="212">
        <v>0</v>
      </c>
      <c r="AG338" s="212">
        <v>0</v>
      </c>
      <c r="AH338" s="212">
        <v>0</v>
      </c>
      <c r="AI338" s="212">
        <v>0</v>
      </c>
      <c r="AJ338" s="212">
        <v>0</v>
      </c>
      <c r="AK338" s="213">
        <v>0</v>
      </c>
      <c r="AL338" s="215">
        <f t="shared" si="10"/>
        <v>2</v>
      </c>
      <c r="AM338" s="216">
        <f>0</f>
        <v>0</v>
      </c>
      <c r="AN338" s="217">
        <f t="shared" si="11"/>
        <v>2</v>
      </c>
      <c r="AO338" s="276">
        <v>45096</v>
      </c>
      <c r="AP338" s="224" t="s">
        <v>273</v>
      </c>
      <c r="AQ338" s="225" t="s">
        <v>1293</v>
      </c>
      <c r="AR338" s="247" t="s">
        <v>669</v>
      </c>
      <c r="AS338" s="226"/>
      <c r="AT338" s="219"/>
      <c r="AU338" s="154"/>
      <c r="AV338" s="154"/>
      <c r="AW338" s="154"/>
      <c r="AX338" s="155"/>
      <c r="AY338" s="156"/>
      <c r="AZ338" s="157"/>
      <c r="BA338" s="81"/>
      <c r="BB338" s="81"/>
      <c r="BC338" s="81"/>
    </row>
    <row r="339" spans="1:55" ht="28" customHeight="1" x14ac:dyDescent="0.25">
      <c r="A339" s="173">
        <v>334</v>
      </c>
      <c r="B339" s="147">
        <v>45084</v>
      </c>
      <c r="C339" s="77" t="s">
        <v>134</v>
      </c>
      <c r="D339" s="77" t="s">
        <v>135</v>
      </c>
      <c r="E339" s="77" t="s">
        <v>136</v>
      </c>
      <c r="F339" s="219" t="s">
        <v>1186</v>
      </c>
      <c r="G339" s="219" t="s">
        <v>1093</v>
      </c>
      <c r="H339" s="219" t="s">
        <v>110</v>
      </c>
      <c r="I339" s="219" t="s">
        <v>1091</v>
      </c>
      <c r="J339" s="221" t="s">
        <v>1094</v>
      </c>
      <c r="K339" s="220" t="s">
        <v>80</v>
      </c>
      <c r="L339" s="220" t="s">
        <v>193</v>
      </c>
      <c r="M339" s="220" t="s">
        <v>154</v>
      </c>
      <c r="N339" s="220" t="s">
        <v>578</v>
      </c>
      <c r="O339" s="220" t="s">
        <v>149</v>
      </c>
      <c r="P339" s="152" t="s">
        <v>80</v>
      </c>
      <c r="Q339" s="307" t="s">
        <v>80</v>
      </c>
      <c r="R339" s="211">
        <f>0</f>
        <v>0</v>
      </c>
      <c r="S339" s="212">
        <v>0</v>
      </c>
      <c r="T339" s="212">
        <v>0</v>
      </c>
      <c r="U339" s="212">
        <v>0</v>
      </c>
      <c r="V339" s="212">
        <v>0</v>
      </c>
      <c r="W339" s="212">
        <v>0</v>
      </c>
      <c r="X339" s="212">
        <v>0</v>
      </c>
      <c r="Y339" s="212">
        <v>0</v>
      </c>
      <c r="Z339" s="179">
        <v>1</v>
      </c>
      <c r="AA339" s="213">
        <v>0</v>
      </c>
      <c r="AB339" s="214">
        <v>0</v>
      </c>
      <c r="AC339" s="212">
        <v>0</v>
      </c>
      <c r="AD339" s="212">
        <v>0</v>
      </c>
      <c r="AE339" s="212">
        <v>0</v>
      </c>
      <c r="AF339" s="212">
        <v>0</v>
      </c>
      <c r="AG339" s="212">
        <v>0</v>
      </c>
      <c r="AH339" s="212">
        <v>0</v>
      </c>
      <c r="AI339" s="212">
        <v>0</v>
      </c>
      <c r="AJ339" s="212">
        <v>0</v>
      </c>
      <c r="AK339" s="213">
        <v>0</v>
      </c>
      <c r="AL339" s="215">
        <f t="shared" si="10"/>
        <v>1</v>
      </c>
      <c r="AM339" s="216">
        <f>0</f>
        <v>0</v>
      </c>
      <c r="AN339" s="217">
        <f t="shared" si="11"/>
        <v>1</v>
      </c>
      <c r="AO339" s="276">
        <v>45090</v>
      </c>
      <c r="AP339" s="151" t="s">
        <v>273</v>
      </c>
      <c r="AQ339" s="152" t="s">
        <v>1290</v>
      </c>
      <c r="AR339" s="152" t="s">
        <v>148</v>
      </c>
      <c r="AS339" s="159"/>
      <c r="AT339" s="153"/>
      <c r="AU339" s="154"/>
      <c r="AV339" s="154"/>
      <c r="AW339" s="154"/>
      <c r="AX339" s="155"/>
      <c r="AY339" s="156"/>
      <c r="AZ339" s="157"/>
      <c r="BA339" s="81"/>
      <c r="BB339" s="81"/>
      <c r="BC339" s="81"/>
    </row>
    <row r="340" spans="1:55" ht="28" customHeight="1" x14ac:dyDescent="0.25">
      <c r="A340" s="173">
        <v>335</v>
      </c>
      <c r="B340" s="147">
        <v>45084</v>
      </c>
      <c r="C340" s="77" t="s">
        <v>134</v>
      </c>
      <c r="D340" s="77" t="s">
        <v>135</v>
      </c>
      <c r="E340" s="77" t="s">
        <v>136</v>
      </c>
      <c r="F340" s="219" t="s">
        <v>1186</v>
      </c>
      <c r="G340" s="219" t="s">
        <v>1095</v>
      </c>
      <c r="H340" s="219" t="s">
        <v>287</v>
      </c>
      <c r="I340" s="219" t="s">
        <v>1091</v>
      </c>
      <c r="J340" s="221" t="s">
        <v>1096</v>
      </c>
      <c r="K340" s="220" t="s">
        <v>80</v>
      </c>
      <c r="L340" s="220" t="s">
        <v>193</v>
      </c>
      <c r="M340" s="220" t="s">
        <v>154</v>
      </c>
      <c r="N340" s="220" t="s">
        <v>578</v>
      </c>
      <c r="O340" s="220" t="s">
        <v>149</v>
      </c>
      <c r="P340" s="152" t="s">
        <v>80</v>
      </c>
      <c r="Q340" s="307" t="s">
        <v>80</v>
      </c>
      <c r="R340" s="211">
        <f>0</f>
        <v>0</v>
      </c>
      <c r="S340" s="212">
        <v>0</v>
      </c>
      <c r="T340" s="212">
        <v>0</v>
      </c>
      <c r="U340" s="212">
        <v>0</v>
      </c>
      <c r="V340" s="212">
        <v>0</v>
      </c>
      <c r="W340" s="212">
        <v>0</v>
      </c>
      <c r="X340" s="212">
        <v>0</v>
      </c>
      <c r="Y340" s="212">
        <v>0</v>
      </c>
      <c r="Z340" s="179">
        <v>2</v>
      </c>
      <c r="AA340" s="213">
        <v>0</v>
      </c>
      <c r="AB340" s="214">
        <v>0</v>
      </c>
      <c r="AC340" s="212">
        <v>0</v>
      </c>
      <c r="AD340" s="212">
        <v>0</v>
      </c>
      <c r="AE340" s="212">
        <v>0</v>
      </c>
      <c r="AF340" s="212">
        <v>0</v>
      </c>
      <c r="AG340" s="212">
        <v>0</v>
      </c>
      <c r="AH340" s="212">
        <v>0</v>
      </c>
      <c r="AI340" s="212">
        <v>0</v>
      </c>
      <c r="AJ340" s="212">
        <v>0</v>
      </c>
      <c r="AK340" s="213">
        <v>0</v>
      </c>
      <c r="AL340" s="215">
        <f t="shared" si="10"/>
        <v>2</v>
      </c>
      <c r="AM340" s="216">
        <f>0</f>
        <v>0</v>
      </c>
      <c r="AN340" s="217">
        <f t="shared" si="11"/>
        <v>2</v>
      </c>
      <c r="AO340" s="276">
        <v>45090</v>
      </c>
      <c r="AP340" s="151" t="s">
        <v>273</v>
      </c>
      <c r="AQ340" s="152" t="s">
        <v>1290</v>
      </c>
      <c r="AR340" s="152" t="s">
        <v>148</v>
      </c>
      <c r="AS340" s="159"/>
      <c r="AT340" s="153"/>
      <c r="AU340" s="154"/>
      <c r="AV340" s="154"/>
      <c r="AW340" s="154"/>
      <c r="AX340" s="155"/>
      <c r="AY340" s="156"/>
      <c r="AZ340" s="157"/>
      <c r="BA340" s="81"/>
      <c r="BB340" s="81"/>
      <c r="BC340" s="81"/>
    </row>
    <row r="341" spans="1:55" ht="28" customHeight="1" x14ac:dyDescent="0.25">
      <c r="A341" s="173">
        <v>336</v>
      </c>
      <c r="B341" s="147">
        <v>45084</v>
      </c>
      <c r="C341" s="77" t="s">
        <v>134</v>
      </c>
      <c r="D341" s="77" t="s">
        <v>135</v>
      </c>
      <c r="E341" s="77" t="s">
        <v>136</v>
      </c>
      <c r="F341" s="219" t="s">
        <v>1186</v>
      </c>
      <c r="G341" s="219" t="s">
        <v>1097</v>
      </c>
      <c r="H341" s="219" t="s">
        <v>110</v>
      </c>
      <c r="I341" s="219" t="s">
        <v>1098</v>
      </c>
      <c r="J341" s="221" t="s">
        <v>1099</v>
      </c>
      <c r="K341" s="220" t="s">
        <v>80</v>
      </c>
      <c r="L341" s="220" t="s">
        <v>193</v>
      </c>
      <c r="M341" s="220" t="s">
        <v>154</v>
      </c>
      <c r="N341" s="220" t="s">
        <v>212</v>
      </c>
      <c r="O341" s="220" t="s">
        <v>149</v>
      </c>
      <c r="P341" s="152" t="s">
        <v>80</v>
      </c>
      <c r="Q341" s="307" t="s">
        <v>80</v>
      </c>
      <c r="R341" s="211">
        <f>0</f>
        <v>0</v>
      </c>
      <c r="S341" s="212">
        <v>0</v>
      </c>
      <c r="T341" s="212">
        <v>0</v>
      </c>
      <c r="U341" s="212">
        <v>0</v>
      </c>
      <c r="V341" s="212">
        <v>0</v>
      </c>
      <c r="W341" s="212">
        <v>0</v>
      </c>
      <c r="X341" s="212">
        <v>0</v>
      </c>
      <c r="Y341" s="212">
        <v>0</v>
      </c>
      <c r="Z341" s="179">
        <v>4</v>
      </c>
      <c r="AA341" s="213">
        <v>0</v>
      </c>
      <c r="AB341" s="214">
        <v>0</v>
      </c>
      <c r="AC341" s="212">
        <v>0</v>
      </c>
      <c r="AD341" s="212">
        <v>0</v>
      </c>
      <c r="AE341" s="212">
        <v>0</v>
      </c>
      <c r="AF341" s="212">
        <v>0</v>
      </c>
      <c r="AG341" s="212">
        <v>0</v>
      </c>
      <c r="AH341" s="212">
        <v>0</v>
      </c>
      <c r="AI341" s="212">
        <v>0</v>
      </c>
      <c r="AJ341" s="212">
        <v>0</v>
      </c>
      <c r="AK341" s="213">
        <v>0</v>
      </c>
      <c r="AL341" s="215">
        <f t="shared" si="10"/>
        <v>4</v>
      </c>
      <c r="AM341" s="216">
        <f>0</f>
        <v>0</v>
      </c>
      <c r="AN341" s="217">
        <f t="shared" si="11"/>
        <v>4</v>
      </c>
      <c r="AO341" s="276">
        <v>45090</v>
      </c>
      <c r="AP341" s="151" t="s">
        <v>273</v>
      </c>
      <c r="AQ341" s="152" t="s">
        <v>1290</v>
      </c>
      <c r="AR341" s="152" t="s">
        <v>148</v>
      </c>
      <c r="AS341" s="159"/>
      <c r="AT341" s="153"/>
      <c r="AU341" s="154"/>
      <c r="AV341" s="154"/>
      <c r="AW341" s="154"/>
      <c r="AX341" s="155"/>
      <c r="AY341" s="156"/>
      <c r="AZ341" s="157"/>
      <c r="BA341" s="81"/>
      <c r="BB341" s="81"/>
      <c r="BC341" s="81"/>
    </row>
    <row r="342" spans="1:55" ht="28" customHeight="1" x14ac:dyDescent="0.25">
      <c r="A342" s="173">
        <v>337</v>
      </c>
      <c r="B342" s="147">
        <v>45084</v>
      </c>
      <c r="C342" s="77" t="s">
        <v>134</v>
      </c>
      <c r="D342" s="77" t="s">
        <v>135</v>
      </c>
      <c r="E342" s="77" t="s">
        <v>136</v>
      </c>
      <c r="F342" s="219" t="s">
        <v>1186</v>
      </c>
      <c r="G342" s="219" t="s">
        <v>1100</v>
      </c>
      <c r="H342" s="219" t="s">
        <v>110</v>
      </c>
      <c r="I342" s="219" t="s">
        <v>1084</v>
      </c>
      <c r="J342" s="221" t="s">
        <v>1101</v>
      </c>
      <c r="K342" s="220" t="s">
        <v>80</v>
      </c>
      <c r="L342" s="220" t="s">
        <v>193</v>
      </c>
      <c r="M342" s="220" t="s">
        <v>154</v>
      </c>
      <c r="N342" s="220" t="s">
        <v>214</v>
      </c>
      <c r="O342" s="220" t="s">
        <v>149</v>
      </c>
      <c r="P342" s="152" t="s">
        <v>80</v>
      </c>
      <c r="Q342" s="307" t="s">
        <v>80</v>
      </c>
      <c r="R342" s="211">
        <f>0</f>
        <v>0</v>
      </c>
      <c r="S342" s="212">
        <v>0</v>
      </c>
      <c r="T342" s="212">
        <v>0</v>
      </c>
      <c r="U342" s="212">
        <v>0</v>
      </c>
      <c r="V342" s="212">
        <v>0</v>
      </c>
      <c r="W342" s="212">
        <v>0</v>
      </c>
      <c r="X342" s="212">
        <v>0</v>
      </c>
      <c r="Y342" s="212">
        <v>0</v>
      </c>
      <c r="Z342" s="179">
        <v>1</v>
      </c>
      <c r="AA342" s="213">
        <v>0</v>
      </c>
      <c r="AB342" s="214">
        <v>0</v>
      </c>
      <c r="AC342" s="212">
        <v>0</v>
      </c>
      <c r="AD342" s="212">
        <v>0</v>
      </c>
      <c r="AE342" s="212">
        <v>0</v>
      </c>
      <c r="AF342" s="212">
        <v>0</v>
      </c>
      <c r="AG342" s="212">
        <v>0</v>
      </c>
      <c r="AH342" s="212">
        <v>0</v>
      </c>
      <c r="AI342" s="212">
        <v>0</v>
      </c>
      <c r="AJ342" s="212">
        <v>0</v>
      </c>
      <c r="AK342" s="213">
        <v>0</v>
      </c>
      <c r="AL342" s="215">
        <f t="shared" si="10"/>
        <v>1</v>
      </c>
      <c r="AM342" s="216">
        <f>0</f>
        <v>0</v>
      </c>
      <c r="AN342" s="217">
        <f t="shared" si="11"/>
        <v>1</v>
      </c>
      <c r="AO342" s="276">
        <v>45096</v>
      </c>
      <c r="AP342" s="224" t="s">
        <v>273</v>
      </c>
      <c r="AQ342" s="225" t="s">
        <v>1293</v>
      </c>
      <c r="AR342" s="247" t="s">
        <v>669</v>
      </c>
      <c r="AS342" s="226"/>
      <c r="AT342" s="219"/>
      <c r="AU342" s="154"/>
      <c r="AV342" s="154"/>
      <c r="AW342" s="154"/>
      <c r="AX342" s="155"/>
      <c r="AY342" s="156"/>
      <c r="AZ342" s="157"/>
      <c r="BA342" s="81"/>
      <c r="BB342" s="81"/>
      <c r="BC342" s="81"/>
    </row>
    <row r="343" spans="1:55" ht="28" customHeight="1" x14ac:dyDescent="0.25">
      <c r="A343" s="173">
        <v>338</v>
      </c>
      <c r="B343" s="147">
        <v>45084</v>
      </c>
      <c r="C343" s="77" t="s">
        <v>134</v>
      </c>
      <c r="D343" s="77" t="s">
        <v>135</v>
      </c>
      <c r="E343" s="77" t="s">
        <v>136</v>
      </c>
      <c r="F343" s="219" t="s">
        <v>1186</v>
      </c>
      <c r="G343" s="219" t="s">
        <v>1102</v>
      </c>
      <c r="H343" s="219" t="s">
        <v>110</v>
      </c>
      <c r="I343" s="219" t="s">
        <v>1103</v>
      </c>
      <c r="J343" s="221" t="s">
        <v>1104</v>
      </c>
      <c r="K343" s="220"/>
      <c r="L343" s="220" t="s">
        <v>193</v>
      </c>
      <c r="M343" s="220" t="s">
        <v>154</v>
      </c>
      <c r="N343" s="220" t="s">
        <v>1208</v>
      </c>
      <c r="O343" s="220" t="s">
        <v>149</v>
      </c>
      <c r="P343" s="152" t="s">
        <v>80</v>
      </c>
      <c r="Q343" s="307" t="s">
        <v>80</v>
      </c>
      <c r="R343" s="211">
        <f>0</f>
        <v>0</v>
      </c>
      <c r="S343" s="212">
        <v>0</v>
      </c>
      <c r="T343" s="212">
        <v>0</v>
      </c>
      <c r="U343" s="212">
        <v>0</v>
      </c>
      <c r="V343" s="212">
        <v>0</v>
      </c>
      <c r="W343" s="212">
        <v>0</v>
      </c>
      <c r="X343" s="212">
        <v>0</v>
      </c>
      <c r="Y343" s="212">
        <v>0</v>
      </c>
      <c r="Z343" s="179">
        <v>1</v>
      </c>
      <c r="AA343" s="213">
        <v>0</v>
      </c>
      <c r="AB343" s="214">
        <v>0</v>
      </c>
      <c r="AC343" s="212">
        <v>0</v>
      </c>
      <c r="AD343" s="212">
        <v>0</v>
      </c>
      <c r="AE343" s="212">
        <v>0</v>
      </c>
      <c r="AF343" s="212">
        <v>0</v>
      </c>
      <c r="AG343" s="212">
        <v>0</v>
      </c>
      <c r="AH343" s="212">
        <v>0</v>
      </c>
      <c r="AI343" s="212">
        <v>0</v>
      </c>
      <c r="AJ343" s="212">
        <v>0</v>
      </c>
      <c r="AK343" s="213">
        <v>0</v>
      </c>
      <c r="AL343" s="215">
        <f t="shared" si="10"/>
        <v>1</v>
      </c>
      <c r="AM343" s="216">
        <f>0</f>
        <v>0</v>
      </c>
      <c r="AN343" s="217">
        <f t="shared" si="11"/>
        <v>1</v>
      </c>
      <c r="AO343" s="276">
        <v>45090</v>
      </c>
      <c r="AP343" s="151" t="s">
        <v>273</v>
      </c>
      <c r="AQ343" s="152" t="s">
        <v>1290</v>
      </c>
      <c r="AR343" s="152" t="s">
        <v>148</v>
      </c>
      <c r="AS343" s="159"/>
      <c r="AT343" s="153"/>
      <c r="AU343" s="154"/>
      <c r="AV343" s="154"/>
      <c r="AW343" s="154"/>
      <c r="AX343" s="155"/>
      <c r="AY343" s="156"/>
      <c r="AZ343" s="157"/>
      <c r="BA343" s="81"/>
      <c r="BB343" s="81"/>
      <c r="BC343" s="81"/>
    </row>
    <row r="344" spans="1:55" ht="28" customHeight="1" x14ac:dyDescent="0.25">
      <c r="A344" s="173">
        <v>339</v>
      </c>
      <c r="B344" s="147">
        <v>45084</v>
      </c>
      <c r="C344" s="77" t="s">
        <v>134</v>
      </c>
      <c r="D344" s="77" t="s">
        <v>135</v>
      </c>
      <c r="E344" s="77" t="s">
        <v>136</v>
      </c>
      <c r="F344" s="219" t="s">
        <v>1186</v>
      </c>
      <c r="G344" s="219" t="s">
        <v>1105</v>
      </c>
      <c r="H344" s="219" t="s">
        <v>110</v>
      </c>
      <c r="I344" s="219" t="s">
        <v>1106</v>
      </c>
      <c r="J344" s="221" t="s">
        <v>1107</v>
      </c>
      <c r="K344" s="220" t="s">
        <v>80</v>
      </c>
      <c r="L344" s="220" t="s">
        <v>193</v>
      </c>
      <c r="M344" s="220" t="s">
        <v>154</v>
      </c>
      <c r="N344" s="220" t="s">
        <v>80</v>
      </c>
      <c r="O344" s="220" t="s">
        <v>149</v>
      </c>
      <c r="P344" s="152" t="s">
        <v>80</v>
      </c>
      <c r="Q344" s="307" t="s">
        <v>80</v>
      </c>
      <c r="R344" s="211">
        <f>0</f>
        <v>0</v>
      </c>
      <c r="S344" s="212">
        <v>0</v>
      </c>
      <c r="T344" s="212">
        <v>0</v>
      </c>
      <c r="U344" s="212">
        <v>0</v>
      </c>
      <c r="V344" s="212">
        <v>0</v>
      </c>
      <c r="W344" s="212">
        <v>0</v>
      </c>
      <c r="X344" s="212">
        <v>0</v>
      </c>
      <c r="Y344" s="212">
        <v>0</v>
      </c>
      <c r="Z344" s="179">
        <v>1</v>
      </c>
      <c r="AA344" s="213">
        <v>0</v>
      </c>
      <c r="AB344" s="214">
        <v>0</v>
      </c>
      <c r="AC344" s="212">
        <v>0</v>
      </c>
      <c r="AD344" s="212">
        <v>0</v>
      </c>
      <c r="AE344" s="212">
        <v>0</v>
      </c>
      <c r="AF344" s="212">
        <v>0</v>
      </c>
      <c r="AG344" s="212">
        <v>0</v>
      </c>
      <c r="AH344" s="212">
        <v>0</v>
      </c>
      <c r="AI344" s="212">
        <v>0</v>
      </c>
      <c r="AJ344" s="212">
        <v>0</v>
      </c>
      <c r="AK344" s="213">
        <v>0</v>
      </c>
      <c r="AL344" s="215">
        <f t="shared" si="10"/>
        <v>1</v>
      </c>
      <c r="AM344" s="216">
        <f>0</f>
        <v>0</v>
      </c>
      <c r="AN344" s="217">
        <f t="shared" si="11"/>
        <v>1</v>
      </c>
      <c r="AO344" s="276">
        <v>45096</v>
      </c>
      <c r="AP344" s="224" t="s">
        <v>273</v>
      </c>
      <c r="AQ344" s="225" t="s">
        <v>1293</v>
      </c>
      <c r="AR344" s="247" t="s">
        <v>669</v>
      </c>
      <c r="AS344" s="226"/>
      <c r="AT344" s="219"/>
      <c r="AU344" s="154"/>
      <c r="AV344" s="154"/>
      <c r="AW344" s="154"/>
      <c r="AX344" s="155"/>
      <c r="AY344" s="156"/>
      <c r="AZ344" s="157"/>
      <c r="BA344" s="81"/>
      <c r="BB344" s="81"/>
      <c r="BC344" s="81"/>
    </row>
    <row r="345" spans="1:55" ht="28" customHeight="1" x14ac:dyDescent="0.25">
      <c r="A345" s="173">
        <v>340</v>
      </c>
      <c r="B345" s="147">
        <v>45084</v>
      </c>
      <c r="C345" s="77" t="s">
        <v>134</v>
      </c>
      <c r="D345" s="77" t="s">
        <v>135</v>
      </c>
      <c r="E345" s="77" t="s">
        <v>136</v>
      </c>
      <c r="F345" s="219" t="s">
        <v>1186</v>
      </c>
      <c r="G345" s="219" t="s">
        <v>1108</v>
      </c>
      <c r="H345" s="219" t="s">
        <v>287</v>
      </c>
      <c r="I345" s="219" t="s">
        <v>1209</v>
      </c>
      <c r="J345" s="221" t="s">
        <v>1109</v>
      </c>
      <c r="K345" s="220" t="s">
        <v>80</v>
      </c>
      <c r="L345" s="220" t="s">
        <v>193</v>
      </c>
      <c r="M345" s="220" t="s">
        <v>154</v>
      </c>
      <c r="N345" s="220"/>
      <c r="O345" s="220" t="s">
        <v>149</v>
      </c>
      <c r="P345" s="152" t="s">
        <v>80</v>
      </c>
      <c r="Q345" s="307" t="s">
        <v>80</v>
      </c>
      <c r="R345" s="211">
        <f>0</f>
        <v>0</v>
      </c>
      <c r="S345" s="212">
        <v>0</v>
      </c>
      <c r="T345" s="212">
        <v>0</v>
      </c>
      <c r="U345" s="212">
        <v>0</v>
      </c>
      <c r="V345" s="212">
        <v>0</v>
      </c>
      <c r="W345" s="212">
        <v>0</v>
      </c>
      <c r="X345" s="212">
        <v>0</v>
      </c>
      <c r="Y345" s="212">
        <v>0</v>
      </c>
      <c r="Z345" s="179">
        <v>1</v>
      </c>
      <c r="AA345" s="213">
        <v>0</v>
      </c>
      <c r="AB345" s="214">
        <v>0</v>
      </c>
      <c r="AC345" s="212">
        <v>0</v>
      </c>
      <c r="AD345" s="212">
        <v>0</v>
      </c>
      <c r="AE345" s="212">
        <v>0</v>
      </c>
      <c r="AF345" s="212">
        <v>0</v>
      </c>
      <c r="AG345" s="212">
        <v>0</v>
      </c>
      <c r="AH345" s="212">
        <v>0</v>
      </c>
      <c r="AI345" s="212">
        <v>0</v>
      </c>
      <c r="AJ345" s="212">
        <v>0</v>
      </c>
      <c r="AK345" s="213">
        <v>0</v>
      </c>
      <c r="AL345" s="215">
        <f t="shared" si="10"/>
        <v>1</v>
      </c>
      <c r="AM345" s="216">
        <f>0</f>
        <v>0</v>
      </c>
      <c r="AN345" s="217">
        <f t="shared" si="11"/>
        <v>1</v>
      </c>
      <c r="AO345" s="276">
        <v>45090</v>
      </c>
      <c r="AP345" s="151" t="s">
        <v>273</v>
      </c>
      <c r="AQ345" s="152" t="s">
        <v>1290</v>
      </c>
      <c r="AR345" s="152" t="s">
        <v>148</v>
      </c>
      <c r="AS345" s="159"/>
      <c r="AT345" s="153"/>
      <c r="AU345" s="154"/>
      <c r="AV345" s="154"/>
      <c r="AW345" s="154"/>
      <c r="AX345" s="155"/>
      <c r="AY345" s="156"/>
      <c r="AZ345" s="157"/>
      <c r="BA345" s="81"/>
      <c r="BB345" s="81"/>
      <c r="BC345" s="81"/>
    </row>
    <row r="346" spans="1:55" ht="28" customHeight="1" x14ac:dyDescent="0.25">
      <c r="A346" s="173">
        <v>341</v>
      </c>
      <c r="B346" s="147">
        <v>45084</v>
      </c>
      <c r="C346" s="77" t="s">
        <v>134</v>
      </c>
      <c r="D346" s="77" t="s">
        <v>135</v>
      </c>
      <c r="E346" s="77" t="s">
        <v>136</v>
      </c>
      <c r="F346" s="219" t="s">
        <v>1186</v>
      </c>
      <c r="G346" s="219" t="s">
        <v>1110</v>
      </c>
      <c r="H346" s="219" t="s">
        <v>110</v>
      </c>
      <c r="I346" s="219" t="s">
        <v>1084</v>
      </c>
      <c r="J346" s="221" t="s">
        <v>1111</v>
      </c>
      <c r="K346" s="220"/>
      <c r="L346" s="220" t="s">
        <v>193</v>
      </c>
      <c r="M346" s="220" t="s">
        <v>154</v>
      </c>
      <c r="N346" s="220" t="s">
        <v>214</v>
      </c>
      <c r="O346" s="220" t="s">
        <v>149</v>
      </c>
      <c r="P346" s="152" t="s">
        <v>80</v>
      </c>
      <c r="Q346" s="307" t="s">
        <v>80</v>
      </c>
      <c r="R346" s="211">
        <f>0</f>
        <v>0</v>
      </c>
      <c r="S346" s="212">
        <v>0</v>
      </c>
      <c r="T346" s="212">
        <v>0</v>
      </c>
      <c r="U346" s="212">
        <v>0</v>
      </c>
      <c r="V346" s="212">
        <v>0</v>
      </c>
      <c r="W346" s="212">
        <v>0</v>
      </c>
      <c r="X346" s="212">
        <v>0</v>
      </c>
      <c r="Y346" s="212">
        <v>0</v>
      </c>
      <c r="Z346" s="179">
        <v>1</v>
      </c>
      <c r="AA346" s="213">
        <v>0</v>
      </c>
      <c r="AB346" s="214">
        <v>0</v>
      </c>
      <c r="AC346" s="212">
        <v>0</v>
      </c>
      <c r="AD346" s="212">
        <v>0</v>
      </c>
      <c r="AE346" s="212">
        <v>0</v>
      </c>
      <c r="AF346" s="212">
        <v>0</v>
      </c>
      <c r="AG346" s="212">
        <v>0</v>
      </c>
      <c r="AH346" s="212">
        <v>0</v>
      </c>
      <c r="AI346" s="212">
        <v>0</v>
      </c>
      <c r="AJ346" s="212">
        <v>0</v>
      </c>
      <c r="AK346" s="213">
        <v>0</v>
      </c>
      <c r="AL346" s="215">
        <f t="shared" si="10"/>
        <v>1</v>
      </c>
      <c r="AM346" s="216">
        <f>0</f>
        <v>0</v>
      </c>
      <c r="AN346" s="217">
        <f t="shared" si="11"/>
        <v>1</v>
      </c>
      <c r="AO346" s="276">
        <v>45096</v>
      </c>
      <c r="AP346" s="224" t="s">
        <v>273</v>
      </c>
      <c r="AQ346" s="225" t="s">
        <v>1293</v>
      </c>
      <c r="AR346" s="247" t="s">
        <v>669</v>
      </c>
      <c r="AS346" s="226"/>
      <c r="AT346" s="219"/>
      <c r="AU346" s="154"/>
      <c r="AV346" s="154"/>
      <c r="AW346" s="154"/>
      <c r="AX346" s="155"/>
      <c r="AY346" s="156"/>
      <c r="AZ346" s="157"/>
      <c r="BA346" s="81"/>
      <c r="BB346" s="81"/>
      <c r="BC346" s="81"/>
    </row>
    <row r="347" spans="1:55" ht="28" customHeight="1" x14ac:dyDescent="0.25">
      <c r="A347" s="173">
        <v>342</v>
      </c>
      <c r="B347" s="147">
        <v>45084</v>
      </c>
      <c r="C347" s="77" t="s">
        <v>134</v>
      </c>
      <c r="D347" s="77" t="s">
        <v>135</v>
      </c>
      <c r="E347" s="77" t="s">
        <v>136</v>
      </c>
      <c r="F347" s="219" t="s">
        <v>1186</v>
      </c>
      <c r="G347" s="219" t="s">
        <v>1112</v>
      </c>
      <c r="H347" s="219" t="s">
        <v>110</v>
      </c>
      <c r="I347" s="219" t="s">
        <v>191</v>
      </c>
      <c r="J347" s="221" t="s">
        <v>1113</v>
      </c>
      <c r="K347" s="220" t="s">
        <v>80</v>
      </c>
      <c r="L347" s="220" t="s">
        <v>193</v>
      </c>
      <c r="M347" s="220" t="s">
        <v>154</v>
      </c>
      <c r="N347" s="220" t="s">
        <v>212</v>
      </c>
      <c r="O347" s="220" t="s">
        <v>149</v>
      </c>
      <c r="P347" s="152" t="s">
        <v>80</v>
      </c>
      <c r="Q347" s="307" t="s">
        <v>80</v>
      </c>
      <c r="R347" s="211">
        <f>0</f>
        <v>0</v>
      </c>
      <c r="S347" s="212">
        <v>0</v>
      </c>
      <c r="T347" s="212">
        <v>0</v>
      </c>
      <c r="U347" s="212">
        <v>0</v>
      </c>
      <c r="V347" s="212">
        <v>0</v>
      </c>
      <c r="W347" s="212">
        <v>0</v>
      </c>
      <c r="X347" s="212">
        <v>0</v>
      </c>
      <c r="Y347" s="212">
        <v>0</v>
      </c>
      <c r="Z347" s="179">
        <v>1</v>
      </c>
      <c r="AA347" s="213">
        <v>0</v>
      </c>
      <c r="AB347" s="214">
        <v>0</v>
      </c>
      <c r="AC347" s="212">
        <v>0</v>
      </c>
      <c r="AD347" s="212">
        <v>0</v>
      </c>
      <c r="AE347" s="212">
        <v>0</v>
      </c>
      <c r="AF347" s="212">
        <v>0</v>
      </c>
      <c r="AG347" s="212">
        <v>0</v>
      </c>
      <c r="AH347" s="212">
        <v>0</v>
      </c>
      <c r="AI347" s="212">
        <v>0</v>
      </c>
      <c r="AJ347" s="212">
        <v>0</v>
      </c>
      <c r="AK347" s="213">
        <v>0</v>
      </c>
      <c r="AL347" s="215">
        <f t="shared" si="10"/>
        <v>1</v>
      </c>
      <c r="AM347" s="216">
        <f>0</f>
        <v>0</v>
      </c>
      <c r="AN347" s="217">
        <f t="shared" si="11"/>
        <v>1</v>
      </c>
      <c r="AO347" s="276">
        <v>45096</v>
      </c>
      <c r="AP347" s="224" t="s">
        <v>273</v>
      </c>
      <c r="AQ347" s="225" t="s">
        <v>1293</v>
      </c>
      <c r="AR347" s="247" t="s">
        <v>669</v>
      </c>
      <c r="AS347" s="226"/>
      <c r="AT347" s="219"/>
      <c r="AU347" s="154"/>
      <c r="AV347" s="154"/>
      <c r="AW347" s="154"/>
      <c r="AX347" s="155"/>
      <c r="AY347" s="156"/>
      <c r="AZ347" s="157"/>
      <c r="BA347" s="81"/>
      <c r="BB347" s="81"/>
      <c r="BC347" s="81"/>
    </row>
    <row r="348" spans="1:55" ht="28" customHeight="1" x14ac:dyDescent="0.25">
      <c r="A348" s="173">
        <v>343</v>
      </c>
      <c r="B348" s="147">
        <v>45084</v>
      </c>
      <c r="C348" s="77" t="s">
        <v>134</v>
      </c>
      <c r="D348" s="77" t="s">
        <v>135</v>
      </c>
      <c r="E348" s="77" t="s">
        <v>136</v>
      </c>
      <c r="F348" s="219" t="s">
        <v>1186</v>
      </c>
      <c r="G348" s="219" t="s">
        <v>1114</v>
      </c>
      <c r="H348" s="219" t="s">
        <v>110</v>
      </c>
      <c r="I348" s="219" t="s">
        <v>1187</v>
      </c>
      <c r="J348" s="221" t="s">
        <v>1210</v>
      </c>
      <c r="K348" s="220" t="s">
        <v>80</v>
      </c>
      <c r="L348" s="220" t="s">
        <v>1115</v>
      </c>
      <c r="M348" s="220" t="s">
        <v>154</v>
      </c>
      <c r="N348" s="220" t="s">
        <v>214</v>
      </c>
      <c r="O348" s="220" t="s">
        <v>1219</v>
      </c>
      <c r="P348" s="152" t="s">
        <v>80</v>
      </c>
      <c r="Q348" s="307" t="s">
        <v>80</v>
      </c>
      <c r="R348" s="211">
        <f>0</f>
        <v>0</v>
      </c>
      <c r="S348" s="212">
        <v>0</v>
      </c>
      <c r="T348" s="212">
        <v>0</v>
      </c>
      <c r="U348" s="212">
        <v>0</v>
      </c>
      <c r="V348" s="212">
        <v>0</v>
      </c>
      <c r="W348" s="212">
        <v>0</v>
      </c>
      <c r="X348" s="212">
        <v>0</v>
      </c>
      <c r="Y348" s="212">
        <v>0</v>
      </c>
      <c r="Z348" s="179">
        <v>1</v>
      </c>
      <c r="AA348" s="213">
        <v>0</v>
      </c>
      <c r="AB348" s="214">
        <v>0</v>
      </c>
      <c r="AC348" s="212">
        <v>0</v>
      </c>
      <c r="AD348" s="212">
        <v>0</v>
      </c>
      <c r="AE348" s="212">
        <v>0</v>
      </c>
      <c r="AF348" s="212">
        <v>0</v>
      </c>
      <c r="AG348" s="212">
        <v>0</v>
      </c>
      <c r="AH348" s="212">
        <v>0</v>
      </c>
      <c r="AI348" s="212">
        <v>0</v>
      </c>
      <c r="AJ348" s="212">
        <v>0</v>
      </c>
      <c r="AK348" s="213">
        <v>0</v>
      </c>
      <c r="AL348" s="215">
        <f t="shared" si="10"/>
        <v>1</v>
      </c>
      <c r="AM348" s="216">
        <f>0</f>
        <v>0</v>
      </c>
      <c r="AN348" s="217">
        <f t="shared" si="11"/>
        <v>1</v>
      </c>
      <c r="AO348" s="276">
        <v>45090</v>
      </c>
      <c r="AP348" s="151" t="s">
        <v>273</v>
      </c>
      <c r="AQ348" s="152" t="s">
        <v>1290</v>
      </c>
      <c r="AR348" s="152" t="s">
        <v>148</v>
      </c>
      <c r="AS348" s="159"/>
      <c r="AT348" s="153"/>
      <c r="AU348" s="154"/>
      <c r="AV348" s="154"/>
      <c r="AW348" s="154"/>
      <c r="AX348" s="155"/>
      <c r="AY348" s="156"/>
      <c r="AZ348" s="157"/>
      <c r="BA348" s="81"/>
      <c r="BB348" s="81"/>
      <c r="BC348" s="81"/>
    </row>
    <row r="349" spans="1:55" ht="28" customHeight="1" x14ac:dyDescent="0.25">
      <c r="A349" s="173">
        <v>344</v>
      </c>
      <c r="B349" s="147">
        <v>45084</v>
      </c>
      <c r="C349" s="162"/>
      <c r="D349" s="163"/>
      <c r="E349" s="85" t="s">
        <v>136</v>
      </c>
      <c r="F349" s="219" t="s">
        <v>1186</v>
      </c>
      <c r="G349" s="219" t="s">
        <v>1116</v>
      </c>
      <c r="H349" s="219" t="s">
        <v>110</v>
      </c>
      <c r="I349" s="219" t="s">
        <v>1189</v>
      </c>
      <c r="J349" s="221" t="s">
        <v>1211</v>
      </c>
      <c r="K349" s="220" t="s">
        <v>80</v>
      </c>
      <c r="L349" s="220" t="s">
        <v>1115</v>
      </c>
      <c r="M349" s="220" t="s">
        <v>154</v>
      </c>
      <c r="N349" s="220" t="s">
        <v>214</v>
      </c>
      <c r="O349" s="220" t="s">
        <v>1219</v>
      </c>
      <c r="P349" s="152" t="s">
        <v>80</v>
      </c>
      <c r="Q349" s="307" t="s">
        <v>80</v>
      </c>
      <c r="R349" s="211">
        <f>0</f>
        <v>0</v>
      </c>
      <c r="S349" s="212">
        <v>0</v>
      </c>
      <c r="T349" s="212">
        <v>0</v>
      </c>
      <c r="U349" s="212">
        <v>0</v>
      </c>
      <c r="V349" s="212">
        <v>0</v>
      </c>
      <c r="W349" s="212">
        <v>0</v>
      </c>
      <c r="X349" s="212">
        <v>0</v>
      </c>
      <c r="Y349" s="212">
        <v>0</v>
      </c>
      <c r="Z349" s="179">
        <v>1</v>
      </c>
      <c r="AA349" s="213">
        <v>0</v>
      </c>
      <c r="AB349" s="214">
        <v>0</v>
      </c>
      <c r="AC349" s="212">
        <v>0</v>
      </c>
      <c r="AD349" s="212">
        <v>0</v>
      </c>
      <c r="AE349" s="212">
        <v>0</v>
      </c>
      <c r="AF349" s="212">
        <v>0</v>
      </c>
      <c r="AG349" s="212">
        <v>0</v>
      </c>
      <c r="AH349" s="212">
        <v>0</v>
      </c>
      <c r="AI349" s="212">
        <v>0</v>
      </c>
      <c r="AJ349" s="212">
        <v>0</v>
      </c>
      <c r="AK349" s="213">
        <v>0</v>
      </c>
      <c r="AL349" s="215">
        <f t="shared" si="10"/>
        <v>1</v>
      </c>
      <c r="AM349" s="216">
        <f>0</f>
        <v>0</v>
      </c>
      <c r="AN349" s="217">
        <f t="shared" si="11"/>
        <v>1</v>
      </c>
      <c r="AO349" s="276">
        <v>45090</v>
      </c>
      <c r="AP349" s="151" t="s">
        <v>273</v>
      </c>
      <c r="AQ349" s="152" t="s">
        <v>1290</v>
      </c>
      <c r="AR349" s="152" t="s">
        <v>148</v>
      </c>
      <c r="AS349" s="159"/>
      <c r="AT349" s="153"/>
      <c r="AU349" s="154"/>
      <c r="AV349" s="154"/>
      <c r="AW349" s="154"/>
      <c r="AX349" s="155"/>
      <c r="AY349" s="156"/>
      <c r="AZ349" s="157"/>
      <c r="BA349" s="81"/>
      <c r="BB349" s="81"/>
      <c r="BC349" s="81"/>
    </row>
    <row r="350" spans="1:55" ht="28" customHeight="1" x14ac:dyDescent="0.25">
      <c r="A350" s="173">
        <v>345</v>
      </c>
      <c r="B350" s="147">
        <v>45084</v>
      </c>
      <c r="C350" s="77" t="s">
        <v>134</v>
      </c>
      <c r="D350" s="77" t="s">
        <v>135</v>
      </c>
      <c r="E350" s="77" t="s">
        <v>136</v>
      </c>
      <c r="F350" s="219" t="s">
        <v>1186</v>
      </c>
      <c r="G350" s="219" t="s">
        <v>1117</v>
      </c>
      <c r="H350" s="219" t="s">
        <v>110</v>
      </c>
      <c r="I350" s="219" t="s">
        <v>1187</v>
      </c>
      <c r="J350" s="221" t="s">
        <v>1212</v>
      </c>
      <c r="K350" s="220" t="s">
        <v>80</v>
      </c>
      <c r="L350" s="220" t="s">
        <v>1115</v>
      </c>
      <c r="M350" s="220" t="s">
        <v>154</v>
      </c>
      <c r="N350" s="220" t="s">
        <v>212</v>
      </c>
      <c r="O350" s="220" t="s">
        <v>1219</v>
      </c>
      <c r="P350" s="152" t="s">
        <v>80</v>
      </c>
      <c r="Q350" s="307" t="s">
        <v>80</v>
      </c>
      <c r="R350" s="211">
        <f>0</f>
        <v>0</v>
      </c>
      <c r="S350" s="212">
        <v>0</v>
      </c>
      <c r="T350" s="212">
        <v>0</v>
      </c>
      <c r="U350" s="212">
        <v>0</v>
      </c>
      <c r="V350" s="212">
        <v>0</v>
      </c>
      <c r="W350" s="212">
        <v>0</v>
      </c>
      <c r="X350" s="212">
        <v>0</v>
      </c>
      <c r="Y350" s="212">
        <v>0</v>
      </c>
      <c r="Z350" s="179">
        <v>1</v>
      </c>
      <c r="AA350" s="213">
        <v>0</v>
      </c>
      <c r="AB350" s="214">
        <v>0</v>
      </c>
      <c r="AC350" s="212">
        <v>0</v>
      </c>
      <c r="AD350" s="212">
        <v>0</v>
      </c>
      <c r="AE350" s="212">
        <v>0</v>
      </c>
      <c r="AF350" s="212">
        <v>0</v>
      </c>
      <c r="AG350" s="212">
        <v>0</v>
      </c>
      <c r="AH350" s="212">
        <v>0</v>
      </c>
      <c r="AI350" s="212">
        <v>0</v>
      </c>
      <c r="AJ350" s="212">
        <v>0</v>
      </c>
      <c r="AK350" s="213">
        <v>0</v>
      </c>
      <c r="AL350" s="215">
        <f t="shared" si="10"/>
        <v>1</v>
      </c>
      <c r="AM350" s="216">
        <f>0</f>
        <v>0</v>
      </c>
      <c r="AN350" s="217">
        <f t="shared" si="11"/>
        <v>1</v>
      </c>
      <c r="AO350" s="276">
        <v>45090</v>
      </c>
      <c r="AP350" s="151" t="s">
        <v>273</v>
      </c>
      <c r="AQ350" s="152" t="s">
        <v>1290</v>
      </c>
      <c r="AR350" s="152" t="s">
        <v>148</v>
      </c>
      <c r="AS350" s="159"/>
      <c r="AT350" s="153"/>
      <c r="AU350" s="154"/>
      <c r="AV350" s="154"/>
      <c r="AW350" s="154"/>
      <c r="AX350" s="155"/>
      <c r="AY350" s="156"/>
      <c r="AZ350" s="157"/>
      <c r="BA350" s="81"/>
      <c r="BB350" s="81"/>
      <c r="BC350" s="81"/>
    </row>
    <row r="351" spans="1:55" ht="28" customHeight="1" x14ac:dyDescent="0.25">
      <c r="A351" s="173">
        <v>346</v>
      </c>
      <c r="B351" s="147">
        <v>45084</v>
      </c>
      <c r="C351" s="162"/>
      <c r="D351" s="163"/>
      <c r="E351" s="85" t="s">
        <v>136</v>
      </c>
      <c r="F351" s="219" t="s">
        <v>1186</v>
      </c>
      <c r="G351" s="219" t="s">
        <v>1118</v>
      </c>
      <c r="H351" s="219" t="s">
        <v>110</v>
      </c>
      <c r="I351" s="219" t="s">
        <v>1189</v>
      </c>
      <c r="J351" s="221" t="s">
        <v>1213</v>
      </c>
      <c r="K351" s="220" t="s">
        <v>80</v>
      </c>
      <c r="L351" s="220" t="s">
        <v>1115</v>
      </c>
      <c r="M351" s="220" t="s">
        <v>154</v>
      </c>
      <c r="N351" s="220" t="s">
        <v>212</v>
      </c>
      <c r="O351" s="220" t="s">
        <v>1219</v>
      </c>
      <c r="P351" s="152" t="s">
        <v>80</v>
      </c>
      <c r="Q351" s="307" t="s">
        <v>80</v>
      </c>
      <c r="R351" s="211">
        <f>0</f>
        <v>0</v>
      </c>
      <c r="S351" s="212">
        <v>0</v>
      </c>
      <c r="T351" s="212">
        <v>0</v>
      </c>
      <c r="U351" s="212">
        <v>0</v>
      </c>
      <c r="V351" s="212">
        <v>0</v>
      </c>
      <c r="W351" s="212">
        <v>0</v>
      </c>
      <c r="X351" s="212">
        <v>0</v>
      </c>
      <c r="Y351" s="212">
        <v>0</v>
      </c>
      <c r="Z351" s="179">
        <v>1</v>
      </c>
      <c r="AA351" s="213">
        <v>0</v>
      </c>
      <c r="AB351" s="214">
        <v>0</v>
      </c>
      <c r="AC351" s="212">
        <v>0</v>
      </c>
      <c r="AD351" s="212">
        <v>0</v>
      </c>
      <c r="AE351" s="212">
        <v>0</v>
      </c>
      <c r="AF351" s="212">
        <v>0</v>
      </c>
      <c r="AG351" s="212">
        <v>0</v>
      </c>
      <c r="AH351" s="212">
        <v>0</v>
      </c>
      <c r="AI351" s="212">
        <v>0</v>
      </c>
      <c r="AJ351" s="212">
        <v>0</v>
      </c>
      <c r="AK351" s="213">
        <v>0</v>
      </c>
      <c r="AL351" s="215">
        <f t="shared" si="10"/>
        <v>1</v>
      </c>
      <c r="AM351" s="216">
        <f>0</f>
        <v>0</v>
      </c>
      <c r="AN351" s="217">
        <f t="shared" si="11"/>
        <v>1</v>
      </c>
      <c r="AO351" s="276">
        <v>45090</v>
      </c>
      <c r="AP351" s="151" t="s">
        <v>273</v>
      </c>
      <c r="AQ351" s="152" t="s">
        <v>1290</v>
      </c>
      <c r="AR351" s="152" t="s">
        <v>148</v>
      </c>
      <c r="AS351" s="159"/>
      <c r="AT351" s="153"/>
      <c r="AU351" s="154"/>
      <c r="AV351" s="154"/>
      <c r="AW351" s="154"/>
      <c r="AX351" s="155"/>
      <c r="AY351" s="156"/>
      <c r="AZ351" s="157"/>
      <c r="BA351" s="81"/>
      <c r="BB351" s="81"/>
      <c r="BC351" s="81"/>
    </row>
    <row r="352" spans="1:55" ht="28" customHeight="1" x14ac:dyDescent="0.25">
      <c r="A352" s="173">
        <v>347</v>
      </c>
      <c r="B352" s="147">
        <v>45084</v>
      </c>
      <c r="C352" s="77" t="s">
        <v>134</v>
      </c>
      <c r="D352" s="77" t="s">
        <v>135</v>
      </c>
      <c r="E352" s="77" t="s">
        <v>136</v>
      </c>
      <c r="F352" s="219" t="s">
        <v>1186</v>
      </c>
      <c r="G352" s="219" t="s">
        <v>1119</v>
      </c>
      <c r="H352" s="219" t="s">
        <v>110</v>
      </c>
      <c r="I352" s="219" t="s">
        <v>1187</v>
      </c>
      <c r="J352" s="221" t="s">
        <v>1214</v>
      </c>
      <c r="K352" s="220" t="s">
        <v>80</v>
      </c>
      <c r="L352" s="220" t="s">
        <v>1115</v>
      </c>
      <c r="M352" s="220" t="s">
        <v>154</v>
      </c>
      <c r="N352" s="220" t="s">
        <v>214</v>
      </c>
      <c r="O352" s="220" t="s">
        <v>1219</v>
      </c>
      <c r="P352" s="152" t="s">
        <v>80</v>
      </c>
      <c r="Q352" s="307" t="s">
        <v>80</v>
      </c>
      <c r="R352" s="211">
        <f>0</f>
        <v>0</v>
      </c>
      <c r="S352" s="212">
        <v>0</v>
      </c>
      <c r="T352" s="212">
        <v>0</v>
      </c>
      <c r="U352" s="212">
        <v>0</v>
      </c>
      <c r="V352" s="212">
        <v>0</v>
      </c>
      <c r="W352" s="212">
        <v>0</v>
      </c>
      <c r="X352" s="212">
        <v>0</v>
      </c>
      <c r="Y352" s="212">
        <v>0</v>
      </c>
      <c r="Z352" s="179">
        <v>1</v>
      </c>
      <c r="AA352" s="213">
        <v>0</v>
      </c>
      <c r="AB352" s="214">
        <v>0</v>
      </c>
      <c r="AC352" s="212">
        <v>0</v>
      </c>
      <c r="AD352" s="212">
        <v>0</v>
      </c>
      <c r="AE352" s="212">
        <v>0</v>
      </c>
      <c r="AF352" s="212">
        <v>0</v>
      </c>
      <c r="AG352" s="212">
        <v>0</v>
      </c>
      <c r="AH352" s="212">
        <v>0</v>
      </c>
      <c r="AI352" s="212">
        <v>0</v>
      </c>
      <c r="AJ352" s="212">
        <v>0</v>
      </c>
      <c r="AK352" s="213">
        <v>0</v>
      </c>
      <c r="AL352" s="215">
        <f t="shared" si="10"/>
        <v>1</v>
      </c>
      <c r="AM352" s="216">
        <f>0</f>
        <v>0</v>
      </c>
      <c r="AN352" s="217">
        <f t="shared" si="11"/>
        <v>1</v>
      </c>
      <c r="AO352" s="276">
        <v>45090</v>
      </c>
      <c r="AP352" s="151" t="s">
        <v>273</v>
      </c>
      <c r="AQ352" s="152" t="s">
        <v>1290</v>
      </c>
      <c r="AR352" s="152" t="s">
        <v>148</v>
      </c>
      <c r="AS352" s="159"/>
      <c r="AT352" s="153"/>
      <c r="AU352" s="154"/>
      <c r="AV352" s="154"/>
      <c r="AW352" s="154"/>
      <c r="AX352" s="155"/>
      <c r="AY352" s="156"/>
      <c r="AZ352" s="157"/>
      <c r="BA352" s="81"/>
      <c r="BB352" s="81"/>
      <c r="BC352" s="81"/>
    </row>
    <row r="353" spans="1:55" ht="28" customHeight="1" x14ac:dyDescent="0.25">
      <c r="A353" s="173">
        <v>348</v>
      </c>
      <c r="B353" s="147">
        <v>45084</v>
      </c>
      <c r="C353" s="162"/>
      <c r="D353" s="163"/>
      <c r="E353" s="85" t="s">
        <v>136</v>
      </c>
      <c r="F353" s="219" t="s">
        <v>1186</v>
      </c>
      <c r="G353" s="219" t="s">
        <v>1120</v>
      </c>
      <c r="H353" s="219" t="s">
        <v>110</v>
      </c>
      <c r="I353" s="219" t="s">
        <v>1189</v>
      </c>
      <c r="J353" s="221" t="s">
        <v>1215</v>
      </c>
      <c r="K353" s="220" t="s">
        <v>80</v>
      </c>
      <c r="L353" s="220" t="s">
        <v>1115</v>
      </c>
      <c r="M353" s="220" t="s">
        <v>154</v>
      </c>
      <c r="N353" s="220" t="s">
        <v>214</v>
      </c>
      <c r="O353" s="220" t="s">
        <v>1219</v>
      </c>
      <c r="P353" s="152" t="s">
        <v>80</v>
      </c>
      <c r="Q353" s="307" t="s">
        <v>80</v>
      </c>
      <c r="R353" s="211">
        <f>0</f>
        <v>0</v>
      </c>
      <c r="S353" s="212">
        <v>0</v>
      </c>
      <c r="T353" s="212">
        <v>0</v>
      </c>
      <c r="U353" s="212">
        <v>0</v>
      </c>
      <c r="V353" s="212">
        <v>0</v>
      </c>
      <c r="W353" s="212">
        <v>0</v>
      </c>
      <c r="X353" s="212">
        <v>0</v>
      </c>
      <c r="Y353" s="212">
        <v>0</v>
      </c>
      <c r="Z353" s="179">
        <v>1</v>
      </c>
      <c r="AA353" s="213">
        <v>0</v>
      </c>
      <c r="AB353" s="214">
        <v>0</v>
      </c>
      <c r="AC353" s="212">
        <v>0</v>
      </c>
      <c r="AD353" s="212">
        <v>0</v>
      </c>
      <c r="AE353" s="212">
        <v>0</v>
      </c>
      <c r="AF353" s="212">
        <v>0</v>
      </c>
      <c r="AG353" s="212">
        <v>0</v>
      </c>
      <c r="AH353" s="212">
        <v>0</v>
      </c>
      <c r="AI353" s="212">
        <v>0</v>
      </c>
      <c r="AJ353" s="212">
        <v>0</v>
      </c>
      <c r="AK353" s="213">
        <v>0</v>
      </c>
      <c r="AL353" s="215">
        <f t="shared" si="10"/>
        <v>1</v>
      </c>
      <c r="AM353" s="216">
        <f>0</f>
        <v>0</v>
      </c>
      <c r="AN353" s="217">
        <f t="shared" si="11"/>
        <v>1</v>
      </c>
      <c r="AO353" s="276">
        <v>45090</v>
      </c>
      <c r="AP353" s="151" t="s">
        <v>273</v>
      </c>
      <c r="AQ353" s="152" t="s">
        <v>1290</v>
      </c>
      <c r="AR353" s="152" t="s">
        <v>148</v>
      </c>
      <c r="AS353" s="159"/>
      <c r="AT353" s="153"/>
      <c r="AU353" s="154"/>
      <c r="AV353" s="154"/>
      <c r="AW353" s="154"/>
      <c r="AX353" s="155"/>
      <c r="AY353" s="156"/>
      <c r="AZ353" s="157"/>
      <c r="BA353" s="81"/>
      <c r="BB353" s="81"/>
      <c r="BC353" s="81"/>
    </row>
    <row r="354" spans="1:55" ht="28" customHeight="1" x14ac:dyDescent="0.25">
      <c r="A354" s="173">
        <v>349</v>
      </c>
      <c r="B354" s="147">
        <v>45084</v>
      </c>
      <c r="C354" s="77" t="s">
        <v>134</v>
      </c>
      <c r="D354" s="77" t="s">
        <v>135</v>
      </c>
      <c r="E354" s="77" t="s">
        <v>136</v>
      </c>
      <c r="F354" s="219" t="s">
        <v>1186</v>
      </c>
      <c r="G354" s="219" t="s">
        <v>1121</v>
      </c>
      <c r="H354" s="219" t="s">
        <v>110</v>
      </c>
      <c r="I354" s="219" t="s">
        <v>1122</v>
      </c>
      <c r="J354" s="221" t="s">
        <v>1123</v>
      </c>
      <c r="K354" s="220" t="s">
        <v>80</v>
      </c>
      <c r="L354" s="220" t="s">
        <v>1115</v>
      </c>
      <c r="M354" s="220" t="s">
        <v>154</v>
      </c>
      <c r="N354" s="220" t="s">
        <v>80</v>
      </c>
      <c r="O354" s="220" t="s">
        <v>1219</v>
      </c>
      <c r="P354" s="152" t="s">
        <v>80</v>
      </c>
      <c r="Q354" s="307" t="s">
        <v>80</v>
      </c>
      <c r="R354" s="211">
        <f>0</f>
        <v>0</v>
      </c>
      <c r="S354" s="212">
        <v>0</v>
      </c>
      <c r="T354" s="212">
        <v>0</v>
      </c>
      <c r="U354" s="212">
        <v>0</v>
      </c>
      <c r="V354" s="212">
        <v>0</v>
      </c>
      <c r="W354" s="212">
        <v>0</v>
      </c>
      <c r="X354" s="212">
        <v>0</v>
      </c>
      <c r="Y354" s="212">
        <v>0</v>
      </c>
      <c r="Z354" s="179">
        <v>1</v>
      </c>
      <c r="AA354" s="213">
        <v>0</v>
      </c>
      <c r="AB354" s="214">
        <v>0</v>
      </c>
      <c r="AC354" s="212">
        <v>0</v>
      </c>
      <c r="AD354" s="212">
        <v>0</v>
      </c>
      <c r="AE354" s="212">
        <v>0</v>
      </c>
      <c r="AF354" s="212">
        <v>0</v>
      </c>
      <c r="AG354" s="212">
        <v>0</v>
      </c>
      <c r="AH354" s="212">
        <v>0</v>
      </c>
      <c r="AI354" s="212">
        <v>0</v>
      </c>
      <c r="AJ354" s="212">
        <v>0</v>
      </c>
      <c r="AK354" s="213">
        <v>0</v>
      </c>
      <c r="AL354" s="215">
        <f t="shared" si="10"/>
        <v>1</v>
      </c>
      <c r="AM354" s="216">
        <f>0</f>
        <v>0</v>
      </c>
      <c r="AN354" s="217">
        <f t="shared" si="11"/>
        <v>1</v>
      </c>
      <c r="AO354" s="276">
        <v>45096</v>
      </c>
      <c r="AP354" s="224" t="s">
        <v>273</v>
      </c>
      <c r="AQ354" s="225" t="s">
        <v>1294</v>
      </c>
      <c r="AR354" s="247" t="s">
        <v>669</v>
      </c>
      <c r="AS354" s="226"/>
      <c r="AT354" s="219"/>
      <c r="AU354" s="154"/>
      <c r="AV354" s="154"/>
      <c r="AW354" s="154"/>
      <c r="AX354" s="155"/>
      <c r="AY354" s="156"/>
      <c r="AZ354" s="157"/>
      <c r="BA354" s="81"/>
      <c r="BB354" s="81"/>
      <c r="BC354" s="81"/>
    </row>
    <row r="355" spans="1:55" ht="28" customHeight="1" x14ac:dyDescent="0.25">
      <c r="A355" s="173">
        <v>350</v>
      </c>
      <c r="B355" s="147">
        <v>45084</v>
      </c>
      <c r="C355" s="77" t="s">
        <v>134</v>
      </c>
      <c r="D355" s="77" t="s">
        <v>135</v>
      </c>
      <c r="E355" s="77" t="s">
        <v>136</v>
      </c>
      <c r="F355" s="219" t="s">
        <v>1186</v>
      </c>
      <c r="G355" s="219" t="s">
        <v>1124</v>
      </c>
      <c r="H355" s="219" t="s">
        <v>110</v>
      </c>
      <c r="I355" s="219" t="s">
        <v>1125</v>
      </c>
      <c r="J355" s="221" t="s">
        <v>1126</v>
      </c>
      <c r="K355" s="220" t="s">
        <v>80</v>
      </c>
      <c r="L355" s="220" t="s">
        <v>1115</v>
      </c>
      <c r="M355" s="220" t="s">
        <v>154</v>
      </c>
      <c r="N355" s="220" t="s">
        <v>212</v>
      </c>
      <c r="O355" s="220" t="s">
        <v>1219</v>
      </c>
      <c r="P355" s="152" t="s">
        <v>80</v>
      </c>
      <c r="Q355" s="307" t="s">
        <v>80</v>
      </c>
      <c r="R355" s="211">
        <f>0</f>
        <v>0</v>
      </c>
      <c r="S355" s="212">
        <v>0</v>
      </c>
      <c r="T355" s="212">
        <v>0</v>
      </c>
      <c r="U355" s="212">
        <v>0</v>
      </c>
      <c r="V355" s="212">
        <v>0</v>
      </c>
      <c r="W355" s="212">
        <v>0</v>
      </c>
      <c r="X355" s="212">
        <v>0</v>
      </c>
      <c r="Y355" s="212">
        <v>0</v>
      </c>
      <c r="Z355" s="179">
        <v>1</v>
      </c>
      <c r="AA355" s="213">
        <v>0</v>
      </c>
      <c r="AB355" s="214">
        <v>0</v>
      </c>
      <c r="AC355" s="212">
        <v>0</v>
      </c>
      <c r="AD355" s="212">
        <v>0</v>
      </c>
      <c r="AE355" s="212">
        <v>0</v>
      </c>
      <c r="AF355" s="212">
        <v>0</v>
      </c>
      <c r="AG355" s="212">
        <v>0</v>
      </c>
      <c r="AH355" s="212">
        <v>0</v>
      </c>
      <c r="AI355" s="212">
        <v>0</v>
      </c>
      <c r="AJ355" s="212">
        <v>0</v>
      </c>
      <c r="AK355" s="213">
        <v>0</v>
      </c>
      <c r="AL355" s="215">
        <f t="shared" si="10"/>
        <v>1</v>
      </c>
      <c r="AM355" s="216">
        <f>0</f>
        <v>0</v>
      </c>
      <c r="AN355" s="217">
        <f t="shared" si="11"/>
        <v>1</v>
      </c>
      <c r="AO355" s="276">
        <v>45096</v>
      </c>
      <c r="AP355" s="224" t="s">
        <v>273</v>
      </c>
      <c r="AQ355" s="225" t="s">
        <v>1294</v>
      </c>
      <c r="AR355" s="247" t="s">
        <v>669</v>
      </c>
      <c r="AS355" s="226"/>
      <c r="AT355" s="219"/>
      <c r="AU355" s="154"/>
      <c r="AV355" s="154"/>
      <c r="AW355" s="154"/>
      <c r="AX355" s="155"/>
      <c r="AY355" s="156"/>
      <c r="AZ355" s="157"/>
      <c r="BA355" s="81"/>
      <c r="BB355" s="81"/>
      <c r="BC355" s="81"/>
    </row>
    <row r="356" spans="1:55" ht="28" customHeight="1" x14ac:dyDescent="0.25">
      <c r="A356" s="173">
        <v>351</v>
      </c>
      <c r="B356" s="147">
        <v>45084</v>
      </c>
      <c r="C356" s="77" t="s">
        <v>134</v>
      </c>
      <c r="D356" s="77" t="s">
        <v>135</v>
      </c>
      <c r="E356" s="77" t="s">
        <v>136</v>
      </c>
      <c r="F356" s="219" t="s">
        <v>1186</v>
      </c>
      <c r="G356" s="219" t="s">
        <v>1127</v>
      </c>
      <c r="H356" s="219" t="s">
        <v>110</v>
      </c>
      <c r="I356" s="219" t="s">
        <v>1128</v>
      </c>
      <c r="J356" s="221" t="s">
        <v>1129</v>
      </c>
      <c r="K356" s="220" t="s">
        <v>80</v>
      </c>
      <c r="L356" s="220" t="s">
        <v>1115</v>
      </c>
      <c r="M356" s="220" t="s">
        <v>154</v>
      </c>
      <c r="N356" s="220" t="s">
        <v>80</v>
      </c>
      <c r="O356" s="220" t="s">
        <v>1219</v>
      </c>
      <c r="P356" s="152" t="s">
        <v>80</v>
      </c>
      <c r="Q356" s="307" t="s">
        <v>80</v>
      </c>
      <c r="R356" s="211">
        <f>0</f>
        <v>0</v>
      </c>
      <c r="S356" s="212">
        <v>0</v>
      </c>
      <c r="T356" s="212">
        <v>0</v>
      </c>
      <c r="U356" s="212">
        <v>0</v>
      </c>
      <c r="V356" s="212">
        <v>0</v>
      </c>
      <c r="W356" s="212">
        <v>0</v>
      </c>
      <c r="X356" s="212">
        <v>0</v>
      </c>
      <c r="Y356" s="212">
        <v>0</v>
      </c>
      <c r="Z356" s="179">
        <v>1</v>
      </c>
      <c r="AA356" s="213">
        <v>0</v>
      </c>
      <c r="AB356" s="214">
        <v>0</v>
      </c>
      <c r="AC356" s="212">
        <v>0</v>
      </c>
      <c r="AD356" s="212">
        <v>0</v>
      </c>
      <c r="AE356" s="212">
        <v>0</v>
      </c>
      <c r="AF356" s="212">
        <v>0</v>
      </c>
      <c r="AG356" s="212">
        <v>0</v>
      </c>
      <c r="AH356" s="212">
        <v>0</v>
      </c>
      <c r="AI356" s="212">
        <v>0</v>
      </c>
      <c r="AJ356" s="212">
        <v>0</v>
      </c>
      <c r="AK356" s="213">
        <v>0</v>
      </c>
      <c r="AL356" s="215">
        <f t="shared" si="10"/>
        <v>1</v>
      </c>
      <c r="AM356" s="216">
        <f>0</f>
        <v>0</v>
      </c>
      <c r="AN356" s="217">
        <f t="shared" si="11"/>
        <v>1</v>
      </c>
      <c r="AO356" s="276">
        <v>45096</v>
      </c>
      <c r="AP356" s="224" t="s">
        <v>273</v>
      </c>
      <c r="AQ356" s="225" t="s">
        <v>1294</v>
      </c>
      <c r="AR356" s="247" t="s">
        <v>669</v>
      </c>
      <c r="AS356" s="226"/>
      <c r="AT356" s="219"/>
      <c r="AU356" s="154"/>
      <c r="AV356" s="154"/>
      <c r="AW356" s="154"/>
      <c r="AX356" s="155"/>
      <c r="AY356" s="156"/>
      <c r="AZ356" s="157"/>
      <c r="BA356" s="81"/>
      <c r="BB356" s="81"/>
      <c r="BC356" s="81"/>
    </row>
    <row r="357" spans="1:55" ht="28" customHeight="1" x14ac:dyDescent="0.25">
      <c r="A357" s="173">
        <v>352</v>
      </c>
      <c r="B357" s="147">
        <v>45084</v>
      </c>
      <c r="C357" s="77" t="s">
        <v>134</v>
      </c>
      <c r="D357" s="77" t="s">
        <v>135</v>
      </c>
      <c r="E357" s="77" t="s">
        <v>136</v>
      </c>
      <c r="F357" s="219" t="s">
        <v>1186</v>
      </c>
      <c r="G357" s="219" t="s">
        <v>1130</v>
      </c>
      <c r="H357" s="219" t="s">
        <v>110</v>
      </c>
      <c r="I357" s="219" t="s">
        <v>1131</v>
      </c>
      <c r="J357" s="221" t="s">
        <v>1132</v>
      </c>
      <c r="K357" s="220" t="s">
        <v>80</v>
      </c>
      <c r="L357" s="220" t="s">
        <v>1298</v>
      </c>
      <c r="M357" s="220" t="s">
        <v>479</v>
      </c>
      <c r="N357" s="220" t="s">
        <v>212</v>
      </c>
      <c r="O357" s="220" t="s">
        <v>1219</v>
      </c>
      <c r="P357" s="152" t="s">
        <v>80</v>
      </c>
      <c r="Q357" s="307" t="s">
        <v>80</v>
      </c>
      <c r="R357" s="211">
        <f>0</f>
        <v>0</v>
      </c>
      <c r="S357" s="212">
        <v>0</v>
      </c>
      <c r="T357" s="212">
        <v>0</v>
      </c>
      <c r="U357" s="212">
        <v>0</v>
      </c>
      <c r="V357" s="212">
        <v>0</v>
      </c>
      <c r="W357" s="212">
        <v>0</v>
      </c>
      <c r="X357" s="212">
        <v>0</v>
      </c>
      <c r="Y357" s="212">
        <v>0</v>
      </c>
      <c r="Z357" s="179">
        <v>1</v>
      </c>
      <c r="AA357" s="213">
        <v>0</v>
      </c>
      <c r="AB357" s="214">
        <v>0</v>
      </c>
      <c r="AC357" s="212">
        <v>0</v>
      </c>
      <c r="AD357" s="212">
        <v>0</v>
      </c>
      <c r="AE357" s="212">
        <v>0</v>
      </c>
      <c r="AF357" s="212">
        <v>0</v>
      </c>
      <c r="AG357" s="212">
        <v>0</v>
      </c>
      <c r="AH357" s="212">
        <v>0</v>
      </c>
      <c r="AI357" s="212">
        <v>0</v>
      </c>
      <c r="AJ357" s="212">
        <v>0</v>
      </c>
      <c r="AK357" s="213">
        <v>0</v>
      </c>
      <c r="AL357" s="215">
        <f t="shared" si="10"/>
        <v>1</v>
      </c>
      <c r="AM357" s="216">
        <f>0</f>
        <v>0</v>
      </c>
      <c r="AN357" s="217">
        <f t="shared" si="11"/>
        <v>1</v>
      </c>
      <c r="AO357" s="277">
        <v>45110</v>
      </c>
      <c r="AP357" s="224" t="s">
        <v>273</v>
      </c>
      <c r="AQ357" s="225" t="s">
        <v>1663</v>
      </c>
      <c r="AR357" s="219" t="s">
        <v>1662</v>
      </c>
      <c r="AS357" s="226"/>
      <c r="AT357" s="219"/>
      <c r="AU357" s="154"/>
      <c r="AV357" s="154"/>
      <c r="AW357" s="154"/>
      <c r="AX357" s="155"/>
      <c r="AY357" s="156"/>
      <c r="AZ357" s="157"/>
      <c r="BA357" s="81"/>
      <c r="BB357" s="81"/>
      <c r="BC357" s="81"/>
    </row>
    <row r="358" spans="1:55" ht="28" customHeight="1" x14ac:dyDescent="0.25">
      <c r="A358" s="173">
        <v>353</v>
      </c>
      <c r="B358" s="147">
        <v>45084</v>
      </c>
      <c r="C358" s="77" t="s">
        <v>134</v>
      </c>
      <c r="D358" s="77" t="s">
        <v>135</v>
      </c>
      <c r="E358" s="77" t="s">
        <v>136</v>
      </c>
      <c r="F358" s="219" t="s">
        <v>1186</v>
      </c>
      <c r="G358" s="219" t="s">
        <v>1133</v>
      </c>
      <c r="H358" s="219" t="s">
        <v>110</v>
      </c>
      <c r="I358" s="219" t="s">
        <v>251</v>
      </c>
      <c r="J358" s="221" t="s">
        <v>1134</v>
      </c>
      <c r="K358" s="220" t="s">
        <v>80</v>
      </c>
      <c r="L358" s="220" t="s">
        <v>209</v>
      </c>
      <c r="M358" s="220" t="s">
        <v>114</v>
      </c>
      <c r="N358" s="220" t="s">
        <v>80</v>
      </c>
      <c r="O358" s="220" t="s">
        <v>1219</v>
      </c>
      <c r="P358" s="152" t="s">
        <v>80</v>
      </c>
      <c r="Q358" s="307" t="s">
        <v>80</v>
      </c>
      <c r="R358" s="211">
        <f>0</f>
        <v>0</v>
      </c>
      <c r="S358" s="212">
        <v>0</v>
      </c>
      <c r="T358" s="212">
        <v>0</v>
      </c>
      <c r="U358" s="212">
        <v>0</v>
      </c>
      <c r="V358" s="212">
        <v>0</v>
      </c>
      <c r="W358" s="212">
        <v>0</v>
      </c>
      <c r="X358" s="212">
        <v>0</v>
      </c>
      <c r="Y358" s="212">
        <v>0</v>
      </c>
      <c r="Z358" s="179">
        <v>1</v>
      </c>
      <c r="AA358" s="213">
        <v>0</v>
      </c>
      <c r="AB358" s="214">
        <v>0</v>
      </c>
      <c r="AC358" s="212">
        <v>0</v>
      </c>
      <c r="AD358" s="212">
        <v>0</v>
      </c>
      <c r="AE358" s="212">
        <v>0</v>
      </c>
      <c r="AF358" s="212">
        <v>0</v>
      </c>
      <c r="AG358" s="212">
        <v>0</v>
      </c>
      <c r="AH358" s="212">
        <v>0</v>
      </c>
      <c r="AI358" s="212">
        <v>0</v>
      </c>
      <c r="AJ358" s="212">
        <v>0</v>
      </c>
      <c r="AK358" s="213">
        <v>0</v>
      </c>
      <c r="AL358" s="215">
        <f t="shared" si="10"/>
        <v>1</v>
      </c>
      <c r="AM358" s="216">
        <f>0</f>
        <v>0</v>
      </c>
      <c r="AN358" s="217">
        <f t="shared" si="11"/>
        <v>1</v>
      </c>
      <c r="AO358" s="276">
        <v>45090</v>
      </c>
      <c r="AP358" s="223" t="s">
        <v>273</v>
      </c>
      <c r="AQ358" s="153" t="s">
        <v>1291</v>
      </c>
      <c r="AR358" s="219" t="s">
        <v>276</v>
      </c>
      <c r="AS358" s="159"/>
      <c r="AT358" s="153"/>
      <c r="AU358" s="154">
        <v>1</v>
      </c>
      <c r="AV358" s="154"/>
      <c r="AW358" s="154" t="s">
        <v>457</v>
      </c>
      <c r="AX358" s="155"/>
      <c r="AY358" s="156"/>
      <c r="AZ358" s="157"/>
      <c r="BA358" s="81"/>
      <c r="BB358" s="81"/>
      <c r="BC358" s="81"/>
    </row>
    <row r="359" spans="1:55" ht="28" customHeight="1" x14ac:dyDescent="0.25">
      <c r="A359" s="173">
        <v>354</v>
      </c>
      <c r="B359" s="147">
        <v>45084</v>
      </c>
      <c r="C359" s="77" t="s">
        <v>134</v>
      </c>
      <c r="D359" s="77" t="s">
        <v>135</v>
      </c>
      <c r="E359" s="77" t="s">
        <v>136</v>
      </c>
      <c r="F359" s="219" t="s">
        <v>1186</v>
      </c>
      <c r="G359" s="219" t="s">
        <v>1135</v>
      </c>
      <c r="H359" s="219" t="s">
        <v>110</v>
      </c>
      <c r="I359" s="219" t="s">
        <v>251</v>
      </c>
      <c r="J359" s="221" t="s">
        <v>1136</v>
      </c>
      <c r="K359" s="220" t="s">
        <v>80</v>
      </c>
      <c r="L359" s="220" t="s">
        <v>209</v>
      </c>
      <c r="M359" s="220" t="s">
        <v>114</v>
      </c>
      <c r="N359" s="220" t="s">
        <v>80</v>
      </c>
      <c r="O359" s="220" t="s">
        <v>1219</v>
      </c>
      <c r="P359" s="152" t="s">
        <v>80</v>
      </c>
      <c r="Q359" s="307" t="s">
        <v>80</v>
      </c>
      <c r="R359" s="211">
        <f>0</f>
        <v>0</v>
      </c>
      <c r="S359" s="212">
        <v>0</v>
      </c>
      <c r="T359" s="212">
        <v>0</v>
      </c>
      <c r="U359" s="212">
        <v>0</v>
      </c>
      <c r="V359" s="212">
        <v>0</v>
      </c>
      <c r="W359" s="212">
        <v>0</v>
      </c>
      <c r="X359" s="212">
        <v>0</v>
      </c>
      <c r="Y359" s="212">
        <v>0</v>
      </c>
      <c r="Z359" s="179">
        <v>1</v>
      </c>
      <c r="AA359" s="213">
        <v>0</v>
      </c>
      <c r="AB359" s="214">
        <v>0</v>
      </c>
      <c r="AC359" s="212">
        <v>0</v>
      </c>
      <c r="AD359" s="212">
        <v>0</v>
      </c>
      <c r="AE359" s="212">
        <v>0</v>
      </c>
      <c r="AF359" s="212">
        <v>0</v>
      </c>
      <c r="AG359" s="212">
        <v>0</v>
      </c>
      <c r="AH359" s="212">
        <v>0</v>
      </c>
      <c r="AI359" s="212">
        <v>0</v>
      </c>
      <c r="AJ359" s="212">
        <v>0</v>
      </c>
      <c r="AK359" s="213">
        <v>0</v>
      </c>
      <c r="AL359" s="215">
        <f t="shared" si="10"/>
        <v>1</v>
      </c>
      <c r="AM359" s="216">
        <f>0</f>
        <v>0</v>
      </c>
      <c r="AN359" s="217">
        <f t="shared" si="11"/>
        <v>1</v>
      </c>
      <c r="AO359" s="276">
        <v>45090</v>
      </c>
      <c r="AP359" s="223" t="s">
        <v>273</v>
      </c>
      <c r="AQ359" s="153" t="s">
        <v>1291</v>
      </c>
      <c r="AR359" s="219" t="s">
        <v>276</v>
      </c>
      <c r="AS359" s="159"/>
      <c r="AT359" s="153"/>
      <c r="AU359" s="154">
        <v>1</v>
      </c>
      <c r="AV359" s="154"/>
      <c r="AW359" s="154" t="s">
        <v>457</v>
      </c>
      <c r="AX359" s="155"/>
      <c r="AY359" s="156"/>
      <c r="AZ359" s="157"/>
      <c r="BA359" s="81"/>
      <c r="BB359" s="81"/>
      <c r="BC359" s="81"/>
    </row>
    <row r="360" spans="1:55" ht="28" customHeight="1" x14ac:dyDescent="0.25">
      <c r="A360" s="173">
        <v>355</v>
      </c>
      <c r="B360" s="147">
        <v>45084</v>
      </c>
      <c r="C360" s="77" t="s">
        <v>134</v>
      </c>
      <c r="D360" s="77" t="s">
        <v>135</v>
      </c>
      <c r="E360" s="77" t="s">
        <v>136</v>
      </c>
      <c r="F360" s="219" t="s">
        <v>1186</v>
      </c>
      <c r="G360" s="219" t="s">
        <v>1137</v>
      </c>
      <c r="H360" s="219" t="s">
        <v>287</v>
      </c>
      <c r="I360" s="219" t="s">
        <v>126</v>
      </c>
      <c r="J360" s="221" t="s">
        <v>1138</v>
      </c>
      <c r="K360" s="220" t="s">
        <v>80</v>
      </c>
      <c r="L360" s="220" t="s">
        <v>209</v>
      </c>
      <c r="M360" s="220" t="s">
        <v>114</v>
      </c>
      <c r="N360" s="220" t="s">
        <v>80</v>
      </c>
      <c r="O360" s="220" t="s">
        <v>1219</v>
      </c>
      <c r="P360" s="152" t="s">
        <v>80</v>
      </c>
      <c r="Q360" s="307" t="s">
        <v>80</v>
      </c>
      <c r="R360" s="211">
        <f>0</f>
        <v>0</v>
      </c>
      <c r="S360" s="212">
        <v>0</v>
      </c>
      <c r="T360" s="212">
        <v>0</v>
      </c>
      <c r="U360" s="212">
        <v>0</v>
      </c>
      <c r="V360" s="212">
        <v>0</v>
      </c>
      <c r="W360" s="212">
        <v>0</v>
      </c>
      <c r="X360" s="212">
        <v>0</v>
      </c>
      <c r="Y360" s="212">
        <v>0</v>
      </c>
      <c r="Z360" s="179">
        <v>1</v>
      </c>
      <c r="AA360" s="213">
        <v>0</v>
      </c>
      <c r="AB360" s="214">
        <v>0</v>
      </c>
      <c r="AC360" s="212">
        <v>0</v>
      </c>
      <c r="AD360" s="212">
        <v>0</v>
      </c>
      <c r="AE360" s="212">
        <v>0</v>
      </c>
      <c r="AF360" s="212">
        <v>0</v>
      </c>
      <c r="AG360" s="212">
        <v>0</v>
      </c>
      <c r="AH360" s="212">
        <v>0</v>
      </c>
      <c r="AI360" s="212">
        <v>0</v>
      </c>
      <c r="AJ360" s="212">
        <v>0</v>
      </c>
      <c r="AK360" s="213">
        <v>0</v>
      </c>
      <c r="AL360" s="215">
        <f t="shared" si="10"/>
        <v>1</v>
      </c>
      <c r="AM360" s="216">
        <f>0</f>
        <v>0</v>
      </c>
      <c r="AN360" s="217">
        <f t="shared" si="11"/>
        <v>1</v>
      </c>
      <c r="AO360" s="276">
        <v>45090</v>
      </c>
      <c r="AP360" s="223" t="s">
        <v>273</v>
      </c>
      <c r="AQ360" s="153" t="s">
        <v>1291</v>
      </c>
      <c r="AR360" s="219" t="s">
        <v>276</v>
      </c>
      <c r="AS360" s="159"/>
      <c r="AT360" s="153"/>
      <c r="AU360" s="154">
        <v>1</v>
      </c>
      <c r="AV360" s="154"/>
      <c r="AW360" s="154" t="s">
        <v>457</v>
      </c>
      <c r="AX360" s="155"/>
      <c r="AY360" s="156"/>
      <c r="AZ360" s="157"/>
      <c r="BA360" s="81"/>
      <c r="BB360" s="81"/>
      <c r="BC360" s="81"/>
    </row>
    <row r="361" spans="1:55" ht="28" customHeight="1" x14ac:dyDescent="0.25">
      <c r="A361" s="173">
        <v>356</v>
      </c>
      <c r="B361" s="147">
        <v>45084</v>
      </c>
      <c r="C361" s="77" t="s">
        <v>134</v>
      </c>
      <c r="D361" s="77" t="s">
        <v>135</v>
      </c>
      <c r="E361" s="77" t="s">
        <v>136</v>
      </c>
      <c r="F361" s="219" t="s">
        <v>1186</v>
      </c>
      <c r="G361" s="219" t="s">
        <v>1139</v>
      </c>
      <c r="H361" s="219" t="s">
        <v>110</v>
      </c>
      <c r="I361" s="219" t="s">
        <v>1006</v>
      </c>
      <c r="J361" s="221" t="s">
        <v>1140</v>
      </c>
      <c r="K361" s="220" t="s">
        <v>80</v>
      </c>
      <c r="L361" s="220" t="s">
        <v>209</v>
      </c>
      <c r="M361" s="220" t="s">
        <v>114</v>
      </c>
      <c r="N361" s="220" t="s">
        <v>80</v>
      </c>
      <c r="O361" s="220" t="s">
        <v>1219</v>
      </c>
      <c r="P361" s="152" t="s">
        <v>80</v>
      </c>
      <c r="Q361" s="307" t="s">
        <v>80</v>
      </c>
      <c r="R361" s="211">
        <f>0</f>
        <v>0</v>
      </c>
      <c r="S361" s="212">
        <v>0</v>
      </c>
      <c r="T361" s="212">
        <v>0</v>
      </c>
      <c r="U361" s="212">
        <v>0</v>
      </c>
      <c r="V361" s="212">
        <v>0</v>
      </c>
      <c r="W361" s="212">
        <v>0</v>
      </c>
      <c r="X361" s="212">
        <v>0</v>
      </c>
      <c r="Y361" s="212">
        <v>0</v>
      </c>
      <c r="Z361" s="179">
        <v>1</v>
      </c>
      <c r="AA361" s="213">
        <v>0</v>
      </c>
      <c r="AB361" s="214">
        <v>0</v>
      </c>
      <c r="AC361" s="212">
        <v>0</v>
      </c>
      <c r="AD361" s="212">
        <v>0</v>
      </c>
      <c r="AE361" s="212">
        <v>0</v>
      </c>
      <c r="AF361" s="212">
        <v>0</v>
      </c>
      <c r="AG361" s="212">
        <v>0</v>
      </c>
      <c r="AH361" s="212">
        <v>0</v>
      </c>
      <c r="AI361" s="212">
        <v>0</v>
      </c>
      <c r="AJ361" s="212">
        <v>0</v>
      </c>
      <c r="AK361" s="213">
        <v>0</v>
      </c>
      <c r="AL361" s="215">
        <f t="shared" si="10"/>
        <v>1</v>
      </c>
      <c r="AM361" s="216">
        <f>0</f>
        <v>0</v>
      </c>
      <c r="AN361" s="217">
        <f t="shared" si="11"/>
        <v>1</v>
      </c>
      <c r="AO361" s="276">
        <v>45090</v>
      </c>
      <c r="AP361" s="223" t="s">
        <v>273</v>
      </c>
      <c r="AQ361" s="153" t="s">
        <v>1291</v>
      </c>
      <c r="AR361" s="219" t="s">
        <v>276</v>
      </c>
      <c r="AS361" s="159"/>
      <c r="AT361" s="153"/>
      <c r="AU361" s="154">
        <v>1</v>
      </c>
      <c r="AV361" s="154"/>
      <c r="AW361" s="154" t="s">
        <v>457</v>
      </c>
      <c r="AX361" s="155"/>
      <c r="AY361" s="156"/>
      <c r="AZ361" s="157"/>
      <c r="BA361" s="81"/>
      <c r="BB361" s="81"/>
      <c r="BC361" s="81"/>
    </row>
    <row r="362" spans="1:55" ht="28" customHeight="1" x14ac:dyDescent="0.25">
      <c r="A362" s="173">
        <v>357</v>
      </c>
      <c r="B362" s="147">
        <v>45084</v>
      </c>
      <c r="C362" s="77" t="s">
        <v>134</v>
      </c>
      <c r="D362" s="77" t="s">
        <v>135</v>
      </c>
      <c r="E362" s="77" t="s">
        <v>136</v>
      </c>
      <c r="F362" s="219" t="s">
        <v>1186</v>
      </c>
      <c r="G362" s="219" t="s">
        <v>1141</v>
      </c>
      <c r="H362" s="219" t="s">
        <v>110</v>
      </c>
      <c r="I362" s="219" t="s">
        <v>251</v>
      </c>
      <c r="J362" s="221" t="s">
        <v>1142</v>
      </c>
      <c r="K362" s="220" t="s">
        <v>80</v>
      </c>
      <c r="L362" s="220" t="s">
        <v>209</v>
      </c>
      <c r="M362" s="220" t="s">
        <v>114</v>
      </c>
      <c r="N362" s="220" t="s">
        <v>80</v>
      </c>
      <c r="O362" s="220" t="s">
        <v>1219</v>
      </c>
      <c r="P362" s="152" t="s">
        <v>80</v>
      </c>
      <c r="Q362" s="307" t="s">
        <v>80</v>
      </c>
      <c r="R362" s="211">
        <f>0</f>
        <v>0</v>
      </c>
      <c r="S362" s="212">
        <v>0</v>
      </c>
      <c r="T362" s="212">
        <v>0</v>
      </c>
      <c r="U362" s="212">
        <v>0</v>
      </c>
      <c r="V362" s="212">
        <v>0</v>
      </c>
      <c r="W362" s="212">
        <v>0</v>
      </c>
      <c r="X362" s="212">
        <v>0</v>
      </c>
      <c r="Y362" s="212">
        <v>0</v>
      </c>
      <c r="Z362" s="179">
        <v>1</v>
      </c>
      <c r="AA362" s="213">
        <v>0</v>
      </c>
      <c r="AB362" s="214">
        <v>0</v>
      </c>
      <c r="AC362" s="212">
        <v>0</v>
      </c>
      <c r="AD362" s="212">
        <v>0</v>
      </c>
      <c r="AE362" s="212">
        <v>0</v>
      </c>
      <c r="AF362" s="212">
        <v>0</v>
      </c>
      <c r="AG362" s="212">
        <v>0</v>
      </c>
      <c r="AH362" s="212">
        <v>0</v>
      </c>
      <c r="AI362" s="212">
        <v>0</v>
      </c>
      <c r="AJ362" s="212">
        <v>0</v>
      </c>
      <c r="AK362" s="213">
        <v>0</v>
      </c>
      <c r="AL362" s="215">
        <f t="shared" si="10"/>
        <v>1</v>
      </c>
      <c r="AM362" s="216">
        <f>0</f>
        <v>0</v>
      </c>
      <c r="AN362" s="217">
        <f t="shared" si="11"/>
        <v>1</v>
      </c>
      <c r="AO362" s="276">
        <v>45090</v>
      </c>
      <c r="AP362" s="223" t="s">
        <v>273</v>
      </c>
      <c r="AQ362" s="153" t="s">
        <v>1291</v>
      </c>
      <c r="AR362" s="219" t="s">
        <v>276</v>
      </c>
      <c r="AS362" s="159"/>
      <c r="AT362" s="153"/>
      <c r="AU362" s="154">
        <v>1</v>
      </c>
      <c r="AV362" s="154"/>
      <c r="AW362" s="154" t="s">
        <v>457</v>
      </c>
      <c r="AX362" s="155"/>
      <c r="AY362" s="156"/>
      <c r="AZ362" s="157"/>
      <c r="BA362" s="81"/>
      <c r="BB362" s="81"/>
      <c r="BC362" s="81"/>
    </row>
    <row r="363" spans="1:55" ht="28" customHeight="1" x14ac:dyDescent="0.25">
      <c r="A363" s="173">
        <v>358</v>
      </c>
      <c r="B363" s="147">
        <v>45084</v>
      </c>
      <c r="C363" s="77" t="s">
        <v>134</v>
      </c>
      <c r="D363" s="77" t="s">
        <v>135</v>
      </c>
      <c r="E363" s="77" t="s">
        <v>136</v>
      </c>
      <c r="F363" s="219" t="s">
        <v>1186</v>
      </c>
      <c r="G363" s="219" t="s">
        <v>1143</v>
      </c>
      <c r="H363" s="219" t="s">
        <v>110</v>
      </c>
      <c r="I363" s="219" t="s">
        <v>1216</v>
      </c>
      <c r="J363" s="221" t="s">
        <v>1144</v>
      </c>
      <c r="K363" s="220" t="s">
        <v>80</v>
      </c>
      <c r="L363" s="220" t="s">
        <v>209</v>
      </c>
      <c r="M363" s="220" t="s">
        <v>114</v>
      </c>
      <c r="N363" s="220" t="s">
        <v>80</v>
      </c>
      <c r="O363" s="220" t="s">
        <v>1219</v>
      </c>
      <c r="P363" s="152" t="s">
        <v>80</v>
      </c>
      <c r="Q363" s="307" t="s">
        <v>80</v>
      </c>
      <c r="R363" s="211">
        <f>0</f>
        <v>0</v>
      </c>
      <c r="S363" s="212">
        <v>0</v>
      </c>
      <c r="T363" s="212">
        <v>0</v>
      </c>
      <c r="U363" s="212">
        <v>0</v>
      </c>
      <c r="V363" s="212">
        <v>0</v>
      </c>
      <c r="W363" s="212">
        <v>0</v>
      </c>
      <c r="X363" s="212">
        <v>0</v>
      </c>
      <c r="Y363" s="212">
        <v>0</v>
      </c>
      <c r="Z363" s="179">
        <v>1</v>
      </c>
      <c r="AA363" s="213">
        <v>0</v>
      </c>
      <c r="AB363" s="214">
        <v>0</v>
      </c>
      <c r="AC363" s="212">
        <v>0</v>
      </c>
      <c r="AD363" s="212">
        <v>0</v>
      </c>
      <c r="AE363" s="212">
        <v>0</v>
      </c>
      <c r="AF363" s="212">
        <v>0</v>
      </c>
      <c r="AG363" s="212">
        <v>0</v>
      </c>
      <c r="AH363" s="212">
        <v>0</v>
      </c>
      <c r="AI363" s="212">
        <v>0</v>
      </c>
      <c r="AJ363" s="212">
        <v>0</v>
      </c>
      <c r="AK363" s="213">
        <v>0</v>
      </c>
      <c r="AL363" s="215">
        <f t="shared" si="10"/>
        <v>1</v>
      </c>
      <c r="AM363" s="216">
        <f>0</f>
        <v>0</v>
      </c>
      <c r="AN363" s="217">
        <f t="shared" si="11"/>
        <v>1</v>
      </c>
      <c r="AO363" s="276">
        <v>45090</v>
      </c>
      <c r="AP363" s="223" t="s">
        <v>273</v>
      </c>
      <c r="AQ363" s="153" t="s">
        <v>1291</v>
      </c>
      <c r="AR363" s="219" t="s">
        <v>276</v>
      </c>
      <c r="AS363" s="159"/>
      <c r="AT363" s="153"/>
      <c r="AU363" s="154">
        <v>1</v>
      </c>
      <c r="AV363" s="154"/>
      <c r="AW363" s="154" t="s">
        <v>457</v>
      </c>
      <c r="AX363" s="155"/>
      <c r="AY363" s="156"/>
      <c r="AZ363" s="157"/>
      <c r="BA363" s="81"/>
      <c r="BB363" s="81"/>
      <c r="BC363" s="81"/>
    </row>
    <row r="364" spans="1:55" ht="28" customHeight="1" x14ac:dyDescent="0.25">
      <c r="A364" s="173">
        <v>359</v>
      </c>
      <c r="B364" s="147">
        <v>45084</v>
      </c>
      <c r="C364" s="77" t="s">
        <v>134</v>
      </c>
      <c r="D364" s="77" t="s">
        <v>135</v>
      </c>
      <c r="E364" s="77" t="s">
        <v>136</v>
      </c>
      <c r="F364" s="219" t="s">
        <v>1186</v>
      </c>
      <c r="G364" s="219" t="s">
        <v>1145</v>
      </c>
      <c r="H364" s="219" t="s">
        <v>110</v>
      </c>
      <c r="I364" s="219" t="s">
        <v>1146</v>
      </c>
      <c r="J364" s="221" t="s">
        <v>1147</v>
      </c>
      <c r="K364" s="220" t="s">
        <v>80</v>
      </c>
      <c r="L364" s="220" t="s">
        <v>209</v>
      </c>
      <c r="M364" s="220" t="s">
        <v>114</v>
      </c>
      <c r="N364" s="220" t="s">
        <v>80</v>
      </c>
      <c r="O364" s="220" t="s">
        <v>1219</v>
      </c>
      <c r="P364" s="152" t="s">
        <v>80</v>
      </c>
      <c r="Q364" s="307" t="s">
        <v>80</v>
      </c>
      <c r="R364" s="211">
        <f>0</f>
        <v>0</v>
      </c>
      <c r="S364" s="212">
        <v>0</v>
      </c>
      <c r="T364" s="212">
        <v>0</v>
      </c>
      <c r="U364" s="212">
        <v>0</v>
      </c>
      <c r="V364" s="212">
        <v>0</v>
      </c>
      <c r="W364" s="212">
        <v>0</v>
      </c>
      <c r="X364" s="212">
        <v>0</v>
      </c>
      <c r="Y364" s="212">
        <v>0</v>
      </c>
      <c r="Z364" s="179">
        <v>1</v>
      </c>
      <c r="AA364" s="213">
        <v>0</v>
      </c>
      <c r="AB364" s="214">
        <v>0</v>
      </c>
      <c r="AC364" s="212">
        <v>0</v>
      </c>
      <c r="AD364" s="212">
        <v>0</v>
      </c>
      <c r="AE364" s="212">
        <v>0</v>
      </c>
      <c r="AF364" s="212">
        <v>0</v>
      </c>
      <c r="AG364" s="212">
        <v>0</v>
      </c>
      <c r="AH364" s="212">
        <v>0</v>
      </c>
      <c r="AI364" s="212">
        <v>0</v>
      </c>
      <c r="AJ364" s="212">
        <v>0</v>
      </c>
      <c r="AK364" s="213">
        <v>0</v>
      </c>
      <c r="AL364" s="215">
        <f t="shared" si="10"/>
        <v>1</v>
      </c>
      <c r="AM364" s="216">
        <f>0</f>
        <v>0</v>
      </c>
      <c r="AN364" s="217">
        <f t="shared" si="11"/>
        <v>1</v>
      </c>
      <c r="AO364" s="276">
        <v>45090</v>
      </c>
      <c r="AP364" s="223" t="s">
        <v>273</v>
      </c>
      <c r="AQ364" s="153" t="s">
        <v>1291</v>
      </c>
      <c r="AR364" s="219" t="s">
        <v>276</v>
      </c>
      <c r="AS364" s="159"/>
      <c r="AT364" s="153"/>
      <c r="AU364" s="154">
        <v>1</v>
      </c>
      <c r="AV364" s="154"/>
      <c r="AW364" s="154" t="s">
        <v>457</v>
      </c>
      <c r="AX364" s="155"/>
      <c r="AY364" s="156"/>
      <c r="AZ364" s="157"/>
      <c r="BA364" s="81"/>
      <c r="BB364" s="81"/>
      <c r="BC364" s="81"/>
    </row>
    <row r="365" spans="1:55" ht="28" customHeight="1" x14ac:dyDescent="0.25">
      <c r="A365" s="173">
        <v>360</v>
      </c>
      <c r="B365" s="147">
        <v>45084</v>
      </c>
      <c r="C365" s="77" t="s">
        <v>134</v>
      </c>
      <c r="D365" s="77" t="s">
        <v>135</v>
      </c>
      <c r="E365" s="77" t="s">
        <v>136</v>
      </c>
      <c r="F365" s="219" t="s">
        <v>1186</v>
      </c>
      <c r="G365" s="219" t="s">
        <v>1148</v>
      </c>
      <c r="H365" s="219" t="s">
        <v>110</v>
      </c>
      <c r="I365" s="219" t="s">
        <v>1149</v>
      </c>
      <c r="J365" s="221" t="s">
        <v>1150</v>
      </c>
      <c r="K365" s="220" t="s">
        <v>80</v>
      </c>
      <c r="L365" s="220" t="s">
        <v>209</v>
      </c>
      <c r="M365" s="220" t="s">
        <v>114</v>
      </c>
      <c r="N365" s="220" t="s">
        <v>80</v>
      </c>
      <c r="O365" s="220" t="s">
        <v>1219</v>
      </c>
      <c r="P365" s="152" t="s">
        <v>80</v>
      </c>
      <c r="Q365" s="307" t="s">
        <v>80</v>
      </c>
      <c r="R365" s="211">
        <f>0</f>
        <v>0</v>
      </c>
      <c r="S365" s="212">
        <v>0</v>
      </c>
      <c r="T365" s="212">
        <v>0</v>
      </c>
      <c r="U365" s="212">
        <v>0</v>
      </c>
      <c r="V365" s="212">
        <v>0</v>
      </c>
      <c r="W365" s="212">
        <v>0</v>
      </c>
      <c r="X365" s="212">
        <v>0</v>
      </c>
      <c r="Y365" s="212">
        <v>0</v>
      </c>
      <c r="Z365" s="179">
        <v>1</v>
      </c>
      <c r="AA365" s="213">
        <v>0</v>
      </c>
      <c r="AB365" s="214">
        <v>0</v>
      </c>
      <c r="AC365" s="212">
        <v>0</v>
      </c>
      <c r="AD365" s="212">
        <v>0</v>
      </c>
      <c r="AE365" s="212">
        <v>0</v>
      </c>
      <c r="AF365" s="212">
        <v>0</v>
      </c>
      <c r="AG365" s="212">
        <v>0</v>
      </c>
      <c r="AH365" s="212">
        <v>0</v>
      </c>
      <c r="AI365" s="212">
        <v>0</v>
      </c>
      <c r="AJ365" s="212">
        <v>0</v>
      </c>
      <c r="AK365" s="213">
        <v>0</v>
      </c>
      <c r="AL365" s="215">
        <f t="shared" si="10"/>
        <v>1</v>
      </c>
      <c r="AM365" s="216">
        <f>0</f>
        <v>0</v>
      </c>
      <c r="AN365" s="217">
        <f t="shared" si="11"/>
        <v>1</v>
      </c>
      <c r="AO365" s="276">
        <v>45090</v>
      </c>
      <c r="AP365" s="223" t="s">
        <v>273</v>
      </c>
      <c r="AQ365" s="153" t="s">
        <v>1291</v>
      </c>
      <c r="AR365" s="219" t="s">
        <v>276</v>
      </c>
      <c r="AS365" s="159"/>
      <c r="AT365" s="153"/>
      <c r="AU365" s="154">
        <v>1</v>
      </c>
      <c r="AV365" s="154"/>
      <c r="AW365" s="154" t="s">
        <v>457</v>
      </c>
      <c r="AX365" s="155"/>
      <c r="AY365" s="156"/>
      <c r="AZ365" s="157"/>
      <c r="BA365" s="81"/>
      <c r="BB365" s="81"/>
      <c r="BC365" s="81"/>
    </row>
    <row r="366" spans="1:55" ht="28" customHeight="1" x14ac:dyDescent="0.25">
      <c r="A366" s="173">
        <v>361</v>
      </c>
      <c r="B366" s="147">
        <v>45084</v>
      </c>
      <c r="C366" s="77" t="s">
        <v>134</v>
      </c>
      <c r="D366" s="77" t="s">
        <v>135</v>
      </c>
      <c r="E366" s="77" t="s">
        <v>136</v>
      </c>
      <c r="F366" s="219" t="s">
        <v>1186</v>
      </c>
      <c r="G366" s="219" t="s">
        <v>1151</v>
      </c>
      <c r="H366" s="219" t="s">
        <v>110</v>
      </c>
      <c r="I366" s="219" t="s">
        <v>1006</v>
      </c>
      <c r="J366" s="221" t="s">
        <v>1152</v>
      </c>
      <c r="K366" s="220" t="s">
        <v>80</v>
      </c>
      <c r="L366" s="220" t="s">
        <v>209</v>
      </c>
      <c r="M366" s="220" t="s">
        <v>114</v>
      </c>
      <c r="N366" s="220" t="s">
        <v>80</v>
      </c>
      <c r="O366" s="220" t="s">
        <v>1219</v>
      </c>
      <c r="P366" s="152" t="s">
        <v>80</v>
      </c>
      <c r="Q366" s="307" t="s">
        <v>80</v>
      </c>
      <c r="R366" s="211">
        <f>0</f>
        <v>0</v>
      </c>
      <c r="S366" s="212">
        <v>0</v>
      </c>
      <c r="T366" s="212">
        <v>0</v>
      </c>
      <c r="U366" s="212">
        <v>0</v>
      </c>
      <c r="V366" s="212">
        <v>0</v>
      </c>
      <c r="W366" s="212">
        <v>0</v>
      </c>
      <c r="X366" s="212">
        <v>0</v>
      </c>
      <c r="Y366" s="212">
        <v>0</v>
      </c>
      <c r="Z366" s="179">
        <v>1</v>
      </c>
      <c r="AA366" s="213">
        <v>0</v>
      </c>
      <c r="AB366" s="214">
        <v>0</v>
      </c>
      <c r="AC366" s="212">
        <v>0</v>
      </c>
      <c r="AD366" s="212">
        <v>0</v>
      </c>
      <c r="AE366" s="212">
        <v>0</v>
      </c>
      <c r="AF366" s="212">
        <v>0</v>
      </c>
      <c r="AG366" s="212">
        <v>0</v>
      </c>
      <c r="AH366" s="212">
        <v>0</v>
      </c>
      <c r="AI366" s="212">
        <v>0</v>
      </c>
      <c r="AJ366" s="212">
        <v>0</v>
      </c>
      <c r="AK366" s="213">
        <v>0</v>
      </c>
      <c r="AL366" s="215">
        <f t="shared" si="10"/>
        <v>1</v>
      </c>
      <c r="AM366" s="216">
        <f>0</f>
        <v>0</v>
      </c>
      <c r="AN366" s="217">
        <f t="shared" si="11"/>
        <v>1</v>
      </c>
      <c r="AO366" s="276">
        <v>45090</v>
      </c>
      <c r="AP366" s="223" t="s">
        <v>273</v>
      </c>
      <c r="AQ366" s="153" t="s">
        <v>1291</v>
      </c>
      <c r="AR366" s="219" t="s">
        <v>276</v>
      </c>
      <c r="AS366" s="159"/>
      <c r="AT366" s="153"/>
      <c r="AU366" s="154">
        <v>1</v>
      </c>
      <c r="AV366" s="154"/>
      <c r="AW366" s="154" t="s">
        <v>457</v>
      </c>
      <c r="AX366" s="155"/>
      <c r="AY366" s="156"/>
      <c r="AZ366" s="157"/>
      <c r="BA366" s="81"/>
      <c r="BB366" s="81"/>
      <c r="BC366" s="81"/>
    </row>
    <row r="367" spans="1:55" ht="28" customHeight="1" x14ac:dyDescent="0.25">
      <c r="A367" s="173">
        <v>362</v>
      </c>
      <c r="B367" s="147">
        <v>45084</v>
      </c>
      <c r="C367" s="77" t="s">
        <v>134</v>
      </c>
      <c r="D367" s="77" t="s">
        <v>135</v>
      </c>
      <c r="E367" s="77" t="s">
        <v>136</v>
      </c>
      <c r="F367" s="219" t="s">
        <v>1186</v>
      </c>
      <c r="G367" s="219" t="s">
        <v>1153</v>
      </c>
      <c r="H367" s="219" t="s">
        <v>110</v>
      </c>
      <c r="I367" s="219" t="s">
        <v>1006</v>
      </c>
      <c r="J367" s="221" t="s">
        <v>1154</v>
      </c>
      <c r="K367" s="220" t="s">
        <v>80</v>
      </c>
      <c r="L367" s="220" t="s">
        <v>209</v>
      </c>
      <c r="M367" s="220" t="s">
        <v>114</v>
      </c>
      <c r="N367" s="220" t="s">
        <v>80</v>
      </c>
      <c r="O367" s="220" t="s">
        <v>1219</v>
      </c>
      <c r="P367" s="152" t="s">
        <v>80</v>
      </c>
      <c r="Q367" s="307" t="s">
        <v>80</v>
      </c>
      <c r="R367" s="211">
        <f>0</f>
        <v>0</v>
      </c>
      <c r="S367" s="212">
        <v>0</v>
      </c>
      <c r="T367" s="212">
        <v>0</v>
      </c>
      <c r="U367" s="212">
        <v>0</v>
      </c>
      <c r="V367" s="212">
        <v>0</v>
      </c>
      <c r="W367" s="212">
        <v>0</v>
      </c>
      <c r="X367" s="212">
        <v>0</v>
      </c>
      <c r="Y367" s="212">
        <v>0</v>
      </c>
      <c r="Z367" s="179">
        <v>1</v>
      </c>
      <c r="AA367" s="213">
        <v>0</v>
      </c>
      <c r="AB367" s="214">
        <v>0</v>
      </c>
      <c r="AC367" s="212">
        <v>0</v>
      </c>
      <c r="AD367" s="212">
        <v>0</v>
      </c>
      <c r="AE367" s="212">
        <v>0</v>
      </c>
      <c r="AF367" s="212">
        <v>0</v>
      </c>
      <c r="AG367" s="212">
        <v>0</v>
      </c>
      <c r="AH367" s="212">
        <v>0</v>
      </c>
      <c r="AI367" s="212">
        <v>0</v>
      </c>
      <c r="AJ367" s="212">
        <v>0</v>
      </c>
      <c r="AK367" s="213">
        <v>0</v>
      </c>
      <c r="AL367" s="215">
        <f t="shared" si="10"/>
        <v>1</v>
      </c>
      <c r="AM367" s="216">
        <f>0</f>
        <v>0</v>
      </c>
      <c r="AN367" s="217">
        <f t="shared" si="11"/>
        <v>1</v>
      </c>
      <c r="AO367" s="276">
        <v>45090</v>
      </c>
      <c r="AP367" s="223" t="s">
        <v>273</v>
      </c>
      <c r="AQ367" s="153" t="s">
        <v>1291</v>
      </c>
      <c r="AR367" s="219" t="s">
        <v>276</v>
      </c>
      <c r="AS367" s="159"/>
      <c r="AT367" s="153"/>
      <c r="AU367" s="154">
        <v>1</v>
      </c>
      <c r="AV367" s="154"/>
      <c r="AW367" s="154" t="s">
        <v>457</v>
      </c>
      <c r="AX367" s="155"/>
      <c r="AY367" s="156"/>
      <c r="AZ367" s="157"/>
      <c r="BA367" s="81"/>
      <c r="BB367" s="81"/>
      <c r="BC367" s="81"/>
    </row>
    <row r="368" spans="1:55" ht="28" customHeight="1" x14ac:dyDescent="0.25">
      <c r="A368" s="173">
        <v>363</v>
      </c>
      <c r="B368" s="147">
        <v>45084</v>
      </c>
      <c r="C368" s="77" t="s">
        <v>134</v>
      </c>
      <c r="D368" s="77" t="s">
        <v>135</v>
      </c>
      <c r="E368" s="77" t="s">
        <v>136</v>
      </c>
      <c r="F368" s="219" t="s">
        <v>1186</v>
      </c>
      <c r="G368" s="219" t="s">
        <v>1155</v>
      </c>
      <c r="H368" s="219" t="s">
        <v>110</v>
      </c>
      <c r="I368" s="219" t="s">
        <v>251</v>
      </c>
      <c r="J368" s="221" t="s">
        <v>1156</v>
      </c>
      <c r="K368" s="220" t="s">
        <v>80</v>
      </c>
      <c r="L368" s="220" t="s">
        <v>209</v>
      </c>
      <c r="M368" s="220" t="s">
        <v>114</v>
      </c>
      <c r="N368" s="220" t="s">
        <v>80</v>
      </c>
      <c r="O368" s="220" t="s">
        <v>1219</v>
      </c>
      <c r="P368" s="152" t="s">
        <v>80</v>
      </c>
      <c r="Q368" s="307" t="s">
        <v>80</v>
      </c>
      <c r="R368" s="211">
        <f>0</f>
        <v>0</v>
      </c>
      <c r="S368" s="212">
        <v>0</v>
      </c>
      <c r="T368" s="212">
        <v>0</v>
      </c>
      <c r="U368" s="212">
        <v>0</v>
      </c>
      <c r="V368" s="212">
        <v>0</v>
      </c>
      <c r="W368" s="212">
        <v>0</v>
      </c>
      <c r="X368" s="212">
        <v>0</v>
      </c>
      <c r="Y368" s="212">
        <v>0</v>
      </c>
      <c r="Z368" s="179">
        <v>1</v>
      </c>
      <c r="AA368" s="213">
        <v>0</v>
      </c>
      <c r="AB368" s="214">
        <v>0</v>
      </c>
      <c r="AC368" s="212">
        <v>0</v>
      </c>
      <c r="AD368" s="212">
        <v>0</v>
      </c>
      <c r="AE368" s="212">
        <v>0</v>
      </c>
      <c r="AF368" s="212">
        <v>0</v>
      </c>
      <c r="AG368" s="212">
        <v>0</v>
      </c>
      <c r="AH368" s="212">
        <v>0</v>
      </c>
      <c r="AI368" s="212">
        <v>0</v>
      </c>
      <c r="AJ368" s="212">
        <v>0</v>
      </c>
      <c r="AK368" s="213">
        <v>0</v>
      </c>
      <c r="AL368" s="215">
        <f t="shared" si="10"/>
        <v>1</v>
      </c>
      <c r="AM368" s="216">
        <f>0</f>
        <v>0</v>
      </c>
      <c r="AN368" s="217">
        <f t="shared" si="11"/>
        <v>1</v>
      </c>
      <c r="AO368" s="276">
        <v>45090</v>
      </c>
      <c r="AP368" s="223" t="s">
        <v>273</v>
      </c>
      <c r="AQ368" s="153" t="s">
        <v>1291</v>
      </c>
      <c r="AR368" s="219" t="s">
        <v>276</v>
      </c>
      <c r="AS368" s="159"/>
      <c r="AT368" s="153"/>
      <c r="AU368" s="154">
        <v>1</v>
      </c>
      <c r="AV368" s="154"/>
      <c r="AW368" s="154" t="s">
        <v>457</v>
      </c>
      <c r="AX368" s="155"/>
      <c r="AY368" s="156"/>
      <c r="AZ368" s="157"/>
      <c r="BA368" s="81"/>
      <c r="BB368" s="81"/>
      <c r="BC368" s="81"/>
    </row>
    <row r="369" spans="1:55" ht="28" customHeight="1" x14ac:dyDescent="0.25">
      <c r="A369" s="173">
        <v>364</v>
      </c>
      <c r="B369" s="147">
        <v>45084</v>
      </c>
      <c r="C369" s="77" t="s">
        <v>134</v>
      </c>
      <c r="D369" s="77" t="s">
        <v>135</v>
      </c>
      <c r="E369" s="77" t="s">
        <v>136</v>
      </c>
      <c r="F369" s="219" t="s">
        <v>1186</v>
      </c>
      <c r="G369" s="219" t="s">
        <v>1157</v>
      </c>
      <c r="H369" s="219" t="s">
        <v>110</v>
      </c>
      <c r="I369" s="219" t="s">
        <v>251</v>
      </c>
      <c r="J369" s="221" t="s">
        <v>1158</v>
      </c>
      <c r="K369" s="220" t="s">
        <v>80</v>
      </c>
      <c r="L369" s="220" t="s">
        <v>209</v>
      </c>
      <c r="M369" s="220" t="s">
        <v>114</v>
      </c>
      <c r="N369" s="220" t="s">
        <v>80</v>
      </c>
      <c r="O369" s="220" t="s">
        <v>1219</v>
      </c>
      <c r="P369" s="152" t="s">
        <v>80</v>
      </c>
      <c r="Q369" s="307" t="s">
        <v>80</v>
      </c>
      <c r="R369" s="211">
        <f>0</f>
        <v>0</v>
      </c>
      <c r="S369" s="212">
        <v>0</v>
      </c>
      <c r="T369" s="212">
        <v>0</v>
      </c>
      <c r="U369" s="212">
        <v>0</v>
      </c>
      <c r="V369" s="212">
        <v>0</v>
      </c>
      <c r="W369" s="212">
        <v>0</v>
      </c>
      <c r="X369" s="212">
        <v>0</v>
      </c>
      <c r="Y369" s="212">
        <v>0</v>
      </c>
      <c r="Z369" s="179">
        <v>1</v>
      </c>
      <c r="AA369" s="213">
        <v>0</v>
      </c>
      <c r="AB369" s="214">
        <v>0</v>
      </c>
      <c r="AC369" s="212">
        <v>0</v>
      </c>
      <c r="AD369" s="212">
        <v>0</v>
      </c>
      <c r="AE369" s="212">
        <v>0</v>
      </c>
      <c r="AF369" s="212">
        <v>0</v>
      </c>
      <c r="AG369" s="212">
        <v>0</v>
      </c>
      <c r="AH369" s="212">
        <v>0</v>
      </c>
      <c r="AI369" s="212">
        <v>0</v>
      </c>
      <c r="AJ369" s="212">
        <v>0</v>
      </c>
      <c r="AK369" s="213">
        <v>0</v>
      </c>
      <c r="AL369" s="215">
        <f t="shared" si="10"/>
        <v>1</v>
      </c>
      <c r="AM369" s="216">
        <f>0</f>
        <v>0</v>
      </c>
      <c r="AN369" s="217">
        <f t="shared" si="11"/>
        <v>1</v>
      </c>
      <c r="AO369" s="276">
        <v>45090</v>
      </c>
      <c r="AP369" s="223" t="s">
        <v>273</v>
      </c>
      <c r="AQ369" s="153" t="s">
        <v>1291</v>
      </c>
      <c r="AR369" s="219" t="s">
        <v>276</v>
      </c>
      <c r="AS369" s="159"/>
      <c r="AT369" s="153"/>
      <c r="AU369" s="154">
        <v>1</v>
      </c>
      <c r="AV369" s="154"/>
      <c r="AW369" s="154" t="s">
        <v>457</v>
      </c>
      <c r="AX369" s="155"/>
      <c r="AY369" s="156"/>
      <c r="AZ369" s="157"/>
      <c r="BA369" s="81"/>
      <c r="BB369" s="81"/>
      <c r="BC369" s="81"/>
    </row>
    <row r="370" spans="1:55" ht="28" customHeight="1" x14ac:dyDescent="0.25">
      <c r="A370" s="173">
        <v>365</v>
      </c>
      <c r="B370" s="147">
        <v>45084</v>
      </c>
      <c r="C370" s="77" t="s">
        <v>134</v>
      </c>
      <c r="D370" s="77" t="s">
        <v>135</v>
      </c>
      <c r="E370" s="77" t="s">
        <v>136</v>
      </c>
      <c r="F370" s="219" t="s">
        <v>1186</v>
      </c>
      <c r="G370" s="219" t="s">
        <v>1159</v>
      </c>
      <c r="H370" s="219" t="s">
        <v>110</v>
      </c>
      <c r="I370" s="219" t="s">
        <v>126</v>
      </c>
      <c r="J370" s="221" t="s">
        <v>1160</v>
      </c>
      <c r="K370" s="220" t="s">
        <v>80</v>
      </c>
      <c r="L370" s="220" t="s">
        <v>209</v>
      </c>
      <c r="M370" s="220" t="s">
        <v>114</v>
      </c>
      <c r="N370" s="220" t="s">
        <v>80</v>
      </c>
      <c r="O370" s="220" t="s">
        <v>1219</v>
      </c>
      <c r="P370" s="152" t="s">
        <v>80</v>
      </c>
      <c r="Q370" s="307" t="s">
        <v>80</v>
      </c>
      <c r="R370" s="211">
        <f>0</f>
        <v>0</v>
      </c>
      <c r="S370" s="212">
        <v>0</v>
      </c>
      <c r="T370" s="212">
        <v>0</v>
      </c>
      <c r="U370" s="212">
        <v>0</v>
      </c>
      <c r="V370" s="212">
        <v>0</v>
      </c>
      <c r="W370" s="212">
        <v>0</v>
      </c>
      <c r="X370" s="212">
        <v>0</v>
      </c>
      <c r="Y370" s="212">
        <v>0</v>
      </c>
      <c r="Z370" s="179">
        <v>1</v>
      </c>
      <c r="AA370" s="213">
        <v>0</v>
      </c>
      <c r="AB370" s="214">
        <v>0</v>
      </c>
      <c r="AC370" s="212">
        <v>0</v>
      </c>
      <c r="AD370" s="212">
        <v>0</v>
      </c>
      <c r="AE370" s="212">
        <v>0</v>
      </c>
      <c r="AF370" s="212">
        <v>0</v>
      </c>
      <c r="AG370" s="212">
        <v>0</v>
      </c>
      <c r="AH370" s="212">
        <v>0</v>
      </c>
      <c r="AI370" s="212">
        <v>0</v>
      </c>
      <c r="AJ370" s="212">
        <v>0</v>
      </c>
      <c r="AK370" s="213">
        <v>0</v>
      </c>
      <c r="AL370" s="215">
        <f t="shared" si="10"/>
        <v>1</v>
      </c>
      <c r="AM370" s="216">
        <f>0</f>
        <v>0</v>
      </c>
      <c r="AN370" s="217">
        <f t="shared" si="11"/>
        <v>1</v>
      </c>
      <c r="AO370" s="276">
        <v>45090</v>
      </c>
      <c r="AP370" s="223" t="s">
        <v>273</v>
      </c>
      <c r="AQ370" s="153" t="s">
        <v>1291</v>
      </c>
      <c r="AR370" s="219" t="s">
        <v>276</v>
      </c>
      <c r="AS370" s="159"/>
      <c r="AT370" s="153"/>
      <c r="AU370" s="154">
        <v>1</v>
      </c>
      <c r="AV370" s="154"/>
      <c r="AW370" s="154" t="s">
        <v>457</v>
      </c>
      <c r="AX370" s="155"/>
      <c r="AY370" s="156"/>
      <c r="AZ370" s="157"/>
      <c r="BA370" s="81"/>
      <c r="BB370" s="81"/>
      <c r="BC370" s="81"/>
    </row>
    <row r="371" spans="1:55" ht="28" customHeight="1" x14ac:dyDescent="0.25">
      <c r="A371" s="173">
        <v>366</v>
      </c>
      <c r="B371" s="147">
        <v>45084</v>
      </c>
      <c r="C371" s="77" t="s">
        <v>134</v>
      </c>
      <c r="D371" s="77" t="s">
        <v>135</v>
      </c>
      <c r="E371" s="77" t="s">
        <v>136</v>
      </c>
      <c r="F371" s="219" t="s">
        <v>1186</v>
      </c>
      <c r="G371" s="219" t="s">
        <v>1161</v>
      </c>
      <c r="H371" s="219" t="s">
        <v>110</v>
      </c>
      <c r="I371" s="219" t="s">
        <v>1162</v>
      </c>
      <c r="J371" s="221" t="s">
        <v>1163</v>
      </c>
      <c r="K371" s="220"/>
      <c r="L371" s="220" t="s">
        <v>209</v>
      </c>
      <c r="M371" s="220" t="s">
        <v>154</v>
      </c>
      <c r="N371" s="220" t="s">
        <v>80</v>
      </c>
      <c r="O371" s="220" t="s">
        <v>1219</v>
      </c>
      <c r="P371" s="152" t="s">
        <v>80</v>
      </c>
      <c r="Q371" s="307" t="s">
        <v>80</v>
      </c>
      <c r="R371" s="211">
        <f>0</f>
        <v>0</v>
      </c>
      <c r="S371" s="212">
        <v>0</v>
      </c>
      <c r="T371" s="212">
        <v>0</v>
      </c>
      <c r="U371" s="212">
        <v>0</v>
      </c>
      <c r="V371" s="212">
        <v>0</v>
      </c>
      <c r="W371" s="212">
        <v>0</v>
      </c>
      <c r="X371" s="212">
        <v>0</v>
      </c>
      <c r="Y371" s="212">
        <v>0</v>
      </c>
      <c r="Z371" s="179">
        <v>1</v>
      </c>
      <c r="AA371" s="213">
        <v>0</v>
      </c>
      <c r="AB371" s="214">
        <v>0</v>
      </c>
      <c r="AC371" s="212">
        <v>0</v>
      </c>
      <c r="AD371" s="212">
        <v>0</v>
      </c>
      <c r="AE371" s="212">
        <v>0</v>
      </c>
      <c r="AF371" s="212">
        <v>0</v>
      </c>
      <c r="AG371" s="212">
        <v>0</v>
      </c>
      <c r="AH371" s="212">
        <v>0</v>
      </c>
      <c r="AI371" s="212">
        <v>0</v>
      </c>
      <c r="AJ371" s="212">
        <v>0</v>
      </c>
      <c r="AK371" s="213">
        <v>0</v>
      </c>
      <c r="AL371" s="215">
        <f t="shared" si="10"/>
        <v>1</v>
      </c>
      <c r="AM371" s="216">
        <f>0</f>
        <v>0</v>
      </c>
      <c r="AN371" s="217">
        <f t="shared" si="11"/>
        <v>1</v>
      </c>
      <c r="AO371" s="276">
        <v>45090</v>
      </c>
      <c r="AP371" s="151" t="s">
        <v>273</v>
      </c>
      <c r="AQ371" s="152" t="s">
        <v>1290</v>
      </c>
      <c r="AR371" s="152" t="s">
        <v>148</v>
      </c>
      <c r="AS371" s="159"/>
      <c r="AT371" s="153"/>
      <c r="AU371" s="154"/>
      <c r="AV371" s="154"/>
      <c r="AW371" s="154"/>
      <c r="AX371" s="155"/>
      <c r="AY371" s="156"/>
      <c r="AZ371" s="157"/>
      <c r="BA371" s="81"/>
      <c r="BB371" s="81"/>
      <c r="BC371" s="81"/>
    </row>
    <row r="372" spans="1:55" ht="28" customHeight="1" x14ac:dyDescent="0.25">
      <c r="A372" s="173">
        <v>367</v>
      </c>
      <c r="B372" s="147">
        <v>45084</v>
      </c>
      <c r="C372" s="77" t="s">
        <v>134</v>
      </c>
      <c r="D372" s="77" t="s">
        <v>135</v>
      </c>
      <c r="E372" s="77" t="s">
        <v>136</v>
      </c>
      <c r="F372" s="219" t="s">
        <v>1186</v>
      </c>
      <c r="G372" s="219" t="s">
        <v>1164</v>
      </c>
      <c r="H372" s="219" t="s">
        <v>110</v>
      </c>
      <c r="I372" s="219" t="s">
        <v>251</v>
      </c>
      <c r="J372" s="221" t="s">
        <v>1165</v>
      </c>
      <c r="K372" s="220" t="s">
        <v>80</v>
      </c>
      <c r="L372" s="220" t="s">
        <v>209</v>
      </c>
      <c r="M372" s="220" t="s">
        <v>114</v>
      </c>
      <c r="N372" s="220" t="s">
        <v>80</v>
      </c>
      <c r="O372" s="220" t="s">
        <v>1219</v>
      </c>
      <c r="P372" s="152" t="s">
        <v>80</v>
      </c>
      <c r="Q372" s="307" t="s">
        <v>80</v>
      </c>
      <c r="R372" s="211">
        <f>0</f>
        <v>0</v>
      </c>
      <c r="S372" s="212">
        <v>0</v>
      </c>
      <c r="T372" s="212">
        <v>0</v>
      </c>
      <c r="U372" s="212">
        <v>0</v>
      </c>
      <c r="V372" s="212">
        <v>0</v>
      </c>
      <c r="W372" s="212">
        <v>0</v>
      </c>
      <c r="X372" s="212">
        <v>0</v>
      </c>
      <c r="Y372" s="212">
        <v>0</v>
      </c>
      <c r="Z372" s="179">
        <v>1</v>
      </c>
      <c r="AA372" s="213">
        <v>0</v>
      </c>
      <c r="AB372" s="214">
        <v>0</v>
      </c>
      <c r="AC372" s="212">
        <v>0</v>
      </c>
      <c r="AD372" s="212">
        <v>0</v>
      </c>
      <c r="AE372" s="212">
        <v>0</v>
      </c>
      <c r="AF372" s="212">
        <v>0</v>
      </c>
      <c r="AG372" s="212">
        <v>0</v>
      </c>
      <c r="AH372" s="212">
        <v>0</v>
      </c>
      <c r="AI372" s="212">
        <v>0</v>
      </c>
      <c r="AJ372" s="212">
        <v>0</v>
      </c>
      <c r="AK372" s="213">
        <v>0</v>
      </c>
      <c r="AL372" s="215">
        <f t="shared" si="10"/>
        <v>1</v>
      </c>
      <c r="AM372" s="216">
        <f>0</f>
        <v>0</v>
      </c>
      <c r="AN372" s="217">
        <f t="shared" si="11"/>
        <v>1</v>
      </c>
      <c r="AO372" s="276">
        <v>45090</v>
      </c>
      <c r="AP372" s="223" t="s">
        <v>273</v>
      </c>
      <c r="AQ372" s="153" t="s">
        <v>1291</v>
      </c>
      <c r="AR372" s="219" t="s">
        <v>276</v>
      </c>
      <c r="AS372" s="159"/>
      <c r="AT372" s="153"/>
      <c r="AU372" s="154">
        <v>1</v>
      </c>
      <c r="AV372" s="154"/>
      <c r="AW372" s="154" t="s">
        <v>457</v>
      </c>
      <c r="AX372" s="155"/>
      <c r="AY372" s="156"/>
      <c r="AZ372" s="157"/>
      <c r="BA372" s="81"/>
      <c r="BB372" s="81"/>
      <c r="BC372" s="81"/>
    </row>
    <row r="373" spans="1:55" ht="28" customHeight="1" x14ac:dyDescent="0.25">
      <c r="A373" s="173">
        <v>368</v>
      </c>
      <c r="B373" s="147">
        <v>45084</v>
      </c>
      <c r="C373" s="77" t="s">
        <v>134</v>
      </c>
      <c r="D373" s="77" t="s">
        <v>135</v>
      </c>
      <c r="E373" s="77" t="s">
        <v>136</v>
      </c>
      <c r="F373" s="219" t="s">
        <v>1186</v>
      </c>
      <c r="G373" s="219" t="s">
        <v>1166</v>
      </c>
      <c r="H373" s="219" t="s">
        <v>287</v>
      </c>
      <c r="I373" s="219" t="s">
        <v>251</v>
      </c>
      <c r="J373" s="221" t="s">
        <v>1167</v>
      </c>
      <c r="K373" s="220" t="s">
        <v>80</v>
      </c>
      <c r="L373" s="220" t="s">
        <v>209</v>
      </c>
      <c r="M373" s="220" t="s">
        <v>114</v>
      </c>
      <c r="N373" s="220" t="s">
        <v>80</v>
      </c>
      <c r="O373" s="220" t="s">
        <v>1219</v>
      </c>
      <c r="P373" s="152" t="s">
        <v>80</v>
      </c>
      <c r="Q373" s="307" t="s">
        <v>80</v>
      </c>
      <c r="R373" s="211">
        <f>0</f>
        <v>0</v>
      </c>
      <c r="S373" s="212">
        <v>0</v>
      </c>
      <c r="T373" s="212">
        <v>0</v>
      </c>
      <c r="U373" s="212">
        <v>0</v>
      </c>
      <c r="V373" s="212">
        <v>0</v>
      </c>
      <c r="W373" s="212">
        <v>0</v>
      </c>
      <c r="X373" s="212">
        <v>0</v>
      </c>
      <c r="Y373" s="212">
        <v>0</v>
      </c>
      <c r="Z373" s="179">
        <v>1</v>
      </c>
      <c r="AA373" s="213">
        <v>0</v>
      </c>
      <c r="AB373" s="214">
        <v>0</v>
      </c>
      <c r="AC373" s="212">
        <v>0</v>
      </c>
      <c r="AD373" s="212">
        <v>0</v>
      </c>
      <c r="AE373" s="212">
        <v>0</v>
      </c>
      <c r="AF373" s="212">
        <v>0</v>
      </c>
      <c r="AG373" s="212">
        <v>0</v>
      </c>
      <c r="AH373" s="212">
        <v>0</v>
      </c>
      <c r="AI373" s="212">
        <v>0</v>
      </c>
      <c r="AJ373" s="212">
        <v>0</v>
      </c>
      <c r="AK373" s="213">
        <v>0</v>
      </c>
      <c r="AL373" s="215">
        <f t="shared" si="10"/>
        <v>1</v>
      </c>
      <c r="AM373" s="216">
        <f>0</f>
        <v>0</v>
      </c>
      <c r="AN373" s="217">
        <f t="shared" si="11"/>
        <v>1</v>
      </c>
      <c r="AO373" s="276">
        <v>45090</v>
      </c>
      <c r="AP373" s="223" t="s">
        <v>273</v>
      </c>
      <c r="AQ373" s="153" t="s">
        <v>1291</v>
      </c>
      <c r="AR373" s="219" t="s">
        <v>276</v>
      </c>
      <c r="AS373" s="159"/>
      <c r="AT373" s="153"/>
      <c r="AU373" s="154">
        <v>1</v>
      </c>
      <c r="AV373" s="154"/>
      <c r="AW373" s="154" t="s">
        <v>457</v>
      </c>
      <c r="AX373" s="155"/>
      <c r="AY373" s="156"/>
      <c r="AZ373" s="157"/>
      <c r="BA373" s="81"/>
      <c r="BB373" s="81"/>
      <c r="BC373" s="81"/>
    </row>
    <row r="374" spans="1:55" ht="28" customHeight="1" x14ac:dyDescent="0.25">
      <c r="A374" s="173">
        <v>369</v>
      </c>
      <c r="B374" s="147">
        <v>45084</v>
      </c>
      <c r="C374" s="77" t="s">
        <v>134</v>
      </c>
      <c r="D374" s="77" t="s">
        <v>135</v>
      </c>
      <c r="E374" s="77" t="s">
        <v>136</v>
      </c>
      <c r="F374" s="219" t="s">
        <v>1186</v>
      </c>
      <c r="G374" s="219" t="s">
        <v>1168</v>
      </c>
      <c r="H374" s="219" t="s">
        <v>110</v>
      </c>
      <c r="I374" s="219" t="s">
        <v>248</v>
      </c>
      <c r="J374" s="221" t="s">
        <v>1169</v>
      </c>
      <c r="K374" s="220" t="s">
        <v>80</v>
      </c>
      <c r="L374" s="220" t="s">
        <v>168</v>
      </c>
      <c r="M374" s="220" t="s">
        <v>154</v>
      </c>
      <c r="N374" s="220" t="s">
        <v>80</v>
      </c>
      <c r="O374" s="220" t="s">
        <v>149</v>
      </c>
      <c r="P374" s="152" t="s">
        <v>80</v>
      </c>
      <c r="Q374" s="307" t="s">
        <v>80</v>
      </c>
      <c r="R374" s="211">
        <f>0</f>
        <v>0</v>
      </c>
      <c r="S374" s="212">
        <v>0</v>
      </c>
      <c r="T374" s="212">
        <v>0</v>
      </c>
      <c r="U374" s="212">
        <v>0</v>
      </c>
      <c r="V374" s="212">
        <v>0</v>
      </c>
      <c r="W374" s="212">
        <v>0</v>
      </c>
      <c r="X374" s="212">
        <v>0</v>
      </c>
      <c r="Y374" s="212">
        <v>0</v>
      </c>
      <c r="Z374" s="179">
        <v>1</v>
      </c>
      <c r="AA374" s="213">
        <v>0</v>
      </c>
      <c r="AB374" s="214">
        <v>0</v>
      </c>
      <c r="AC374" s="212">
        <v>0</v>
      </c>
      <c r="AD374" s="212">
        <v>0</v>
      </c>
      <c r="AE374" s="212">
        <v>0</v>
      </c>
      <c r="AF374" s="212">
        <v>0</v>
      </c>
      <c r="AG374" s="212">
        <v>0</v>
      </c>
      <c r="AH374" s="212">
        <v>0</v>
      </c>
      <c r="AI374" s="212">
        <v>0</v>
      </c>
      <c r="AJ374" s="212">
        <v>0</v>
      </c>
      <c r="AK374" s="213">
        <v>0</v>
      </c>
      <c r="AL374" s="215">
        <f t="shared" si="10"/>
        <v>1</v>
      </c>
      <c r="AM374" s="216">
        <f>0</f>
        <v>0</v>
      </c>
      <c r="AN374" s="217">
        <f t="shared" si="11"/>
        <v>1</v>
      </c>
      <c r="AO374" s="276">
        <v>45096</v>
      </c>
      <c r="AP374" s="224" t="s">
        <v>273</v>
      </c>
      <c r="AQ374" s="225" t="s">
        <v>1293</v>
      </c>
      <c r="AR374" s="247" t="s">
        <v>669</v>
      </c>
      <c r="AS374" s="226"/>
      <c r="AT374" s="219"/>
      <c r="AU374" s="154"/>
      <c r="AV374" s="154"/>
      <c r="AW374" s="154"/>
      <c r="AX374" s="155"/>
      <c r="AY374" s="156"/>
      <c r="AZ374" s="157"/>
      <c r="BA374" s="81"/>
      <c r="BB374" s="81"/>
      <c r="BC374" s="81"/>
    </row>
    <row r="375" spans="1:55" ht="28" customHeight="1" x14ac:dyDescent="0.25">
      <c r="A375" s="173">
        <v>370</v>
      </c>
      <c r="B375" s="147">
        <v>45084</v>
      </c>
      <c r="C375" s="77" t="s">
        <v>134</v>
      </c>
      <c r="D375" s="77" t="s">
        <v>135</v>
      </c>
      <c r="E375" s="77" t="s">
        <v>136</v>
      </c>
      <c r="F375" s="219" t="s">
        <v>1186</v>
      </c>
      <c r="G375" s="219" t="s">
        <v>1225</v>
      </c>
      <c r="H375" s="219" t="s">
        <v>1171</v>
      </c>
      <c r="I375" s="219" t="s">
        <v>280</v>
      </c>
      <c r="J375" s="221" t="s">
        <v>1225</v>
      </c>
      <c r="K375" s="220" t="s">
        <v>1170</v>
      </c>
      <c r="L375" s="220" t="s">
        <v>281</v>
      </c>
      <c r="M375" s="220" t="s">
        <v>148</v>
      </c>
      <c r="N375" s="220" t="s">
        <v>212</v>
      </c>
      <c r="O375" s="220" t="s">
        <v>149</v>
      </c>
      <c r="P375" s="152" t="s">
        <v>80</v>
      </c>
      <c r="Q375" s="307" t="s">
        <v>80</v>
      </c>
      <c r="R375" s="211">
        <f>0</f>
        <v>0</v>
      </c>
      <c r="S375" s="212">
        <v>0</v>
      </c>
      <c r="T375" s="212">
        <v>0</v>
      </c>
      <c r="U375" s="212">
        <v>0</v>
      </c>
      <c r="V375" s="212">
        <v>0</v>
      </c>
      <c r="W375" s="212">
        <v>0</v>
      </c>
      <c r="X375" s="212">
        <v>0</v>
      </c>
      <c r="Y375" s="212">
        <v>0</v>
      </c>
      <c r="Z375" s="179">
        <v>1</v>
      </c>
      <c r="AA375" s="213">
        <v>0</v>
      </c>
      <c r="AB375" s="214">
        <v>0</v>
      </c>
      <c r="AC375" s="212">
        <v>0</v>
      </c>
      <c r="AD375" s="212">
        <v>0</v>
      </c>
      <c r="AE375" s="212">
        <v>0</v>
      </c>
      <c r="AF375" s="212">
        <v>0</v>
      </c>
      <c r="AG375" s="212">
        <v>0</v>
      </c>
      <c r="AH375" s="212">
        <v>0</v>
      </c>
      <c r="AI375" s="212">
        <v>0</v>
      </c>
      <c r="AJ375" s="212">
        <v>0</v>
      </c>
      <c r="AK375" s="213">
        <v>0</v>
      </c>
      <c r="AL375" s="215">
        <f t="shared" si="10"/>
        <v>1</v>
      </c>
      <c r="AM375" s="216">
        <f>0</f>
        <v>0</v>
      </c>
      <c r="AN375" s="217">
        <f t="shared" si="11"/>
        <v>1</v>
      </c>
      <c r="AO375" s="276">
        <v>45090</v>
      </c>
      <c r="AP375" s="151" t="s">
        <v>273</v>
      </c>
      <c r="AQ375" s="152" t="s">
        <v>1290</v>
      </c>
      <c r="AR375" s="152" t="s">
        <v>148</v>
      </c>
      <c r="AS375" s="159"/>
      <c r="AT375" s="153"/>
      <c r="AU375" s="154">
        <v>1</v>
      </c>
      <c r="AV375" s="154"/>
      <c r="AW375" s="99" t="s">
        <v>457</v>
      </c>
      <c r="AX375" s="155"/>
      <c r="AY375" s="156"/>
      <c r="AZ375" s="157"/>
      <c r="BA375" s="81"/>
      <c r="BB375" s="81"/>
      <c r="BC375" s="81"/>
    </row>
    <row r="376" spans="1:55" ht="28" customHeight="1" x14ac:dyDescent="0.25">
      <c r="A376" s="173">
        <v>371</v>
      </c>
      <c r="B376" s="147">
        <v>45084</v>
      </c>
      <c r="C376" s="77" t="s">
        <v>134</v>
      </c>
      <c r="D376" s="77" t="s">
        <v>135</v>
      </c>
      <c r="E376" s="77" t="s">
        <v>136</v>
      </c>
      <c r="F376" s="219" t="s">
        <v>1186</v>
      </c>
      <c r="G376" s="219" t="s">
        <v>278</v>
      </c>
      <c r="H376" s="219" t="s">
        <v>279</v>
      </c>
      <c r="I376" s="219" t="s">
        <v>280</v>
      </c>
      <c r="J376" s="221" t="s">
        <v>455</v>
      </c>
      <c r="K376" s="220" t="s">
        <v>431</v>
      </c>
      <c r="L376" s="220" t="s">
        <v>281</v>
      </c>
      <c r="M376" s="220" t="s">
        <v>148</v>
      </c>
      <c r="N376" s="220" t="s">
        <v>212</v>
      </c>
      <c r="O376" s="220" t="s">
        <v>149</v>
      </c>
      <c r="P376" s="152" t="s">
        <v>80</v>
      </c>
      <c r="Q376" s="307" t="s">
        <v>80</v>
      </c>
      <c r="R376" s="211">
        <f>0</f>
        <v>0</v>
      </c>
      <c r="S376" s="212">
        <v>0</v>
      </c>
      <c r="T376" s="212">
        <v>0</v>
      </c>
      <c r="U376" s="212">
        <v>0</v>
      </c>
      <c r="V376" s="212">
        <v>0</v>
      </c>
      <c r="W376" s="212">
        <v>0</v>
      </c>
      <c r="X376" s="212">
        <v>0</v>
      </c>
      <c r="Y376" s="212">
        <v>0</v>
      </c>
      <c r="Z376" s="179">
        <v>3</v>
      </c>
      <c r="AA376" s="213">
        <v>0</v>
      </c>
      <c r="AB376" s="214">
        <v>0</v>
      </c>
      <c r="AC376" s="212">
        <v>0</v>
      </c>
      <c r="AD376" s="212">
        <v>0</v>
      </c>
      <c r="AE376" s="212">
        <v>0</v>
      </c>
      <c r="AF376" s="212">
        <v>0</v>
      </c>
      <c r="AG376" s="212">
        <v>0</v>
      </c>
      <c r="AH376" s="212">
        <v>0</v>
      </c>
      <c r="AI376" s="212">
        <v>0</v>
      </c>
      <c r="AJ376" s="212">
        <v>0</v>
      </c>
      <c r="AK376" s="213">
        <v>0</v>
      </c>
      <c r="AL376" s="215">
        <f t="shared" si="10"/>
        <v>3</v>
      </c>
      <c r="AM376" s="216">
        <f>0</f>
        <v>0</v>
      </c>
      <c r="AN376" s="217">
        <f t="shared" si="11"/>
        <v>3</v>
      </c>
      <c r="AO376" s="276">
        <v>45090</v>
      </c>
      <c r="AP376" s="151" t="s">
        <v>273</v>
      </c>
      <c r="AQ376" s="152" t="s">
        <v>1290</v>
      </c>
      <c r="AR376" s="152" t="s">
        <v>148</v>
      </c>
      <c r="AS376" s="159"/>
      <c r="AT376" s="153"/>
      <c r="AU376" s="154"/>
      <c r="AV376" s="154"/>
      <c r="AW376" s="154"/>
      <c r="AX376" s="155"/>
      <c r="AY376" s="156"/>
      <c r="AZ376" s="157"/>
      <c r="BA376" s="81"/>
      <c r="BB376" s="81"/>
      <c r="BC376" s="81"/>
    </row>
    <row r="377" spans="1:55" ht="28" customHeight="1" x14ac:dyDescent="0.25">
      <c r="A377" s="173">
        <v>372</v>
      </c>
      <c r="B377" s="147">
        <v>45084</v>
      </c>
      <c r="C377" s="77" t="s">
        <v>134</v>
      </c>
      <c r="D377" s="77" t="s">
        <v>135</v>
      </c>
      <c r="E377" s="77" t="s">
        <v>136</v>
      </c>
      <c r="F377" s="219" t="s">
        <v>1186</v>
      </c>
      <c r="G377" s="219" t="s">
        <v>1226</v>
      </c>
      <c r="H377" s="219" t="s">
        <v>283</v>
      </c>
      <c r="I377" s="219" t="s">
        <v>284</v>
      </c>
      <c r="J377" s="221" t="s">
        <v>1226</v>
      </c>
      <c r="K377" s="220" t="s">
        <v>282</v>
      </c>
      <c r="L377" s="220" t="s">
        <v>281</v>
      </c>
      <c r="M377" s="220" t="s">
        <v>148</v>
      </c>
      <c r="N377" s="220" t="s">
        <v>212</v>
      </c>
      <c r="O377" s="220" t="s">
        <v>149</v>
      </c>
      <c r="P377" s="152" t="s">
        <v>80</v>
      </c>
      <c r="Q377" s="307" t="s">
        <v>80</v>
      </c>
      <c r="R377" s="211">
        <f>0</f>
        <v>0</v>
      </c>
      <c r="S377" s="212">
        <v>0</v>
      </c>
      <c r="T377" s="212">
        <v>0</v>
      </c>
      <c r="U377" s="212">
        <v>0</v>
      </c>
      <c r="V377" s="212">
        <v>0</v>
      </c>
      <c r="W377" s="212">
        <v>0</v>
      </c>
      <c r="X377" s="212">
        <v>0</v>
      </c>
      <c r="Y377" s="212">
        <v>0</v>
      </c>
      <c r="Z377" s="179">
        <v>2</v>
      </c>
      <c r="AA377" s="213">
        <v>0</v>
      </c>
      <c r="AB377" s="214">
        <v>0</v>
      </c>
      <c r="AC377" s="212">
        <v>0</v>
      </c>
      <c r="AD377" s="212">
        <v>0</v>
      </c>
      <c r="AE377" s="212">
        <v>0</v>
      </c>
      <c r="AF377" s="212">
        <v>0</v>
      </c>
      <c r="AG377" s="212">
        <v>0</v>
      </c>
      <c r="AH377" s="212">
        <v>0</v>
      </c>
      <c r="AI377" s="212">
        <v>0</v>
      </c>
      <c r="AJ377" s="212">
        <v>0</v>
      </c>
      <c r="AK377" s="213">
        <v>0</v>
      </c>
      <c r="AL377" s="215">
        <f t="shared" si="10"/>
        <v>2</v>
      </c>
      <c r="AM377" s="216">
        <f>0</f>
        <v>0</v>
      </c>
      <c r="AN377" s="217">
        <f t="shared" si="11"/>
        <v>2</v>
      </c>
      <c r="AO377" s="276">
        <v>45090</v>
      </c>
      <c r="AP377" s="151" t="s">
        <v>273</v>
      </c>
      <c r="AQ377" s="152" t="s">
        <v>1290</v>
      </c>
      <c r="AR377" s="152" t="s">
        <v>148</v>
      </c>
      <c r="AS377" s="159"/>
      <c r="AT377" s="153"/>
      <c r="AU377" s="154"/>
      <c r="AV377" s="154"/>
      <c r="AW377" s="154"/>
      <c r="AX377" s="155"/>
      <c r="AY377" s="156"/>
      <c r="AZ377" s="157"/>
      <c r="BA377" s="81"/>
      <c r="BB377" s="81"/>
      <c r="BC377" s="81"/>
    </row>
    <row r="378" spans="1:55" ht="28" customHeight="1" x14ac:dyDescent="0.25">
      <c r="A378" s="173">
        <v>373</v>
      </c>
      <c r="B378" s="147">
        <v>45084</v>
      </c>
      <c r="C378" s="77" t="s">
        <v>134</v>
      </c>
      <c r="D378" s="77" t="s">
        <v>135</v>
      </c>
      <c r="E378" s="77" t="s">
        <v>136</v>
      </c>
      <c r="F378" s="219" t="s">
        <v>1186</v>
      </c>
      <c r="G378" s="219" t="s">
        <v>1172</v>
      </c>
      <c r="H378" s="219" t="s">
        <v>110</v>
      </c>
      <c r="I378" s="219" t="s">
        <v>1217</v>
      </c>
      <c r="J378" s="221" t="s">
        <v>1299</v>
      </c>
      <c r="K378" s="220" t="s">
        <v>1173</v>
      </c>
      <c r="L378" s="220" t="s">
        <v>469</v>
      </c>
      <c r="M378" s="220" t="s">
        <v>148</v>
      </c>
      <c r="N378" s="220" t="s">
        <v>80</v>
      </c>
      <c r="O378" s="220" t="s">
        <v>149</v>
      </c>
      <c r="P378" s="152" t="s">
        <v>80</v>
      </c>
      <c r="Q378" s="307" t="s">
        <v>80</v>
      </c>
      <c r="R378" s="211">
        <v>0</v>
      </c>
      <c r="S378" s="212">
        <v>0</v>
      </c>
      <c r="T378" s="212">
        <v>0</v>
      </c>
      <c r="U378" s="212">
        <v>0</v>
      </c>
      <c r="V378" s="212">
        <v>0</v>
      </c>
      <c r="W378" s="212">
        <v>0</v>
      </c>
      <c r="X378" s="212">
        <v>0</v>
      </c>
      <c r="Y378" s="212">
        <v>0</v>
      </c>
      <c r="Z378" s="179">
        <v>2</v>
      </c>
      <c r="AA378" s="213">
        <v>0</v>
      </c>
      <c r="AB378" s="214">
        <v>0</v>
      </c>
      <c r="AC378" s="212">
        <v>0</v>
      </c>
      <c r="AD378" s="212">
        <v>0</v>
      </c>
      <c r="AE378" s="212">
        <v>0</v>
      </c>
      <c r="AF378" s="212">
        <v>0</v>
      </c>
      <c r="AG378" s="212">
        <v>0</v>
      </c>
      <c r="AH378" s="212">
        <v>0</v>
      </c>
      <c r="AI378" s="212">
        <v>0</v>
      </c>
      <c r="AJ378" s="212">
        <v>0</v>
      </c>
      <c r="AK378" s="213">
        <v>0</v>
      </c>
      <c r="AL378" s="215">
        <f t="shared" si="10"/>
        <v>2</v>
      </c>
      <c r="AM378" s="216">
        <f>0</f>
        <v>0</v>
      </c>
      <c r="AN378" s="217">
        <f t="shared" si="11"/>
        <v>2</v>
      </c>
      <c r="AO378" s="276">
        <v>45090</v>
      </c>
      <c r="AP378" s="151" t="s">
        <v>273</v>
      </c>
      <c r="AQ378" s="152" t="s">
        <v>1290</v>
      </c>
      <c r="AR378" s="152" t="s">
        <v>148</v>
      </c>
      <c r="AS378" s="159"/>
      <c r="AT378" s="153"/>
      <c r="AU378" s="154"/>
      <c r="AV378" s="154"/>
      <c r="AW378" s="154"/>
      <c r="AX378" s="155"/>
      <c r="AY378" s="156"/>
      <c r="AZ378" s="157"/>
      <c r="BA378" s="81"/>
      <c r="BB378" s="81"/>
      <c r="BC378" s="81"/>
    </row>
    <row r="379" spans="1:55" ht="28" customHeight="1" x14ac:dyDescent="0.25">
      <c r="A379" s="173">
        <v>374</v>
      </c>
      <c r="B379" s="147">
        <v>45084</v>
      </c>
      <c r="C379" s="77" t="s">
        <v>134</v>
      </c>
      <c r="D379" s="77" t="s">
        <v>135</v>
      </c>
      <c r="E379" s="77" t="s">
        <v>136</v>
      </c>
      <c r="F379" s="219" t="s">
        <v>1186</v>
      </c>
      <c r="G379" s="219" t="s">
        <v>1174</v>
      </c>
      <c r="H379" s="219" t="s">
        <v>279</v>
      </c>
      <c r="I379" s="219" t="s">
        <v>280</v>
      </c>
      <c r="J379" s="221" t="s">
        <v>455</v>
      </c>
      <c r="K379" s="220" t="s">
        <v>1218</v>
      </c>
      <c r="L379" s="220" t="s">
        <v>1175</v>
      </c>
      <c r="M379" s="220" t="s">
        <v>148</v>
      </c>
      <c r="N379" s="220" t="s">
        <v>212</v>
      </c>
      <c r="O379" s="220" t="s">
        <v>149</v>
      </c>
      <c r="P379" s="152" t="s">
        <v>80</v>
      </c>
      <c r="Q379" s="307" t="s">
        <v>80</v>
      </c>
      <c r="R379" s="211">
        <v>0</v>
      </c>
      <c r="S379" s="212">
        <v>0</v>
      </c>
      <c r="T379" s="212">
        <v>0</v>
      </c>
      <c r="U379" s="212">
        <v>0</v>
      </c>
      <c r="V379" s="212">
        <v>0</v>
      </c>
      <c r="W379" s="212">
        <v>0</v>
      </c>
      <c r="X379" s="212">
        <v>0</v>
      </c>
      <c r="Y379" s="212">
        <v>0</v>
      </c>
      <c r="Z379" s="179">
        <v>1</v>
      </c>
      <c r="AA379" s="213">
        <v>0</v>
      </c>
      <c r="AB379" s="214">
        <v>0</v>
      </c>
      <c r="AC379" s="212">
        <v>0</v>
      </c>
      <c r="AD379" s="212">
        <v>0</v>
      </c>
      <c r="AE379" s="212">
        <v>0</v>
      </c>
      <c r="AF379" s="212">
        <v>0</v>
      </c>
      <c r="AG379" s="212">
        <v>0</v>
      </c>
      <c r="AH379" s="212">
        <v>0</v>
      </c>
      <c r="AI379" s="212">
        <v>0</v>
      </c>
      <c r="AJ379" s="212">
        <v>0</v>
      </c>
      <c r="AK379" s="213">
        <v>0</v>
      </c>
      <c r="AL379" s="215">
        <f t="shared" si="10"/>
        <v>1</v>
      </c>
      <c r="AM379" s="216">
        <f>0</f>
        <v>0</v>
      </c>
      <c r="AN379" s="217">
        <f t="shared" si="11"/>
        <v>1</v>
      </c>
      <c r="AO379" s="276">
        <v>45090</v>
      </c>
      <c r="AP379" s="151" t="s">
        <v>273</v>
      </c>
      <c r="AQ379" s="152" t="s">
        <v>1290</v>
      </c>
      <c r="AR379" s="152" t="s">
        <v>148</v>
      </c>
      <c r="AS379" s="159"/>
      <c r="AT379" s="153"/>
      <c r="AU379" s="154"/>
      <c r="AV379" s="154"/>
      <c r="AW379" s="154"/>
      <c r="AX379" s="155"/>
      <c r="AY379" s="156"/>
      <c r="AZ379" s="157"/>
      <c r="BA379" s="81"/>
      <c r="BB379" s="81"/>
      <c r="BC379" s="81"/>
    </row>
    <row r="380" spans="1:55" ht="28" customHeight="1" x14ac:dyDescent="0.25">
      <c r="A380" s="173">
        <v>375</v>
      </c>
      <c r="B380" s="147">
        <v>45084</v>
      </c>
      <c r="C380" s="77" t="s">
        <v>134</v>
      </c>
      <c r="D380" s="77" t="s">
        <v>135</v>
      </c>
      <c r="E380" s="77" t="s">
        <v>136</v>
      </c>
      <c r="F380" s="219" t="s">
        <v>1186</v>
      </c>
      <c r="G380" s="219" t="s">
        <v>1176</v>
      </c>
      <c r="H380" s="219" t="s">
        <v>287</v>
      </c>
      <c r="I380" s="219" t="s">
        <v>1177</v>
      </c>
      <c r="J380" s="221" t="s">
        <v>1178</v>
      </c>
      <c r="K380" s="220" t="s">
        <v>1176</v>
      </c>
      <c r="L380" s="220" t="s">
        <v>168</v>
      </c>
      <c r="M380" s="220" t="s">
        <v>148</v>
      </c>
      <c r="N380" s="220" t="s">
        <v>214</v>
      </c>
      <c r="O380" s="220" t="s">
        <v>149</v>
      </c>
      <c r="P380" s="152" t="s">
        <v>80</v>
      </c>
      <c r="Q380" s="307" t="s">
        <v>80</v>
      </c>
      <c r="R380" s="211">
        <v>0</v>
      </c>
      <c r="S380" s="212">
        <v>0</v>
      </c>
      <c r="T380" s="212">
        <v>0</v>
      </c>
      <c r="U380" s="212">
        <v>0</v>
      </c>
      <c r="V380" s="212">
        <v>0</v>
      </c>
      <c r="W380" s="212">
        <v>0</v>
      </c>
      <c r="X380" s="212">
        <v>0</v>
      </c>
      <c r="Y380" s="212">
        <v>0</v>
      </c>
      <c r="Z380" s="179">
        <v>12</v>
      </c>
      <c r="AA380" s="213">
        <v>0</v>
      </c>
      <c r="AB380" s="214">
        <v>0</v>
      </c>
      <c r="AC380" s="212">
        <v>0</v>
      </c>
      <c r="AD380" s="212">
        <v>0</v>
      </c>
      <c r="AE380" s="212">
        <v>0</v>
      </c>
      <c r="AF380" s="212">
        <v>0</v>
      </c>
      <c r="AG380" s="212">
        <v>0</v>
      </c>
      <c r="AH380" s="212">
        <v>0</v>
      </c>
      <c r="AI380" s="212">
        <v>0</v>
      </c>
      <c r="AJ380" s="212">
        <v>0</v>
      </c>
      <c r="AK380" s="213">
        <v>0</v>
      </c>
      <c r="AL380" s="215">
        <f t="shared" si="10"/>
        <v>12</v>
      </c>
      <c r="AM380" s="216">
        <f>0</f>
        <v>0</v>
      </c>
      <c r="AN380" s="217">
        <f t="shared" si="11"/>
        <v>12</v>
      </c>
      <c r="AO380" s="276">
        <v>45090</v>
      </c>
      <c r="AP380" s="151" t="s">
        <v>273</v>
      </c>
      <c r="AQ380" s="152" t="s">
        <v>1290</v>
      </c>
      <c r="AR380" s="152" t="s">
        <v>148</v>
      </c>
      <c r="AS380" s="159"/>
      <c r="AT380" s="153"/>
      <c r="AU380" s="154"/>
      <c r="AV380" s="154"/>
      <c r="AW380" s="154"/>
      <c r="AX380" s="155"/>
      <c r="AY380" s="156"/>
      <c r="AZ380" s="157"/>
      <c r="BA380" s="81"/>
      <c r="BB380" s="81"/>
      <c r="BC380" s="81"/>
    </row>
    <row r="381" spans="1:55" ht="28" customHeight="1" x14ac:dyDescent="0.25">
      <c r="A381" s="173">
        <v>376</v>
      </c>
      <c r="B381" s="147">
        <v>45084</v>
      </c>
      <c r="C381" s="77" t="s">
        <v>134</v>
      </c>
      <c r="D381" s="77" t="s">
        <v>135</v>
      </c>
      <c r="E381" s="77" t="s">
        <v>136</v>
      </c>
      <c r="F381" s="219" t="s">
        <v>1186</v>
      </c>
      <c r="G381" s="219" t="s">
        <v>1179</v>
      </c>
      <c r="H381" s="219" t="s">
        <v>287</v>
      </c>
      <c r="I381" s="219" t="s">
        <v>1177</v>
      </c>
      <c r="J381" s="221" t="s">
        <v>1180</v>
      </c>
      <c r="K381" s="220" t="s">
        <v>1179</v>
      </c>
      <c r="L381" s="220" t="s">
        <v>168</v>
      </c>
      <c r="M381" s="220" t="s">
        <v>148</v>
      </c>
      <c r="N381" s="220" t="s">
        <v>214</v>
      </c>
      <c r="O381" s="220" t="s">
        <v>149</v>
      </c>
      <c r="P381" s="152" t="s">
        <v>80</v>
      </c>
      <c r="Q381" s="307" t="s">
        <v>80</v>
      </c>
      <c r="R381" s="211">
        <v>0</v>
      </c>
      <c r="S381" s="212">
        <v>0</v>
      </c>
      <c r="T381" s="212">
        <v>0</v>
      </c>
      <c r="U381" s="212">
        <v>0</v>
      </c>
      <c r="V381" s="212">
        <v>0</v>
      </c>
      <c r="W381" s="212">
        <v>0</v>
      </c>
      <c r="X381" s="212">
        <v>0</v>
      </c>
      <c r="Y381" s="212">
        <v>0</v>
      </c>
      <c r="Z381" s="179">
        <v>2</v>
      </c>
      <c r="AA381" s="213">
        <v>0</v>
      </c>
      <c r="AB381" s="214">
        <v>0</v>
      </c>
      <c r="AC381" s="212">
        <v>0</v>
      </c>
      <c r="AD381" s="212">
        <v>0</v>
      </c>
      <c r="AE381" s="212">
        <v>0</v>
      </c>
      <c r="AF381" s="212">
        <v>0</v>
      </c>
      <c r="AG381" s="212">
        <v>0</v>
      </c>
      <c r="AH381" s="212">
        <v>0</v>
      </c>
      <c r="AI381" s="212">
        <v>0</v>
      </c>
      <c r="AJ381" s="212">
        <v>0</v>
      </c>
      <c r="AK381" s="213">
        <v>0</v>
      </c>
      <c r="AL381" s="215">
        <f t="shared" si="10"/>
        <v>2</v>
      </c>
      <c r="AM381" s="216">
        <f>0</f>
        <v>0</v>
      </c>
      <c r="AN381" s="217">
        <f t="shared" si="11"/>
        <v>2</v>
      </c>
      <c r="AO381" s="276">
        <v>45090</v>
      </c>
      <c r="AP381" s="151" t="s">
        <v>273</v>
      </c>
      <c r="AQ381" s="152" t="s">
        <v>1290</v>
      </c>
      <c r="AR381" s="152" t="s">
        <v>148</v>
      </c>
      <c r="AS381" s="159"/>
      <c r="AT381" s="153"/>
      <c r="AU381" s="154"/>
      <c r="AV381" s="154"/>
      <c r="AW381" s="154"/>
      <c r="AX381" s="155"/>
      <c r="AY381" s="156"/>
      <c r="AZ381" s="157"/>
      <c r="BA381" s="81"/>
      <c r="BB381" s="81"/>
      <c r="BC381" s="81"/>
    </row>
    <row r="382" spans="1:55" ht="28" customHeight="1" x14ac:dyDescent="0.25">
      <c r="A382" s="173">
        <v>377</v>
      </c>
      <c r="B382" s="147">
        <v>45084</v>
      </c>
      <c r="C382" s="77" t="s">
        <v>134</v>
      </c>
      <c r="D382" s="77" t="s">
        <v>135</v>
      </c>
      <c r="E382" s="77" t="s">
        <v>136</v>
      </c>
      <c r="F382" s="219" t="s">
        <v>1186</v>
      </c>
      <c r="G382" s="219" t="s">
        <v>1181</v>
      </c>
      <c r="H382" s="219" t="s">
        <v>110</v>
      </c>
      <c r="I382" s="219" t="s">
        <v>1182</v>
      </c>
      <c r="J382" s="221" t="s">
        <v>1183</v>
      </c>
      <c r="K382" s="221" t="s">
        <v>1183</v>
      </c>
      <c r="L382" s="220" t="s">
        <v>168</v>
      </c>
      <c r="M382" s="220" t="s">
        <v>154</v>
      </c>
      <c r="N382" s="220" t="s">
        <v>578</v>
      </c>
      <c r="O382" s="220" t="s">
        <v>149</v>
      </c>
      <c r="P382" s="152" t="s">
        <v>80</v>
      </c>
      <c r="Q382" s="307" t="s">
        <v>80</v>
      </c>
      <c r="R382" s="211">
        <v>0</v>
      </c>
      <c r="S382" s="212">
        <v>0</v>
      </c>
      <c r="T382" s="212">
        <v>0</v>
      </c>
      <c r="U382" s="212">
        <v>0</v>
      </c>
      <c r="V382" s="212">
        <v>0</v>
      </c>
      <c r="W382" s="212">
        <v>0</v>
      </c>
      <c r="X382" s="212">
        <v>0</v>
      </c>
      <c r="Y382" s="212">
        <v>0</v>
      </c>
      <c r="Z382" s="179">
        <v>1</v>
      </c>
      <c r="AA382" s="213">
        <v>0</v>
      </c>
      <c r="AB382" s="214">
        <v>0</v>
      </c>
      <c r="AC382" s="212">
        <v>0</v>
      </c>
      <c r="AD382" s="212">
        <v>0</v>
      </c>
      <c r="AE382" s="212">
        <v>0</v>
      </c>
      <c r="AF382" s="212">
        <v>0</v>
      </c>
      <c r="AG382" s="212">
        <v>0</v>
      </c>
      <c r="AH382" s="212">
        <v>0</v>
      </c>
      <c r="AI382" s="212">
        <v>0</v>
      </c>
      <c r="AJ382" s="212">
        <v>0</v>
      </c>
      <c r="AK382" s="213">
        <v>0</v>
      </c>
      <c r="AL382" s="215">
        <f t="shared" si="10"/>
        <v>1</v>
      </c>
      <c r="AM382" s="216">
        <f>0</f>
        <v>0</v>
      </c>
      <c r="AN382" s="217">
        <f t="shared" si="11"/>
        <v>1</v>
      </c>
      <c r="AO382" s="276">
        <v>45090</v>
      </c>
      <c r="AP382" s="151" t="s">
        <v>273</v>
      </c>
      <c r="AQ382" s="152" t="s">
        <v>1290</v>
      </c>
      <c r="AR382" s="152" t="s">
        <v>148</v>
      </c>
      <c r="AS382" s="159"/>
      <c r="AT382" s="153"/>
      <c r="AU382" s="154"/>
      <c r="AV382" s="154"/>
      <c r="AW382" s="154"/>
      <c r="AX382" s="155"/>
      <c r="AY382" s="156"/>
      <c r="AZ382" s="157"/>
      <c r="BA382" s="81"/>
      <c r="BB382" s="81"/>
      <c r="BC382" s="81"/>
    </row>
    <row r="383" spans="1:55" ht="28" customHeight="1" x14ac:dyDescent="0.25">
      <c r="A383" s="173">
        <v>378</v>
      </c>
      <c r="B383" s="147">
        <v>45084</v>
      </c>
      <c r="C383" s="77" t="s">
        <v>134</v>
      </c>
      <c r="D383" s="77" t="s">
        <v>135</v>
      </c>
      <c r="E383" s="77" t="s">
        <v>136</v>
      </c>
      <c r="F383" s="219" t="s">
        <v>1186</v>
      </c>
      <c r="G383" s="219" t="s">
        <v>1184</v>
      </c>
      <c r="H383" s="219" t="s">
        <v>287</v>
      </c>
      <c r="I383" s="219" t="s">
        <v>1182</v>
      </c>
      <c r="J383" s="221" t="s">
        <v>1224</v>
      </c>
      <c r="K383" s="220" t="s">
        <v>1184</v>
      </c>
      <c r="L383" s="220" t="s">
        <v>147</v>
      </c>
      <c r="M383" s="220" t="s">
        <v>148</v>
      </c>
      <c r="N383" s="220" t="s">
        <v>578</v>
      </c>
      <c r="O383" s="220" t="s">
        <v>149</v>
      </c>
      <c r="P383" s="152" t="s">
        <v>80</v>
      </c>
      <c r="Q383" s="307" t="s">
        <v>80</v>
      </c>
      <c r="R383" s="211">
        <v>0</v>
      </c>
      <c r="S383" s="212">
        <v>0</v>
      </c>
      <c r="T383" s="212">
        <v>0</v>
      </c>
      <c r="U383" s="212">
        <v>0</v>
      </c>
      <c r="V383" s="212">
        <v>0</v>
      </c>
      <c r="W383" s="212">
        <v>0</v>
      </c>
      <c r="X383" s="212">
        <v>0</v>
      </c>
      <c r="Y383" s="212">
        <v>0</v>
      </c>
      <c r="Z383" s="179">
        <v>1</v>
      </c>
      <c r="AA383" s="213">
        <v>0</v>
      </c>
      <c r="AB383" s="214">
        <v>0</v>
      </c>
      <c r="AC383" s="212">
        <v>0</v>
      </c>
      <c r="AD383" s="212">
        <v>0</v>
      </c>
      <c r="AE383" s="212">
        <v>0</v>
      </c>
      <c r="AF383" s="212">
        <v>0</v>
      </c>
      <c r="AG383" s="212">
        <v>0</v>
      </c>
      <c r="AH383" s="212">
        <v>0</v>
      </c>
      <c r="AI383" s="212">
        <v>0</v>
      </c>
      <c r="AJ383" s="212">
        <v>0</v>
      </c>
      <c r="AK383" s="213">
        <v>0</v>
      </c>
      <c r="AL383" s="215">
        <f t="shared" si="10"/>
        <v>1</v>
      </c>
      <c r="AM383" s="216">
        <f>0</f>
        <v>0</v>
      </c>
      <c r="AN383" s="217">
        <f t="shared" si="11"/>
        <v>1</v>
      </c>
      <c r="AO383" s="276">
        <v>45090</v>
      </c>
      <c r="AP383" s="151" t="s">
        <v>273</v>
      </c>
      <c r="AQ383" s="152" t="s">
        <v>1290</v>
      </c>
      <c r="AR383" s="152" t="s">
        <v>148</v>
      </c>
      <c r="AS383" s="159"/>
      <c r="AT383" s="153"/>
      <c r="AU383" s="154">
        <v>1</v>
      </c>
      <c r="AV383" s="154"/>
      <c r="AW383" s="99" t="s">
        <v>457</v>
      </c>
      <c r="AX383" s="155"/>
      <c r="AY383" s="156"/>
      <c r="AZ383" s="157"/>
      <c r="BA383" s="81"/>
      <c r="BB383" s="81"/>
      <c r="BC383" s="81"/>
    </row>
    <row r="384" spans="1:55" ht="28" customHeight="1" x14ac:dyDescent="0.25">
      <c r="A384" s="173">
        <v>379</v>
      </c>
      <c r="B384" s="147">
        <v>45084</v>
      </c>
      <c r="C384" s="77" t="s">
        <v>134</v>
      </c>
      <c r="D384" s="77" t="s">
        <v>135</v>
      </c>
      <c r="E384" s="77" t="s">
        <v>136</v>
      </c>
      <c r="F384" s="219" t="s">
        <v>1186</v>
      </c>
      <c r="G384" s="219" t="s">
        <v>145</v>
      </c>
      <c r="H384" s="219" t="s">
        <v>110</v>
      </c>
      <c r="I384" s="219" t="s">
        <v>146</v>
      </c>
      <c r="J384" s="221" t="s">
        <v>1185</v>
      </c>
      <c r="K384" s="220" t="s">
        <v>145</v>
      </c>
      <c r="L384" s="220" t="s">
        <v>147</v>
      </c>
      <c r="M384" s="220" t="s">
        <v>148</v>
      </c>
      <c r="N384" s="220" t="s">
        <v>80</v>
      </c>
      <c r="O384" s="220" t="s">
        <v>149</v>
      </c>
      <c r="P384" s="152" t="s">
        <v>80</v>
      </c>
      <c r="Q384" s="307" t="s">
        <v>80</v>
      </c>
      <c r="R384" s="211">
        <v>0</v>
      </c>
      <c r="S384" s="212">
        <v>0</v>
      </c>
      <c r="T384" s="212">
        <v>0</v>
      </c>
      <c r="U384" s="212">
        <v>0</v>
      </c>
      <c r="V384" s="212">
        <v>0</v>
      </c>
      <c r="W384" s="212">
        <v>0</v>
      </c>
      <c r="X384" s="212">
        <v>0</v>
      </c>
      <c r="Y384" s="212">
        <v>0</v>
      </c>
      <c r="Z384" s="179">
        <v>11</v>
      </c>
      <c r="AA384" s="213">
        <v>0</v>
      </c>
      <c r="AB384" s="214">
        <v>0</v>
      </c>
      <c r="AC384" s="212">
        <v>0</v>
      </c>
      <c r="AD384" s="212">
        <v>0</v>
      </c>
      <c r="AE384" s="212">
        <v>0</v>
      </c>
      <c r="AF384" s="212">
        <v>0</v>
      </c>
      <c r="AG384" s="212">
        <v>0</v>
      </c>
      <c r="AH384" s="212">
        <v>0</v>
      </c>
      <c r="AI384" s="212">
        <v>0</v>
      </c>
      <c r="AJ384" s="212">
        <v>0</v>
      </c>
      <c r="AK384" s="213">
        <v>0</v>
      </c>
      <c r="AL384" s="215">
        <f t="shared" si="10"/>
        <v>11</v>
      </c>
      <c r="AM384" s="216">
        <f>0</f>
        <v>0</v>
      </c>
      <c r="AN384" s="217">
        <f t="shared" si="11"/>
        <v>11</v>
      </c>
      <c r="AO384" s="276">
        <v>45090</v>
      </c>
      <c r="AP384" s="151" t="s">
        <v>273</v>
      </c>
      <c r="AQ384" s="152" t="s">
        <v>1290</v>
      </c>
      <c r="AR384" s="152" t="s">
        <v>148</v>
      </c>
      <c r="AS384" s="159"/>
      <c r="AT384" s="153"/>
      <c r="AU384" s="154">
        <v>11</v>
      </c>
      <c r="AV384" s="154"/>
      <c r="AW384" s="99" t="s">
        <v>457</v>
      </c>
      <c r="AX384" s="155"/>
      <c r="AY384" s="156"/>
      <c r="AZ384" s="157"/>
      <c r="BA384" s="81"/>
      <c r="BB384" s="81"/>
      <c r="BC384" s="81"/>
    </row>
    <row r="385" spans="1:55" ht="28" customHeight="1" x14ac:dyDescent="0.25">
      <c r="A385" s="173">
        <v>380</v>
      </c>
      <c r="B385" s="147">
        <v>45089</v>
      </c>
      <c r="C385" s="77" t="s">
        <v>134</v>
      </c>
      <c r="D385" s="77" t="s">
        <v>135</v>
      </c>
      <c r="E385" s="77" t="s">
        <v>136</v>
      </c>
      <c r="F385" s="219" t="s">
        <v>672</v>
      </c>
      <c r="G385" s="219" t="s">
        <v>1241</v>
      </c>
      <c r="H385" s="219" t="s">
        <v>110</v>
      </c>
      <c r="I385" s="219" t="s">
        <v>1235</v>
      </c>
      <c r="J385" s="221" t="s">
        <v>1236</v>
      </c>
      <c r="K385" s="220"/>
      <c r="L385" s="220" t="s">
        <v>119</v>
      </c>
      <c r="M385" s="220" t="s">
        <v>114</v>
      </c>
      <c r="N385" s="220"/>
      <c r="O385" s="220" t="s">
        <v>80</v>
      </c>
      <c r="P385" s="152"/>
      <c r="Q385" s="307"/>
      <c r="R385" s="211">
        <v>0</v>
      </c>
      <c r="S385" s="212">
        <v>0</v>
      </c>
      <c r="T385" s="212">
        <v>0</v>
      </c>
      <c r="U385" s="212">
        <v>0</v>
      </c>
      <c r="V385" s="212">
        <v>0</v>
      </c>
      <c r="W385" s="218">
        <v>1</v>
      </c>
      <c r="X385" s="212">
        <v>0</v>
      </c>
      <c r="Y385" s="212">
        <v>0</v>
      </c>
      <c r="Z385" s="210">
        <v>0</v>
      </c>
      <c r="AA385" s="213">
        <v>0</v>
      </c>
      <c r="AB385" s="214">
        <v>0</v>
      </c>
      <c r="AC385" s="212">
        <v>0</v>
      </c>
      <c r="AD385" s="212">
        <v>0</v>
      </c>
      <c r="AE385" s="212">
        <v>0</v>
      </c>
      <c r="AF385" s="212">
        <v>0</v>
      </c>
      <c r="AG385" s="212">
        <v>0</v>
      </c>
      <c r="AH385" s="212">
        <v>0</v>
      </c>
      <c r="AI385" s="212">
        <v>0</v>
      </c>
      <c r="AJ385" s="212">
        <v>0</v>
      </c>
      <c r="AK385" s="213">
        <v>0</v>
      </c>
      <c r="AL385" s="215">
        <f t="shared" si="10"/>
        <v>1</v>
      </c>
      <c r="AM385" s="216">
        <f>0</f>
        <v>0</v>
      </c>
      <c r="AN385" s="217">
        <f t="shared" si="11"/>
        <v>1</v>
      </c>
      <c r="AO385" s="222">
        <v>45090</v>
      </c>
      <c r="AP385" s="223" t="s">
        <v>273</v>
      </c>
      <c r="AQ385" s="153" t="s">
        <v>1291</v>
      </c>
      <c r="AR385" s="219" t="s">
        <v>276</v>
      </c>
      <c r="AS385" s="159"/>
      <c r="AT385" s="153"/>
      <c r="AU385" s="154"/>
      <c r="AV385" s="154"/>
      <c r="AW385" s="154"/>
      <c r="AX385" s="155"/>
      <c r="AY385" s="156"/>
      <c r="AZ385" s="157"/>
      <c r="BA385" s="81"/>
      <c r="BB385" s="81"/>
      <c r="BC385" s="81"/>
    </row>
    <row r="386" spans="1:55" ht="28" customHeight="1" x14ac:dyDescent="0.25">
      <c r="A386" s="173">
        <v>381</v>
      </c>
      <c r="B386" s="147">
        <v>45089</v>
      </c>
      <c r="C386" s="77" t="s">
        <v>134</v>
      </c>
      <c r="D386" s="77" t="s">
        <v>135</v>
      </c>
      <c r="E386" s="77" t="s">
        <v>136</v>
      </c>
      <c r="F386" s="219" t="s">
        <v>672</v>
      </c>
      <c r="G386" s="219" t="s">
        <v>1242</v>
      </c>
      <c r="H386" s="219" t="s">
        <v>110</v>
      </c>
      <c r="I386" s="219" t="s">
        <v>1237</v>
      </c>
      <c r="J386" s="221" t="s">
        <v>1238</v>
      </c>
      <c r="K386" s="220"/>
      <c r="L386" s="220" t="s">
        <v>119</v>
      </c>
      <c r="M386" s="220" t="s">
        <v>114</v>
      </c>
      <c r="N386" s="220"/>
      <c r="O386" s="220" t="s">
        <v>80</v>
      </c>
      <c r="P386" s="152"/>
      <c r="Q386" s="307"/>
      <c r="R386" s="211">
        <v>0</v>
      </c>
      <c r="S386" s="212">
        <v>0</v>
      </c>
      <c r="T386" s="212">
        <v>0</v>
      </c>
      <c r="U386" s="212">
        <v>0</v>
      </c>
      <c r="V386" s="212">
        <v>0</v>
      </c>
      <c r="W386" s="218">
        <v>1</v>
      </c>
      <c r="X386" s="212">
        <v>0</v>
      </c>
      <c r="Y386" s="212">
        <v>0</v>
      </c>
      <c r="Z386" s="210">
        <v>0</v>
      </c>
      <c r="AA386" s="213">
        <v>0</v>
      </c>
      <c r="AB386" s="214">
        <v>0</v>
      </c>
      <c r="AC386" s="212">
        <v>0</v>
      </c>
      <c r="AD386" s="212">
        <v>0</v>
      </c>
      <c r="AE386" s="212">
        <v>0</v>
      </c>
      <c r="AF386" s="212">
        <v>0</v>
      </c>
      <c r="AG386" s="212">
        <v>0</v>
      </c>
      <c r="AH386" s="212">
        <v>0</v>
      </c>
      <c r="AI386" s="212">
        <v>0</v>
      </c>
      <c r="AJ386" s="212">
        <v>0</v>
      </c>
      <c r="AK386" s="213">
        <v>0</v>
      </c>
      <c r="AL386" s="215">
        <f t="shared" si="10"/>
        <v>1</v>
      </c>
      <c r="AM386" s="216">
        <f>0</f>
        <v>0</v>
      </c>
      <c r="AN386" s="217">
        <f t="shared" si="11"/>
        <v>1</v>
      </c>
      <c r="AO386" s="222">
        <v>45090</v>
      </c>
      <c r="AP386" s="223" t="s">
        <v>273</v>
      </c>
      <c r="AQ386" s="153" t="s">
        <v>1291</v>
      </c>
      <c r="AR386" s="219" t="s">
        <v>276</v>
      </c>
      <c r="AS386" s="159"/>
      <c r="AT386" s="153"/>
      <c r="AU386" s="154"/>
      <c r="AV386" s="154"/>
      <c r="AW386" s="154"/>
      <c r="AX386" s="155"/>
      <c r="AY386" s="156"/>
      <c r="AZ386" s="157"/>
      <c r="BA386" s="81"/>
      <c r="BB386" s="81"/>
      <c r="BC386" s="81"/>
    </row>
    <row r="387" spans="1:55" ht="28" customHeight="1" x14ac:dyDescent="0.25">
      <c r="A387" s="173">
        <v>382</v>
      </c>
      <c r="B387" s="147">
        <v>45089</v>
      </c>
      <c r="C387" s="77" t="s">
        <v>134</v>
      </c>
      <c r="D387" s="77" t="s">
        <v>135</v>
      </c>
      <c r="E387" s="77" t="s">
        <v>136</v>
      </c>
      <c r="F387" s="219" t="s">
        <v>672</v>
      </c>
      <c r="G387" s="219" t="s">
        <v>1243</v>
      </c>
      <c r="H387" s="219" t="s">
        <v>110</v>
      </c>
      <c r="I387" s="219" t="s">
        <v>1239</v>
      </c>
      <c r="J387" s="221" t="s">
        <v>1240</v>
      </c>
      <c r="K387" s="220"/>
      <c r="L387" s="220" t="s">
        <v>119</v>
      </c>
      <c r="M387" s="220" t="s">
        <v>114</v>
      </c>
      <c r="N387" s="220"/>
      <c r="O387" s="220" t="s">
        <v>80</v>
      </c>
      <c r="P387" s="152"/>
      <c r="Q387" s="307"/>
      <c r="R387" s="211">
        <v>0</v>
      </c>
      <c r="S387" s="212">
        <v>0</v>
      </c>
      <c r="T387" s="212">
        <v>0</v>
      </c>
      <c r="U387" s="212">
        <v>0</v>
      </c>
      <c r="V387" s="212">
        <v>0</v>
      </c>
      <c r="W387" s="218">
        <v>1</v>
      </c>
      <c r="X387" s="212">
        <v>0</v>
      </c>
      <c r="Y387" s="212">
        <v>0</v>
      </c>
      <c r="Z387" s="210">
        <v>0</v>
      </c>
      <c r="AA387" s="213">
        <v>0</v>
      </c>
      <c r="AB387" s="214">
        <v>0</v>
      </c>
      <c r="AC387" s="212">
        <v>0</v>
      </c>
      <c r="AD387" s="212">
        <v>0</v>
      </c>
      <c r="AE387" s="212">
        <v>0</v>
      </c>
      <c r="AF387" s="212">
        <v>0</v>
      </c>
      <c r="AG387" s="212">
        <v>0</v>
      </c>
      <c r="AH387" s="212">
        <v>0</v>
      </c>
      <c r="AI387" s="212">
        <v>0</v>
      </c>
      <c r="AJ387" s="212">
        <v>0</v>
      </c>
      <c r="AK387" s="213">
        <v>0</v>
      </c>
      <c r="AL387" s="215">
        <f t="shared" si="10"/>
        <v>1</v>
      </c>
      <c r="AM387" s="216">
        <f>0</f>
        <v>0</v>
      </c>
      <c r="AN387" s="217">
        <f t="shared" si="11"/>
        <v>1</v>
      </c>
      <c r="AO387" s="222">
        <v>45090</v>
      </c>
      <c r="AP387" s="223" t="s">
        <v>273</v>
      </c>
      <c r="AQ387" s="153" t="s">
        <v>1291</v>
      </c>
      <c r="AR387" s="219" t="s">
        <v>276</v>
      </c>
      <c r="AS387" s="159"/>
      <c r="AT387" s="153"/>
      <c r="AU387" s="154"/>
      <c r="AV387" s="154"/>
      <c r="AW387" s="154"/>
      <c r="AX387" s="155"/>
      <c r="AY387" s="156"/>
      <c r="AZ387" s="157"/>
      <c r="BA387" s="81"/>
      <c r="BB387" s="81"/>
      <c r="BC387" s="81"/>
    </row>
    <row r="388" spans="1:55" ht="28" customHeight="1" x14ac:dyDescent="0.25">
      <c r="A388" s="173">
        <v>383</v>
      </c>
      <c r="B388" s="147">
        <v>45089</v>
      </c>
      <c r="C388" s="77" t="s">
        <v>134</v>
      </c>
      <c r="D388" s="77" t="s">
        <v>135</v>
      </c>
      <c r="E388" s="227"/>
      <c r="F388" s="219" t="s">
        <v>672</v>
      </c>
      <c r="G388" s="219" t="s">
        <v>1279</v>
      </c>
      <c r="H388" s="219" t="s">
        <v>110</v>
      </c>
      <c r="I388" s="219" t="s">
        <v>1278</v>
      </c>
      <c r="J388" s="221" t="s">
        <v>1244</v>
      </c>
      <c r="K388" s="220"/>
      <c r="L388" s="220" t="s">
        <v>1245</v>
      </c>
      <c r="M388" s="220" t="s">
        <v>1246</v>
      </c>
      <c r="N388" s="220"/>
      <c r="O388" s="220"/>
      <c r="P388" s="152" t="s">
        <v>1285</v>
      </c>
      <c r="Q388" s="307"/>
      <c r="R388" s="211">
        <v>0</v>
      </c>
      <c r="S388" s="212">
        <v>0</v>
      </c>
      <c r="T388" s="212">
        <v>0</v>
      </c>
      <c r="U388" s="212">
        <v>0</v>
      </c>
      <c r="V388" s="212">
        <v>0</v>
      </c>
      <c r="W388" s="218">
        <v>1</v>
      </c>
      <c r="X388" s="212">
        <v>0</v>
      </c>
      <c r="Y388" s="212">
        <v>0</v>
      </c>
      <c r="Z388" s="210">
        <v>0</v>
      </c>
      <c r="AA388" s="213">
        <v>0</v>
      </c>
      <c r="AB388" s="214">
        <v>0</v>
      </c>
      <c r="AC388" s="212">
        <v>0</v>
      </c>
      <c r="AD388" s="212">
        <v>0</v>
      </c>
      <c r="AE388" s="212">
        <v>0</v>
      </c>
      <c r="AF388" s="212">
        <v>0</v>
      </c>
      <c r="AG388" s="212">
        <v>0</v>
      </c>
      <c r="AH388" s="212">
        <v>0</v>
      </c>
      <c r="AI388" s="212">
        <v>0</v>
      </c>
      <c r="AJ388" s="212">
        <v>0</v>
      </c>
      <c r="AK388" s="213">
        <v>0</v>
      </c>
      <c r="AL388" s="215">
        <f t="shared" si="10"/>
        <v>1</v>
      </c>
      <c r="AM388" s="216">
        <f>0</f>
        <v>0</v>
      </c>
      <c r="AN388" s="217">
        <f t="shared" si="11"/>
        <v>1</v>
      </c>
      <c r="AO388" s="222">
        <v>45090</v>
      </c>
      <c r="AP388" s="223" t="s">
        <v>273</v>
      </c>
      <c r="AQ388" s="153" t="s">
        <v>1291</v>
      </c>
      <c r="AR388" s="219" t="s">
        <v>276</v>
      </c>
      <c r="AS388" s="159"/>
      <c r="AT388" s="153"/>
      <c r="AU388" s="154">
        <v>1</v>
      </c>
      <c r="AV388" s="154"/>
      <c r="AW388" s="154" t="s">
        <v>457</v>
      </c>
      <c r="AX388" s="155"/>
      <c r="AY388" s="156"/>
      <c r="AZ388" s="157"/>
      <c r="BA388" s="81"/>
      <c r="BB388" s="81"/>
      <c r="BC388" s="81"/>
    </row>
    <row r="389" spans="1:55" ht="28" customHeight="1" x14ac:dyDescent="0.25">
      <c r="A389" s="173">
        <v>384</v>
      </c>
      <c r="B389" s="147">
        <v>45089</v>
      </c>
      <c r="C389" s="77" t="s">
        <v>134</v>
      </c>
      <c r="D389" s="77" t="s">
        <v>135</v>
      </c>
      <c r="E389" s="77" t="s">
        <v>136</v>
      </c>
      <c r="F389" s="219" t="s">
        <v>672</v>
      </c>
      <c r="G389" s="219" t="s">
        <v>1247</v>
      </c>
      <c r="H389" s="219" t="s">
        <v>110</v>
      </c>
      <c r="I389" s="219" t="s">
        <v>1248</v>
      </c>
      <c r="J389" s="221" t="s">
        <v>1249</v>
      </c>
      <c r="K389" s="220"/>
      <c r="L389" s="220" t="s">
        <v>119</v>
      </c>
      <c r="M389" s="220" t="s">
        <v>114</v>
      </c>
      <c r="N389" s="220"/>
      <c r="O389" s="220"/>
      <c r="P389" s="152"/>
      <c r="Q389" s="307"/>
      <c r="R389" s="211">
        <v>0</v>
      </c>
      <c r="S389" s="212">
        <v>0</v>
      </c>
      <c r="T389" s="212">
        <v>0</v>
      </c>
      <c r="U389" s="212">
        <v>0</v>
      </c>
      <c r="V389" s="212">
        <v>0</v>
      </c>
      <c r="W389" s="218">
        <v>2</v>
      </c>
      <c r="X389" s="212">
        <v>0</v>
      </c>
      <c r="Y389" s="212">
        <v>0</v>
      </c>
      <c r="Z389" s="210">
        <v>0</v>
      </c>
      <c r="AA389" s="213">
        <v>0</v>
      </c>
      <c r="AB389" s="214">
        <v>0</v>
      </c>
      <c r="AC389" s="212">
        <v>0</v>
      </c>
      <c r="AD389" s="212">
        <v>0</v>
      </c>
      <c r="AE389" s="212">
        <v>0</v>
      </c>
      <c r="AF389" s="212">
        <v>0</v>
      </c>
      <c r="AG389" s="212">
        <v>0</v>
      </c>
      <c r="AH389" s="212">
        <v>0</v>
      </c>
      <c r="AI389" s="212">
        <v>0</v>
      </c>
      <c r="AJ389" s="212">
        <v>0</v>
      </c>
      <c r="AK389" s="213">
        <v>0</v>
      </c>
      <c r="AL389" s="215">
        <f t="shared" si="10"/>
        <v>2</v>
      </c>
      <c r="AM389" s="216">
        <f>0</f>
        <v>0</v>
      </c>
      <c r="AN389" s="217">
        <f t="shared" si="11"/>
        <v>2</v>
      </c>
      <c r="AO389" s="222">
        <v>45090</v>
      </c>
      <c r="AP389" s="223" t="s">
        <v>273</v>
      </c>
      <c r="AQ389" s="153" t="s">
        <v>1291</v>
      </c>
      <c r="AR389" s="219" t="s">
        <v>276</v>
      </c>
      <c r="AS389" s="159"/>
      <c r="AT389" s="153"/>
      <c r="AU389" s="154">
        <v>2</v>
      </c>
      <c r="AV389" s="154"/>
      <c r="AW389" s="154" t="s">
        <v>457</v>
      </c>
      <c r="AX389" s="155"/>
      <c r="AY389" s="156"/>
      <c r="AZ389" s="157"/>
      <c r="BA389" s="81"/>
      <c r="BB389" s="81"/>
      <c r="BC389" s="81"/>
    </row>
    <row r="390" spans="1:55" ht="28" customHeight="1" x14ac:dyDescent="0.25">
      <c r="A390" s="173">
        <v>385</v>
      </c>
      <c r="B390" s="147">
        <v>45089</v>
      </c>
      <c r="C390" s="77" t="s">
        <v>134</v>
      </c>
      <c r="D390" s="77" t="s">
        <v>135</v>
      </c>
      <c r="E390" s="77" t="s">
        <v>136</v>
      </c>
      <c r="F390" s="219" t="s">
        <v>672</v>
      </c>
      <c r="G390" s="219" t="s">
        <v>1280</v>
      </c>
      <c r="H390" s="219" t="s">
        <v>110</v>
      </c>
      <c r="I390" s="219" t="s">
        <v>1250</v>
      </c>
      <c r="J390" s="221" t="s">
        <v>1251</v>
      </c>
      <c r="K390" s="220"/>
      <c r="L390" s="220" t="s">
        <v>119</v>
      </c>
      <c r="M390" s="220" t="s">
        <v>114</v>
      </c>
      <c r="N390" s="220"/>
      <c r="O390" s="220"/>
      <c r="P390" s="152"/>
      <c r="Q390" s="307"/>
      <c r="R390" s="211">
        <v>0</v>
      </c>
      <c r="S390" s="212">
        <v>0</v>
      </c>
      <c r="T390" s="212">
        <v>0</v>
      </c>
      <c r="U390" s="212">
        <v>0</v>
      </c>
      <c r="V390" s="212">
        <v>0</v>
      </c>
      <c r="W390" s="218">
        <v>1</v>
      </c>
      <c r="X390" s="212">
        <v>0</v>
      </c>
      <c r="Y390" s="212">
        <v>0</v>
      </c>
      <c r="Z390" s="210">
        <v>0</v>
      </c>
      <c r="AA390" s="213">
        <v>0</v>
      </c>
      <c r="AB390" s="214">
        <v>0</v>
      </c>
      <c r="AC390" s="212">
        <v>0</v>
      </c>
      <c r="AD390" s="212">
        <v>0</v>
      </c>
      <c r="AE390" s="212">
        <v>0</v>
      </c>
      <c r="AF390" s="212">
        <v>0</v>
      </c>
      <c r="AG390" s="212">
        <v>0</v>
      </c>
      <c r="AH390" s="212">
        <v>0</v>
      </c>
      <c r="AI390" s="212">
        <v>0</v>
      </c>
      <c r="AJ390" s="212">
        <v>0</v>
      </c>
      <c r="AK390" s="213">
        <v>0</v>
      </c>
      <c r="AL390" s="215">
        <f t="shared" ref="AL390:AL444" si="12">SUM(R390:AK390)</f>
        <v>1</v>
      </c>
      <c r="AM390" s="216">
        <f>0</f>
        <v>0</v>
      </c>
      <c r="AN390" s="217">
        <f t="shared" ref="AN390:AN444" si="13">AL390-AM390</f>
        <v>1</v>
      </c>
      <c r="AO390" s="222">
        <v>45090</v>
      </c>
      <c r="AP390" s="223" t="s">
        <v>273</v>
      </c>
      <c r="AQ390" s="153" t="s">
        <v>1291</v>
      </c>
      <c r="AR390" s="219" t="s">
        <v>276</v>
      </c>
      <c r="AS390" s="159"/>
      <c r="AT390" s="153"/>
      <c r="AU390" s="154">
        <v>1</v>
      </c>
      <c r="AV390" s="154"/>
      <c r="AW390" s="154" t="s">
        <v>457</v>
      </c>
      <c r="AX390" s="155"/>
      <c r="AY390" s="156"/>
      <c r="AZ390" s="157"/>
      <c r="BA390" s="81"/>
      <c r="BB390" s="81"/>
      <c r="BC390" s="81"/>
    </row>
    <row r="391" spans="1:55" ht="28" customHeight="1" x14ac:dyDescent="0.25">
      <c r="A391" s="173">
        <v>386</v>
      </c>
      <c r="B391" s="147">
        <v>45089</v>
      </c>
      <c r="C391" s="77" t="s">
        <v>134</v>
      </c>
      <c r="D391" s="77" t="s">
        <v>135</v>
      </c>
      <c r="E391" s="77" t="s">
        <v>136</v>
      </c>
      <c r="F391" s="219" t="s">
        <v>672</v>
      </c>
      <c r="G391" s="219" t="s">
        <v>1281</v>
      </c>
      <c r="H391" s="219" t="s">
        <v>110</v>
      </c>
      <c r="I391" s="219" t="s">
        <v>1252</v>
      </c>
      <c r="J391" s="221" t="s">
        <v>1253</v>
      </c>
      <c r="K391" s="220"/>
      <c r="L391" s="220" t="s">
        <v>119</v>
      </c>
      <c r="M391" s="220" t="s">
        <v>114</v>
      </c>
      <c r="N391" s="220"/>
      <c r="O391" s="220"/>
      <c r="P391" s="152"/>
      <c r="Q391" s="307"/>
      <c r="R391" s="211">
        <v>0</v>
      </c>
      <c r="S391" s="212">
        <v>0</v>
      </c>
      <c r="T391" s="212">
        <v>0</v>
      </c>
      <c r="U391" s="212">
        <v>0</v>
      </c>
      <c r="V391" s="212">
        <v>0</v>
      </c>
      <c r="W391" s="218">
        <v>1</v>
      </c>
      <c r="X391" s="212">
        <v>0</v>
      </c>
      <c r="Y391" s="212">
        <v>0</v>
      </c>
      <c r="Z391" s="210">
        <v>0</v>
      </c>
      <c r="AA391" s="213">
        <v>0</v>
      </c>
      <c r="AB391" s="214">
        <v>0</v>
      </c>
      <c r="AC391" s="212">
        <v>0</v>
      </c>
      <c r="AD391" s="212">
        <v>0</v>
      </c>
      <c r="AE391" s="212">
        <v>0</v>
      </c>
      <c r="AF391" s="212">
        <v>0</v>
      </c>
      <c r="AG391" s="212">
        <v>0</v>
      </c>
      <c r="AH391" s="212">
        <v>0</v>
      </c>
      <c r="AI391" s="212">
        <v>0</v>
      </c>
      <c r="AJ391" s="212">
        <v>0</v>
      </c>
      <c r="AK391" s="213">
        <v>0</v>
      </c>
      <c r="AL391" s="215">
        <f t="shared" si="12"/>
        <v>1</v>
      </c>
      <c r="AM391" s="216">
        <f>0</f>
        <v>0</v>
      </c>
      <c r="AN391" s="217">
        <f t="shared" si="13"/>
        <v>1</v>
      </c>
      <c r="AO391" s="222">
        <v>45090</v>
      </c>
      <c r="AP391" s="223" t="s">
        <v>273</v>
      </c>
      <c r="AQ391" s="153" t="s">
        <v>1291</v>
      </c>
      <c r="AR391" s="219" t="s">
        <v>276</v>
      </c>
      <c r="AS391" s="159"/>
      <c r="AT391" s="153"/>
      <c r="AU391" s="154">
        <v>1</v>
      </c>
      <c r="AV391" s="154"/>
      <c r="AW391" s="154" t="s">
        <v>457</v>
      </c>
      <c r="AX391" s="155"/>
      <c r="AY391" s="156"/>
      <c r="AZ391" s="157"/>
      <c r="BA391" s="81"/>
      <c r="BB391" s="81"/>
      <c r="BC391" s="81"/>
    </row>
    <row r="392" spans="1:55" ht="28" customHeight="1" x14ac:dyDescent="0.25">
      <c r="A392" s="173">
        <v>387</v>
      </c>
      <c r="B392" s="147">
        <v>45089</v>
      </c>
      <c r="C392" s="77" t="s">
        <v>134</v>
      </c>
      <c r="D392" s="77" t="s">
        <v>135</v>
      </c>
      <c r="E392" s="77" t="s">
        <v>136</v>
      </c>
      <c r="F392" s="219" t="s">
        <v>672</v>
      </c>
      <c r="G392" s="219" t="s">
        <v>1282</v>
      </c>
      <c r="H392" s="219" t="s">
        <v>110</v>
      </c>
      <c r="I392" s="219" t="s">
        <v>1254</v>
      </c>
      <c r="J392" s="221" t="s">
        <v>1255</v>
      </c>
      <c r="K392" s="220"/>
      <c r="L392" s="220" t="s">
        <v>304</v>
      </c>
      <c r="M392" s="220" t="s">
        <v>154</v>
      </c>
      <c r="N392" s="220"/>
      <c r="O392" s="220"/>
      <c r="P392" s="152"/>
      <c r="Q392" s="307"/>
      <c r="R392" s="211">
        <v>0</v>
      </c>
      <c r="S392" s="212">
        <v>0</v>
      </c>
      <c r="T392" s="212">
        <v>0</v>
      </c>
      <c r="U392" s="212">
        <v>0</v>
      </c>
      <c r="V392" s="212">
        <v>0</v>
      </c>
      <c r="W392" s="218">
        <v>4</v>
      </c>
      <c r="X392" s="212">
        <v>0</v>
      </c>
      <c r="Y392" s="212">
        <v>0</v>
      </c>
      <c r="Z392" s="210">
        <v>0</v>
      </c>
      <c r="AA392" s="213">
        <v>0</v>
      </c>
      <c r="AB392" s="214">
        <v>0</v>
      </c>
      <c r="AC392" s="212">
        <v>0</v>
      </c>
      <c r="AD392" s="212">
        <v>0</v>
      </c>
      <c r="AE392" s="212">
        <v>0</v>
      </c>
      <c r="AF392" s="212">
        <v>0</v>
      </c>
      <c r="AG392" s="212">
        <v>0</v>
      </c>
      <c r="AH392" s="212">
        <v>0</v>
      </c>
      <c r="AI392" s="212">
        <v>0</v>
      </c>
      <c r="AJ392" s="212">
        <v>0</v>
      </c>
      <c r="AK392" s="213">
        <v>0</v>
      </c>
      <c r="AL392" s="215">
        <f t="shared" si="12"/>
        <v>4</v>
      </c>
      <c r="AM392" s="216">
        <f>0</f>
        <v>0</v>
      </c>
      <c r="AN392" s="217">
        <f t="shared" si="13"/>
        <v>4</v>
      </c>
      <c r="AO392" s="193">
        <v>45090</v>
      </c>
      <c r="AP392" s="151" t="s">
        <v>273</v>
      </c>
      <c r="AQ392" s="152" t="s">
        <v>1290</v>
      </c>
      <c r="AR392" s="152" t="s">
        <v>148</v>
      </c>
      <c r="AS392" s="159"/>
      <c r="AT392" s="153"/>
      <c r="AU392" s="154"/>
      <c r="AV392" s="154"/>
      <c r="AW392" s="154"/>
      <c r="AX392" s="155"/>
      <c r="AY392" s="156"/>
      <c r="AZ392" s="157"/>
      <c r="BA392" s="81"/>
      <c r="BB392" s="81"/>
      <c r="BC392" s="81"/>
    </row>
    <row r="393" spans="1:55" ht="28" customHeight="1" x14ac:dyDescent="0.25">
      <c r="A393" s="322">
        <v>388</v>
      </c>
      <c r="B393" s="323">
        <v>45089</v>
      </c>
      <c r="C393" s="77" t="s">
        <v>134</v>
      </c>
      <c r="D393" s="77" t="s">
        <v>135</v>
      </c>
      <c r="E393" s="77" t="s">
        <v>136</v>
      </c>
      <c r="F393" s="337" t="s">
        <v>672</v>
      </c>
      <c r="G393" s="337" t="s">
        <v>1256</v>
      </c>
      <c r="H393" s="337" t="s">
        <v>110</v>
      </c>
      <c r="I393" s="337" t="s">
        <v>1257</v>
      </c>
      <c r="J393" s="354" t="s">
        <v>1258</v>
      </c>
      <c r="K393" s="355"/>
      <c r="L393" s="355" t="s">
        <v>113</v>
      </c>
      <c r="M393" s="355" t="s">
        <v>126</v>
      </c>
      <c r="N393" s="355" t="s">
        <v>80</v>
      </c>
      <c r="O393" s="355" t="s">
        <v>1219</v>
      </c>
      <c r="P393" s="352"/>
      <c r="Q393" s="353"/>
      <c r="R393" s="211">
        <v>0</v>
      </c>
      <c r="S393" s="212">
        <v>0</v>
      </c>
      <c r="T393" s="212">
        <v>0</v>
      </c>
      <c r="U393" s="212">
        <v>0</v>
      </c>
      <c r="V393" s="212">
        <v>0</v>
      </c>
      <c r="W393" s="218">
        <v>1</v>
      </c>
      <c r="X393" s="212">
        <v>0</v>
      </c>
      <c r="Y393" s="212">
        <v>0</v>
      </c>
      <c r="Z393" s="210">
        <v>0</v>
      </c>
      <c r="AA393" s="213">
        <v>0</v>
      </c>
      <c r="AB393" s="214">
        <v>0</v>
      </c>
      <c r="AC393" s="212">
        <v>0</v>
      </c>
      <c r="AD393" s="212">
        <v>0</v>
      </c>
      <c r="AE393" s="212">
        <v>0</v>
      </c>
      <c r="AF393" s="212">
        <v>0</v>
      </c>
      <c r="AG393" s="212">
        <v>0</v>
      </c>
      <c r="AH393" s="212">
        <v>0</v>
      </c>
      <c r="AI393" s="212">
        <v>0</v>
      </c>
      <c r="AJ393" s="212">
        <v>0</v>
      </c>
      <c r="AK393" s="213">
        <v>0</v>
      </c>
      <c r="AL393" s="215">
        <f t="shared" si="12"/>
        <v>1</v>
      </c>
      <c r="AM393" s="216">
        <f>0</f>
        <v>0</v>
      </c>
      <c r="AN393" s="217">
        <f t="shared" si="13"/>
        <v>1</v>
      </c>
      <c r="AO393" s="362"/>
      <c r="AP393" s="359"/>
      <c r="AQ393" s="330"/>
      <c r="AR393" s="337" t="s">
        <v>271</v>
      </c>
      <c r="AS393" s="330"/>
      <c r="AT393" s="330"/>
      <c r="AU393" s="331"/>
      <c r="AV393" s="331"/>
      <c r="AW393" s="331"/>
      <c r="AX393" s="332"/>
      <c r="AY393" s="333"/>
      <c r="AZ393" s="334"/>
      <c r="BA393" s="319"/>
      <c r="BB393" s="319"/>
      <c r="BC393" s="319"/>
    </row>
    <row r="394" spans="1:55" ht="28" customHeight="1" x14ac:dyDescent="0.25">
      <c r="A394" s="322">
        <v>389</v>
      </c>
      <c r="B394" s="323">
        <v>45089</v>
      </c>
      <c r="C394" s="77" t="s">
        <v>134</v>
      </c>
      <c r="D394" s="77" t="s">
        <v>135</v>
      </c>
      <c r="E394" s="77" t="s">
        <v>136</v>
      </c>
      <c r="F394" s="337" t="s">
        <v>672</v>
      </c>
      <c r="G394" s="337" t="s">
        <v>1259</v>
      </c>
      <c r="H394" s="337" t="s">
        <v>110</v>
      </c>
      <c r="I394" s="337" t="s">
        <v>1260</v>
      </c>
      <c r="J394" s="354" t="s">
        <v>1261</v>
      </c>
      <c r="K394" s="355"/>
      <c r="L394" s="355" t="s">
        <v>113</v>
      </c>
      <c r="M394" s="355" t="s">
        <v>126</v>
      </c>
      <c r="N394" s="355" t="s">
        <v>80</v>
      </c>
      <c r="O394" s="355" t="s">
        <v>1219</v>
      </c>
      <c r="P394" s="352"/>
      <c r="Q394" s="353"/>
      <c r="R394" s="211">
        <v>0</v>
      </c>
      <c r="S394" s="212">
        <v>0</v>
      </c>
      <c r="T394" s="212">
        <v>0</v>
      </c>
      <c r="U394" s="212">
        <v>0</v>
      </c>
      <c r="V394" s="212">
        <v>0</v>
      </c>
      <c r="W394" s="218">
        <v>1</v>
      </c>
      <c r="X394" s="212">
        <v>0</v>
      </c>
      <c r="Y394" s="212">
        <v>0</v>
      </c>
      <c r="Z394" s="210">
        <v>0</v>
      </c>
      <c r="AA394" s="213">
        <v>0</v>
      </c>
      <c r="AB394" s="214">
        <v>0</v>
      </c>
      <c r="AC394" s="212">
        <v>0</v>
      </c>
      <c r="AD394" s="212">
        <v>0</v>
      </c>
      <c r="AE394" s="212">
        <v>0</v>
      </c>
      <c r="AF394" s="212">
        <v>0</v>
      </c>
      <c r="AG394" s="212">
        <v>0</v>
      </c>
      <c r="AH394" s="212">
        <v>0</v>
      </c>
      <c r="AI394" s="212">
        <v>0</v>
      </c>
      <c r="AJ394" s="212">
        <v>0</v>
      </c>
      <c r="AK394" s="213">
        <v>0</v>
      </c>
      <c r="AL394" s="215">
        <f t="shared" si="12"/>
        <v>1</v>
      </c>
      <c r="AM394" s="216">
        <f>0</f>
        <v>0</v>
      </c>
      <c r="AN394" s="217">
        <f t="shared" si="13"/>
        <v>1</v>
      </c>
      <c r="AO394" s="362"/>
      <c r="AP394" s="359"/>
      <c r="AQ394" s="330"/>
      <c r="AR394" s="337" t="s">
        <v>271</v>
      </c>
      <c r="AS394" s="330"/>
      <c r="AT394" s="330"/>
      <c r="AU394" s="331"/>
      <c r="AV394" s="331"/>
      <c r="AW394" s="331"/>
      <c r="AX394" s="332"/>
      <c r="AY394" s="333"/>
      <c r="AZ394" s="334"/>
      <c r="BA394" s="319"/>
      <c r="BB394" s="319"/>
      <c r="BC394" s="319"/>
    </row>
    <row r="395" spans="1:55" ht="28" customHeight="1" x14ac:dyDescent="0.25">
      <c r="A395" s="322">
        <v>390</v>
      </c>
      <c r="B395" s="323">
        <v>45089</v>
      </c>
      <c r="C395" s="77" t="s">
        <v>134</v>
      </c>
      <c r="D395" s="77" t="s">
        <v>135</v>
      </c>
      <c r="E395" s="77" t="s">
        <v>136</v>
      </c>
      <c r="F395" s="337" t="s">
        <v>672</v>
      </c>
      <c r="G395" s="337" t="s">
        <v>1262</v>
      </c>
      <c r="H395" s="337" t="s">
        <v>110</v>
      </c>
      <c r="I395" s="337" t="s">
        <v>126</v>
      </c>
      <c r="J395" s="354" t="s">
        <v>1263</v>
      </c>
      <c r="K395" s="355"/>
      <c r="L395" s="355" t="s">
        <v>113</v>
      </c>
      <c r="M395" s="355" t="s">
        <v>126</v>
      </c>
      <c r="N395" s="355" t="s">
        <v>80</v>
      </c>
      <c r="O395" s="355" t="s">
        <v>1219</v>
      </c>
      <c r="P395" s="352"/>
      <c r="Q395" s="353"/>
      <c r="R395" s="211">
        <v>0</v>
      </c>
      <c r="S395" s="212">
        <v>0</v>
      </c>
      <c r="T395" s="212">
        <v>0</v>
      </c>
      <c r="U395" s="212">
        <v>0</v>
      </c>
      <c r="V395" s="212">
        <v>0</v>
      </c>
      <c r="W395" s="218">
        <v>1</v>
      </c>
      <c r="X395" s="212">
        <v>0</v>
      </c>
      <c r="Y395" s="212">
        <v>0</v>
      </c>
      <c r="Z395" s="210">
        <v>0</v>
      </c>
      <c r="AA395" s="213">
        <v>0</v>
      </c>
      <c r="AB395" s="214">
        <v>0</v>
      </c>
      <c r="AC395" s="212">
        <v>0</v>
      </c>
      <c r="AD395" s="212">
        <v>0</v>
      </c>
      <c r="AE395" s="212">
        <v>0</v>
      </c>
      <c r="AF395" s="212">
        <v>0</v>
      </c>
      <c r="AG395" s="212">
        <v>0</v>
      </c>
      <c r="AH395" s="212">
        <v>0</v>
      </c>
      <c r="AI395" s="212">
        <v>0</v>
      </c>
      <c r="AJ395" s="212">
        <v>0</v>
      </c>
      <c r="AK395" s="213">
        <v>0</v>
      </c>
      <c r="AL395" s="215">
        <f t="shared" si="12"/>
        <v>1</v>
      </c>
      <c r="AM395" s="216">
        <f>0</f>
        <v>0</v>
      </c>
      <c r="AN395" s="217">
        <f t="shared" si="13"/>
        <v>1</v>
      </c>
      <c r="AO395" s="362"/>
      <c r="AP395" s="359"/>
      <c r="AQ395" s="330"/>
      <c r="AR395" s="337" t="s">
        <v>271</v>
      </c>
      <c r="AS395" s="330"/>
      <c r="AT395" s="330"/>
      <c r="AU395" s="331"/>
      <c r="AV395" s="331"/>
      <c r="AW395" s="331"/>
      <c r="AX395" s="332"/>
      <c r="AY395" s="333"/>
      <c r="AZ395" s="334"/>
      <c r="BA395" s="319"/>
      <c r="BB395" s="319"/>
      <c r="BC395" s="319"/>
    </row>
    <row r="396" spans="1:55" ht="28" customHeight="1" x14ac:dyDescent="0.25">
      <c r="A396" s="322">
        <v>391</v>
      </c>
      <c r="B396" s="323">
        <v>45089</v>
      </c>
      <c r="C396" s="77" t="s">
        <v>134</v>
      </c>
      <c r="D396" s="77" t="s">
        <v>135</v>
      </c>
      <c r="E396" s="77" t="s">
        <v>136</v>
      </c>
      <c r="F396" s="337" t="s">
        <v>672</v>
      </c>
      <c r="G396" s="337" t="s">
        <v>1283</v>
      </c>
      <c r="H396" s="337" t="s">
        <v>110</v>
      </c>
      <c r="I396" s="337" t="s">
        <v>1264</v>
      </c>
      <c r="J396" s="354" t="s">
        <v>1265</v>
      </c>
      <c r="K396" s="355"/>
      <c r="L396" s="355" t="s">
        <v>113</v>
      </c>
      <c r="M396" s="355" t="s">
        <v>126</v>
      </c>
      <c r="N396" s="355" t="s">
        <v>80</v>
      </c>
      <c r="O396" s="355" t="s">
        <v>1219</v>
      </c>
      <c r="P396" s="352"/>
      <c r="Q396" s="353"/>
      <c r="R396" s="211">
        <v>0</v>
      </c>
      <c r="S396" s="212">
        <v>0</v>
      </c>
      <c r="T396" s="212">
        <v>0</v>
      </c>
      <c r="U396" s="212">
        <v>0</v>
      </c>
      <c r="V396" s="212">
        <v>0</v>
      </c>
      <c r="W396" s="218">
        <v>1</v>
      </c>
      <c r="X396" s="212">
        <v>0</v>
      </c>
      <c r="Y396" s="212">
        <v>0</v>
      </c>
      <c r="Z396" s="210">
        <v>0</v>
      </c>
      <c r="AA396" s="213">
        <v>0</v>
      </c>
      <c r="AB396" s="214">
        <v>0</v>
      </c>
      <c r="AC396" s="212">
        <v>0</v>
      </c>
      <c r="AD396" s="212">
        <v>0</v>
      </c>
      <c r="AE396" s="212">
        <v>0</v>
      </c>
      <c r="AF396" s="212">
        <v>0</v>
      </c>
      <c r="AG396" s="212">
        <v>0</v>
      </c>
      <c r="AH396" s="212">
        <v>0</v>
      </c>
      <c r="AI396" s="212">
        <v>0</v>
      </c>
      <c r="AJ396" s="212">
        <v>0</v>
      </c>
      <c r="AK396" s="213">
        <v>0</v>
      </c>
      <c r="AL396" s="215">
        <f t="shared" si="12"/>
        <v>1</v>
      </c>
      <c r="AM396" s="216">
        <f>0</f>
        <v>0</v>
      </c>
      <c r="AN396" s="217">
        <f t="shared" si="13"/>
        <v>1</v>
      </c>
      <c r="AO396" s="362"/>
      <c r="AP396" s="359"/>
      <c r="AQ396" s="330"/>
      <c r="AR396" s="337" t="s">
        <v>271</v>
      </c>
      <c r="AS396" s="330"/>
      <c r="AT396" s="330"/>
      <c r="AU396" s="331"/>
      <c r="AV396" s="331"/>
      <c r="AW396" s="331"/>
      <c r="AX396" s="332"/>
      <c r="AY396" s="333"/>
      <c r="AZ396" s="334"/>
      <c r="BA396" s="319"/>
      <c r="BB396" s="319"/>
      <c r="BC396" s="319"/>
    </row>
    <row r="397" spans="1:55" ht="28" customHeight="1" x14ac:dyDescent="0.25">
      <c r="A397" s="173">
        <v>392</v>
      </c>
      <c r="B397" s="147">
        <v>45089</v>
      </c>
      <c r="C397" s="77" t="s">
        <v>134</v>
      </c>
      <c r="D397" s="77" t="s">
        <v>135</v>
      </c>
      <c r="E397" s="77" t="s">
        <v>136</v>
      </c>
      <c r="F397" s="219" t="s">
        <v>672</v>
      </c>
      <c r="G397" s="219" t="s">
        <v>1266</v>
      </c>
      <c r="H397" s="219" t="s">
        <v>110</v>
      </c>
      <c r="I397" s="219" t="s">
        <v>1267</v>
      </c>
      <c r="J397" s="221" t="s">
        <v>1268</v>
      </c>
      <c r="K397" s="220"/>
      <c r="L397" s="220" t="s">
        <v>320</v>
      </c>
      <c r="M397" s="220" t="s">
        <v>154</v>
      </c>
      <c r="N397" s="220"/>
      <c r="O397" s="220"/>
      <c r="P397" s="152"/>
      <c r="Q397" s="307"/>
      <c r="R397" s="211">
        <v>0</v>
      </c>
      <c r="S397" s="212">
        <v>0</v>
      </c>
      <c r="T397" s="212">
        <v>0</v>
      </c>
      <c r="U397" s="212">
        <v>0</v>
      </c>
      <c r="V397" s="212">
        <v>0</v>
      </c>
      <c r="W397" s="218">
        <v>1</v>
      </c>
      <c r="X397" s="212">
        <v>0</v>
      </c>
      <c r="Y397" s="212">
        <v>0</v>
      </c>
      <c r="Z397" s="210">
        <v>0</v>
      </c>
      <c r="AA397" s="213">
        <v>0</v>
      </c>
      <c r="AB397" s="214">
        <v>0</v>
      </c>
      <c r="AC397" s="212">
        <v>0</v>
      </c>
      <c r="AD397" s="212">
        <v>0</v>
      </c>
      <c r="AE397" s="212">
        <v>0</v>
      </c>
      <c r="AF397" s="212">
        <v>0</v>
      </c>
      <c r="AG397" s="212">
        <v>0</v>
      </c>
      <c r="AH397" s="212">
        <v>0</v>
      </c>
      <c r="AI397" s="212">
        <v>0</v>
      </c>
      <c r="AJ397" s="212">
        <v>0</v>
      </c>
      <c r="AK397" s="213">
        <v>0</v>
      </c>
      <c r="AL397" s="215">
        <f t="shared" si="12"/>
        <v>1</v>
      </c>
      <c r="AM397" s="216">
        <f>0</f>
        <v>0</v>
      </c>
      <c r="AN397" s="217">
        <f t="shared" si="13"/>
        <v>1</v>
      </c>
      <c r="AO397" s="193">
        <v>45090</v>
      </c>
      <c r="AP397" s="151" t="s">
        <v>273</v>
      </c>
      <c r="AQ397" s="152" t="s">
        <v>1290</v>
      </c>
      <c r="AR397" s="152" t="s">
        <v>148</v>
      </c>
      <c r="AS397" s="159"/>
      <c r="AT397" s="153"/>
      <c r="AU397" s="154">
        <v>1</v>
      </c>
      <c r="AV397" s="154"/>
      <c r="AW397" s="99" t="s">
        <v>457</v>
      </c>
      <c r="AX397" s="155"/>
      <c r="AY397" s="156"/>
      <c r="AZ397" s="157"/>
      <c r="BA397" s="81"/>
      <c r="BB397" s="81"/>
      <c r="BC397" s="81"/>
    </row>
    <row r="398" spans="1:55" ht="28" customHeight="1" x14ac:dyDescent="0.25">
      <c r="A398" s="173">
        <v>393</v>
      </c>
      <c r="B398" s="147">
        <v>45089</v>
      </c>
      <c r="C398" s="85"/>
      <c r="D398" s="85"/>
      <c r="E398" s="85"/>
      <c r="F398" s="219" t="s">
        <v>672</v>
      </c>
      <c r="G398" s="219" t="s">
        <v>1277</v>
      </c>
      <c r="H398" s="219" t="s">
        <v>110</v>
      </c>
      <c r="I398" s="219" t="s">
        <v>1267</v>
      </c>
      <c r="J398" s="221" t="s">
        <v>1273</v>
      </c>
      <c r="K398" s="220"/>
      <c r="L398" s="220" t="s">
        <v>320</v>
      </c>
      <c r="M398" s="220" t="s">
        <v>154</v>
      </c>
      <c r="N398" s="220"/>
      <c r="O398" s="220"/>
      <c r="P398" s="152"/>
      <c r="Q398" s="307"/>
      <c r="R398" s="211">
        <v>0</v>
      </c>
      <c r="S398" s="212">
        <v>0</v>
      </c>
      <c r="T398" s="212">
        <v>0</v>
      </c>
      <c r="U398" s="212">
        <v>0</v>
      </c>
      <c r="V398" s="212">
        <v>0</v>
      </c>
      <c r="W398" s="218">
        <v>1</v>
      </c>
      <c r="X398" s="212">
        <v>0</v>
      </c>
      <c r="Y398" s="212">
        <v>0</v>
      </c>
      <c r="Z398" s="210">
        <v>0</v>
      </c>
      <c r="AA398" s="213">
        <v>0</v>
      </c>
      <c r="AB398" s="214">
        <v>0</v>
      </c>
      <c r="AC398" s="212">
        <v>0</v>
      </c>
      <c r="AD398" s="212">
        <v>0</v>
      </c>
      <c r="AE398" s="212">
        <v>0</v>
      </c>
      <c r="AF398" s="212">
        <v>0</v>
      </c>
      <c r="AG398" s="212">
        <v>0</v>
      </c>
      <c r="AH398" s="212">
        <v>0</v>
      </c>
      <c r="AI398" s="212">
        <v>0</v>
      </c>
      <c r="AJ398" s="212">
        <v>0</v>
      </c>
      <c r="AK398" s="213">
        <v>0</v>
      </c>
      <c r="AL398" s="215">
        <f t="shared" si="12"/>
        <v>1</v>
      </c>
      <c r="AM398" s="216">
        <f>0</f>
        <v>0</v>
      </c>
      <c r="AN398" s="217">
        <f t="shared" si="13"/>
        <v>1</v>
      </c>
      <c r="AO398" s="193">
        <v>45090</v>
      </c>
      <c r="AP398" s="151" t="s">
        <v>273</v>
      </c>
      <c r="AQ398" s="152" t="s">
        <v>1290</v>
      </c>
      <c r="AR398" s="152" t="s">
        <v>148</v>
      </c>
      <c r="AS398" s="159"/>
      <c r="AT398" s="153"/>
      <c r="AU398" s="154">
        <v>1</v>
      </c>
      <c r="AV398" s="154"/>
      <c r="AW398" s="99" t="s">
        <v>457</v>
      </c>
      <c r="AX398" s="155"/>
      <c r="AY398" s="156"/>
      <c r="AZ398" s="157"/>
      <c r="BA398" s="81"/>
      <c r="BB398" s="81"/>
      <c r="BC398" s="81"/>
    </row>
    <row r="399" spans="1:55" ht="28" customHeight="1" x14ac:dyDescent="0.25">
      <c r="A399" s="173">
        <v>394</v>
      </c>
      <c r="B399" s="147">
        <v>45089</v>
      </c>
      <c r="C399" s="77" t="s">
        <v>134</v>
      </c>
      <c r="D399" s="77" t="s">
        <v>135</v>
      </c>
      <c r="E399" s="77" t="s">
        <v>136</v>
      </c>
      <c r="F399" s="219" t="s">
        <v>672</v>
      </c>
      <c r="G399" s="219" t="s">
        <v>1275</v>
      </c>
      <c r="H399" s="219" t="s">
        <v>110</v>
      </c>
      <c r="I399" s="219" t="s">
        <v>1269</v>
      </c>
      <c r="J399" s="221" t="s">
        <v>1270</v>
      </c>
      <c r="K399" s="220"/>
      <c r="L399" s="220" t="s">
        <v>209</v>
      </c>
      <c r="M399" s="220" t="s">
        <v>114</v>
      </c>
      <c r="N399" s="220"/>
      <c r="O399" s="220"/>
      <c r="P399" s="152"/>
      <c r="Q399" s="307"/>
      <c r="R399" s="211">
        <v>0</v>
      </c>
      <c r="S399" s="212">
        <v>0</v>
      </c>
      <c r="T399" s="212">
        <v>0</v>
      </c>
      <c r="U399" s="212">
        <v>0</v>
      </c>
      <c r="V399" s="212">
        <v>0</v>
      </c>
      <c r="W399" s="218">
        <v>1</v>
      </c>
      <c r="X399" s="212">
        <v>0</v>
      </c>
      <c r="Y399" s="212">
        <v>0</v>
      </c>
      <c r="Z399" s="210">
        <v>0</v>
      </c>
      <c r="AA399" s="213">
        <v>0</v>
      </c>
      <c r="AB399" s="214">
        <v>0</v>
      </c>
      <c r="AC399" s="212">
        <v>0</v>
      </c>
      <c r="AD399" s="212">
        <v>0</v>
      </c>
      <c r="AE399" s="212">
        <v>0</v>
      </c>
      <c r="AF399" s="212">
        <v>0</v>
      </c>
      <c r="AG399" s="212">
        <v>0</v>
      </c>
      <c r="AH399" s="212">
        <v>0</v>
      </c>
      <c r="AI399" s="212">
        <v>0</v>
      </c>
      <c r="AJ399" s="212">
        <v>0</v>
      </c>
      <c r="AK399" s="213">
        <v>0</v>
      </c>
      <c r="AL399" s="215">
        <f t="shared" si="12"/>
        <v>1</v>
      </c>
      <c r="AM399" s="216">
        <f>0</f>
        <v>0</v>
      </c>
      <c r="AN399" s="217">
        <f t="shared" si="13"/>
        <v>1</v>
      </c>
      <c r="AO399" s="222">
        <v>45090</v>
      </c>
      <c r="AP399" s="223" t="s">
        <v>273</v>
      </c>
      <c r="AQ399" s="153" t="s">
        <v>1291</v>
      </c>
      <c r="AR399" s="219" t="s">
        <v>276</v>
      </c>
      <c r="AS399" s="159"/>
      <c r="AT399" s="153"/>
      <c r="AU399" s="154">
        <v>1</v>
      </c>
      <c r="AV399" s="154"/>
      <c r="AW399" s="154" t="s">
        <v>457</v>
      </c>
      <c r="AX399" s="155"/>
      <c r="AY399" s="156"/>
      <c r="AZ399" s="157"/>
      <c r="BA399" s="81"/>
      <c r="BB399" s="81"/>
      <c r="BC399" s="81"/>
    </row>
    <row r="400" spans="1:55" ht="28" customHeight="1" x14ac:dyDescent="0.25">
      <c r="A400" s="173">
        <v>395</v>
      </c>
      <c r="B400" s="147">
        <v>45089</v>
      </c>
      <c r="C400" s="85"/>
      <c r="D400" s="85"/>
      <c r="E400" s="85"/>
      <c r="F400" s="219" t="s">
        <v>672</v>
      </c>
      <c r="G400" s="219" t="s">
        <v>1276</v>
      </c>
      <c r="H400" s="219" t="s">
        <v>110</v>
      </c>
      <c r="I400" s="219" t="s">
        <v>1269</v>
      </c>
      <c r="J400" s="221" t="s">
        <v>1274</v>
      </c>
      <c r="K400" s="220"/>
      <c r="L400" s="220" t="s">
        <v>209</v>
      </c>
      <c r="M400" s="220" t="s">
        <v>114</v>
      </c>
      <c r="N400" s="220"/>
      <c r="O400" s="220"/>
      <c r="P400" s="152"/>
      <c r="Q400" s="307"/>
      <c r="R400" s="211">
        <v>0</v>
      </c>
      <c r="S400" s="212">
        <v>0</v>
      </c>
      <c r="T400" s="212">
        <v>0</v>
      </c>
      <c r="U400" s="212">
        <v>0</v>
      </c>
      <c r="V400" s="212">
        <v>0</v>
      </c>
      <c r="W400" s="218">
        <v>1</v>
      </c>
      <c r="X400" s="212">
        <v>0</v>
      </c>
      <c r="Y400" s="212">
        <v>0</v>
      </c>
      <c r="Z400" s="210">
        <v>0</v>
      </c>
      <c r="AA400" s="213">
        <v>0</v>
      </c>
      <c r="AB400" s="214">
        <v>0</v>
      </c>
      <c r="AC400" s="212">
        <v>0</v>
      </c>
      <c r="AD400" s="212">
        <v>0</v>
      </c>
      <c r="AE400" s="212">
        <v>0</v>
      </c>
      <c r="AF400" s="212">
        <v>0</v>
      </c>
      <c r="AG400" s="212">
        <v>0</v>
      </c>
      <c r="AH400" s="212">
        <v>0</v>
      </c>
      <c r="AI400" s="212">
        <v>0</v>
      </c>
      <c r="AJ400" s="212">
        <v>0</v>
      </c>
      <c r="AK400" s="213">
        <v>0</v>
      </c>
      <c r="AL400" s="215">
        <f t="shared" si="12"/>
        <v>1</v>
      </c>
      <c r="AM400" s="216">
        <f>0</f>
        <v>0</v>
      </c>
      <c r="AN400" s="217">
        <f t="shared" si="13"/>
        <v>1</v>
      </c>
      <c r="AO400" s="222">
        <v>45090</v>
      </c>
      <c r="AP400" s="223" t="s">
        <v>273</v>
      </c>
      <c r="AQ400" s="153" t="s">
        <v>1291</v>
      </c>
      <c r="AR400" s="219" t="s">
        <v>276</v>
      </c>
      <c r="AS400" s="159"/>
      <c r="AT400" s="153"/>
      <c r="AU400" s="154">
        <v>1</v>
      </c>
      <c r="AV400" s="154"/>
      <c r="AW400" s="154" t="s">
        <v>457</v>
      </c>
      <c r="AX400" s="155"/>
      <c r="AY400" s="156"/>
      <c r="AZ400" s="157"/>
      <c r="BA400" s="81"/>
      <c r="BB400" s="81"/>
      <c r="BC400" s="81"/>
    </row>
    <row r="401" spans="1:55" ht="28" customHeight="1" x14ac:dyDescent="0.25">
      <c r="A401" s="173">
        <v>396</v>
      </c>
      <c r="B401" s="147">
        <v>45089</v>
      </c>
      <c r="C401" s="77" t="s">
        <v>134</v>
      </c>
      <c r="D401" s="77" t="s">
        <v>135</v>
      </c>
      <c r="E401" s="77" t="s">
        <v>136</v>
      </c>
      <c r="F401" s="219" t="s">
        <v>672</v>
      </c>
      <c r="G401" s="219" t="s">
        <v>1284</v>
      </c>
      <c r="H401" s="219" t="s">
        <v>110</v>
      </c>
      <c r="I401" s="219" t="s">
        <v>1271</v>
      </c>
      <c r="J401" s="221" t="s">
        <v>1272</v>
      </c>
      <c r="K401" s="220"/>
      <c r="L401" s="220" t="s">
        <v>209</v>
      </c>
      <c r="M401" s="220" t="s">
        <v>114</v>
      </c>
      <c r="N401" s="220"/>
      <c r="O401" s="220"/>
      <c r="P401" s="152"/>
      <c r="Q401" s="307"/>
      <c r="R401" s="211">
        <v>0</v>
      </c>
      <c r="S401" s="212">
        <v>0</v>
      </c>
      <c r="T401" s="212">
        <v>0</v>
      </c>
      <c r="U401" s="212">
        <v>0</v>
      </c>
      <c r="V401" s="212">
        <v>0</v>
      </c>
      <c r="W401" s="218">
        <v>2</v>
      </c>
      <c r="X401" s="212">
        <v>0</v>
      </c>
      <c r="Y401" s="212">
        <v>0</v>
      </c>
      <c r="Z401" s="210">
        <v>0</v>
      </c>
      <c r="AA401" s="213">
        <v>0</v>
      </c>
      <c r="AB401" s="214">
        <v>0</v>
      </c>
      <c r="AC401" s="212">
        <v>0</v>
      </c>
      <c r="AD401" s="212">
        <v>0</v>
      </c>
      <c r="AE401" s="212">
        <v>0</v>
      </c>
      <c r="AF401" s="212">
        <v>0</v>
      </c>
      <c r="AG401" s="212">
        <v>0</v>
      </c>
      <c r="AH401" s="212">
        <v>0</v>
      </c>
      <c r="AI401" s="212">
        <v>0</v>
      </c>
      <c r="AJ401" s="212">
        <v>0</v>
      </c>
      <c r="AK401" s="213">
        <v>0</v>
      </c>
      <c r="AL401" s="215">
        <f t="shared" si="12"/>
        <v>2</v>
      </c>
      <c r="AM401" s="216">
        <f>0</f>
        <v>0</v>
      </c>
      <c r="AN401" s="217">
        <f t="shared" si="13"/>
        <v>2</v>
      </c>
      <c r="AO401" s="222">
        <v>45090</v>
      </c>
      <c r="AP401" s="223" t="s">
        <v>273</v>
      </c>
      <c r="AQ401" s="153" t="s">
        <v>1291</v>
      </c>
      <c r="AR401" s="219" t="s">
        <v>276</v>
      </c>
      <c r="AS401" s="159"/>
      <c r="AT401" s="153"/>
      <c r="AU401" s="154">
        <v>2</v>
      </c>
      <c r="AV401" s="154"/>
      <c r="AW401" s="154" t="s">
        <v>457</v>
      </c>
      <c r="AX401" s="155"/>
      <c r="AY401" s="156"/>
      <c r="AZ401" s="157"/>
      <c r="BA401" s="81"/>
      <c r="BB401" s="81"/>
      <c r="BC401" s="81"/>
    </row>
    <row r="402" spans="1:55" ht="28" customHeight="1" x14ac:dyDescent="0.25">
      <c r="A402" s="173">
        <v>397</v>
      </c>
      <c r="B402" s="147">
        <v>45089</v>
      </c>
      <c r="C402" s="77" t="s">
        <v>134</v>
      </c>
      <c r="D402" s="77" t="s">
        <v>135</v>
      </c>
      <c r="E402" s="77" t="s">
        <v>136</v>
      </c>
      <c r="F402" s="219" t="s">
        <v>672</v>
      </c>
      <c r="G402" s="219" t="s">
        <v>1287</v>
      </c>
      <c r="H402" s="219" t="s">
        <v>110</v>
      </c>
      <c r="I402" s="219" t="s">
        <v>1286</v>
      </c>
      <c r="J402" s="221" t="s">
        <v>1288</v>
      </c>
      <c r="K402" s="220"/>
      <c r="L402" s="220" t="s">
        <v>153</v>
      </c>
      <c r="M402" s="220" t="s">
        <v>479</v>
      </c>
      <c r="N402" s="220"/>
      <c r="O402" s="220" t="s">
        <v>155</v>
      </c>
      <c r="P402" s="152"/>
      <c r="Q402" s="307"/>
      <c r="R402" s="211">
        <v>0</v>
      </c>
      <c r="S402" s="212">
        <v>0</v>
      </c>
      <c r="T402" s="212">
        <v>0</v>
      </c>
      <c r="U402" s="212">
        <v>0</v>
      </c>
      <c r="V402" s="212">
        <v>0</v>
      </c>
      <c r="W402" s="218">
        <v>1</v>
      </c>
      <c r="X402" s="212">
        <v>0</v>
      </c>
      <c r="Y402" s="212">
        <v>0</v>
      </c>
      <c r="Z402" s="210">
        <v>0</v>
      </c>
      <c r="AA402" s="213">
        <v>0</v>
      </c>
      <c r="AB402" s="214">
        <v>0</v>
      </c>
      <c r="AC402" s="212">
        <v>0</v>
      </c>
      <c r="AD402" s="212">
        <v>0</v>
      </c>
      <c r="AE402" s="212">
        <v>0</v>
      </c>
      <c r="AF402" s="212">
        <v>0</v>
      </c>
      <c r="AG402" s="212">
        <v>0</v>
      </c>
      <c r="AH402" s="212">
        <v>0</v>
      </c>
      <c r="AI402" s="212">
        <v>0</v>
      </c>
      <c r="AJ402" s="212">
        <v>0</v>
      </c>
      <c r="AK402" s="213">
        <v>0</v>
      </c>
      <c r="AL402" s="215">
        <f t="shared" si="12"/>
        <v>1</v>
      </c>
      <c r="AM402" s="216">
        <f>0</f>
        <v>0</v>
      </c>
      <c r="AN402" s="217">
        <f t="shared" si="13"/>
        <v>1</v>
      </c>
      <c r="AO402" s="193">
        <v>45090</v>
      </c>
      <c r="AP402" s="151" t="s">
        <v>273</v>
      </c>
      <c r="AQ402" s="152" t="s">
        <v>1290</v>
      </c>
      <c r="AR402" s="152" t="s">
        <v>148</v>
      </c>
      <c r="AS402" s="159"/>
      <c r="AT402" s="153"/>
      <c r="AU402" s="154"/>
      <c r="AV402" s="154"/>
      <c r="AW402" s="154"/>
      <c r="AX402" s="155"/>
      <c r="AY402" s="156"/>
      <c r="AZ402" s="157"/>
      <c r="BA402" s="81"/>
      <c r="BB402" s="81"/>
      <c r="BC402" s="81"/>
    </row>
    <row r="403" spans="1:55" ht="28" customHeight="1" x14ac:dyDescent="0.25">
      <c r="A403" s="173">
        <v>398</v>
      </c>
      <c r="B403" s="147">
        <v>45099</v>
      </c>
      <c r="C403" s="77" t="s">
        <v>134</v>
      </c>
      <c r="D403" s="77" t="s">
        <v>135</v>
      </c>
      <c r="E403" s="77" t="s">
        <v>136</v>
      </c>
      <c r="F403" s="219" t="s">
        <v>672</v>
      </c>
      <c r="G403" s="219" t="s">
        <v>1306</v>
      </c>
      <c r="H403" s="219" t="s">
        <v>110</v>
      </c>
      <c r="I403" s="219" t="s">
        <v>1312</v>
      </c>
      <c r="J403" s="221" t="s">
        <v>1307</v>
      </c>
      <c r="K403" s="220" t="s">
        <v>80</v>
      </c>
      <c r="L403" s="220" t="s">
        <v>320</v>
      </c>
      <c r="M403" s="220" t="s">
        <v>479</v>
      </c>
      <c r="N403" s="220" t="s">
        <v>80</v>
      </c>
      <c r="O403" s="220" t="s">
        <v>155</v>
      </c>
      <c r="P403" s="152">
        <v>1</v>
      </c>
      <c r="Q403" s="307"/>
      <c r="R403" s="211">
        <v>0</v>
      </c>
      <c r="S403" s="212">
        <v>0</v>
      </c>
      <c r="T403" s="212">
        <v>0</v>
      </c>
      <c r="U403" s="212">
        <v>0</v>
      </c>
      <c r="V403" s="212">
        <v>0</v>
      </c>
      <c r="W403" s="218">
        <v>1</v>
      </c>
      <c r="X403" s="212">
        <v>0</v>
      </c>
      <c r="Y403" s="212">
        <v>0</v>
      </c>
      <c r="Z403" s="210">
        <v>0</v>
      </c>
      <c r="AA403" s="213">
        <v>0</v>
      </c>
      <c r="AB403" s="214">
        <v>0</v>
      </c>
      <c r="AC403" s="212">
        <v>0</v>
      </c>
      <c r="AD403" s="212">
        <v>0</v>
      </c>
      <c r="AE403" s="212">
        <v>0</v>
      </c>
      <c r="AF403" s="212">
        <v>0</v>
      </c>
      <c r="AG403" s="212">
        <v>0</v>
      </c>
      <c r="AH403" s="212">
        <v>0</v>
      </c>
      <c r="AI403" s="212">
        <v>0</v>
      </c>
      <c r="AJ403" s="212">
        <v>0</v>
      </c>
      <c r="AK403" s="213">
        <v>0</v>
      </c>
      <c r="AL403" s="215">
        <f t="shared" si="12"/>
        <v>1</v>
      </c>
      <c r="AM403" s="216">
        <f>0</f>
        <v>0</v>
      </c>
      <c r="AN403" s="217">
        <f t="shared" si="13"/>
        <v>1</v>
      </c>
      <c r="AO403" s="251">
        <v>45099</v>
      </c>
      <c r="AP403" s="151" t="s">
        <v>273</v>
      </c>
      <c r="AQ403" s="153" t="s">
        <v>1655</v>
      </c>
      <c r="AR403" s="219" t="s">
        <v>148</v>
      </c>
      <c r="AS403" s="159"/>
      <c r="AT403" s="153"/>
      <c r="AU403" s="154"/>
      <c r="AV403" s="154"/>
      <c r="AW403" s="154"/>
      <c r="AX403" s="155"/>
      <c r="AY403" s="156"/>
      <c r="AZ403" s="157"/>
      <c r="BA403" s="81"/>
      <c r="BB403" s="81"/>
      <c r="BC403" s="81"/>
    </row>
    <row r="404" spans="1:55" ht="28" customHeight="1" x14ac:dyDescent="0.25">
      <c r="A404" s="173">
        <v>399</v>
      </c>
      <c r="B404" s="147">
        <v>45099</v>
      </c>
      <c r="C404" s="77" t="s">
        <v>134</v>
      </c>
      <c r="D404" s="77" t="s">
        <v>135</v>
      </c>
      <c r="E404" s="77" t="s">
        <v>136</v>
      </c>
      <c r="F404" s="219" t="s">
        <v>672</v>
      </c>
      <c r="G404" s="219" t="s">
        <v>1308</v>
      </c>
      <c r="H404" s="219" t="s">
        <v>110</v>
      </c>
      <c r="I404" s="219" t="s">
        <v>723</v>
      </c>
      <c r="J404" s="221" t="s">
        <v>1309</v>
      </c>
      <c r="K404" s="220" t="s">
        <v>80</v>
      </c>
      <c r="L404" s="220" t="s">
        <v>320</v>
      </c>
      <c r="M404" s="220" t="s">
        <v>479</v>
      </c>
      <c r="N404" s="220" t="s">
        <v>80</v>
      </c>
      <c r="O404" s="220" t="s">
        <v>155</v>
      </c>
      <c r="P404" s="152">
        <v>1</v>
      </c>
      <c r="Q404" s="307"/>
      <c r="R404" s="211">
        <v>0</v>
      </c>
      <c r="S404" s="212">
        <v>0</v>
      </c>
      <c r="T404" s="212">
        <v>0</v>
      </c>
      <c r="U404" s="212">
        <v>0</v>
      </c>
      <c r="V404" s="212">
        <v>0</v>
      </c>
      <c r="W404" s="218">
        <v>1</v>
      </c>
      <c r="X404" s="212">
        <v>0</v>
      </c>
      <c r="Y404" s="212">
        <v>0</v>
      </c>
      <c r="Z404" s="210">
        <v>0</v>
      </c>
      <c r="AA404" s="213">
        <v>0</v>
      </c>
      <c r="AB404" s="214">
        <v>0</v>
      </c>
      <c r="AC404" s="212">
        <v>0</v>
      </c>
      <c r="AD404" s="212">
        <v>0</v>
      </c>
      <c r="AE404" s="212">
        <v>0</v>
      </c>
      <c r="AF404" s="212">
        <v>0</v>
      </c>
      <c r="AG404" s="212">
        <v>0</v>
      </c>
      <c r="AH404" s="212">
        <v>0</v>
      </c>
      <c r="AI404" s="212">
        <v>0</v>
      </c>
      <c r="AJ404" s="212">
        <v>0</v>
      </c>
      <c r="AK404" s="213">
        <v>0</v>
      </c>
      <c r="AL404" s="215">
        <f t="shared" si="12"/>
        <v>1</v>
      </c>
      <c r="AM404" s="216">
        <f>0</f>
        <v>0</v>
      </c>
      <c r="AN404" s="217">
        <f t="shared" si="13"/>
        <v>1</v>
      </c>
      <c r="AO404" s="251">
        <v>45099</v>
      </c>
      <c r="AP404" s="151" t="s">
        <v>273</v>
      </c>
      <c r="AQ404" s="153" t="s">
        <v>1655</v>
      </c>
      <c r="AR404" s="219" t="s">
        <v>148</v>
      </c>
      <c r="AS404" s="159"/>
      <c r="AT404" s="153"/>
      <c r="AU404" s="154"/>
      <c r="AV404" s="154"/>
      <c r="AW404" s="154"/>
      <c r="AX404" s="155"/>
      <c r="AY404" s="156"/>
      <c r="AZ404" s="157"/>
      <c r="BA404" s="81"/>
      <c r="BB404" s="81"/>
      <c r="BC404" s="81"/>
    </row>
    <row r="405" spans="1:55" ht="28" customHeight="1" x14ac:dyDescent="0.25">
      <c r="A405" s="173">
        <v>400</v>
      </c>
      <c r="B405" s="147">
        <v>45099</v>
      </c>
      <c r="C405" s="77" t="s">
        <v>134</v>
      </c>
      <c r="D405" s="77" t="s">
        <v>135</v>
      </c>
      <c r="E405" s="77" t="s">
        <v>136</v>
      </c>
      <c r="F405" s="219" t="s">
        <v>672</v>
      </c>
      <c r="G405" s="219" t="s">
        <v>1310</v>
      </c>
      <c r="H405" s="219" t="s">
        <v>110</v>
      </c>
      <c r="I405" s="219" t="s">
        <v>126</v>
      </c>
      <c r="J405" s="221" t="s">
        <v>1311</v>
      </c>
      <c r="K405" s="220" t="s">
        <v>80</v>
      </c>
      <c r="L405" s="220" t="s">
        <v>358</v>
      </c>
      <c r="M405" s="220" t="s">
        <v>114</v>
      </c>
      <c r="N405" s="220" t="s">
        <v>80</v>
      </c>
      <c r="O405" s="220" t="s">
        <v>1313</v>
      </c>
      <c r="P405" s="152">
        <v>1</v>
      </c>
      <c r="Q405" s="307"/>
      <c r="R405" s="211">
        <v>0</v>
      </c>
      <c r="S405" s="212">
        <v>0</v>
      </c>
      <c r="T405" s="212">
        <v>0</v>
      </c>
      <c r="U405" s="212">
        <v>0</v>
      </c>
      <c r="V405" s="212">
        <v>0</v>
      </c>
      <c r="W405" s="218">
        <v>1</v>
      </c>
      <c r="X405" s="212">
        <v>0</v>
      </c>
      <c r="Y405" s="212">
        <v>0</v>
      </c>
      <c r="Z405" s="210">
        <v>0</v>
      </c>
      <c r="AA405" s="213">
        <v>0</v>
      </c>
      <c r="AB405" s="214">
        <v>0</v>
      </c>
      <c r="AC405" s="212">
        <v>0</v>
      </c>
      <c r="AD405" s="212">
        <v>0</v>
      </c>
      <c r="AE405" s="212">
        <v>0</v>
      </c>
      <c r="AF405" s="212">
        <v>0</v>
      </c>
      <c r="AG405" s="212">
        <v>0</v>
      </c>
      <c r="AH405" s="212">
        <v>0</v>
      </c>
      <c r="AI405" s="212">
        <v>0</v>
      </c>
      <c r="AJ405" s="212">
        <v>0</v>
      </c>
      <c r="AK405" s="213">
        <v>0</v>
      </c>
      <c r="AL405" s="215">
        <f t="shared" si="12"/>
        <v>1</v>
      </c>
      <c r="AM405" s="216">
        <f>0</f>
        <v>0</v>
      </c>
      <c r="AN405" s="217">
        <f t="shared" si="13"/>
        <v>1</v>
      </c>
      <c r="AO405" s="251">
        <v>45099</v>
      </c>
      <c r="AP405" s="223" t="s">
        <v>273</v>
      </c>
      <c r="AQ405" s="153" t="s">
        <v>1656</v>
      </c>
      <c r="AR405" s="219" t="s">
        <v>276</v>
      </c>
      <c r="AS405" s="159"/>
      <c r="AT405" s="153"/>
      <c r="AU405" s="154"/>
      <c r="AV405" s="154"/>
      <c r="AW405" s="154"/>
      <c r="AX405" s="155"/>
      <c r="AY405" s="156"/>
      <c r="AZ405" s="157"/>
      <c r="BA405" s="81"/>
      <c r="BB405" s="81"/>
      <c r="BC405" s="81"/>
    </row>
    <row r="406" spans="1:55" ht="28" customHeight="1" x14ac:dyDescent="0.25">
      <c r="A406" s="173">
        <v>401</v>
      </c>
      <c r="B406" s="147">
        <v>45099</v>
      </c>
      <c r="C406" s="77" t="s">
        <v>134</v>
      </c>
      <c r="D406" s="77" t="s">
        <v>135</v>
      </c>
      <c r="E406" s="77" t="s">
        <v>136</v>
      </c>
      <c r="F406" s="152" t="s">
        <v>1446</v>
      </c>
      <c r="G406" s="252" t="s">
        <v>1314</v>
      </c>
      <c r="H406" s="252" t="s">
        <v>110</v>
      </c>
      <c r="I406" s="252" t="s">
        <v>1315</v>
      </c>
      <c r="J406" s="252" t="s">
        <v>1316</v>
      </c>
      <c r="K406" s="149"/>
      <c r="L406" s="252" t="s">
        <v>389</v>
      </c>
      <c r="M406" s="252" t="s">
        <v>154</v>
      </c>
      <c r="N406" s="252" t="s">
        <v>214</v>
      </c>
      <c r="O406" s="252"/>
      <c r="P406" s="252"/>
      <c r="Q406" s="307"/>
      <c r="R406" s="211">
        <v>0</v>
      </c>
      <c r="S406" s="212">
        <v>0</v>
      </c>
      <c r="T406" s="212">
        <v>0</v>
      </c>
      <c r="U406" s="212">
        <v>0</v>
      </c>
      <c r="V406" s="212">
        <v>0</v>
      </c>
      <c r="W406" s="212">
        <v>0</v>
      </c>
      <c r="X406" s="212">
        <v>0</v>
      </c>
      <c r="Y406" s="212">
        <v>0</v>
      </c>
      <c r="Z406" s="210">
        <v>0</v>
      </c>
      <c r="AA406" s="213">
        <v>0</v>
      </c>
      <c r="AB406" s="214">
        <v>0</v>
      </c>
      <c r="AC406" s="249">
        <v>2</v>
      </c>
      <c r="AD406" s="212">
        <v>0</v>
      </c>
      <c r="AE406" s="212">
        <v>0</v>
      </c>
      <c r="AF406" s="212">
        <v>0</v>
      </c>
      <c r="AG406" s="212">
        <v>0</v>
      </c>
      <c r="AH406" s="212">
        <v>0</v>
      </c>
      <c r="AI406" s="212">
        <v>0</v>
      </c>
      <c r="AJ406" s="212">
        <v>0</v>
      </c>
      <c r="AK406" s="213">
        <v>0</v>
      </c>
      <c r="AL406" s="215">
        <f t="shared" si="12"/>
        <v>2</v>
      </c>
      <c r="AM406" s="216">
        <f>0</f>
        <v>0</v>
      </c>
      <c r="AN406" s="217">
        <f t="shared" si="13"/>
        <v>2</v>
      </c>
      <c r="AO406" s="251">
        <v>45099</v>
      </c>
      <c r="AP406" s="151" t="s">
        <v>273</v>
      </c>
      <c r="AQ406" s="153" t="s">
        <v>1655</v>
      </c>
      <c r="AR406" s="219" t="s">
        <v>148</v>
      </c>
      <c r="AS406" s="159"/>
      <c r="AT406" s="153"/>
      <c r="AU406" s="154"/>
      <c r="AV406" s="154"/>
      <c r="AW406" s="154"/>
      <c r="AX406" s="155"/>
      <c r="AY406" s="156"/>
      <c r="AZ406" s="157"/>
      <c r="BA406" s="81"/>
      <c r="BB406" s="81"/>
      <c r="BC406" s="81"/>
    </row>
    <row r="407" spans="1:55" ht="28" customHeight="1" x14ac:dyDescent="0.25">
      <c r="A407" s="173">
        <v>402</v>
      </c>
      <c r="B407" s="147">
        <v>45099</v>
      </c>
      <c r="C407" s="77" t="s">
        <v>134</v>
      </c>
      <c r="D407" s="77" t="s">
        <v>135</v>
      </c>
      <c r="E407" s="77" t="s">
        <v>136</v>
      </c>
      <c r="F407" s="152" t="s">
        <v>1446</v>
      </c>
      <c r="G407" s="252" t="s">
        <v>1317</v>
      </c>
      <c r="H407" s="252" t="s">
        <v>110</v>
      </c>
      <c r="I407" s="252" t="s">
        <v>1318</v>
      </c>
      <c r="J407" s="252" t="s">
        <v>1319</v>
      </c>
      <c r="K407" s="149"/>
      <c r="L407" s="252" t="s">
        <v>193</v>
      </c>
      <c r="M407" s="252" t="s">
        <v>154</v>
      </c>
      <c r="N407" s="252" t="s">
        <v>578</v>
      </c>
      <c r="O407" s="252" t="s">
        <v>149</v>
      </c>
      <c r="P407" s="252"/>
      <c r="Q407" s="307"/>
      <c r="R407" s="211">
        <v>0</v>
      </c>
      <c r="S407" s="212">
        <v>0</v>
      </c>
      <c r="T407" s="212">
        <v>0</v>
      </c>
      <c r="U407" s="212">
        <v>0</v>
      </c>
      <c r="V407" s="212">
        <v>0</v>
      </c>
      <c r="W407" s="212">
        <v>0</v>
      </c>
      <c r="X407" s="212">
        <v>0</v>
      </c>
      <c r="Y407" s="212">
        <v>0</v>
      </c>
      <c r="Z407" s="210">
        <v>0</v>
      </c>
      <c r="AA407" s="213">
        <v>0</v>
      </c>
      <c r="AB407" s="214">
        <v>0</v>
      </c>
      <c r="AC407" s="249">
        <v>1</v>
      </c>
      <c r="AD407" s="212">
        <v>0</v>
      </c>
      <c r="AE407" s="212">
        <v>0</v>
      </c>
      <c r="AF407" s="212">
        <v>0</v>
      </c>
      <c r="AG407" s="212">
        <v>0</v>
      </c>
      <c r="AH407" s="212">
        <v>0</v>
      </c>
      <c r="AI407" s="212">
        <v>0</v>
      </c>
      <c r="AJ407" s="212">
        <v>0</v>
      </c>
      <c r="AK407" s="213">
        <v>0</v>
      </c>
      <c r="AL407" s="215">
        <f t="shared" si="12"/>
        <v>1</v>
      </c>
      <c r="AM407" s="216">
        <f>0</f>
        <v>0</v>
      </c>
      <c r="AN407" s="217">
        <f t="shared" si="13"/>
        <v>1</v>
      </c>
      <c r="AO407" s="251">
        <v>45099</v>
      </c>
      <c r="AP407" s="151" t="s">
        <v>273</v>
      </c>
      <c r="AQ407" s="153" t="s">
        <v>1655</v>
      </c>
      <c r="AR407" s="219" t="s">
        <v>148</v>
      </c>
      <c r="AS407" s="159"/>
      <c r="AT407" s="153"/>
      <c r="AU407" s="154"/>
      <c r="AV407" s="154"/>
      <c r="AW407" s="154"/>
      <c r="AX407" s="155"/>
      <c r="AY407" s="156"/>
      <c r="AZ407" s="157"/>
      <c r="BA407" s="81"/>
      <c r="BB407" s="81"/>
      <c r="BC407" s="81"/>
    </row>
    <row r="408" spans="1:55" ht="28" customHeight="1" x14ac:dyDescent="0.25">
      <c r="A408" s="173">
        <v>403</v>
      </c>
      <c r="B408" s="147">
        <v>45099</v>
      </c>
      <c r="C408" s="77" t="s">
        <v>134</v>
      </c>
      <c r="D408" s="77" t="s">
        <v>135</v>
      </c>
      <c r="E408" s="77" t="s">
        <v>136</v>
      </c>
      <c r="F408" s="152" t="s">
        <v>1446</v>
      </c>
      <c r="G408" s="252" t="s">
        <v>1320</v>
      </c>
      <c r="H408" s="252" t="s">
        <v>110</v>
      </c>
      <c r="I408" s="252" t="s">
        <v>146</v>
      </c>
      <c r="J408" s="252" t="s">
        <v>1321</v>
      </c>
      <c r="K408" s="149"/>
      <c r="L408" s="252" t="s">
        <v>193</v>
      </c>
      <c r="M408" s="252" t="s">
        <v>154</v>
      </c>
      <c r="N408" s="252" t="s">
        <v>578</v>
      </c>
      <c r="O408" s="252" t="s">
        <v>149</v>
      </c>
      <c r="P408" s="252"/>
      <c r="Q408" s="307"/>
      <c r="R408" s="211">
        <v>0</v>
      </c>
      <c r="S408" s="212">
        <v>0</v>
      </c>
      <c r="T408" s="212">
        <v>0</v>
      </c>
      <c r="U408" s="212">
        <v>0</v>
      </c>
      <c r="V408" s="212">
        <v>0</v>
      </c>
      <c r="W408" s="212">
        <v>0</v>
      </c>
      <c r="X408" s="212">
        <v>0</v>
      </c>
      <c r="Y408" s="212">
        <v>0</v>
      </c>
      <c r="Z408" s="210">
        <v>0</v>
      </c>
      <c r="AA408" s="213">
        <v>0</v>
      </c>
      <c r="AB408" s="214">
        <v>0</v>
      </c>
      <c r="AC408" s="249">
        <v>1</v>
      </c>
      <c r="AD408" s="212">
        <v>0</v>
      </c>
      <c r="AE408" s="212">
        <v>0</v>
      </c>
      <c r="AF408" s="212">
        <v>0</v>
      </c>
      <c r="AG408" s="212">
        <v>0</v>
      </c>
      <c r="AH408" s="212">
        <v>0</v>
      </c>
      <c r="AI408" s="212">
        <v>0</v>
      </c>
      <c r="AJ408" s="212">
        <v>0</v>
      </c>
      <c r="AK408" s="213">
        <v>0</v>
      </c>
      <c r="AL408" s="215">
        <f t="shared" si="12"/>
        <v>1</v>
      </c>
      <c r="AM408" s="216">
        <f>0</f>
        <v>0</v>
      </c>
      <c r="AN408" s="217">
        <f t="shared" si="13"/>
        <v>1</v>
      </c>
      <c r="AO408" s="251">
        <v>45099</v>
      </c>
      <c r="AP408" s="151" t="s">
        <v>273</v>
      </c>
      <c r="AQ408" s="153" t="s">
        <v>1655</v>
      </c>
      <c r="AR408" s="219" t="s">
        <v>148</v>
      </c>
      <c r="AS408" s="159"/>
      <c r="AT408" s="153"/>
      <c r="AU408" s="154"/>
      <c r="AV408" s="154"/>
      <c r="AW408" s="154"/>
      <c r="AX408" s="155"/>
      <c r="AY408" s="156"/>
      <c r="AZ408" s="157"/>
      <c r="BA408" s="81"/>
      <c r="BB408" s="81"/>
      <c r="BC408" s="81"/>
    </row>
    <row r="409" spans="1:55" ht="28" customHeight="1" x14ac:dyDescent="0.25">
      <c r="A409" s="173">
        <v>404</v>
      </c>
      <c r="B409" s="147">
        <v>45099</v>
      </c>
      <c r="C409" s="77" t="s">
        <v>134</v>
      </c>
      <c r="D409" s="77" t="s">
        <v>135</v>
      </c>
      <c r="E409" s="77" t="s">
        <v>136</v>
      </c>
      <c r="F409" s="152" t="s">
        <v>1446</v>
      </c>
      <c r="G409" s="252" t="s">
        <v>1322</v>
      </c>
      <c r="H409" s="252" t="s">
        <v>110</v>
      </c>
      <c r="I409" s="252" t="s">
        <v>146</v>
      </c>
      <c r="J409" s="252" t="s">
        <v>1323</v>
      </c>
      <c r="K409" s="149"/>
      <c r="L409" s="252" t="s">
        <v>168</v>
      </c>
      <c r="M409" s="252" t="s">
        <v>154</v>
      </c>
      <c r="N409" s="252" t="s">
        <v>214</v>
      </c>
      <c r="O409" s="252" t="s">
        <v>149</v>
      </c>
      <c r="P409" s="252"/>
      <c r="Q409" s="307"/>
      <c r="R409" s="211">
        <v>0</v>
      </c>
      <c r="S409" s="212">
        <v>0</v>
      </c>
      <c r="T409" s="212">
        <v>0</v>
      </c>
      <c r="U409" s="212">
        <v>0</v>
      </c>
      <c r="V409" s="212">
        <v>0</v>
      </c>
      <c r="W409" s="212">
        <v>0</v>
      </c>
      <c r="X409" s="212">
        <v>0</v>
      </c>
      <c r="Y409" s="212">
        <v>0</v>
      </c>
      <c r="Z409" s="210">
        <v>0</v>
      </c>
      <c r="AA409" s="213">
        <v>0</v>
      </c>
      <c r="AB409" s="214">
        <v>0</v>
      </c>
      <c r="AC409" s="249">
        <v>1</v>
      </c>
      <c r="AD409" s="212">
        <v>0</v>
      </c>
      <c r="AE409" s="212">
        <v>0</v>
      </c>
      <c r="AF409" s="212">
        <v>0</v>
      </c>
      <c r="AG409" s="212">
        <v>0</v>
      </c>
      <c r="AH409" s="212">
        <v>0</v>
      </c>
      <c r="AI409" s="212">
        <v>0</v>
      </c>
      <c r="AJ409" s="212">
        <v>0</v>
      </c>
      <c r="AK409" s="213">
        <v>0</v>
      </c>
      <c r="AL409" s="215">
        <f t="shared" si="12"/>
        <v>1</v>
      </c>
      <c r="AM409" s="216">
        <f>0</f>
        <v>0</v>
      </c>
      <c r="AN409" s="217">
        <f t="shared" si="13"/>
        <v>1</v>
      </c>
      <c r="AO409" s="251">
        <v>45099</v>
      </c>
      <c r="AP409" s="151" t="s">
        <v>273</v>
      </c>
      <c r="AQ409" s="153" t="s">
        <v>1655</v>
      </c>
      <c r="AR409" s="219" t="s">
        <v>148</v>
      </c>
      <c r="AS409" s="159"/>
      <c r="AT409" s="153"/>
      <c r="AU409" s="154"/>
      <c r="AV409" s="154"/>
      <c r="AW409" s="154"/>
      <c r="AX409" s="155"/>
      <c r="AY409" s="156"/>
      <c r="AZ409" s="157"/>
      <c r="BA409" s="81"/>
      <c r="BB409" s="81"/>
      <c r="BC409" s="81"/>
    </row>
    <row r="410" spans="1:55" ht="28" customHeight="1" x14ac:dyDescent="0.25">
      <c r="A410" s="173">
        <v>405</v>
      </c>
      <c r="B410" s="147">
        <v>45099</v>
      </c>
      <c r="C410" s="77" t="s">
        <v>134</v>
      </c>
      <c r="D410" s="77" t="s">
        <v>135</v>
      </c>
      <c r="E410" s="77" t="s">
        <v>136</v>
      </c>
      <c r="F410" s="152" t="s">
        <v>1446</v>
      </c>
      <c r="G410" s="252" t="s">
        <v>1324</v>
      </c>
      <c r="H410" s="252" t="s">
        <v>110</v>
      </c>
      <c r="I410" s="252" t="s">
        <v>1325</v>
      </c>
      <c r="J410" s="252" t="s">
        <v>1326</v>
      </c>
      <c r="K410" s="149"/>
      <c r="L410" s="252" t="s">
        <v>168</v>
      </c>
      <c r="M410" s="252" t="s">
        <v>154</v>
      </c>
      <c r="N410" s="252" t="s">
        <v>80</v>
      </c>
      <c r="O410" s="252" t="s">
        <v>149</v>
      </c>
      <c r="P410" s="252"/>
      <c r="Q410" s="307"/>
      <c r="R410" s="211">
        <v>0</v>
      </c>
      <c r="S410" s="212">
        <v>0</v>
      </c>
      <c r="T410" s="212">
        <v>0</v>
      </c>
      <c r="U410" s="212">
        <v>0</v>
      </c>
      <c r="V410" s="212">
        <v>0</v>
      </c>
      <c r="W410" s="212">
        <v>0</v>
      </c>
      <c r="X410" s="212">
        <v>0</v>
      </c>
      <c r="Y410" s="212">
        <v>0</v>
      </c>
      <c r="Z410" s="210">
        <v>0</v>
      </c>
      <c r="AA410" s="213">
        <v>0</v>
      </c>
      <c r="AB410" s="214">
        <v>0</v>
      </c>
      <c r="AC410" s="249">
        <v>2</v>
      </c>
      <c r="AD410" s="212">
        <v>0</v>
      </c>
      <c r="AE410" s="212">
        <v>0</v>
      </c>
      <c r="AF410" s="212">
        <v>0</v>
      </c>
      <c r="AG410" s="212">
        <v>0</v>
      </c>
      <c r="AH410" s="212">
        <v>0</v>
      </c>
      <c r="AI410" s="212">
        <v>0</v>
      </c>
      <c r="AJ410" s="212">
        <v>0</v>
      </c>
      <c r="AK410" s="213">
        <v>0</v>
      </c>
      <c r="AL410" s="215">
        <f t="shared" si="12"/>
        <v>2</v>
      </c>
      <c r="AM410" s="216">
        <f>0</f>
        <v>0</v>
      </c>
      <c r="AN410" s="217">
        <f t="shared" si="13"/>
        <v>2</v>
      </c>
      <c r="AO410" s="251">
        <v>45099</v>
      </c>
      <c r="AP410" s="151" t="s">
        <v>273</v>
      </c>
      <c r="AQ410" s="153" t="s">
        <v>1655</v>
      </c>
      <c r="AR410" s="219" t="s">
        <v>148</v>
      </c>
      <c r="AS410" s="159"/>
      <c r="AT410" s="153"/>
      <c r="AU410" s="154"/>
      <c r="AV410" s="154"/>
      <c r="AW410" s="154"/>
      <c r="AX410" s="155"/>
      <c r="AY410" s="156"/>
      <c r="AZ410" s="157"/>
      <c r="BA410" s="81"/>
      <c r="BB410" s="81"/>
      <c r="BC410" s="81"/>
    </row>
    <row r="411" spans="1:55" ht="28" customHeight="1" x14ac:dyDescent="0.25">
      <c r="A411" s="173">
        <v>406</v>
      </c>
      <c r="B411" s="147">
        <v>45099</v>
      </c>
      <c r="C411" s="77" t="s">
        <v>134</v>
      </c>
      <c r="D411" s="77" t="s">
        <v>135</v>
      </c>
      <c r="E411" s="77" t="s">
        <v>136</v>
      </c>
      <c r="F411" s="152" t="s">
        <v>1446</v>
      </c>
      <c r="G411" s="252" t="s">
        <v>1327</v>
      </c>
      <c r="H411" s="252" t="s">
        <v>110</v>
      </c>
      <c r="I411" s="252" t="s">
        <v>1328</v>
      </c>
      <c r="J411" s="252" t="s">
        <v>1329</v>
      </c>
      <c r="K411" s="149"/>
      <c r="L411" s="252" t="s">
        <v>168</v>
      </c>
      <c r="M411" s="252" t="s">
        <v>154</v>
      </c>
      <c r="N411" s="252"/>
      <c r="O411" s="252" t="s">
        <v>149</v>
      </c>
      <c r="P411" s="252"/>
      <c r="Q411" s="307"/>
      <c r="R411" s="211">
        <v>0</v>
      </c>
      <c r="S411" s="212">
        <v>0</v>
      </c>
      <c r="T411" s="212">
        <v>0</v>
      </c>
      <c r="U411" s="212">
        <v>0</v>
      </c>
      <c r="V411" s="212">
        <v>0</v>
      </c>
      <c r="W411" s="212">
        <v>0</v>
      </c>
      <c r="X411" s="212">
        <v>0</v>
      </c>
      <c r="Y411" s="212">
        <v>0</v>
      </c>
      <c r="Z411" s="210">
        <v>0</v>
      </c>
      <c r="AA411" s="213">
        <v>0</v>
      </c>
      <c r="AB411" s="214">
        <v>0</v>
      </c>
      <c r="AC411" s="249">
        <v>2</v>
      </c>
      <c r="AD411" s="212">
        <v>0</v>
      </c>
      <c r="AE411" s="212">
        <v>0</v>
      </c>
      <c r="AF411" s="212">
        <v>0</v>
      </c>
      <c r="AG411" s="212">
        <v>0</v>
      </c>
      <c r="AH411" s="212">
        <v>0</v>
      </c>
      <c r="AI411" s="212">
        <v>0</v>
      </c>
      <c r="AJ411" s="212">
        <v>0</v>
      </c>
      <c r="AK411" s="213">
        <v>0</v>
      </c>
      <c r="AL411" s="215">
        <f t="shared" si="12"/>
        <v>2</v>
      </c>
      <c r="AM411" s="216">
        <f>0</f>
        <v>0</v>
      </c>
      <c r="AN411" s="217">
        <f t="shared" si="13"/>
        <v>2</v>
      </c>
      <c r="AO411" s="251">
        <v>45099</v>
      </c>
      <c r="AP411" s="151" t="s">
        <v>273</v>
      </c>
      <c r="AQ411" s="153" t="s">
        <v>1655</v>
      </c>
      <c r="AR411" s="219" t="s">
        <v>148</v>
      </c>
      <c r="AS411" s="159"/>
      <c r="AT411" s="153"/>
      <c r="AU411" s="154"/>
      <c r="AV411" s="154"/>
      <c r="AW411" s="154"/>
      <c r="AX411" s="155"/>
      <c r="AY411" s="156"/>
      <c r="AZ411" s="157"/>
      <c r="BA411" s="81"/>
      <c r="BB411" s="81"/>
      <c r="BC411" s="81"/>
    </row>
    <row r="412" spans="1:55" ht="28" customHeight="1" x14ac:dyDescent="0.25">
      <c r="A412" s="173">
        <v>407</v>
      </c>
      <c r="B412" s="147">
        <v>45099</v>
      </c>
      <c r="C412" s="77" t="s">
        <v>134</v>
      </c>
      <c r="D412" s="77" t="s">
        <v>135</v>
      </c>
      <c r="E412" s="77" t="s">
        <v>136</v>
      </c>
      <c r="F412" s="152" t="s">
        <v>1446</v>
      </c>
      <c r="G412" s="252" t="s">
        <v>1330</v>
      </c>
      <c r="H412" s="252" t="s">
        <v>110</v>
      </c>
      <c r="I412" s="252" t="s">
        <v>236</v>
      </c>
      <c r="J412" s="252" t="s">
        <v>1331</v>
      </c>
      <c r="K412" s="149"/>
      <c r="L412" s="252" t="s">
        <v>153</v>
      </c>
      <c r="M412" s="252" t="s">
        <v>154</v>
      </c>
      <c r="N412" s="252"/>
      <c r="O412" s="252" t="s">
        <v>155</v>
      </c>
      <c r="P412" s="252"/>
      <c r="Q412" s="307"/>
      <c r="R412" s="211">
        <v>0</v>
      </c>
      <c r="S412" s="212">
        <v>0</v>
      </c>
      <c r="T412" s="212">
        <v>0</v>
      </c>
      <c r="U412" s="212">
        <v>0</v>
      </c>
      <c r="V412" s="212">
        <v>0</v>
      </c>
      <c r="W412" s="212">
        <v>0</v>
      </c>
      <c r="X412" s="212">
        <v>0</v>
      </c>
      <c r="Y412" s="212">
        <v>0</v>
      </c>
      <c r="Z412" s="210">
        <v>0</v>
      </c>
      <c r="AA412" s="213">
        <v>0</v>
      </c>
      <c r="AB412" s="214">
        <v>0</v>
      </c>
      <c r="AC412" s="249">
        <v>2</v>
      </c>
      <c r="AD412" s="212">
        <v>0</v>
      </c>
      <c r="AE412" s="212">
        <v>0</v>
      </c>
      <c r="AF412" s="212">
        <v>0</v>
      </c>
      <c r="AG412" s="212">
        <v>0</v>
      </c>
      <c r="AH412" s="212">
        <v>0</v>
      </c>
      <c r="AI412" s="212">
        <v>0</v>
      </c>
      <c r="AJ412" s="212">
        <v>0</v>
      </c>
      <c r="AK412" s="213">
        <v>0</v>
      </c>
      <c r="AL412" s="215">
        <f t="shared" si="12"/>
        <v>2</v>
      </c>
      <c r="AM412" s="216">
        <f>0</f>
        <v>0</v>
      </c>
      <c r="AN412" s="217">
        <f t="shared" si="13"/>
        <v>2</v>
      </c>
      <c r="AO412" s="251">
        <v>45099</v>
      </c>
      <c r="AP412" s="151" t="s">
        <v>273</v>
      </c>
      <c r="AQ412" s="153" t="s">
        <v>1655</v>
      </c>
      <c r="AR412" s="219" t="s">
        <v>148</v>
      </c>
      <c r="AS412" s="159"/>
      <c r="AT412" s="153"/>
      <c r="AU412" s="154"/>
      <c r="AV412" s="154"/>
      <c r="AW412" s="154"/>
      <c r="AX412" s="155"/>
      <c r="AY412" s="156"/>
      <c r="AZ412" s="157"/>
      <c r="BA412" s="81"/>
      <c r="BB412" s="81"/>
      <c r="BC412" s="81"/>
    </row>
    <row r="413" spans="1:55" ht="28" customHeight="1" x14ac:dyDescent="0.25">
      <c r="A413" s="173">
        <v>408</v>
      </c>
      <c r="B413" s="147">
        <v>45099</v>
      </c>
      <c r="C413" s="77" t="s">
        <v>134</v>
      </c>
      <c r="D413" s="77" t="s">
        <v>135</v>
      </c>
      <c r="E413" s="77" t="s">
        <v>136</v>
      </c>
      <c r="F413" s="152" t="s">
        <v>1446</v>
      </c>
      <c r="G413" s="252" t="s">
        <v>1332</v>
      </c>
      <c r="H413" s="252" t="s">
        <v>110</v>
      </c>
      <c r="I413" s="252" t="s">
        <v>1333</v>
      </c>
      <c r="J413" s="252" t="s">
        <v>1334</v>
      </c>
      <c r="K413" s="149"/>
      <c r="L413" s="252" t="s">
        <v>153</v>
      </c>
      <c r="M413" s="252" t="s">
        <v>154</v>
      </c>
      <c r="N413" s="252"/>
      <c r="O413" s="252" t="s">
        <v>155</v>
      </c>
      <c r="P413" s="252"/>
      <c r="Q413" s="307"/>
      <c r="R413" s="211">
        <v>0</v>
      </c>
      <c r="S413" s="212">
        <v>0</v>
      </c>
      <c r="T413" s="212">
        <v>0</v>
      </c>
      <c r="U413" s="212">
        <v>0</v>
      </c>
      <c r="V413" s="212">
        <v>0</v>
      </c>
      <c r="W413" s="212">
        <v>0</v>
      </c>
      <c r="X413" s="212">
        <v>0</v>
      </c>
      <c r="Y413" s="212">
        <v>0</v>
      </c>
      <c r="Z413" s="210">
        <v>0</v>
      </c>
      <c r="AA413" s="213">
        <v>0</v>
      </c>
      <c r="AB413" s="214">
        <v>0</v>
      </c>
      <c r="AC413" s="249">
        <v>2</v>
      </c>
      <c r="AD413" s="212">
        <v>0</v>
      </c>
      <c r="AE413" s="212">
        <v>0</v>
      </c>
      <c r="AF413" s="212">
        <v>0</v>
      </c>
      <c r="AG413" s="212">
        <v>0</v>
      </c>
      <c r="AH413" s="212">
        <v>0</v>
      </c>
      <c r="AI413" s="212">
        <v>0</v>
      </c>
      <c r="AJ413" s="212">
        <v>0</v>
      </c>
      <c r="AK413" s="213">
        <v>0</v>
      </c>
      <c r="AL413" s="215">
        <f t="shared" si="12"/>
        <v>2</v>
      </c>
      <c r="AM413" s="216">
        <f>0</f>
        <v>0</v>
      </c>
      <c r="AN413" s="217">
        <f t="shared" si="13"/>
        <v>2</v>
      </c>
      <c r="AO413" s="251">
        <v>45099</v>
      </c>
      <c r="AP413" s="151" t="s">
        <v>273</v>
      </c>
      <c r="AQ413" s="153" t="s">
        <v>1655</v>
      </c>
      <c r="AR413" s="219" t="s">
        <v>148</v>
      </c>
      <c r="AS413" s="159"/>
      <c r="AT413" s="153"/>
      <c r="AU413" s="154"/>
      <c r="AV413" s="154"/>
      <c r="AW413" s="154"/>
      <c r="AX413" s="155"/>
      <c r="AY413" s="156"/>
      <c r="AZ413" s="157"/>
      <c r="BA413" s="81"/>
      <c r="BB413" s="81"/>
      <c r="BC413" s="81"/>
    </row>
    <row r="414" spans="1:55" ht="28" customHeight="1" x14ac:dyDescent="0.25">
      <c r="A414" s="173">
        <v>409</v>
      </c>
      <c r="B414" s="147">
        <v>45099</v>
      </c>
      <c r="C414" s="77" t="s">
        <v>134</v>
      </c>
      <c r="D414" s="77" t="s">
        <v>135</v>
      </c>
      <c r="E414" s="77" t="s">
        <v>136</v>
      </c>
      <c r="F414" s="152" t="s">
        <v>1446</v>
      </c>
      <c r="G414" s="252" t="s">
        <v>1335</v>
      </c>
      <c r="H414" s="252" t="s">
        <v>110</v>
      </c>
      <c r="I414" s="252" t="s">
        <v>831</v>
      </c>
      <c r="J414" s="252" t="s">
        <v>1336</v>
      </c>
      <c r="K414" s="149"/>
      <c r="L414" s="252" t="s">
        <v>209</v>
      </c>
      <c r="M414" s="252" t="s">
        <v>114</v>
      </c>
      <c r="N414" s="252" t="s">
        <v>80</v>
      </c>
      <c r="O414" s="252" t="s">
        <v>80</v>
      </c>
      <c r="P414" s="252"/>
      <c r="Q414" s="307"/>
      <c r="R414" s="211">
        <v>0</v>
      </c>
      <c r="S414" s="212">
        <v>0</v>
      </c>
      <c r="T414" s="212">
        <v>0</v>
      </c>
      <c r="U414" s="212">
        <v>0</v>
      </c>
      <c r="V414" s="212">
        <v>0</v>
      </c>
      <c r="W414" s="212">
        <v>0</v>
      </c>
      <c r="X414" s="212">
        <v>0</v>
      </c>
      <c r="Y414" s="212">
        <v>0</v>
      </c>
      <c r="Z414" s="210">
        <v>0</v>
      </c>
      <c r="AA414" s="213">
        <v>0</v>
      </c>
      <c r="AB414" s="214">
        <v>0</v>
      </c>
      <c r="AC414" s="249">
        <v>1</v>
      </c>
      <c r="AD414" s="212">
        <v>0</v>
      </c>
      <c r="AE414" s="212">
        <v>0</v>
      </c>
      <c r="AF414" s="212">
        <v>0</v>
      </c>
      <c r="AG414" s="212">
        <v>0</v>
      </c>
      <c r="AH414" s="212">
        <v>0</v>
      </c>
      <c r="AI414" s="212">
        <v>0</v>
      </c>
      <c r="AJ414" s="212">
        <v>0</v>
      </c>
      <c r="AK414" s="213">
        <v>0</v>
      </c>
      <c r="AL414" s="215">
        <f t="shared" si="12"/>
        <v>1</v>
      </c>
      <c r="AM414" s="216">
        <f>0</f>
        <v>0</v>
      </c>
      <c r="AN414" s="217">
        <f t="shared" si="13"/>
        <v>1</v>
      </c>
      <c r="AO414" s="251">
        <v>45099</v>
      </c>
      <c r="AP414" s="223" t="s">
        <v>273</v>
      </c>
      <c r="AQ414" s="153" t="s">
        <v>1656</v>
      </c>
      <c r="AR414" s="219" t="s">
        <v>276</v>
      </c>
      <c r="AS414" s="159"/>
      <c r="AT414" s="153"/>
      <c r="AU414" s="154"/>
      <c r="AV414" s="154"/>
      <c r="AW414" s="154"/>
      <c r="AX414" s="155"/>
      <c r="AY414" s="156"/>
      <c r="AZ414" s="157"/>
      <c r="BA414" s="81"/>
      <c r="BB414" s="81"/>
      <c r="BC414" s="81"/>
    </row>
    <row r="415" spans="1:55" ht="28" customHeight="1" x14ac:dyDescent="0.25">
      <c r="A415" s="173">
        <v>410</v>
      </c>
      <c r="B415" s="147">
        <v>45099</v>
      </c>
      <c r="C415" s="77" t="s">
        <v>134</v>
      </c>
      <c r="D415" s="77" t="s">
        <v>135</v>
      </c>
      <c r="E415" s="77" t="s">
        <v>136</v>
      </c>
      <c r="F415" s="152" t="s">
        <v>1446</v>
      </c>
      <c r="G415" s="252" t="s">
        <v>1337</v>
      </c>
      <c r="H415" s="252" t="s">
        <v>110</v>
      </c>
      <c r="I415" s="252" t="s">
        <v>1338</v>
      </c>
      <c r="J415" s="252" t="s">
        <v>1339</v>
      </c>
      <c r="K415" s="149" t="s">
        <v>80</v>
      </c>
      <c r="L415" s="252" t="s">
        <v>209</v>
      </c>
      <c r="M415" s="252" t="s">
        <v>114</v>
      </c>
      <c r="N415" s="252" t="s">
        <v>80</v>
      </c>
      <c r="O415" s="252" t="s">
        <v>80</v>
      </c>
      <c r="P415" s="252"/>
      <c r="Q415" s="307"/>
      <c r="R415" s="211">
        <v>0</v>
      </c>
      <c r="S415" s="212">
        <v>0</v>
      </c>
      <c r="T415" s="212">
        <v>0</v>
      </c>
      <c r="U415" s="212">
        <v>0</v>
      </c>
      <c r="V415" s="212">
        <v>0</v>
      </c>
      <c r="W415" s="212">
        <v>0</v>
      </c>
      <c r="X415" s="212">
        <v>0</v>
      </c>
      <c r="Y415" s="212">
        <v>0</v>
      </c>
      <c r="Z415" s="210">
        <v>0</v>
      </c>
      <c r="AA415" s="213">
        <v>0</v>
      </c>
      <c r="AB415" s="214">
        <v>0</v>
      </c>
      <c r="AC415" s="249">
        <v>2</v>
      </c>
      <c r="AD415" s="212">
        <v>0</v>
      </c>
      <c r="AE415" s="212">
        <v>0</v>
      </c>
      <c r="AF415" s="212">
        <v>0</v>
      </c>
      <c r="AG415" s="212">
        <v>0</v>
      </c>
      <c r="AH415" s="212">
        <v>0</v>
      </c>
      <c r="AI415" s="212">
        <v>0</v>
      </c>
      <c r="AJ415" s="212">
        <v>0</v>
      </c>
      <c r="AK415" s="213">
        <v>0</v>
      </c>
      <c r="AL415" s="215">
        <f t="shared" si="12"/>
        <v>2</v>
      </c>
      <c r="AM415" s="216">
        <f>0</f>
        <v>0</v>
      </c>
      <c r="AN415" s="217">
        <f t="shared" si="13"/>
        <v>2</v>
      </c>
      <c r="AO415" s="251">
        <v>45099</v>
      </c>
      <c r="AP415" s="223" t="s">
        <v>273</v>
      </c>
      <c r="AQ415" s="153" t="s">
        <v>1656</v>
      </c>
      <c r="AR415" s="219" t="s">
        <v>276</v>
      </c>
      <c r="AS415" s="159"/>
      <c r="AT415" s="153"/>
      <c r="AU415" s="154"/>
      <c r="AV415" s="154"/>
      <c r="AW415" s="154"/>
      <c r="AX415" s="155"/>
      <c r="AY415" s="156"/>
      <c r="AZ415" s="157"/>
      <c r="BA415" s="81"/>
      <c r="BB415" s="81"/>
      <c r="BC415" s="81"/>
    </row>
    <row r="416" spans="1:55" ht="28" customHeight="1" x14ac:dyDescent="0.25">
      <c r="A416" s="173">
        <v>411</v>
      </c>
      <c r="B416" s="147">
        <v>45099</v>
      </c>
      <c r="C416" s="79"/>
      <c r="D416" s="79"/>
      <c r="E416" s="85" t="s">
        <v>136</v>
      </c>
      <c r="F416" s="152" t="s">
        <v>1446</v>
      </c>
      <c r="G416" s="252" t="s">
        <v>1340</v>
      </c>
      <c r="H416" s="252" t="s">
        <v>110</v>
      </c>
      <c r="I416" s="252" t="s">
        <v>1341</v>
      </c>
      <c r="J416" s="252" t="s">
        <v>1342</v>
      </c>
      <c r="K416" s="149"/>
      <c r="L416" s="252" t="s">
        <v>1343</v>
      </c>
      <c r="M416" s="252" t="s">
        <v>154</v>
      </c>
      <c r="N416" s="252" t="s">
        <v>212</v>
      </c>
      <c r="O416" s="252" t="s">
        <v>80</v>
      </c>
      <c r="P416" s="252"/>
      <c r="Q416" s="307"/>
      <c r="R416" s="211">
        <v>0</v>
      </c>
      <c r="S416" s="212">
        <v>0</v>
      </c>
      <c r="T416" s="212">
        <v>0</v>
      </c>
      <c r="U416" s="212">
        <v>0</v>
      </c>
      <c r="V416" s="212">
        <v>0</v>
      </c>
      <c r="W416" s="212">
        <v>0</v>
      </c>
      <c r="X416" s="212">
        <v>0</v>
      </c>
      <c r="Y416" s="212">
        <v>0</v>
      </c>
      <c r="Z416" s="210">
        <v>0</v>
      </c>
      <c r="AA416" s="213">
        <v>0</v>
      </c>
      <c r="AB416" s="214">
        <v>0</v>
      </c>
      <c r="AC416" s="249">
        <v>1</v>
      </c>
      <c r="AD416" s="212">
        <v>0</v>
      </c>
      <c r="AE416" s="212">
        <v>0</v>
      </c>
      <c r="AF416" s="212">
        <v>0</v>
      </c>
      <c r="AG416" s="212">
        <v>0</v>
      </c>
      <c r="AH416" s="212">
        <v>0</v>
      </c>
      <c r="AI416" s="212">
        <v>0</v>
      </c>
      <c r="AJ416" s="212">
        <v>0</v>
      </c>
      <c r="AK416" s="213">
        <v>0</v>
      </c>
      <c r="AL416" s="215">
        <f t="shared" si="12"/>
        <v>1</v>
      </c>
      <c r="AM416" s="216">
        <f>0</f>
        <v>0</v>
      </c>
      <c r="AN416" s="217">
        <f t="shared" si="13"/>
        <v>1</v>
      </c>
      <c r="AO416" s="251">
        <v>45105</v>
      </c>
      <c r="AP416" s="261" t="s">
        <v>273</v>
      </c>
      <c r="AQ416" s="153" t="s">
        <v>1660</v>
      </c>
      <c r="AR416" s="219" t="s">
        <v>1659</v>
      </c>
      <c r="AS416" s="159"/>
      <c r="AT416" s="99" t="s">
        <v>1654</v>
      </c>
      <c r="AU416" s="154"/>
      <c r="AV416" s="154"/>
      <c r="AW416" s="154"/>
      <c r="AX416" s="155"/>
      <c r="AY416" s="156"/>
      <c r="AZ416" s="157"/>
      <c r="BA416" s="81"/>
      <c r="BB416" s="81"/>
      <c r="BC416" s="81"/>
    </row>
    <row r="417" spans="1:55" ht="28" customHeight="1" x14ac:dyDescent="0.25">
      <c r="A417" s="173">
        <v>412</v>
      </c>
      <c r="B417" s="147">
        <v>45099</v>
      </c>
      <c r="C417" s="77" t="s">
        <v>134</v>
      </c>
      <c r="D417" s="77" t="s">
        <v>135</v>
      </c>
      <c r="E417" s="77" t="s">
        <v>136</v>
      </c>
      <c r="F417" s="152" t="s">
        <v>1446</v>
      </c>
      <c r="G417" s="252" t="s">
        <v>1344</v>
      </c>
      <c r="H417" s="252" t="s">
        <v>110</v>
      </c>
      <c r="I417" s="252" t="s">
        <v>1341</v>
      </c>
      <c r="J417" s="252" t="s">
        <v>1345</v>
      </c>
      <c r="K417" s="149" t="s">
        <v>80</v>
      </c>
      <c r="L417" s="252" t="s">
        <v>389</v>
      </c>
      <c r="M417" s="252" t="s">
        <v>154</v>
      </c>
      <c r="N417" s="252" t="s">
        <v>212</v>
      </c>
      <c r="O417" s="252" t="s">
        <v>80</v>
      </c>
      <c r="P417" s="252"/>
      <c r="Q417" s="307"/>
      <c r="R417" s="211">
        <v>0</v>
      </c>
      <c r="S417" s="212">
        <v>0</v>
      </c>
      <c r="T417" s="212">
        <v>0</v>
      </c>
      <c r="U417" s="212">
        <v>0</v>
      </c>
      <c r="V417" s="212">
        <v>0</v>
      </c>
      <c r="W417" s="212">
        <v>0</v>
      </c>
      <c r="X417" s="212">
        <v>0</v>
      </c>
      <c r="Y417" s="212">
        <v>0</v>
      </c>
      <c r="Z417" s="210">
        <v>0</v>
      </c>
      <c r="AA417" s="213">
        <v>0</v>
      </c>
      <c r="AB417" s="214">
        <v>0</v>
      </c>
      <c r="AC417" s="249">
        <v>1</v>
      </c>
      <c r="AD417" s="212">
        <v>0</v>
      </c>
      <c r="AE417" s="212">
        <v>0</v>
      </c>
      <c r="AF417" s="212">
        <v>0</v>
      </c>
      <c r="AG417" s="212">
        <v>0</v>
      </c>
      <c r="AH417" s="212">
        <v>0</v>
      </c>
      <c r="AI417" s="212">
        <v>0</v>
      </c>
      <c r="AJ417" s="212">
        <v>0</v>
      </c>
      <c r="AK417" s="213">
        <v>0</v>
      </c>
      <c r="AL417" s="215">
        <f t="shared" si="12"/>
        <v>1</v>
      </c>
      <c r="AM417" s="216">
        <f>0</f>
        <v>0</v>
      </c>
      <c r="AN417" s="217">
        <f t="shared" si="13"/>
        <v>1</v>
      </c>
      <c r="AO417" s="251">
        <v>45105</v>
      </c>
      <c r="AP417" s="261" t="s">
        <v>273</v>
      </c>
      <c r="AQ417" s="153" t="s">
        <v>1660</v>
      </c>
      <c r="AR417" s="219" t="s">
        <v>1659</v>
      </c>
      <c r="AS417" s="159"/>
      <c r="AT417" s="99" t="s">
        <v>1654</v>
      </c>
      <c r="AU417" s="154"/>
      <c r="AV417" s="154"/>
      <c r="AW417" s="154"/>
      <c r="AX417" s="155"/>
      <c r="AY417" s="156"/>
      <c r="AZ417" s="157"/>
      <c r="BA417" s="81"/>
      <c r="BB417" s="81"/>
      <c r="BC417" s="81"/>
    </row>
    <row r="418" spans="1:55" ht="28" customHeight="1" x14ac:dyDescent="0.25">
      <c r="A418" s="173">
        <v>413</v>
      </c>
      <c r="B418" s="147">
        <v>45099</v>
      </c>
      <c r="C418" s="77" t="s">
        <v>134</v>
      </c>
      <c r="D418" s="77" t="s">
        <v>135</v>
      </c>
      <c r="E418" s="77" t="s">
        <v>136</v>
      </c>
      <c r="F418" s="152" t="s">
        <v>1446</v>
      </c>
      <c r="G418" s="252" t="s">
        <v>1346</v>
      </c>
      <c r="H418" s="252" t="s">
        <v>110</v>
      </c>
      <c r="I418" s="252" t="s">
        <v>1347</v>
      </c>
      <c r="J418" s="252" t="s">
        <v>1348</v>
      </c>
      <c r="K418" s="149" t="s">
        <v>80</v>
      </c>
      <c r="L418" s="252" t="s">
        <v>193</v>
      </c>
      <c r="M418" s="252" t="s">
        <v>154</v>
      </c>
      <c r="N418" s="252" t="s">
        <v>578</v>
      </c>
      <c r="O418" s="252" t="s">
        <v>149</v>
      </c>
      <c r="P418" s="252"/>
      <c r="Q418" s="307"/>
      <c r="R418" s="211">
        <v>0</v>
      </c>
      <c r="S418" s="212">
        <v>0</v>
      </c>
      <c r="T418" s="212">
        <v>0</v>
      </c>
      <c r="U418" s="212">
        <v>0</v>
      </c>
      <c r="V418" s="212">
        <v>0</v>
      </c>
      <c r="W418" s="212">
        <v>0</v>
      </c>
      <c r="X418" s="212">
        <v>0</v>
      </c>
      <c r="Y418" s="212">
        <v>0</v>
      </c>
      <c r="Z418" s="210">
        <v>0</v>
      </c>
      <c r="AA418" s="213">
        <v>0</v>
      </c>
      <c r="AB418" s="214">
        <v>0</v>
      </c>
      <c r="AC418" s="249">
        <v>1</v>
      </c>
      <c r="AD418" s="212">
        <v>0</v>
      </c>
      <c r="AE418" s="212">
        <v>0</v>
      </c>
      <c r="AF418" s="212">
        <v>0</v>
      </c>
      <c r="AG418" s="212">
        <v>0</v>
      </c>
      <c r="AH418" s="212">
        <v>0</v>
      </c>
      <c r="AI418" s="212">
        <v>0</v>
      </c>
      <c r="AJ418" s="212">
        <v>0</v>
      </c>
      <c r="AK418" s="213">
        <v>0</v>
      </c>
      <c r="AL418" s="215">
        <f t="shared" si="12"/>
        <v>1</v>
      </c>
      <c r="AM418" s="216">
        <f>0</f>
        <v>0</v>
      </c>
      <c r="AN418" s="217">
        <f t="shared" si="13"/>
        <v>1</v>
      </c>
      <c r="AO418" s="251">
        <v>45103</v>
      </c>
      <c r="AP418" s="260" t="s">
        <v>273</v>
      </c>
      <c r="AQ418" s="153" t="s">
        <v>1657</v>
      </c>
      <c r="AR418" s="219" t="s">
        <v>669</v>
      </c>
      <c r="AS418" s="159"/>
      <c r="AT418" s="99"/>
      <c r="AU418" s="154"/>
      <c r="AV418" s="154"/>
      <c r="AW418" s="154"/>
      <c r="AX418" s="155"/>
      <c r="AY418" s="156"/>
      <c r="AZ418" s="157"/>
      <c r="BA418" s="81"/>
      <c r="BB418" s="81"/>
      <c r="BC418" s="81"/>
    </row>
    <row r="419" spans="1:55" ht="28" customHeight="1" x14ac:dyDescent="0.25">
      <c r="A419" s="173">
        <v>414</v>
      </c>
      <c r="B419" s="147">
        <v>45099</v>
      </c>
      <c r="C419" s="77" t="s">
        <v>134</v>
      </c>
      <c r="D419" s="77" t="s">
        <v>135</v>
      </c>
      <c r="E419" s="77" t="s">
        <v>136</v>
      </c>
      <c r="F419" s="152" t="s">
        <v>1446</v>
      </c>
      <c r="G419" s="252" t="s">
        <v>1349</v>
      </c>
      <c r="H419" s="252" t="s">
        <v>110</v>
      </c>
      <c r="I419" s="252" t="s">
        <v>146</v>
      </c>
      <c r="J419" s="252" t="s">
        <v>1350</v>
      </c>
      <c r="K419" s="149" t="s">
        <v>80</v>
      </c>
      <c r="L419" s="252" t="s">
        <v>193</v>
      </c>
      <c r="M419" s="252" t="s">
        <v>154</v>
      </c>
      <c r="N419" s="252" t="s">
        <v>214</v>
      </c>
      <c r="O419" s="252" t="s">
        <v>149</v>
      </c>
      <c r="P419" s="252"/>
      <c r="Q419" s="307"/>
      <c r="R419" s="211">
        <v>0</v>
      </c>
      <c r="S419" s="212">
        <v>0</v>
      </c>
      <c r="T419" s="212">
        <v>0</v>
      </c>
      <c r="U419" s="212">
        <v>0</v>
      </c>
      <c r="V419" s="212">
        <v>0</v>
      </c>
      <c r="W419" s="212">
        <v>0</v>
      </c>
      <c r="X419" s="212">
        <v>0</v>
      </c>
      <c r="Y419" s="212">
        <v>0</v>
      </c>
      <c r="Z419" s="210">
        <v>0</v>
      </c>
      <c r="AA419" s="213">
        <v>0</v>
      </c>
      <c r="AB419" s="214">
        <v>0</v>
      </c>
      <c r="AC419" s="249">
        <v>2</v>
      </c>
      <c r="AD419" s="212">
        <v>0</v>
      </c>
      <c r="AE419" s="212">
        <v>0</v>
      </c>
      <c r="AF419" s="212">
        <v>0</v>
      </c>
      <c r="AG419" s="212">
        <v>0</v>
      </c>
      <c r="AH419" s="212">
        <v>0</v>
      </c>
      <c r="AI419" s="212">
        <v>0</v>
      </c>
      <c r="AJ419" s="212">
        <v>0</v>
      </c>
      <c r="AK419" s="213">
        <v>0</v>
      </c>
      <c r="AL419" s="215">
        <f t="shared" si="12"/>
        <v>2</v>
      </c>
      <c r="AM419" s="216">
        <f>0</f>
        <v>0</v>
      </c>
      <c r="AN419" s="217">
        <f t="shared" si="13"/>
        <v>2</v>
      </c>
      <c r="AO419" s="251">
        <v>45099</v>
      </c>
      <c r="AP419" s="151" t="s">
        <v>273</v>
      </c>
      <c r="AQ419" s="153" t="s">
        <v>1655</v>
      </c>
      <c r="AR419" s="219" t="s">
        <v>148</v>
      </c>
      <c r="AS419" s="159"/>
      <c r="AT419" s="153"/>
      <c r="AU419" s="154"/>
      <c r="AV419" s="154"/>
      <c r="AW419" s="154"/>
      <c r="AX419" s="155"/>
      <c r="AY419" s="156"/>
      <c r="AZ419" s="157"/>
      <c r="BA419" s="81"/>
      <c r="BB419" s="81"/>
      <c r="BC419" s="81"/>
    </row>
    <row r="420" spans="1:55" ht="28" customHeight="1" x14ac:dyDescent="0.25">
      <c r="A420" s="173">
        <v>415</v>
      </c>
      <c r="B420" s="147">
        <v>45099</v>
      </c>
      <c r="C420" s="77" t="s">
        <v>134</v>
      </c>
      <c r="D420" s="77" t="s">
        <v>135</v>
      </c>
      <c r="E420" s="77" t="s">
        <v>136</v>
      </c>
      <c r="F420" s="152" t="s">
        <v>1446</v>
      </c>
      <c r="G420" s="252" t="s">
        <v>1351</v>
      </c>
      <c r="H420" s="252" t="s">
        <v>110</v>
      </c>
      <c r="I420" s="252" t="s">
        <v>1352</v>
      </c>
      <c r="J420" s="252" t="s">
        <v>1353</v>
      </c>
      <c r="K420" s="149" t="s">
        <v>80</v>
      </c>
      <c r="L420" s="252" t="s">
        <v>193</v>
      </c>
      <c r="M420" s="252" t="s">
        <v>154</v>
      </c>
      <c r="N420" s="252" t="s">
        <v>212</v>
      </c>
      <c r="O420" s="252" t="s">
        <v>149</v>
      </c>
      <c r="P420" s="252"/>
      <c r="Q420" s="307"/>
      <c r="R420" s="211">
        <v>0</v>
      </c>
      <c r="S420" s="212">
        <v>0</v>
      </c>
      <c r="T420" s="212">
        <v>0</v>
      </c>
      <c r="U420" s="212">
        <v>0</v>
      </c>
      <c r="V420" s="212">
        <v>0</v>
      </c>
      <c r="W420" s="212">
        <v>0</v>
      </c>
      <c r="X420" s="212">
        <v>0</v>
      </c>
      <c r="Y420" s="212">
        <v>0</v>
      </c>
      <c r="Z420" s="210">
        <v>0</v>
      </c>
      <c r="AA420" s="213">
        <v>0</v>
      </c>
      <c r="AB420" s="214">
        <v>0</v>
      </c>
      <c r="AC420" s="249">
        <v>4</v>
      </c>
      <c r="AD420" s="212">
        <v>0</v>
      </c>
      <c r="AE420" s="212">
        <v>0</v>
      </c>
      <c r="AF420" s="212">
        <v>0</v>
      </c>
      <c r="AG420" s="212">
        <v>0</v>
      </c>
      <c r="AH420" s="212">
        <v>0</v>
      </c>
      <c r="AI420" s="212">
        <v>0</v>
      </c>
      <c r="AJ420" s="212">
        <v>0</v>
      </c>
      <c r="AK420" s="213">
        <v>0</v>
      </c>
      <c r="AL420" s="215">
        <f t="shared" si="12"/>
        <v>4</v>
      </c>
      <c r="AM420" s="216">
        <f>0</f>
        <v>0</v>
      </c>
      <c r="AN420" s="217">
        <f t="shared" si="13"/>
        <v>4</v>
      </c>
      <c r="AO420" s="251">
        <v>45099</v>
      </c>
      <c r="AP420" s="151" t="s">
        <v>273</v>
      </c>
      <c r="AQ420" s="153" t="s">
        <v>1655</v>
      </c>
      <c r="AR420" s="219" t="s">
        <v>148</v>
      </c>
      <c r="AS420" s="159"/>
      <c r="AT420" s="153"/>
      <c r="AU420" s="154"/>
      <c r="AV420" s="154"/>
      <c r="AW420" s="154"/>
      <c r="AX420" s="155"/>
      <c r="AY420" s="156"/>
      <c r="AZ420" s="157"/>
      <c r="BA420" s="81"/>
      <c r="BB420" s="81"/>
      <c r="BC420" s="81"/>
    </row>
    <row r="421" spans="1:55" ht="28" customHeight="1" x14ac:dyDescent="0.25">
      <c r="A421" s="173">
        <v>416</v>
      </c>
      <c r="B421" s="147">
        <v>45099</v>
      </c>
      <c r="C421" s="77" t="s">
        <v>134</v>
      </c>
      <c r="D421" s="77" t="s">
        <v>135</v>
      </c>
      <c r="E421" s="77" t="s">
        <v>136</v>
      </c>
      <c r="F421" s="152" t="s">
        <v>1446</v>
      </c>
      <c r="G421" s="252" t="s">
        <v>1354</v>
      </c>
      <c r="H421" s="252" t="s">
        <v>110</v>
      </c>
      <c r="I421" s="252" t="s">
        <v>1355</v>
      </c>
      <c r="J421" s="252" t="s">
        <v>1356</v>
      </c>
      <c r="K421" s="149" t="s">
        <v>80</v>
      </c>
      <c r="L421" s="252" t="s">
        <v>429</v>
      </c>
      <c r="M421" s="252" t="s">
        <v>154</v>
      </c>
      <c r="N421" s="252" t="s">
        <v>212</v>
      </c>
      <c r="O421" s="252" t="s">
        <v>149</v>
      </c>
      <c r="P421" s="252"/>
      <c r="Q421" s="307"/>
      <c r="R421" s="211">
        <v>0</v>
      </c>
      <c r="S421" s="212">
        <v>0</v>
      </c>
      <c r="T421" s="212">
        <v>0</v>
      </c>
      <c r="U421" s="212">
        <v>0</v>
      </c>
      <c r="V421" s="212">
        <v>0</v>
      </c>
      <c r="W421" s="212">
        <v>0</v>
      </c>
      <c r="X421" s="212">
        <v>0</v>
      </c>
      <c r="Y421" s="212">
        <v>0</v>
      </c>
      <c r="Z421" s="210">
        <v>0</v>
      </c>
      <c r="AA421" s="213">
        <v>0</v>
      </c>
      <c r="AB421" s="214">
        <v>0</v>
      </c>
      <c r="AC421" s="249">
        <v>1</v>
      </c>
      <c r="AD421" s="212">
        <v>0</v>
      </c>
      <c r="AE421" s="212">
        <v>0</v>
      </c>
      <c r="AF421" s="212">
        <v>0</v>
      </c>
      <c r="AG421" s="212">
        <v>0</v>
      </c>
      <c r="AH421" s="212">
        <v>0</v>
      </c>
      <c r="AI421" s="212">
        <v>0</v>
      </c>
      <c r="AJ421" s="212">
        <v>0</v>
      </c>
      <c r="AK421" s="213">
        <v>0</v>
      </c>
      <c r="AL421" s="215">
        <f t="shared" si="12"/>
        <v>1</v>
      </c>
      <c r="AM421" s="216">
        <f>0</f>
        <v>0</v>
      </c>
      <c r="AN421" s="217">
        <f t="shared" si="13"/>
        <v>1</v>
      </c>
      <c r="AO421" s="251">
        <v>45103</v>
      </c>
      <c r="AP421" s="260" t="s">
        <v>273</v>
      </c>
      <c r="AQ421" s="153" t="s">
        <v>1657</v>
      </c>
      <c r="AR421" s="219" t="s">
        <v>669</v>
      </c>
      <c r="AS421" s="159"/>
      <c r="AT421" s="99"/>
      <c r="AU421" s="154"/>
      <c r="AV421" s="154"/>
      <c r="AW421" s="154"/>
      <c r="AX421" s="155"/>
      <c r="AY421" s="156"/>
      <c r="AZ421" s="157"/>
      <c r="BA421" s="81"/>
      <c r="BB421" s="81"/>
      <c r="BC421" s="81"/>
    </row>
    <row r="422" spans="1:55" ht="28" customHeight="1" x14ac:dyDescent="0.25">
      <c r="A422" s="173">
        <v>417</v>
      </c>
      <c r="B422" s="147">
        <v>45099</v>
      </c>
      <c r="C422" s="77" t="s">
        <v>134</v>
      </c>
      <c r="D422" s="77" t="s">
        <v>135</v>
      </c>
      <c r="E422" s="77" t="s">
        <v>136</v>
      </c>
      <c r="F422" s="152" t="s">
        <v>1446</v>
      </c>
      <c r="G422" s="252" t="s">
        <v>1357</v>
      </c>
      <c r="H422" s="252" t="s">
        <v>110</v>
      </c>
      <c r="I422" s="252" t="s">
        <v>1358</v>
      </c>
      <c r="J422" s="252" t="s">
        <v>1359</v>
      </c>
      <c r="K422" s="149" t="s">
        <v>80</v>
      </c>
      <c r="L422" s="252" t="s">
        <v>168</v>
      </c>
      <c r="M422" s="252" t="s">
        <v>154</v>
      </c>
      <c r="N422" s="252" t="s">
        <v>214</v>
      </c>
      <c r="O422" s="252" t="s">
        <v>149</v>
      </c>
      <c r="P422" s="252"/>
      <c r="Q422" s="307"/>
      <c r="R422" s="211">
        <v>0</v>
      </c>
      <c r="S422" s="212">
        <v>0</v>
      </c>
      <c r="T422" s="212">
        <v>0</v>
      </c>
      <c r="U422" s="212">
        <v>0</v>
      </c>
      <c r="V422" s="212">
        <v>0</v>
      </c>
      <c r="W422" s="212">
        <v>0</v>
      </c>
      <c r="X422" s="212">
        <v>0</v>
      </c>
      <c r="Y422" s="212">
        <v>0</v>
      </c>
      <c r="Z422" s="210">
        <v>0</v>
      </c>
      <c r="AA422" s="213">
        <v>0</v>
      </c>
      <c r="AB422" s="214">
        <v>0</v>
      </c>
      <c r="AC422" s="249">
        <v>1</v>
      </c>
      <c r="AD422" s="212">
        <v>0</v>
      </c>
      <c r="AE422" s="212">
        <v>0</v>
      </c>
      <c r="AF422" s="212">
        <v>0</v>
      </c>
      <c r="AG422" s="212">
        <v>0</v>
      </c>
      <c r="AH422" s="212">
        <v>0</v>
      </c>
      <c r="AI422" s="212">
        <v>0</v>
      </c>
      <c r="AJ422" s="212">
        <v>0</v>
      </c>
      <c r="AK422" s="213">
        <v>0</v>
      </c>
      <c r="AL422" s="215">
        <f t="shared" si="12"/>
        <v>1</v>
      </c>
      <c r="AM422" s="216">
        <f>0</f>
        <v>0</v>
      </c>
      <c r="AN422" s="217">
        <f t="shared" si="13"/>
        <v>1</v>
      </c>
      <c r="AO422" s="251">
        <v>45099</v>
      </c>
      <c r="AP422" s="151" t="s">
        <v>273</v>
      </c>
      <c r="AQ422" s="153" t="s">
        <v>1655</v>
      </c>
      <c r="AR422" s="219" t="s">
        <v>148</v>
      </c>
      <c r="AS422" s="159"/>
      <c r="AT422" s="153"/>
      <c r="AU422" s="154"/>
      <c r="AV422" s="154"/>
      <c r="AW422" s="154"/>
      <c r="AX422" s="155"/>
      <c r="AY422" s="156"/>
      <c r="AZ422" s="157"/>
      <c r="BA422" s="81"/>
      <c r="BB422" s="81"/>
      <c r="BC422" s="81"/>
    </row>
    <row r="423" spans="1:55" ht="28" customHeight="1" x14ac:dyDescent="0.25">
      <c r="A423" s="173">
        <v>418</v>
      </c>
      <c r="B423" s="147">
        <v>45099</v>
      </c>
      <c r="C423" s="77" t="s">
        <v>134</v>
      </c>
      <c r="D423" s="77" t="s">
        <v>135</v>
      </c>
      <c r="E423" s="77" t="s">
        <v>136</v>
      </c>
      <c r="F423" s="152" t="s">
        <v>1446</v>
      </c>
      <c r="G423" s="252" t="s">
        <v>1360</v>
      </c>
      <c r="H423" s="252" t="s">
        <v>110</v>
      </c>
      <c r="I423" s="252" t="s">
        <v>146</v>
      </c>
      <c r="J423" s="252" t="s">
        <v>1361</v>
      </c>
      <c r="K423" s="149" t="s">
        <v>80</v>
      </c>
      <c r="L423" s="252" t="s">
        <v>168</v>
      </c>
      <c r="M423" s="252" t="s">
        <v>154</v>
      </c>
      <c r="N423" s="252" t="s">
        <v>214</v>
      </c>
      <c r="O423" s="252" t="s">
        <v>149</v>
      </c>
      <c r="P423" s="252"/>
      <c r="Q423" s="307"/>
      <c r="R423" s="211">
        <v>0</v>
      </c>
      <c r="S423" s="212">
        <v>0</v>
      </c>
      <c r="T423" s="212">
        <v>0</v>
      </c>
      <c r="U423" s="212">
        <v>0</v>
      </c>
      <c r="V423" s="212">
        <v>0</v>
      </c>
      <c r="W423" s="212">
        <v>0</v>
      </c>
      <c r="X423" s="212">
        <v>0</v>
      </c>
      <c r="Y423" s="212">
        <v>0</v>
      </c>
      <c r="Z423" s="210">
        <v>0</v>
      </c>
      <c r="AA423" s="213">
        <v>0</v>
      </c>
      <c r="AB423" s="214">
        <v>0</v>
      </c>
      <c r="AC423" s="249">
        <v>2</v>
      </c>
      <c r="AD423" s="212">
        <v>0</v>
      </c>
      <c r="AE423" s="212">
        <v>0</v>
      </c>
      <c r="AF423" s="212">
        <v>0</v>
      </c>
      <c r="AG423" s="212">
        <v>0</v>
      </c>
      <c r="AH423" s="212">
        <v>0</v>
      </c>
      <c r="AI423" s="212">
        <v>0</v>
      </c>
      <c r="AJ423" s="212">
        <v>0</v>
      </c>
      <c r="AK423" s="213">
        <v>0</v>
      </c>
      <c r="AL423" s="215">
        <f t="shared" si="12"/>
        <v>2</v>
      </c>
      <c r="AM423" s="216">
        <f>0</f>
        <v>0</v>
      </c>
      <c r="AN423" s="217">
        <f t="shared" si="13"/>
        <v>2</v>
      </c>
      <c r="AO423" s="251">
        <v>45099</v>
      </c>
      <c r="AP423" s="151" t="s">
        <v>273</v>
      </c>
      <c r="AQ423" s="153" t="s">
        <v>1655</v>
      </c>
      <c r="AR423" s="219" t="s">
        <v>148</v>
      </c>
      <c r="AS423" s="159"/>
      <c r="AT423" s="153"/>
      <c r="AU423" s="154"/>
      <c r="AV423" s="154"/>
      <c r="AW423" s="154"/>
      <c r="AX423" s="155"/>
      <c r="AY423" s="156"/>
      <c r="AZ423" s="157"/>
      <c r="BA423" s="81"/>
      <c r="BB423" s="81"/>
      <c r="BC423" s="81"/>
    </row>
    <row r="424" spans="1:55" ht="28" customHeight="1" x14ac:dyDescent="0.25">
      <c r="A424" s="173">
        <v>419</v>
      </c>
      <c r="B424" s="147">
        <v>45099</v>
      </c>
      <c r="C424" s="77" t="s">
        <v>134</v>
      </c>
      <c r="D424" s="77" t="s">
        <v>135</v>
      </c>
      <c r="E424" s="77" t="s">
        <v>136</v>
      </c>
      <c r="F424" s="152" t="s">
        <v>1446</v>
      </c>
      <c r="G424" s="252" t="s">
        <v>1362</v>
      </c>
      <c r="H424" s="252" t="s">
        <v>110</v>
      </c>
      <c r="I424" s="252" t="s">
        <v>1363</v>
      </c>
      <c r="J424" s="252" t="s">
        <v>1364</v>
      </c>
      <c r="K424" s="149" t="s">
        <v>80</v>
      </c>
      <c r="L424" s="252" t="s">
        <v>168</v>
      </c>
      <c r="M424" s="252" t="s">
        <v>154</v>
      </c>
      <c r="N424" s="252" t="s">
        <v>214</v>
      </c>
      <c r="O424" s="252" t="s">
        <v>149</v>
      </c>
      <c r="P424" s="252"/>
      <c r="Q424" s="307"/>
      <c r="R424" s="211">
        <v>0</v>
      </c>
      <c r="S424" s="212">
        <v>0</v>
      </c>
      <c r="T424" s="212">
        <v>0</v>
      </c>
      <c r="U424" s="212">
        <v>0</v>
      </c>
      <c r="V424" s="212">
        <v>0</v>
      </c>
      <c r="W424" s="212">
        <v>0</v>
      </c>
      <c r="X424" s="212">
        <v>0</v>
      </c>
      <c r="Y424" s="212">
        <v>0</v>
      </c>
      <c r="Z424" s="210">
        <v>0</v>
      </c>
      <c r="AA424" s="213">
        <v>0</v>
      </c>
      <c r="AB424" s="214">
        <v>0</v>
      </c>
      <c r="AC424" s="249">
        <v>1</v>
      </c>
      <c r="AD424" s="212">
        <v>0</v>
      </c>
      <c r="AE424" s="212">
        <v>0</v>
      </c>
      <c r="AF424" s="212">
        <v>0</v>
      </c>
      <c r="AG424" s="212">
        <v>0</v>
      </c>
      <c r="AH424" s="212">
        <v>0</v>
      </c>
      <c r="AI424" s="212">
        <v>0</v>
      </c>
      <c r="AJ424" s="212">
        <v>0</v>
      </c>
      <c r="AK424" s="213">
        <v>0</v>
      </c>
      <c r="AL424" s="215">
        <f t="shared" si="12"/>
        <v>1</v>
      </c>
      <c r="AM424" s="216">
        <f>0</f>
        <v>0</v>
      </c>
      <c r="AN424" s="217">
        <f t="shared" si="13"/>
        <v>1</v>
      </c>
      <c r="AO424" s="251">
        <v>45103</v>
      </c>
      <c r="AP424" s="260" t="s">
        <v>273</v>
      </c>
      <c r="AQ424" s="153" t="s">
        <v>1657</v>
      </c>
      <c r="AR424" s="219" t="s">
        <v>669</v>
      </c>
      <c r="AS424" s="159"/>
      <c r="AT424" s="99"/>
      <c r="AU424" s="154"/>
      <c r="AV424" s="154"/>
      <c r="AW424" s="154"/>
      <c r="AX424" s="155"/>
      <c r="AY424" s="156"/>
      <c r="AZ424" s="157"/>
      <c r="BA424" s="81"/>
      <c r="BB424" s="81"/>
      <c r="BC424" s="81"/>
    </row>
    <row r="425" spans="1:55" ht="28" customHeight="1" x14ac:dyDescent="0.25">
      <c r="A425" s="173">
        <v>420</v>
      </c>
      <c r="B425" s="147">
        <v>45099</v>
      </c>
      <c r="C425" s="77" t="s">
        <v>134</v>
      </c>
      <c r="D425" s="77" t="s">
        <v>135</v>
      </c>
      <c r="E425" s="77" t="s">
        <v>136</v>
      </c>
      <c r="F425" s="152" t="s">
        <v>1446</v>
      </c>
      <c r="G425" s="252" t="s">
        <v>1365</v>
      </c>
      <c r="H425" s="252" t="s">
        <v>110</v>
      </c>
      <c r="I425" s="252" t="s">
        <v>1366</v>
      </c>
      <c r="J425" s="252" t="s">
        <v>1367</v>
      </c>
      <c r="K425" s="149" t="s">
        <v>80</v>
      </c>
      <c r="L425" s="252" t="s">
        <v>168</v>
      </c>
      <c r="M425" s="252" t="s">
        <v>154</v>
      </c>
      <c r="N425" s="252" t="s">
        <v>80</v>
      </c>
      <c r="O425" s="252" t="s">
        <v>149</v>
      </c>
      <c r="P425" s="252"/>
      <c r="Q425" s="307"/>
      <c r="R425" s="211">
        <v>0</v>
      </c>
      <c r="S425" s="212">
        <v>0</v>
      </c>
      <c r="T425" s="212">
        <v>0</v>
      </c>
      <c r="U425" s="212">
        <v>0</v>
      </c>
      <c r="V425" s="212">
        <v>0</v>
      </c>
      <c r="W425" s="212">
        <v>0</v>
      </c>
      <c r="X425" s="212">
        <v>0</v>
      </c>
      <c r="Y425" s="212">
        <v>0</v>
      </c>
      <c r="Z425" s="210">
        <v>0</v>
      </c>
      <c r="AA425" s="213">
        <v>0</v>
      </c>
      <c r="AB425" s="214">
        <v>0</v>
      </c>
      <c r="AC425" s="249">
        <v>4</v>
      </c>
      <c r="AD425" s="212">
        <v>0</v>
      </c>
      <c r="AE425" s="212">
        <v>0</v>
      </c>
      <c r="AF425" s="212">
        <v>0</v>
      </c>
      <c r="AG425" s="212">
        <v>0</v>
      </c>
      <c r="AH425" s="212">
        <v>0</v>
      </c>
      <c r="AI425" s="212">
        <v>0</v>
      </c>
      <c r="AJ425" s="212">
        <v>0</v>
      </c>
      <c r="AK425" s="213">
        <v>0</v>
      </c>
      <c r="AL425" s="215">
        <f t="shared" si="12"/>
        <v>4</v>
      </c>
      <c r="AM425" s="216">
        <f>0</f>
        <v>0</v>
      </c>
      <c r="AN425" s="217">
        <f t="shared" si="13"/>
        <v>4</v>
      </c>
      <c r="AO425" s="251">
        <v>45099</v>
      </c>
      <c r="AP425" s="151" t="s">
        <v>273</v>
      </c>
      <c r="AQ425" s="153" t="s">
        <v>1655</v>
      </c>
      <c r="AR425" s="219" t="s">
        <v>148</v>
      </c>
      <c r="AS425" s="159"/>
      <c r="AT425" s="153"/>
      <c r="AU425" s="154"/>
      <c r="AV425" s="154"/>
      <c r="AW425" s="154"/>
      <c r="AX425" s="155"/>
      <c r="AY425" s="156"/>
      <c r="AZ425" s="157"/>
      <c r="BA425" s="81"/>
      <c r="BB425" s="81"/>
      <c r="BC425" s="81"/>
    </row>
    <row r="426" spans="1:55" ht="28" customHeight="1" x14ac:dyDescent="0.25">
      <c r="A426" s="173">
        <v>421</v>
      </c>
      <c r="B426" s="147">
        <v>45099</v>
      </c>
      <c r="C426" s="77" t="s">
        <v>134</v>
      </c>
      <c r="D426" s="77" t="s">
        <v>135</v>
      </c>
      <c r="E426" s="77" t="s">
        <v>136</v>
      </c>
      <c r="F426" s="152" t="s">
        <v>1446</v>
      </c>
      <c r="G426" s="252" t="s">
        <v>1368</v>
      </c>
      <c r="H426" s="252" t="s">
        <v>110</v>
      </c>
      <c r="I426" s="252" t="s">
        <v>1369</v>
      </c>
      <c r="J426" s="252" t="s">
        <v>1370</v>
      </c>
      <c r="K426" s="149" t="s">
        <v>80</v>
      </c>
      <c r="L426" s="252" t="s">
        <v>168</v>
      </c>
      <c r="M426" s="252" t="s">
        <v>154</v>
      </c>
      <c r="N426" s="252" t="s">
        <v>214</v>
      </c>
      <c r="O426" s="252" t="s">
        <v>149</v>
      </c>
      <c r="P426" s="252"/>
      <c r="Q426" s="307"/>
      <c r="R426" s="211">
        <v>0</v>
      </c>
      <c r="S426" s="212">
        <v>0</v>
      </c>
      <c r="T426" s="212">
        <v>0</v>
      </c>
      <c r="U426" s="212">
        <v>0</v>
      </c>
      <c r="V426" s="212">
        <v>0</v>
      </c>
      <c r="W426" s="212">
        <v>0</v>
      </c>
      <c r="X426" s="212">
        <v>0</v>
      </c>
      <c r="Y426" s="212">
        <v>0</v>
      </c>
      <c r="Z426" s="210">
        <v>0</v>
      </c>
      <c r="AA426" s="213">
        <v>0</v>
      </c>
      <c r="AB426" s="214">
        <v>0</v>
      </c>
      <c r="AC426" s="249">
        <v>1</v>
      </c>
      <c r="AD426" s="212">
        <v>0</v>
      </c>
      <c r="AE426" s="212">
        <v>0</v>
      </c>
      <c r="AF426" s="212">
        <v>0</v>
      </c>
      <c r="AG426" s="212">
        <v>0</v>
      </c>
      <c r="AH426" s="212">
        <v>0</v>
      </c>
      <c r="AI426" s="212">
        <v>0</v>
      </c>
      <c r="AJ426" s="212">
        <v>0</v>
      </c>
      <c r="AK426" s="213">
        <v>0</v>
      </c>
      <c r="AL426" s="215">
        <f t="shared" si="12"/>
        <v>1</v>
      </c>
      <c r="AM426" s="216">
        <f>0</f>
        <v>0</v>
      </c>
      <c r="AN426" s="217">
        <f t="shared" si="13"/>
        <v>1</v>
      </c>
      <c r="AO426" s="251">
        <v>45103</v>
      </c>
      <c r="AP426" s="260" t="s">
        <v>273</v>
      </c>
      <c r="AQ426" s="153" t="s">
        <v>1657</v>
      </c>
      <c r="AR426" s="219" t="s">
        <v>669</v>
      </c>
      <c r="AS426" s="159"/>
      <c r="AT426" s="99"/>
      <c r="AU426" s="154"/>
      <c r="AV426" s="154"/>
      <c r="AW426" s="154"/>
      <c r="AX426" s="155"/>
      <c r="AY426" s="156"/>
      <c r="AZ426" s="157"/>
      <c r="BA426" s="81"/>
      <c r="BB426" s="81"/>
      <c r="BC426" s="81"/>
    </row>
    <row r="427" spans="1:55" ht="28" customHeight="1" x14ac:dyDescent="0.25">
      <c r="A427" s="173">
        <v>422</v>
      </c>
      <c r="B427" s="147">
        <v>45099</v>
      </c>
      <c r="C427" s="79"/>
      <c r="D427" s="79"/>
      <c r="E427" s="85" t="s">
        <v>136</v>
      </c>
      <c r="F427" s="152" t="s">
        <v>1446</v>
      </c>
      <c r="G427" s="252" t="s">
        <v>1371</v>
      </c>
      <c r="H427" s="252" t="s">
        <v>110</v>
      </c>
      <c r="I427" s="252" t="s">
        <v>1372</v>
      </c>
      <c r="J427" s="252" t="s">
        <v>1373</v>
      </c>
      <c r="K427" s="149" t="s">
        <v>80</v>
      </c>
      <c r="L427" s="252" t="s">
        <v>168</v>
      </c>
      <c r="M427" s="252" t="s">
        <v>154</v>
      </c>
      <c r="N427" s="252" t="s">
        <v>214</v>
      </c>
      <c r="O427" s="252" t="s">
        <v>149</v>
      </c>
      <c r="P427" s="252"/>
      <c r="Q427" s="307"/>
      <c r="R427" s="211">
        <v>0</v>
      </c>
      <c r="S427" s="212">
        <v>0</v>
      </c>
      <c r="T427" s="212">
        <v>0</v>
      </c>
      <c r="U427" s="212">
        <v>0</v>
      </c>
      <c r="V427" s="212">
        <v>0</v>
      </c>
      <c r="W427" s="212">
        <v>0</v>
      </c>
      <c r="X427" s="212">
        <v>0</v>
      </c>
      <c r="Y427" s="212">
        <v>0</v>
      </c>
      <c r="Z427" s="210">
        <v>0</v>
      </c>
      <c r="AA427" s="213">
        <v>0</v>
      </c>
      <c r="AB427" s="214">
        <v>0</v>
      </c>
      <c r="AC427" s="249">
        <v>1</v>
      </c>
      <c r="AD427" s="212">
        <v>0</v>
      </c>
      <c r="AE427" s="212">
        <v>0</v>
      </c>
      <c r="AF427" s="212">
        <v>0</v>
      </c>
      <c r="AG427" s="212">
        <v>0</v>
      </c>
      <c r="AH427" s="212">
        <v>0</v>
      </c>
      <c r="AI427" s="212">
        <v>0</v>
      </c>
      <c r="AJ427" s="212">
        <v>0</v>
      </c>
      <c r="AK427" s="213">
        <v>0</v>
      </c>
      <c r="AL427" s="215">
        <f t="shared" si="12"/>
        <v>1</v>
      </c>
      <c r="AM427" s="216">
        <f>0</f>
        <v>0</v>
      </c>
      <c r="AN427" s="217">
        <f t="shared" si="13"/>
        <v>1</v>
      </c>
      <c r="AO427" s="251">
        <v>45103</v>
      </c>
      <c r="AP427" s="260" t="s">
        <v>273</v>
      </c>
      <c r="AQ427" s="153" t="s">
        <v>1657</v>
      </c>
      <c r="AR427" s="219" t="s">
        <v>669</v>
      </c>
      <c r="AS427" s="159"/>
      <c r="AT427" s="99"/>
      <c r="AU427" s="154"/>
      <c r="AV427" s="154"/>
      <c r="AW427" s="154"/>
      <c r="AX427" s="155"/>
      <c r="AY427" s="156"/>
      <c r="AZ427" s="157"/>
      <c r="BA427" s="81"/>
      <c r="BB427" s="81"/>
      <c r="BC427" s="81"/>
    </row>
    <row r="428" spans="1:55" ht="28" customHeight="1" x14ac:dyDescent="0.25">
      <c r="A428" s="173">
        <v>423</v>
      </c>
      <c r="B428" s="147">
        <v>45099</v>
      </c>
      <c r="C428" s="77" t="s">
        <v>134</v>
      </c>
      <c r="D428" s="77" t="s">
        <v>135</v>
      </c>
      <c r="E428" s="77" t="s">
        <v>136</v>
      </c>
      <c r="F428" s="152" t="s">
        <v>1446</v>
      </c>
      <c r="G428" s="252" t="s">
        <v>1374</v>
      </c>
      <c r="H428" s="252" t="s">
        <v>110</v>
      </c>
      <c r="I428" s="252" t="s">
        <v>1372</v>
      </c>
      <c r="J428" s="252" t="s">
        <v>1375</v>
      </c>
      <c r="K428" s="149" t="s">
        <v>80</v>
      </c>
      <c r="L428" s="252" t="s">
        <v>168</v>
      </c>
      <c r="M428" s="252" t="s">
        <v>154</v>
      </c>
      <c r="N428" s="252" t="s">
        <v>214</v>
      </c>
      <c r="O428" s="252" t="s">
        <v>149</v>
      </c>
      <c r="P428" s="252"/>
      <c r="Q428" s="307"/>
      <c r="R428" s="211">
        <v>0</v>
      </c>
      <c r="S428" s="212">
        <v>0</v>
      </c>
      <c r="T428" s="212">
        <v>0</v>
      </c>
      <c r="U428" s="212">
        <v>0</v>
      </c>
      <c r="V428" s="212">
        <v>0</v>
      </c>
      <c r="W428" s="212">
        <v>0</v>
      </c>
      <c r="X428" s="212">
        <v>0</v>
      </c>
      <c r="Y428" s="212">
        <v>0</v>
      </c>
      <c r="Z428" s="210">
        <v>0</v>
      </c>
      <c r="AA428" s="213">
        <v>0</v>
      </c>
      <c r="AB428" s="214">
        <v>0</v>
      </c>
      <c r="AC428" s="249">
        <v>1</v>
      </c>
      <c r="AD428" s="212">
        <v>0</v>
      </c>
      <c r="AE428" s="212">
        <v>0</v>
      </c>
      <c r="AF428" s="212">
        <v>0</v>
      </c>
      <c r="AG428" s="212">
        <v>0</v>
      </c>
      <c r="AH428" s="212">
        <v>0</v>
      </c>
      <c r="AI428" s="212">
        <v>0</v>
      </c>
      <c r="AJ428" s="212">
        <v>0</v>
      </c>
      <c r="AK428" s="213">
        <v>0</v>
      </c>
      <c r="AL428" s="215">
        <f t="shared" si="12"/>
        <v>1</v>
      </c>
      <c r="AM428" s="216">
        <f>0</f>
        <v>0</v>
      </c>
      <c r="AN428" s="217">
        <f t="shared" si="13"/>
        <v>1</v>
      </c>
      <c r="AO428" s="251">
        <v>45103</v>
      </c>
      <c r="AP428" s="260" t="s">
        <v>273</v>
      </c>
      <c r="AQ428" s="153" t="s">
        <v>1657</v>
      </c>
      <c r="AR428" s="219" t="s">
        <v>669</v>
      </c>
      <c r="AS428" s="159"/>
      <c r="AT428" s="99"/>
      <c r="AU428" s="154"/>
      <c r="AV428" s="154"/>
      <c r="AW428" s="154"/>
      <c r="AX428" s="155"/>
      <c r="AY428" s="156"/>
      <c r="AZ428" s="157"/>
      <c r="BA428" s="81"/>
      <c r="BB428" s="81"/>
      <c r="BC428" s="81"/>
    </row>
    <row r="429" spans="1:55" ht="28" customHeight="1" x14ac:dyDescent="0.25">
      <c r="A429" s="173">
        <v>424</v>
      </c>
      <c r="B429" s="147">
        <v>45099</v>
      </c>
      <c r="C429" s="77" t="s">
        <v>134</v>
      </c>
      <c r="D429" s="77" t="s">
        <v>135</v>
      </c>
      <c r="E429" s="77" t="s">
        <v>136</v>
      </c>
      <c r="F429" s="152" t="s">
        <v>1446</v>
      </c>
      <c r="G429" s="252" t="s">
        <v>1376</v>
      </c>
      <c r="H429" s="252" t="s">
        <v>110</v>
      </c>
      <c r="I429" s="252" t="s">
        <v>1377</v>
      </c>
      <c r="J429" s="252" t="s">
        <v>1378</v>
      </c>
      <c r="K429" s="149" t="s">
        <v>80</v>
      </c>
      <c r="L429" s="252" t="s">
        <v>168</v>
      </c>
      <c r="M429" s="252" t="s">
        <v>154</v>
      </c>
      <c r="N429" s="252" t="s">
        <v>214</v>
      </c>
      <c r="O429" s="252" t="s">
        <v>149</v>
      </c>
      <c r="P429" s="252"/>
      <c r="Q429" s="307"/>
      <c r="R429" s="211">
        <v>0</v>
      </c>
      <c r="S429" s="212">
        <v>0</v>
      </c>
      <c r="T429" s="212">
        <v>0</v>
      </c>
      <c r="U429" s="212">
        <v>0</v>
      </c>
      <c r="V429" s="212">
        <v>0</v>
      </c>
      <c r="W429" s="212">
        <v>0</v>
      </c>
      <c r="X429" s="212">
        <v>0</v>
      </c>
      <c r="Y429" s="212">
        <v>0</v>
      </c>
      <c r="Z429" s="210">
        <v>0</v>
      </c>
      <c r="AA429" s="213">
        <v>0</v>
      </c>
      <c r="AB429" s="214">
        <v>0</v>
      </c>
      <c r="AC429" s="249">
        <v>1</v>
      </c>
      <c r="AD429" s="212">
        <v>0</v>
      </c>
      <c r="AE429" s="212">
        <v>0</v>
      </c>
      <c r="AF429" s="212">
        <v>0</v>
      </c>
      <c r="AG429" s="212">
        <v>0</v>
      </c>
      <c r="AH429" s="212">
        <v>0</v>
      </c>
      <c r="AI429" s="212">
        <v>0</v>
      </c>
      <c r="AJ429" s="212">
        <v>0</v>
      </c>
      <c r="AK429" s="213">
        <v>0</v>
      </c>
      <c r="AL429" s="215">
        <f t="shared" si="12"/>
        <v>1</v>
      </c>
      <c r="AM429" s="216">
        <f>0</f>
        <v>0</v>
      </c>
      <c r="AN429" s="217">
        <f t="shared" si="13"/>
        <v>1</v>
      </c>
      <c r="AO429" s="251">
        <v>45103</v>
      </c>
      <c r="AP429" s="260" t="s">
        <v>273</v>
      </c>
      <c r="AQ429" s="153" t="s">
        <v>1657</v>
      </c>
      <c r="AR429" s="219" t="s">
        <v>669</v>
      </c>
      <c r="AS429" s="159"/>
      <c r="AT429" s="99"/>
      <c r="AU429" s="154"/>
      <c r="AV429" s="154"/>
      <c r="AW429" s="154"/>
      <c r="AX429" s="155"/>
      <c r="AY429" s="156"/>
      <c r="AZ429" s="157"/>
      <c r="BA429" s="81"/>
      <c r="BB429" s="81"/>
      <c r="BC429" s="81"/>
    </row>
    <row r="430" spans="1:55" ht="28" customHeight="1" x14ac:dyDescent="0.25">
      <c r="A430" s="173">
        <v>425</v>
      </c>
      <c r="B430" s="147">
        <v>45099</v>
      </c>
      <c r="C430" s="77" t="s">
        <v>134</v>
      </c>
      <c r="D430" s="77" t="s">
        <v>135</v>
      </c>
      <c r="E430" s="77" t="s">
        <v>136</v>
      </c>
      <c r="F430" s="152" t="s">
        <v>1446</v>
      </c>
      <c r="G430" s="252" t="s">
        <v>1379</v>
      </c>
      <c r="H430" s="252" t="s">
        <v>110</v>
      </c>
      <c r="I430" s="252" t="s">
        <v>1380</v>
      </c>
      <c r="J430" s="252" t="s">
        <v>1381</v>
      </c>
      <c r="K430" s="149" t="s">
        <v>80</v>
      </c>
      <c r="L430" s="252" t="s">
        <v>153</v>
      </c>
      <c r="M430" s="252" t="s">
        <v>154</v>
      </c>
      <c r="N430" s="252" t="s">
        <v>80</v>
      </c>
      <c r="O430" s="252" t="s">
        <v>155</v>
      </c>
      <c r="P430" s="252"/>
      <c r="Q430" s="307"/>
      <c r="R430" s="211">
        <v>0</v>
      </c>
      <c r="S430" s="212">
        <v>0</v>
      </c>
      <c r="T430" s="212">
        <v>0</v>
      </c>
      <c r="U430" s="212">
        <v>0</v>
      </c>
      <c r="V430" s="212">
        <v>0</v>
      </c>
      <c r="W430" s="212">
        <v>0</v>
      </c>
      <c r="X430" s="212">
        <v>0</v>
      </c>
      <c r="Y430" s="212">
        <v>0</v>
      </c>
      <c r="Z430" s="210">
        <v>0</v>
      </c>
      <c r="AA430" s="213">
        <v>0</v>
      </c>
      <c r="AB430" s="214">
        <v>0</v>
      </c>
      <c r="AC430" s="249">
        <v>1</v>
      </c>
      <c r="AD430" s="212">
        <v>0</v>
      </c>
      <c r="AE430" s="212">
        <v>0</v>
      </c>
      <c r="AF430" s="212">
        <v>0</v>
      </c>
      <c r="AG430" s="212">
        <v>0</v>
      </c>
      <c r="AH430" s="212">
        <v>0</v>
      </c>
      <c r="AI430" s="212">
        <v>0</v>
      </c>
      <c r="AJ430" s="212">
        <v>0</v>
      </c>
      <c r="AK430" s="213">
        <v>0</v>
      </c>
      <c r="AL430" s="215">
        <f t="shared" si="12"/>
        <v>1</v>
      </c>
      <c r="AM430" s="216">
        <f>0</f>
        <v>0</v>
      </c>
      <c r="AN430" s="217">
        <f t="shared" si="13"/>
        <v>1</v>
      </c>
      <c r="AO430" s="251">
        <v>45099</v>
      </c>
      <c r="AP430" s="151" t="s">
        <v>273</v>
      </c>
      <c r="AQ430" s="153" t="s">
        <v>1655</v>
      </c>
      <c r="AR430" s="219" t="s">
        <v>148</v>
      </c>
      <c r="AS430" s="159"/>
      <c r="AT430" s="153"/>
      <c r="AU430" s="154"/>
      <c r="AV430" s="154"/>
      <c r="AW430" s="154"/>
      <c r="AX430" s="155"/>
      <c r="AY430" s="156"/>
      <c r="AZ430" s="157"/>
      <c r="BA430" s="81"/>
      <c r="BB430" s="81"/>
      <c r="BC430" s="81"/>
    </row>
    <row r="431" spans="1:55" ht="28" customHeight="1" x14ac:dyDescent="0.25">
      <c r="A431" s="173">
        <v>426</v>
      </c>
      <c r="B431" s="147">
        <v>45099</v>
      </c>
      <c r="C431" s="77" t="s">
        <v>134</v>
      </c>
      <c r="D431" s="77" t="s">
        <v>135</v>
      </c>
      <c r="E431" s="77" t="s">
        <v>136</v>
      </c>
      <c r="F431" s="152" t="s">
        <v>1446</v>
      </c>
      <c r="G431" s="252" t="s">
        <v>1382</v>
      </c>
      <c r="H431" s="252" t="s">
        <v>110</v>
      </c>
      <c r="I431" s="252" t="s">
        <v>1383</v>
      </c>
      <c r="J431" s="252" t="s">
        <v>1384</v>
      </c>
      <c r="K431" s="149" t="s">
        <v>80</v>
      </c>
      <c r="L431" s="252" t="s">
        <v>153</v>
      </c>
      <c r="M431" s="252" t="s">
        <v>154</v>
      </c>
      <c r="N431" s="252" t="s">
        <v>80</v>
      </c>
      <c r="O431" s="252" t="s">
        <v>155</v>
      </c>
      <c r="P431" s="252"/>
      <c r="Q431" s="307"/>
      <c r="R431" s="211">
        <v>0</v>
      </c>
      <c r="S431" s="212">
        <v>0</v>
      </c>
      <c r="T431" s="212">
        <v>0</v>
      </c>
      <c r="U431" s="212">
        <v>0</v>
      </c>
      <c r="V431" s="212">
        <v>0</v>
      </c>
      <c r="W431" s="212">
        <v>0</v>
      </c>
      <c r="X431" s="212">
        <v>0</v>
      </c>
      <c r="Y431" s="212">
        <v>0</v>
      </c>
      <c r="Z431" s="210">
        <v>0</v>
      </c>
      <c r="AA431" s="213">
        <v>0</v>
      </c>
      <c r="AB431" s="214">
        <v>0</v>
      </c>
      <c r="AC431" s="249">
        <v>1</v>
      </c>
      <c r="AD431" s="212">
        <v>0</v>
      </c>
      <c r="AE431" s="212">
        <v>0</v>
      </c>
      <c r="AF431" s="212">
        <v>0</v>
      </c>
      <c r="AG431" s="212">
        <v>0</v>
      </c>
      <c r="AH431" s="212">
        <v>0</v>
      </c>
      <c r="AI431" s="212">
        <v>0</v>
      </c>
      <c r="AJ431" s="212">
        <v>0</v>
      </c>
      <c r="AK431" s="213">
        <v>0</v>
      </c>
      <c r="AL431" s="215">
        <f t="shared" si="12"/>
        <v>1</v>
      </c>
      <c r="AM431" s="216">
        <f>0</f>
        <v>0</v>
      </c>
      <c r="AN431" s="217">
        <f t="shared" si="13"/>
        <v>1</v>
      </c>
      <c r="AO431" s="251">
        <v>45099</v>
      </c>
      <c r="AP431" s="151" t="s">
        <v>273</v>
      </c>
      <c r="AQ431" s="153" t="s">
        <v>1655</v>
      </c>
      <c r="AR431" s="219" t="s">
        <v>148</v>
      </c>
      <c r="AS431" s="159"/>
      <c r="AT431" s="153"/>
      <c r="AU431" s="154"/>
      <c r="AV431" s="154"/>
      <c r="AW431" s="154"/>
      <c r="AX431" s="155"/>
      <c r="AY431" s="156"/>
      <c r="AZ431" s="157"/>
      <c r="BA431" s="81"/>
      <c r="BB431" s="81"/>
      <c r="BC431" s="81"/>
    </row>
    <row r="432" spans="1:55" ht="28" customHeight="1" x14ac:dyDescent="0.25">
      <c r="A432" s="173">
        <v>427</v>
      </c>
      <c r="B432" s="147">
        <v>45099</v>
      </c>
      <c r="C432" s="77" t="s">
        <v>134</v>
      </c>
      <c r="D432" s="77" t="s">
        <v>135</v>
      </c>
      <c r="E432" s="77" t="s">
        <v>136</v>
      </c>
      <c r="F432" s="152" t="s">
        <v>1446</v>
      </c>
      <c r="G432" s="252" t="s">
        <v>1385</v>
      </c>
      <c r="H432" s="252" t="s">
        <v>110</v>
      </c>
      <c r="I432" s="252" t="s">
        <v>1386</v>
      </c>
      <c r="J432" s="252" t="s">
        <v>1387</v>
      </c>
      <c r="K432" s="149" t="s">
        <v>80</v>
      </c>
      <c r="L432" s="252" t="s">
        <v>153</v>
      </c>
      <c r="M432" s="252" t="s">
        <v>154</v>
      </c>
      <c r="N432" s="252" t="s">
        <v>80</v>
      </c>
      <c r="O432" s="252" t="s">
        <v>155</v>
      </c>
      <c r="P432" s="252"/>
      <c r="Q432" s="307"/>
      <c r="R432" s="211">
        <v>0</v>
      </c>
      <c r="S432" s="212">
        <v>0</v>
      </c>
      <c r="T432" s="212">
        <v>0</v>
      </c>
      <c r="U432" s="212">
        <v>0</v>
      </c>
      <c r="V432" s="212">
        <v>0</v>
      </c>
      <c r="W432" s="212">
        <v>0</v>
      </c>
      <c r="X432" s="212">
        <v>0</v>
      </c>
      <c r="Y432" s="212">
        <v>0</v>
      </c>
      <c r="Z432" s="210">
        <v>0</v>
      </c>
      <c r="AA432" s="213">
        <v>0</v>
      </c>
      <c r="AB432" s="214">
        <v>0</v>
      </c>
      <c r="AC432" s="249">
        <v>1</v>
      </c>
      <c r="AD432" s="212">
        <v>0</v>
      </c>
      <c r="AE432" s="212">
        <v>0</v>
      </c>
      <c r="AF432" s="212">
        <v>0</v>
      </c>
      <c r="AG432" s="212">
        <v>0</v>
      </c>
      <c r="AH432" s="212">
        <v>0</v>
      </c>
      <c r="AI432" s="212">
        <v>0</v>
      </c>
      <c r="AJ432" s="212">
        <v>0</v>
      </c>
      <c r="AK432" s="213">
        <v>0</v>
      </c>
      <c r="AL432" s="215">
        <f t="shared" si="12"/>
        <v>1</v>
      </c>
      <c r="AM432" s="216">
        <f>0</f>
        <v>0</v>
      </c>
      <c r="AN432" s="217">
        <f t="shared" si="13"/>
        <v>1</v>
      </c>
      <c r="AO432" s="251">
        <v>45099</v>
      </c>
      <c r="AP432" s="151" t="s">
        <v>273</v>
      </c>
      <c r="AQ432" s="153" t="s">
        <v>1655</v>
      </c>
      <c r="AR432" s="219" t="s">
        <v>148</v>
      </c>
      <c r="AS432" s="159"/>
      <c r="AT432" s="153"/>
      <c r="AU432" s="154"/>
      <c r="AV432" s="154"/>
      <c r="AW432" s="154"/>
      <c r="AX432" s="155"/>
      <c r="AY432" s="156"/>
      <c r="AZ432" s="157"/>
      <c r="BA432" s="81"/>
      <c r="BB432" s="81"/>
      <c r="BC432" s="81"/>
    </row>
    <row r="433" spans="1:55" ht="28" customHeight="1" x14ac:dyDescent="0.25">
      <c r="A433" s="173">
        <v>428</v>
      </c>
      <c r="B433" s="147">
        <v>45099</v>
      </c>
      <c r="C433" s="77" t="s">
        <v>134</v>
      </c>
      <c r="D433" s="77" t="s">
        <v>135</v>
      </c>
      <c r="E433" s="77" t="s">
        <v>136</v>
      </c>
      <c r="F433" s="152" t="s">
        <v>1446</v>
      </c>
      <c r="G433" s="252" t="s">
        <v>1388</v>
      </c>
      <c r="H433" s="252" t="s">
        <v>110</v>
      </c>
      <c r="I433" s="252" t="s">
        <v>1389</v>
      </c>
      <c r="J433" s="252" t="s">
        <v>1390</v>
      </c>
      <c r="K433" s="149" t="s">
        <v>80</v>
      </c>
      <c r="L433" s="252" t="s">
        <v>153</v>
      </c>
      <c r="M433" s="252" t="s">
        <v>154</v>
      </c>
      <c r="N433" s="252" t="s">
        <v>80</v>
      </c>
      <c r="O433" s="252" t="s">
        <v>155</v>
      </c>
      <c r="P433" s="252"/>
      <c r="Q433" s="307"/>
      <c r="R433" s="211">
        <v>0</v>
      </c>
      <c r="S433" s="212">
        <v>0</v>
      </c>
      <c r="T433" s="212">
        <v>0</v>
      </c>
      <c r="U433" s="212">
        <v>0</v>
      </c>
      <c r="V433" s="212">
        <v>0</v>
      </c>
      <c r="W433" s="212">
        <v>0</v>
      </c>
      <c r="X433" s="212">
        <v>0</v>
      </c>
      <c r="Y433" s="212">
        <v>0</v>
      </c>
      <c r="Z433" s="210">
        <v>0</v>
      </c>
      <c r="AA433" s="213">
        <v>0</v>
      </c>
      <c r="AB433" s="214">
        <v>0</v>
      </c>
      <c r="AC433" s="249">
        <v>1</v>
      </c>
      <c r="AD433" s="212">
        <v>0</v>
      </c>
      <c r="AE433" s="212">
        <v>0</v>
      </c>
      <c r="AF433" s="212">
        <v>0</v>
      </c>
      <c r="AG433" s="212">
        <v>0</v>
      </c>
      <c r="AH433" s="212">
        <v>0</v>
      </c>
      <c r="AI433" s="212">
        <v>0</v>
      </c>
      <c r="AJ433" s="212">
        <v>0</v>
      </c>
      <c r="AK433" s="213">
        <v>0</v>
      </c>
      <c r="AL433" s="215">
        <f t="shared" si="12"/>
        <v>1</v>
      </c>
      <c r="AM433" s="216">
        <f>0</f>
        <v>0</v>
      </c>
      <c r="AN433" s="217">
        <f t="shared" si="13"/>
        <v>1</v>
      </c>
      <c r="AO433" s="251">
        <v>45099</v>
      </c>
      <c r="AP433" s="151" t="s">
        <v>273</v>
      </c>
      <c r="AQ433" s="153" t="s">
        <v>1655</v>
      </c>
      <c r="AR433" s="219" t="s">
        <v>148</v>
      </c>
      <c r="AS433" s="159"/>
      <c r="AT433" s="153"/>
      <c r="AU433" s="154"/>
      <c r="AV433" s="154"/>
      <c r="AW433" s="154"/>
      <c r="AX433" s="155"/>
      <c r="AY433" s="156"/>
      <c r="AZ433" s="157"/>
      <c r="BA433" s="81"/>
      <c r="BB433" s="81"/>
      <c r="BC433" s="81"/>
    </row>
    <row r="434" spans="1:55" ht="28" customHeight="1" x14ac:dyDescent="0.25">
      <c r="A434" s="173">
        <v>429</v>
      </c>
      <c r="B434" s="147">
        <v>45099</v>
      </c>
      <c r="C434" s="77" t="s">
        <v>134</v>
      </c>
      <c r="D434" s="77" t="s">
        <v>135</v>
      </c>
      <c r="E434" s="77" t="s">
        <v>136</v>
      </c>
      <c r="F434" s="152" t="s">
        <v>1446</v>
      </c>
      <c r="G434" s="252" t="s">
        <v>1391</v>
      </c>
      <c r="H434" s="252" t="s">
        <v>110</v>
      </c>
      <c r="I434" s="252" t="s">
        <v>1392</v>
      </c>
      <c r="J434" s="252" t="s">
        <v>1393</v>
      </c>
      <c r="K434" s="149" t="s">
        <v>80</v>
      </c>
      <c r="L434" s="252" t="s">
        <v>153</v>
      </c>
      <c r="M434" s="252" t="s">
        <v>154</v>
      </c>
      <c r="N434" s="252" t="s">
        <v>80</v>
      </c>
      <c r="O434" s="252" t="s">
        <v>155</v>
      </c>
      <c r="P434" s="252"/>
      <c r="Q434" s="307"/>
      <c r="R434" s="211">
        <v>0</v>
      </c>
      <c r="S434" s="212">
        <v>0</v>
      </c>
      <c r="T434" s="212">
        <v>0</v>
      </c>
      <c r="U434" s="212">
        <v>0</v>
      </c>
      <c r="V434" s="212">
        <v>0</v>
      </c>
      <c r="W434" s="212">
        <v>0</v>
      </c>
      <c r="X434" s="212">
        <v>0</v>
      </c>
      <c r="Y434" s="212">
        <v>0</v>
      </c>
      <c r="Z434" s="210">
        <v>0</v>
      </c>
      <c r="AA434" s="213">
        <v>0</v>
      </c>
      <c r="AB434" s="214">
        <v>0</v>
      </c>
      <c r="AC434" s="249">
        <v>1</v>
      </c>
      <c r="AD434" s="212">
        <v>0</v>
      </c>
      <c r="AE434" s="212">
        <v>0</v>
      </c>
      <c r="AF434" s="212">
        <v>0</v>
      </c>
      <c r="AG434" s="212">
        <v>0</v>
      </c>
      <c r="AH434" s="212">
        <v>0</v>
      </c>
      <c r="AI434" s="212">
        <v>0</v>
      </c>
      <c r="AJ434" s="212">
        <v>0</v>
      </c>
      <c r="AK434" s="213">
        <v>0</v>
      </c>
      <c r="AL434" s="215">
        <f t="shared" si="12"/>
        <v>1</v>
      </c>
      <c r="AM434" s="216">
        <f>0</f>
        <v>0</v>
      </c>
      <c r="AN434" s="217">
        <f t="shared" si="13"/>
        <v>1</v>
      </c>
      <c r="AO434" s="251">
        <v>45099</v>
      </c>
      <c r="AP434" s="151" t="s">
        <v>273</v>
      </c>
      <c r="AQ434" s="153" t="s">
        <v>1655</v>
      </c>
      <c r="AR434" s="219" t="s">
        <v>148</v>
      </c>
      <c r="AS434" s="159"/>
      <c r="AT434" s="153"/>
      <c r="AU434" s="154"/>
      <c r="AV434" s="154"/>
      <c r="AW434" s="154"/>
      <c r="AX434" s="155"/>
      <c r="AY434" s="156"/>
      <c r="AZ434" s="157"/>
      <c r="BA434" s="81"/>
      <c r="BB434" s="81"/>
      <c r="BC434" s="81"/>
    </row>
    <row r="435" spans="1:55" ht="28" customHeight="1" x14ac:dyDescent="0.25">
      <c r="A435" s="173">
        <v>430</v>
      </c>
      <c r="B435" s="147">
        <v>45099</v>
      </c>
      <c r="C435" s="77" t="s">
        <v>134</v>
      </c>
      <c r="D435" s="77" t="s">
        <v>135</v>
      </c>
      <c r="E435" s="77" t="s">
        <v>136</v>
      </c>
      <c r="F435" s="152" t="s">
        <v>1446</v>
      </c>
      <c r="G435" s="252" t="s">
        <v>1394</v>
      </c>
      <c r="H435" s="252" t="s">
        <v>110</v>
      </c>
      <c r="I435" s="252" t="s">
        <v>1395</v>
      </c>
      <c r="J435" s="252" t="s">
        <v>1396</v>
      </c>
      <c r="K435" s="149" t="s">
        <v>80</v>
      </c>
      <c r="L435" s="252" t="s">
        <v>153</v>
      </c>
      <c r="M435" s="252" t="s">
        <v>154</v>
      </c>
      <c r="N435" s="252" t="s">
        <v>80</v>
      </c>
      <c r="O435" s="252" t="s">
        <v>155</v>
      </c>
      <c r="P435" s="252"/>
      <c r="Q435" s="307"/>
      <c r="R435" s="211">
        <v>0</v>
      </c>
      <c r="S435" s="212">
        <v>0</v>
      </c>
      <c r="T435" s="212">
        <v>0</v>
      </c>
      <c r="U435" s="212">
        <v>0</v>
      </c>
      <c r="V435" s="212">
        <v>0</v>
      </c>
      <c r="W435" s="212">
        <v>0</v>
      </c>
      <c r="X435" s="212">
        <v>0</v>
      </c>
      <c r="Y435" s="212">
        <v>0</v>
      </c>
      <c r="Z435" s="210">
        <v>0</v>
      </c>
      <c r="AA435" s="213">
        <v>0</v>
      </c>
      <c r="AB435" s="214">
        <v>0</v>
      </c>
      <c r="AC435" s="249">
        <v>2</v>
      </c>
      <c r="AD435" s="212">
        <v>0</v>
      </c>
      <c r="AE435" s="212">
        <v>0</v>
      </c>
      <c r="AF435" s="212">
        <v>0</v>
      </c>
      <c r="AG435" s="212">
        <v>0</v>
      </c>
      <c r="AH435" s="212">
        <v>0</v>
      </c>
      <c r="AI435" s="212">
        <v>0</v>
      </c>
      <c r="AJ435" s="212">
        <v>0</v>
      </c>
      <c r="AK435" s="213">
        <v>0</v>
      </c>
      <c r="AL435" s="215">
        <f t="shared" si="12"/>
        <v>2</v>
      </c>
      <c r="AM435" s="216">
        <f>0</f>
        <v>0</v>
      </c>
      <c r="AN435" s="217">
        <f t="shared" si="13"/>
        <v>2</v>
      </c>
      <c r="AO435" s="251">
        <v>45099</v>
      </c>
      <c r="AP435" s="151" t="s">
        <v>273</v>
      </c>
      <c r="AQ435" s="153" t="s">
        <v>1655</v>
      </c>
      <c r="AR435" s="219" t="s">
        <v>148</v>
      </c>
      <c r="AS435" s="159"/>
      <c r="AT435" s="153"/>
      <c r="AU435" s="154"/>
      <c r="AV435" s="154"/>
      <c r="AW435" s="154"/>
      <c r="AX435" s="155"/>
      <c r="AY435" s="156"/>
      <c r="AZ435" s="157"/>
      <c r="BA435" s="81"/>
      <c r="BB435" s="81"/>
      <c r="BC435" s="81"/>
    </row>
    <row r="436" spans="1:55" ht="28" customHeight="1" x14ac:dyDescent="0.25">
      <c r="A436" s="173">
        <v>431</v>
      </c>
      <c r="B436" s="147">
        <v>45099</v>
      </c>
      <c r="C436" s="77" t="s">
        <v>134</v>
      </c>
      <c r="D436" s="77" t="s">
        <v>135</v>
      </c>
      <c r="E436" s="77" t="s">
        <v>136</v>
      </c>
      <c r="F436" s="152" t="s">
        <v>1446</v>
      </c>
      <c r="G436" s="252" t="s">
        <v>1397</v>
      </c>
      <c r="H436" s="252" t="s">
        <v>110</v>
      </c>
      <c r="I436" s="252" t="s">
        <v>1398</v>
      </c>
      <c r="J436" s="252" t="s">
        <v>1399</v>
      </c>
      <c r="K436" s="149" t="s">
        <v>80</v>
      </c>
      <c r="L436" s="252" t="s">
        <v>153</v>
      </c>
      <c r="M436" s="252" t="s">
        <v>154</v>
      </c>
      <c r="N436" s="252" t="s">
        <v>80</v>
      </c>
      <c r="O436" s="252" t="s">
        <v>155</v>
      </c>
      <c r="P436" s="252"/>
      <c r="Q436" s="307"/>
      <c r="R436" s="211">
        <v>0</v>
      </c>
      <c r="S436" s="212">
        <v>0</v>
      </c>
      <c r="T436" s="212">
        <v>0</v>
      </c>
      <c r="U436" s="212">
        <v>0</v>
      </c>
      <c r="V436" s="212">
        <v>0</v>
      </c>
      <c r="W436" s="212">
        <v>0</v>
      </c>
      <c r="X436" s="212">
        <v>0</v>
      </c>
      <c r="Y436" s="212">
        <v>0</v>
      </c>
      <c r="Z436" s="210">
        <v>0</v>
      </c>
      <c r="AA436" s="213">
        <v>0</v>
      </c>
      <c r="AB436" s="214">
        <v>0</v>
      </c>
      <c r="AC436" s="249">
        <v>2</v>
      </c>
      <c r="AD436" s="212">
        <v>0</v>
      </c>
      <c r="AE436" s="212">
        <v>0</v>
      </c>
      <c r="AF436" s="212">
        <v>0</v>
      </c>
      <c r="AG436" s="212">
        <v>0</v>
      </c>
      <c r="AH436" s="212">
        <v>0</v>
      </c>
      <c r="AI436" s="212">
        <v>0</v>
      </c>
      <c r="AJ436" s="212">
        <v>0</v>
      </c>
      <c r="AK436" s="213">
        <v>0</v>
      </c>
      <c r="AL436" s="215">
        <f t="shared" si="12"/>
        <v>2</v>
      </c>
      <c r="AM436" s="216">
        <f>0</f>
        <v>0</v>
      </c>
      <c r="AN436" s="217">
        <f t="shared" si="13"/>
        <v>2</v>
      </c>
      <c r="AO436" s="251">
        <v>45099</v>
      </c>
      <c r="AP436" s="151" t="s">
        <v>273</v>
      </c>
      <c r="AQ436" s="153" t="s">
        <v>1655</v>
      </c>
      <c r="AR436" s="219" t="s">
        <v>148</v>
      </c>
      <c r="AS436" s="159"/>
      <c r="AT436" s="153"/>
      <c r="AU436" s="154"/>
      <c r="AV436" s="154"/>
      <c r="AW436" s="154"/>
      <c r="AX436" s="155"/>
      <c r="AY436" s="156"/>
      <c r="AZ436" s="157"/>
      <c r="BA436" s="81"/>
      <c r="BB436" s="81"/>
      <c r="BC436" s="81"/>
    </row>
    <row r="437" spans="1:55" ht="28" customHeight="1" x14ac:dyDescent="0.25">
      <c r="A437" s="173">
        <v>432</v>
      </c>
      <c r="B437" s="147">
        <v>45099</v>
      </c>
      <c r="C437" s="77" t="s">
        <v>134</v>
      </c>
      <c r="D437" s="77" t="s">
        <v>135</v>
      </c>
      <c r="E437" s="77" t="s">
        <v>136</v>
      </c>
      <c r="F437" s="152" t="s">
        <v>1446</v>
      </c>
      <c r="G437" s="252" t="s">
        <v>1400</v>
      </c>
      <c r="H437" s="252" t="s">
        <v>110</v>
      </c>
      <c r="I437" s="252" t="s">
        <v>1401</v>
      </c>
      <c r="J437" s="252" t="s">
        <v>1402</v>
      </c>
      <c r="K437" s="149" t="s">
        <v>80</v>
      </c>
      <c r="L437" s="252" t="s">
        <v>193</v>
      </c>
      <c r="M437" s="252" t="s">
        <v>154</v>
      </c>
      <c r="N437" s="252" t="s">
        <v>214</v>
      </c>
      <c r="O437" s="252" t="s">
        <v>149</v>
      </c>
      <c r="P437" s="252"/>
      <c r="Q437" s="307"/>
      <c r="R437" s="211">
        <v>0</v>
      </c>
      <c r="S437" s="212">
        <v>0</v>
      </c>
      <c r="T437" s="212">
        <v>0</v>
      </c>
      <c r="U437" s="212">
        <v>0</v>
      </c>
      <c r="V437" s="212">
        <v>0</v>
      </c>
      <c r="W437" s="212">
        <v>0</v>
      </c>
      <c r="X437" s="212">
        <v>0</v>
      </c>
      <c r="Y437" s="212">
        <v>0</v>
      </c>
      <c r="Z437" s="210">
        <v>0</v>
      </c>
      <c r="AA437" s="213">
        <v>0</v>
      </c>
      <c r="AB437" s="214">
        <v>0</v>
      </c>
      <c r="AC437" s="249">
        <v>1</v>
      </c>
      <c r="AD437" s="212">
        <v>0</v>
      </c>
      <c r="AE437" s="212">
        <v>0</v>
      </c>
      <c r="AF437" s="212">
        <v>0</v>
      </c>
      <c r="AG437" s="212">
        <v>0</v>
      </c>
      <c r="AH437" s="212">
        <v>0</v>
      </c>
      <c r="AI437" s="212">
        <v>0</v>
      </c>
      <c r="AJ437" s="212">
        <v>0</v>
      </c>
      <c r="AK437" s="213">
        <v>0</v>
      </c>
      <c r="AL437" s="215">
        <f t="shared" si="12"/>
        <v>1</v>
      </c>
      <c r="AM437" s="216">
        <f>0</f>
        <v>0</v>
      </c>
      <c r="AN437" s="217">
        <f t="shared" si="13"/>
        <v>1</v>
      </c>
      <c r="AO437" s="251">
        <v>45103</v>
      </c>
      <c r="AP437" s="260" t="s">
        <v>273</v>
      </c>
      <c r="AQ437" s="153" t="s">
        <v>1657</v>
      </c>
      <c r="AR437" s="219" t="s">
        <v>669</v>
      </c>
      <c r="AS437" s="159"/>
      <c r="AT437" s="99"/>
      <c r="AU437" s="154"/>
      <c r="AV437" s="154"/>
      <c r="AW437" s="154"/>
      <c r="AX437" s="155"/>
      <c r="AY437" s="156"/>
      <c r="AZ437" s="157"/>
      <c r="BA437" s="81"/>
      <c r="BB437" s="81"/>
      <c r="BC437" s="81"/>
    </row>
    <row r="438" spans="1:55" ht="28" customHeight="1" x14ac:dyDescent="0.25">
      <c r="A438" s="173">
        <v>433</v>
      </c>
      <c r="B438" s="147">
        <v>45099</v>
      </c>
      <c r="C438" s="248"/>
      <c r="D438" s="248"/>
      <c r="E438" s="77" t="s">
        <v>136</v>
      </c>
      <c r="F438" s="152" t="s">
        <v>1446</v>
      </c>
      <c r="G438" s="252" t="s">
        <v>1400</v>
      </c>
      <c r="H438" s="252" t="s">
        <v>110</v>
      </c>
      <c r="I438" s="252" t="s">
        <v>1401</v>
      </c>
      <c r="J438" s="252" t="s">
        <v>1488</v>
      </c>
      <c r="K438" s="149" t="s">
        <v>80</v>
      </c>
      <c r="L438" s="252" t="s">
        <v>193</v>
      </c>
      <c r="M438" s="252" t="s">
        <v>154</v>
      </c>
      <c r="N438" s="252" t="s">
        <v>214</v>
      </c>
      <c r="O438" s="252" t="s">
        <v>149</v>
      </c>
      <c r="P438" s="252"/>
      <c r="Q438" s="307"/>
      <c r="R438" s="211">
        <v>0</v>
      </c>
      <c r="S438" s="212">
        <v>0</v>
      </c>
      <c r="T438" s="212">
        <v>0</v>
      </c>
      <c r="U438" s="212">
        <v>0</v>
      </c>
      <c r="V438" s="212">
        <v>0</v>
      </c>
      <c r="W438" s="212">
        <v>0</v>
      </c>
      <c r="X438" s="212">
        <v>0</v>
      </c>
      <c r="Y438" s="212">
        <v>0</v>
      </c>
      <c r="Z438" s="210">
        <v>0</v>
      </c>
      <c r="AA438" s="213">
        <v>0</v>
      </c>
      <c r="AB438" s="214">
        <v>0</v>
      </c>
      <c r="AC438" s="249">
        <v>1</v>
      </c>
      <c r="AD438" s="212">
        <v>0</v>
      </c>
      <c r="AE438" s="212">
        <v>0</v>
      </c>
      <c r="AF438" s="212">
        <v>0</v>
      </c>
      <c r="AG438" s="212">
        <v>0</v>
      </c>
      <c r="AH438" s="212">
        <v>0</v>
      </c>
      <c r="AI438" s="212">
        <v>0</v>
      </c>
      <c r="AJ438" s="212">
        <v>0</v>
      </c>
      <c r="AK438" s="213">
        <v>0</v>
      </c>
      <c r="AL438" s="215">
        <f t="shared" si="12"/>
        <v>1</v>
      </c>
      <c r="AM438" s="216">
        <f>0</f>
        <v>0</v>
      </c>
      <c r="AN438" s="217">
        <f t="shared" si="13"/>
        <v>1</v>
      </c>
      <c r="AO438" s="251">
        <v>45103</v>
      </c>
      <c r="AP438" s="260" t="s">
        <v>273</v>
      </c>
      <c r="AQ438" s="153" t="s">
        <v>1657</v>
      </c>
      <c r="AR438" s="219" t="s">
        <v>669</v>
      </c>
      <c r="AS438" s="159"/>
      <c r="AT438" s="99"/>
      <c r="AU438" s="154"/>
      <c r="AV438" s="154"/>
      <c r="AW438" s="154"/>
      <c r="AX438" s="155"/>
      <c r="AY438" s="156"/>
      <c r="AZ438" s="157"/>
      <c r="BA438" s="81"/>
      <c r="BB438" s="81"/>
      <c r="BC438" s="81"/>
    </row>
    <row r="439" spans="1:55" ht="28" customHeight="1" x14ac:dyDescent="0.25">
      <c r="A439" s="173">
        <v>434</v>
      </c>
      <c r="B439" s="147">
        <v>45099</v>
      </c>
      <c r="C439" s="77" t="s">
        <v>134</v>
      </c>
      <c r="D439" s="77" t="s">
        <v>135</v>
      </c>
      <c r="E439" s="77" t="s">
        <v>136</v>
      </c>
      <c r="F439" s="152" t="s">
        <v>1446</v>
      </c>
      <c r="G439" s="252" t="s">
        <v>1403</v>
      </c>
      <c r="H439" s="252" t="s">
        <v>110</v>
      </c>
      <c r="I439" s="252" t="s">
        <v>1404</v>
      </c>
      <c r="J439" s="252" t="s">
        <v>1405</v>
      </c>
      <c r="K439" s="149" t="s">
        <v>80</v>
      </c>
      <c r="L439" s="252" t="s">
        <v>153</v>
      </c>
      <c r="M439" s="252" t="s">
        <v>154</v>
      </c>
      <c r="N439" s="252" t="s">
        <v>80</v>
      </c>
      <c r="O439" s="252" t="s">
        <v>155</v>
      </c>
      <c r="P439" s="252"/>
      <c r="Q439" s="307"/>
      <c r="R439" s="211">
        <v>0</v>
      </c>
      <c r="S439" s="212">
        <v>0</v>
      </c>
      <c r="T439" s="212">
        <v>0</v>
      </c>
      <c r="U439" s="212">
        <v>0</v>
      </c>
      <c r="V439" s="212">
        <v>0</v>
      </c>
      <c r="W439" s="212">
        <v>0</v>
      </c>
      <c r="X439" s="212">
        <v>0</v>
      </c>
      <c r="Y439" s="212">
        <v>0</v>
      </c>
      <c r="Z439" s="210">
        <v>0</v>
      </c>
      <c r="AA439" s="213">
        <v>0</v>
      </c>
      <c r="AB439" s="214">
        <v>0</v>
      </c>
      <c r="AC439" s="249">
        <v>1</v>
      </c>
      <c r="AD439" s="212">
        <v>0</v>
      </c>
      <c r="AE439" s="212">
        <v>0</v>
      </c>
      <c r="AF439" s="212">
        <v>0</v>
      </c>
      <c r="AG439" s="212">
        <v>0</v>
      </c>
      <c r="AH439" s="212">
        <v>0</v>
      </c>
      <c r="AI439" s="212">
        <v>0</v>
      </c>
      <c r="AJ439" s="212">
        <v>0</v>
      </c>
      <c r="AK439" s="213">
        <v>0</v>
      </c>
      <c r="AL439" s="215">
        <f t="shared" si="12"/>
        <v>1</v>
      </c>
      <c r="AM439" s="216">
        <f>0</f>
        <v>0</v>
      </c>
      <c r="AN439" s="217">
        <f t="shared" si="13"/>
        <v>1</v>
      </c>
      <c r="AO439" s="251">
        <v>45099</v>
      </c>
      <c r="AP439" s="151" t="s">
        <v>273</v>
      </c>
      <c r="AQ439" s="153" t="s">
        <v>1655</v>
      </c>
      <c r="AR439" s="219" t="s">
        <v>148</v>
      </c>
      <c r="AS439" s="159"/>
      <c r="AT439" s="153"/>
      <c r="AU439" s="154"/>
      <c r="AV439" s="154"/>
      <c r="AW439" s="154"/>
      <c r="AX439" s="155"/>
      <c r="AY439" s="156"/>
      <c r="AZ439" s="157"/>
      <c r="BA439" s="81"/>
      <c r="BB439" s="81"/>
      <c r="BC439" s="81"/>
    </row>
    <row r="440" spans="1:55" ht="28" customHeight="1" x14ac:dyDescent="0.25">
      <c r="A440" s="173">
        <v>435</v>
      </c>
      <c r="B440" s="147">
        <v>45099</v>
      </c>
      <c r="C440" s="77" t="s">
        <v>134</v>
      </c>
      <c r="D440" s="77" t="s">
        <v>135</v>
      </c>
      <c r="E440" s="77" t="s">
        <v>136</v>
      </c>
      <c r="F440" s="152" t="s">
        <v>1446</v>
      </c>
      <c r="G440" s="252" t="s">
        <v>1406</v>
      </c>
      <c r="H440" s="252" t="s">
        <v>110</v>
      </c>
      <c r="I440" s="252" t="s">
        <v>1447</v>
      </c>
      <c r="J440" s="252" t="s">
        <v>1407</v>
      </c>
      <c r="K440" s="149" t="s">
        <v>80</v>
      </c>
      <c r="L440" s="252" t="s">
        <v>153</v>
      </c>
      <c r="M440" s="252" t="s">
        <v>154</v>
      </c>
      <c r="N440" s="252" t="s">
        <v>80</v>
      </c>
      <c r="O440" s="252" t="s">
        <v>155</v>
      </c>
      <c r="P440" s="252"/>
      <c r="Q440" s="307"/>
      <c r="R440" s="211">
        <v>0</v>
      </c>
      <c r="S440" s="212">
        <v>0</v>
      </c>
      <c r="T440" s="212">
        <v>0</v>
      </c>
      <c r="U440" s="212">
        <v>0</v>
      </c>
      <c r="V440" s="212">
        <v>0</v>
      </c>
      <c r="W440" s="212">
        <v>0</v>
      </c>
      <c r="X440" s="212">
        <v>0</v>
      </c>
      <c r="Y440" s="212">
        <v>0</v>
      </c>
      <c r="Z440" s="210">
        <v>0</v>
      </c>
      <c r="AA440" s="213">
        <v>0</v>
      </c>
      <c r="AB440" s="214">
        <v>0</v>
      </c>
      <c r="AC440" s="249">
        <v>1</v>
      </c>
      <c r="AD440" s="212">
        <v>0</v>
      </c>
      <c r="AE440" s="212">
        <v>0</v>
      </c>
      <c r="AF440" s="212">
        <v>0</v>
      </c>
      <c r="AG440" s="212">
        <v>0</v>
      </c>
      <c r="AH440" s="212">
        <v>0</v>
      </c>
      <c r="AI440" s="212">
        <v>0</v>
      </c>
      <c r="AJ440" s="212">
        <v>0</v>
      </c>
      <c r="AK440" s="213">
        <v>0</v>
      </c>
      <c r="AL440" s="215">
        <f t="shared" si="12"/>
        <v>1</v>
      </c>
      <c r="AM440" s="216">
        <f>0</f>
        <v>0</v>
      </c>
      <c r="AN440" s="217">
        <f t="shared" si="13"/>
        <v>1</v>
      </c>
      <c r="AO440" s="251">
        <v>45099</v>
      </c>
      <c r="AP440" s="151" t="s">
        <v>273</v>
      </c>
      <c r="AQ440" s="153" t="s">
        <v>1655</v>
      </c>
      <c r="AR440" s="219" t="s">
        <v>148</v>
      </c>
      <c r="AS440" s="159"/>
      <c r="AT440" s="153"/>
      <c r="AU440" s="154"/>
      <c r="AV440" s="154"/>
      <c r="AW440" s="154"/>
      <c r="AX440" s="155"/>
      <c r="AY440" s="156"/>
      <c r="AZ440" s="157"/>
      <c r="BA440" s="81"/>
      <c r="BB440" s="81"/>
      <c r="BC440" s="81"/>
    </row>
    <row r="441" spans="1:55" ht="28" customHeight="1" x14ac:dyDescent="0.25">
      <c r="A441" s="173">
        <v>436</v>
      </c>
      <c r="B441" s="147">
        <v>45099</v>
      </c>
      <c r="C441" s="77" t="s">
        <v>134</v>
      </c>
      <c r="D441" s="77" t="s">
        <v>135</v>
      </c>
      <c r="E441" s="77" t="s">
        <v>136</v>
      </c>
      <c r="F441" s="152" t="s">
        <v>1446</v>
      </c>
      <c r="G441" s="252" t="s">
        <v>1408</v>
      </c>
      <c r="H441" s="252" t="s">
        <v>110</v>
      </c>
      <c r="I441" s="252" t="s">
        <v>1409</v>
      </c>
      <c r="J441" s="252" t="s">
        <v>1410</v>
      </c>
      <c r="K441" s="149" t="s">
        <v>80</v>
      </c>
      <c r="L441" s="252" t="s">
        <v>153</v>
      </c>
      <c r="M441" s="252" t="s">
        <v>154</v>
      </c>
      <c r="N441" s="252" t="s">
        <v>80</v>
      </c>
      <c r="O441" s="252" t="s">
        <v>155</v>
      </c>
      <c r="P441" s="252"/>
      <c r="Q441" s="307"/>
      <c r="R441" s="211">
        <v>0</v>
      </c>
      <c r="S441" s="212">
        <v>0</v>
      </c>
      <c r="T441" s="212">
        <v>0</v>
      </c>
      <c r="U441" s="212">
        <v>0</v>
      </c>
      <c r="V441" s="212">
        <v>0</v>
      </c>
      <c r="W441" s="212">
        <v>0</v>
      </c>
      <c r="X441" s="212">
        <v>0</v>
      </c>
      <c r="Y441" s="212">
        <v>0</v>
      </c>
      <c r="Z441" s="210">
        <v>0</v>
      </c>
      <c r="AA441" s="213">
        <v>0</v>
      </c>
      <c r="AB441" s="214">
        <v>0</v>
      </c>
      <c r="AC441" s="249">
        <v>1</v>
      </c>
      <c r="AD441" s="212">
        <v>0</v>
      </c>
      <c r="AE441" s="212">
        <v>0</v>
      </c>
      <c r="AF441" s="212">
        <v>0</v>
      </c>
      <c r="AG441" s="212">
        <v>0</v>
      </c>
      <c r="AH441" s="212">
        <v>0</v>
      </c>
      <c r="AI441" s="212">
        <v>0</v>
      </c>
      <c r="AJ441" s="212">
        <v>0</v>
      </c>
      <c r="AK441" s="213">
        <v>0</v>
      </c>
      <c r="AL441" s="215">
        <f t="shared" si="12"/>
        <v>1</v>
      </c>
      <c r="AM441" s="216">
        <f>0</f>
        <v>0</v>
      </c>
      <c r="AN441" s="217">
        <f t="shared" si="13"/>
        <v>1</v>
      </c>
      <c r="AO441" s="251">
        <v>45099</v>
      </c>
      <c r="AP441" s="151" t="s">
        <v>273</v>
      </c>
      <c r="AQ441" s="153" t="s">
        <v>1655</v>
      </c>
      <c r="AR441" s="219" t="s">
        <v>148</v>
      </c>
      <c r="AS441" s="159"/>
      <c r="AT441" s="153"/>
      <c r="AU441" s="154"/>
      <c r="AV441" s="154"/>
      <c r="AW441" s="154"/>
      <c r="AX441" s="155"/>
      <c r="AY441" s="156"/>
      <c r="AZ441" s="157"/>
      <c r="BA441" s="81"/>
      <c r="BB441" s="81"/>
      <c r="BC441" s="81"/>
    </row>
    <row r="442" spans="1:55" ht="28" customHeight="1" x14ac:dyDescent="0.25">
      <c r="A442" s="173">
        <v>437</v>
      </c>
      <c r="B442" s="147">
        <v>45099</v>
      </c>
      <c r="C442" s="77" t="s">
        <v>134</v>
      </c>
      <c r="D442" s="77" t="s">
        <v>135</v>
      </c>
      <c r="E442" s="77" t="s">
        <v>136</v>
      </c>
      <c r="F442" s="152" t="s">
        <v>1446</v>
      </c>
      <c r="G442" s="252" t="s">
        <v>1411</v>
      </c>
      <c r="H442" s="252" t="s">
        <v>110</v>
      </c>
      <c r="I442" s="252" t="s">
        <v>1412</v>
      </c>
      <c r="J442" s="252" t="s">
        <v>1413</v>
      </c>
      <c r="K442" s="149" t="s">
        <v>80</v>
      </c>
      <c r="L442" s="252" t="s">
        <v>320</v>
      </c>
      <c r="M442" s="252" t="s">
        <v>154</v>
      </c>
      <c r="N442" s="252" t="s">
        <v>80</v>
      </c>
      <c r="O442" s="252" t="s">
        <v>155</v>
      </c>
      <c r="P442" s="252"/>
      <c r="Q442" s="307"/>
      <c r="R442" s="211">
        <v>0</v>
      </c>
      <c r="S442" s="212">
        <v>0</v>
      </c>
      <c r="T442" s="212">
        <v>0</v>
      </c>
      <c r="U442" s="212">
        <v>0</v>
      </c>
      <c r="V442" s="212">
        <v>0</v>
      </c>
      <c r="W442" s="212">
        <v>0</v>
      </c>
      <c r="X442" s="212">
        <v>0</v>
      </c>
      <c r="Y442" s="212">
        <v>0</v>
      </c>
      <c r="Z442" s="210">
        <v>0</v>
      </c>
      <c r="AA442" s="213">
        <v>0</v>
      </c>
      <c r="AB442" s="214">
        <v>0</v>
      </c>
      <c r="AC442" s="249">
        <v>1</v>
      </c>
      <c r="AD442" s="212">
        <v>0</v>
      </c>
      <c r="AE442" s="212">
        <v>0</v>
      </c>
      <c r="AF442" s="212">
        <v>0</v>
      </c>
      <c r="AG442" s="212">
        <v>0</v>
      </c>
      <c r="AH442" s="212">
        <v>0</v>
      </c>
      <c r="AI442" s="212">
        <v>0</v>
      </c>
      <c r="AJ442" s="212">
        <v>0</v>
      </c>
      <c r="AK442" s="213">
        <v>0</v>
      </c>
      <c r="AL442" s="215">
        <f t="shared" si="12"/>
        <v>1</v>
      </c>
      <c r="AM442" s="216">
        <f>0</f>
        <v>0</v>
      </c>
      <c r="AN442" s="217">
        <f t="shared" si="13"/>
        <v>1</v>
      </c>
      <c r="AO442" s="251">
        <v>45099</v>
      </c>
      <c r="AP442" s="151" t="s">
        <v>273</v>
      </c>
      <c r="AQ442" s="153" t="s">
        <v>1655</v>
      </c>
      <c r="AR442" s="219" t="s">
        <v>148</v>
      </c>
      <c r="AS442" s="159"/>
      <c r="AT442" s="153"/>
      <c r="AU442" s="154"/>
      <c r="AV442" s="154"/>
      <c r="AW442" s="154"/>
      <c r="AX442" s="155"/>
      <c r="AY442" s="156"/>
      <c r="AZ442" s="157"/>
      <c r="BA442" s="81"/>
      <c r="BB442" s="81"/>
      <c r="BC442" s="81"/>
    </row>
    <row r="443" spans="1:55" ht="28" customHeight="1" x14ac:dyDescent="0.25">
      <c r="A443" s="173">
        <v>438</v>
      </c>
      <c r="B443" s="147">
        <v>45099</v>
      </c>
      <c r="C443" s="77" t="s">
        <v>134</v>
      </c>
      <c r="D443" s="77" t="s">
        <v>135</v>
      </c>
      <c r="E443" s="77" t="s">
        <v>136</v>
      </c>
      <c r="F443" s="152" t="s">
        <v>1446</v>
      </c>
      <c r="G443" s="252" t="s">
        <v>1414</v>
      </c>
      <c r="H443" s="252" t="s">
        <v>110</v>
      </c>
      <c r="I443" s="252" t="s">
        <v>1415</v>
      </c>
      <c r="J443" s="252" t="s">
        <v>1416</v>
      </c>
      <c r="K443" s="149" t="s">
        <v>80</v>
      </c>
      <c r="L443" s="252" t="s">
        <v>320</v>
      </c>
      <c r="M443" s="252" t="s">
        <v>154</v>
      </c>
      <c r="N443" s="252" t="s">
        <v>80</v>
      </c>
      <c r="O443" s="252" t="s">
        <v>155</v>
      </c>
      <c r="P443" s="252"/>
      <c r="Q443" s="307"/>
      <c r="R443" s="211">
        <v>0</v>
      </c>
      <c r="S443" s="212">
        <v>0</v>
      </c>
      <c r="T443" s="212">
        <v>0</v>
      </c>
      <c r="U443" s="212">
        <v>0</v>
      </c>
      <c r="V443" s="212">
        <v>0</v>
      </c>
      <c r="W443" s="212">
        <v>0</v>
      </c>
      <c r="X443" s="212">
        <v>0</v>
      </c>
      <c r="Y443" s="212">
        <v>0</v>
      </c>
      <c r="Z443" s="210">
        <v>0</v>
      </c>
      <c r="AA443" s="213">
        <v>0</v>
      </c>
      <c r="AB443" s="214">
        <v>0</v>
      </c>
      <c r="AC443" s="249">
        <v>1</v>
      </c>
      <c r="AD443" s="212">
        <v>0</v>
      </c>
      <c r="AE443" s="212">
        <v>0</v>
      </c>
      <c r="AF443" s="212">
        <v>0</v>
      </c>
      <c r="AG443" s="212">
        <v>0</v>
      </c>
      <c r="AH443" s="212">
        <v>0</v>
      </c>
      <c r="AI443" s="212">
        <v>0</v>
      </c>
      <c r="AJ443" s="212">
        <v>0</v>
      </c>
      <c r="AK443" s="213">
        <v>0</v>
      </c>
      <c r="AL443" s="215">
        <f t="shared" si="12"/>
        <v>1</v>
      </c>
      <c r="AM443" s="216">
        <f>0</f>
        <v>0</v>
      </c>
      <c r="AN443" s="217">
        <f t="shared" si="13"/>
        <v>1</v>
      </c>
      <c r="AO443" s="251">
        <v>45099</v>
      </c>
      <c r="AP443" s="151" t="s">
        <v>273</v>
      </c>
      <c r="AQ443" s="153" t="s">
        <v>1655</v>
      </c>
      <c r="AR443" s="219" t="s">
        <v>148</v>
      </c>
      <c r="AS443" s="159"/>
      <c r="AT443" s="153"/>
      <c r="AU443" s="154"/>
      <c r="AV443" s="154"/>
      <c r="AW443" s="154"/>
      <c r="AX443" s="155"/>
      <c r="AY443" s="156"/>
      <c r="AZ443" s="157"/>
      <c r="BA443" s="81"/>
      <c r="BB443" s="81"/>
      <c r="BC443" s="81"/>
    </row>
    <row r="444" spans="1:55" ht="28" customHeight="1" x14ac:dyDescent="0.25">
      <c r="A444" s="173">
        <v>439</v>
      </c>
      <c r="B444" s="147">
        <v>45099</v>
      </c>
      <c r="C444" s="77" t="s">
        <v>134</v>
      </c>
      <c r="D444" s="77" t="s">
        <v>135</v>
      </c>
      <c r="E444" s="77" t="s">
        <v>136</v>
      </c>
      <c r="F444" s="152" t="s">
        <v>1446</v>
      </c>
      <c r="G444" s="252" t="s">
        <v>1417</v>
      </c>
      <c r="H444" s="252" t="s">
        <v>110</v>
      </c>
      <c r="I444" s="252" t="s">
        <v>1418</v>
      </c>
      <c r="J444" s="252" t="s">
        <v>1419</v>
      </c>
      <c r="K444" s="149" t="s">
        <v>80</v>
      </c>
      <c r="L444" s="252" t="s">
        <v>320</v>
      </c>
      <c r="M444" s="252" t="s">
        <v>154</v>
      </c>
      <c r="N444" s="252" t="s">
        <v>80</v>
      </c>
      <c r="O444" s="252" t="s">
        <v>155</v>
      </c>
      <c r="P444" s="252"/>
      <c r="Q444" s="307"/>
      <c r="R444" s="211">
        <v>0</v>
      </c>
      <c r="S444" s="212">
        <v>0</v>
      </c>
      <c r="T444" s="212">
        <v>0</v>
      </c>
      <c r="U444" s="212">
        <v>0</v>
      </c>
      <c r="V444" s="212">
        <v>0</v>
      </c>
      <c r="W444" s="212">
        <v>0</v>
      </c>
      <c r="X444" s="212">
        <v>0</v>
      </c>
      <c r="Y444" s="212">
        <v>0</v>
      </c>
      <c r="Z444" s="210">
        <v>0</v>
      </c>
      <c r="AA444" s="213">
        <v>0</v>
      </c>
      <c r="AB444" s="214">
        <v>0</v>
      </c>
      <c r="AC444" s="249">
        <v>1</v>
      </c>
      <c r="AD444" s="212">
        <v>0</v>
      </c>
      <c r="AE444" s="212">
        <v>0</v>
      </c>
      <c r="AF444" s="212">
        <v>0</v>
      </c>
      <c r="AG444" s="212">
        <v>0</v>
      </c>
      <c r="AH444" s="212">
        <v>0</v>
      </c>
      <c r="AI444" s="212">
        <v>0</v>
      </c>
      <c r="AJ444" s="212">
        <v>0</v>
      </c>
      <c r="AK444" s="213">
        <v>0</v>
      </c>
      <c r="AL444" s="215">
        <f t="shared" si="12"/>
        <v>1</v>
      </c>
      <c r="AM444" s="216">
        <f>0</f>
        <v>0</v>
      </c>
      <c r="AN444" s="217">
        <f t="shared" si="13"/>
        <v>1</v>
      </c>
      <c r="AO444" s="251">
        <v>45099</v>
      </c>
      <c r="AP444" s="151" t="s">
        <v>273</v>
      </c>
      <c r="AQ444" s="153" t="s">
        <v>1655</v>
      </c>
      <c r="AR444" s="219" t="s">
        <v>148</v>
      </c>
      <c r="AS444" s="159"/>
      <c r="AT444" s="153"/>
      <c r="AU444" s="154"/>
      <c r="AV444" s="154"/>
      <c r="AW444" s="154"/>
      <c r="AX444" s="155"/>
      <c r="AY444" s="156"/>
      <c r="AZ444" s="157"/>
      <c r="BA444" s="81"/>
      <c r="BB444" s="81"/>
      <c r="BC444" s="81"/>
    </row>
    <row r="445" spans="1:55" ht="28" customHeight="1" x14ac:dyDescent="0.25">
      <c r="A445" s="131">
        <v>560</v>
      </c>
      <c r="B445" s="141">
        <v>45112</v>
      </c>
      <c r="C445" s="77" t="s">
        <v>134</v>
      </c>
      <c r="D445" s="77" t="s">
        <v>135</v>
      </c>
      <c r="E445" s="77" t="s">
        <v>136</v>
      </c>
      <c r="F445" s="142" t="s">
        <v>1688</v>
      </c>
      <c r="G445" s="145" t="s">
        <v>1708</v>
      </c>
      <c r="H445" s="146" t="s">
        <v>110</v>
      </c>
      <c r="I445" s="145" t="s">
        <v>1707</v>
      </c>
      <c r="J445" s="240" t="s">
        <v>1704</v>
      </c>
      <c r="K445" s="241"/>
      <c r="L445" s="241" t="s">
        <v>119</v>
      </c>
      <c r="M445" s="220" t="s">
        <v>114</v>
      </c>
      <c r="N445" s="258"/>
      <c r="O445" s="271" t="s">
        <v>1313</v>
      </c>
      <c r="P445" s="148"/>
      <c r="Q445" s="271" t="s">
        <v>1710</v>
      </c>
      <c r="R445" s="181">
        <v>1</v>
      </c>
      <c r="S445" s="76">
        <v>0</v>
      </c>
      <c r="T445" s="76">
        <v>0</v>
      </c>
      <c r="U445" s="76">
        <v>0</v>
      </c>
      <c r="V445" s="76">
        <v>0</v>
      </c>
      <c r="W445" s="76">
        <v>0</v>
      </c>
      <c r="X445" s="76">
        <v>0</v>
      </c>
      <c r="Y445" s="76">
        <v>0</v>
      </c>
      <c r="Z445" s="76">
        <v>0</v>
      </c>
      <c r="AA445" s="183">
        <v>0</v>
      </c>
      <c r="AB445" s="185">
        <v>0</v>
      </c>
      <c r="AC445" s="76">
        <v>0</v>
      </c>
      <c r="AD445" s="76">
        <v>0</v>
      </c>
      <c r="AE445" s="76">
        <v>0</v>
      </c>
      <c r="AF445" s="76">
        <v>0</v>
      </c>
      <c r="AG445" s="76">
        <v>0</v>
      </c>
      <c r="AH445" s="76">
        <v>0</v>
      </c>
      <c r="AI445" s="76">
        <v>0</v>
      </c>
      <c r="AJ445" s="76">
        <v>0</v>
      </c>
      <c r="AK445" s="183">
        <v>0</v>
      </c>
      <c r="AL445" s="206">
        <f t="shared" ref="AL445:AL476" si="14">SUM(R445:AK445)</f>
        <v>1</v>
      </c>
      <c r="AM445" s="91">
        <f>0</f>
        <v>0</v>
      </c>
      <c r="AN445" s="209">
        <f t="shared" ref="AN445:AN476" si="15">AL445-AM445</f>
        <v>1</v>
      </c>
      <c r="AO445" s="288">
        <v>45113</v>
      </c>
      <c r="AP445" s="261" t="s">
        <v>273</v>
      </c>
      <c r="AQ445" s="153" t="s">
        <v>1792</v>
      </c>
      <c r="AR445" s="154" t="s">
        <v>1793</v>
      </c>
      <c r="AS445" s="159"/>
      <c r="AT445" s="153"/>
      <c r="AU445" s="154"/>
      <c r="AV445" s="154"/>
      <c r="AW445" s="154"/>
      <c r="AX445" s="155"/>
      <c r="AY445" s="156"/>
      <c r="AZ445" s="157"/>
      <c r="BA445" s="81"/>
      <c r="BB445" s="81"/>
      <c r="BC445" s="81"/>
    </row>
    <row r="446" spans="1:55" ht="28" customHeight="1" x14ac:dyDescent="0.25">
      <c r="A446" s="173">
        <v>441</v>
      </c>
      <c r="B446" s="147">
        <v>45099</v>
      </c>
      <c r="C446" s="77" t="s">
        <v>134</v>
      </c>
      <c r="D446" s="77" t="s">
        <v>135</v>
      </c>
      <c r="E446" s="77" t="s">
        <v>136</v>
      </c>
      <c r="F446" s="152" t="s">
        <v>1446</v>
      </c>
      <c r="G446" s="252" t="s">
        <v>1420</v>
      </c>
      <c r="H446" s="252" t="s">
        <v>110</v>
      </c>
      <c r="I446" s="252" t="s">
        <v>1421</v>
      </c>
      <c r="J446" s="252" t="s">
        <v>1422</v>
      </c>
      <c r="K446" s="149" t="s">
        <v>80</v>
      </c>
      <c r="L446" s="252" t="s">
        <v>320</v>
      </c>
      <c r="M446" s="252" t="s">
        <v>154</v>
      </c>
      <c r="N446" s="252" t="s">
        <v>80</v>
      </c>
      <c r="O446" s="252" t="s">
        <v>155</v>
      </c>
      <c r="P446" s="252"/>
      <c r="Q446" s="307"/>
      <c r="R446" s="211">
        <v>0</v>
      </c>
      <c r="S446" s="212">
        <v>0</v>
      </c>
      <c r="T446" s="212">
        <v>0</v>
      </c>
      <c r="U446" s="212">
        <v>0</v>
      </c>
      <c r="V446" s="212">
        <v>0</v>
      </c>
      <c r="W446" s="212">
        <v>0</v>
      </c>
      <c r="X446" s="212">
        <v>0</v>
      </c>
      <c r="Y446" s="212">
        <v>0</v>
      </c>
      <c r="Z446" s="210">
        <v>0</v>
      </c>
      <c r="AA446" s="213">
        <v>0</v>
      </c>
      <c r="AB446" s="214">
        <v>0</v>
      </c>
      <c r="AC446" s="249">
        <v>1</v>
      </c>
      <c r="AD446" s="212">
        <v>0</v>
      </c>
      <c r="AE446" s="212">
        <v>0</v>
      </c>
      <c r="AF446" s="212">
        <v>0</v>
      </c>
      <c r="AG446" s="212">
        <v>0</v>
      </c>
      <c r="AH446" s="212">
        <v>0</v>
      </c>
      <c r="AI446" s="212">
        <v>0</v>
      </c>
      <c r="AJ446" s="212">
        <v>0</v>
      </c>
      <c r="AK446" s="213">
        <v>0</v>
      </c>
      <c r="AL446" s="215">
        <f t="shared" si="14"/>
        <v>1</v>
      </c>
      <c r="AM446" s="216">
        <f>0</f>
        <v>0</v>
      </c>
      <c r="AN446" s="217">
        <f t="shared" si="15"/>
        <v>1</v>
      </c>
      <c r="AO446" s="251">
        <v>45099</v>
      </c>
      <c r="AP446" s="151" t="s">
        <v>273</v>
      </c>
      <c r="AQ446" s="153" t="s">
        <v>1655</v>
      </c>
      <c r="AR446" s="219" t="s">
        <v>148</v>
      </c>
      <c r="AS446" s="159"/>
      <c r="AT446" s="153"/>
      <c r="AU446" s="154"/>
      <c r="AV446" s="154"/>
      <c r="AW446" s="154"/>
      <c r="AX446" s="155"/>
      <c r="AY446" s="156"/>
      <c r="AZ446" s="157"/>
      <c r="BA446" s="81"/>
      <c r="BB446" s="81"/>
      <c r="BC446" s="81"/>
    </row>
    <row r="447" spans="1:55" ht="28" customHeight="1" x14ac:dyDescent="0.25">
      <c r="A447" s="173">
        <v>442</v>
      </c>
      <c r="B447" s="147">
        <v>45099</v>
      </c>
      <c r="C447" s="77" t="s">
        <v>134</v>
      </c>
      <c r="D447" s="77" t="s">
        <v>135</v>
      </c>
      <c r="E447" s="77" t="s">
        <v>136</v>
      </c>
      <c r="F447" s="152" t="s">
        <v>1446</v>
      </c>
      <c r="G447" s="252" t="s">
        <v>1423</v>
      </c>
      <c r="H447" s="252" t="s">
        <v>110</v>
      </c>
      <c r="I447" s="252" t="s">
        <v>1424</v>
      </c>
      <c r="J447" s="252" t="s">
        <v>1425</v>
      </c>
      <c r="K447" s="149" t="s">
        <v>1426</v>
      </c>
      <c r="L447" s="252" t="s">
        <v>1175</v>
      </c>
      <c r="M447" s="252" t="s">
        <v>154</v>
      </c>
      <c r="N447" s="252" t="s">
        <v>578</v>
      </c>
      <c r="O447" s="252" t="s">
        <v>149</v>
      </c>
      <c r="P447" s="252"/>
      <c r="Q447" s="307"/>
      <c r="R447" s="211">
        <v>0</v>
      </c>
      <c r="S447" s="212">
        <v>0</v>
      </c>
      <c r="T447" s="212">
        <v>0</v>
      </c>
      <c r="U447" s="212">
        <v>0</v>
      </c>
      <c r="V447" s="212">
        <v>0</v>
      </c>
      <c r="W447" s="212">
        <v>0</v>
      </c>
      <c r="X447" s="212">
        <v>0</v>
      </c>
      <c r="Y447" s="212">
        <v>0</v>
      </c>
      <c r="Z447" s="210">
        <v>0</v>
      </c>
      <c r="AA447" s="213">
        <v>0</v>
      </c>
      <c r="AB447" s="214">
        <v>0</v>
      </c>
      <c r="AC447" s="249">
        <v>2</v>
      </c>
      <c r="AD447" s="212">
        <v>0</v>
      </c>
      <c r="AE447" s="212">
        <v>0</v>
      </c>
      <c r="AF447" s="212">
        <v>0</v>
      </c>
      <c r="AG447" s="212">
        <v>0</v>
      </c>
      <c r="AH447" s="212">
        <v>0</v>
      </c>
      <c r="AI447" s="212">
        <v>0</v>
      </c>
      <c r="AJ447" s="212">
        <v>0</v>
      </c>
      <c r="AK447" s="213">
        <v>0</v>
      </c>
      <c r="AL447" s="215">
        <f t="shared" si="14"/>
        <v>2</v>
      </c>
      <c r="AM447" s="216">
        <f>0</f>
        <v>0</v>
      </c>
      <c r="AN447" s="217">
        <f t="shared" si="15"/>
        <v>2</v>
      </c>
      <c r="AO447" s="251">
        <v>45099</v>
      </c>
      <c r="AP447" s="151" t="s">
        <v>273</v>
      </c>
      <c r="AQ447" s="153" t="s">
        <v>1655</v>
      </c>
      <c r="AR447" s="219" t="s">
        <v>148</v>
      </c>
      <c r="AS447" s="159"/>
      <c r="AT447" s="153"/>
      <c r="AU447" s="154"/>
      <c r="AV447" s="154"/>
      <c r="AW447" s="154"/>
      <c r="AX447" s="155"/>
      <c r="AY447" s="156"/>
      <c r="AZ447" s="157"/>
      <c r="BA447" s="81"/>
      <c r="BB447" s="81"/>
      <c r="BC447" s="81"/>
    </row>
    <row r="448" spans="1:55" ht="28" customHeight="1" x14ac:dyDescent="0.25">
      <c r="A448" s="173">
        <v>443</v>
      </c>
      <c r="B448" s="147">
        <v>45099</v>
      </c>
      <c r="C448" s="77" t="s">
        <v>134</v>
      </c>
      <c r="D448" s="77" t="s">
        <v>135</v>
      </c>
      <c r="E448" s="77" t="s">
        <v>136</v>
      </c>
      <c r="F448" s="152" t="s">
        <v>1446</v>
      </c>
      <c r="G448" s="252" t="s">
        <v>1427</v>
      </c>
      <c r="H448" s="252" t="s">
        <v>110</v>
      </c>
      <c r="I448" s="252" t="s">
        <v>1424</v>
      </c>
      <c r="J448" s="252" t="s">
        <v>1428</v>
      </c>
      <c r="K448" s="149" t="s">
        <v>1426</v>
      </c>
      <c r="L448" s="252" t="s">
        <v>1175</v>
      </c>
      <c r="M448" s="252" t="s">
        <v>154</v>
      </c>
      <c r="N448" s="252" t="s">
        <v>578</v>
      </c>
      <c r="O448" s="252" t="s">
        <v>149</v>
      </c>
      <c r="P448" s="252"/>
      <c r="Q448" s="307"/>
      <c r="R448" s="211">
        <v>0</v>
      </c>
      <c r="S448" s="212">
        <v>0</v>
      </c>
      <c r="T448" s="212">
        <v>0</v>
      </c>
      <c r="U448" s="212">
        <v>0</v>
      </c>
      <c r="V448" s="212">
        <v>0</v>
      </c>
      <c r="W448" s="212">
        <v>0</v>
      </c>
      <c r="X448" s="212">
        <v>0</v>
      </c>
      <c r="Y448" s="212">
        <v>0</v>
      </c>
      <c r="Z448" s="210">
        <v>0</v>
      </c>
      <c r="AA448" s="213">
        <v>0</v>
      </c>
      <c r="AB448" s="214">
        <v>0</v>
      </c>
      <c r="AC448" s="249">
        <v>2</v>
      </c>
      <c r="AD448" s="212">
        <v>0</v>
      </c>
      <c r="AE448" s="212">
        <v>0</v>
      </c>
      <c r="AF448" s="212">
        <v>0</v>
      </c>
      <c r="AG448" s="212">
        <v>0</v>
      </c>
      <c r="AH448" s="212">
        <v>0</v>
      </c>
      <c r="AI448" s="212">
        <v>0</v>
      </c>
      <c r="AJ448" s="212">
        <v>0</v>
      </c>
      <c r="AK448" s="213">
        <v>0</v>
      </c>
      <c r="AL448" s="215">
        <f t="shared" si="14"/>
        <v>2</v>
      </c>
      <c r="AM448" s="216">
        <f>0</f>
        <v>0</v>
      </c>
      <c r="AN448" s="217">
        <f t="shared" si="15"/>
        <v>2</v>
      </c>
      <c r="AO448" s="251">
        <v>45099</v>
      </c>
      <c r="AP448" s="151" t="s">
        <v>273</v>
      </c>
      <c r="AQ448" s="153" t="s">
        <v>1655</v>
      </c>
      <c r="AR448" s="219" t="s">
        <v>148</v>
      </c>
      <c r="AS448" s="159"/>
      <c r="AT448" s="153"/>
      <c r="AU448" s="154"/>
      <c r="AV448" s="154"/>
      <c r="AW448" s="154"/>
      <c r="AX448" s="155"/>
      <c r="AY448" s="156"/>
      <c r="AZ448" s="157"/>
      <c r="BA448" s="81"/>
      <c r="BB448" s="81"/>
      <c r="BC448" s="81"/>
    </row>
    <row r="449" spans="1:55" ht="28" customHeight="1" x14ac:dyDescent="0.25">
      <c r="A449" s="173">
        <v>444</v>
      </c>
      <c r="B449" s="147">
        <v>45099</v>
      </c>
      <c r="C449" s="79"/>
      <c r="D449" s="79"/>
      <c r="E449" s="85" t="s">
        <v>136</v>
      </c>
      <c r="F449" s="152" t="s">
        <v>1446</v>
      </c>
      <c r="G449" s="252" t="s">
        <v>1429</v>
      </c>
      <c r="H449" s="252" t="s">
        <v>110</v>
      </c>
      <c r="I449" s="252" t="s">
        <v>1430</v>
      </c>
      <c r="J449" s="252" t="s">
        <v>1431</v>
      </c>
      <c r="K449" s="149" t="s">
        <v>80</v>
      </c>
      <c r="L449" s="252" t="s">
        <v>1432</v>
      </c>
      <c r="M449" s="252" t="s">
        <v>154</v>
      </c>
      <c r="N449" s="252" t="s">
        <v>80</v>
      </c>
      <c r="O449" s="252" t="s">
        <v>80</v>
      </c>
      <c r="P449" s="252"/>
      <c r="Q449" s="307"/>
      <c r="R449" s="211">
        <v>0</v>
      </c>
      <c r="S449" s="212">
        <v>0</v>
      </c>
      <c r="T449" s="212">
        <v>0</v>
      </c>
      <c r="U449" s="212">
        <v>0</v>
      </c>
      <c r="V449" s="212">
        <v>0</v>
      </c>
      <c r="W449" s="212">
        <v>0</v>
      </c>
      <c r="X449" s="212">
        <v>0</v>
      </c>
      <c r="Y449" s="212">
        <v>0</v>
      </c>
      <c r="Z449" s="210">
        <v>0</v>
      </c>
      <c r="AA449" s="213">
        <v>0</v>
      </c>
      <c r="AB449" s="214">
        <v>0</v>
      </c>
      <c r="AC449" s="249">
        <v>1</v>
      </c>
      <c r="AD449" s="212">
        <v>0</v>
      </c>
      <c r="AE449" s="212">
        <v>0</v>
      </c>
      <c r="AF449" s="212">
        <v>0</v>
      </c>
      <c r="AG449" s="212">
        <v>0</v>
      </c>
      <c r="AH449" s="212">
        <v>0</v>
      </c>
      <c r="AI449" s="212">
        <v>0</v>
      </c>
      <c r="AJ449" s="212">
        <v>0</v>
      </c>
      <c r="AK449" s="213">
        <v>0</v>
      </c>
      <c r="AL449" s="215">
        <f t="shared" si="14"/>
        <v>1</v>
      </c>
      <c r="AM449" s="216">
        <f>0</f>
        <v>0</v>
      </c>
      <c r="AN449" s="217">
        <f t="shared" si="15"/>
        <v>1</v>
      </c>
      <c r="AO449" s="251">
        <v>45099</v>
      </c>
      <c r="AP449" s="151" t="s">
        <v>273</v>
      </c>
      <c r="AQ449" s="153" t="s">
        <v>1655</v>
      </c>
      <c r="AR449" s="219" t="s">
        <v>148</v>
      </c>
      <c r="AS449" s="159"/>
      <c r="AT449" s="153"/>
      <c r="AU449" s="154"/>
      <c r="AV449" s="154"/>
      <c r="AW449" s="154"/>
      <c r="AX449" s="155"/>
      <c r="AY449" s="156"/>
      <c r="AZ449" s="157"/>
      <c r="BA449" s="81"/>
      <c r="BB449" s="81"/>
      <c r="BC449" s="81"/>
    </row>
    <row r="450" spans="1:55" ht="28" customHeight="1" x14ac:dyDescent="0.25">
      <c r="A450" s="173">
        <v>445</v>
      </c>
      <c r="B450" s="147">
        <v>45099</v>
      </c>
      <c r="C450" s="77" t="s">
        <v>134</v>
      </c>
      <c r="D450" s="77" t="s">
        <v>135</v>
      </c>
      <c r="E450" s="77" t="s">
        <v>136</v>
      </c>
      <c r="F450" s="152" t="s">
        <v>1446</v>
      </c>
      <c r="G450" s="252" t="s">
        <v>1433</v>
      </c>
      <c r="H450" s="252" t="s">
        <v>110</v>
      </c>
      <c r="I450" s="252" t="s">
        <v>1430</v>
      </c>
      <c r="J450" s="252" t="s">
        <v>1434</v>
      </c>
      <c r="K450" s="149" t="s">
        <v>80</v>
      </c>
      <c r="L450" s="252" t="s">
        <v>1432</v>
      </c>
      <c r="M450" s="252" t="s">
        <v>154</v>
      </c>
      <c r="N450" s="252" t="s">
        <v>80</v>
      </c>
      <c r="O450" s="252" t="s">
        <v>80</v>
      </c>
      <c r="P450" s="252"/>
      <c r="Q450" s="307"/>
      <c r="R450" s="211">
        <v>0</v>
      </c>
      <c r="S450" s="212">
        <v>0</v>
      </c>
      <c r="T450" s="212">
        <v>0</v>
      </c>
      <c r="U450" s="212">
        <v>0</v>
      </c>
      <c r="V450" s="212">
        <v>0</v>
      </c>
      <c r="W450" s="212">
        <v>0</v>
      </c>
      <c r="X450" s="212">
        <v>0</v>
      </c>
      <c r="Y450" s="212">
        <v>0</v>
      </c>
      <c r="Z450" s="210">
        <v>0</v>
      </c>
      <c r="AA450" s="213">
        <v>0</v>
      </c>
      <c r="AB450" s="214">
        <v>0</v>
      </c>
      <c r="AC450" s="249">
        <v>1</v>
      </c>
      <c r="AD450" s="212">
        <v>0</v>
      </c>
      <c r="AE450" s="212">
        <v>0</v>
      </c>
      <c r="AF450" s="212">
        <v>0</v>
      </c>
      <c r="AG450" s="212">
        <v>0</v>
      </c>
      <c r="AH450" s="212">
        <v>0</v>
      </c>
      <c r="AI450" s="212">
        <v>0</v>
      </c>
      <c r="AJ450" s="212">
        <v>0</v>
      </c>
      <c r="AK450" s="213">
        <v>0</v>
      </c>
      <c r="AL450" s="215">
        <f t="shared" si="14"/>
        <v>1</v>
      </c>
      <c r="AM450" s="216">
        <f>0</f>
        <v>0</v>
      </c>
      <c r="AN450" s="217">
        <f t="shared" si="15"/>
        <v>1</v>
      </c>
      <c r="AO450" s="251">
        <v>45099</v>
      </c>
      <c r="AP450" s="151" t="s">
        <v>273</v>
      </c>
      <c r="AQ450" s="153" t="s">
        <v>1655</v>
      </c>
      <c r="AR450" s="219" t="s">
        <v>148</v>
      </c>
      <c r="AS450" s="159"/>
      <c r="AT450" s="153"/>
      <c r="AU450" s="154"/>
      <c r="AV450" s="154"/>
      <c r="AW450" s="154"/>
      <c r="AX450" s="155"/>
      <c r="AY450" s="156"/>
      <c r="AZ450" s="157"/>
      <c r="BA450" s="81"/>
      <c r="BB450" s="81"/>
      <c r="BC450" s="81"/>
    </row>
    <row r="451" spans="1:55" ht="28" customHeight="1" x14ac:dyDescent="0.25">
      <c r="A451" s="173">
        <v>446</v>
      </c>
      <c r="B451" s="147">
        <v>45099</v>
      </c>
      <c r="C451" s="79"/>
      <c r="D451" s="79"/>
      <c r="E451" s="85" t="s">
        <v>136</v>
      </c>
      <c r="F451" s="152" t="s">
        <v>1446</v>
      </c>
      <c r="G451" s="252" t="s">
        <v>1435</v>
      </c>
      <c r="H451" s="252" t="s">
        <v>110</v>
      </c>
      <c r="I451" s="252" t="s">
        <v>1436</v>
      </c>
      <c r="J451" s="252" t="s">
        <v>1437</v>
      </c>
      <c r="K451" s="149" t="s">
        <v>80</v>
      </c>
      <c r="L451" s="252" t="s">
        <v>790</v>
      </c>
      <c r="M451" s="252" t="s">
        <v>114</v>
      </c>
      <c r="N451" s="252" t="s">
        <v>80</v>
      </c>
      <c r="O451" s="252" t="s">
        <v>1313</v>
      </c>
      <c r="P451" s="252"/>
      <c r="Q451" s="307"/>
      <c r="R451" s="211">
        <v>0</v>
      </c>
      <c r="S451" s="212">
        <v>0</v>
      </c>
      <c r="T451" s="212">
        <v>0</v>
      </c>
      <c r="U451" s="212">
        <v>0</v>
      </c>
      <c r="V451" s="212">
        <v>0</v>
      </c>
      <c r="W451" s="212">
        <v>0</v>
      </c>
      <c r="X451" s="212">
        <v>0</v>
      </c>
      <c r="Y451" s="212">
        <v>0</v>
      </c>
      <c r="Z451" s="210">
        <v>0</v>
      </c>
      <c r="AA451" s="213">
        <v>0</v>
      </c>
      <c r="AB451" s="214">
        <v>0</v>
      </c>
      <c r="AC451" s="249">
        <v>1</v>
      </c>
      <c r="AD451" s="212">
        <v>0</v>
      </c>
      <c r="AE451" s="212">
        <v>0</v>
      </c>
      <c r="AF451" s="212">
        <v>0</v>
      </c>
      <c r="AG451" s="212">
        <v>0</v>
      </c>
      <c r="AH451" s="212">
        <v>0</v>
      </c>
      <c r="AI451" s="212">
        <v>0</v>
      </c>
      <c r="AJ451" s="212">
        <v>0</v>
      </c>
      <c r="AK451" s="213">
        <v>0</v>
      </c>
      <c r="AL451" s="215">
        <f t="shared" si="14"/>
        <v>1</v>
      </c>
      <c r="AM451" s="216">
        <f>0</f>
        <v>0</v>
      </c>
      <c r="AN451" s="217">
        <f t="shared" si="15"/>
        <v>1</v>
      </c>
      <c r="AO451" s="251">
        <v>45099</v>
      </c>
      <c r="AP451" s="223" t="s">
        <v>273</v>
      </c>
      <c r="AQ451" s="153" t="s">
        <v>1656</v>
      </c>
      <c r="AR451" s="219" t="s">
        <v>276</v>
      </c>
      <c r="AS451" s="159"/>
      <c r="AT451" s="153"/>
      <c r="AU451" s="154"/>
      <c r="AV451" s="154"/>
      <c r="AW451" s="154"/>
      <c r="AX451" s="155"/>
      <c r="AY451" s="156"/>
      <c r="AZ451" s="157"/>
      <c r="BA451" s="81"/>
      <c r="BB451" s="81"/>
      <c r="BC451" s="81"/>
    </row>
    <row r="452" spans="1:55" ht="28" customHeight="1" x14ac:dyDescent="0.25">
      <c r="A452" s="173">
        <v>447</v>
      </c>
      <c r="B452" s="147">
        <v>45099</v>
      </c>
      <c r="C452" s="77" t="s">
        <v>134</v>
      </c>
      <c r="D452" s="77" t="s">
        <v>135</v>
      </c>
      <c r="E452" s="77" t="s">
        <v>136</v>
      </c>
      <c r="F452" s="152" t="s">
        <v>1446</v>
      </c>
      <c r="G452" s="252" t="s">
        <v>1438</v>
      </c>
      <c r="H452" s="252" t="s">
        <v>110</v>
      </c>
      <c r="I452" s="252" t="s">
        <v>1436</v>
      </c>
      <c r="J452" s="252" t="s">
        <v>1439</v>
      </c>
      <c r="K452" s="149" t="s">
        <v>80</v>
      </c>
      <c r="L452" s="252" t="s">
        <v>790</v>
      </c>
      <c r="M452" s="252" t="s">
        <v>114</v>
      </c>
      <c r="N452" s="252" t="s">
        <v>80</v>
      </c>
      <c r="O452" s="252" t="s">
        <v>1313</v>
      </c>
      <c r="P452" s="252"/>
      <c r="Q452" s="307"/>
      <c r="R452" s="211">
        <v>0</v>
      </c>
      <c r="S452" s="212">
        <v>0</v>
      </c>
      <c r="T452" s="212">
        <v>0</v>
      </c>
      <c r="U452" s="212">
        <v>0</v>
      </c>
      <c r="V452" s="212">
        <v>0</v>
      </c>
      <c r="W452" s="212">
        <v>0</v>
      </c>
      <c r="X452" s="212">
        <v>0</v>
      </c>
      <c r="Y452" s="212">
        <v>0</v>
      </c>
      <c r="Z452" s="210">
        <v>0</v>
      </c>
      <c r="AA452" s="213">
        <v>0</v>
      </c>
      <c r="AB452" s="214">
        <v>0</v>
      </c>
      <c r="AC452" s="249">
        <v>1</v>
      </c>
      <c r="AD452" s="212">
        <v>0</v>
      </c>
      <c r="AE452" s="212">
        <v>0</v>
      </c>
      <c r="AF452" s="212">
        <v>0</v>
      </c>
      <c r="AG452" s="212">
        <v>0</v>
      </c>
      <c r="AH452" s="212">
        <v>0</v>
      </c>
      <c r="AI452" s="212">
        <v>0</v>
      </c>
      <c r="AJ452" s="212">
        <v>0</v>
      </c>
      <c r="AK452" s="213">
        <v>0</v>
      </c>
      <c r="AL452" s="215">
        <f t="shared" si="14"/>
        <v>1</v>
      </c>
      <c r="AM452" s="216">
        <f>0</f>
        <v>0</v>
      </c>
      <c r="AN452" s="217">
        <f t="shared" si="15"/>
        <v>1</v>
      </c>
      <c r="AO452" s="251">
        <v>45099</v>
      </c>
      <c r="AP452" s="223" t="s">
        <v>273</v>
      </c>
      <c r="AQ452" s="153" t="s">
        <v>1656</v>
      </c>
      <c r="AR452" s="219" t="s">
        <v>276</v>
      </c>
      <c r="AS452" s="159"/>
      <c r="AT452" s="153"/>
      <c r="AU452" s="154"/>
      <c r="AV452" s="154"/>
      <c r="AW452" s="154"/>
      <c r="AX452" s="155"/>
      <c r="AY452" s="156"/>
      <c r="AZ452" s="157"/>
      <c r="BA452" s="81"/>
      <c r="BB452" s="81"/>
      <c r="BC452" s="81"/>
    </row>
    <row r="453" spans="1:55" ht="28" customHeight="1" x14ac:dyDescent="0.25">
      <c r="A453" s="173">
        <v>448</v>
      </c>
      <c r="B453" s="147">
        <v>45099</v>
      </c>
      <c r="C453" s="77" t="s">
        <v>134</v>
      </c>
      <c r="D453" s="77" t="s">
        <v>135</v>
      </c>
      <c r="E453" s="77" t="s">
        <v>136</v>
      </c>
      <c r="F453" s="152" t="s">
        <v>1446</v>
      </c>
      <c r="G453" s="252" t="s">
        <v>1440</v>
      </c>
      <c r="H453" s="252" t="s">
        <v>110</v>
      </c>
      <c r="I453" s="252" t="s">
        <v>1441</v>
      </c>
      <c r="J453" s="252" t="s">
        <v>1442</v>
      </c>
      <c r="K453" s="149" t="s">
        <v>80</v>
      </c>
      <c r="L453" s="252" t="s">
        <v>790</v>
      </c>
      <c r="M453" s="252" t="s">
        <v>114</v>
      </c>
      <c r="N453" s="252" t="s">
        <v>80</v>
      </c>
      <c r="O453" s="252" t="s">
        <v>1313</v>
      </c>
      <c r="P453" s="252"/>
      <c r="Q453" s="307"/>
      <c r="R453" s="211">
        <v>0</v>
      </c>
      <c r="S453" s="212">
        <v>0</v>
      </c>
      <c r="T453" s="212">
        <v>0</v>
      </c>
      <c r="U453" s="212">
        <v>0</v>
      </c>
      <c r="V453" s="212">
        <v>0</v>
      </c>
      <c r="W453" s="212">
        <v>0</v>
      </c>
      <c r="X453" s="212">
        <v>0</v>
      </c>
      <c r="Y453" s="212">
        <v>0</v>
      </c>
      <c r="Z453" s="210">
        <v>0</v>
      </c>
      <c r="AA453" s="213">
        <v>0</v>
      </c>
      <c r="AB453" s="214">
        <v>0</v>
      </c>
      <c r="AC453" s="249">
        <v>1</v>
      </c>
      <c r="AD453" s="212">
        <v>0</v>
      </c>
      <c r="AE453" s="212">
        <v>0</v>
      </c>
      <c r="AF453" s="212">
        <v>0</v>
      </c>
      <c r="AG453" s="212">
        <v>0</v>
      </c>
      <c r="AH453" s="212">
        <v>0</v>
      </c>
      <c r="AI453" s="212">
        <v>0</v>
      </c>
      <c r="AJ453" s="212">
        <v>0</v>
      </c>
      <c r="AK453" s="213">
        <v>0</v>
      </c>
      <c r="AL453" s="215">
        <f t="shared" si="14"/>
        <v>1</v>
      </c>
      <c r="AM453" s="216">
        <f>0</f>
        <v>0</v>
      </c>
      <c r="AN453" s="217">
        <f t="shared" si="15"/>
        <v>1</v>
      </c>
      <c r="AO453" s="251">
        <v>45099</v>
      </c>
      <c r="AP453" s="223" t="s">
        <v>273</v>
      </c>
      <c r="AQ453" s="153" t="s">
        <v>1656</v>
      </c>
      <c r="AR453" s="219" t="s">
        <v>276</v>
      </c>
      <c r="AS453" s="159"/>
      <c r="AT453" s="153"/>
      <c r="AU453" s="154"/>
      <c r="AV453" s="154"/>
      <c r="AW453" s="154"/>
      <c r="AX453" s="155"/>
      <c r="AY453" s="156"/>
      <c r="AZ453" s="157"/>
      <c r="BA453" s="81"/>
      <c r="BB453" s="81"/>
      <c r="BC453" s="81"/>
    </row>
    <row r="454" spans="1:55" ht="28" customHeight="1" x14ac:dyDescent="0.25">
      <c r="A454" s="173">
        <v>449</v>
      </c>
      <c r="B454" s="147">
        <v>45099</v>
      </c>
      <c r="C454" s="77" t="s">
        <v>134</v>
      </c>
      <c r="D454" s="77" t="s">
        <v>135</v>
      </c>
      <c r="E454" s="77" t="s">
        <v>136</v>
      </c>
      <c r="F454" s="152" t="s">
        <v>1446</v>
      </c>
      <c r="G454" s="252" t="s">
        <v>1443</v>
      </c>
      <c r="H454" s="252" t="s">
        <v>110</v>
      </c>
      <c r="I454" s="252" t="s">
        <v>1444</v>
      </c>
      <c r="J454" s="252" t="s">
        <v>1445</v>
      </c>
      <c r="K454" s="149" t="s">
        <v>80</v>
      </c>
      <c r="L454" s="252" t="s">
        <v>790</v>
      </c>
      <c r="M454" s="252" t="s">
        <v>114</v>
      </c>
      <c r="N454" s="252" t="s">
        <v>80</v>
      </c>
      <c r="O454" s="252" t="s">
        <v>1313</v>
      </c>
      <c r="P454" s="252"/>
      <c r="Q454" s="307"/>
      <c r="R454" s="211">
        <v>0</v>
      </c>
      <c r="S454" s="212">
        <v>0</v>
      </c>
      <c r="T454" s="212">
        <v>0</v>
      </c>
      <c r="U454" s="212">
        <v>0</v>
      </c>
      <c r="V454" s="212">
        <v>0</v>
      </c>
      <c r="W454" s="212">
        <v>0</v>
      </c>
      <c r="X454" s="212">
        <v>0</v>
      </c>
      <c r="Y454" s="212">
        <v>0</v>
      </c>
      <c r="Z454" s="210">
        <v>0</v>
      </c>
      <c r="AA454" s="213">
        <v>0</v>
      </c>
      <c r="AB454" s="214">
        <v>0</v>
      </c>
      <c r="AC454" s="249">
        <v>1</v>
      </c>
      <c r="AD454" s="212">
        <v>0</v>
      </c>
      <c r="AE454" s="212">
        <v>0</v>
      </c>
      <c r="AF454" s="212">
        <v>0</v>
      </c>
      <c r="AG454" s="212">
        <v>0</v>
      </c>
      <c r="AH454" s="212">
        <v>0</v>
      </c>
      <c r="AI454" s="212">
        <v>0</v>
      </c>
      <c r="AJ454" s="212">
        <v>0</v>
      </c>
      <c r="AK454" s="213">
        <v>0</v>
      </c>
      <c r="AL454" s="215">
        <f t="shared" si="14"/>
        <v>1</v>
      </c>
      <c r="AM454" s="216">
        <f>0</f>
        <v>0</v>
      </c>
      <c r="AN454" s="217">
        <f t="shared" si="15"/>
        <v>1</v>
      </c>
      <c r="AO454" s="251">
        <v>45099</v>
      </c>
      <c r="AP454" s="223" t="s">
        <v>273</v>
      </c>
      <c r="AQ454" s="153" t="s">
        <v>1656</v>
      </c>
      <c r="AR454" s="219" t="s">
        <v>276</v>
      </c>
      <c r="AS454" s="159"/>
      <c r="AT454" s="153"/>
      <c r="AU454" s="154"/>
      <c r="AV454" s="154"/>
      <c r="AW454" s="154"/>
      <c r="AX454" s="155"/>
      <c r="AY454" s="156"/>
      <c r="AZ454" s="157"/>
      <c r="BA454" s="81"/>
      <c r="BB454" s="81"/>
      <c r="BC454" s="81"/>
    </row>
    <row r="455" spans="1:55" ht="28" customHeight="1" x14ac:dyDescent="0.25">
      <c r="A455" s="173">
        <v>450</v>
      </c>
      <c r="B455" s="147">
        <v>45099</v>
      </c>
      <c r="C455" s="77" t="s">
        <v>134</v>
      </c>
      <c r="D455" s="77" t="s">
        <v>135</v>
      </c>
      <c r="E455" s="77" t="s">
        <v>136</v>
      </c>
      <c r="F455" s="152" t="s">
        <v>1446</v>
      </c>
      <c r="G455" s="252" t="s">
        <v>1448</v>
      </c>
      <c r="H455" s="252" t="s">
        <v>110</v>
      </c>
      <c r="I455" s="252" t="s">
        <v>1449</v>
      </c>
      <c r="J455" s="252" t="s">
        <v>1450</v>
      </c>
      <c r="K455" s="149"/>
      <c r="L455" s="252" t="s">
        <v>193</v>
      </c>
      <c r="M455" s="252" t="s">
        <v>154</v>
      </c>
      <c r="N455" s="252" t="s">
        <v>578</v>
      </c>
      <c r="O455" s="252" t="s">
        <v>149</v>
      </c>
      <c r="P455" s="152"/>
      <c r="Q455" s="307"/>
      <c r="R455" s="211">
        <v>0</v>
      </c>
      <c r="S455" s="212">
        <v>0</v>
      </c>
      <c r="T455" s="212">
        <v>0</v>
      </c>
      <c r="U455" s="212">
        <v>0</v>
      </c>
      <c r="V455" s="212">
        <v>0</v>
      </c>
      <c r="W455" s="212">
        <v>0</v>
      </c>
      <c r="X455" s="212">
        <v>0</v>
      </c>
      <c r="Y455" s="212">
        <v>0</v>
      </c>
      <c r="Z455" s="210">
        <v>0</v>
      </c>
      <c r="AA455" s="213">
        <v>0</v>
      </c>
      <c r="AB455" s="214">
        <v>0</v>
      </c>
      <c r="AC455" s="249">
        <v>1</v>
      </c>
      <c r="AD455" s="212">
        <v>0</v>
      </c>
      <c r="AE455" s="212">
        <v>0</v>
      </c>
      <c r="AF455" s="212">
        <v>0</v>
      </c>
      <c r="AG455" s="212">
        <v>0</v>
      </c>
      <c r="AH455" s="212">
        <v>0</v>
      </c>
      <c r="AI455" s="212">
        <v>0</v>
      </c>
      <c r="AJ455" s="212">
        <v>0</v>
      </c>
      <c r="AK455" s="213">
        <v>0</v>
      </c>
      <c r="AL455" s="215">
        <f t="shared" si="14"/>
        <v>1</v>
      </c>
      <c r="AM455" s="216">
        <f>0</f>
        <v>0</v>
      </c>
      <c r="AN455" s="217">
        <f t="shared" si="15"/>
        <v>1</v>
      </c>
      <c r="AO455" s="251">
        <v>45103</v>
      </c>
      <c r="AP455" s="260" t="s">
        <v>273</v>
      </c>
      <c r="AQ455" s="153" t="s">
        <v>1657</v>
      </c>
      <c r="AR455" s="219" t="s">
        <v>669</v>
      </c>
      <c r="AS455" s="159"/>
      <c r="AT455" s="99"/>
      <c r="AU455" s="154"/>
      <c r="AV455" s="154"/>
      <c r="AW455" s="154"/>
      <c r="AX455" s="155"/>
      <c r="AY455" s="156"/>
      <c r="AZ455" s="157"/>
      <c r="BA455" s="81"/>
      <c r="BB455" s="81"/>
      <c r="BC455" s="81"/>
    </row>
    <row r="456" spans="1:55" ht="28" customHeight="1" x14ac:dyDescent="0.25">
      <c r="A456" s="173">
        <v>451</v>
      </c>
      <c r="B456" s="147">
        <v>45099</v>
      </c>
      <c r="C456" s="77" t="s">
        <v>134</v>
      </c>
      <c r="D456" s="77" t="s">
        <v>135</v>
      </c>
      <c r="E456" s="77" t="s">
        <v>136</v>
      </c>
      <c r="F456" s="152" t="s">
        <v>1446</v>
      </c>
      <c r="G456" s="252" t="s">
        <v>1451</v>
      </c>
      <c r="H456" s="252" t="s">
        <v>110</v>
      </c>
      <c r="I456" s="252" t="s">
        <v>1452</v>
      </c>
      <c r="J456" s="252" t="s">
        <v>1453</v>
      </c>
      <c r="K456" s="149"/>
      <c r="L456" s="252" t="s">
        <v>193</v>
      </c>
      <c r="M456" s="252" t="s">
        <v>154</v>
      </c>
      <c r="N456" s="252" t="s">
        <v>214</v>
      </c>
      <c r="O456" s="252" t="s">
        <v>149</v>
      </c>
      <c r="P456" s="152"/>
      <c r="Q456" s="307"/>
      <c r="R456" s="211">
        <v>0</v>
      </c>
      <c r="S456" s="212">
        <v>0</v>
      </c>
      <c r="T456" s="212">
        <v>0</v>
      </c>
      <c r="U456" s="212">
        <v>0</v>
      </c>
      <c r="V456" s="212">
        <v>0</v>
      </c>
      <c r="W456" s="212">
        <v>0</v>
      </c>
      <c r="X456" s="212">
        <v>0</v>
      </c>
      <c r="Y456" s="212">
        <v>0</v>
      </c>
      <c r="Z456" s="210">
        <v>0</v>
      </c>
      <c r="AA456" s="213">
        <v>0</v>
      </c>
      <c r="AB456" s="214">
        <v>0</v>
      </c>
      <c r="AC456" s="249">
        <v>1</v>
      </c>
      <c r="AD456" s="212">
        <v>0</v>
      </c>
      <c r="AE456" s="212">
        <v>0</v>
      </c>
      <c r="AF456" s="212">
        <v>0</v>
      </c>
      <c r="AG456" s="212">
        <v>0</v>
      </c>
      <c r="AH456" s="212">
        <v>0</v>
      </c>
      <c r="AI456" s="212">
        <v>0</v>
      </c>
      <c r="AJ456" s="212">
        <v>0</v>
      </c>
      <c r="AK456" s="213">
        <v>0</v>
      </c>
      <c r="AL456" s="215">
        <f t="shared" si="14"/>
        <v>1</v>
      </c>
      <c r="AM456" s="216">
        <f>0</f>
        <v>0</v>
      </c>
      <c r="AN456" s="217">
        <f t="shared" si="15"/>
        <v>1</v>
      </c>
      <c r="AO456" s="251">
        <v>45099</v>
      </c>
      <c r="AP456" s="151" t="s">
        <v>273</v>
      </c>
      <c r="AQ456" s="153" t="s">
        <v>1655</v>
      </c>
      <c r="AR456" s="219" t="s">
        <v>148</v>
      </c>
      <c r="AS456" s="159"/>
      <c r="AT456" s="153"/>
      <c r="AU456" s="154"/>
      <c r="AV456" s="154"/>
      <c r="AW456" s="154"/>
      <c r="AX456" s="155"/>
      <c r="AY456" s="156"/>
      <c r="AZ456" s="157"/>
      <c r="BA456" s="81"/>
      <c r="BB456" s="81"/>
      <c r="BC456" s="81"/>
    </row>
    <row r="457" spans="1:55" ht="28" customHeight="1" x14ac:dyDescent="0.25">
      <c r="A457" s="173">
        <v>452</v>
      </c>
      <c r="B457" s="147">
        <v>45099</v>
      </c>
      <c r="C457" s="77" t="s">
        <v>134</v>
      </c>
      <c r="D457" s="77" t="s">
        <v>135</v>
      </c>
      <c r="E457" s="77" t="s">
        <v>136</v>
      </c>
      <c r="F457" s="152" t="s">
        <v>1446</v>
      </c>
      <c r="G457" s="252" t="s">
        <v>1454</v>
      </c>
      <c r="H457" s="252" t="s">
        <v>110</v>
      </c>
      <c r="I457" s="252" t="s">
        <v>1455</v>
      </c>
      <c r="J457" s="252" t="s">
        <v>1456</v>
      </c>
      <c r="K457" s="149"/>
      <c r="L457" s="252" t="s">
        <v>193</v>
      </c>
      <c r="M457" s="252" t="s">
        <v>154</v>
      </c>
      <c r="N457" s="252" t="s">
        <v>214</v>
      </c>
      <c r="O457" s="252" t="s">
        <v>149</v>
      </c>
      <c r="P457" s="152"/>
      <c r="Q457" s="307"/>
      <c r="R457" s="211">
        <v>0</v>
      </c>
      <c r="S457" s="212">
        <v>0</v>
      </c>
      <c r="T457" s="212">
        <v>0</v>
      </c>
      <c r="U457" s="212">
        <v>0</v>
      </c>
      <c r="V457" s="212">
        <v>0</v>
      </c>
      <c r="W457" s="212">
        <v>0</v>
      </c>
      <c r="X457" s="212">
        <v>0</v>
      </c>
      <c r="Y457" s="212">
        <v>0</v>
      </c>
      <c r="Z457" s="210">
        <v>0</v>
      </c>
      <c r="AA457" s="213">
        <v>0</v>
      </c>
      <c r="AB457" s="214">
        <v>0</v>
      </c>
      <c r="AC457" s="249">
        <v>1</v>
      </c>
      <c r="AD457" s="212">
        <v>0</v>
      </c>
      <c r="AE457" s="212">
        <v>0</v>
      </c>
      <c r="AF457" s="212">
        <v>0</v>
      </c>
      <c r="AG457" s="212">
        <v>0</v>
      </c>
      <c r="AH457" s="212">
        <v>0</v>
      </c>
      <c r="AI457" s="212">
        <v>0</v>
      </c>
      <c r="AJ457" s="212">
        <v>0</v>
      </c>
      <c r="AK457" s="213">
        <v>0</v>
      </c>
      <c r="AL457" s="215">
        <f t="shared" si="14"/>
        <v>1</v>
      </c>
      <c r="AM457" s="216">
        <f>0</f>
        <v>0</v>
      </c>
      <c r="AN457" s="217">
        <f t="shared" si="15"/>
        <v>1</v>
      </c>
      <c r="AO457" s="251">
        <v>45099</v>
      </c>
      <c r="AP457" s="151" t="s">
        <v>273</v>
      </c>
      <c r="AQ457" s="153" t="s">
        <v>1655</v>
      </c>
      <c r="AR457" s="219" t="s">
        <v>148</v>
      </c>
      <c r="AS457" s="159"/>
      <c r="AT457" s="153"/>
      <c r="AU457" s="154"/>
      <c r="AV457" s="154"/>
      <c r="AW457" s="154"/>
      <c r="AX457" s="155"/>
      <c r="AY457" s="156"/>
      <c r="AZ457" s="157"/>
      <c r="BA457" s="81"/>
      <c r="BB457" s="81"/>
      <c r="BC457" s="81"/>
    </row>
    <row r="458" spans="1:55" ht="28" customHeight="1" x14ac:dyDescent="0.25">
      <c r="A458" s="173">
        <v>453</v>
      </c>
      <c r="B458" s="147">
        <v>45099</v>
      </c>
      <c r="C458" s="77" t="s">
        <v>134</v>
      </c>
      <c r="D458" s="77" t="s">
        <v>135</v>
      </c>
      <c r="E458" s="77" t="s">
        <v>136</v>
      </c>
      <c r="F458" s="152" t="s">
        <v>1446</v>
      </c>
      <c r="G458" s="252" t="s">
        <v>1457</v>
      </c>
      <c r="H458" s="252" t="s">
        <v>110</v>
      </c>
      <c r="I458" s="252" t="s">
        <v>1458</v>
      </c>
      <c r="J458" s="252" t="s">
        <v>1459</v>
      </c>
      <c r="K458" s="149"/>
      <c r="L458" s="252" t="s">
        <v>193</v>
      </c>
      <c r="M458" s="252" t="s">
        <v>154</v>
      </c>
      <c r="N458" s="252" t="s">
        <v>214</v>
      </c>
      <c r="O458" s="252" t="s">
        <v>149</v>
      </c>
      <c r="P458" s="152"/>
      <c r="Q458" s="307"/>
      <c r="R458" s="211">
        <v>0</v>
      </c>
      <c r="S458" s="212">
        <v>0</v>
      </c>
      <c r="T458" s="212">
        <v>0</v>
      </c>
      <c r="U458" s="212">
        <v>0</v>
      </c>
      <c r="V458" s="212">
        <v>0</v>
      </c>
      <c r="W458" s="212">
        <v>0</v>
      </c>
      <c r="X458" s="212">
        <v>0</v>
      </c>
      <c r="Y458" s="212">
        <v>0</v>
      </c>
      <c r="Z458" s="210">
        <v>0</v>
      </c>
      <c r="AA458" s="213">
        <v>0</v>
      </c>
      <c r="AB458" s="214">
        <v>0</v>
      </c>
      <c r="AC458" s="249">
        <v>1</v>
      </c>
      <c r="AD458" s="212">
        <v>0</v>
      </c>
      <c r="AE458" s="212">
        <v>0</v>
      </c>
      <c r="AF458" s="212">
        <v>0</v>
      </c>
      <c r="AG458" s="212">
        <v>0</v>
      </c>
      <c r="AH458" s="212">
        <v>0</v>
      </c>
      <c r="AI458" s="212">
        <v>0</v>
      </c>
      <c r="AJ458" s="212">
        <v>0</v>
      </c>
      <c r="AK458" s="213">
        <v>0</v>
      </c>
      <c r="AL458" s="215">
        <f t="shared" si="14"/>
        <v>1</v>
      </c>
      <c r="AM458" s="216">
        <f>0</f>
        <v>0</v>
      </c>
      <c r="AN458" s="217">
        <f t="shared" si="15"/>
        <v>1</v>
      </c>
      <c r="AO458" s="251">
        <v>45099</v>
      </c>
      <c r="AP458" s="151" t="s">
        <v>273</v>
      </c>
      <c r="AQ458" s="153" t="s">
        <v>1655</v>
      </c>
      <c r="AR458" s="219" t="s">
        <v>148</v>
      </c>
      <c r="AS458" s="159"/>
      <c r="AT458" s="153"/>
      <c r="AU458" s="154"/>
      <c r="AV458" s="154"/>
      <c r="AW458" s="154"/>
      <c r="AX458" s="155"/>
      <c r="AY458" s="156"/>
      <c r="AZ458" s="157"/>
      <c r="BA458" s="81"/>
      <c r="BB458" s="81"/>
      <c r="BC458" s="81"/>
    </row>
    <row r="459" spans="1:55" ht="28" customHeight="1" x14ac:dyDescent="0.25">
      <c r="A459" s="173">
        <v>454</v>
      </c>
      <c r="B459" s="147">
        <v>45099</v>
      </c>
      <c r="C459" s="77" t="s">
        <v>134</v>
      </c>
      <c r="D459" s="77" t="s">
        <v>135</v>
      </c>
      <c r="E459" s="77" t="s">
        <v>136</v>
      </c>
      <c r="F459" s="152" t="s">
        <v>1446</v>
      </c>
      <c r="G459" s="252" t="s">
        <v>1460</v>
      </c>
      <c r="H459" s="252" t="s">
        <v>110</v>
      </c>
      <c r="I459" s="252" t="s">
        <v>1461</v>
      </c>
      <c r="J459" s="252" t="s">
        <v>1462</v>
      </c>
      <c r="K459" s="149"/>
      <c r="L459" s="252" t="s">
        <v>193</v>
      </c>
      <c r="M459" s="252" t="s">
        <v>154</v>
      </c>
      <c r="N459" s="252" t="s">
        <v>214</v>
      </c>
      <c r="O459" s="252" t="s">
        <v>149</v>
      </c>
      <c r="P459" s="152"/>
      <c r="Q459" s="307"/>
      <c r="R459" s="211">
        <v>0</v>
      </c>
      <c r="S459" s="212">
        <v>0</v>
      </c>
      <c r="T459" s="212">
        <v>0</v>
      </c>
      <c r="U459" s="212">
        <v>0</v>
      </c>
      <c r="V459" s="212">
        <v>0</v>
      </c>
      <c r="W459" s="212">
        <v>0</v>
      </c>
      <c r="X459" s="212">
        <v>0</v>
      </c>
      <c r="Y459" s="212">
        <v>0</v>
      </c>
      <c r="Z459" s="210">
        <v>0</v>
      </c>
      <c r="AA459" s="213">
        <v>0</v>
      </c>
      <c r="AB459" s="214">
        <v>0</v>
      </c>
      <c r="AC459" s="249">
        <v>1</v>
      </c>
      <c r="AD459" s="212">
        <v>0</v>
      </c>
      <c r="AE459" s="212">
        <v>0</v>
      </c>
      <c r="AF459" s="212">
        <v>0</v>
      </c>
      <c r="AG459" s="212">
        <v>0</v>
      </c>
      <c r="AH459" s="212">
        <v>0</v>
      </c>
      <c r="AI459" s="212">
        <v>0</v>
      </c>
      <c r="AJ459" s="212">
        <v>0</v>
      </c>
      <c r="AK459" s="213">
        <v>0</v>
      </c>
      <c r="AL459" s="215">
        <f t="shared" si="14"/>
        <v>1</v>
      </c>
      <c r="AM459" s="216">
        <f>0</f>
        <v>0</v>
      </c>
      <c r="AN459" s="217">
        <f t="shared" si="15"/>
        <v>1</v>
      </c>
      <c r="AO459" s="251">
        <v>45099</v>
      </c>
      <c r="AP459" s="151" t="s">
        <v>273</v>
      </c>
      <c r="AQ459" s="153" t="s">
        <v>1655</v>
      </c>
      <c r="AR459" s="219" t="s">
        <v>148</v>
      </c>
      <c r="AS459" s="159"/>
      <c r="AT459" s="153"/>
      <c r="AU459" s="154"/>
      <c r="AV459" s="154"/>
      <c r="AW459" s="154"/>
      <c r="AX459" s="155"/>
      <c r="AY459" s="156"/>
      <c r="AZ459" s="157"/>
      <c r="BA459" s="81"/>
      <c r="BB459" s="81"/>
      <c r="BC459" s="81"/>
    </row>
    <row r="460" spans="1:55" ht="28" customHeight="1" x14ac:dyDescent="0.25">
      <c r="A460" s="322">
        <v>455</v>
      </c>
      <c r="B460" s="323">
        <v>45099</v>
      </c>
      <c r="C460" s="77" t="s">
        <v>134</v>
      </c>
      <c r="D460" s="77" t="s">
        <v>135</v>
      </c>
      <c r="E460" s="77" t="s">
        <v>136</v>
      </c>
      <c r="F460" s="352" t="s">
        <v>1446</v>
      </c>
      <c r="G460" s="364" t="s">
        <v>1463</v>
      </c>
      <c r="H460" s="364" t="s">
        <v>110</v>
      </c>
      <c r="I460" s="364" t="s">
        <v>1486</v>
      </c>
      <c r="J460" s="364" t="s">
        <v>1464</v>
      </c>
      <c r="K460" s="346"/>
      <c r="L460" s="364" t="s">
        <v>389</v>
      </c>
      <c r="M460" s="364" t="s">
        <v>154</v>
      </c>
      <c r="N460" s="364" t="s">
        <v>214</v>
      </c>
      <c r="O460" s="364" t="s">
        <v>149</v>
      </c>
      <c r="P460" s="352"/>
      <c r="Q460" s="353"/>
      <c r="R460" s="211">
        <v>0</v>
      </c>
      <c r="S460" s="212">
        <v>0</v>
      </c>
      <c r="T460" s="212">
        <v>0</v>
      </c>
      <c r="U460" s="212">
        <v>0</v>
      </c>
      <c r="V460" s="212">
        <v>0</v>
      </c>
      <c r="W460" s="212">
        <v>0</v>
      </c>
      <c r="X460" s="212">
        <v>0</v>
      </c>
      <c r="Y460" s="212">
        <v>0</v>
      </c>
      <c r="Z460" s="210">
        <v>0</v>
      </c>
      <c r="AA460" s="213">
        <v>0</v>
      </c>
      <c r="AB460" s="214">
        <v>0</v>
      </c>
      <c r="AC460" s="249">
        <v>1</v>
      </c>
      <c r="AD460" s="212">
        <v>0</v>
      </c>
      <c r="AE460" s="212">
        <v>0</v>
      </c>
      <c r="AF460" s="212">
        <v>0</v>
      </c>
      <c r="AG460" s="212">
        <v>0</v>
      </c>
      <c r="AH460" s="212">
        <v>0</v>
      </c>
      <c r="AI460" s="212">
        <v>0</v>
      </c>
      <c r="AJ460" s="212">
        <v>0</v>
      </c>
      <c r="AK460" s="213">
        <v>0</v>
      </c>
      <c r="AL460" s="215">
        <f t="shared" si="14"/>
        <v>1</v>
      </c>
      <c r="AM460" s="216">
        <f>0</f>
        <v>0</v>
      </c>
      <c r="AN460" s="217">
        <f t="shared" si="15"/>
        <v>1</v>
      </c>
      <c r="AO460" s="363"/>
      <c r="AP460" s="365" t="s">
        <v>273</v>
      </c>
      <c r="AQ460" s="330"/>
      <c r="AR460" s="337" t="s">
        <v>1653</v>
      </c>
      <c r="AS460" s="330"/>
      <c r="AT460" s="250"/>
      <c r="AU460" s="331"/>
      <c r="AV460" s="331"/>
      <c r="AW460" s="331"/>
      <c r="AX460" s="332"/>
      <c r="AY460" s="333"/>
      <c r="AZ460" s="334"/>
      <c r="BA460" s="319"/>
      <c r="BB460" s="319"/>
      <c r="BC460" s="319"/>
    </row>
    <row r="461" spans="1:55" ht="28" customHeight="1" x14ac:dyDescent="0.25">
      <c r="A461" s="322">
        <v>456</v>
      </c>
      <c r="B461" s="323">
        <v>45099</v>
      </c>
      <c r="C461" s="77" t="s">
        <v>134</v>
      </c>
      <c r="D461" s="77" t="s">
        <v>135</v>
      </c>
      <c r="E461" s="77" t="s">
        <v>136</v>
      </c>
      <c r="F461" s="352" t="s">
        <v>1446</v>
      </c>
      <c r="G461" s="364" t="s">
        <v>1465</v>
      </c>
      <c r="H461" s="364" t="s">
        <v>110</v>
      </c>
      <c r="I461" s="364" t="s">
        <v>1487</v>
      </c>
      <c r="J461" s="364" t="s">
        <v>1466</v>
      </c>
      <c r="K461" s="346"/>
      <c r="L461" s="364" t="s">
        <v>389</v>
      </c>
      <c r="M461" s="364" t="s">
        <v>154</v>
      </c>
      <c r="N461" s="364" t="s">
        <v>214</v>
      </c>
      <c r="O461" s="364" t="s">
        <v>149</v>
      </c>
      <c r="P461" s="352"/>
      <c r="Q461" s="353"/>
      <c r="R461" s="211">
        <v>0</v>
      </c>
      <c r="S461" s="212">
        <v>0</v>
      </c>
      <c r="T461" s="212">
        <v>0</v>
      </c>
      <c r="U461" s="212">
        <v>0</v>
      </c>
      <c r="V461" s="212">
        <v>0</v>
      </c>
      <c r="W461" s="212">
        <v>0</v>
      </c>
      <c r="X461" s="212">
        <v>0</v>
      </c>
      <c r="Y461" s="212">
        <v>0</v>
      </c>
      <c r="Z461" s="210">
        <v>0</v>
      </c>
      <c r="AA461" s="213">
        <v>0</v>
      </c>
      <c r="AB461" s="214">
        <v>0</v>
      </c>
      <c r="AC461" s="249">
        <v>1</v>
      </c>
      <c r="AD461" s="212">
        <v>0</v>
      </c>
      <c r="AE461" s="212">
        <v>0</v>
      </c>
      <c r="AF461" s="212">
        <v>0</v>
      </c>
      <c r="AG461" s="212">
        <v>0</v>
      </c>
      <c r="AH461" s="212">
        <v>0</v>
      </c>
      <c r="AI461" s="212">
        <v>0</v>
      </c>
      <c r="AJ461" s="212">
        <v>0</v>
      </c>
      <c r="AK461" s="213">
        <v>0</v>
      </c>
      <c r="AL461" s="215">
        <f t="shared" si="14"/>
        <v>1</v>
      </c>
      <c r="AM461" s="216">
        <f>0</f>
        <v>0</v>
      </c>
      <c r="AN461" s="217">
        <f t="shared" si="15"/>
        <v>1</v>
      </c>
      <c r="AO461" s="363"/>
      <c r="AP461" s="365" t="s">
        <v>273</v>
      </c>
      <c r="AQ461" s="330"/>
      <c r="AR461" s="337" t="s">
        <v>1653</v>
      </c>
      <c r="AS461" s="330"/>
      <c r="AT461" s="250"/>
      <c r="AU461" s="331"/>
      <c r="AV461" s="331"/>
      <c r="AW461" s="331"/>
      <c r="AX461" s="332"/>
      <c r="AY461" s="333"/>
      <c r="AZ461" s="334"/>
      <c r="BA461" s="319"/>
      <c r="BB461" s="319"/>
      <c r="BC461" s="319"/>
    </row>
    <row r="462" spans="1:55" ht="28" customHeight="1" x14ac:dyDescent="0.25">
      <c r="A462" s="173">
        <v>457</v>
      </c>
      <c r="B462" s="147">
        <v>45099</v>
      </c>
      <c r="C462" s="77" t="s">
        <v>134</v>
      </c>
      <c r="D462" s="77" t="s">
        <v>135</v>
      </c>
      <c r="E462" s="77" t="s">
        <v>136</v>
      </c>
      <c r="F462" s="152" t="s">
        <v>1446</v>
      </c>
      <c r="G462" s="252" t="s">
        <v>1467</v>
      </c>
      <c r="H462" s="252" t="s">
        <v>110</v>
      </c>
      <c r="I462" s="252" t="s">
        <v>1468</v>
      </c>
      <c r="J462" s="252" t="s">
        <v>1469</v>
      </c>
      <c r="K462" s="149"/>
      <c r="L462" s="252" t="s">
        <v>189</v>
      </c>
      <c r="M462" s="252" t="s">
        <v>154</v>
      </c>
      <c r="N462" s="252"/>
      <c r="O462" s="252"/>
      <c r="P462" s="152"/>
      <c r="Q462" s="307"/>
      <c r="R462" s="211">
        <v>0</v>
      </c>
      <c r="S462" s="212">
        <v>0</v>
      </c>
      <c r="T462" s="212">
        <v>0</v>
      </c>
      <c r="U462" s="212">
        <v>0</v>
      </c>
      <c r="V462" s="212">
        <v>0</v>
      </c>
      <c r="W462" s="212">
        <v>0</v>
      </c>
      <c r="X462" s="212">
        <v>0</v>
      </c>
      <c r="Y462" s="212">
        <v>0</v>
      </c>
      <c r="Z462" s="210">
        <v>0</v>
      </c>
      <c r="AA462" s="213">
        <v>0</v>
      </c>
      <c r="AB462" s="214">
        <v>0</v>
      </c>
      <c r="AC462" s="249">
        <v>1</v>
      </c>
      <c r="AD462" s="212">
        <v>0</v>
      </c>
      <c r="AE462" s="212">
        <v>0</v>
      </c>
      <c r="AF462" s="212">
        <v>0</v>
      </c>
      <c r="AG462" s="212">
        <v>0</v>
      </c>
      <c r="AH462" s="212">
        <v>0</v>
      </c>
      <c r="AI462" s="212">
        <v>0</v>
      </c>
      <c r="AJ462" s="212">
        <v>0</v>
      </c>
      <c r="AK462" s="213">
        <v>0</v>
      </c>
      <c r="AL462" s="215">
        <f t="shared" si="14"/>
        <v>1</v>
      </c>
      <c r="AM462" s="216">
        <f>0</f>
        <v>0</v>
      </c>
      <c r="AN462" s="217">
        <f t="shared" si="15"/>
        <v>1</v>
      </c>
      <c r="AO462" s="251">
        <v>45099</v>
      </c>
      <c r="AP462" s="151" t="s">
        <v>273</v>
      </c>
      <c r="AQ462" s="153" t="s">
        <v>1655</v>
      </c>
      <c r="AR462" s="219" t="s">
        <v>148</v>
      </c>
      <c r="AS462" s="159"/>
      <c r="AT462" s="153"/>
      <c r="AU462" s="154"/>
      <c r="AV462" s="154"/>
      <c r="AW462" s="154"/>
      <c r="AX462" s="155"/>
      <c r="AY462" s="156"/>
      <c r="AZ462" s="157"/>
      <c r="BA462" s="81"/>
      <c r="BB462" s="81"/>
      <c r="BC462" s="81"/>
    </row>
    <row r="463" spans="1:55" ht="28" customHeight="1" x14ac:dyDescent="0.25">
      <c r="A463" s="173">
        <v>458</v>
      </c>
      <c r="B463" s="147">
        <v>45099</v>
      </c>
      <c r="C463" s="77" t="s">
        <v>134</v>
      </c>
      <c r="D463" s="77" t="s">
        <v>135</v>
      </c>
      <c r="E463" s="77" t="s">
        <v>136</v>
      </c>
      <c r="F463" s="152" t="s">
        <v>1446</v>
      </c>
      <c r="G463" s="252" t="s">
        <v>1470</v>
      </c>
      <c r="H463" s="252" t="s">
        <v>110</v>
      </c>
      <c r="I463" s="252" t="s">
        <v>239</v>
      </c>
      <c r="J463" s="252" t="s">
        <v>1471</v>
      </c>
      <c r="K463" s="149"/>
      <c r="L463" s="252" t="s">
        <v>168</v>
      </c>
      <c r="M463" s="252" t="s">
        <v>154</v>
      </c>
      <c r="N463" s="252" t="s">
        <v>214</v>
      </c>
      <c r="O463" s="252" t="s">
        <v>149</v>
      </c>
      <c r="P463" s="152"/>
      <c r="Q463" s="307"/>
      <c r="R463" s="211">
        <v>0</v>
      </c>
      <c r="S463" s="212">
        <v>0</v>
      </c>
      <c r="T463" s="212">
        <v>0</v>
      </c>
      <c r="U463" s="212">
        <v>0</v>
      </c>
      <c r="V463" s="212">
        <v>0</v>
      </c>
      <c r="W463" s="212">
        <v>0</v>
      </c>
      <c r="X463" s="212">
        <v>0</v>
      </c>
      <c r="Y463" s="212">
        <v>0</v>
      </c>
      <c r="Z463" s="210">
        <v>0</v>
      </c>
      <c r="AA463" s="213">
        <v>0</v>
      </c>
      <c r="AB463" s="214">
        <v>0</v>
      </c>
      <c r="AC463" s="249">
        <v>1</v>
      </c>
      <c r="AD463" s="212">
        <v>0</v>
      </c>
      <c r="AE463" s="212">
        <v>0</v>
      </c>
      <c r="AF463" s="212">
        <v>0</v>
      </c>
      <c r="AG463" s="212">
        <v>0</v>
      </c>
      <c r="AH463" s="212">
        <v>0</v>
      </c>
      <c r="AI463" s="212">
        <v>0</v>
      </c>
      <c r="AJ463" s="212">
        <v>0</v>
      </c>
      <c r="AK463" s="213">
        <v>0</v>
      </c>
      <c r="AL463" s="215">
        <f t="shared" si="14"/>
        <v>1</v>
      </c>
      <c r="AM463" s="216">
        <f>0</f>
        <v>0</v>
      </c>
      <c r="AN463" s="217">
        <f t="shared" si="15"/>
        <v>1</v>
      </c>
      <c r="AO463" s="251">
        <v>45103</v>
      </c>
      <c r="AP463" s="260" t="s">
        <v>273</v>
      </c>
      <c r="AQ463" s="153" t="s">
        <v>1657</v>
      </c>
      <c r="AR463" s="219" t="s">
        <v>669</v>
      </c>
      <c r="AS463" s="159"/>
      <c r="AT463" s="99"/>
      <c r="AU463" s="154"/>
      <c r="AV463" s="154"/>
      <c r="AW463" s="154"/>
      <c r="AX463" s="155"/>
      <c r="AY463" s="156"/>
      <c r="AZ463" s="157"/>
      <c r="BA463" s="81"/>
      <c r="BB463" s="81"/>
      <c r="BC463" s="81"/>
    </row>
    <row r="464" spans="1:55" ht="28" customHeight="1" x14ac:dyDescent="0.25">
      <c r="A464" s="173">
        <v>459</v>
      </c>
      <c r="B464" s="147">
        <v>45099</v>
      </c>
      <c r="C464" s="77" t="s">
        <v>134</v>
      </c>
      <c r="D464" s="77" t="s">
        <v>135</v>
      </c>
      <c r="E464" s="77" t="s">
        <v>136</v>
      </c>
      <c r="F464" s="152" t="s">
        <v>1446</v>
      </c>
      <c r="G464" s="252" t="s">
        <v>1472</v>
      </c>
      <c r="H464" s="252" t="s">
        <v>110</v>
      </c>
      <c r="I464" s="252" t="s">
        <v>213</v>
      </c>
      <c r="J464" s="252" t="s">
        <v>1473</v>
      </c>
      <c r="K464" s="149"/>
      <c r="L464" s="252" t="s">
        <v>168</v>
      </c>
      <c r="M464" s="252" t="s">
        <v>154</v>
      </c>
      <c r="N464" s="252" t="s">
        <v>214</v>
      </c>
      <c r="O464" s="252" t="s">
        <v>149</v>
      </c>
      <c r="P464" s="152"/>
      <c r="Q464" s="307"/>
      <c r="R464" s="211">
        <v>0</v>
      </c>
      <c r="S464" s="212">
        <v>0</v>
      </c>
      <c r="T464" s="212">
        <v>0</v>
      </c>
      <c r="U464" s="212">
        <v>0</v>
      </c>
      <c r="V464" s="212">
        <v>0</v>
      </c>
      <c r="W464" s="212">
        <v>0</v>
      </c>
      <c r="X464" s="212">
        <v>0</v>
      </c>
      <c r="Y464" s="212">
        <v>0</v>
      </c>
      <c r="Z464" s="210">
        <v>0</v>
      </c>
      <c r="AA464" s="213">
        <v>0</v>
      </c>
      <c r="AB464" s="214">
        <v>0</v>
      </c>
      <c r="AC464" s="249">
        <v>1</v>
      </c>
      <c r="AD464" s="212">
        <v>0</v>
      </c>
      <c r="AE464" s="212">
        <v>0</v>
      </c>
      <c r="AF464" s="212">
        <v>0</v>
      </c>
      <c r="AG464" s="212">
        <v>0</v>
      </c>
      <c r="AH464" s="212">
        <v>0</v>
      </c>
      <c r="AI464" s="212">
        <v>0</v>
      </c>
      <c r="AJ464" s="212">
        <v>0</v>
      </c>
      <c r="AK464" s="213">
        <v>0</v>
      </c>
      <c r="AL464" s="215">
        <f t="shared" si="14"/>
        <v>1</v>
      </c>
      <c r="AM464" s="216">
        <f>0</f>
        <v>0</v>
      </c>
      <c r="AN464" s="217">
        <f t="shared" si="15"/>
        <v>1</v>
      </c>
      <c r="AO464" s="251">
        <v>45103</v>
      </c>
      <c r="AP464" s="260" t="s">
        <v>273</v>
      </c>
      <c r="AQ464" s="153" t="s">
        <v>1657</v>
      </c>
      <c r="AR464" s="219" t="s">
        <v>669</v>
      </c>
      <c r="AS464" s="159"/>
      <c r="AT464" s="99"/>
      <c r="AU464" s="154"/>
      <c r="AV464" s="154"/>
      <c r="AW464" s="154"/>
      <c r="AX464" s="155"/>
      <c r="AY464" s="156"/>
      <c r="AZ464" s="157"/>
      <c r="BA464" s="81"/>
      <c r="BB464" s="81"/>
      <c r="BC464" s="81"/>
    </row>
    <row r="465" spans="1:55" ht="28" customHeight="1" x14ac:dyDescent="0.25">
      <c r="A465" s="173">
        <v>460</v>
      </c>
      <c r="B465" s="147">
        <v>45099</v>
      </c>
      <c r="C465" s="77" t="s">
        <v>134</v>
      </c>
      <c r="D465" s="77" t="s">
        <v>135</v>
      </c>
      <c r="E465" s="77" t="s">
        <v>136</v>
      </c>
      <c r="F465" s="152" t="s">
        <v>1446</v>
      </c>
      <c r="G465" s="252" t="s">
        <v>1474</v>
      </c>
      <c r="H465" s="252" t="s">
        <v>110</v>
      </c>
      <c r="I465" s="252" t="s">
        <v>163</v>
      </c>
      <c r="J465" s="252" t="s">
        <v>1475</v>
      </c>
      <c r="K465" s="149"/>
      <c r="L465" s="252" t="s">
        <v>320</v>
      </c>
      <c r="M465" s="252" t="s">
        <v>154</v>
      </c>
      <c r="N465" s="252"/>
      <c r="O465" s="252" t="s">
        <v>155</v>
      </c>
      <c r="P465" s="152"/>
      <c r="Q465" s="307"/>
      <c r="R465" s="211">
        <v>0</v>
      </c>
      <c r="S465" s="212">
        <v>0</v>
      </c>
      <c r="T465" s="212">
        <v>0</v>
      </c>
      <c r="U465" s="212">
        <v>0</v>
      </c>
      <c r="V465" s="212">
        <v>0</v>
      </c>
      <c r="W465" s="212">
        <v>0</v>
      </c>
      <c r="X465" s="212">
        <v>0</v>
      </c>
      <c r="Y465" s="212">
        <v>0</v>
      </c>
      <c r="Z465" s="210">
        <v>0</v>
      </c>
      <c r="AA465" s="213">
        <v>0</v>
      </c>
      <c r="AB465" s="214">
        <v>0</v>
      </c>
      <c r="AC465" s="249">
        <v>1</v>
      </c>
      <c r="AD465" s="212">
        <v>0</v>
      </c>
      <c r="AE465" s="212">
        <v>0</v>
      </c>
      <c r="AF465" s="212">
        <v>0</v>
      </c>
      <c r="AG465" s="212">
        <v>0</v>
      </c>
      <c r="AH465" s="212">
        <v>0</v>
      </c>
      <c r="AI465" s="212">
        <v>0</v>
      </c>
      <c r="AJ465" s="212">
        <v>0</v>
      </c>
      <c r="AK465" s="213">
        <v>0</v>
      </c>
      <c r="AL465" s="215">
        <f t="shared" si="14"/>
        <v>1</v>
      </c>
      <c r="AM465" s="216">
        <f>0</f>
        <v>0</v>
      </c>
      <c r="AN465" s="217">
        <f t="shared" si="15"/>
        <v>1</v>
      </c>
      <c r="AO465" s="251">
        <v>45099</v>
      </c>
      <c r="AP465" s="151" t="s">
        <v>273</v>
      </c>
      <c r="AQ465" s="153" t="s">
        <v>1655</v>
      </c>
      <c r="AR465" s="219" t="s">
        <v>148</v>
      </c>
      <c r="AS465" s="159"/>
      <c r="AT465" s="153"/>
      <c r="AU465" s="154"/>
      <c r="AV465" s="154"/>
      <c r="AW465" s="154"/>
      <c r="AX465" s="155"/>
      <c r="AY465" s="156"/>
      <c r="AZ465" s="157"/>
      <c r="BA465" s="81"/>
      <c r="BB465" s="81"/>
      <c r="BC465" s="81"/>
    </row>
    <row r="466" spans="1:55" ht="28" customHeight="1" x14ac:dyDescent="0.25">
      <c r="A466" s="173">
        <v>461</v>
      </c>
      <c r="B466" s="147">
        <v>45099</v>
      </c>
      <c r="C466" s="77" t="s">
        <v>134</v>
      </c>
      <c r="D466" s="77" t="s">
        <v>135</v>
      </c>
      <c r="E466" s="77" t="s">
        <v>136</v>
      </c>
      <c r="F466" s="152" t="s">
        <v>1446</v>
      </c>
      <c r="G466" s="252" t="s">
        <v>1476</v>
      </c>
      <c r="H466" s="252" t="s">
        <v>110</v>
      </c>
      <c r="I466" s="252" t="s">
        <v>1415</v>
      </c>
      <c r="J466" s="252" t="s">
        <v>1477</v>
      </c>
      <c r="K466" s="149"/>
      <c r="L466" s="252" t="s">
        <v>320</v>
      </c>
      <c r="M466" s="252" t="s">
        <v>154</v>
      </c>
      <c r="N466" s="252"/>
      <c r="O466" s="252" t="s">
        <v>155</v>
      </c>
      <c r="P466" s="152"/>
      <c r="Q466" s="307"/>
      <c r="R466" s="211">
        <v>0</v>
      </c>
      <c r="S466" s="212">
        <v>0</v>
      </c>
      <c r="T466" s="212">
        <v>0</v>
      </c>
      <c r="U466" s="212">
        <v>0</v>
      </c>
      <c r="V466" s="212">
        <v>0</v>
      </c>
      <c r="W466" s="212">
        <v>0</v>
      </c>
      <c r="X466" s="212">
        <v>0</v>
      </c>
      <c r="Y466" s="212">
        <v>0</v>
      </c>
      <c r="Z466" s="210">
        <v>0</v>
      </c>
      <c r="AA466" s="213">
        <v>0</v>
      </c>
      <c r="AB466" s="214">
        <v>0</v>
      </c>
      <c r="AC466" s="249">
        <v>1</v>
      </c>
      <c r="AD466" s="212">
        <v>0</v>
      </c>
      <c r="AE466" s="212">
        <v>0</v>
      </c>
      <c r="AF466" s="212">
        <v>0</v>
      </c>
      <c r="AG466" s="212">
        <v>0</v>
      </c>
      <c r="AH466" s="212">
        <v>0</v>
      </c>
      <c r="AI466" s="212">
        <v>0</v>
      </c>
      <c r="AJ466" s="212">
        <v>0</v>
      </c>
      <c r="AK466" s="213">
        <v>0</v>
      </c>
      <c r="AL466" s="215">
        <f t="shared" si="14"/>
        <v>1</v>
      </c>
      <c r="AM466" s="216">
        <f>0</f>
        <v>0</v>
      </c>
      <c r="AN466" s="217">
        <f t="shared" si="15"/>
        <v>1</v>
      </c>
      <c r="AO466" s="251">
        <v>45099</v>
      </c>
      <c r="AP466" s="151" t="s">
        <v>273</v>
      </c>
      <c r="AQ466" s="153" t="s">
        <v>1655</v>
      </c>
      <c r="AR466" s="219" t="s">
        <v>148</v>
      </c>
      <c r="AS466" s="159"/>
      <c r="AT466" s="153"/>
      <c r="AU466" s="154"/>
      <c r="AV466" s="154"/>
      <c r="AW466" s="154"/>
      <c r="AX466" s="155"/>
      <c r="AY466" s="156"/>
      <c r="AZ466" s="157"/>
      <c r="BA466" s="81"/>
      <c r="BB466" s="81"/>
      <c r="BC466" s="81"/>
    </row>
    <row r="467" spans="1:55" ht="28" customHeight="1" x14ac:dyDescent="0.25">
      <c r="A467" s="173">
        <v>462</v>
      </c>
      <c r="B467" s="147">
        <v>45099</v>
      </c>
      <c r="C467" s="77" t="s">
        <v>134</v>
      </c>
      <c r="D467" s="77" t="s">
        <v>135</v>
      </c>
      <c r="E467" s="77" t="s">
        <v>136</v>
      </c>
      <c r="F467" s="152" t="s">
        <v>1446</v>
      </c>
      <c r="G467" s="252" t="s">
        <v>1478</v>
      </c>
      <c r="H467" s="252" t="s">
        <v>110</v>
      </c>
      <c r="I467" s="252" t="s">
        <v>1479</v>
      </c>
      <c r="J467" s="252" t="s">
        <v>1480</v>
      </c>
      <c r="K467" s="149"/>
      <c r="L467" s="252" t="s">
        <v>790</v>
      </c>
      <c r="M467" s="252" t="s">
        <v>114</v>
      </c>
      <c r="N467" s="252"/>
      <c r="O467" s="252" t="s">
        <v>1313</v>
      </c>
      <c r="P467" s="152"/>
      <c r="Q467" s="307"/>
      <c r="R467" s="211">
        <v>0</v>
      </c>
      <c r="S467" s="212">
        <v>0</v>
      </c>
      <c r="T467" s="212">
        <v>0</v>
      </c>
      <c r="U467" s="212">
        <v>0</v>
      </c>
      <c r="V467" s="212">
        <v>0</v>
      </c>
      <c r="W467" s="212">
        <v>0</v>
      </c>
      <c r="X467" s="212">
        <v>0</v>
      </c>
      <c r="Y467" s="212">
        <v>0</v>
      </c>
      <c r="Z467" s="210">
        <v>0</v>
      </c>
      <c r="AA467" s="213">
        <v>0</v>
      </c>
      <c r="AB467" s="214">
        <v>0</v>
      </c>
      <c r="AC467" s="249">
        <v>1</v>
      </c>
      <c r="AD467" s="212">
        <v>0</v>
      </c>
      <c r="AE467" s="212">
        <v>0</v>
      </c>
      <c r="AF467" s="212">
        <v>0</v>
      </c>
      <c r="AG467" s="212">
        <v>0</v>
      </c>
      <c r="AH467" s="212">
        <v>0</v>
      </c>
      <c r="AI467" s="212">
        <v>0</v>
      </c>
      <c r="AJ467" s="212">
        <v>0</v>
      </c>
      <c r="AK467" s="213">
        <v>0</v>
      </c>
      <c r="AL467" s="215">
        <f t="shared" si="14"/>
        <v>1</v>
      </c>
      <c r="AM467" s="216">
        <f>0</f>
        <v>0</v>
      </c>
      <c r="AN467" s="217">
        <f t="shared" si="15"/>
        <v>1</v>
      </c>
      <c r="AO467" s="251">
        <v>45099</v>
      </c>
      <c r="AP467" s="223" t="s">
        <v>273</v>
      </c>
      <c r="AQ467" s="153" t="s">
        <v>1656</v>
      </c>
      <c r="AR467" s="219" t="s">
        <v>276</v>
      </c>
      <c r="AS467" s="159"/>
      <c r="AT467" s="153"/>
      <c r="AU467" s="154"/>
      <c r="AV467" s="154"/>
      <c r="AW467" s="154"/>
      <c r="AX467" s="155"/>
      <c r="AY467" s="156"/>
      <c r="AZ467" s="157"/>
      <c r="BA467" s="81"/>
      <c r="BB467" s="81"/>
      <c r="BC467" s="81"/>
    </row>
    <row r="468" spans="1:55" ht="28" customHeight="1" x14ac:dyDescent="0.25">
      <c r="A468" s="173">
        <v>463</v>
      </c>
      <c r="B468" s="147">
        <v>45099</v>
      </c>
      <c r="C468" s="77" t="s">
        <v>134</v>
      </c>
      <c r="D468" s="77" t="s">
        <v>135</v>
      </c>
      <c r="E468" s="77" t="s">
        <v>136</v>
      </c>
      <c r="F468" s="152" t="s">
        <v>1446</v>
      </c>
      <c r="G468" s="252" t="s">
        <v>1481</v>
      </c>
      <c r="H468" s="252" t="s">
        <v>110</v>
      </c>
      <c r="I468" s="252" t="s">
        <v>517</v>
      </c>
      <c r="J468" s="252" t="s">
        <v>1482</v>
      </c>
      <c r="K468" s="149" t="s">
        <v>80</v>
      </c>
      <c r="L468" s="252" t="s">
        <v>193</v>
      </c>
      <c r="M468" s="252" t="s">
        <v>154</v>
      </c>
      <c r="N468" s="252" t="s">
        <v>578</v>
      </c>
      <c r="O468" s="252" t="s">
        <v>149</v>
      </c>
      <c r="P468" s="152"/>
      <c r="Q468" s="307"/>
      <c r="R468" s="211">
        <v>0</v>
      </c>
      <c r="S468" s="212">
        <v>0</v>
      </c>
      <c r="T468" s="212">
        <v>0</v>
      </c>
      <c r="U468" s="212">
        <v>0</v>
      </c>
      <c r="V468" s="212">
        <v>0</v>
      </c>
      <c r="W468" s="212">
        <v>0</v>
      </c>
      <c r="X468" s="212">
        <v>0</v>
      </c>
      <c r="Y468" s="212">
        <v>0</v>
      </c>
      <c r="Z468" s="210">
        <v>0</v>
      </c>
      <c r="AA468" s="213">
        <v>0</v>
      </c>
      <c r="AB468" s="214">
        <v>0</v>
      </c>
      <c r="AC468" s="249">
        <v>1</v>
      </c>
      <c r="AD468" s="212">
        <v>0</v>
      </c>
      <c r="AE468" s="212">
        <v>0</v>
      </c>
      <c r="AF468" s="212">
        <v>0</v>
      </c>
      <c r="AG468" s="212">
        <v>0</v>
      </c>
      <c r="AH468" s="212">
        <v>0</v>
      </c>
      <c r="AI468" s="212">
        <v>0</v>
      </c>
      <c r="AJ468" s="212">
        <v>0</v>
      </c>
      <c r="AK468" s="213">
        <v>0</v>
      </c>
      <c r="AL468" s="215">
        <f t="shared" si="14"/>
        <v>1</v>
      </c>
      <c r="AM468" s="216">
        <f>0</f>
        <v>0</v>
      </c>
      <c r="AN468" s="217">
        <f t="shared" si="15"/>
        <v>1</v>
      </c>
      <c r="AO468" s="251">
        <v>45103</v>
      </c>
      <c r="AP468" s="260" t="s">
        <v>273</v>
      </c>
      <c r="AQ468" s="153" t="s">
        <v>1657</v>
      </c>
      <c r="AR468" s="219" t="s">
        <v>669</v>
      </c>
      <c r="AS468" s="159"/>
      <c r="AT468" s="99"/>
      <c r="AU468" s="154"/>
      <c r="AV468" s="154"/>
      <c r="AW468" s="154"/>
      <c r="AX468" s="155"/>
      <c r="AY468" s="156"/>
      <c r="AZ468" s="157"/>
      <c r="BA468" s="81"/>
      <c r="BB468" s="81"/>
      <c r="BC468" s="81"/>
    </row>
    <row r="469" spans="1:55" ht="28" customHeight="1" x14ac:dyDescent="0.25">
      <c r="A469" s="173">
        <v>464</v>
      </c>
      <c r="B469" s="147">
        <v>45099</v>
      </c>
      <c r="C469" s="77" t="s">
        <v>134</v>
      </c>
      <c r="D469" s="77" t="s">
        <v>135</v>
      </c>
      <c r="E469" s="77" t="s">
        <v>136</v>
      </c>
      <c r="F469" s="152" t="s">
        <v>1446</v>
      </c>
      <c r="G469" s="252" t="s">
        <v>1349</v>
      </c>
      <c r="H469" s="252" t="s">
        <v>110</v>
      </c>
      <c r="I469" s="252" t="s">
        <v>146</v>
      </c>
      <c r="J469" s="252" t="s">
        <v>1350</v>
      </c>
      <c r="K469" s="149" t="s">
        <v>80</v>
      </c>
      <c r="L469" s="252" t="s">
        <v>193</v>
      </c>
      <c r="M469" s="252" t="s">
        <v>154</v>
      </c>
      <c r="N469" s="252" t="s">
        <v>214</v>
      </c>
      <c r="O469" s="252" t="s">
        <v>149</v>
      </c>
      <c r="P469" s="152"/>
      <c r="Q469" s="307"/>
      <c r="R469" s="211">
        <v>0</v>
      </c>
      <c r="S469" s="212">
        <v>0</v>
      </c>
      <c r="T469" s="212">
        <v>0</v>
      </c>
      <c r="U469" s="212">
        <v>0</v>
      </c>
      <c r="V469" s="212">
        <v>0</v>
      </c>
      <c r="W469" s="212">
        <v>0</v>
      </c>
      <c r="X469" s="212">
        <v>0</v>
      </c>
      <c r="Y469" s="212">
        <v>0</v>
      </c>
      <c r="Z469" s="210">
        <v>0</v>
      </c>
      <c r="AA469" s="213">
        <v>0</v>
      </c>
      <c r="AB469" s="214">
        <v>0</v>
      </c>
      <c r="AC469" s="249">
        <v>1</v>
      </c>
      <c r="AD469" s="212">
        <v>0</v>
      </c>
      <c r="AE469" s="212">
        <v>0</v>
      </c>
      <c r="AF469" s="212">
        <v>0</v>
      </c>
      <c r="AG469" s="212">
        <v>0</v>
      </c>
      <c r="AH469" s="212">
        <v>0</v>
      </c>
      <c r="AI469" s="212">
        <v>0</v>
      </c>
      <c r="AJ469" s="212">
        <v>0</v>
      </c>
      <c r="AK469" s="213">
        <v>0</v>
      </c>
      <c r="AL469" s="215">
        <f t="shared" si="14"/>
        <v>1</v>
      </c>
      <c r="AM469" s="216">
        <f>0</f>
        <v>0</v>
      </c>
      <c r="AN469" s="217">
        <f t="shared" si="15"/>
        <v>1</v>
      </c>
      <c r="AO469" s="251">
        <v>45099</v>
      </c>
      <c r="AP469" s="151" t="s">
        <v>273</v>
      </c>
      <c r="AQ469" s="153" t="s">
        <v>1655</v>
      </c>
      <c r="AR469" s="219" t="s">
        <v>148</v>
      </c>
      <c r="AS469" s="159"/>
      <c r="AT469" s="153"/>
      <c r="AU469" s="154"/>
      <c r="AV469" s="154"/>
      <c r="AW469" s="154"/>
      <c r="AX469" s="155"/>
      <c r="AY469" s="156"/>
      <c r="AZ469" s="157"/>
      <c r="BA469" s="81"/>
      <c r="BB469" s="81"/>
      <c r="BC469" s="81"/>
    </row>
    <row r="470" spans="1:55" ht="28" customHeight="1" x14ac:dyDescent="0.25">
      <c r="A470" s="173">
        <v>465</v>
      </c>
      <c r="B470" s="147">
        <v>45099</v>
      </c>
      <c r="C470" s="77" t="s">
        <v>134</v>
      </c>
      <c r="D470" s="77" t="s">
        <v>135</v>
      </c>
      <c r="E470" s="77" t="s">
        <v>136</v>
      </c>
      <c r="F470" s="152" t="s">
        <v>1446</v>
      </c>
      <c r="G470" s="252" t="s">
        <v>1483</v>
      </c>
      <c r="H470" s="252" t="s">
        <v>110</v>
      </c>
      <c r="I470" s="252" t="s">
        <v>1484</v>
      </c>
      <c r="J470" s="252" t="s">
        <v>1485</v>
      </c>
      <c r="K470" s="149" t="s">
        <v>80</v>
      </c>
      <c r="L470" s="252" t="s">
        <v>153</v>
      </c>
      <c r="M470" s="252" t="s">
        <v>154</v>
      </c>
      <c r="N470" s="252" t="s">
        <v>80</v>
      </c>
      <c r="O470" s="252" t="s">
        <v>155</v>
      </c>
      <c r="P470" s="152"/>
      <c r="Q470" s="307"/>
      <c r="R470" s="211">
        <v>0</v>
      </c>
      <c r="S470" s="212">
        <v>0</v>
      </c>
      <c r="T470" s="212">
        <v>0</v>
      </c>
      <c r="U470" s="212">
        <v>0</v>
      </c>
      <c r="V470" s="212">
        <v>0</v>
      </c>
      <c r="W470" s="212">
        <v>0</v>
      </c>
      <c r="X470" s="212">
        <v>0</v>
      </c>
      <c r="Y470" s="212">
        <v>0</v>
      </c>
      <c r="Z470" s="210">
        <v>0</v>
      </c>
      <c r="AA470" s="213">
        <v>0</v>
      </c>
      <c r="AB470" s="214">
        <v>0</v>
      </c>
      <c r="AC470" s="249">
        <v>1</v>
      </c>
      <c r="AD470" s="212">
        <v>0</v>
      </c>
      <c r="AE470" s="212">
        <v>0</v>
      </c>
      <c r="AF470" s="212">
        <v>0</v>
      </c>
      <c r="AG470" s="212">
        <v>0</v>
      </c>
      <c r="AH470" s="212">
        <v>0</v>
      </c>
      <c r="AI470" s="212">
        <v>0</v>
      </c>
      <c r="AJ470" s="212">
        <v>0</v>
      </c>
      <c r="AK470" s="213">
        <v>0</v>
      </c>
      <c r="AL470" s="215">
        <f t="shared" si="14"/>
        <v>1</v>
      </c>
      <c r="AM470" s="216">
        <f>0</f>
        <v>0</v>
      </c>
      <c r="AN470" s="217">
        <f t="shared" si="15"/>
        <v>1</v>
      </c>
      <c r="AO470" s="251">
        <v>45099</v>
      </c>
      <c r="AP470" s="151" t="s">
        <v>273</v>
      </c>
      <c r="AQ470" s="153" t="s">
        <v>1655</v>
      </c>
      <c r="AR470" s="219" t="s">
        <v>148</v>
      </c>
      <c r="AS470" s="159"/>
      <c r="AT470" s="153"/>
      <c r="AU470" s="154"/>
      <c r="AV470" s="154"/>
      <c r="AW470" s="154"/>
      <c r="AX470" s="155"/>
      <c r="AY470" s="156"/>
      <c r="AZ470" s="157"/>
      <c r="BA470" s="81"/>
      <c r="BB470" s="81"/>
      <c r="BC470" s="81"/>
    </row>
    <row r="471" spans="1:55" ht="28" customHeight="1" x14ac:dyDescent="0.25">
      <c r="A471" s="173">
        <v>466</v>
      </c>
      <c r="B471" s="147">
        <v>45099</v>
      </c>
      <c r="C471" s="77" t="s">
        <v>134</v>
      </c>
      <c r="D471" s="77" t="s">
        <v>135</v>
      </c>
      <c r="E471" s="77" t="s">
        <v>136</v>
      </c>
      <c r="F471" s="152" t="s">
        <v>1446</v>
      </c>
      <c r="G471" s="252" t="s">
        <v>1423</v>
      </c>
      <c r="H471" s="252" t="s">
        <v>110</v>
      </c>
      <c r="I471" s="252" t="s">
        <v>1424</v>
      </c>
      <c r="J471" s="252" t="s">
        <v>1425</v>
      </c>
      <c r="K471" s="149" t="s">
        <v>1426</v>
      </c>
      <c r="L471" s="252" t="s">
        <v>1175</v>
      </c>
      <c r="M471" s="252" t="s">
        <v>154</v>
      </c>
      <c r="N471" s="252" t="s">
        <v>578</v>
      </c>
      <c r="O471" s="252" t="s">
        <v>149</v>
      </c>
      <c r="P471" s="152"/>
      <c r="Q471" s="307"/>
      <c r="R471" s="211">
        <v>0</v>
      </c>
      <c r="S471" s="212">
        <v>0</v>
      </c>
      <c r="T471" s="212">
        <v>0</v>
      </c>
      <c r="U471" s="212">
        <v>0</v>
      </c>
      <c r="V471" s="212">
        <v>0</v>
      </c>
      <c r="W471" s="212">
        <v>0</v>
      </c>
      <c r="X471" s="212">
        <v>0</v>
      </c>
      <c r="Y471" s="212">
        <v>0</v>
      </c>
      <c r="Z471" s="210">
        <v>0</v>
      </c>
      <c r="AA471" s="213">
        <v>0</v>
      </c>
      <c r="AB471" s="214">
        <v>0</v>
      </c>
      <c r="AC471" s="249">
        <v>1</v>
      </c>
      <c r="AD471" s="212">
        <v>0</v>
      </c>
      <c r="AE471" s="212">
        <v>0</v>
      </c>
      <c r="AF471" s="212">
        <v>0</v>
      </c>
      <c r="AG471" s="212">
        <v>0</v>
      </c>
      <c r="AH471" s="212">
        <v>0</v>
      </c>
      <c r="AI471" s="212">
        <v>0</v>
      </c>
      <c r="AJ471" s="212">
        <v>0</v>
      </c>
      <c r="AK471" s="213">
        <v>0</v>
      </c>
      <c r="AL471" s="215">
        <f t="shared" si="14"/>
        <v>1</v>
      </c>
      <c r="AM471" s="216">
        <f>0</f>
        <v>0</v>
      </c>
      <c r="AN471" s="217">
        <f t="shared" si="15"/>
        <v>1</v>
      </c>
      <c r="AO471" s="251">
        <v>45099</v>
      </c>
      <c r="AP471" s="151" t="s">
        <v>273</v>
      </c>
      <c r="AQ471" s="153" t="s">
        <v>1655</v>
      </c>
      <c r="AR471" s="219" t="s">
        <v>148</v>
      </c>
      <c r="AS471" s="159"/>
      <c r="AT471" s="153"/>
      <c r="AU471" s="154"/>
      <c r="AV471" s="154"/>
      <c r="AW471" s="154"/>
      <c r="AX471" s="155"/>
      <c r="AY471" s="156"/>
      <c r="AZ471" s="157"/>
      <c r="BA471" s="81"/>
      <c r="BB471" s="81"/>
      <c r="BC471" s="81"/>
    </row>
    <row r="472" spans="1:55" ht="28" customHeight="1" x14ac:dyDescent="0.25">
      <c r="A472" s="173">
        <v>467</v>
      </c>
      <c r="B472" s="147">
        <v>45099</v>
      </c>
      <c r="C472" s="77" t="s">
        <v>134</v>
      </c>
      <c r="D472" s="77" t="s">
        <v>135</v>
      </c>
      <c r="E472" s="77" t="s">
        <v>136</v>
      </c>
      <c r="F472" s="152" t="s">
        <v>1446</v>
      </c>
      <c r="G472" s="252" t="s">
        <v>1427</v>
      </c>
      <c r="H472" s="252" t="s">
        <v>110</v>
      </c>
      <c r="I472" s="252" t="s">
        <v>1424</v>
      </c>
      <c r="J472" s="252" t="s">
        <v>1428</v>
      </c>
      <c r="K472" s="149" t="s">
        <v>1426</v>
      </c>
      <c r="L472" s="252" t="s">
        <v>1175</v>
      </c>
      <c r="M472" s="252" t="s">
        <v>154</v>
      </c>
      <c r="N472" s="252" t="s">
        <v>578</v>
      </c>
      <c r="O472" s="252" t="s">
        <v>149</v>
      </c>
      <c r="P472" s="152"/>
      <c r="Q472" s="307"/>
      <c r="R472" s="211">
        <v>0</v>
      </c>
      <c r="S472" s="212">
        <v>0</v>
      </c>
      <c r="T472" s="212">
        <v>0</v>
      </c>
      <c r="U472" s="212">
        <v>0</v>
      </c>
      <c r="V472" s="212">
        <v>0</v>
      </c>
      <c r="W472" s="212">
        <v>0</v>
      </c>
      <c r="X472" s="212">
        <v>0</v>
      </c>
      <c r="Y472" s="212">
        <v>0</v>
      </c>
      <c r="Z472" s="210">
        <v>0</v>
      </c>
      <c r="AA472" s="213">
        <v>0</v>
      </c>
      <c r="AB472" s="214">
        <v>0</v>
      </c>
      <c r="AC472" s="249">
        <v>1</v>
      </c>
      <c r="AD472" s="212">
        <v>0</v>
      </c>
      <c r="AE472" s="212">
        <v>0</v>
      </c>
      <c r="AF472" s="212">
        <v>0</v>
      </c>
      <c r="AG472" s="212">
        <v>0</v>
      </c>
      <c r="AH472" s="212">
        <v>0</v>
      </c>
      <c r="AI472" s="212">
        <v>0</v>
      </c>
      <c r="AJ472" s="212">
        <v>0</v>
      </c>
      <c r="AK472" s="213">
        <v>0</v>
      </c>
      <c r="AL472" s="215">
        <f t="shared" si="14"/>
        <v>1</v>
      </c>
      <c r="AM472" s="216">
        <f>0</f>
        <v>0</v>
      </c>
      <c r="AN472" s="217">
        <f t="shared" si="15"/>
        <v>1</v>
      </c>
      <c r="AO472" s="251">
        <v>45099</v>
      </c>
      <c r="AP472" s="151" t="s">
        <v>273</v>
      </c>
      <c r="AQ472" s="153" t="s">
        <v>1655</v>
      </c>
      <c r="AR472" s="219" t="s">
        <v>148</v>
      </c>
      <c r="AS472" s="159"/>
      <c r="AT472" s="153"/>
      <c r="AU472" s="154"/>
      <c r="AV472" s="154"/>
      <c r="AW472" s="154"/>
      <c r="AX472" s="155"/>
      <c r="AY472" s="156"/>
      <c r="AZ472" s="157"/>
      <c r="BA472" s="81"/>
      <c r="BB472" s="81"/>
      <c r="BC472" s="81"/>
    </row>
    <row r="473" spans="1:55" ht="28" customHeight="1" x14ac:dyDescent="0.25">
      <c r="A473" s="173">
        <v>468</v>
      </c>
      <c r="B473" s="147">
        <v>45099</v>
      </c>
      <c r="C473" s="248"/>
      <c r="D473" s="248"/>
      <c r="E473" s="248"/>
      <c r="F473" s="152" t="s">
        <v>1446</v>
      </c>
      <c r="G473" s="252" t="s">
        <v>286</v>
      </c>
      <c r="H473" s="252" t="s">
        <v>287</v>
      </c>
      <c r="I473" s="252" t="s">
        <v>146</v>
      </c>
      <c r="J473" s="252" t="s">
        <v>1489</v>
      </c>
      <c r="K473" s="149" t="s">
        <v>288</v>
      </c>
      <c r="L473" s="252" t="s">
        <v>147</v>
      </c>
      <c r="M473" s="252" t="s">
        <v>148</v>
      </c>
      <c r="N473" s="252" t="s">
        <v>80</v>
      </c>
      <c r="O473" s="252" t="s">
        <v>149</v>
      </c>
      <c r="P473" s="266"/>
      <c r="Q473" s="307"/>
      <c r="R473" s="211">
        <v>0</v>
      </c>
      <c r="S473" s="212">
        <v>0</v>
      </c>
      <c r="T473" s="212">
        <v>0</v>
      </c>
      <c r="U473" s="212">
        <v>0</v>
      </c>
      <c r="V473" s="212">
        <v>0</v>
      </c>
      <c r="W473" s="212">
        <v>0</v>
      </c>
      <c r="X473" s="212">
        <v>0</v>
      </c>
      <c r="Y473" s="212">
        <v>0</v>
      </c>
      <c r="Z473" s="210">
        <v>0</v>
      </c>
      <c r="AA473" s="213">
        <v>0</v>
      </c>
      <c r="AB473" s="214">
        <v>0</v>
      </c>
      <c r="AC473" s="268">
        <v>8</v>
      </c>
      <c r="AD473" s="212">
        <v>0</v>
      </c>
      <c r="AE473" s="212">
        <v>0</v>
      </c>
      <c r="AF473" s="212">
        <v>0</v>
      </c>
      <c r="AG473" s="212">
        <v>0</v>
      </c>
      <c r="AH473" s="212">
        <v>0</v>
      </c>
      <c r="AI473" s="212">
        <v>0</v>
      </c>
      <c r="AJ473" s="212">
        <v>0</v>
      </c>
      <c r="AK473" s="213">
        <v>0</v>
      </c>
      <c r="AL473" s="215">
        <f t="shared" si="14"/>
        <v>8</v>
      </c>
      <c r="AM473" s="216">
        <f>0</f>
        <v>0</v>
      </c>
      <c r="AN473" s="217">
        <f t="shared" si="15"/>
        <v>8</v>
      </c>
      <c r="AO473" s="251">
        <v>45099</v>
      </c>
      <c r="AP473" s="151" t="s">
        <v>273</v>
      </c>
      <c r="AQ473" s="153" t="s">
        <v>1655</v>
      </c>
      <c r="AR473" s="219" t="s">
        <v>148</v>
      </c>
      <c r="AS473" s="159"/>
      <c r="AT473" s="153"/>
      <c r="AU473" s="154">
        <v>8</v>
      </c>
      <c r="AV473" s="154"/>
      <c r="AW473" s="99" t="s">
        <v>457</v>
      </c>
      <c r="AX473" s="155"/>
      <c r="AY473" s="156"/>
      <c r="AZ473" s="157"/>
      <c r="BA473" s="81"/>
      <c r="BB473" s="81"/>
      <c r="BC473" s="81"/>
    </row>
    <row r="474" spans="1:55" ht="28" customHeight="1" x14ac:dyDescent="0.25">
      <c r="A474" s="173">
        <v>469</v>
      </c>
      <c r="B474" s="147">
        <v>45099</v>
      </c>
      <c r="C474" s="248"/>
      <c r="D474" s="248"/>
      <c r="E474" s="248"/>
      <c r="F474" s="152" t="s">
        <v>1446</v>
      </c>
      <c r="G474" s="252" t="s">
        <v>1490</v>
      </c>
      <c r="H474" s="252" t="s">
        <v>287</v>
      </c>
      <c r="I474" s="252" t="s">
        <v>146</v>
      </c>
      <c r="J474" s="252" t="s">
        <v>1491</v>
      </c>
      <c r="K474" s="149" t="s">
        <v>1490</v>
      </c>
      <c r="L474" s="252" t="s">
        <v>147</v>
      </c>
      <c r="M474" s="252" t="s">
        <v>148</v>
      </c>
      <c r="N474" s="252" t="s">
        <v>80</v>
      </c>
      <c r="O474" s="252" t="s">
        <v>149</v>
      </c>
      <c r="P474" s="266"/>
      <c r="Q474" s="307"/>
      <c r="R474" s="211">
        <v>0</v>
      </c>
      <c r="S474" s="212">
        <v>0</v>
      </c>
      <c r="T474" s="212">
        <v>0</v>
      </c>
      <c r="U474" s="212">
        <v>0</v>
      </c>
      <c r="V474" s="212">
        <v>0</v>
      </c>
      <c r="W474" s="212">
        <v>0</v>
      </c>
      <c r="X474" s="212">
        <v>0</v>
      </c>
      <c r="Y474" s="212">
        <v>0</v>
      </c>
      <c r="Z474" s="210">
        <v>0</v>
      </c>
      <c r="AA474" s="213">
        <v>0</v>
      </c>
      <c r="AB474" s="214">
        <v>0</v>
      </c>
      <c r="AC474" s="268">
        <v>1</v>
      </c>
      <c r="AD474" s="212">
        <v>0</v>
      </c>
      <c r="AE474" s="212">
        <v>0</v>
      </c>
      <c r="AF474" s="212">
        <v>0</v>
      </c>
      <c r="AG474" s="212">
        <v>0</v>
      </c>
      <c r="AH474" s="212">
        <v>0</v>
      </c>
      <c r="AI474" s="212">
        <v>0</v>
      </c>
      <c r="AJ474" s="212">
        <v>0</v>
      </c>
      <c r="AK474" s="213">
        <v>0</v>
      </c>
      <c r="AL474" s="215">
        <f t="shared" si="14"/>
        <v>1</v>
      </c>
      <c r="AM474" s="216">
        <f>0</f>
        <v>0</v>
      </c>
      <c r="AN474" s="217">
        <f t="shared" si="15"/>
        <v>1</v>
      </c>
      <c r="AO474" s="251">
        <v>45099</v>
      </c>
      <c r="AP474" s="151" t="s">
        <v>273</v>
      </c>
      <c r="AQ474" s="153" t="s">
        <v>1655</v>
      </c>
      <c r="AR474" s="219" t="s">
        <v>148</v>
      </c>
      <c r="AS474" s="159"/>
      <c r="AT474" s="153"/>
      <c r="AU474" s="154">
        <v>1</v>
      </c>
      <c r="AV474" s="154"/>
      <c r="AW474" s="99" t="s">
        <v>457</v>
      </c>
      <c r="AX474" s="155"/>
      <c r="AY474" s="156"/>
      <c r="AZ474" s="157"/>
      <c r="BA474" s="81"/>
      <c r="BB474" s="81"/>
      <c r="BC474" s="81"/>
    </row>
    <row r="475" spans="1:55" ht="28" customHeight="1" x14ac:dyDescent="0.25">
      <c r="A475" s="173">
        <v>470</v>
      </c>
      <c r="B475" s="147">
        <v>45099</v>
      </c>
      <c r="C475" s="248"/>
      <c r="D475" s="248"/>
      <c r="E475" s="248"/>
      <c r="F475" s="152" t="s">
        <v>1446</v>
      </c>
      <c r="G475" s="252" t="s">
        <v>286</v>
      </c>
      <c r="H475" s="252" t="s">
        <v>287</v>
      </c>
      <c r="I475" s="252" t="s">
        <v>146</v>
      </c>
      <c r="J475" s="252" t="s">
        <v>1489</v>
      </c>
      <c r="K475" s="149" t="s">
        <v>288</v>
      </c>
      <c r="L475" s="252" t="s">
        <v>147</v>
      </c>
      <c r="M475" s="252" t="s">
        <v>148</v>
      </c>
      <c r="N475" s="252" t="s">
        <v>80</v>
      </c>
      <c r="O475" s="252" t="s">
        <v>149</v>
      </c>
      <c r="P475" s="267"/>
      <c r="Q475" s="307"/>
      <c r="R475" s="211">
        <v>0</v>
      </c>
      <c r="S475" s="212">
        <v>0</v>
      </c>
      <c r="T475" s="212">
        <v>0</v>
      </c>
      <c r="U475" s="212">
        <v>0</v>
      </c>
      <c r="V475" s="212">
        <v>0</v>
      </c>
      <c r="W475" s="212">
        <v>0</v>
      </c>
      <c r="X475" s="212">
        <v>0</v>
      </c>
      <c r="Y475" s="212">
        <v>0</v>
      </c>
      <c r="Z475" s="210">
        <v>0</v>
      </c>
      <c r="AA475" s="213">
        <v>0</v>
      </c>
      <c r="AB475" s="214">
        <v>0</v>
      </c>
      <c r="AC475" s="249">
        <v>4</v>
      </c>
      <c r="AD475" s="212">
        <v>0</v>
      </c>
      <c r="AE475" s="212">
        <v>0</v>
      </c>
      <c r="AF475" s="212">
        <v>0</v>
      </c>
      <c r="AG475" s="212">
        <v>0</v>
      </c>
      <c r="AH475" s="212">
        <v>0</v>
      </c>
      <c r="AI475" s="212">
        <v>0</v>
      </c>
      <c r="AJ475" s="212">
        <v>0</v>
      </c>
      <c r="AK475" s="213">
        <v>0</v>
      </c>
      <c r="AL475" s="215">
        <f t="shared" si="14"/>
        <v>4</v>
      </c>
      <c r="AM475" s="216">
        <f>0</f>
        <v>0</v>
      </c>
      <c r="AN475" s="217">
        <f t="shared" si="15"/>
        <v>4</v>
      </c>
      <c r="AO475" s="251">
        <v>45099</v>
      </c>
      <c r="AP475" s="151" t="s">
        <v>273</v>
      </c>
      <c r="AQ475" s="153" t="s">
        <v>1655</v>
      </c>
      <c r="AR475" s="219" t="s">
        <v>148</v>
      </c>
      <c r="AS475" s="159"/>
      <c r="AT475" s="153"/>
      <c r="AU475" s="154">
        <v>4</v>
      </c>
      <c r="AV475" s="154"/>
      <c r="AW475" s="99" t="s">
        <v>457</v>
      </c>
      <c r="AX475" s="155"/>
      <c r="AY475" s="156"/>
      <c r="AZ475" s="157"/>
      <c r="BA475" s="81"/>
      <c r="BB475" s="81"/>
      <c r="BC475" s="81"/>
    </row>
    <row r="476" spans="1:55" ht="28" customHeight="1" x14ac:dyDescent="0.25">
      <c r="A476" s="131">
        <v>471</v>
      </c>
      <c r="B476" s="141">
        <v>45099</v>
      </c>
      <c r="C476" s="77" t="s">
        <v>134</v>
      </c>
      <c r="D476" s="77" t="s">
        <v>135</v>
      </c>
      <c r="E476" s="77" t="s">
        <v>136</v>
      </c>
      <c r="F476" s="253" t="s">
        <v>430</v>
      </c>
      <c r="G476" s="254" t="s">
        <v>1492</v>
      </c>
      <c r="H476" s="254" t="s">
        <v>110</v>
      </c>
      <c r="I476" s="255" t="s">
        <v>1493</v>
      </c>
      <c r="J476" s="256" t="s">
        <v>1494</v>
      </c>
      <c r="K476" s="167" t="s">
        <v>80</v>
      </c>
      <c r="L476" s="257" t="s">
        <v>119</v>
      </c>
      <c r="M476" s="258" t="s">
        <v>114</v>
      </c>
      <c r="N476" s="258" t="s">
        <v>80</v>
      </c>
      <c r="O476" s="258" t="s">
        <v>1313</v>
      </c>
      <c r="P476" s="259">
        <v>1</v>
      </c>
      <c r="Q476" s="308"/>
      <c r="R476" s="182">
        <v>0</v>
      </c>
      <c r="S476" s="76">
        <v>0</v>
      </c>
      <c r="T476" s="76">
        <v>0</v>
      </c>
      <c r="U476" s="76">
        <v>0</v>
      </c>
      <c r="V476" s="76">
        <v>0</v>
      </c>
      <c r="W476" s="76">
        <v>0</v>
      </c>
      <c r="X476" s="76">
        <v>0</v>
      </c>
      <c r="Y476" s="76">
        <v>0</v>
      </c>
      <c r="Z476" s="76">
        <v>0</v>
      </c>
      <c r="AA476" s="183">
        <v>0</v>
      </c>
      <c r="AB476" s="185">
        <v>0</v>
      </c>
      <c r="AC476" s="76">
        <v>0</v>
      </c>
      <c r="AD476" s="84">
        <v>1</v>
      </c>
      <c r="AE476" s="76">
        <v>0</v>
      </c>
      <c r="AF476" s="76">
        <v>0</v>
      </c>
      <c r="AG476" s="76">
        <v>0</v>
      </c>
      <c r="AH476" s="76">
        <v>0</v>
      </c>
      <c r="AI476" s="76">
        <v>0</v>
      </c>
      <c r="AJ476" s="76">
        <v>0</v>
      </c>
      <c r="AK476" s="183">
        <v>0</v>
      </c>
      <c r="AL476" s="215">
        <f t="shared" si="14"/>
        <v>1</v>
      </c>
      <c r="AM476" s="216">
        <f>0</f>
        <v>0</v>
      </c>
      <c r="AN476" s="217">
        <f t="shared" si="15"/>
        <v>1</v>
      </c>
      <c r="AO476" s="251">
        <v>45099</v>
      </c>
      <c r="AP476" s="223" t="s">
        <v>273</v>
      </c>
      <c r="AQ476" s="153" t="s">
        <v>1656</v>
      </c>
      <c r="AR476" s="219" t="s">
        <v>276</v>
      </c>
      <c r="AS476" s="98"/>
      <c r="AT476" s="104"/>
      <c r="AU476" s="104"/>
      <c r="AV476" s="105"/>
      <c r="AW476" s="104"/>
      <c r="AX476" s="106"/>
      <c r="AY476" s="106"/>
      <c r="AZ476" s="107"/>
      <c r="BA476" s="81"/>
      <c r="BB476" s="81"/>
      <c r="BC476" s="81"/>
    </row>
    <row r="477" spans="1:55" ht="28" customHeight="1" x14ac:dyDescent="0.25">
      <c r="A477" s="131">
        <v>472</v>
      </c>
      <c r="B477" s="141">
        <v>45099</v>
      </c>
      <c r="C477" s="77" t="s">
        <v>134</v>
      </c>
      <c r="D477" s="77" t="s">
        <v>135</v>
      </c>
      <c r="E477" s="77" t="s">
        <v>136</v>
      </c>
      <c r="F477" s="253" t="s">
        <v>430</v>
      </c>
      <c r="G477" s="254" t="s">
        <v>1495</v>
      </c>
      <c r="H477" s="254" t="s">
        <v>110</v>
      </c>
      <c r="I477" s="255" t="s">
        <v>267</v>
      </c>
      <c r="J477" s="256" t="s">
        <v>1496</v>
      </c>
      <c r="K477" s="167" t="s">
        <v>80</v>
      </c>
      <c r="L477" s="257" t="s">
        <v>119</v>
      </c>
      <c r="M477" s="258" t="s">
        <v>114</v>
      </c>
      <c r="N477" s="258" t="s">
        <v>80</v>
      </c>
      <c r="O477" s="258" t="s">
        <v>1313</v>
      </c>
      <c r="P477" s="259">
        <v>2</v>
      </c>
      <c r="Q477" s="308"/>
      <c r="R477" s="182">
        <v>0</v>
      </c>
      <c r="S477" s="76">
        <v>0</v>
      </c>
      <c r="T477" s="76">
        <v>0</v>
      </c>
      <c r="U477" s="76">
        <v>0</v>
      </c>
      <c r="V477" s="76">
        <v>0</v>
      </c>
      <c r="W477" s="76">
        <v>0</v>
      </c>
      <c r="X477" s="76">
        <v>0</v>
      </c>
      <c r="Y477" s="76">
        <v>0</v>
      </c>
      <c r="Z477" s="76">
        <v>0</v>
      </c>
      <c r="AA477" s="183">
        <v>0</v>
      </c>
      <c r="AB477" s="185">
        <v>0</v>
      </c>
      <c r="AC477" s="76">
        <v>0</v>
      </c>
      <c r="AD477" s="84">
        <v>2</v>
      </c>
      <c r="AE477" s="76">
        <v>0</v>
      </c>
      <c r="AF477" s="76">
        <v>0</v>
      </c>
      <c r="AG477" s="76">
        <v>0</v>
      </c>
      <c r="AH477" s="76">
        <v>0</v>
      </c>
      <c r="AI477" s="76">
        <v>0</v>
      </c>
      <c r="AJ477" s="76">
        <v>0</v>
      </c>
      <c r="AK477" s="183">
        <v>0</v>
      </c>
      <c r="AL477" s="215">
        <f t="shared" ref="AL477:AL508" si="16">SUM(R477:AK477)</f>
        <v>2</v>
      </c>
      <c r="AM477" s="216">
        <f>0</f>
        <v>0</v>
      </c>
      <c r="AN477" s="217">
        <f t="shared" ref="AN477:AN508" si="17">AL477-AM477</f>
        <v>2</v>
      </c>
      <c r="AO477" s="251">
        <v>45099</v>
      </c>
      <c r="AP477" s="223" t="s">
        <v>273</v>
      </c>
      <c r="AQ477" s="153" t="s">
        <v>1656</v>
      </c>
      <c r="AR477" s="219" t="s">
        <v>276</v>
      </c>
      <c r="AS477" s="98"/>
      <c r="AT477" s="104"/>
      <c r="AU477" s="104"/>
      <c r="AV477" s="105"/>
      <c r="AW477" s="104"/>
      <c r="AX477" s="106"/>
      <c r="AY477" s="106"/>
      <c r="AZ477" s="107"/>
      <c r="BA477" s="81"/>
      <c r="BB477" s="81"/>
      <c r="BC477" s="81"/>
    </row>
    <row r="478" spans="1:55" ht="28" customHeight="1" x14ac:dyDescent="0.25">
      <c r="A478" s="131">
        <v>473</v>
      </c>
      <c r="B478" s="141">
        <v>45099</v>
      </c>
      <c r="C478" s="77" t="s">
        <v>134</v>
      </c>
      <c r="D478" s="77" t="s">
        <v>135</v>
      </c>
      <c r="E478" s="77" t="s">
        <v>136</v>
      </c>
      <c r="F478" s="253" t="s">
        <v>430</v>
      </c>
      <c r="G478" s="254" t="s">
        <v>1497</v>
      </c>
      <c r="H478" s="254" t="s">
        <v>110</v>
      </c>
      <c r="I478" s="255" t="s">
        <v>535</v>
      </c>
      <c r="J478" s="256" t="s">
        <v>1498</v>
      </c>
      <c r="K478" s="167" t="s">
        <v>80</v>
      </c>
      <c r="L478" s="257" t="s">
        <v>320</v>
      </c>
      <c r="M478" s="258" t="s">
        <v>154</v>
      </c>
      <c r="N478" s="258" t="s">
        <v>80</v>
      </c>
      <c r="O478" s="258" t="s">
        <v>155</v>
      </c>
      <c r="P478" s="259">
        <v>2</v>
      </c>
      <c r="Q478" s="308"/>
      <c r="R478" s="182">
        <v>0</v>
      </c>
      <c r="S478" s="76">
        <v>0</v>
      </c>
      <c r="T478" s="76">
        <v>0</v>
      </c>
      <c r="U478" s="76">
        <v>0</v>
      </c>
      <c r="V478" s="76">
        <v>0</v>
      </c>
      <c r="W478" s="76">
        <v>0</v>
      </c>
      <c r="X478" s="76">
        <v>0</v>
      </c>
      <c r="Y478" s="76">
        <v>0</v>
      </c>
      <c r="Z478" s="76">
        <v>0</v>
      </c>
      <c r="AA478" s="183">
        <v>0</v>
      </c>
      <c r="AB478" s="185">
        <v>0</v>
      </c>
      <c r="AC478" s="76">
        <v>0</v>
      </c>
      <c r="AD478" s="84">
        <v>2</v>
      </c>
      <c r="AE478" s="76">
        <v>0</v>
      </c>
      <c r="AF478" s="76">
        <v>0</v>
      </c>
      <c r="AG478" s="76">
        <v>0</v>
      </c>
      <c r="AH478" s="76">
        <v>0</v>
      </c>
      <c r="AI478" s="76">
        <v>0</v>
      </c>
      <c r="AJ478" s="76">
        <v>0</v>
      </c>
      <c r="AK478" s="183">
        <v>0</v>
      </c>
      <c r="AL478" s="215">
        <f t="shared" si="16"/>
        <v>2</v>
      </c>
      <c r="AM478" s="216">
        <f>0</f>
        <v>0</v>
      </c>
      <c r="AN478" s="217">
        <f t="shared" si="17"/>
        <v>2</v>
      </c>
      <c r="AO478" s="251">
        <v>45099</v>
      </c>
      <c r="AP478" s="151" t="s">
        <v>273</v>
      </c>
      <c r="AQ478" s="153" t="s">
        <v>1655</v>
      </c>
      <c r="AR478" s="108" t="s">
        <v>148</v>
      </c>
      <c r="AS478" s="98"/>
      <c r="AT478" s="104"/>
      <c r="AU478" s="104"/>
      <c r="AV478" s="105"/>
      <c r="AW478" s="104"/>
      <c r="AX478" s="106"/>
      <c r="AY478" s="106"/>
      <c r="AZ478" s="107"/>
      <c r="BA478" s="81"/>
      <c r="BB478" s="81"/>
      <c r="BC478" s="81"/>
    </row>
    <row r="479" spans="1:55" ht="28" customHeight="1" x14ac:dyDescent="0.25">
      <c r="A479" s="131">
        <v>474</v>
      </c>
      <c r="B479" s="141">
        <v>45099</v>
      </c>
      <c r="C479" s="77" t="s">
        <v>134</v>
      </c>
      <c r="D479" s="77" t="s">
        <v>135</v>
      </c>
      <c r="E479" s="77" t="s">
        <v>136</v>
      </c>
      <c r="F479" s="253" t="s">
        <v>430</v>
      </c>
      <c r="G479" s="254" t="s">
        <v>1499</v>
      </c>
      <c r="H479" s="254" t="s">
        <v>110</v>
      </c>
      <c r="I479" s="255" t="s">
        <v>1500</v>
      </c>
      <c r="J479" s="256" t="s">
        <v>1501</v>
      </c>
      <c r="K479" s="167" t="s">
        <v>80</v>
      </c>
      <c r="L479" s="257" t="s">
        <v>153</v>
      </c>
      <c r="M479" s="258" t="s">
        <v>154</v>
      </c>
      <c r="N479" s="258" t="s">
        <v>80</v>
      </c>
      <c r="O479" s="258" t="s">
        <v>155</v>
      </c>
      <c r="P479" s="259">
        <v>1</v>
      </c>
      <c r="Q479" s="308"/>
      <c r="R479" s="182">
        <v>0</v>
      </c>
      <c r="S479" s="76">
        <v>0</v>
      </c>
      <c r="T479" s="76">
        <v>0</v>
      </c>
      <c r="U479" s="76">
        <v>0</v>
      </c>
      <c r="V479" s="76">
        <v>0</v>
      </c>
      <c r="W479" s="76">
        <v>0</v>
      </c>
      <c r="X479" s="76">
        <v>0</v>
      </c>
      <c r="Y479" s="76">
        <v>0</v>
      </c>
      <c r="Z479" s="76">
        <v>0</v>
      </c>
      <c r="AA479" s="183">
        <v>0</v>
      </c>
      <c r="AB479" s="185">
        <v>0</v>
      </c>
      <c r="AC479" s="76">
        <v>0</v>
      </c>
      <c r="AD479" s="84">
        <v>1</v>
      </c>
      <c r="AE479" s="76">
        <v>0</v>
      </c>
      <c r="AF479" s="76">
        <v>0</v>
      </c>
      <c r="AG479" s="76">
        <v>0</v>
      </c>
      <c r="AH479" s="76">
        <v>0</v>
      </c>
      <c r="AI479" s="76">
        <v>0</v>
      </c>
      <c r="AJ479" s="76">
        <v>0</v>
      </c>
      <c r="AK479" s="183">
        <v>0</v>
      </c>
      <c r="AL479" s="215">
        <f t="shared" si="16"/>
        <v>1</v>
      </c>
      <c r="AM479" s="216">
        <f>0</f>
        <v>0</v>
      </c>
      <c r="AN479" s="217">
        <f t="shared" si="17"/>
        <v>1</v>
      </c>
      <c r="AO479" s="251">
        <v>45099</v>
      </c>
      <c r="AP479" s="151" t="s">
        <v>273</v>
      </c>
      <c r="AQ479" s="153" t="s">
        <v>1655</v>
      </c>
      <c r="AR479" s="108" t="s">
        <v>148</v>
      </c>
      <c r="AS479" s="98"/>
      <c r="AT479" s="104"/>
      <c r="AU479" s="104"/>
      <c r="AV479" s="105"/>
      <c r="AW479" s="104"/>
      <c r="AX479" s="106"/>
      <c r="AY479" s="106"/>
      <c r="AZ479" s="107"/>
      <c r="BA479" s="81"/>
      <c r="BB479" s="81"/>
      <c r="BC479" s="81"/>
    </row>
    <row r="480" spans="1:55" ht="28" customHeight="1" x14ac:dyDescent="0.25">
      <c r="A480" s="131">
        <v>475</v>
      </c>
      <c r="B480" s="141">
        <v>45099</v>
      </c>
      <c r="C480" s="77" t="s">
        <v>134</v>
      </c>
      <c r="D480" s="77" t="s">
        <v>135</v>
      </c>
      <c r="E480" s="77" t="s">
        <v>136</v>
      </c>
      <c r="F480" s="253" t="s">
        <v>430</v>
      </c>
      <c r="G480" s="254" t="s">
        <v>1502</v>
      </c>
      <c r="H480" s="254" t="s">
        <v>110</v>
      </c>
      <c r="I480" s="255" t="s">
        <v>1645</v>
      </c>
      <c r="J480" s="256" t="s">
        <v>1503</v>
      </c>
      <c r="K480" s="167" t="s">
        <v>80</v>
      </c>
      <c r="L480" s="257" t="s">
        <v>153</v>
      </c>
      <c r="M480" s="258" t="s">
        <v>154</v>
      </c>
      <c r="N480" s="258" t="s">
        <v>80</v>
      </c>
      <c r="O480" s="258" t="s">
        <v>155</v>
      </c>
      <c r="P480" s="259">
        <v>1</v>
      </c>
      <c r="Q480" s="308"/>
      <c r="R480" s="182">
        <v>0</v>
      </c>
      <c r="S480" s="76">
        <v>0</v>
      </c>
      <c r="T480" s="76">
        <v>0</v>
      </c>
      <c r="U480" s="76">
        <v>0</v>
      </c>
      <c r="V480" s="76">
        <v>0</v>
      </c>
      <c r="W480" s="76">
        <v>0</v>
      </c>
      <c r="X480" s="76">
        <v>0</v>
      </c>
      <c r="Y480" s="76">
        <v>0</v>
      </c>
      <c r="Z480" s="76">
        <v>0</v>
      </c>
      <c r="AA480" s="183">
        <v>0</v>
      </c>
      <c r="AB480" s="185">
        <v>0</v>
      </c>
      <c r="AC480" s="76">
        <v>0</v>
      </c>
      <c r="AD480" s="84">
        <v>1</v>
      </c>
      <c r="AE480" s="76">
        <v>0</v>
      </c>
      <c r="AF480" s="76">
        <v>0</v>
      </c>
      <c r="AG480" s="76">
        <v>0</v>
      </c>
      <c r="AH480" s="76">
        <v>0</v>
      </c>
      <c r="AI480" s="76">
        <v>0</v>
      </c>
      <c r="AJ480" s="76">
        <v>0</v>
      </c>
      <c r="AK480" s="183">
        <v>0</v>
      </c>
      <c r="AL480" s="215">
        <f t="shared" si="16"/>
        <v>1</v>
      </c>
      <c r="AM480" s="216">
        <f>0</f>
        <v>0</v>
      </c>
      <c r="AN480" s="217">
        <f t="shared" si="17"/>
        <v>1</v>
      </c>
      <c r="AO480" s="251">
        <v>45099</v>
      </c>
      <c r="AP480" s="151" t="s">
        <v>273</v>
      </c>
      <c r="AQ480" s="153" t="s">
        <v>1655</v>
      </c>
      <c r="AR480" s="108" t="s">
        <v>148</v>
      </c>
      <c r="AS480" s="98"/>
      <c r="AT480" s="104"/>
      <c r="AU480" s="104"/>
      <c r="AV480" s="105"/>
      <c r="AW480" s="104"/>
      <c r="AX480" s="106"/>
      <c r="AY480" s="106"/>
      <c r="AZ480" s="107"/>
      <c r="BA480" s="81"/>
      <c r="BB480" s="81"/>
      <c r="BC480" s="81"/>
    </row>
    <row r="481" spans="1:55" ht="28" customHeight="1" x14ac:dyDescent="0.25">
      <c r="A481" s="131">
        <v>476</v>
      </c>
      <c r="B481" s="141">
        <v>45099</v>
      </c>
      <c r="C481" s="77" t="s">
        <v>134</v>
      </c>
      <c r="D481" s="77" t="s">
        <v>135</v>
      </c>
      <c r="E481" s="77" t="s">
        <v>136</v>
      </c>
      <c r="F481" s="253" t="s">
        <v>430</v>
      </c>
      <c r="G481" s="254" t="s">
        <v>1504</v>
      </c>
      <c r="H481" s="254" t="s">
        <v>110</v>
      </c>
      <c r="I481" s="255" t="s">
        <v>245</v>
      </c>
      <c r="J481" s="256" t="s">
        <v>1505</v>
      </c>
      <c r="K481" s="167" t="s">
        <v>80</v>
      </c>
      <c r="L481" s="257" t="s">
        <v>153</v>
      </c>
      <c r="M481" s="258" t="s">
        <v>154</v>
      </c>
      <c r="N481" s="258" t="s">
        <v>80</v>
      </c>
      <c r="O481" s="258" t="s">
        <v>155</v>
      </c>
      <c r="P481" s="259">
        <v>1</v>
      </c>
      <c r="Q481" s="308"/>
      <c r="R481" s="182">
        <v>0</v>
      </c>
      <c r="S481" s="76">
        <v>0</v>
      </c>
      <c r="T481" s="76">
        <v>0</v>
      </c>
      <c r="U481" s="76">
        <v>0</v>
      </c>
      <c r="V481" s="76">
        <v>0</v>
      </c>
      <c r="W481" s="76">
        <v>0</v>
      </c>
      <c r="X481" s="76">
        <v>0</v>
      </c>
      <c r="Y481" s="76">
        <v>0</v>
      </c>
      <c r="Z481" s="76">
        <v>0</v>
      </c>
      <c r="AA481" s="183">
        <v>0</v>
      </c>
      <c r="AB481" s="185">
        <v>0</v>
      </c>
      <c r="AC481" s="76">
        <v>0</v>
      </c>
      <c r="AD481" s="84">
        <v>1</v>
      </c>
      <c r="AE481" s="76">
        <v>0</v>
      </c>
      <c r="AF481" s="76">
        <v>0</v>
      </c>
      <c r="AG481" s="76">
        <v>0</v>
      </c>
      <c r="AH481" s="76">
        <v>0</v>
      </c>
      <c r="AI481" s="76">
        <v>0</v>
      </c>
      <c r="AJ481" s="76">
        <v>0</v>
      </c>
      <c r="AK481" s="183">
        <v>0</v>
      </c>
      <c r="AL481" s="215">
        <f t="shared" si="16"/>
        <v>1</v>
      </c>
      <c r="AM481" s="216">
        <f>0</f>
        <v>0</v>
      </c>
      <c r="AN481" s="217">
        <f t="shared" si="17"/>
        <v>1</v>
      </c>
      <c r="AO481" s="251">
        <v>45099</v>
      </c>
      <c r="AP481" s="151" t="s">
        <v>273</v>
      </c>
      <c r="AQ481" s="153" t="s">
        <v>1655</v>
      </c>
      <c r="AR481" s="108" t="s">
        <v>148</v>
      </c>
      <c r="AS481" s="98"/>
      <c r="AT481" s="104"/>
      <c r="AU481" s="104"/>
      <c r="AV481" s="105"/>
      <c r="AW481" s="104"/>
      <c r="AX481" s="106"/>
      <c r="AY481" s="106"/>
      <c r="AZ481" s="107"/>
      <c r="BA481" s="81"/>
      <c r="BB481" s="81"/>
      <c r="BC481" s="81"/>
    </row>
    <row r="482" spans="1:55" ht="28" customHeight="1" x14ac:dyDescent="0.25">
      <c r="A482" s="131">
        <v>477</v>
      </c>
      <c r="B482" s="141">
        <v>45099</v>
      </c>
      <c r="C482" s="77" t="s">
        <v>134</v>
      </c>
      <c r="D482" s="77" t="s">
        <v>135</v>
      </c>
      <c r="E482" s="77" t="s">
        <v>136</v>
      </c>
      <c r="F482" s="253" t="s">
        <v>430</v>
      </c>
      <c r="G482" s="254" t="s">
        <v>1506</v>
      </c>
      <c r="H482" s="254" t="s">
        <v>110</v>
      </c>
      <c r="I482" s="255" t="s">
        <v>245</v>
      </c>
      <c r="J482" s="256" t="s">
        <v>1507</v>
      </c>
      <c r="K482" s="167" t="s">
        <v>80</v>
      </c>
      <c r="L482" s="257" t="s">
        <v>153</v>
      </c>
      <c r="M482" s="258" t="s">
        <v>154</v>
      </c>
      <c r="N482" s="258" t="s">
        <v>80</v>
      </c>
      <c r="O482" s="258" t="s">
        <v>155</v>
      </c>
      <c r="P482" s="259">
        <v>1</v>
      </c>
      <c r="Q482" s="308"/>
      <c r="R482" s="182">
        <v>0</v>
      </c>
      <c r="S482" s="76">
        <v>0</v>
      </c>
      <c r="T482" s="76">
        <v>0</v>
      </c>
      <c r="U482" s="76">
        <v>0</v>
      </c>
      <c r="V482" s="76">
        <v>0</v>
      </c>
      <c r="W482" s="76">
        <v>0</v>
      </c>
      <c r="X482" s="76">
        <v>0</v>
      </c>
      <c r="Y482" s="76">
        <v>0</v>
      </c>
      <c r="Z482" s="76">
        <v>0</v>
      </c>
      <c r="AA482" s="183">
        <v>0</v>
      </c>
      <c r="AB482" s="185">
        <v>0</v>
      </c>
      <c r="AC482" s="76">
        <v>0</v>
      </c>
      <c r="AD482" s="84">
        <v>1</v>
      </c>
      <c r="AE482" s="76">
        <v>0</v>
      </c>
      <c r="AF482" s="76">
        <v>0</v>
      </c>
      <c r="AG482" s="76">
        <v>0</v>
      </c>
      <c r="AH482" s="76">
        <v>0</v>
      </c>
      <c r="AI482" s="76">
        <v>0</v>
      </c>
      <c r="AJ482" s="76">
        <v>0</v>
      </c>
      <c r="AK482" s="183">
        <v>0</v>
      </c>
      <c r="AL482" s="215">
        <f t="shared" si="16"/>
        <v>1</v>
      </c>
      <c r="AM482" s="216">
        <f>0</f>
        <v>0</v>
      </c>
      <c r="AN482" s="217">
        <f t="shared" si="17"/>
        <v>1</v>
      </c>
      <c r="AO482" s="251">
        <v>45099</v>
      </c>
      <c r="AP482" s="151" t="s">
        <v>273</v>
      </c>
      <c r="AQ482" s="153" t="s">
        <v>1655</v>
      </c>
      <c r="AR482" s="108" t="s">
        <v>148</v>
      </c>
      <c r="AS482" s="98"/>
      <c r="AT482" s="104"/>
      <c r="AU482" s="104"/>
      <c r="AV482" s="105"/>
      <c r="AW482" s="104"/>
      <c r="AX482" s="106"/>
      <c r="AY482" s="106"/>
      <c r="AZ482" s="107"/>
      <c r="BA482" s="81"/>
      <c r="BB482" s="81"/>
      <c r="BC482" s="81"/>
    </row>
    <row r="483" spans="1:55" ht="28" customHeight="1" x14ac:dyDescent="0.25">
      <c r="A483" s="131">
        <v>478</v>
      </c>
      <c r="B483" s="141">
        <v>45099</v>
      </c>
      <c r="C483" s="77" t="s">
        <v>134</v>
      </c>
      <c r="D483" s="77" t="s">
        <v>135</v>
      </c>
      <c r="E483" s="77" t="s">
        <v>136</v>
      </c>
      <c r="F483" s="253" t="s">
        <v>430</v>
      </c>
      <c r="G483" s="254" t="s">
        <v>1508</v>
      </c>
      <c r="H483" s="254" t="s">
        <v>110</v>
      </c>
      <c r="I483" s="255" t="s">
        <v>1509</v>
      </c>
      <c r="J483" s="256" t="s">
        <v>1510</v>
      </c>
      <c r="K483" s="167" t="s">
        <v>80</v>
      </c>
      <c r="L483" s="257" t="s">
        <v>153</v>
      </c>
      <c r="M483" s="258" t="s">
        <v>154</v>
      </c>
      <c r="N483" s="258" t="s">
        <v>80</v>
      </c>
      <c r="O483" s="258" t="s">
        <v>155</v>
      </c>
      <c r="P483" s="259">
        <v>1</v>
      </c>
      <c r="Q483" s="308"/>
      <c r="R483" s="182">
        <v>0</v>
      </c>
      <c r="S483" s="76">
        <v>0</v>
      </c>
      <c r="T483" s="76">
        <v>0</v>
      </c>
      <c r="U483" s="76">
        <v>0</v>
      </c>
      <c r="V483" s="76">
        <v>0</v>
      </c>
      <c r="W483" s="76">
        <v>0</v>
      </c>
      <c r="X483" s="76">
        <v>0</v>
      </c>
      <c r="Y483" s="76">
        <v>0</v>
      </c>
      <c r="Z483" s="76">
        <v>0</v>
      </c>
      <c r="AA483" s="183">
        <v>0</v>
      </c>
      <c r="AB483" s="185">
        <v>0</v>
      </c>
      <c r="AC483" s="76">
        <v>0</v>
      </c>
      <c r="AD483" s="84">
        <v>1</v>
      </c>
      <c r="AE483" s="76">
        <v>0</v>
      </c>
      <c r="AF483" s="76">
        <v>0</v>
      </c>
      <c r="AG483" s="76">
        <v>0</v>
      </c>
      <c r="AH483" s="76">
        <v>0</v>
      </c>
      <c r="AI483" s="76">
        <v>0</v>
      </c>
      <c r="AJ483" s="76">
        <v>0</v>
      </c>
      <c r="AK483" s="183">
        <v>0</v>
      </c>
      <c r="AL483" s="215">
        <f t="shared" si="16"/>
        <v>1</v>
      </c>
      <c r="AM483" s="216">
        <f>0</f>
        <v>0</v>
      </c>
      <c r="AN483" s="217">
        <f t="shared" si="17"/>
        <v>1</v>
      </c>
      <c r="AO483" s="251">
        <v>45099</v>
      </c>
      <c r="AP483" s="151" t="s">
        <v>273</v>
      </c>
      <c r="AQ483" s="153" t="s">
        <v>1655</v>
      </c>
      <c r="AR483" s="108" t="s">
        <v>148</v>
      </c>
      <c r="AS483" s="98"/>
      <c r="AT483" s="104"/>
      <c r="AU483" s="104"/>
      <c r="AV483" s="105"/>
      <c r="AW483" s="104"/>
      <c r="AX483" s="106"/>
      <c r="AY483" s="106"/>
      <c r="AZ483" s="107"/>
      <c r="BA483" s="81"/>
      <c r="BB483" s="81"/>
      <c r="BC483" s="81"/>
    </row>
    <row r="484" spans="1:55" ht="28" customHeight="1" x14ac:dyDescent="0.25">
      <c r="A484" s="131">
        <v>479</v>
      </c>
      <c r="B484" s="141">
        <v>45099</v>
      </c>
      <c r="C484" s="77" t="s">
        <v>134</v>
      </c>
      <c r="D484" s="77" t="s">
        <v>135</v>
      </c>
      <c r="E484" s="77" t="s">
        <v>136</v>
      </c>
      <c r="F484" s="253" t="s">
        <v>430</v>
      </c>
      <c r="G484" s="254" t="s">
        <v>1511</v>
      </c>
      <c r="H484" s="254" t="s">
        <v>110</v>
      </c>
      <c r="I484" s="255" t="s">
        <v>957</v>
      </c>
      <c r="J484" s="256" t="s">
        <v>1512</v>
      </c>
      <c r="K484" s="167" t="s">
        <v>80</v>
      </c>
      <c r="L484" s="257" t="s">
        <v>153</v>
      </c>
      <c r="M484" s="258" t="s">
        <v>154</v>
      </c>
      <c r="N484" s="258" t="s">
        <v>80</v>
      </c>
      <c r="O484" s="258" t="s">
        <v>155</v>
      </c>
      <c r="P484" s="259">
        <v>1</v>
      </c>
      <c r="Q484" s="308"/>
      <c r="R484" s="182">
        <v>0</v>
      </c>
      <c r="S484" s="76">
        <v>0</v>
      </c>
      <c r="T484" s="76">
        <v>0</v>
      </c>
      <c r="U484" s="76">
        <v>0</v>
      </c>
      <c r="V484" s="76">
        <v>0</v>
      </c>
      <c r="W484" s="76">
        <v>0</v>
      </c>
      <c r="X484" s="76">
        <v>0</v>
      </c>
      <c r="Y484" s="76">
        <v>0</v>
      </c>
      <c r="Z484" s="76">
        <v>0</v>
      </c>
      <c r="AA484" s="183">
        <v>0</v>
      </c>
      <c r="AB484" s="185">
        <v>0</v>
      </c>
      <c r="AC484" s="76">
        <v>0</v>
      </c>
      <c r="AD484" s="84">
        <v>1</v>
      </c>
      <c r="AE484" s="76">
        <v>0</v>
      </c>
      <c r="AF484" s="76">
        <v>0</v>
      </c>
      <c r="AG484" s="76">
        <v>0</v>
      </c>
      <c r="AH484" s="76">
        <v>0</v>
      </c>
      <c r="AI484" s="76">
        <v>0</v>
      </c>
      <c r="AJ484" s="76">
        <v>0</v>
      </c>
      <c r="AK484" s="183">
        <v>0</v>
      </c>
      <c r="AL484" s="215">
        <f t="shared" si="16"/>
        <v>1</v>
      </c>
      <c r="AM484" s="216">
        <f>0</f>
        <v>0</v>
      </c>
      <c r="AN484" s="217">
        <f t="shared" si="17"/>
        <v>1</v>
      </c>
      <c r="AO484" s="251">
        <v>45099</v>
      </c>
      <c r="AP484" s="151" t="s">
        <v>273</v>
      </c>
      <c r="AQ484" s="153" t="s">
        <v>1655</v>
      </c>
      <c r="AR484" s="108" t="s">
        <v>148</v>
      </c>
      <c r="AS484" s="98"/>
      <c r="AT484" s="104"/>
      <c r="AU484" s="104"/>
      <c r="AV484" s="105"/>
      <c r="AW484" s="104"/>
      <c r="AX484" s="106"/>
      <c r="AY484" s="106"/>
      <c r="AZ484" s="107"/>
      <c r="BA484" s="81"/>
      <c r="BB484" s="81"/>
      <c r="BC484" s="81"/>
    </row>
    <row r="485" spans="1:55" ht="28" customHeight="1" x14ac:dyDescent="0.25">
      <c r="A485" s="131">
        <v>480</v>
      </c>
      <c r="B485" s="141">
        <v>45099</v>
      </c>
      <c r="C485" s="77" t="s">
        <v>134</v>
      </c>
      <c r="D485" s="77" t="s">
        <v>135</v>
      </c>
      <c r="E485" s="77" t="s">
        <v>136</v>
      </c>
      <c r="F485" s="253" t="s">
        <v>430</v>
      </c>
      <c r="G485" s="254" t="s">
        <v>1513</v>
      </c>
      <c r="H485" s="254" t="s">
        <v>110</v>
      </c>
      <c r="I485" s="255" t="s">
        <v>1514</v>
      </c>
      <c r="J485" s="256" t="s">
        <v>1515</v>
      </c>
      <c r="K485" s="167" t="s">
        <v>80</v>
      </c>
      <c r="L485" s="257" t="s">
        <v>153</v>
      </c>
      <c r="M485" s="258" t="s">
        <v>154</v>
      </c>
      <c r="N485" s="258" t="s">
        <v>80</v>
      </c>
      <c r="O485" s="258" t="s">
        <v>155</v>
      </c>
      <c r="P485" s="259">
        <v>1</v>
      </c>
      <c r="Q485" s="308"/>
      <c r="R485" s="182">
        <v>0</v>
      </c>
      <c r="S485" s="76">
        <v>0</v>
      </c>
      <c r="T485" s="76">
        <v>0</v>
      </c>
      <c r="U485" s="76">
        <v>0</v>
      </c>
      <c r="V485" s="76">
        <v>0</v>
      </c>
      <c r="W485" s="76">
        <v>0</v>
      </c>
      <c r="X485" s="76">
        <v>0</v>
      </c>
      <c r="Y485" s="76">
        <v>0</v>
      </c>
      <c r="Z485" s="76">
        <v>0</v>
      </c>
      <c r="AA485" s="183">
        <v>0</v>
      </c>
      <c r="AB485" s="185">
        <v>0</v>
      </c>
      <c r="AC485" s="76">
        <v>0</v>
      </c>
      <c r="AD485" s="84">
        <v>1</v>
      </c>
      <c r="AE485" s="76">
        <v>0</v>
      </c>
      <c r="AF485" s="76">
        <v>0</v>
      </c>
      <c r="AG485" s="76">
        <v>0</v>
      </c>
      <c r="AH485" s="76">
        <v>0</v>
      </c>
      <c r="AI485" s="76">
        <v>0</v>
      </c>
      <c r="AJ485" s="76">
        <v>0</v>
      </c>
      <c r="AK485" s="183">
        <v>0</v>
      </c>
      <c r="AL485" s="215">
        <f t="shared" si="16"/>
        <v>1</v>
      </c>
      <c r="AM485" s="216">
        <f>0</f>
        <v>0</v>
      </c>
      <c r="AN485" s="217">
        <f t="shared" si="17"/>
        <v>1</v>
      </c>
      <c r="AO485" s="251">
        <v>45099</v>
      </c>
      <c r="AP485" s="151" t="s">
        <v>273</v>
      </c>
      <c r="AQ485" s="153" t="s">
        <v>1655</v>
      </c>
      <c r="AR485" s="108" t="s">
        <v>148</v>
      </c>
      <c r="AS485" s="98"/>
      <c r="AT485" s="104"/>
      <c r="AU485" s="104"/>
      <c r="AV485" s="105"/>
      <c r="AW485" s="104"/>
      <c r="AX485" s="106"/>
      <c r="AY485" s="106"/>
      <c r="AZ485" s="107"/>
      <c r="BA485" s="81"/>
      <c r="BB485" s="81"/>
      <c r="BC485" s="81"/>
    </row>
    <row r="486" spans="1:55" ht="28" customHeight="1" x14ac:dyDescent="0.25">
      <c r="A486" s="131">
        <v>481</v>
      </c>
      <c r="B486" s="141">
        <v>45099</v>
      </c>
      <c r="C486" s="77" t="s">
        <v>134</v>
      </c>
      <c r="D486" s="77" t="s">
        <v>135</v>
      </c>
      <c r="E486" s="77" t="s">
        <v>136</v>
      </c>
      <c r="F486" s="253" t="s">
        <v>430</v>
      </c>
      <c r="G486" s="254" t="s">
        <v>1516</v>
      </c>
      <c r="H486" s="254" t="s">
        <v>110</v>
      </c>
      <c r="I486" s="255" t="s">
        <v>245</v>
      </c>
      <c r="J486" s="256" t="s">
        <v>1517</v>
      </c>
      <c r="K486" s="167" t="s">
        <v>80</v>
      </c>
      <c r="L486" s="257" t="s">
        <v>153</v>
      </c>
      <c r="M486" s="258" t="s">
        <v>154</v>
      </c>
      <c r="N486" s="258" t="s">
        <v>80</v>
      </c>
      <c r="O486" s="258" t="s">
        <v>155</v>
      </c>
      <c r="P486" s="259">
        <v>2</v>
      </c>
      <c r="Q486" s="308"/>
      <c r="R486" s="182">
        <v>0</v>
      </c>
      <c r="S486" s="76">
        <v>0</v>
      </c>
      <c r="T486" s="76">
        <v>0</v>
      </c>
      <c r="U486" s="76">
        <v>0</v>
      </c>
      <c r="V486" s="76">
        <v>0</v>
      </c>
      <c r="W486" s="76">
        <v>0</v>
      </c>
      <c r="X486" s="76">
        <v>0</v>
      </c>
      <c r="Y486" s="76">
        <v>0</v>
      </c>
      <c r="Z486" s="76">
        <v>0</v>
      </c>
      <c r="AA486" s="183">
        <v>0</v>
      </c>
      <c r="AB486" s="185">
        <v>0</v>
      </c>
      <c r="AC486" s="76">
        <v>0</v>
      </c>
      <c r="AD486" s="84">
        <v>2</v>
      </c>
      <c r="AE486" s="76">
        <v>0</v>
      </c>
      <c r="AF486" s="76">
        <v>0</v>
      </c>
      <c r="AG486" s="76">
        <v>0</v>
      </c>
      <c r="AH486" s="76">
        <v>0</v>
      </c>
      <c r="AI486" s="76">
        <v>0</v>
      </c>
      <c r="AJ486" s="76">
        <v>0</v>
      </c>
      <c r="AK486" s="183">
        <v>0</v>
      </c>
      <c r="AL486" s="215">
        <f t="shared" si="16"/>
        <v>2</v>
      </c>
      <c r="AM486" s="216">
        <f>0</f>
        <v>0</v>
      </c>
      <c r="AN486" s="217">
        <f t="shared" si="17"/>
        <v>2</v>
      </c>
      <c r="AO486" s="251">
        <v>45099</v>
      </c>
      <c r="AP486" s="151" t="s">
        <v>273</v>
      </c>
      <c r="AQ486" s="153" t="s">
        <v>1655</v>
      </c>
      <c r="AR486" s="108" t="s">
        <v>148</v>
      </c>
      <c r="AS486" s="98"/>
      <c r="AT486" s="104"/>
      <c r="AU486" s="104"/>
      <c r="AV486" s="105"/>
      <c r="AW486" s="104"/>
      <c r="AX486" s="106"/>
      <c r="AY486" s="106"/>
      <c r="AZ486" s="107"/>
      <c r="BA486" s="81"/>
      <c r="BB486" s="81"/>
      <c r="BC486" s="81"/>
    </row>
    <row r="487" spans="1:55" ht="28" customHeight="1" x14ac:dyDescent="0.25">
      <c r="A487" s="131">
        <v>482</v>
      </c>
      <c r="B487" s="141">
        <v>45099</v>
      </c>
      <c r="C487" s="77" t="s">
        <v>134</v>
      </c>
      <c r="D487" s="77" t="s">
        <v>135</v>
      </c>
      <c r="E487" s="77" t="s">
        <v>136</v>
      </c>
      <c r="F487" s="253" t="s">
        <v>430</v>
      </c>
      <c r="G487" s="254" t="s">
        <v>1518</v>
      </c>
      <c r="H487" s="254" t="s">
        <v>110</v>
      </c>
      <c r="I487" s="255" t="s">
        <v>1415</v>
      </c>
      <c r="J487" s="256" t="s">
        <v>1519</v>
      </c>
      <c r="K487" s="167" t="s">
        <v>80</v>
      </c>
      <c r="L487" s="257" t="s">
        <v>153</v>
      </c>
      <c r="M487" s="258" t="s">
        <v>154</v>
      </c>
      <c r="N487" s="258" t="s">
        <v>80</v>
      </c>
      <c r="O487" s="258" t="s">
        <v>155</v>
      </c>
      <c r="P487" s="259">
        <v>1</v>
      </c>
      <c r="Q487" s="308"/>
      <c r="R487" s="182">
        <v>0</v>
      </c>
      <c r="S487" s="76">
        <v>0</v>
      </c>
      <c r="T487" s="76">
        <v>0</v>
      </c>
      <c r="U487" s="76">
        <v>0</v>
      </c>
      <c r="V487" s="76">
        <v>0</v>
      </c>
      <c r="W487" s="76">
        <v>0</v>
      </c>
      <c r="X487" s="76">
        <v>0</v>
      </c>
      <c r="Y487" s="76">
        <v>0</v>
      </c>
      <c r="Z487" s="76">
        <v>0</v>
      </c>
      <c r="AA487" s="183">
        <v>0</v>
      </c>
      <c r="AB487" s="185">
        <v>0</v>
      </c>
      <c r="AC487" s="76">
        <v>0</v>
      </c>
      <c r="AD487" s="84">
        <v>1</v>
      </c>
      <c r="AE487" s="76">
        <v>0</v>
      </c>
      <c r="AF487" s="76">
        <v>0</v>
      </c>
      <c r="AG487" s="76">
        <v>0</v>
      </c>
      <c r="AH487" s="76">
        <v>0</v>
      </c>
      <c r="AI487" s="76">
        <v>0</v>
      </c>
      <c r="AJ487" s="76">
        <v>0</v>
      </c>
      <c r="AK487" s="183">
        <v>0</v>
      </c>
      <c r="AL487" s="215">
        <f t="shared" si="16"/>
        <v>1</v>
      </c>
      <c r="AM487" s="216">
        <f>0</f>
        <v>0</v>
      </c>
      <c r="AN487" s="217">
        <f t="shared" si="17"/>
        <v>1</v>
      </c>
      <c r="AO487" s="251">
        <v>45099</v>
      </c>
      <c r="AP487" s="151" t="s">
        <v>273</v>
      </c>
      <c r="AQ487" s="153" t="s">
        <v>1655</v>
      </c>
      <c r="AR487" s="108" t="s">
        <v>148</v>
      </c>
      <c r="AS487" s="98"/>
      <c r="AT487" s="104"/>
      <c r="AU487" s="104"/>
      <c r="AV487" s="105"/>
      <c r="AW487" s="104"/>
      <c r="AX487" s="106"/>
      <c r="AY487" s="106"/>
      <c r="AZ487" s="107"/>
      <c r="BA487" s="81"/>
      <c r="BB487" s="81"/>
      <c r="BC487" s="81"/>
    </row>
    <row r="488" spans="1:55" ht="28" customHeight="1" x14ac:dyDescent="0.25">
      <c r="A488" s="131">
        <v>483</v>
      </c>
      <c r="B488" s="141">
        <v>45099</v>
      </c>
      <c r="C488" s="77" t="s">
        <v>134</v>
      </c>
      <c r="D488" s="77" t="s">
        <v>135</v>
      </c>
      <c r="E488" s="77" t="s">
        <v>136</v>
      </c>
      <c r="F488" s="253" t="s">
        <v>430</v>
      </c>
      <c r="G488" s="254" t="s">
        <v>1520</v>
      </c>
      <c r="H488" s="254" t="s">
        <v>110</v>
      </c>
      <c r="I488" s="255" t="s">
        <v>163</v>
      </c>
      <c r="J488" s="256" t="s">
        <v>1521</v>
      </c>
      <c r="K488" s="167" t="s">
        <v>80</v>
      </c>
      <c r="L488" s="257" t="s">
        <v>153</v>
      </c>
      <c r="M488" s="258" t="s">
        <v>154</v>
      </c>
      <c r="N488" s="258" t="s">
        <v>80</v>
      </c>
      <c r="O488" s="258" t="s">
        <v>155</v>
      </c>
      <c r="P488" s="259">
        <v>1</v>
      </c>
      <c r="Q488" s="308"/>
      <c r="R488" s="182">
        <v>0</v>
      </c>
      <c r="S488" s="76">
        <v>0</v>
      </c>
      <c r="T488" s="76">
        <v>0</v>
      </c>
      <c r="U488" s="76">
        <v>0</v>
      </c>
      <c r="V488" s="76">
        <v>0</v>
      </c>
      <c r="W488" s="76">
        <v>0</v>
      </c>
      <c r="X488" s="76">
        <v>0</v>
      </c>
      <c r="Y488" s="76">
        <v>0</v>
      </c>
      <c r="Z488" s="76">
        <v>0</v>
      </c>
      <c r="AA488" s="183">
        <v>0</v>
      </c>
      <c r="AB488" s="185">
        <v>0</v>
      </c>
      <c r="AC488" s="76">
        <v>0</v>
      </c>
      <c r="AD488" s="84">
        <v>1</v>
      </c>
      <c r="AE488" s="76">
        <v>0</v>
      </c>
      <c r="AF488" s="76">
        <v>0</v>
      </c>
      <c r="AG488" s="76">
        <v>0</v>
      </c>
      <c r="AH488" s="76">
        <v>0</v>
      </c>
      <c r="AI488" s="76">
        <v>0</v>
      </c>
      <c r="AJ488" s="76">
        <v>0</v>
      </c>
      <c r="AK488" s="183">
        <v>0</v>
      </c>
      <c r="AL488" s="215">
        <f t="shared" si="16"/>
        <v>1</v>
      </c>
      <c r="AM488" s="216">
        <f>0</f>
        <v>0</v>
      </c>
      <c r="AN488" s="217">
        <f t="shared" si="17"/>
        <v>1</v>
      </c>
      <c r="AO488" s="251">
        <v>45099</v>
      </c>
      <c r="AP488" s="151" t="s">
        <v>273</v>
      </c>
      <c r="AQ488" s="153" t="s">
        <v>1655</v>
      </c>
      <c r="AR488" s="108" t="s">
        <v>148</v>
      </c>
      <c r="AS488" s="98"/>
      <c r="AT488" s="104"/>
      <c r="AU488" s="104"/>
      <c r="AV488" s="105"/>
      <c r="AW488" s="104"/>
      <c r="AX488" s="106"/>
      <c r="AY488" s="106"/>
      <c r="AZ488" s="107"/>
      <c r="BA488" s="81"/>
      <c r="BB488" s="81"/>
      <c r="BC488" s="81"/>
    </row>
    <row r="489" spans="1:55" ht="28" customHeight="1" x14ac:dyDescent="0.25">
      <c r="A489" s="131">
        <v>484</v>
      </c>
      <c r="B489" s="141">
        <v>45099</v>
      </c>
      <c r="C489" s="77" t="s">
        <v>134</v>
      </c>
      <c r="D489" s="77" t="s">
        <v>135</v>
      </c>
      <c r="E489" s="77" t="s">
        <v>136</v>
      </c>
      <c r="F489" s="253" t="s">
        <v>430</v>
      </c>
      <c r="G489" s="254" t="s">
        <v>1522</v>
      </c>
      <c r="H489" s="254" t="s">
        <v>110</v>
      </c>
      <c r="I489" s="255" t="s">
        <v>1523</v>
      </c>
      <c r="J489" s="256" t="s">
        <v>1524</v>
      </c>
      <c r="K489" s="167" t="s">
        <v>80</v>
      </c>
      <c r="L489" s="257" t="s">
        <v>153</v>
      </c>
      <c r="M489" s="258" t="s">
        <v>154</v>
      </c>
      <c r="N489" s="258" t="s">
        <v>80</v>
      </c>
      <c r="O489" s="258" t="s">
        <v>155</v>
      </c>
      <c r="P489" s="259">
        <v>1</v>
      </c>
      <c r="Q489" s="308"/>
      <c r="R489" s="182">
        <v>0</v>
      </c>
      <c r="S489" s="76">
        <v>0</v>
      </c>
      <c r="T489" s="76">
        <v>0</v>
      </c>
      <c r="U489" s="76">
        <v>0</v>
      </c>
      <c r="V489" s="76">
        <v>0</v>
      </c>
      <c r="W489" s="76">
        <v>0</v>
      </c>
      <c r="X489" s="76">
        <v>0</v>
      </c>
      <c r="Y489" s="76">
        <v>0</v>
      </c>
      <c r="Z489" s="76">
        <v>0</v>
      </c>
      <c r="AA489" s="183">
        <v>0</v>
      </c>
      <c r="AB489" s="185">
        <v>0</v>
      </c>
      <c r="AC489" s="76">
        <v>0</v>
      </c>
      <c r="AD489" s="84">
        <v>1</v>
      </c>
      <c r="AE489" s="76">
        <v>0</v>
      </c>
      <c r="AF489" s="76">
        <v>0</v>
      </c>
      <c r="AG489" s="76">
        <v>0</v>
      </c>
      <c r="AH489" s="76">
        <v>0</v>
      </c>
      <c r="AI489" s="76">
        <v>0</v>
      </c>
      <c r="AJ489" s="76">
        <v>0</v>
      </c>
      <c r="AK489" s="183">
        <v>0</v>
      </c>
      <c r="AL489" s="215">
        <f t="shared" si="16"/>
        <v>1</v>
      </c>
      <c r="AM489" s="216">
        <f>0</f>
        <v>0</v>
      </c>
      <c r="AN489" s="217">
        <f t="shared" si="17"/>
        <v>1</v>
      </c>
      <c r="AO489" s="251">
        <v>45099</v>
      </c>
      <c r="AP489" s="151" t="s">
        <v>273</v>
      </c>
      <c r="AQ489" s="153" t="s">
        <v>1655</v>
      </c>
      <c r="AR489" s="108" t="s">
        <v>148</v>
      </c>
      <c r="AS489" s="98"/>
      <c r="AT489" s="104"/>
      <c r="AU489" s="104"/>
      <c r="AV489" s="105"/>
      <c r="AW489" s="104"/>
      <c r="AX489" s="106"/>
      <c r="AY489" s="106"/>
      <c r="AZ489" s="107"/>
      <c r="BA489" s="81"/>
      <c r="BB489" s="81"/>
      <c r="BC489" s="81"/>
    </row>
    <row r="490" spans="1:55" ht="28" customHeight="1" x14ac:dyDescent="0.25">
      <c r="A490" s="131">
        <v>485</v>
      </c>
      <c r="B490" s="141">
        <v>45099</v>
      </c>
      <c r="C490" s="77" t="s">
        <v>134</v>
      </c>
      <c r="D490" s="77" t="s">
        <v>135</v>
      </c>
      <c r="E490" s="77" t="s">
        <v>136</v>
      </c>
      <c r="F490" s="253" t="s">
        <v>430</v>
      </c>
      <c r="G490" s="254" t="s">
        <v>1525</v>
      </c>
      <c r="H490" s="254" t="s">
        <v>110</v>
      </c>
      <c r="I490" s="255" t="s">
        <v>245</v>
      </c>
      <c r="J490" s="256" t="s">
        <v>1526</v>
      </c>
      <c r="K490" s="167" t="s">
        <v>80</v>
      </c>
      <c r="L490" s="257" t="s">
        <v>153</v>
      </c>
      <c r="M490" s="258" t="s">
        <v>154</v>
      </c>
      <c r="N490" s="258" t="s">
        <v>80</v>
      </c>
      <c r="O490" s="258" t="s">
        <v>155</v>
      </c>
      <c r="P490" s="259">
        <v>1</v>
      </c>
      <c r="Q490" s="308"/>
      <c r="R490" s="182">
        <v>0</v>
      </c>
      <c r="S490" s="76">
        <v>0</v>
      </c>
      <c r="T490" s="76">
        <v>0</v>
      </c>
      <c r="U490" s="76">
        <v>0</v>
      </c>
      <c r="V490" s="76">
        <v>0</v>
      </c>
      <c r="W490" s="76">
        <v>0</v>
      </c>
      <c r="X490" s="76">
        <v>0</v>
      </c>
      <c r="Y490" s="76">
        <v>0</v>
      </c>
      <c r="Z490" s="76">
        <v>0</v>
      </c>
      <c r="AA490" s="183">
        <v>0</v>
      </c>
      <c r="AB490" s="185">
        <v>0</v>
      </c>
      <c r="AC490" s="76">
        <v>0</v>
      </c>
      <c r="AD490" s="84">
        <v>1</v>
      </c>
      <c r="AE490" s="76">
        <v>0</v>
      </c>
      <c r="AF490" s="76">
        <v>0</v>
      </c>
      <c r="AG490" s="76">
        <v>0</v>
      </c>
      <c r="AH490" s="76">
        <v>0</v>
      </c>
      <c r="AI490" s="76">
        <v>0</v>
      </c>
      <c r="AJ490" s="76">
        <v>0</v>
      </c>
      <c r="AK490" s="183">
        <v>0</v>
      </c>
      <c r="AL490" s="215">
        <f t="shared" si="16"/>
        <v>1</v>
      </c>
      <c r="AM490" s="216">
        <f>0</f>
        <v>0</v>
      </c>
      <c r="AN490" s="217">
        <f t="shared" si="17"/>
        <v>1</v>
      </c>
      <c r="AO490" s="251">
        <v>45099</v>
      </c>
      <c r="AP490" s="151" t="s">
        <v>273</v>
      </c>
      <c r="AQ490" s="153" t="s">
        <v>1655</v>
      </c>
      <c r="AR490" s="108" t="s">
        <v>148</v>
      </c>
      <c r="AS490" s="98"/>
      <c r="AT490" s="104"/>
      <c r="AU490" s="104"/>
      <c r="AV490" s="105"/>
      <c r="AW490" s="104"/>
      <c r="AX490" s="106"/>
      <c r="AY490" s="106"/>
      <c r="AZ490" s="107"/>
      <c r="BA490" s="81"/>
      <c r="BB490" s="81"/>
      <c r="BC490" s="81"/>
    </row>
    <row r="491" spans="1:55" ht="28" customHeight="1" x14ac:dyDescent="0.25">
      <c r="A491" s="131">
        <v>486</v>
      </c>
      <c r="B491" s="141">
        <v>45099</v>
      </c>
      <c r="C491" s="85"/>
      <c r="D491" s="85"/>
      <c r="E491" s="85" t="s">
        <v>136</v>
      </c>
      <c r="F491" s="253" t="s">
        <v>430</v>
      </c>
      <c r="G491" s="254" t="s">
        <v>1527</v>
      </c>
      <c r="H491" s="254" t="s">
        <v>110</v>
      </c>
      <c r="I491" s="255" t="s">
        <v>245</v>
      </c>
      <c r="J491" s="256" t="s">
        <v>1528</v>
      </c>
      <c r="K491" s="167" t="s">
        <v>80</v>
      </c>
      <c r="L491" s="257" t="s">
        <v>153</v>
      </c>
      <c r="M491" s="258" t="s">
        <v>154</v>
      </c>
      <c r="N491" s="258" t="s">
        <v>80</v>
      </c>
      <c r="O491" s="258" t="s">
        <v>155</v>
      </c>
      <c r="P491" s="259">
        <v>1</v>
      </c>
      <c r="Q491" s="308"/>
      <c r="R491" s="182">
        <v>0</v>
      </c>
      <c r="S491" s="76">
        <v>0</v>
      </c>
      <c r="T491" s="76">
        <v>0</v>
      </c>
      <c r="U491" s="76">
        <v>0</v>
      </c>
      <c r="V491" s="76">
        <v>0</v>
      </c>
      <c r="W491" s="76">
        <v>0</v>
      </c>
      <c r="X491" s="76">
        <v>0</v>
      </c>
      <c r="Y491" s="76">
        <v>0</v>
      </c>
      <c r="Z491" s="76">
        <v>0</v>
      </c>
      <c r="AA491" s="183">
        <v>0</v>
      </c>
      <c r="AB491" s="185">
        <v>0</v>
      </c>
      <c r="AC491" s="76">
        <v>0</v>
      </c>
      <c r="AD491" s="84">
        <v>1</v>
      </c>
      <c r="AE491" s="76">
        <v>0</v>
      </c>
      <c r="AF491" s="76">
        <v>0</v>
      </c>
      <c r="AG491" s="76">
        <v>0</v>
      </c>
      <c r="AH491" s="76">
        <v>0</v>
      </c>
      <c r="AI491" s="76">
        <v>0</v>
      </c>
      <c r="AJ491" s="76">
        <v>0</v>
      </c>
      <c r="AK491" s="183">
        <v>0</v>
      </c>
      <c r="AL491" s="215">
        <f t="shared" si="16"/>
        <v>1</v>
      </c>
      <c r="AM491" s="216">
        <f>0</f>
        <v>0</v>
      </c>
      <c r="AN491" s="217">
        <f t="shared" si="17"/>
        <v>1</v>
      </c>
      <c r="AO491" s="251">
        <v>45099</v>
      </c>
      <c r="AP491" s="151" t="s">
        <v>273</v>
      </c>
      <c r="AQ491" s="153" t="s">
        <v>1655</v>
      </c>
      <c r="AR491" s="108" t="s">
        <v>148</v>
      </c>
      <c r="AS491" s="98"/>
      <c r="AT491" s="104"/>
      <c r="AU491" s="104"/>
      <c r="AV491" s="105"/>
      <c r="AW491" s="104"/>
      <c r="AX491" s="106"/>
      <c r="AY491" s="106"/>
      <c r="AZ491" s="107"/>
      <c r="BA491" s="81"/>
      <c r="BB491" s="81"/>
      <c r="BC491" s="81"/>
    </row>
    <row r="492" spans="1:55" ht="28" customHeight="1" x14ac:dyDescent="0.25">
      <c r="A492" s="131">
        <v>487</v>
      </c>
      <c r="B492" s="141">
        <v>45099</v>
      </c>
      <c r="C492" s="77" t="s">
        <v>134</v>
      </c>
      <c r="D492" s="77" t="s">
        <v>135</v>
      </c>
      <c r="E492" s="77" t="s">
        <v>136</v>
      </c>
      <c r="F492" s="253" t="s">
        <v>430</v>
      </c>
      <c r="G492" s="254" t="s">
        <v>1529</v>
      </c>
      <c r="H492" s="254" t="s">
        <v>110</v>
      </c>
      <c r="I492" s="255" t="s">
        <v>782</v>
      </c>
      <c r="J492" s="256" t="s">
        <v>1530</v>
      </c>
      <c r="K492" s="167" t="s">
        <v>80</v>
      </c>
      <c r="L492" s="257" t="s">
        <v>153</v>
      </c>
      <c r="M492" s="258" t="s">
        <v>154</v>
      </c>
      <c r="N492" s="258" t="s">
        <v>80</v>
      </c>
      <c r="O492" s="258" t="s">
        <v>155</v>
      </c>
      <c r="P492" s="259">
        <v>1</v>
      </c>
      <c r="Q492" s="308"/>
      <c r="R492" s="182">
        <v>0</v>
      </c>
      <c r="S492" s="76">
        <v>0</v>
      </c>
      <c r="T492" s="76">
        <v>0</v>
      </c>
      <c r="U492" s="76">
        <v>0</v>
      </c>
      <c r="V492" s="76">
        <v>0</v>
      </c>
      <c r="W492" s="76">
        <v>0</v>
      </c>
      <c r="X492" s="76">
        <v>0</v>
      </c>
      <c r="Y492" s="76">
        <v>0</v>
      </c>
      <c r="Z492" s="76">
        <v>0</v>
      </c>
      <c r="AA492" s="183">
        <v>0</v>
      </c>
      <c r="AB492" s="185">
        <v>0</v>
      </c>
      <c r="AC492" s="76">
        <v>0</v>
      </c>
      <c r="AD492" s="84">
        <v>1</v>
      </c>
      <c r="AE492" s="76">
        <v>0</v>
      </c>
      <c r="AF492" s="76">
        <v>0</v>
      </c>
      <c r="AG492" s="76">
        <v>0</v>
      </c>
      <c r="AH492" s="76">
        <v>0</v>
      </c>
      <c r="AI492" s="76">
        <v>0</v>
      </c>
      <c r="AJ492" s="76">
        <v>0</v>
      </c>
      <c r="AK492" s="183">
        <v>0</v>
      </c>
      <c r="AL492" s="215">
        <f t="shared" si="16"/>
        <v>1</v>
      </c>
      <c r="AM492" s="216">
        <f>0</f>
        <v>0</v>
      </c>
      <c r="AN492" s="217">
        <f t="shared" si="17"/>
        <v>1</v>
      </c>
      <c r="AO492" s="251">
        <v>45099</v>
      </c>
      <c r="AP492" s="151" t="s">
        <v>273</v>
      </c>
      <c r="AQ492" s="153" t="s">
        <v>1655</v>
      </c>
      <c r="AR492" s="108" t="s">
        <v>148</v>
      </c>
      <c r="AS492" s="98"/>
      <c r="AT492" s="104"/>
      <c r="AU492" s="104"/>
      <c r="AV492" s="105"/>
      <c r="AW492" s="104"/>
      <c r="AX492" s="106"/>
      <c r="AY492" s="106"/>
      <c r="AZ492" s="107"/>
      <c r="BA492" s="81"/>
      <c r="BB492" s="81"/>
      <c r="BC492" s="81"/>
    </row>
    <row r="493" spans="1:55" ht="28" customHeight="1" x14ac:dyDescent="0.25">
      <c r="A493" s="131">
        <v>488</v>
      </c>
      <c r="B493" s="141">
        <v>45099</v>
      </c>
      <c r="C493" s="77" t="s">
        <v>134</v>
      </c>
      <c r="D493" s="77" t="s">
        <v>135</v>
      </c>
      <c r="E493" s="77" t="s">
        <v>136</v>
      </c>
      <c r="F493" s="253" t="s">
        <v>430</v>
      </c>
      <c r="G493" s="254" t="s">
        <v>1531</v>
      </c>
      <c r="H493" s="254" t="s">
        <v>110</v>
      </c>
      <c r="I493" s="255" t="s">
        <v>1532</v>
      </c>
      <c r="J493" s="256" t="s">
        <v>1533</v>
      </c>
      <c r="K493" s="167" t="s">
        <v>80</v>
      </c>
      <c r="L493" s="257" t="s">
        <v>153</v>
      </c>
      <c r="M493" s="258" t="s">
        <v>154</v>
      </c>
      <c r="N493" s="258" t="s">
        <v>80</v>
      </c>
      <c r="O493" s="258" t="s">
        <v>155</v>
      </c>
      <c r="P493" s="259">
        <v>2</v>
      </c>
      <c r="Q493" s="308"/>
      <c r="R493" s="182">
        <v>0</v>
      </c>
      <c r="S493" s="76">
        <v>0</v>
      </c>
      <c r="T493" s="76">
        <v>0</v>
      </c>
      <c r="U493" s="76">
        <v>0</v>
      </c>
      <c r="V493" s="76">
        <v>0</v>
      </c>
      <c r="W493" s="76">
        <v>0</v>
      </c>
      <c r="X493" s="76">
        <v>0</v>
      </c>
      <c r="Y493" s="76">
        <v>0</v>
      </c>
      <c r="Z493" s="76">
        <v>0</v>
      </c>
      <c r="AA493" s="183">
        <v>0</v>
      </c>
      <c r="AB493" s="185">
        <v>0</v>
      </c>
      <c r="AC493" s="76">
        <v>0</v>
      </c>
      <c r="AD493" s="84">
        <v>2</v>
      </c>
      <c r="AE493" s="76">
        <v>0</v>
      </c>
      <c r="AF493" s="76">
        <v>0</v>
      </c>
      <c r="AG493" s="76">
        <v>0</v>
      </c>
      <c r="AH493" s="76">
        <v>0</v>
      </c>
      <c r="AI493" s="76">
        <v>0</v>
      </c>
      <c r="AJ493" s="76">
        <v>0</v>
      </c>
      <c r="AK493" s="183">
        <v>0</v>
      </c>
      <c r="AL493" s="215">
        <f t="shared" si="16"/>
        <v>2</v>
      </c>
      <c r="AM493" s="216">
        <f>0</f>
        <v>0</v>
      </c>
      <c r="AN493" s="217">
        <f t="shared" si="17"/>
        <v>2</v>
      </c>
      <c r="AO493" s="251">
        <v>45099</v>
      </c>
      <c r="AP493" s="151" t="s">
        <v>273</v>
      </c>
      <c r="AQ493" s="153" t="s">
        <v>1655</v>
      </c>
      <c r="AR493" s="108" t="s">
        <v>148</v>
      </c>
      <c r="AS493" s="98"/>
      <c r="AT493" s="104"/>
      <c r="AU493" s="104"/>
      <c r="AV493" s="105"/>
      <c r="AW493" s="104"/>
      <c r="AX493" s="106"/>
      <c r="AY493" s="106"/>
      <c r="AZ493" s="107"/>
      <c r="BA493" s="81"/>
      <c r="BB493" s="81"/>
      <c r="BC493" s="81"/>
    </row>
    <row r="494" spans="1:55" ht="28" customHeight="1" x14ac:dyDescent="0.25">
      <c r="A494" s="131">
        <v>489</v>
      </c>
      <c r="B494" s="141">
        <v>45099</v>
      </c>
      <c r="C494" s="77" t="s">
        <v>134</v>
      </c>
      <c r="D494" s="77" t="s">
        <v>135</v>
      </c>
      <c r="E494" s="77" t="s">
        <v>136</v>
      </c>
      <c r="F494" s="253" t="s">
        <v>430</v>
      </c>
      <c r="G494" s="254" t="s">
        <v>1534</v>
      </c>
      <c r="H494" s="254" t="s">
        <v>110</v>
      </c>
      <c r="I494" s="255" t="s">
        <v>245</v>
      </c>
      <c r="J494" s="256" t="s">
        <v>1535</v>
      </c>
      <c r="K494" s="167" t="s">
        <v>80</v>
      </c>
      <c r="L494" s="257" t="s">
        <v>153</v>
      </c>
      <c r="M494" s="258" t="s">
        <v>154</v>
      </c>
      <c r="N494" s="258" t="s">
        <v>80</v>
      </c>
      <c r="O494" s="258" t="s">
        <v>155</v>
      </c>
      <c r="P494" s="259">
        <v>2</v>
      </c>
      <c r="Q494" s="308"/>
      <c r="R494" s="182">
        <v>0</v>
      </c>
      <c r="S494" s="76">
        <v>0</v>
      </c>
      <c r="T494" s="76">
        <v>0</v>
      </c>
      <c r="U494" s="76">
        <v>0</v>
      </c>
      <c r="V494" s="76">
        <v>0</v>
      </c>
      <c r="W494" s="76">
        <v>0</v>
      </c>
      <c r="X494" s="76">
        <v>0</v>
      </c>
      <c r="Y494" s="76">
        <v>0</v>
      </c>
      <c r="Z494" s="76">
        <v>0</v>
      </c>
      <c r="AA494" s="183">
        <v>0</v>
      </c>
      <c r="AB494" s="185">
        <v>0</v>
      </c>
      <c r="AC494" s="76">
        <v>0</v>
      </c>
      <c r="AD494" s="84">
        <v>2</v>
      </c>
      <c r="AE494" s="76">
        <v>0</v>
      </c>
      <c r="AF494" s="76">
        <v>0</v>
      </c>
      <c r="AG494" s="76">
        <v>0</v>
      </c>
      <c r="AH494" s="76">
        <v>0</v>
      </c>
      <c r="AI494" s="76">
        <v>0</v>
      </c>
      <c r="AJ494" s="76">
        <v>0</v>
      </c>
      <c r="AK494" s="183">
        <v>0</v>
      </c>
      <c r="AL494" s="215">
        <f t="shared" si="16"/>
        <v>2</v>
      </c>
      <c r="AM494" s="216">
        <f>0</f>
        <v>0</v>
      </c>
      <c r="AN494" s="217">
        <f t="shared" si="17"/>
        <v>2</v>
      </c>
      <c r="AO494" s="251">
        <v>45099</v>
      </c>
      <c r="AP494" s="151" t="s">
        <v>273</v>
      </c>
      <c r="AQ494" s="153" t="s">
        <v>1655</v>
      </c>
      <c r="AR494" s="108" t="s">
        <v>148</v>
      </c>
      <c r="AS494" s="98"/>
      <c r="AT494" s="104"/>
      <c r="AU494" s="104"/>
      <c r="AV494" s="105"/>
      <c r="AW494" s="104"/>
      <c r="AX494" s="106"/>
      <c r="AY494" s="106"/>
      <c r="AZ494" s="107"/>
      <c r="BA494" s="81"/>
      <c r="BB494" s="81"/>
      <c r="BC494" s="81"/>
    </row>
    <row r="495" spans="1:55" ht="28" customHeight="1" x14ac:dyDescent="0.25">
      <c r="A495" s="131">
        <v>490</v>
      </c>
      <c r="B495" s="141">
        <v>45099</v>
      </c>
      <c r="C495" s="77" t="s">
        <v>134</v>
      </c>
      <c r="D495" s="77" t="s">
        <v>135</v>
      </c>
      <c r="E495" s="77" t="s">
        <v>136</v>
      </c>
      <c r="F495" s="253" t="s">
        <v>430</v>
      </c>
      <c r="G495" s="254" t="s">
        <v>1536</v>
      </c>
      <c r="H495" s="254" t="s">
        <v>110</v>
      </c>
      <c r="I495" s="255" t="s">
        <v>1537</v>
      </c>
      <c r="J495" s="256" t="s">
        <v>1538</v>
      </c>
      <c r="K495" s="167" t="s">
        <v>80</v>
      </c>
      <c r="L495" s="257" t="s">
        <v>153</v>
      </c>
      <c r="M495" s="258" t="s">
        <v>154</v>
      </c>
      <c r="N495" s="258" t="s">
        <v>80</v>
      </c>
      <c r="O495" s="258" t="s">
        <v>155</v>
      </c>
      <c r="P495" s="259">
        <v>1</v>
      </c>
      <c r="Q495" s="308"/>
      <c r="R495" s="182">
        <v>0</v>
      </c>
      <c r="S495" s="76">
        <v>0</v>
      </c>
      <c r="T495" s="76">
        <v>0</v>
      </c>
      <c r="U495" s="76">
        <v>0</v>
      </c>
      <c r="V495" s="76">
        <v>0</v>
      </c>
      <c r="W495" s="76">
        <v>0</v>
      </c>
      <c r="X495" s="76">
        <v>0</v>
      </c>
      <c r="Y495" s="76">
        <v>0</v>
      </c>
      <c r="Z495" s="76">
        <v>0</v>
      </c>
      <c r="AA495" s="183">
        <v>0</v>
      </c>
      <c r="AB495" s="185">
        <v>0</v>
      </c>
      <c r="AC495" s="76">
        <v>0</v>
      </c>
      <c r="AD495" s="84">
        <v>1</v>
      </c>
      <c r="AE495" s="76">
        <v>0</v>
      </c>
      <c r="AF495" s="76">
        <v>0</v>
      </c>
      <c r="AG495" s="76">
        <v>0</v>
      </c>
      <c r="AH495" s="76">
        <v>0</v>
      </c>
      <c r="AI495" s="76">
        <v>0</v>
      </c>
      <c r="AJ495" s="76">
        <v>0</v>
      </c>
      <c r="AK495" s="183">
        <v>0</v>
      </c>
      <c r="AL495" s="215">
        <f t="shared" si="16"/>
        <v>1</v>
      </c>
      <c r="AM495" s="216">
        <f>0</f>
        <v>0</v>
      </c>
      <c r="AN495" s="217">
        <f t="shared" si="17"/>
        <v>1</v>
      </c>
      <c r="AO495" s="251">
        <v>45099</v>
      </c>
      <c r="AP495" s="151" t="s">
        <v>273</v>
      </c>
      <c r="AQ495" s="153" t="s">
        <v>1655</v>
      </c>
      <c r="AR495" s="108" t="s">
        <v>148</v>
      </c>
      <c r="AS495" s="98"/>
      <c r="AT495" s="104"/>
      <c r="AU495" s="104"/>
      <c r="AV495" s="105"/>
      <c r="AW495" s="104"/>
      <c r="AX495" s="106"/>
      <c r="AY495" s="106"/>
      <c r="AZ495" s="107"/>
      <c r="BA495" s="81"/>
      <c r="BB495" s="81"/>
      <c r="BC495" s="81"/>
    </row>
    <row r="496" spans="1:55" ht="28" customHeight="1" x14ac:dyDescent="0.25">
      <c r="A496" s="131">
        <v>491</v>
      </c>
      <c r="B496" s="141">
        <v>45099</v>
      </c>
      <c r="C496" s="77" t="s">
        <v>134</v>
      </c>
      <c r="D496" s="77" t="s">
        <v>135</v>
      </c>
      <c r="E496" s="77" t="s">
        <v>136</v>
      </c>
      <c r="F496" s="253" t="s">
        <v>430</v>
      </c>
      <c r="G496" s="254" t="s">
        <v>1539</v>
      </c>
      <c r="H496" s="254" t="s">
        <v>110</v>
      </c>
      <c r="I496" s="255" t="s">
        <v>1509</v>
      </c>
      <c r="J496" s="256" t="s">
        <v>1540</v>
      </c>
      <c r="K496" s="167" t="s">
        <v>80</v>
      </c>
      <c r="L496" s="257" t="s">
        <v>153</v>
      </c>
      <c r="M496" s="258" t="s">
        <v>154</v>
      </c>
      <c r="N496" s="258" t="s">
        <v>80</v>
      </c>
      <c r="O496" s="258" t="s">
        <v>155</v>
      </c>
      <c r="P496" s="259">
        <v>1</v>
      </c>
      <c r="Q496" s="308"/>
      <c r="R496" s="182">
        <v>0</v>
      </c>
      <c r="S496" s="76">
        <v>0</v>
      </c>
      <c r="T496" s="76">
        <v>0</v>
      </c>
      <c r="U496" s="76">
        <v>0</v>
      </c>
      <c r="V496" s="76">
        <v>0</v>
      </c>
      <c r="W496" s="76">
        <v>0</v>
      </c>
      <c r="X496" s="76">
        <v>0</v>
      </c>
      <c r="Y496" s="76">
        <v>0</v>
      </c>
      <c r="Z496" s="76">
        <v>0</v>
      </c>
      <c r="AA496" s="183">
        <v>0</v>
      </c>
      <c r="AB496" s="185">
        <v>0</v>
      </c>
      <c r="AC496" s="76">
        <v>0</v>
      </c>
      <c r="AD496" s="84">
        <v>1</v>
      </c>
      <c r="AE496" s="76">
        <v>0</v>
      </c>
      <c r="AF496" s="76">
        <v>0</v>
      </c>
      <c r="AG496" s="76">
        <v>0</v>
      </c>
      <c r="AH496" s="76">
        <v>0</v>
      </c>
      <c r="AI496" s="76">
        <v>0</v>
      </c>
      <c r="AJ496" s="76">
        <v>0</v>
      </c>
      <c r="AK496" s="183">
        <v>0</v>
      </c>
      <c r="AL496" s="215">
        <f t="shared" si="16"/>
        <v>1</v>
      </c>
      <c r="AM496" s="216">
        <f>0</f>
        <v>0</v>
      </c>
      <c r="AN496" s="217">
        <f t="shared" si="17"/>
        <v>1</v>
      </c>
      <c r="AO496" s="251">
        <v>45099</v>
      </c>
      <c r="AP496" s="151" t="s">
        <v>273</v>
      </c>
      <c r="AQ496" s="153" t="s">
        <v>1655</v>
      </c>
      <c r="AR496" s="108" t="s">
        <v>148</v>
      </c>
      <c r="AS496" s="98"/>
      <c r="AT496" s="104"/>
      <c r="AU496" s="104"/>
      <c r="AV496" s="105"/>
      <c r="AW496" s="104"/>
      <c r="AX496" s="106"/>
      <c r="AY496" s="106"/>
      <c r="AZ496" s="107"/>
      <c r="BA496" s="81"/>
      <c r="BB496" s="81"/>
      <c r="BC496" s="81"/>
    </row>
    <row r="497" spans="1:55" ht="28" customHeight="1" x14ac:dyDescent="0.25">
      <c r="A497" s="131">
        <v>492</v>
      </c>
      <c r="B497" s="141">
        <v>45099</v>
      </c>
      <c r="C497" s="227"/>
      <c r="D497" s="227"/>
      <c r="E497" s="227"/>
      <c r="F497" s="253" t="s">
        <v>430</v>
      </c>
      <c r="G497" s="254" t="s">
        <v>1541</v>
      </c>
      <c r="H497" s="254">
        <v>0</v>
      </c>
      <c r="I497" s="255" t="s">
        <v>723</v>
      </c>
      <c r="J497" s="256" t="s">
        <v>1542</v>
      </c>
      <c r="K497" s="167" t="s">
        <v>80</v>
      </c>
      <c r="L497" s="257" t="s">
        <v>153</v>
      </c>
      <c r="M497" s="258" t="s">
        <v>80</v>
      </c>
      <c r="N497" s="258" t="s">
        <v>80</v>
      </c>
      <c r="O497" s="258" t="s">
        <v>80</v>
      </c>
      <c r="P497" s="259">
        <v>1</v>
      </c>
      <c r="Q497" s="308" t="s">
        <v>1651</v>
      </c>
      <c r="R497" s="182">
        <v>0</v>
      </c>
      <c r="S497" s="76">
        <v>0</v>
      </c>
      <c r="T497" s="76">
        <v>0</v>
      </c>
      <c r="U497" s="76">
        <v>0</v>
      </c>
      <c r="V497" s="76">
        <v>0</v>
      </c>
      <c r="W497" s="76">
        <v>0</v>
      </c>
      <c r="X497" s="76">
        <v>0</v>
      </c>
      <c r="Y497" s="76">
        <v>0</v>
      </c>
      <c r="Z497" s="76">
        <v>0</v>
      </c>
      <c r="AA497" s="183">
        <v>0</v>
      </c>
      <c r="AB497" s="185">
        <v>0</v>
      </c>
      <c r="AC497" s="76">
        <v>0</v>
      </c>
      <c r="AD497" s="84">
        <v>1</v>
      </c>
      <c r="AE497" s="76">
        <v>0</v>
      </c>
      <c r="AF497" s="76">
        <v>0</v>
      </c>
      <c r="AG497" s="76">
        <v>0</v>
      </c>
      <c r="AH497" s="76">
        <v>0</v>
      </c>
      <c r="AI497" s="76">
        <v>0</v>
      </c>
      <c r="AJ497" s="76">
        <v>0</v>
      </c>
      <c r="AK497" s="183">
        <v>0</v>
      </c>
      <c r="AL497" s="215">
        <f t="shared" si="16"/>
        <v>1</v>
      </c>
      <c r="AM497" s="216">
        <f>0</f>
        <v>0</v>
      </c>
      <c r="AN497" s="217">
        <f t="shared" si="17"/>
        <v>1</v>
      </c>
      <c r="AO497" s="251">
        <v>45099</v>
      </c>
      <c r="AP497" s="151" t="s">
        <v>273</v>
      </c>
      <c r="AQ497" s="153" t="s">
        <v>1655</v>
      </c>
      <c r="AR497" s="108" t="s">
        <v>148</v>
      </c>
      <c r="AS497" s="98"/>
      <c r="AT497" s="104"/>
      <c r="AU497" s="104"/>
      <c r="AV497" s="105"/>
      <c r="AW497" s="104"/>
      <c r="AX497" s="106"/>
      <c r="AY497" s="106"/>
      <c r="AZ497" s="107"/>
      <c r="BA497" s="81"/>
      <c r="BB497" s="81"/>
      <c r="BC497" s="81"/>
    </row>
    <row r="498" spans="1:55" ht="28" customHeight="1" x14ac:dyDescent="0.25">
      <c r="A498" s="131">
        <v>493</v>
      </c>
      <c r="B498" s="141">
        <v>45099</v>
      </c>
      <c r="C498" s="77" t="s">
        <v>134</v>
      </c>
      <c r="D498" s="77" t="s">
        <v>135</v>
      </c>
      <c r="E498" s="77" t="s">
        <v>136</v>
      </c>
      <c r="F498" s="253" t="s">
        <v>430</v>
      </c>
      <c r="G498" s="254" t="s">
        <v>1543</v>
      </c>
      <c r="H498" s="254" t="s">
        <v>110</v>
      </c>
      <c r="I498" s="255" t="s">
        <v>1646</v>
      </c>
      <c r="J498" s="256" t="s">
        <v>1647</v>
      </c>
      <c r="K498" s="167" t="s">
        <v>80</v>
      </c>
      <c r="L498" s="257" t="s">
        <v>153</v>
      </c>
      <c r="M498" s="258" t="s">
        <v>154</v>
      </c>
      <c r="N498" s="258" t="s">
        <v>80</v>
      </c>
      <c r="O498" s="258" t="s">
        <v>155</v>
      </c>
      <c r="P498" s="259">
        <v>1</v>
      </c>
      <c r="Q498" s="308"/>
      <c r="R498" s="182">
        <v>0</v>
      </c>
      <c r="S498" s="76">
        <v>0</v>
      </c>
      <c r="T498" s="76">
        <v>0</v>
      </c>
      <c r="U498" s="76">
        <v>0</v>
      </c>
      <c r="V498" s="76">
        <v>0</v>
      </c>
      <c r="W498" s="76">
        <v>0</v>
      </c>
      <c r="X498" s="76">
        <v>0</v>
      </c>
      <c r="Y498" s="76">
        <v>0</v>
      </c>
      <c r="Z498" s="76">
        <v>0</v>
      </c>
      <c r="AA498" s="183">
        <v>0</v>
      </c>
      <c r="AB498" s="185">
        <v>0</v>
      </c>
      <c r="AC498" s="76">
        <v>0</v>
      </c>
      <c r="AD498" s="84">
        <v>1</v>
      </c>
      <c r="AE498" s="76">
        <v>0</v>
      </c>
      <c r="AF498" s="76">
        <v>0</v>
      </c>
      <c r="AG498" s="76">
        <v>0</v>
      </c>
      <c r="AH498" s="76">
        <v>0</v>
      </c>
      <c r="AI498" s="76">
        <v>0</v>
      </c>
      <c r="AJ498" s="76">
        <v>0</v>
      </c>
      <c r="AK498" s="183">
        <v>0</v>
      </c>
      <c r="AL498" s="215">
        <f t="shared" si="16"/>
        <v>1</v>
      </c>
      <c r="AM498" s="216">
        <f>0</f>
        <v>0</v>
      </c>
      <c r="AN498" s="217">
        <f t="shared" si="17"/>
        <v>1</v>
      </c>
      <c r="AO498" s="251">
        <v>45099</v>
      </c>
      <c r="AP498" s="151" t="s">
        <v>273</v>
      </c>
      <c r="AQ498" s="153" t="s">
        <v>1655</v>
      </c>
      <c r="AR498" s="108" t="s">
        <v>148</v>
      </c>
      <c r="AS498" s="98"/>
      <c r="AT498" s="104"/>
      <c r="AU498" s="104"/>
      <c r="AV498" s="105"/>
      <c r="AW498" s="104"/>
      <c r="AX498" s="106"/>
      <c r="AY498" s="106"/>
      <c r="AZ498" s="107"/>
      <c r="BA498" s="81"/>
      <c r="BB498" s="81"/>
      <c r="BC498" s="81"/>
    </row>
    <row r="499" spans="1:55" ht="28" customHeight="1" x14ac:dyDescent="0.25">
      <c r="A499" s="131">
        <v>494</v>
      </c>
      <c r="B499" s="141">
        <v>45099</v>
      </c>
      <c r="C499" s="85"/>
      <c r="D499" s="85"/>
      <c r="E499" s="85" t="s">
        <v>136</v>
      </c>
      <c r="F499" s="253" t="s">
        <v>430</v>
      </c>
      <c r="G499" s="254" t="s">
        <v>1544</v>
      </c>
      <c r="H499" s="254" t="s">
        <v>110</v>
      </c>
      <c r="I499" s="255" t="s">
        <v>1646</v>
      </c>
      <c r="J499" s="256" t="s">
        <v>1648</v>
      </c>
      <c r="K499" s="167" t="s">
        <v>80</v>
      </c>
      <c r="L499" s="257" t="s">
        <v>153</v>
      </c>
      <c r="M499" s="258" t="s">
        <v>154</v>
      </c>
      <c r="N499" s="258" t="s">
        <v>80</v>
      </c>
      <c r="O499" s="258" t="s">
        <v>155</v>
      </c>
      <c r="P499" s="259">
        <v>1</v>
      </c>
      <c r="Q499" s="308"/>
      <c r="R499" s="182">
        <v>0</v>
      </c>
      <c r="S499" s="76">
        <v>0</v>
      </c>
      <c r="T499" s="76">
        <v>0</v>
      </c>
      <c r="U499" s="76">
        <v>0</v>
      </c>
      <c r="V499" s="76">
        <v>0</v>
      </c>
      <c r="W499" s="76">
        <v>0</v>
      </c>
      <c r="X499" s="76">
        <v>0</v>
      </c>
      <c r="Y499" s="76">
        <v>0</v>
      </c>
      <c r="Z499" s="76">
        <v>0</v>
      </c>
      <c r="AA499" s="183">
        <v>0</v>
      </c>
      <c r="AB499" s="185">
        <v>0</v>
      </c>
      <c r="AC499" s="76">
        <v>0</v>
      </c>
      <c r="AD499" s="84">
        <v>1</v>
      </c>
      <c r="AE499" s="76">
        <v>0</v>
      </c>
      <c r="AF499" s="76">
        <v>0</v>
      </c>
      <c r="AG499" s="76">
        <v>0</v>
      </c>
      <c r="AH499" s="76">
        <v>0</v>
      </c>
      <c r="AI499" s="76">
        <v>0</v>
      </c>
      <c r="AJ499" s="76">
        <v>0</v>
      </c>
      <c r="AK499" s="183">
        <v>0</v>
      </c>
      <c r="AL499" s="215">
        <f t="shared" si="16"/>
        <v>1</v>
      </c>
      <c r="AM499" s="216">
        <f>0</f>
        <v>0</v>
      </c>
      <c r="AN499" s="217">
        <f t="shared" si="17"/>
        <v>1</v>
      </c>
      <c r="AO499" s="251">
        <v>45099</v>
      </c>
      <c r="AP499" s="151" t="s">
        <v>273</v>
      </c>
      <c r="AQ499" s="153" t="s">
        <v>1655</v>
      </c>
      <c r="AR499" s="108" t="s">
        <v>148</v>
      </c>
      <c r="AS499" s="98"/>
      <c r="AT499" s="104"/>
      <c r="AU499" s="104"/>
      <c r="AV499" s="105"/>
      <c r="AW499" s="104"/>
      <c r="AX499" s="106"/>
      <c r="AY499" s="106"/>
      <c r="AZ499" s="107"/>
      <c r="BA499" s="81"/>
      <c r="BB499" s="81"/>
      <c r="BC499" s="81"/>
    </row>
    <row r="500" spans="1:55" ht="28" customHeight="1" x14ac:dyDescent="0.25">
      <c r="A500" s="131">
        <v>495</v>
      </c>
      <c r="B500" s="141">
        <v>45099</v>
      </c>
      <c r="C500" s="77" t="s">
        <v>134</v>
      </c>
      <c r="D500" s="77" t="s">
        <v>135</v>
      </c>
      <c r="E500" s="77" t="s">
        <v>136</v>
      </c>
      <c r="F500" s="253" t="s">
        <v>430</v>
      </c>
      <c r="G500" s="254" t="s">
        <v>1545</v>
      </c>
      <c r="H500" s="254" t="s">
        <v>110</v>
      </c>
      <c r="I500" s="255" t="s">
        <v>637</v>
      </c>
      <c r="J500" s="256" t="s">
        <v>1546</v>
      </c>
      <c r="K500" s="167" t="s">
        <v>80</v>
      </c>
      <c r="L500" s="257" t="s">
        <v>168</v>
      </c>
      <c r="M500" s="258" t="s">
        <v>154</v>
      </c>
      <c r="N500" s="258" t="s">
        <v>80</v>
      </c>
      <c r="O500" s="258" t="s">
        <v>149</v>
      </c>
      <c r="P500" s="259">
        <v>2</v>
      </c>
      <c r="Q500" s="308"/>
      <c r="R500" s="182">
        <v>0</v>
      </c>
      <c r="S500" s="76">
        <v>0</v>
      </c>
      <c r="T500" s="76">
        <v>0</v>
      </c>
      <c r="U500" s="76">
        <v>0</v>
      </c>
      <c r="V500" s="76">
        <v>0</v>
      </c>
      <c r="W500" s="76">
        <v>0</v>
      </c>
      <c r="X500" s="76">
        <v>0</v>
      </c>
      <c r="Y500" s="76">
        <v>0</v>
      </c>
      <c r="Z500" s="76">
        <v>0</v>
      </c>
      <c r="AA500" s="183">
        <v>0</v>
      </c>
      <c r="AB500" s="185">
        <v>0</v>
      </c>
      <c r="AC500" s="76">
        <v>0</v>
      </c>
      <c r="AD500" s="84">
        <v>2</v>
      </c>
      <c r="AE500" s="76">
        <v>0</v>
      </c>
      <c r="AF500" s="76">
        <v>0</v>
      </c>
      <c r="AG500" s="76">
        <v>0</v>
      </c>
      <c r="AH500" s="76">
        <v>0</v>
      </c>
      <c r="AI500" s="76">
        <v>0</v>
      </c>
      <c r="AJ500" s="76">
        <v>0</v>
      </c>
      <c r="AK500" s="183">
        <v>0</v>
      </c>
      <c r="AL500" s="215">
        <f t="shared" si="16"/>
        <v>2</v>
      </c>
      <c r="AM500" s="216">
        <f>0</f>
        <v>0</v>
      </c>
      <c r="AN500" s="217">
        <f t="shared" si="17"/>
        <v>2</v>
      </c>
      <c r="AO500" s="251">
        <v>45099</v>
      </c>
      <c r="AP500" s="151" t="s">
        <v>273</v>
      </c>
      <c r="AQ500" s="153" t="s">
        <v>1655</v>
      </c>
      <c r="AR500" s="108" t="s">
        <v>148</v>
      </c>
      <c r="AS500" s="98"/>
      <c r="AT500" s="104"/>
      <c r="AU500" s="104"/>
      <c r="AV500" s="105"/>
      <c r="AW500" s="104"/>
      <c r="AX500" s="106"/>
      <c r="AY500" s="106"/>
      <c r="AZ500" s="107"/>
      <c r="BA500" s="81"/>
      <c r="BB500" s="81"/>
      <c r="BC500" s="81"/>
    </row>
    <row r="501" spans="1:55" ht="28" customHeight="1" x14ac:dyDescent="0.25">
      <c r="A501" s="131">
        <v>496</v>
      </c>
      <c r="B501" s="141">
        <v>45099</v>
      </c>
      <c r="C501" s="77" t="s">
        <v>134</v>
      </c>
      <c r="D501" s="77" t="s">
        <v>135</v>
      </c>
      <c r="E501" s="77" t="s">
        <v>136</v>
      </c>
      <c r="F501" s="253" t="s">
        <v>430</v>
      </c>
      <c r="G501" s="254" t="s">
        <v>1547</v>
      </c>
      <c r="H501" s="254" t="s">
        <v>110</v>
      </c>
      <c r="I501" s="255" t="s">
        <v>637</v>
      </c>
      <c r="J501" s="256" t="s">
        <v>1548</v>
      </c>
      <c r="K501" s="167" t="s">
        <v>80</v>
      </c>
      <c r="L501" s="257" t="s">
        <v>168</v>
      </c>
      <c r="M501" s="258" t="s">
        <v>154</v>
      </c>
      <c r="N501" s="258" t="s">
        <v>80</v>
      </c>
      <c r="O501" s="258" t="s">
        <v>149</v>
      </c>
      <c r="P501" s="259">
        <v>1</v>
      </c>
      <c r="Q501" s="308"/>
      <c r="R501" s="182">
        <v>0</v>
      </c>
      <c r="S501" s="76">
        <v>0</v>
      </c>
      <c r="T501" s="76">
        <v>0</v>
      </c>
      <c r="U501" s="76">
        <v>0</v>
      </c>
      <c r="V501" s="76">
        <v>0</v>
      </c>
      <c r="W501" s="76">
        <v>0</v>
      </c>
      <c r="X501" s="76">
        <v>0</v>
      </c>
      <c r="Y501" s="76">
        <v>0</v>
      </c>
      <c r="Z501" s="76">
        <v>0</v>
      </c>
      <c r="AA501" s="183">
        <v>0</v>
      </c>
      <c r="AB501" s="185">
        <v>0</v>
      </c>
      <c r="AC501" s="76">
        <v>0</v>
      </c>
      <c r="AD501" s="84">
        <v>1</v>
      </c>
      <c r="AE501" s="76">
        <v>0</v>
      </c>
      <c r="AF501" s="76">
        <v>0</v>
      </c>
      <c r="AG501" s="76">
        <v>0</v>
      </c>
      <c r="AH501" s="76">
        <v>0</v>
      </c>
      <c r="AI501" s="76">
        <v>0</v>
      </c>
      <c r="AJ501" s="76">
        <v>0</v>
      </c>
      <c r="AK501" s="183">
        <v>0</v>
      </c>
      <c r="AL501" s="215">
        <f t="shared" si="16"/>
        <v>1</v>
      </c>
      <c r="AM501" s="216">
        <f>0</f>
        <v>0</v>
      </c>
      <c r="AN501" s="217">
        <f t="shared" si="17"/>
        <v>1</v>
      </c>
      <c r="AO501" s="251">
        <v>45099</v>
      </c>
      <c r="AP501" s="151" t="s">
        <v>273</v>
      </c>
      <c r="AQ501" s="153" t="s">
        <v>1655</v>
      </c>
      <c r="AR501" s="108" t="s">
        <v>148</v>
      </c>
      <c r="AS501" s="98"/>
      <c r="AT501" s="104"/>
      <c r="AU501" s="104"/>
      <c r="AV501" s="105"/>
      <c r="AW501" s="104"/>
      <c r="AX501" s="106"/>
      <c r="AY501" s="106"/>
      <c r="AZ501" s="107"/>
      <c r="BA501" s="81"/>
      <c r="BB501" s="81"/>
      <c r="BC501" s="81"/>
    </row>
    <row r="502" spans="1:55" ht="28" customHeight="1" x14ac:dyDescent="0.25">
      <c r="A502" s="131">
        <v>497</v>
      </c>
      <c r="B502" s="141">
        <v>45099</v>
      </c>
      <c r="C502" s="77" t="s">
        <v>134</v>
      </c>
      <c r="D502" s="77" t="s">
        <v>135</v>
      </c>
      <c r="E502" s="77" t="s">
        <v>136</v>
      </c>
      <c r="F502" s="253" t="s">
        <v>430</v>
      </c>
      <c r="G502" s="254" t="s">
        <v>1549</v>
      </c>
      <c r="H502" s="254" t="s">
        <v>110</v>
      </c>
      <c r="I502" s="255" t="s">
        <v>146</v>
      </c>
      <c r="J502" s="256" t="s">
        <v>1550</v>
      </c>
      <c r="K502" s="167" t="s">
        <v>80</v>
      </c>
      <c r="L502" s="257" t="s">
        <v>168</v>
      </c>
      <c r="M502" s="258" t="s">
        <v>80</v>
      </c>
      <c r="N502" s="258" t="s">
        <v>80</v>
      </c>
      <c r="O502" s="258" t="s">
        <v>149</v>
      </c>
      <c r="P502" s="259">
        <v>1</v>
      </c>
      <c r="Q502" s="308"/>
      <c r="R502" s="182">
        <v>0</v>
      </c>
      <c r="S502" s="76">
        <v>0</v>
      </c>
      <c r="T502" s="76">
        <v>0</v>
      </c>
      <c r="U502" s="76">
        <v>0</v>
      </c>
      <c r="V502" s="76">
        <v>0</v>
      </c>
      <c r="W502" s="76">
        <v>0</v>
      </c>
      <c r="X502" s="76">
        <v>0</v>
      </c>
      <c r="Y502" s="76">
        <v>0</v>
      </c>
      <c r="Z502" s="76">
        <v>0</v>
      </c>
      <c r="AA502" s="183">
        <v>0</v>
      </c>
      <c r="AB502" s="185">
        <v>0</v>
      </c>
      <c r="AC502" s="76">
        <v>0</v>
      </c>
      <c r="AD502" s="84">
        <v>1</v>
      </c>
      <c r="AE502" s="76">
        <v>0</v>
      </c>
      <c r="AF502" s="76">
        <v>0</v>
      </c>
      <c r="AG502" s="76">
        <v>0</v>
      </c>
      <c r="AH502" s="76">
        <v>0</v>
      </c>
      <c r="AI502" s="76">
        <v>0</v>
      </c>
      <c r="AJ502" s="76">
        <v>0</v>
      </c>
      <c r="AK502" s="183">
        <v>0</v>
      </c>
      <c r="AL502" s="215">
        <f t="shared" si="16"/>
        <v>1</v>
      </c>
      <c r="AM502" s="216">
        <f>0</f>
        <v>0</v>
      </c>
      <c r="AN502" s="217">
        <f t="shared" si="17"/>
        <v>1</v>
      </c>
      <c r="AO502" s="251">
        <v>45099</v>
      </c>
      <c r="AP502" s="151" t="s">
        <v>273</v>
      </c>
      <c r="AQ502" s="153" t="s">
        <v>1655</v>
      </c>
      <c r="AR502" s="108" t="s">
        <v>148</v>
      </c>
      <c r="AS502" s="98"/>
      <c r="AT502" s="104"/>
      <c r="AU502" s="104"/>
      <c r="AV502" s="105"/>
      <c r="AW502" s="104"/>
      <c r="AX502" s="106"/>
      <c r="AY502" s="106"/>
      <c r="AZ502" s="107"/>
      <c r="BA502" s="81"/>
      <c r="BB502" s="81"/>
      <c r="BC502" s="81"/>
    </row>
    <row r="503" spans="1:55" ht="28" customHeight="1" x14ac:dyDescent="0.25">
      <c r="A503" s="131">
        <v>498</v>
      </c>
      <c r="B503" s="141">
        <v>45099</v>
      </c>
      <c r="C503" s="77" t="s">
        <v>134</v>
      </c>
      <c r="D503" s="77" t="s">
        <v>135</v>
      </c>
      <c r="E503" s="77" t="s">
        <v>136</v>
      </c>
      <c r="F503" s="253" t="s">
        <v>430</v>
      </c>
      <c r="G503" s="254" t="s">
        <v>1551</v>
      </c>
      <c r="H503" s="254" t="s">
        <v>110</v>
      </c>
      <c r="I503" s="255" t="s">
        <v>1552</v>
      </c>
      <c r="J503" s="256" t="s">
        <v>1553</v>
      </c>
      <c r="K503" s="167" t="s">
        <v>80</v>
      </c>
      <c r="L503" s="257" t="s">
        <v>168</v>
      </c>
      <c r="M503" s="258" t="s">
        <v>154</v>
      </c>
      <c r="N503" s="258" t="s">
        <v>80</v>
      </c>
      <c r="O503" s="258" t="s">
        <v>149</v>
      </c>
      <c r="P503" s="259">
        <v>1</v>
      </c>
      <c r="Q503" s="308"/>
      <c r="R503" s="182">
        <v>0</v>
      </c>
      <c r="S503" s="76">
        <v>0</v>
      </c>
      <c r="T503" s="76">
        <v>0</v>
      </c>
      <c r="U503" s="76">
        <v>0</v>
      </c>
      <c r="V503" s="76">
        <v>0</v>
      </c>
      <c r="W503" s="76">
        <v>0</v>
      </c>
      <c r="X503" s="76">
        <v>0</v>
      </c>
      <c r="Y503" s="76">
        <v>0</v>
      </c>
      <c r="Z503" s="76">
        <v>0</v>
      </c>
      <c r="AA503" s="183">
        <v>0</v>
      </c>
      <c r="AB503" s="185">
        <v>0</v>
      </c>
      <c r="AC503" s="76">
        <v>0</v>
      </c>
      <c r="AD503" s="84">
        <v>1</v>
      </c>
      <c r="AE503" s="76">
        <v>0</v>
      </c>
      <c r="AF503" s="76">
        <v>0</v>
      </c>
      <c r="AG503" s="76">
        <v>0</v>
      </c>
      <c r="AH503" s="76">
        <v>0</v>
      </c>
      <c r="AI503" s="76">
        <v>0</v>
      </c>
      <c r="AJ503" s="76">
        <v>0</v>
      </c>
      <c r="AK503" s="183">
        <v>0</v>
      </c>
      <c r="AL503" s="215">
        <f t="shared" si="16"/>
        <v>1</v>
      </c>
      <c r="AM503" s="216">
        <f>0</f>
        <v>0</v>
      </c>
      <c r="AN503" s="217">
        <f t="shared" si="17"/>
        <v>1</v>
      </c>
      <c r="AO503" s="251">
        <v>45099</v>
      </c>
      <c r="AP503" s="151" t="s">
        <v>273</v>
      </c>
      <c r="AQ503" s="153" t="s">
        <v>1655</v>
      </c>
      <c r="AR503" s="108" t="s">
        <v>148</v>
      </c>
      <c r="AS503" s="98"/>
      <c r="AT503" s="104"/>
      <c r="AU503" s="104"/>
      <c r="AV503" s="105"/>
      <c r="AW503" s="104"/>
      <c r="AX503" s="106"/>
      <c r="AY503" s="106"/>
      <c r="AZ503" s="107"/>
      <c r="BA503" s="81"/>
      <c r="BB503" s="81"/>
      <c r="BC503" s="81"/>
    </row>
    <row r="504" spans="1:55" ht="28" customHeight="1" x14ac:dyDescent="0.25">
      <c r="A504" s="131">
        <v>499</v>
      </c>
      <c r="B504" s="141">
        <v>45099</v>
      </c>
      <c r="C504" s="77" t="s">
        <v>134</v>
      </c>
      <c r="D504" s="77" t="s">
        <v>135</v>
      </c>
      <c r="E504" s="77" t="s">
        <v>136</v>
      </c>
      <c r="F504" s="253" t="s">
        <v>430</v>
      </c>
      <c r="G504" s="254" t="s">
        <v>1554</v>
      </c>
      <c r="H504" s="254" t="s">
        <v>110</v>
      </c>
      <c r="I504" s="255" t="s">
        <v>352</v>
      </c>
      <c r="J504" s="256" t="s">
        <v>1555</v>
      </c>
      <c r="K504" s="167" t="s">
        <v>80</v>
      </c>
      <c r="L504" s="257" t="s">
        <v>168</v>
      </c>
      <c r="M504" s="258" t="s">
        <v>154</v>
      </c>
      <c r="N504" s="258" t="s">
        <v>80</v>
      </c>
      <c r="O504" s="258" t="s">
        <v>149</v>
      </c>
      <c r="P504" s="259">
        <v>1</v>
      </c>
      <c r="Q504" s="308"/>
      <c r="R504" s="182">
        <v>0</v>
      </c>
      <c r="S504" s="76">
        <v>0</v>
      </c>
      <c r="T504" s="76">
        <v>0</v>
      </c>
      <c r="U504" s="76">
        <v>0</v>
      </c>
      <c r="V504" s="76">
        <v>0</v>
      </c>
      <c r="W504" s="76">
        <v>0</v>
      </c>
      <c r="X504" s="76">
        <v>0</v>
      </c>
      <c r="Y504" s="76">
        <v>0</v>
      </c>
      <c r="Z504" s="76">
        <v>0</v>
      </c>
      <c r="AA504" s="183">
        <v>0</v>
      </c>
      <c r="AB504" s="185">
        <v>0</v>
      </c>
      <c r="AC504" s="76">
        <v>0</v>
      </c>
      <c r="AD504" s="84">
        <v>1</v>
      </c>
      <c r="AE504" s="76">
        <v>0</v>
      </c>
      <c r="AF504" s="76">
        <v>0</v>
      </c>
      <c r="AG504" s="76">
        <v>0</v>
      </c>
      <c r="AH504" s="76">
        <v>0</v>
      </c>
      <c r="AI504" s="76">
        <v>0</v>
      </c>
      <c r="AJ504" s="76">
        <v>0</v>
      </c>
      <c r="AK504" s="183">
        <v>0</v>
      </c>
      <c r="AL504" s="215">
        <f t="shared" si="16"/>
        <v>1</v>
      </c>
      <c r="AM504" s="216">
        <f>0</f>
        <v>0</v>
      </c>
      <c r="AN504" s="217">
        <f t="shared" si="17"/>
        <v>1</v>
      </c>
      <c r="AO504" s="251">
        <v>45099</v>
      </c>
      <c r="AP504" s="151" t="s">
        <v>273</v>
      </c>
      <c r="AQ504" s="153" t="s">
        <v>1655</v>
      </c>
      <c r="AR504" s="108" t="s">
        <v>148</v>
      </c>
      <c r="AS504" s="98"/>
      <c r="AT504" s="104"/>
      <c r="AU504" s="104"/>
      <c r="AV504" s="105"/>
      <c r="AW504" s="104"/>
      <c r="AX504" s="106"/>
      <c r="AY504" s="106"/>
      <c r="AZ504" s="107"/>
      <c r="BA504" s="81"/>
      <c r="BB504" s="81"/>
      <c r="BC504" s="81"/>
    </row>
    <row r="505" spans="1:55" ht="28" customHeight="1" x14ac:dyDescent="0.25">
      <c r="A505" s="131">
        <v>500</v>
      </c>
      <c r="B505" s="141">
        <v>45099</v>
      </c>
      <c r="C505" s="77" t="s">
        <v>134</v>
      </c>
      <c r="D505" s="77" t="s">
        <v>135</v>
      </c>
      <c r="E505" s="77" t="s">
        <v>136</v>
      </c>
      <c r="F505" s="253" t="s">
        <v>430</v>
      </c>
      <c r="G505" s="254" t="s">
        <v>1556</v>
      </c>
      <c r="H505" s="254" t="s">
        <v>110</v>
      </c>
      <c r="I505" s="255" t="s">
        <v>421</v>
      </c>
      <c r="J505" s="256" t="s">
        <v>1557</v>
      </c>
      <c r="K505" s="167" t="s">
        <v>80</v>
      </c>
      <c r="L505" s="257" t="s">
        <v>168</v>
      </c>
      <c r="M505" s="258" t="s">
        <v>154</v>
      </c>
      <c r="N505" s="258" t="s">
        <v>80</v>
      </c>
      <c r="O505" s="258" t="s">
        <v>149</v>
      </c>
      <c r="P505" s="259">
        <v>1</v>
      </c>
      <c r="Q505" s="308"/>
      <c r="R505" s="182">
        <v>0</v>
      </c>
      <c r="S505" s="76">
        <v>0</v>
      </c>
      <c r="T505" s="76">
        <v>0</v>
      </c>
      <c r="U505" s="76">
        <v>0</v>
      </c>
      <c r="V505" s="76">
        <v>0</v>
      </c>
      <c r="W505" s="76">
        <v>0</v>
      </c>
      <c r="X505" s="76">
        <v>0</v>
      </c>
      <c r="Y505" s="76">
        <v>0</v>
      </c>
      <c r="Z505" s="76">
        <v>0</v>
      </c>
      <c r="AA505" s="183">
        <v>0</v>
      </c>
      <c r="AB505" s="185">
        <v>0</v>
      </c>
      <c r="AC505" s="76">
        <v>0</v>
      </c>
      <c r="AD505" s="84">
        <v>1</v>
      </c>
      <c r="AE505" s="76">
        <v>0</v>
      </c>
      <c r="AF505" s="76">
        <v>0</v>
      </c>
      <c r="AG505" s="76">
        <v>0</v>
      </c>
      <c r="AH505" s="76">
        <v>0</v>
      </c>
      <c r="AI505" s="76">
        <v>0</v>
      </c>
      <c r="AJ505" s="76">
        <v>0</v>
      </c>
      <c r="AK505" s="183">
        <v>0</v>
      </c>
      <c r="AL505" s="215">
        <f t="shared" si="16"/>
        <v>1</v>
      </c>
      <c r="AM505" s="216">
        <f>0</f>
        <v>0</v>
      </c>
      <c r="AN505" s="217">
        <f t="shared" si="17"/>
        <v>1</v>
      </c>
      <c r="AO505" s="251">
        <v>45099</v>
      </c>
      <c r="AP505" s="151" t="s">
        <v>273</v>
      </c>
      <c r="AQ505" s="153" t="s">
        <v>1655</v>
      </c>
      <c r="AR505" s="108" t="s">
        <v>148</v>
      </c>
      <c r="AS505" s="98"/>
      <c r="AT505" s="104"/>
      <c r="AU505" s="104"/>
      <c r="AV505" s="105"/>
      <c r="AW505" s="104"/>
      <c r="AX505" s="106"/>
      <c r="AY505" s="106"/>
      <c r="AZ505" s="107"/>
      <c r="BA505" s="81"/>
      <c r="BB505" s="81"/>
      <c r="BC505" s="81"/>
    </row>
    <row r="506" spans="1:55" ht="28" customHeight="1" x14ac:dyDescent="0.25">
      <c r="A506" s="131">
        <v>501</v>
      </c>
      <c r="B506" s="141">
        <v>45099</v>
      </c>
      <c r="C506" s="77" t="s">
        <v>134</v>
      </c>
      <c r="D506" s="77" t="s">
        <v>135</v>
      </c>
      <c r="E506" s="77" t="s">
        <v>136</v>
      </c>
      <c r="F506" s="253" t="s">
        <v>430</v>
      </c>
      <c r="G506" s="254" t="s">
        <v>1558</v>
      </c>
      <c r="H506" s="254" t="s">
        <v>110</v>
      </c>
      <c r="I506" s="255" t="s">
        <v>146</v>
      </c>
      <c r="J506" s="256" t="s">
        <v>1559</v>
      </c>
      <c r="K506" s="167" t="s">
        <v>80</v>
      </c>
      <c r="L506" s="257" t="s">
        <v>147</v>
      </c>
      <c r="M506" s="258" t="s">
        <v>148</v>
      </c>
      <c r="N506" s="258" t="s">
        <v>80</v>
      </c>
      <c r="O506" s="258" t="s">
        <v>149</v>
      </c>
      <c r="P506" s="259">
        <v>3</v>
      </c>
      <c r="Q506" s="308"/>
      <c r="R506" s="182">
        <v>0</v>
      </c>
      <c r="S506" s="76">
        <v>0</v>
      </c>
      <c r="T506" s="76">
        <v>0</v>
      </c>
      <c r="U506" s="76">
        <v>0</v>
      </c>
      <c r="V506" s="76">
        <v>0</v>
      </c>
      <c r="W506" s="76">
        <v>0</v>
      </c>
      <c r="X506" s="76">
        <v>0</v>
      </c>
      <c r="Y506" s="76">
        <v>0</v>
      </c>
      <c r="Z506" s="76">
        <v>0</v>
      </c>
      <c r="AA506" s="183">
        <v>0</v>
      </c>
      <c r="AB506" s="185">
        <v>0</v>
      </c>
      <c r="AC506" s="76">
        <v>0</v>
      </c>
      <c r="AD506" s="84">
        <v>3</v>
      </c>
      <c r="AE506" s="76">
        <v>0</v>
      </c>
      <c r="AF506" s="76">
        <v>0</v>
      </c>
      <c r="AG506" s="76">
        <v>0</v>
      </c>
      <c r="AH506" s="76">
        <v>0</v>
      </c>
      <c r="AI506" s="76">
        <v>0</v>
      </c>
      <c r="AJ506" s="76">
        <v>0</v>
      </c>
      <c r="AK506" s="183">
        <v>0</v>
      </c>
      <c r="AL506" s="215">
        <f t="shared" si="16"/>
        <v>3</v>
      </c>
      <c r="AM506" s="216">
        <f>0</f>
        <v>0</v>
      </c>
      <c r="AN506" s="217">
        <f t="shared" si="17"/>
        <v>3</v>
      </c>
      <c r="AO506" s="251">
        <v>45103</v>
      </c>
      <c r="AP506" s="260" t="s">
        <v>273</v>
      </c>
      <c r="AQ506" s="153" t="s">
        <v>1657</v>
      </c>
      <c r="AR506" s="219" t="s">
        <v>669</v>
      </c>
      <c r="AS506" s="98"/>
      <c r="AT506" s="99"/>
      <c r="AU506" s="104"/>
      <c r="AV506" s="105"/>
      <c r="AW506" s="104"/>
      <c r="AX506" s="106"/>
      <c r="AY506" s="106"/>
      <c r="AZ506" s="107"/>
      <c r="BA506" s="81"/>
      <c r="BB506" s="81"/>
      <c r="BC506" s="81"/>
    </row>
    <row r="507" spans="1:55" ht="28" customHeight="1" x14ac:dyDescent="0.25">
      <c r="A507" s="131">
        <v>502</v>
      </c>
      <c r="B507" s="141">
        <v>45099</v>
      </c>
      <c r="C507" s="77" t="s">
        <v>134</v>
      </c>
      <c r="D507" s="77" t="s">
        <v>135</v>
      </c>
      <c r="E507" s="77" t="s">
        <v>136</v>
      </c>
      <c r="F507" s="253" t="s">
        <v>430</v>
      </c>
      <c r="G507" s="254" t="s">
        <v>1560</v>
      </c>
      <c r="H507" s="254" t="s">
        <v>110</v>
      </c>
      <c r="I507" s="255" t="s">
        <v>1649</v>
      </c>
      <c r="J507" s="256" t="s">
        <v>1561</v>
      </c>
      <c r="K507" s="167" t="s">
        <v>80</v>
      </c>
      <c r="L507" s="257" t="s">
        <v>389</v>
      </c>
      <c r="M507" s="258" t="s">
        <v>154</v>
      </c>
      <c r="N507" s="258" t="s">
        <v>212</v>
      </c>
      <c r="O507" s="258" t="s">
        <v>80</v>
      </c>
      <c r="P507" s="259">
        <v>1</v>
      </c>
      <c r="Q507" s="308"/>
      <c r="R507" s="182">
        <v>0</v>
      </c>
      <c r="S507" s="76">
        <v>0</v>
      </c>
      <c r="T507" s="76">
        <v>0</v>
      </c>
      <c r="U507" s="76">
        <v>0</v>
      </c>
      <c r="V507" s="76">
        <v>0</v>
      </c>
      <c r="W507" s="76">
        <v>0</v>
      </c>
      <c r="X507" s="76">
        <v>0</v>
      </c>
      <c r="Y507" s="76">
        <v>0</v>
      </c>
      <c r="Z507" s="76">
        <v>0</v>
      </c>
      <c r="AA507" s="183">
        <v>0</v>
      </c>
      <c r="AB507" s="185">
        <v>0</v>
      </c>
      <c r="AC507" s="76">
        <v>0</v>
      </c>
      <c r="AD507" s="84">
        <v>1</v>
      </c>
      <c r="AE507" s="76">
        <v>0</v>
      </c>
      <c r="AF507" s="76">
        <v>0</v>
      </c>
      <c r="AG507" s="76">
        <v>0</v>
      </c>
      <c r="AH507" s="76">
        <v>0</v>
      </c>
      <c r="AI507" s="76">
        <v>0</v>
      </c>
      <c r="AJ507" s="76">
        <v>0</v>
      </c>
      <c r="AK507" s="183">
        <v>0</v>
      </c>
      <c r="AL507" s="215">
        <f t="shared" si="16"/>
        <v>1</v>
      </c>
      <c r="AM507" s="216">
        <f>0</f>
        <v>0</v>
      </c>
      <c r="AN507" s="217">
        <f t="shared" si="17"/>
        <v>1</v>
      </c>
      <c r="AO507" s="251">
        <v>45105</v>
      </c>
      <c r="AP507" s="261" t="s">
        <v>273</v>
      </c>
      <c r="AQ507" s="153" t="s">
        <v>1661</v>
      </c>
      <c r="AR507" s="262" t="s">
        <v>1659</v>
      </c>
      <c r="AS507" s="98"/>
      <c r="AT507" s="99" t="s">
        <v>1654</v>
      </c>
      <c r="AU507" s="104"/>
      <c r="AV507" s="105"/>
      <c r="AW507" s="104"/>
      <c r="AX507" s="106"/>
      <c r="AY507" s="106"/>
      <c r="AZ507" s="107"/>
      <c r="BA507" s="81"/>
      <c r="BB507" s="81"/>
      <c r="BC507" s="81"/>
    </row>
    <row r="508" spans="1:55" ht="28" customHeight="1" x14ac:dyDescent="0.25">
      <c r="A508" s="131">
        <v>503</v>
      </c>
      <c r="B508" s="141">
        <v>45099</v>
      </c>
      <c r="C508" s="77" t="s">
        <v>134</v>
      </c>
      <c r="D508" s="77" t="s">
        <v>135</v>
      </c>
      <c r="E508" s="77" t="s">
        <v>136</v>
      </c>
      <c r="F508" s="253" t="s">
        <v>430</v>
      </c>
      <c r="G508" s="254" t="s">
        <v>1562</v>
      </c>
      <c r="H508" s="254" t="s">
        <v>110</v>
      </c>
      <c r="I508" s="255" t="s">
        <v>706</v>
      </c>
      <c r="J508" s="256" t="s">
        <v>1563</v>
      </c>
      <c r="K508" s="167" t="s">
        <v>80</v>
      </c>
      <c r="L508" s="257" t="s">
        <v>389</v>
      </c>
      <c r="M508" s="258" t="s">
        <v>154</v>
      </c>
      <c r="N508" s="258" t="s">
        <v>80</v>
      </c>
      <c r="O508" s="258" t="s">
        <v>80</v>
      </c>
      <c r="P508" s="259">
        <v>1</v>
      </c>
      <c r="Q508" s="308"/>
      <c r="R508" s="182">
        <v>0</v>
      </c>
      <c r="S508" s="76">
        <v>0</v>
      </c>
      <c r="T508" s="76">
        <v>0</v>
      </c>
      <c r="U508" s="76">
        <v>0</v>
      </c>
      <c r="V508" s="76">
        <v>0</v>
      </c>
      <c r="W508" s="76">
        <v>0</v>
      </c>
      <c r="X508" s="76">
        <v>0</v>
      </c>
      <c r="Y508" s="76">
        <v>0</v>
      </c>
      <c r="Z508" s="76">
        <v>0</v>
      </c>
      <c r="AA508" s="183">
        <v>0</v>
      </c>
      <c r="AB508" s="185">
        <v>0</v>
      </c>
      <c r="AC508" s="76">
        <v>0</v>
      </c>
      <c r="AD508" s="84">
        <v>1</v>
      </c>
      <c r="AE508" s="76">
        <v>0</v>
      </c>
      <c r="AF508" s="76">
        <v>0</v>
      </c>
      <c r="AG508" s="76">
        <v>0</v>
      </c>
      <c r="AH508" s="76">
        <v>0</v>
      </c>
      <c r="AI508" s="76">
        <v>0</v>
      </c>
      <c r="AJ508" s="76">
        <v>0</v>
      </c>
      <c r="AK508" s="183">
        <v>0</v>
      </c>
      <c r="AL508" s="215">
        <f t="shared" si="16"/>
        <v>1</v>
      </c>
      <c r="AM508" s="216">
        <f>0</f>
        <v>0</v>
      </c>
      <c r="AN508" s="217">
        <f t="shared" si="17"/>
        <v>1</v>
      </c>
      <c r="AO508" s="251">
        <v>45103</v>
      </c>
      <c r="AP508" s="260" t="s">
        <v>273</v>
      </c>
      <c r="AQ508" s="153" t="s">
        <v>1657</v>
      </c>
      <c r="AR508" s="219" t="s">
        <v>669</v>
      </c>
      <c r="AS508" s="98"/>
      <c r="AT508" s="99"/>
      <c r="AU508" s="104"/>
      <c r="AV508" s="105"/>
      <c r="AW508" s="104"/>
      <c r="AX508" s="106"/>
      <c r="AY508" s="106"/>
      <c r="AZ508" s="107"/>
      <c r="BA508" s="81"/>
      <c r="BB508" s="81"/>
      <c r="BC508" s="81"/>
    </row>
    <row r="509" spans="1:55" ht="28" customHeight="1" x14ac:dyDescent="0.25">
      <c r="A509" s="131">
        <v>504</v>
      </c>
      <c r="B509" s="141">
        <v>45099</v>
      </c>
      <c r="C509" s="85"/>
      <c r="D509" s="85"/>
      <c r="E509" s="85" t="s">
        <v>136</v>
      </c>
      <c r="F509" s="253" t="s">
        <v>430</v>
      </c>
      <c r="G509" s="254" t="s">
        <v>1564</v>
      </c>
      <c r="H509" s="254" t="s">
        <v>110</v>
      </c>
      <c r="I509" s="255" t="s">
        <v>706</v>
      </c>
      <c r="J509" s="256" t="s">
        <v>1565</v>
      </c>
      <c r="K509" s="167" t="s">
        <v>80</v>
      </c>
      <c r="L509" s="257" t="s">
        <v>389</v>
      </c>
      <c r="M509" s="258" t="s">
        <v>154</v>
      </c>
      <c r="N509" s="258" t="s">
        <v>80</v>
      </c>
      <c r="O509" s="258" t="s">
        <v>80</v>
      </c>
      <c r="P509" s="259">
        <v>1</v>
      </c>
      <c r="Q509" s="308"/>
      <c r="R509" s="182">
        <v>0</v>
      </c>
      <c r="S509" s="76">
        <v>0</v>
      </c>
      <c r="T509" s="76">
        <v>0</v>
      </c>
      <c r="U509" s="76">
        <v>0</v>
      </c>
      <c r="V509" s="76">
        <v>0</v>
      </c>
      <c r="W509" s="76">
        <v>0</v>
      </c>
      <c r="X509" s="76">
        <v>0</v>
      </c>
      <c r="Y509" s="76">
        <v>0</v>
      </c>
      <c r="Z509" s="76">
        <v>0</v>
      </c>
      <c r="AA509" s="183">
        <v>0</v>
      </c>
      <c r="AB509" s="185">
        <v>0</v>
      </c>
      <c r="AC509" s="76">
        <v>0</v>
      </c>
      <c r="AD509" s="84">
        <v>1</v>
      </c>
      <c r="AE509" s="76">
        <v>0</v>
      </c>
      <c r="AF509" s="76">
        <v>0</v>
      </c>
      <c r="AG509" s="76">
        <v>0</v>
      </c>
      <c r="AH509" s="76">
        <v>0</v>
      </c>
      <c r="AI509" s="76">
        <v>0</v>
      </c>
      <c r="AJ509" s="76">
        <v>0</v>
      </c>
      <c r="AK509" s="183">
        <v>0</v>
      </c>
      <c r="AL509" s="215">
        <f t="shared" ref="AL509:AL540" si="18">SUM(R509:AK509)</f>
        <v>1</v>
      </c>
      <c r="AM509" s="216">
        <f>0</f>
        <v>0</v>
      </c>
      <c r="AN509" s="217">
        <f t="shared" ref="AN509:AN540" si="19">AL509-AM509</f>
        <v>1</v>
      </c>
      <c r="AO509" s="251">
        <v>45103</v>
      </c>
      <c r="AP509" s="260" t="s">
        <v>273</v>
      </c>
      <c r="AQ509" s="153" t="s">
        <v>1657</v>
      </c>
      <c r="AR509" s="219" t="s">
        <v>669</v>
      </c>
      <c r="AS509" s="98"/>
      <c r="AT509" s="99"/>
      <c r="AU509" s="104"/>
      <c r="AV509" s="105"/>
      <c r="AW509" s="104"/>
      <c r="AX509" s="106"/>
      <c r="AY509" s="106"/>
      <c r="AZ509" s="107"/>
      <c r="BA509" s="81"/>
      <c r="BB509" s="81"/>
      <c r="BC509" s="81"/>
    </row>
    <row r="510" spans="1:55" ht="28" customHeight="1" x14ac:dyDescent="0.25">
      <c r="A510" s="131">
        <v>505</v>
      </c>
      <c r="B510" s="141">
        <v>45099</v>
      </c>
      <c r="C510" s="77" t="s">
        <v>134</v>
      </c>
      <c r="D510" s="77" t="s">
        <v>135</v>
      </c>
      <c r="E510" s="77" t="s">
        <v>136</v>
      </c>
      <c r="F510" s="253" t="s">
        <v>430</v>
      </c>
      <c r="G510" s="254" t="s">
        <v>1566</v>
      </c>
      <c r="H510" s="254" t="s">
        <v>110</v>
      </c>
      <c r="I510" s="255" t="s">
        <v>1567</v>
      </c>
      <c r="J510" s="256" t="s">
        <v>1568</v>
      </c>
      <c r="K510" s="167" t="s">
        <v>80</v>
      </c>
      <c r="L510" s="257" t="s">
        <v>389</v>
      </c>
      <c r="M510" s="258" t="s">
        <v>154</v>
      </c>
      <c r="N510" s="258" t="s">
        <v>80</v>
      </c>
      <c r="O510" s="258" t="s">
        <v>80</v>
      </c>
      <c r="P510" s="259">
        <v>1</v>
      </c>
      <c r="Q510" s="308"/>
      <c r="R510" s="182">
        <v>0</v>
      </c>
      <c r="S510" s="76">
        <v>0</v>
      </c>
      <c r="T510" s="76">
        <v>0</v>
      </c>
      <c r="U510" s="76">
        <v>0</v>
      </c>
      <c r="V510" s="76">
        <v>0</v>
      </c>
      <c r="W510" s="76">
        <v>0</v>
      </c>
      <c r="X510" s="76">
        <v>0</v>
      </c>
      <c r="Y510" s="76">
        <v>0</v>
      </c>
      <c r="Z510" s="76">
        <v>0</v>
      </c>
      <c r="AA510" s="183">
        <v>0</v>
      </c>
      <c r="AB510" s="185">
        <v>0</v>
      </c>
      <c r="AC510" s="76">
        <v>0</v>
      </c>
      <c r="AD510" s="84">
        <v>1</v>
      </c>
      <c r="AE510" s="76">
        <v>0</v>
      </c>
      <c r="AF510" s="76">
        <v>0</v>
      </c>
      <c r="AG510" s="76">
        <v>0</v>
      </c>
      <c r="AH510" s="76">
        <v>0</v>
      </c>
      <c r="AI510" s="76">
        <v>0</v>
      </c>
      <c r="AJ510" s="76">
        <v>0</v>
      </c>
      <c r="AK510" s="183">
        <v>0</v>
      </c>
      <c r="AL510" s="215">
        <f t="shared" si="18"/>
        <v>1</v>
      </c>
      <c r="AM510" s="216">
        <f>0</f>
        <v>0</v>
      </c>
      <c r="AN510" s="217">
        <f t="shared" si="19"/>
        <v>1</v>
      </c>
      <c r="AO510" s="251">
        <v>45099</v>
      </c>
      <c r="AP510" s="151" t="s">
        <v>273</v>
      </c>
      <c r="AQ510" s="153" t="s">
        <v>1655</v>
      </c>
      <c r="AR510" s="108" t="s">
        <v>148</v>
      </c>
      <c r="AS510" s="98"/>
      <c r="AT510" s="104"/>
      <c r="AU510" s="104"/>
      <c r="AV510" s="105"/>
      <c r="AW510" s="104"/>
      <c r="AX510" s="106"/>
      <c r="AY510" s="106"/>
      <c r="AZ510" s="107"/>
      <c r="BA510" s="81"/>
      <c r="BB510" s="81"/>
      <c r="BC510" s="81"/>
    </row>
    <row r="511" spans="1:55" ht="28" customHeight="1" x14ac:dyDescent="0.25">
      <c r="A511" s="131">
        <v>506</v>
      </c>
      <c r="B511" s="141">
        <v>45099</v>
      </c>
      <c r="C511" s="77" t="s">
        <v>134</v>
      </c>
      <c r="D511" s="77" t="s">
        <v>135</v>
      </c>
      <c r="E511" s="77" t="s">
        <v>136</v>
      </c>
      <c r="F511" s="253" t="s">
        <v>430</v>
      </c>
      <c r="G511" s="254" t="s">
        <v>1569</v>
      </c>
      <c r="H511" s="254" t="s">
        <v>110</v>
      </c>
      <c r="I511" s="255" t="s">
        <v>1570</v>
      </c>
      <c r="J511" s="256" t="s">
        <v>1571</v>
      </c>
      <c r="K511" s="167" t="s">
        <v>80</v>
      </c>
      <c r="L511" s="257" t="s">
        <v>389</v>
      </c>
      <c r="M511" s="258" t="s">
        <v>154</v>
      </c>
      <c r="N511" s="258" t="s">
        <v>80</v>
      </c>
      <c r="O511" s="258" t="s">
        <v>80</v>
      </c>
      <c r="P511" s="259">
        <v>1</v>
      </c>
      <c r="Q511" s="308"/>
      <c r="R511" s="182">
        <v>0</v>
      </c>
      <c r="S511" s="76">
        <v>0</v>
      </c>
      <c r="T511" s="76">
        <v>0</v>
      </c>
      <c r="U511" s="76">
        <v>0</v>
      </c>
      <c r="V511" s="76">
        <v>0</v>
      </c>
      <c r="W511" s="76">
        <v>0</v>
      </c>
      <c r="X511" s="76">
        <v>0</v>
      </c>
      <c r="Y511" s="76">
        <v>0</v>
      </c>
      <c r="Z511" s="76">
        <v>0</v>
      </c>
      <c r="AA511" s="183">
        <v>0</v>
      </c>
      <c r="AB511" s="185">
        <v>0</v>
      </c>
      <c r="AC511" s="76">
        <v>0</v>
      </c>
      <c r="AD511" s="84">
        <v>1</v>
      </c>
      <c r="AE511" s="76">
        <v>0</v>
      </c>
      <c r="AF511" s="76">
        <v>0</v>
      </c>
      <c r="AG511" s="76">
        <v>0</v>
      </c>
      <c r="AH511" s="76">
        <v>0</v>
      </c>
      <c r="AI511" s="76">
        <v>0</v>
      </c>
      <c r="AJ511" s="76">
        <v>0</v>
      </c>
      <c r="AK511" s="183">
        <v>0</v>
      </c>
      <c r="AL511" s="215">
        <f t="shared" si="18"/>
        <v>1</v>
      </c>
      <c r="AM511" s="216">
        <f>0</f>
        <v>0</v>
      </c>
      <c r="AN511" s="217">
        <f t="shared" si="19"/>
        <v>1</v>
      </c>
      <c r="AO511" s="251">
        <v>45099</v>
      </c>
      <c r="AP511" s="151" t="s">
        <v>273</v>
      </c>
      <c r="AQ511" s="153" t="s">
        <v>1655</v>
      </c>
      <c r="AR511" s="108" t="s">
        <v>148</v>
      </c>
      <c r="AS511" s="98"/>
      <c r="AT511" s="104"/>
      <c r="AU511" s="104"/>
      <c r="AV511" s="105"/>
      <c r="AW511" s="104"/>
      <c r="AX511" s="106"/>
      <c r="AY511" s="106"/>
      <c r="AZ511" s="107"/>
      <c r="BA511" s="81"/>
      <c r="BB511" s="81"/>
      <c r="BC511" s="81"/>
    </row>
    <row r="512" spans="1:55" ht="28" customHeight="1" x14ac:dyDescent="0.25">
      <c r="A512" s="131">
        <v>507</v>
      </c>
      <c r="B512" s="141">
        <v>45099</v>
      </c>
      <c r="C512" s="77" t="s">
        <v>134</v>
      </c>
      <c r="D512" s="77" t="s">
        <v>135</v>
      </c>
      <c r="E512" s="77" t="s">
        <v>136</v>
      </c>
      <c r="F512" s="253" t="s">
        <v>430</v>
      </c>
      <c r="G512" s="254" t="s">
        <v>1572</v>
      </c>
      <c r="H512" s="254" t="s">
        <v>110</v>
      </c>
      <c r="I512" s="255" t="s">
        <v>398</v>
      </c>
      <c r="J512" s="256" t="s">
        <v>1573</v>
      </c>
      <c r="K512" s="167" t="s">
        <v>80</v>
      </c>
      <c r="L512" s="257" t="s">
        <v>389</v>
      </c>
      <c r="M512" s="258" t="s">
        <v>154</v>
      </c>
      <c r="N512" s="258" t="s">
        <v>212</v>
      </c>
      <c r="O512" s="258" t="s">
        <v>80</v>
      </c>
      <c r="P512" s="259">
        <v>1</v>
      </c>
      <c r="Q512" s="308"/>
      <c r="R512" s="182">
        <v>0</v>
      </c>
      <c r="S512" s="76">
        <v>0</v>
      </c>
      <c r="T512" s="76">
        <v>0</v>
      </c>
      <c r="U512" s="76">
        <v>0</v>
      </c>
      <c r="V512" s="76">
        <v>0</v>
      </c>
      <c r="W512" s="76">
        <v>0</v>
      </c>
      <c r="X512" s="76">
        <v>0</v>
      </c>
      <c r="Y512" s="76">
        <v>0</v>
      </c>
      <c r="Z512" s="76">
        <v>0</v>
      </c>
      <c r="AA512" s="183">
        <v>0</v>
      </c>
      <c r="AB512" s="185">
        <v>0</v>
      </c>
      <c r="AC512" s="76">
        <v>0</v>
      </c>
      <c r="AD512" s="84">
        <v>1</v>
      </c>
      <c r="AE512" s="76">
        <v>0</v>
      </c>
      <c r="AF512" s="76">
        <v>0</v>
      </c>
      <c r="AG512" s="76">
        <v>0</v>
      </c>
      <c r="AH512" s="76">
        <v>0</v>
      </c>
      <c r="AI512" s="76">
        <v>0</v>
      </c>
      <c r="AJ512" s="76">
        <v>0</v>
      </c>
      <c r="AK512" s="183">
        <v>0</v>
      </c>
      <c r="AL512" s="215">
        <f t="shared" si="18"/>
        <v>1</v>
      </c>
      <c r="AM512" s="216">
        <f>0</f>
        <v>0</v>
      </c>
      <c r="AN512" s="217">
        <f t="shared" si="19"/>
        <v>1</v>
      </c>
      <c r="AO512" s="251">
        <v>45103</v>
      </c>
      <c r="AP512" s="260" t="s">
        <v>273</v>
      </c>
      <c r="AQ512" s="153" t="s">
        <v>1657</v>
      </c>
      <c r="AR512" s="219" t="s">
        <v>669</v>
      </c>
      <c r="AS512" s="98"/>
      <c r="AT512" s="99"/>
      <c r="AU512" s="104"/>
      <c r="AV512" s="105"/>
      <c r="AW512" s="104"/>
      <c r="AX512" s="106"/>
      <c r="AY512" s="106"/>
      <c r="AZ512" s="107"/>
      <c r="BA512" s="81"/>
      <c r="BB512" s="81"/>
      <c r="BC512" s="81"/>
    </row>
    <row r="513" spans="1:55" ht="28" customHeight="1" x14ac:dyDescent="0.25">
      <c r="A513" s="131">
        <v>508</v>
      </c>
      <c r="B513" s="141">
        <v>45099</v>
      </c>
      <c r="C513" s="85"/>
      <c r="D513" s="85"/>
      <c r="E513" s="85" t="s">
        <v>136</v>
      </c>
      <c r="F513" s="253" t="s">
        <v>430</v>
      </c>
      <c r="G513" s="254" t="s">
        <v>1574</v>
      </c>
      <c r="H513" s="254" t="s">
        <v>110</v>
      </c>
      <c r="I513" s="255" t="s">
        <v>398</v>
      </c>
      <c r="J513" s="256" t="s">
        <v>1575</v>
      </c>
      <c r="K513" s="167" t="s">
        <v>80</v>
      </c>
      <c r="L513" s="257" t="s">
        <v>389</v>
      </c>
      <c r="M513" s="258" t="s">
        <v>154</v>
      </c>
      <c r="N513" s="258" t="s">
        <v>212</v>
      </c>
      <c r="O513" s="258" t="s">
        <v>80</v>
      </c>
      <c r="P513" s="259">
        <v>1</v>
      </c>
      <c r="Q513" s="308"/>
      <c r="R513" s="182">
        <v>0</v>
      </c>
      <c r="S513" s="76">
        <v>0</v>
      </c>
      <c r="T513" s="76">
        <v>0</v>
      </c>
      <c r="U513" s="76">
        <v>0</v>
      </c>
      <c r="V513" s="76">
        <v>0</v>
      </c>
      <c r="W513" s="76">
        <v>0</v>
      </c>
      <c r="X513" s="76">
        <v>0</v>
      </c>
      <c r="Y513" s="76">
        <v>0</v>
      </c>
      <c r="Z513" s="76">
        <v>0</v>
      </c>
      <c r="AA513" s="183">
        <v>0</v>
      </c>
      <c r="AB513" s="185">
        <v>0</v>
      </c>
      <c r="AC513" s="76">
        <v>0</v>
      </c>
      <c r="AD513" s="84">
        <v>1</v>
      </c>
      <c r="AE513" s="76">
        <v>0</v>
      </c>
      <c r="AF513" s="76">
        <v>0</v>
      </c>
      <c r="AG513" s="76">
        <v>0</v>
      </c>
      <c r="AH513" s="76">
        <v>0</v>
      </c>
      <c r="AI513" s="76">
        <v>0</v>
      </c>
      <c r="AJ513" s="76">
        <v>0</v>
      </c>
      <c r="AK513" s="183">
        <v>0</v>
      </c>
      <c r="AL513" s="215">
        <f t="shared" si="18"/>
        <v>1</v>
      </c>
      <c r="AM513" s="216">
        <f>0</f>
        <v>0</v>
      </c>
      <c r="AN513" s="217">
        <f t="shared" si="19"/>
        <v>1</v>
      </c>
      <c r="AO513" s="251">
        <v>45103</v>
      </c>
      <c r="AP513" s="260" t="s">
        <v>273</v>
      </c>
      <c r="AQ513" s="153" t="s">
        <v>1657</v>
      </c>
      <c r="AR513" s="219" t="s">
        <v>669</v>
      </c>
      <c r="AS513" s="98"/>
      <c r="AT513" s="99"/>
      <c r="AU513" s="104"/>
      <c r="AV513" s="105"/>
      <c r="AW513" s="104"/>
      <c r="AX513" s="106"/>
      <c r="AY513" s="106"/>
      <c r="AZ513" s="107"/>
      <c r="BA513" s="81"/>
      <c r="BB513" s="81"/>
      <c r="BC513" s="81"/>
    </row>
    <row r="514" spans="1:55" ht="28" customHeight="1" x14ac:dyDescent="0.25">
      <c r="A514" s="131">
        <v>509</v>
      </c>
      <c r="B514" s="141">
        <v>45099</v>
      </c>
      <c r="C514" s="77" t="s">
        <v>134</v>
      </c>
      <c r="D514" s="77" t="s">
        <v>135</v>
      </c>
      <c r="E514" s="77" t="s">
        <v>136</v>
      </c>
      <c r="F514" s="253" t="s">
        <v>430</v>
      </c>
      <c r="G514" s="254" t="s">
        <v>1576</v>
      </c>
      <c r="H514" s="254" t="s">
        <v>110</v>
      </c>
      <c r="I514" s="255" t="s">
        <v>1577</v>
      </c>
      <c r="J514" s="256" t="s">
        <v>1578</v>
      </c>
      <c r="K514" s="167" t="s">
        <v>80</v>
      </c>
      <c r="L514" s="257" t="s">
        <v>389</v>
      </c>
      <c r="M514" s="258" t="s">
        <v>154</v>
      </c>
      <c r="N514" s="258" t="s">
        <v>212</v>
      </c>
      <c r="O514" s="258" t="s">
        <v>80</v>
      </c>
      <c r="P514" s="259">
        <v>1</v>
      </c>
      <c r="Q514" s="308"/>
      <c r="R514" s="182">
        <v>0</v>
      </c>
      <c r="S514" s="76">
        <v>0</v>
      </c>
      <c r="T514" s="76">
        <v>0</v>
      </c>
      <c r="U514" s="76">
        <v>0</v>
      </c>
      <c r="V514" s="76">
        <v>0</v>
      </c>
      <c r="W514" s="76">
        <v>0</v>
      </c>
      <c r="X514" s="76">
        <v>0</v>
      </c>
      <c r="Y514" s="76">
        <v>0</v>
      </c>
      <c r="Z514" s="76">
        <v>0</v>
      </c>
      <c r="AA514" s="183">
        <v>0</v>
      </c>
      <c r="AB514" s="185">
        <v>0</v>
      </c>
      <c r="AC514" s="76">
        <v>0</v>
      </c>
      <c r="AD514" s="84">
        <v>1</v>
      </c>
      <c r="AE514" s="76">
        <v>0</v>
      </c>
      <c r="AF514" s="76">
        <v>0</v>
      </c>
      <c r="AG514" s="76">
        <v>0</v>
      </c>
      <c r="AH514" s="76">
        <v>0</v>
      </c>
      <c r="AI514" s="76">
        <v>0</v>
      </c>
      <c r="AJ514" s="76">
        <v>0</v>
      </c>
      <c r="AK514" s="183">
        <v>0</v>
      </c>
      <c r="AL514" s="215">
        <f t="shared" si="18"/>
        <v>1</v>
      </c>
      <c r="AM514" s="216">
        <f>0</f>
        <v>0</v>
      </c>
      <c r="AN514" s="217">
        <f t="shared" si="19"/>
        <v>1</v>
      </c>
      <c r="AO514" s="251">
        <v>45099</v>
      </c>
      <c r="AP514" s="151" t="s">
        <v>273</v>
      </c>
      <c r="AQ514" s="153" t="s">
        <v>1655</v>
      </c>
      <c r="AR514" s="108" t="s">
        <v>148</v>
      </c>
      <c r="AS514" s="98"/>
      <c r="AT514" s="104"/>
      <c r="AU514" s="104"/>
      <c r="AV514" s="105"/>
      <c r="AW514" s="104"/>
      <c r="AX514" s="106"/>
      <c r="AY514" s="106"/>
      <c r="AZ514" s="107"/>
      <c r="BA514" s="81"/>
      <c r="BB514" s="81"/>
      <c r="BC514" s="81"/>
    </row>
    <row r="515" spans="1:55" ht="28" customHeight="1" x14ac:dyDescent="0.25">
      <c r="A515" s="131">
        <v>510</v>
      </c>
      <c r="B515" s="141">
        <v>45099</v>
      </c>
      <c r="C515" s="77" t="s">
        <v>134</v>
      </c>
      <c r="D515" s="77" t="s">
        <v>135</v>
      </c>
      <c r="E515" s="77" t="s">
        <v>136</v>
      </c>
      <c r="F515" s="253" t="s">
        <v>430</v>
      </c>
      <c r="G515" s="254" t="s">
        <v>1579</v>
      </c>
      <c r="H515" s="254" t="s">
        <v>110</v>
      </c>
      <c r="I515" s="255" t="s">
        <v>1580</v>
      </c>
      <c r="J515" s="256" t="s">
        <v>1581</v>
      </c>
      <c r="K515" s="167" t="s">
        <v>80</v>
      </c>
      <c r="L515" s="257" t="s">
        <v>389</v>
      </c>
      <c r="M515" s="258" t="s">
        <v>154</v>
      </c>
      <c r="N515" s="258" t="s">
        <v>212</v>
      </c>
      <c r="O515" s="258" t="s">
        <v>80</v>
      </c>
      <c r="P515" s="259">
        <v>1</v>
      </c>
      <c r="Q515" s="308"/>
      <c r="R515" s="182">
        <v>0</v>
      </c>
      <c r="S515" s="76">
        <v>0</v>
      </c>
      <c r="T515" s="76">
        <v>0</v>
      </c>
      <c r="U515" s="76">
        <v>0</v>
      </c>
      <c r="V515" s="76">
        <v>0</v>
      </c>
      <c r="W515" s="76">
        <v>0</v>
      </c>
      <c r="X515" s="76">
        <v>0</v>
      </c>
      <c r="Y515" s="76">
        <v>0</v>
      </c>
      <c r="Z515" s="76">
        <v>0</v>
      </c>
      <c r="AA515" s="183">
        <v>0</v>
      </c>
      <c r="AB515" s="185">
        <v>0</v>
      </c>
      <c r="AC515" s="76">
        <v>0</v>
      </c>
      <c r="AD515" s="84">
        <v>1</v>
      </c>
      <c r="AE515" s="76">
        <v>0</v>
      </c>
      <c r="AF515" s="76">
        <v>0</v>
      </c>
      <c r="AG515" s="76">
        <v>0</v>
      </c>
      <c r="AH515" s="76">
        <v>0</v>
      </c>
      <c r="AI515" s="76">
        <v>0</v>
      </c>
      <c r="AJ515" s="76">
        <v>0</v>
      </c>
      <c r="AK515" s="183">
        <v>0</v>
      </c>
      <c r="AL515" s="215">
        <f t="shared" si="18"/>
        <v>1</v>
      </c>
      <c r="AM515" s="216">
        <f>0</f>
        <v>0</v>
      </c>
      <c r="AN515" s="217">
        <f t="shared" si="19"/>
        <v>1</v>
      </c>
      <c r="AO515" s="251">
        <v>45104</v>
      </c>
      <c r="AP515" s="260" t="s">
        <v>273</v>
      </c>
      <c r="AQ515" s="153" t="s">
        <v>1658</v>
      </c>
      <c r="AR515" s="108" t="s">
        <v>148</v>
      </c>
      <c r="AS515" s="98"/>
      <c r="AT515" s="99"/>
      <c r="AU515" s="104"/>
      <c r="AV515" s="105"/>
      <c r="AW515" s="104"/>
      <c r="AX515" s="106"/>
      <c r="AY515" s="106"/>
      <c r="AZ515" s="107"/>
      <c r="BA515" s="81"/>
      <c r="BB515" s="81"/>
      <c r="BC515" s="81"/>
    </row>
    <row r="516" spans="1:55" ht="28" customHeight="1" x14ac:dyDescent="0.25">
      <c r="A516" s="131">
        <v>511</v>
      </c>
      <c r="B516" s="141">
        <v>45099</v>
      </c>
      <c r="C516" s="85"/>
      <c r="D516" s="85"/>
      <c r="E516" s="85" t="s">
        <v>136</v>
      </c>
      <c r="F516" s="253" t="s">
        <v>430</v>
      </c>
      <c r="G516" s="254" t="s">
        <v>1582</v>
      </c>
      <c r="H516" s="254" t="s">
        <v>110</v>
      </c>
      <c r="I516" s="255" t="s">
        <v>1580</v>
      </c>
      <c r="J516" s="256" t="s">
        <v>1583</v>
      </c>
      <c r="K516" s="167" t="s">
        <v>80</v>
      </c>
      <c r="L516" s="257" t="s">
        <v>389</v>
      </c>
      <c r="M516" s="258" t="s">
        <v>154</v>
      </c>
      <c r="N516" s="258" t="s">
        <v>212</v>
      </c>
      <c r="O516" s="258" t="s">
        <v>80</v>
      </c>
      <c r="P516" s="259">
        <v>1</v>
      </c>
      <c r="Q516" s="308"/>
      <c r="R516" s="182">
        <v>0</v>
      </c>
      <c r="S516" s="76">
        <v>0</v>
      </c>
      <c r="T516" s="76">
        <v>0</v>
      </c>
      <c r="U516" s="76">
        <v>0</v>
      </c>
      <c r="V516" s="76">
        <v>0</v>
      </c>
      <c r="W516" s="76">
        <v>0</v>
      </c>
      <c r="X516" s="76">
        <v>0</v>
      </c>
      <c r="Y516" s="76">
        <v>0</v>
      </c>
      <c r="Z516" s="76">
        <v>0</v>
      </c>
      <c r="AA516" s="183">
        <v>0</v>
      </c>
      <c r="AB516" s="185">
        <v>0</v>
      </c>
      <c r="AC516" s="76">
        <v>0</v>
      </c>
      <c r="AD516" s="84">
        <v>1</v>
      </c>
      <c r="AE516" s="76">
        <v>0</v>
      </c>
      <c r="AF516" s="76">
        <v>0</v>
      </c>
      <c r="AG516" s="76">
        <v>0</v>
      </c>
      <c r="AH516" s="76">
        <v>0</v>
      </c>
      <c r="AI516" s="76">
        <v>0</v>
      </c>
      <c r="AJ516" s="76">
        <v>0</v>
      </c>
      <c r="AK516" s="183">
        <v>0</v>
      </c>
      <c r="AL516" s="215">
        <f t="shared" si="18"/>
        <v>1</v>
      </c>
      <c r="AM516" s="216">
        <f>0</f>
        <v>0</v>
      </c>
      <c r="AN516" s="217">
        <f t="shared" si="19"/>
        <v>1</v>
      </c>
      <c r="AO516" s="251">
        <v>45104</v>
      </c>
      <c r="AP516" s="260" t="s">
        <v>273</v>
      </c>
      <c r="AQ516" s="153" t="s">
        <v>1658</v>
      </c>
      <c r="AR516" s="108" t="s">
        <v>148</v>
      </c>
      <c r="AS516" s="98"/>
      <c r="AT516" s="99"/>
      <c r="AU516" s="104"/>
      <c r="AV516" s="105"/>
      <c r="AW516" s="104"/>
      <c r="AX516" s="106"/>
      <c r="AY516" s="106"/>
      <c r="AZ516" s="107"/>
      <c r="BA516" s="81"/>
      <c r="BB516" s="81"/>
      <c r="BC516" s="81"/>
    </row>
    <row r="517" spans="1:55" ht="28" customHeight="1" x14ac:dyDescent="0.25">
      <c r="A517" s="131">
        <v>512</v>
      </c>
      <c r="B517" s="141">
        <v>45099</v>
      </c>
      <c r="C517" s="77" t="s">
        <v>134</v>
      </c>
      <c r="D517" s="77" t="s">
        <v>135</v>
      </c>
      <c r="E517" s="77" t="s">
        <v>136</v>
      </c>
      <c r="F517" s="253" t="s">
        <v>430</v>
      </c>
      <c r="G517" s="254" t="s">
        <v>1584</v>
      </c>
      <c r="H517" s="254" t="s">
        <v>110</v>
      </c>
      <c r="I517" s="255" t="s">
        <v>1585</v>
      </c>
      <c r="J517" s="256" t="s">
        <v>1586</v>
      </c>
      <c r="K517" s="167" t="s">
        <v>80</v>
      </c>
      <c r="L517" s="257" t="s">
        <v>389</v>
      </c>
      <c r="M517" s="258" t="s">
        <v>154</v>
      </c>
      <c r="N517" s="258" t="s">
        <v>212</v>
      </c>
      <c r="O517" s="258" t="s">
        <v>80</v>
      </c>
      <c r="P517" s="259">
        <v>1</v>
      </c>
      <c r="Q517" s="308"/>
      <c r="R517" s="182">
        <v>0</v>
      </c>
      <c r="S517" s="76">
        <v>0</v>
      </c>
      <c r="T517" s="76">
        <v>0</v>
      </c>
      <c r="U517" s="76">
        <v>0</v>
      </c>
      <c r="V517" s="76">
        <v>0</v>
      </c>
      <c r="W517" s="76">
        <v>0</v>
      </c>
      <c r="X517" s="76">
        <v>0</v>
      </c>
      <c r="Y517" s="76">
        <v>0</v>
      </c>
      <c r="Z517" s="76">
        <v>0</v>
      </c>
      <c r="AA517" s="183">
        <v>0</v>
      </c>
      <c r="AB517" s="185">
        <v>0</v>
      </c>
      <c r="AC517" s="76">
        <v>0</v>
      </c>
      <c r="AD517" s="84">
        <v>1</v>
      </c>
      <c r="AE517" s="76">
        <v>0</v>
      </c>
      <c r="AF517" s="76">
        <v>0</v>
      </c>
      <c r="AG517" s="76">
        <v>0</v>
      </c>
      <c r="AH517" s="76">
        <v>0</v>
      </c>
      <c r="AI517" s="76">
        <v>0</v>
      </c>
      <c r="AJ517" s="76">
        <v>0</v>
      </c>
      <c r="AK517" s="183">
        <v>0</v>
      </c>
      <c r="AL517" s="215">
        <f t="shared" si="18"/>
        <v>1</v>
      </c>
      <c r="AM517" s="216">
        <f>0</f>
        <v>0</v>
      </c>
      <c r="AN517" s="217">
        <f t="shared" si="19"/>
        <v>1</v>
      </c>
      <c r="AO517" s="251">
        <v>45103</v>
      </c>
      <c r="AP517" s="260" t="s">
        <v>273</v>
      </c>
      <c r="AQ517" s="153" t="s">
        <v>1657</v>
      </c>
      <c r="AR517" s="219" t="s">
        <v>669</v>
      </c>
      <c r="AS517" s="98"/>
      <c r="AT517" s="99"/>
      <c r="AU517" s="104"/>
      <c r="AV517" s="105"/>
      <c r="AW517" s="104"/>
      <c r="AX517" s="106"/>
      <c r="AY517" s="106"/>
      <c r="AZ517" s="107"/>
      <c r="BA517" s="81"/>
      <c r="BB517" s="81"/>
      <c r="BC517" s="81"/>
    </row>
    <row r="518" spans="1:55" ht="28" customHeight="1" x14ac:dyDescent="0.25">
      <c r="A518" s="131">
        <v>513</v>
      </c>
      <c r="B518" s="141">
        <v>45099</v>
      </c>
      <c r="C518" s="85"/>
      <c r="D518" s="85"/>
      <c r="E518" s="85" t="s">
        <v>136</v>
      </c>
      <c r="F518" s="253" t="s">
        <v>430</v>
      </c>
      <c r="G518" s="254" t="s">
        <v>1587</v>
      </c>
      <c r="H518" s="254" t="s">
        <v>110</v>
      </c>
      <c r="I518" s="255" t="s">
        <v>1585</v>
      </c>
      <c r="J518" s="256" t="s">
        <v>1588</v>
      </c>
      <c r="K518" s="167" t="s">
        <v>80</v>
      </c>
      <c r="L518" s="257" t="s">
        <v>389</v>
      </c>
      <c r="M518" s="258" t="s">
        <v>154</v>
      </c>
      <c r="N518" s="258" t="s">
        <v>212</v>
      </c>
      <c r="O518" s="258" t="s">
        <v>80</v>
      </c>
      <c r="P518" s="259">
        <v>1</v>
      </c>
      <c r="Q518" s="308"/>
      <c r="R518" s="182">
        <v>0</v>
      </c>
      <c r="S518" s="76">
        <v>0</v>
      </c>
      <c r="T518" s="76">
        <v>0</v>
      </c>
      <c r="U518" s="76">
        <v>0</v>
      </c>
      <c r="V518" s="76">
        <v>0</v>
      </c>
      <c r="W518" s="76">
        <v>0</v>
      </c>
      <c r="X518" s="76">
        <v>0</v>
      </c>
      <c r="Y518" s="76">
        <v>0</v>
      </c>
      <c r="Z518" s="76">
        <v>0</v>
      </c>
      <c r="AA518" s="183">
        <v>0</v>
      </c>
      <c r="AB518" s="185">
        <v>0</v>
      </c>
      <c r="AC518" s="76">
        <v>0</v>
      </c>
      <c r="AD518" s="84">
        <v>1</v>
      </c>
      <c r="AE518" s="76">
        <v>0</v>
      </c>
      <c r="AF518" s="76">
        <v>0</v>
      </c>
      <c r="AG518" s="76">
        <v>0</v>
      </c>
      <c r="AH518" s="76">
        <v>0</v>
      </c>
      <c r="AI518" s="76">
        <v>0</v>
      </c>
      <c r="AJ518" s="76">
        <v>0</v>
      </c>
      <c r="AK518" s="183">
        <v>0</v>
      </c>
      <c r="AL518" s="215">
        <f t="shared" si="18"/>
        <v>1</v>
      </c>
      <c r="AM518" s="216">
        <f>0</f>
        <v>0</v>
      </c>
      <c r="AN518" s="217">
        <f t="shared" si="19"/>
        <v>1</v>
      </c>
      <c r="AO518" s="251">
        <v>45103</v>
      </c>
      <c r="AP518" s="260" t="s">
        <v>273</v>
      </c>
      <c r="AQ518" s="153" t="s">
        <v>1657</v>
      </c>
      <c r="AR518" s="219" t="s">
        <v>669</v>
      </c>
      <c r="AS518" s="98"/>
      <c r="AT518" s="99"/>
      <c r="AU518" s="104"/>
      <c r="AV518" s="105"/>
      <c r="AW518" s="104"/>
      <c r="AX518" s="106"/>
      <c r="AY518" s="106"/>
      <c r="AZ518" s="107"/>
      <c r="BA518" s="81"/>
      <c r="BB518" s="81"/>
      <c r="BC518" s="81"/>
    </row>
    <row r="519" spans="1:55" ht="28" customHeight="1" x14ac:dyDescent="0.25">
      <c r="A519" s="131">
        <v>514</v>
      </c>
      <c r="B519" s="141">
        <v>45099</v>
      </c>
      <c r="C519" s="77" t="s">
        <v>134</v>
      </c>
      <c r="D519" s="77" t="s">
        <v>135</v>
      </c>
      <c r="E519" s="77" t="s">
        <v>136</v>
      </c>
      <c r="F519" s="253" t="s">
        <v>430</v>
      </c>
      <c r="G519" s="254" t="s">
        <v>1589</v>
      </c>
      <c r="H519" s="254" t="s">
        <v>110</v>
      </c>
      <c r="I519" s="255" t="s">
        <v>80</v>
      </c>
      <c r="J519" s="256" t="s">
        <v>1590</v>
      </c>
      <c r="K519" s="167" t="s">
        <v>80</v>
      </c>
      <c r="L519" s="257" t="s">
        <v>389</v>
      </c>
      <c r="M519" s="258" t="s">
        <v>154</v>
      </c>
      <c r="N519" s="258" t="s">
        <v>80</v>
      </c>
      <c r="O519" s="258" t="s">
        <v>80</v>
      </c>
      <c r="P519" s="259">
        <v>1</v>
      </c>
      <c r="Q519" s="308"/>
      <c r="R519" s="182">
        <v>0</v>
      </c>
      <c r="S519" s="76">
        <v>0</v>
      </c>
      <c r="T519" s="76">
        <v>0</v>
      </c>
      <c r="U519" s="76">
        <v>0</v>
      </c>
      <c r="V519" s="76">
        <v>0</v>
      </c>
      <c r="W519" s="76">
        <v>0</v>
      </c>
      <c r="X519" s="76">
        <v>0</v>
      </c>
      <c r="Y519" s="76">
        <v>0</v>
      </c>
      <c r="Z519" s="76">
        <v>0</v>
      </c>
      <c r="AA519" s="183">
        <v>0</v>
      </c>
      <c r="AB519" s="185">
        <v>0</v>
      </c>
      <c r="AC519" s="76">
        <v>0</v>
      </c>
      <c r="AD519" s="84">
        <v>1</v>
      </c>
      <c r="AE519" s="76">
        <v>0</v>
      </c>
      <c r="AF519" s="76">
        <v>0</v>
      </c>
      <c r="AG519" s="76">
        <v>0</v>
      </c>
      <c r="AH519" s="76">
        <v>0</v>
      </c>
      <c r="AI519" s="76">
        <v>0</v>
      </c>
      <c r="AJ519" s="76">
        <v>0</v>
      </c>
      <c r="AK519" s="183">
        <v>0</v>
      </c>
      <c r="AL519" s="215">
        <f t="shared" si="18"/>
        <v>1</v>
      </c>
      <c r="AM519" s="216">
        <f>0</f>
        <v>0</v>
      </c>
      <c r="AN519" s="217">
        <f t="shared" si="19"/>
        <v>1</v>
      </c>
      <c r="AO519" s="251">
        <v>45103</v>
      </c>
      <c r="AP519" s="260" t="s">
        <v>273</v>
      </c>
      <c r="AQ519" s="153" t="s">
        <v>1657</v>
      </c>
      <c r="AR519" s="219" t="s">
        <v>669</v>
      </c>
      <c r="AS519" s="98"/>
      <c r="AT519" s="99"/>
      <c r="AU519" s="104"/>
      <c r="AV519" s="105"/>
      <c r="AW519" s="104"/>
      <c r="AX519" s="106"/>
      <c r="AY519" s="106"/>
      <c r="AZ519" s="107"/>
      <c r="BA519" s="81"/>
      <c r="BB519" s="81"/>
      <c r="BC519" s="81"/>
    </row>
    <row r="520" spans="1:55" ht="28" customHeight="1" x14ac:dyDescent="0.25">
      <c r="A520" s="131">
        <v>515</v>
      </c>
      <c r="B520" s="141">
        <v>45099</v>
      </c>
      <c r="C520" s="85"/>
      <c r="D520" s="85"/>
      <c r="E520" s="85" t="s">
        <v>136</v>
      </c>
      <c r="F520" s="253" t="s">
        <v>430</v>
      </c>
      <c r="G520" s="254" t="s">
        <v>1591</v>
      </c>
      <c r="H520" s="254" t="s">
        <v>110</v>
      </c>
      <c r="I520" s="255" t="s">
        <v>80</v>
      </c>
      <c r="J520" s="256" t="s">
        <v>1592</v>
      </c>
      <c r="K520" s="167" t="s">
        <v>80</v>
      </c>
      <c r="L520" s="257" t="s">
        <v>389</v>
      </c>
      <c r="M520" s="258" t="s">
        <v>154</v>
      </c>
      <c r="N520" s="258" t="s">
        <v>80</v>
      </c>
      <c r="O520" s="258" t="s">
        <v>80</v>
      </c>
      <c r="P520" s="259">
        <v>1</v>
      </c>
      <c r="Q520" s="308"/>
      <c r="R520" s="182">
        <v>0</v>
      </c>
      <c r="S520" s="76">
        <v>0</v>
      </c>
      <c r="T520" s="76">
        <v>0</v>
      </c>
      <c r="U520" s="76">
        <v>0</v>
      </c>
      <c r="V520" s="76">
        <v>0</v>
      </c>
      <c r="W520" s="76">
        <v>0</v>
      </c>
      <c r="X520" s="76">
        <v>0</v>
      </c>
      <c r="Y520" s="76">
        <v>0</v>
      </c>
      <c r="Z520" s="76">
        <v>0</v>
      </c>
      <c r="AA520" s="183">
        <v>0</v>
      </c>
      <c r="AB520" s="185">
        <v>0</v>
      </c>
      <c r="AC520" s="76">
        <v>0</v>
      </c>
      <c r="AD520" s="84">
        <v>1</v>
      </c>
      <c r="AE520" s="76">
        <v>0</v>
      </c>
      <c r="AF520" s="76">
        <v>0</v>
      </c>
      <c r="AG520" s="76">
        <v>0</v>
      </c>
      <c r="AH520" s="76">
        <v>0</v>
      </c>
      <c r="AI520" s="76">
        <v>0</v>
      </c>
      <c r="AJ520" s="76">
        <v>0</v>
      </c>
      <c r="AK520" s="183">
        <v>0</v>
      </c>
      <c r="AL520" s="215">
        <f t="shared" si="18"/>
        <v>1</v>
      </c>
      <c r="AM520" s="216">
        <f>0</f>
        <v>0</v>
      </c>
      <c r="AN520" s="217">
        <f t="shared" si="19"/>
        <v>1</v>
      </c>
      <c r="AO520" s="251">
        <v>45103</v>
      </c>
      <c r="AP520" s="260" t="s">
        <v>273</v>
      </c>
      <c r="AQ520" s="153" t="s">
        <v>1657</v>
      </c>
      <c r="AR520" s="219" t="s">
        <v>669</v>
      </c>
      <c r="AS520" s="98"/>
      <c r="AT520" s="99"/>
      <c r="AU520" s="104"/>
      <c r="AV520" s="105"/>
      <c r="AW520" s="104"/>
      <c r="AX520" s="106"/>
      <c r="AY520" s="106"/>
      <c r="AZ520" s="107"/>
      <c r="BA520" s="81"/>
      <c r="BB520" s="81"/>
      <c r="BC520" s="81"/>
    </row>
    <row r="521" spans="1:55" ht="28" customHeight="1" x14ac:dyDescent="0.25">
      <c r="A521" s="131">
        <v>516</v>
      </c>
      <c r="B521" s="141">
        <v>45099</v>
      </c>
      <c r="C521" s="77" t="s">
        <v>134</v>
      </c>
      <c r="D521" s="77" t="s">
        <v>135</v>
      </c>
      <c r="E521" s="77" t="s">
        <v>136</v>
      </c>
      <c r="F521" s="253" t="s">
        <v>430</v>
      </c>
      <c r="G521" s="254" t="s">
        <v>1593</v>
      </c>
      <c r="H521" s="254" t="s">
        <v>110</v>
      </c>
      <c r="I521" s="255" t="s">
        <v>80</v>
      </c>
      <c r="J521" s="256" t="s">
        <v>1594</v>
      </c>
      <c r="K521" s="167" t="s">
        <v>80</v>
      </c>
      <c r="L521" s="257" t="s">
        <v>389</v>
      </c>
      <c r="M521" s="258" t="s">
        <v>154</v>
      </c>
      <c r="N521" s="258" t="s">
        <v>212</v>
      </c>
      <c r="O521" s="258" t="s">
        <v>80</v>
      </c>
      <c r="P521" s="259">
        <v>1</v>
      </c>
      <c r="Q521" s="308"/>
      <c r="R521" s="182">
        <v>0</v>
      </c>
      <c r="S521" s="76">
        <v>0</v>
      </c>
      <c r="T521" s="76">
        <v>0</v>
      </c>
      <c r="U521" s="76">
        <v>0</v>
      </c>
      <c r="V521" s="76">
        <v>0</v>
      </c>
      <c r="W521" s="76">
        <v>0</v>
      </c>
      <c r="X521" s="76">
        <v>0</v>
      </c>
      <c r="Y521" s="76">
        <v>0</v>
      </c>
      <c r="Z521" s="76">
        <v>0</v>
      </c>
      <c r="AA521" s="183">
        <v>0</v>
      </c>
      <c r="AB521" s="185">
        <v>0</v>
      </c>
      <c r="AC521" s="76">
        <v>0</v>
      </c>
      <c r="AD521" s="84">
        <v>1</v>
      </c>
      <c r="AE521" s="76">
        <v>0</v>
      </c>
      <c r="AF521" s="76">
        <v>0</v>
      </c>
      <c r="AG521" s="76">
        <v>0</v>
      </c>
      <c r="AH521" s="76">
        <v>0</v>
      </c>
      <c r="AI521" s="76">
        <v>0</v>
      </c>
      <c r="AJ521" s="76">
        <v>0</v>
      </c>
      <c r="AK521" s="183">
        <v>0</v>
      </c>
      <c r="AL521" s="215">
        <f t="shared" si="18"/>
        <v>1</v>
      </c>
      <c r="AM521" s="216">
        <f>0</f>
        <v>0</v>
      </c>
      <c r="AN521" s="217">
        <f t="shared" si="19"/>
        <v>1</v>
      </c>
      <c r="AO521" s="251">
        <v>45103</v>
      </c>
      <c r="AP521" s="260" t="s">
        <v>273</v>
      </c>
      <c r="AQ521" s="153" t="s">
        <v>1657</v>
      </c>
      <c r="AR521" s="219" t="s">
        <v>669</v>
      </c>
      <c r="AS521" s="98"/>
      <c r="AT521" s="99"/>
      <c r="AU521" s="104"/>
      <c r="AV521" s="105"/>
      <c r="AW521" s="104"/>
      <c r="AX521" s="106"/>
      <c r="AY521" s="106"/>
      <c r="AZ521" s="107"/>
      <c r="BA521" s="81"/>
      <c r="BB521" s="81"/>
      <c r="BC521" s="81"/>
    </row>
    <row r="522" spans="1:55" ht="28" customHeight="1" x14ac:dyDescent="0.25">
      <c r="A522" s="131">
        <v>517</v>
      </c>
      <c r="B522" s="141">
        <v>45099</v>
      </c>
      <c r="C522" s="85"/>
      <c r="D522" s="85"/>
      <c r="E522" s="85" t="s">
        <v>136</v>
      </c>
      <c r="F522" s="253" t="s">
        <v>430</v>
      </c>
      <c r="G522" s="254" t="s">
        <v>1595</v>
      </c>
      <c r="H522" s="254" t="s">
        <v>110</v>
      </c>
      <c r="I522" s="255" t="s">
        <v>80</v>
      </c>
      <c r="J522" s="256" t="s">
        <v>1596</v>
      </c>
      <c r="K522" s="167" t="s">
        <v>80</v>
      </c>
      <c r="L522" s="257" t="s">
        <v>389</v>
      </c>
      <c r="M522" s="258" t="s">
        <v>154</v>
      </c>
      <c r="N522" s="258" t="s">
        <v>212</v>
      </c>
      <c r="O522" s="258" t="s">
        <v>80</v>
      </c>
      <c r="P522" s="259">
        <v>1</v>
      </c>
      <c r="Q522" s="308"/>
      <c r="R522" s="182">
        <v>0</v>
      </c>
      <c r="S522" s="76">
        <v>0</v>
      </c>
      <c r="T522" s="76">
        <v>0</v>
      </c>
      <c r="U522" s="76">
        <v>0</v>
      </c>
      <c r="V522" s="76">
        <v>0</v>
      </c>
      <c r="W522" s="76">
        <v>0</v>
      </c>
      <c r="X522" s="76">
        <v>0</v>
      </c>
      <c r="Y522" s="76">
        <v>0</v>
      </c>
      <c r="Z522" s="76">
        <v>0</v>
      </c>
      <c r="AA522" s="183">
        <v>0</v>
      </c>
      <c r="AB522" s="185">
        <v>0</v>
      </c>
      <c r="AC522" s="76">
        <v>0</v>
      </c>
      <c r="AD522" s="84">
        <v>1</v>
      </c>
      <c r="AE522" s="76">
        <v>0</v>
      </c>
      <c r="AF522" s="76">
        <v>0</v>
      </c>
      <c r="AG522" s="76">
        <v>0</v>
      </c>
      <c r="AH522" s="76">
        <v>0</v>
      </c>
      <c r="AI522" s="76">
        <v>0</v>
      </c>
      <c r="AJ522" s="76">
        <v>0</v>
      </c>
      <c r="AK522" s="183">
        <v>0</v>
      </c>
      <c r="AL522" s="215">
        <f t="shared" si="18"/>
        <v>1</v>
      </c>
      <c r="AM522" s="216">
        <f>0</f>
        <v>0</v>
      </c>
      <c r="AN522" s="217">
        <f t="shared" si="19"/>
        <v>1</v>
      </c>
      <c r="AO522" s="251">
        <v>45103</v>
      </c>
      <c r="AP522" s="260" t="s">
        <v>273</v>
      </c>
      <c r="AQ522" s="153" t="s">
        <v>1657</v>
      </c>
      <c r="AR522" s="219" t="s">
        <v>669</v>
      </c>
      <c r="AS522" s="98"/>
      <c r="AT522" s="99"/>
      <c r="AU522" s="104"/>
      <c r="AV522" s="105"/>
      <c r="AW522" s="104"/>
      <c r="AX522" s="106"/>
      <c r="AY522" s="106"/>
      <c r="AZ522" s="107"/>
      <c r="BA522" s="81"/>
      <c r="BB522" s="81"/>
      <c r="BC522" s="81"/>
    </row>
    <row r="523" spans="1:55" ht="28" customHeight="1" x14ac:dyDescent="0.25">
      <c r="A523" s="131">
        <v>518</v>
      </c>
      <c r="B523" s="141">
        <v>45099</v>
      </c>
      <c r="C523" s="77" t="s">
        <v>134</v>
      </c>
      <c r="D523" s="77" t="s">
        <v>135</v>
      </c>
      <c r="E523" s="77" t="s">
        <v>136</v>
      </c>
      <c r="F523" s="253" t="s">
        <v>430</v>
      </c>
      <c r="G523" s="254" t="s">
        <v>1597</v>
      </c>
      <c r="H523" s="254" t="s">
        <v>110</v>
      </c>
      <c r="I523" s="255" t="s">
        <v>80</v>
      </c>
      <c r="J523" s="256" t="s">
        <v>1598</v>
      </c>
      <c r="K523" s="167" t="s">
        <v>80</v>
      </c>
      <c r="L523" s="257" t="s">
        <v>389</v>
      </c>
      <c r="M523" s="258" t="s">
        <v>154</v>
      </c>
      <c r="N523" s="258" t="s">
        <v>80</v>
      </c>
      <c r="O523" s="258" t="s">
        <v>80</v>
      </c>
      <c r="P523" s="259">
        <v>1</v>
      </c>
      <c r="Q523" s="308"/>
      <c r="R523" s="182">
        <v>0</v>
      </c>
      <c r="S523" s="76">
        <v>0</v>
      </c>
      <c r="T523" s="76">
        <v>0</v>
      </c>
      <c r="U523" s="76">
        <v>0</v>
      </c>
      <c r="V523" s="76">
        <v>0</v>
      </c>
      <c r="W523" s="76">
        <v>0</v>
      </c>
      <c r="X523" s="76">
        <v>0</v>
      </c>
      <c r="Y523" s="76">
        <v>0</v>
      </c>
      <c r="Z523" s="76">
        <v>0</v>
      </c>
      <c r="AA523" s="183">
        <v>0</v>
      </c>
      <c r="AB523" s="185">
        <v>0</v>
      </c>
      <c r="AC523" s="76">
        <v>0</v>
      </c>
      <c r="AD523" s="84">
        <v>1</v>
      </c>
      <c r="AE523" s="76">
        <v>0</v>
      </c>
      <c r="AF523" s="76">
        <v>0</v>
      </c>
      <c r="AG523" s="76">
        <v>0</v>
      </c>
      <c r="AH523" s="76">
        <v>0</v>
      </c>
      <c r="AI523" s="76">
        <v>0</v>
      </c>
      <c r="AJ523" s="76">
        <v>0</v>
      </c>
      <c r="AK523" s="183">
        <v>0</v>
      </c>
      <c r="AL523" s="215">
        <f t="shared" si="18"/>
        <v>1</v>
      </c>
      <c r="AM523" s="216">
        <f>0</f>
        <v>0</v>
      </c>
      <c r="AN523" s="217">
        <f t="shared" si="19"/>
        <v>1</v>
      </c>
      <c r="AO523" s="251">
        <v>45103</v>
      </c>
      <c r="AP523" s="260" t="s">
        <v>273</v>
      </c>
      <c r="AQ523" s="153" t="s">
        <v>1657</v>
      </c>
      <c r="AR523" s="219" t="s">
        <v>669</v>
      </c>
      <c r="AS523" s="98"/>
      <c r="AT523" s="99"/>
      <c r="AU523" s="104"/>
      <c r="AV523" s="105"/>
      <c r="AW523" s="104"/>
      <c r="AX523" s="106"/>
      <c r="AY523" s="106"/>
      <c r="AZ523" s="107"/>
      <c r="BA523" s="81"/>
      <c r="BB523" s="81"/>
      <c r="BC523" s="81"/>
    </row>
    <row r="524" spans="1:55" ht="28" customHeight="1" x14ac:dyDescent="0.25">
      <c r="A524" s="131">
        <v>519</v>
      </c>
      <c r="B524" s="141">
        <v>45099</v>
      </c>
      <c r="C524" s="85"/>
      <c r="D524" s="85"/>
      <c r="E524" s="85" t="s">
        <v>136</v>
      </c>
      <c r="F524" s="253" t="s">
        <v>430</v>
      </c>
      <c r="G524" s="254" t="s">
        <v>1599</v>
      </c>
      <c r="H524" s="254" t="s">
        <v>110</v>
      </c>
      <c r="I524" s="255" t="s">
        <v>80</v>
      </c>
      <c r="J524" s="256" t="s">
        <v>1600</v>
      </c>
      <c r="K524" s="167" t="s">
        <v>80</v>
      </c>
      <c r="L524" s="257" t="s">
        <v>389</v>
      </c>
      <c r="M524" s="258" t="s">
        <v>154</v>
      </c>
      <c r="N524" s="258" t="s">
        <v>80</v>
      </c>
      <c r="O524" s="258" t="s">
        <v>80</v>
      </c>
      <c r="P524" s="259">
        <v>1</v>
      </c>
      <c r="Q524" s="308"/>
      <c r="R524" s="182">
        <v>0</v>
      </c>
      <c r="S524" s="76">
        <v>0</v>
      </c>
      <c r="T524" s="76">
        <v>0</v>
      </c>
      <c r="U524" s="76">
        <v>0</v>
      </c>
      <c r="V524" s="76">
        <v>0</v>
      </c>
      <c r="W524" s="76">
        <v>0</v>
      </c>
      <c r="X524" s="76">
        <v>0</v>
      </c>
      <c r="Y524" s="76">
        <v>0</v>
      </c>
      <c r="Z524" s="76">
        <v>0</v>
      </c>
      <c r="AA524" s="183">
        <v>0</v>
      </c>
      <c r="AB524" s="185">
        <v>0</v>
      </c>
      <c r="AC524" s="76">
        <v>0</v>
      </c>
      <c r="AD524" s="84">
        <v>1</v>
      </c>
      <c r="AE524" s="76">
        <v>0</v>
      </c>
      <c r="AF524" s="76">
        <v>0</v>
      </c>
      <c r="AG524" s="76">
        <v>0</v>
      </c>
      <c r="AH524" s="76">
        <v>0</v>
      </c>
      <c r="AI524" s="76">
        <v>0</v>
      </c>
      <c r="AJ524" s="76">
        <v>0</v>
      </c>
      <c r="AK524" s="183">
        <v>0</v>
      </c>
      <c r="AL524" s="215">
        <f t="shared" si="18"/>
        <v>1</v>
      </c>
      <c r="AM524" s="216">
        <f>0</f>
        <v>0</v>
      </c>
      <c r="AN524" s="217">
        <f t="shared" si="19"/>
        <v>1</v>
      </c>
      <c r="AO524" s="251">
        <v>45103</v>
      </c>
      <c r="AP524" s="260" t="s">
        <v>273</v>
      </c>
      <c r="AQ524" s="153" t="s">
        <v>1657</v>
      </c>
      <c r="AR524" s="219" t="s">
        <v>669</v>
      </c>
      <c r="AS524" s="98"/>
      <c r="AT524" s="99"/>
      <c r="AU524" s="104"/>
      <c r="AV524" s="105"/>
      <c r="AW524" s="104"/>
      <c r="AX524" s="106"/>
      <c r="AY524" s="106"/>
      <c r="AZ524" s="107"/>
      <c r="BA524" s="81"/>
      <c r="BB524" s="81"/>
      <c r="BC524" s="81"/>
    </row>
    <row r="525" spans="1:55" ht="28" customHeight="1" x14ac:dyDescent="0.25">
      <c r="A525" s="131">
        <v>520</v>
      </c>
      <c r="B525" s="141">
        <v>45099</v>
      </c>
      <c r="C525" s="77" t="s">
        <v>134</v>
      </c>
      <c r="D525" s="77" t="s">
        <v>135</v>
      </c>
      <c r="E525" s="77" t="s">
        <v>136</v>
      </c>
      <c r="F525" s="253" t="s">
        <v>430</v>
      </c>
      <c r="G525" s="254" t="s">
        <v>1601</v>
      </c>
      <c r="H525" s="254" t="s">
        <v>110</v>
      </c>
      <c r="I525" s="255" t="s">
        <v>80</v>
      </c>
      <c r="J525" s="256" t="s">
        <v>1602</v>
      </c>
      <c r="K525" s="167" t="s">
        <v>80</v>
      </c>
      <c r="L525" s="257" t="s">
        <v>389</v>
      </c>
      <c r="M525" s="258" t="s">
        <v>154</v>
      </c>
      <c r="N525" s="258" t="s">
        <v>212</v>
      </c>
      <c r="O525" s="258" t="s">
        <v>80</v>
      </c>
      <c r="P525" s="259">
        <v>1</v>
      </c>
      <c r="Q525" s="308"/>
      <c r="R525" s="182">
        <v>0</v>
      </c>
      <c r="S525" s="76">
        <v>0</v>
      </c>
      <c r="T525" s="76">
        <v>0</v>
      </c>
      <c r="U525" s="76">
        <v>0</v>
      </c>
      <c r="V525" s="76">
        <v>0</v>
      </c>
      <c r="W525" s="76">
        <v>0</v>
      </c>
      <c r="X525" s="76">
        <v>0</v>
      </c>
      <c r="Y525" s="76">
        <v>0</v>
      </c>
      <c r="Z525" s="76">
        <v>0</v>
      </c>
      <c r="AA525" s="183">
        <v>0</v>
      </c>
      <c r="AB525" s="185">
        <v>0</v>
      </c>
      <c r="AC525" s="76">
        <v>0</v>
      </c>
      <c r="AD525" s="84">
        <v>1</v>
      </c>
      <c r="AE525" s="76">
        <v>0</v>
      </c>
      <c r="AF525" s="76">
        <v>0</v>
      </c>
      <c r="AG525" s="76">
        <v>0</v>
      </c>
      <c r="AH525" s="76">
        <v>0</v>
      </c>
      <c r="AI525" s="76">
        <v>0</v>
      </c>
      <c r="AJ525" s="76">
        <v>0</v>
      </c>
      <c r="AK525" s="183">
        <v>0</v>
      </c>
      <c r="AL525" s="215">
        <f t="shared" si="18"/>
        <v>1</v>
      </c>
      <c r="AM525" s="216">
        <f>0</f>
        <v>0</v>
      </c>
      <c r="AN525" s="217">
        <f t="shared" si="19"/>
        <v>1</v>
      </c>
      <c r="AO525" s="251">
        <v>45103</v>
      </c>
      <c r="AP525" s="260" t="s">
        <v>273</v>
      </c>
      <c r="AQ525" s="153" t="s">
        <v>1657</v>
      </c>
      <c r="AR525" s="219" t="s">
        <v>669</v>
      </c>
      <c r="AS525" s="98"/>
      <c r="AT525" s="99"/>
      <c r="AU525" s="104"/>
      <c r="AV525" s="105"/>
      <c r="AW525" s="104"/>
      <c r="AX525" s="106"/>
      <c r="AY525" s="106"/>
      <c r="AZ525" s="107"/>
      <c r="BA525" s="81"/>
      <c r="BB525" s="81"/>
      <c r="BC525" s="81"/>
    </row>
    <row r="526" spans="1:55" ht="28" customHeight="1" x14ac:dyDescent="0.25">
      <c r="A526" s="131">
        <v>521</v>
      </c>
      <c r="B526" s="141">
        <v>45099</v>
      </c>
      <c r="C526" s="85"/>
      <c r="D526" s="85"/>
      <c r="E526" s="85" t="s">
        <v>136</v>
      </c>
      <c r="F526" s="253" t="s">
        <v>430</v>
      </c>
      <c r="G526" s="254" t="s">
        <v>1603</v>
      </c>
      <c r="H526" s="254" t="s">
        <v>110</v>
      </c>
      <c r="I526" s="255" t="s">
        <v>80</v>
      </c>
      <c r="J526" s="256" t="s">
        <v>1604</v>
      </c>
      <c r="K526" s="167" t="s">
        <v>80</v>
      </c>
      <c r="L526" s="257" t="s">
        <v>389</v>
      </c>
      <c r="M526" s="258" t="s">
        <v>154</v>
      </c>
      <c r="N526" s="258" t="s">
        <v>212</v>
      </c>
      <c r="O526" s="258" t="s">
        <v>80</v>
      </c>
      <c r="P526" s="259">
        <v>1</v>
      </c>
      <c r="Q526" s="308"/>
      <c r="R526" s="182">
        <v>0</v>
      </c>
      <c r="S526" s="76">
        <v>0</v>
      </c>
      <c r="T526" s="76">
        <v>0</v>
      </c>
      <c r="U526" s="76">
        <v>0</v>
      </c>
      <c r="V526" s="76">
        <v>0</v>
      </c>
      <c r="W526" s="76">
        <v>0</v>
      </c>
      <c r="X526" s="76">
        <v>0</v>
      </c>
      <c r="Y526" s="76">
        <v>0</v>
      </c>
      <c r="Z526" s="76">
        <v>0</v>
      </c>
      <c r="AA526" s="183">
        <v>0</v>
      </c>
      <c r="AB526" s="185">
        <v>0</v>
      </c>
      <c r="AC526" s="76">
        <v>0</v>
      </c>
      <c r="AD526" s="84">
        <v>1</v>
      </c>
      <c r="AE526" s="76">
        <v>0</v>
      </c>
      <c r="AF526" s="76">
        <v>0</v>
      </c>
      <c r="AG526" s="76">
        <v>0</v>
      </c>
      <c r="AH526" s="76">
        <v>0</v>
      </c>
      <c r="AI526" s="76">
        <v>0</v>
      </c>
      <c r="AJ526" s="76">
        <v>0</v>
      </c>
      <c r="AK526" s="183">
        <v>0</v>
      </c>
      <c r="AL526" s="215">
        <f t="shared" si="18"/>
        <v>1</v>
      </c>
      <c r="AM526" s="216">
        <f>0</f>
        <v>0</v>
      </c>
      <c r="AN526" s="217">
        <f t="shared" si="19"/>
        <v>1</v>
      </c>
      <c r="AO526" s="251">
        <v>45103</v>
      </c>
      <c r="AP526" s="260" t="s">
        <v>273</v>
      </c>
      <c r="AQ526" s="153" t="s">
        <v>1657</v>
      </c>
      <c r="AR526" s="219" t="s">
        <v>669</v>
      </c>
      <c r="AS526" s="98"/>
      <c r="AT526" s="99"/>
      <c r="AU526" s="104"/>
      <c r="AV526" s="105"/>
      <c r="AW526" s="104"/>
      <c r="AX526" s="106"/>
      <c r="AY526" s="106"/>
      <c r="AZ526" s="107"/>
      <c r="BA526" s="81"/>
      <c r="BB526" s="81"/>
      <c r="BC526" s="81"/>
    </row>
    <row r="527" spans="1:55" ht="28" customHeight="1" x14ac:dyDescent="0.25">
      <c r="A527" s="131">
        <v>522</v>
      </c>
      <c r="B527" s="141">
        <v>45099</v>
      </c>
      <c r="C527" s="77" t="s">
        <v>134</v>
      </c>
      <c r="D527" s="77" t="s">
        <v>135</v>
      </c>
      <c r="E527" s="77" t="s">
        <v>136</v>
      </c>
      <c r="F527" s="253" t="s">
        <v>430</v>
      </c>
      <c r="G527" s="254" t="s">
        <v>1605</v>
      </c>
      <c r="H527" s="254" t="s">
        <v>110</v>
      </c>
      <c r="I527" s="255" t="s">
        <v>1606</v>
      </c>
      <c r="J527" s="256" t="s">
        <v>1607</v>
      </c>
      <c r="K527" s="167" t="s">
        <v>80</v>
      </c>
      <c r="L527" s="257" t="s">
        <v>389</v>
      </c>
      <c r="M527" s="258" t="s">
        <v>154</v>
      </c>
      <c r="N527" s="258" t="s">
        <v>212</v>
      </c>
      <c r="O527" s="258" t="s">
        <v>80</v>
      </c>
      <c r="P527" s="259">
        <v>6</v>
      </c>
      <c r="Q527" s="308"/>
      <c r="R527" s="182">
        <v>0</v>
      </c>
      <c r="S527" s="76">
        <v>0</v>
      </c>
      <c r="T527" s="76">
        <v>0</v>
      </c>
      <c r="U527" s="76">
        <v>0</v>
      </c>
      <c r="V527" s="76">
        <v>0</v>
      </c>
      <c r="W527" s="76">
        <v>0</v>
      </c>
      <c r="X527" s="76">
        <v>0</v>
      </c>
      <c r="Y527" s="76">
        <v>0</v>
      </c>
      <c r="Z527" s="76">
        <v>0</v>
      </c>
      <c r="AA527" s="183">
        <v>0</v>
      </c>
      <c r="AB527" s="185">
        <v>0</v>
      </c>
      <c r="AC527" s="76">
        <v>0</v>
      </c>
      <c r="AD527" s="84">
        <v>6</v>
      </c>
      <c r="AE527" s="76">
        <v>0</v>
      </c>
      <c r="AF527" s="76">
        <v>0</v>
      </c>
      <c r="AG527" s="76">
        <v>0</v>
      </c>
      <c r="AH527" s="76">
        <v>0</v>
      </c>
      <c r="AI527" s="76">
        <v>0</v>
      </c>
      <c r="AJ527" s="76">
        <v>0</v>
      </c>
      <c r="AK527" s="183">
        <v>0</v>
      </c>
      <c r="AL527" s="215">
        <f t="shared" si="18"/>
        <v>6</v>
      </c>
      <c r="AM527" s="216">
        <f>0</f>
        <v>0</v>
      </c>
      <c r="AN527" s="217">
        <f t="shared" si="19"/>
        <v>6</v>
      </c>
      <c r="AO527" s="251">
        <v>45099</v>
      </c>
      <c r="AP527" s="151" t="s">
        <v>273</v>
      </c>
      <c r="AQ527" s="153" t="s">
        <v>1655</v>
      </c>
      <c r="AR527" s="108" t="s">
        <v>148</v>
      </c>
      <c r="AS527" s="98"/>
      <c r="AT527" s="104"/>
      <c r="AU527" s="104"/>
      <c r="AV527" s="105"/>
      <c r="AW527" s="104"/>
      <c r="AX527" s="106"/>
      <c r="AY527" s="106"/>
      <c r="AZ527" s="107"/>
      <c r="BA527" s="81"/>
      <c r="BB527" s="81"/>
      <c r="BC527" s="81"/>
    </row>
    <row r="528" spans="1:55" ht="28" customHeight="1" x14ac:dyDescent="0.25">
      <c r="A528" s="131">
        <v>523</v>
      </c>
      <c r="B528" s="141">
        <v>45099</v>
      </c>
      <c r="C528" s="77" t="s">
        <v>134</v>
      </c>
      <c r="D528" s="77" t="s">
        <v>135</v>
      </c>
      <c r="E528" s="77" t="s">
        <v>136</v>
      </c>
      <c r="F528" s="253" t="s">
        <v>430</v>
      </c>
      <c r="G528" s="254" t="s">
        <v>1608</v>
      </c>
      <c r="H528" s="254" t="s">
        <v>110</v>
      </c>
      <c r="I528" s="255" t="s">
        <v>520</v>
      </c>
      <c r="J528" s="256" t="s">
        <v>1609</v>
      </c>
      <c r="K528" s="167" t="s">
        <v>80</v>
      </c>
      <c r="L528" s="257" t="s">
        <v>451</v>
      </c>
      <c r="M528" s="258" t="s">
        <v>154</v>
      </c>
      <c r="N528" s="258" t="s">
        <v>214</v>
      </c>
      <c r="O528" s="258" t="s">
        <v>149</v>
      </c>
      <c r="P528" s="259">
        <v>1</v>
      </c>
      <c r="Q528" s="308"/>
      <c r="R528" s="182">
        <v>0</v>
      </c>
      <c r="S528" s="76">
        <v>0</v>
      </c>
      <c r="T528" s="76">
        <v>0</v>
      </c>
      <c r="U528" s="76">
        <v>0</v>
      </c>
      <c r="V528" s="76">
        <v>0</v>
      </c>
      <c r="W528" s="76">
        <v>0</v>
      </c>
      <c r="X528" s="76">
        <v>0</v>
      </c>
      <c r="Y528" s="76">
        <v>0</v>
      </c>
      <c r="Z528" s="76">
        <v>0</v>
      </c>
      <c r="AA528" s="183">
        <v>0</v>
      </c>
      <c r="AB528" s="185">
        <v>0</v>
      </c>
      <c r="AC528" s="76">
        <v>0</v>
      </c>
      <c r="AD528" s="84">
        <v>1</v>
      </c>
      <c r="AE528" s="76">
        <v>0</v>
      </c>
      <c r="AF528" s="76">
        <v>0</v>
      </c>
      <c r="AG528" s="76">
        <v>0</v>
      </c>
      <c r="AH528" s="76">
        <v>0</v>
      </c>
      <c r="AI528" s="76">
        <v>0</v>
      </c>
      <c r="AJ528" s="76">
        <v>0</v>
      </c>
      <c r="AK528" s="183">
        <v>0</v>
      </c>
      <c r="AL528" s="215">
        <f t="shared" si="18"/>
        <v>1</v>
      </c>
      <c r="AM528" s="216">
        <f>0</f>
        <v>0</v>
      </c>
      <c r="AN528" s="217">
        <f t="shared" si="19"/>
        <v>1</v>
      </c>
      <c r="AO528" s="251">
        <v>45103</v>
      </c>
      <c r="AP528" s="260" t="s">
        <v>273</v>
      </c>
      <c r="AQ528" s="153" t="s">
        <v>1657</v>
      </c>
      <c r="AR528" s="219" t="s">
        <v>669</v>
      </c>
      <c r="AS528" s="98"/>
      <c r="AT528" s="99"/>
      <c r="AU528" s="104"/>
      <c r="AV528" s="105"/>
      <c r="AW528" s="104"/>
      <c r="AX528" s="106"/>
      <c r="AY528" s="106"/>
      <c r="AZ528" s="107"/>
      <c r="BA528" s="81"/>
      <c r="BB528" s="81"/>
      <c r="BC528" s="81"/>
    </row>
    <row r="529" spans="1:55" ht="28" customHeight="1" x14ac:dyDescent="0.25">
      <c r="A529" s="131">
        <v>524</v>
      </c>
      <c r="B529" s="141">
        <v>45099</v>
      </c>
      <c r="C529" s="77" t="s">
        <v>134</v>
      </c>
      <c r="D529" s="77" t="s">
        <v>135</v>
      </c>
      <c r="E529" s="77" t="s">
        <v>136</v>
      </c>
      <c r="F529" s="253" t="s">
        <v>430</v>
      </c>
      <c r="G529" s="254" t="s">
        <v>1610</v>
      </c>
      <c r="H529" s="254" t="s">
        <v>110</v>
      </c>
      <c r="I529" s="255" t="s">
        <v>1611</v>
      </c>
      <c r="J529" s="256" t="s">
        <v>1612</v>
      </c>
      <c r="K529" s="167" t="s">
        <v>80</v>
      </c>
      <c r="L529" s="257" t="s">
        <v>451</v>
      </c>
      <c r="M529" s="258" t="s">
        <v>154</v>
      </c>
      <c r="N529" s="258" t="s">
        <v>214</v>
      </c>
      <c r="O529" s="258" t="s">
        <v>149</v>
      </c>
      <c r="P529" s="259">
        <v>1</v>
      </c>
      <c r="Q529" s="308"/>
      <c r="R529" s="182">
        <v>0</v>
      </c>
      <c r="S529" s="76">
        <v>0</v>
      </c>
      <c r="T529" s="76">
        <v>0</v>
      </c>
      <c r="U529" s="76">
        <v>0</v>
      </c>
      <c r="V529" s="76">
        <v>0</v>
      </c>
      <c r="W529" s="76">
        <v>0</v>
      </c>
      <c r="X529" s="76">
        <v>0</v>
      </c>
      <c r="Y529" s="76">
        <v>0</v>
      </c>
      <c r="Z529" s="76">
        <v>0</v>
      </c>
      <c r="AA529" s="183">
        <v>0</v>
      </c>
      <c r="AB529" s="185">
        <v>0</v>
      </c>
      <c r="AC529" s="76">
        <v>0</v>
      </c>
      <c r="AD529" s="84">
        <v>1</v>
      </c>
      <c r="AE529" s="76">
        <v>0</v>
      </c>
      <c r="AF529" s="76">
        <v>0</v>
      </c>
      <c r="AG529" s="76">
        <v>0</v>
      </c>
      <c r="AH529" s="76">
        <v>0</v>
      </c>
      <c r="AI529" s="76">
        <v>0</v>
      </c>
      <c r="AJ529" s="76">
        <v>0</v>
      </c>
      <c r="AK529" s="183">
        <v>0</v>
      </c>
      <c r="AL529" s="215">
        <f t="shared" si="18"/>
        <v>1</v>
      </c>
      <c r="AM529" s="216">
        <f>0</f>
        <v>0</v>
      </c>
      <c r="AN529" s="217">
        <f t="shared" si="19"/>
        <v>1</v>
      </c>
      <c r="AO529" s="251">
        <v>45103</v>
      </c>
      <c r="AP529" s="260" t="s">
        <v>273</v>
      </c>
      <c r="AQ529" s="153" t="s">
        <v>1657</v>
      </c>
      <c r="AR529" s="219" t="s">
        <v>669</v>
      </c>
      <c r="AS529" s="98"/>
      <c r="AT529" s="99"/>
      <c r="AU529" s="104"/>
      <c r="AV529" s="105"/>
      <c r="AW529" s="104"/>
      <c r="AX529" s="106"/>
      <c r="AY529" s="106"/>
      <c r="AZ529" s="107"/>
      <c r="BA529" s="81"/>
      <c r="BB529" s="81"/>
      <c r="BC529" s="81"/>
    </row>
    <row r="530" spans="1:55" ht="28" customHeight="1" x14ac:dyDescent="0.25">
      <c r="A530" s="131">
        <v>525</v>
      </c>
      <c r="B530" s="141">
        <v>45099</v>
      </c>
      <c r="C530" s="77" t="s">
        <v>134</v>
      </c>
      <c r="D530" s="77" t="s">
        <v>135</v>
      </c>
      <c r="E530" s="77" t="s">
        <v>136</v>
      </c>
      <c r="F530" s="253" t="s">
        <v>430</v>
      </c>
      <c r="G530" s="254" t="s">
        <v>1613</v>
      </c>
      <c r="H530" s="254" t="s">
        <v>110</v>
      </c>
      <c r="I530" s="255" t="s">
        <v>1614</v>
      </c>
      <c r="J530" s="256" t="s">
        <v>1615</v>
      </c>
      <c r="K530" s="167" t="s">
        <v>80</v>
      </c>
      <c r="L530" s="257" t="s">
        <v>451</v>
      </c>
      <c r="M530" s="258" t="s">
        <v>154</v>
      </c>
      <c r="N530" s="258" t="s">
        <v>214</v>
      </c>
      <c r="O530" s="258" t="s">
        <v>149</v>
      </c>
      <c r="P530" s="259">
        <v>1</v>
      </c>
      <c r="Q530" s="308"/>
      <c r="R530" s="182">
        <v>0</v>
      </c>
      <c r="S530" s="76">
        <v>0</v>
      </c>
      <c r="T530" s="76">
        <v>0</v>
      </c>
      <c r="U530" s="76">
        <v>0</v>
      </c>
      <c r="V530" s="76">
        <v>0</v>
      </c>
      <c r="W530" s="76">
        <v>0</v>
      </c>
      <c r="X530" s="76">
        <v>0</v>
      </c>
      <c r="Y530" s="76">
        <v>0</v>
      </c>
      <c r="Z530" s="76">
        <v>0</v>
      </c>
      <c r="AA530" s="183">
        <v>0</v>
      </c>
      <c r="AB530" s="185">
        <v>0</v>
      </c>
      <c r="AC530" s="76">
        <v>0</v>
      </c>
      <c r="AD530" s="84">
        <v>1</v>
      </c>
      <c r="AE530" s="76">
        <v>0</v>
      </c>
      <c r="AF530" s="76">
        <v>0</v>
      </c>
      <c r="AG530" s="76">
        <v>0</v>
      </c>
      <c r="AH530" s="76">
        <v>0</v>
      </c>
      <c r="AI530" s="76">
        <v>0</v>
      </c>
      <c r="AJ530" s="76">
        <v>0</v>
      </c>
      <c r="AK530" s="183">
        <v>0</v>
      </c>
      <c r="AL530" s="215">
        <f t="shared" si="18"/>
        <v>1</v>
      </c>
      <c r="AM530" s="216">
        <f>0</f>
        <v>0</v>
      </c>
      <c r="AN530" s="217">
        <f t="shared" si="19"/>
        <v>1</v>
      </c>
      <c r="AO530" s="251">
        <v>45103</v>
      </c>
      <c r="AP530" s="260" t="s">
        <v>273</v>
      </c>
      <c r="AQ530" s="153" t="s">
        <v>1657</v>
      </c>
      <c r="AR530" s="219" t="s">
        <v>669</v>
      </c>
      <c r="AS530" s="98"/>
      <c r="AT530" s="99"/>
      <c r="AU530" s="104"/>
      <c r="AV530" s="105"/>
      <c r="AW530" s="104"/>
      <c r="AX530" s="106"/>
      <c r="AY530" s="106"/>
      <c r="AZ530" s="107"/>
      <c r="BA530" s="81"/>
      <c r="BB530" s="81"/>
      <c r="BC530" s="81"/>
    </row>
    <row r="531" spans="1:55" ht="28" customHeight="1" x14ac:dyDescent="0.25">
      <c r="A531" s="131">
        <v>526</v>
      </c>
      <c r="B531" s="141">
        <v>45099</v>
      </c>
      <c r="C531" s="77" t="s">
        <v>134</v>
      </c>
      <c r="D531" s="77" t="s">
        <v>135</v>
      </c>
      <c r="E531" s="77" t="s">
        <v>136</v>
      </c>
      <c r="F531" s="253" t="s">
        <v>430</v>
      </c>
      <c r="G531" s="254" t="s">
        <v>1616</v>
      </c>
      <c r="H531" s="254" t="s">
        <v>110</v>
      </c>
      <c r="I531" s="255" t="s">
        <v>1650</v>
      </c>
      <c r="J531" s="256" t="s">
        <v>1617</v>
      </c>
      <c r="K531" s="167" t="s">
        <v>80</v>
      </c>
      <c r="L531" s="257" t="s">
        <v>451</v>
      </c>
      <c r="M531" s="258" t="s">
        <v>154</v>
      </c>
      <c r="N531" s="258" t="s">
        <v>214</v>
      </c>
      <c r="O531" s="258" t="s">
        <v>149</v>
      </c>
      <c r="P531" s="259">
        <v>1</v>
      </c>
      <c r="Q531" s="308"/>
      <c r="R531" s="182">
        <v>0</v>
      </c>
      <c r="S531" s="76">
        <v>0</v>
      </c>
      <c r="T531" s="76">
        <v>0</v>
      </c>
      <c r="U531" s="76">
        <v>0</v>
      </c>
      <c r="V531" s="76">
        <v>0</v>
      </c>
      <c r="W531" s="76">
        <v>0</v>
      </c>
      <c r="X531" s="76">
        <v>0</v>
      </c>
      <c r="Y531" s="76">
        <v>0</v>
      </c>
      <c r="Z531" s="76">
        <v>0</v>
      </c>
      <c r="AA531" s="183">
        <v>0</v>
      </c>
      <c r="AB531" s="185">
        <v>0</v>
      </c>
      <c r="AC531" s="76">
        <v>0</v>
      </c>
      <c r="AD531" s="84">
        <v>1</v>
      </c>
      <c r="AE531" s="76">
        <v>0</v>
      </c>
      <c r="AF531" s="76">
        <v>0</v>
      </c>
      <c r="AG531" s="76">
        <v>0</v>
      </c>
      <c r="AH531" s="76">
        <v>0</v>
      </c>
      <c r="AI531" s="76">
        <v>0</v>
      </c>
      <c r="AJ531" s="76">
        <v>0</v>
      </c>
      <c r="AK531" s="183">
        <v>0</v>
      </c>
      <c r="AL531" s="215">
        <f t="shared" si="18"/>
        <v>1</v>
      </c>
      <c r="AM531" s="216">
        <f>0</f>
        <v>0</v>
      </c>
      <c r="AN531" s="217">
        <f t="shared" si="19"/>
        <v>1</v>
      </c>
      <c r="AO531" s="251">
        <v>45103</v>
      </c>
      <c r="AP531" s="260" t="s">
        <v>273</v>
      </c>
      <c r="AQ531" s="153" t="s">
        <v>1657</v>
      </c>
      <c r="AR531" s="219" t="s">
        <v>669</v>
      </c>
      <c r="AS531" s="98"/>
      <c r="AT531" s="99"/>
      <c r="AU531" s="104"/>
      <c r="AV531" s="105"/>
      <c r="AW531" s="104"/>
      <c r="AX531" s="106"/>
      <c r="AY531" s="106"/>
      <c r="AZ531" s="107"/>
      <c r="BA531" s="81"/>
      <c r="BB531" s="81"/>
      <c r="BC531" s="81"/>
    </row>
    <row r="532" spans="1:55" ht="28" customHeight="1" x14ac:dyDescent="0.25">
      <c r="A532" s="131">
        <v>527</v>
      </c>
      <c r="B532" s="141">
        <v>45099</v>
      </c>
      <c r="C532" s="77" t="s">
        <v>134</v>
      </c>
      <c r="D532" s="77" t="s">
        <v>135</v>
      </c>
      <c r="E532" s="77" t="s">
        <v>136</v>
      </c>
      <c r="F532" s="253" t="s">
        <v>430</v>
      </c>
      <c r="G532" s="254" t="s">
        <v>1618</v>
      </c>
      <c r="H532" s="254" t="s">
        <v>110</v>
      </c>
      <c r="I532" s="255" t="s">
        <v>1619</v>
      </c>
      <c r="J532" s="256" t="s">
        <v>1620</v>
      </c>
      <c r="K532" s="167" t="s">
        <v>80</v>
      </c>
      <c r="L532" s="257" t="s">
        <v>209</v>
      </c>
      <c r="M532" s="258" t="s">
        <v>114</v>
      </c>
      <c r="N532" s="258" t="s">
        <v>80</v>
      </c>
      <c r="O532" s="258" t="s">
        <v>80</v>
      </c>
      <c r="P532" s="259">
        <v>1</v>
      </c>
      <c r="Q532" s="308"/>
      <c r="R532" s="182">
        <v>0</v>
      </c>
      <c r="S532" s="76">
        <v>0</v>
      </c>
      <c r="T532" s="76">
        <v>0</v>
      </c>
      <c r="U532" s="76">
        <v>0</v>
      </c>
      <c r="V532" s="76">
        <v>0</v>
      </c>
      <c r="W532" s="76">
        <v>0</v>
      </c>
      <c r="X532" s="76">
        <v>0</v>
      </c>
      <c r="Y532" s="76">
        <v>0</v>
      </c>
      <c r="Z532" s="76">
        <v>0</v>
      </c>
      <c r="AA532" s="183">
        <v>0</v>
      </c>
      <c r="AB532" s="185">
        <v>0</v>
      </c>
      <c r="AC532" s="76">
        <v>0</v>
      </c>
      <c r="AD532" s="84">
        <v>1</v>
      </c>
      <c r="AE532" s="76">
        <v>0</v>
      </c>
      <c r="AF532" s="76">
        <v>0</v>
      </c>
      <c r="AG532" s="76">
        <v>0</v>
      </c>
      <c r="AH532" s="76">
        <v>0</v>
      </c>
      <c r="AI532" s="76">
        <v>0</v>
      </c>
      <c r="AJ532" s="76">
        <v>0</v>
      </c>
      <c r="AK532" s="183">
        <v>0</v>
      </c>
      <c r="AL532" s="215">
        <f t="shared" si="18"/>
        <v>1</v>
      </c>
      <c r="AM532" s="216">
        <f>0</f>
        <v>0</v>
      </c>
      <c r="AN532" s="217">
        <f t="shared" si="19"/>
        <v>1</v>
      </c>
      <c r="AO532" s="251">
        <v>45099</v>
      </c>
      <c r="AP532" s="223" t="s">
        <v>273</v>
      </c>
      <c r="AQ532" s="153" t="s">
        <v>1656</v>
      </c>
      <c r="AR532" s="219" t="s">
        <v>276</v>
      </c>
      <c r="AS532" s="98"/>
      <c r="AT532" s="104"/>
      <c r="AU532" s="104"/>
      <c r="AV532" s="105"/>
      <c r="AW532" s="104"/>
      <c r="AX532" s="106"/>
      <c r="AY532" s="106"/>
      <c r="AZ532" s="107"/>
      <c r="BA532" s="81"/>
      <c r="BB532" s="81"/>
      <c r="BC532" s="81"/>
    </row>
    <row r="533" spans="1:55" ht="28" customHeight="1" x14ac:dyDescent="0.25">
      <c r="A533" s="131">
        <v>528</v>
      </c>
      <c r="B533" s="141">
        <v>45099</v>
      </c>
      <c r="C533" s="85"/>
      <c r="D533" s="85"/>
      <c r="E533" s="85" t="s">
        <v>136</v>
      </c>
      <c r="F533" s="253" t="s">
        <v>430</v>
      </c>
      <c r="G533" s="254" t="s">
        <v>1621</v>
      </c>
      <c r="H533" s="254" t="s">
        <v>110</v>
      </c>
      <c r="I533" s="255" t="s">
        <v>1619</v>
      </c>
      <c r="J533" s="256" t="s">
        <v>1622</v>
      </c>
      <c r="K533" s="167" t="s">
        <v>80</v>
      </c>
      <c r="L533" s="257" t="s">
        <v>209</v>
      </c>
      <c r="M533" s="258" t="s">
        <v>114</v>
      </c>
      <c r="N533" s="258" t="s">
        <v>80</v>
      </c>
      <c r="O533" s="258" t="s">
        <v>80</v>
      </c>
      <c r="P533" s="259">
        <v>1</v>
      </c>
      <c r="Q533" s="308"/>
      <c r="R533" s="182">
        <v>0</v>
      </c>
      <c r="S533" s="76">
        <v>0</v>
      </c>
      <c r="T533" s="76">
        <v>0</v>
      </c>
      <c r="U533" s="76">
        <v>0</v>
      </c>
      <c r="V533" s="76">
        <v>0</v>
      </c>
      <c r="W533" s="76">
        <v>0</v>
      </c>
      <c r="X533" s="76">
        <v>0</v>
      </c>
      <c r="Y533" s="76">
        <v>0</v>
      </c>
      <c r="Z533" s="76">
        <v>0</v>
      </c>
      <c r="AA533" s="183">
        <v>0</v>
      </c>
      <c r="AB533" s="185">
        <v>0</v>
      </c>
      <c r="AC533" s="76">
        <v>0</v>
      </c>
      <c r="AD533" s="84">
        <v>1</v>
      </c>
      <c r="AE533" s="76">
        <v>0</v>
      </c>
      <c r="AF533" s="76">
        <v>0</v>
      </c>
      <c r="AG533" s="76">
        <v>0</v>
      </c>
      <c r="AH533" s="76">
        <v>0</v>
      </c>
      <c r="AI533" s="76">
        <v>0</v>
      </c>
      <c r="AJ533" s="76">
        <v>0</v>
      </c>
      <c r="AK533" s="183">
        <v>0</v>
      </c>
      <c r="AL533" s="215">
        <f t="shared" si="18"/>
        <v>1</v>
      </c>
      <c r="AM533" s="216">
        <f>0</f>
        <v>0</v>
      </c>
      <c r="AN533" s="217">
        <f t="shared" si="19"/>
        <v>1</v>
      </c>
      <c r="AO533" s="251">
        <v>45099</v>
      </c>
      <c r="AP533" s="223" t="s">
        <v>273</v>
      </c>
      <c r="AQ533" s="153" t="s">
        <v>1656</v>
      </c>
      <c r="AR533" s="219" t="s">
        <v>276</v>
      </c>
      <c r="AS533" s="98"/>
      <c r="AT533" s="104"/>
      <c r="AU533" s="104"/>
      <c r="AV533" s="105"/>
      <c r="AW533" s="104"/>
      <c r="AX533" s="106"/>
      <c r="AY533" s="106"/>
      <c r="AZ533" s="107"/>
      <c r="BA533" s="81"/>
      <c r="BB533" s="81"/>
      <c r="BC533" s="81"/>
    </row>
    <row r="534" spans="1:55" ht="28" customHeight="1" x14ac:dyDescent="0.25">
      <c r="A534" s="131">
        <v>529</v>
      </c>
      <c r="B534" s="141">
        <v>45099</v>
      </c>
      <c r="C534" s="77" t="s">
        <v>134</v>
      </c>
      <c r="D534" s="77" t="s">
        <v>135</v>
      </c>
      <c r="E534" s="77" t="s">
        <v>136</v>
      </c>
      <c r="F534" s="253" t="s">
        <v>430</v>
      </c>
      <c r="G534" s="254" t="s">
        <v>1623</v>
      </c>
      <c r="H534" s="254" t="s">
        <v>110</v>
      </c>
      <c r="I534" s="255" t="s">
        <v>1624</v>
      </c>
      <c r="J534" s="256" t="s">
        <v>1625</v>
      </c>
      <c r="K534" s="167" t="s">
        <v>80</v>
      </c>
      <c r="L534" s="257" t="s">
        <v>209</v>
      </c>
      <c r="M534" s="258" t="s">
        <v>114</v>
      </c>
      <c r="N534" s="258" t="s">
        <v>80</v>
      </c>
      <c r="O534" s="258" t="s">
        <v>80</v>
      </c>
      <c r="P534" s="259">
        <v>1</v>
      </c>
      <c r="Q534" s="308"/>
      <c r="R534" s="182">
        <v>0</v>
      </c>
      <c r="S534" s="76">
        <v>0</v>
      </c>
      <c r="T534" s="76">
        <v>0</v>
      </c>
      <c r="U534" s="76">
        <v>0</v>
      </c>
      <c r="V534" s="76">
        <v>0</v>
      </c>
      <c r="W534" s="76">
        <v>0</v>
      </c>
      <c r="X534" s="76">
        <v>0</v>
      </c>
      <c r="Y534" s="76">
        <v>0</v>
      </c>
      <c r="Z534" s="76">
        <v>0</v>
      </c>
      <c r="AA534" s="183">
        <v>0</v>
      </c>
      <c r="AB534" s="185">
        <v>0</v>
      </c>
      <c r="AC534" s="76">
        <v>0</v>
      </c>
      <c r="AD534" s="84">
        <v>1</v>
      </c>
      <c r="AE534" s="76">
        <v>0</v>
      </c>
      <c r="AF534" s="76">
        <v>0</v>
      </c>
      <c r="AG534" s="76">
        <v>0</v>
      </c>
      <c r="AH534" s="76">
        <v>0</v>
      </c>
      <c r="AI534" s="76">
        <v>0</v>
      </c>
      <c r="AJ534" s="76">
        <v>0</v>
      </c>
      <c r="AK534" s="183">
        <v>0</v>
      </c>
      <c r="AL534" s="215">
        <f t="shared" si="18"/>
        <v>1</v>
      </c>
      <c r="AM534" s="216">
        <f>0</f>
        <v>0</v>
      </c>
      <c r="AN534" s="217">
        <f t="shared" si="19"/>
        <v>1</v>
      </c>
      <c r="AO534" s="251">
        <v>45099</v>
      </c>
      <c r="AP534" s="223" t="s">
        <v>273</v>
      </c>
      <c r="AQ534" s="153" t="s">
        <v>1656</v>
      </c>
      <c r="AR534" s="219" t="s">
        <v>276</v>
      </c>
      <c r="AS534" s="98"/>
      <c r="AT534" s="104"/>
      <c r="AU534" s="104"/>
      <c r="AV534" s="105"/>
      <c r="AW534" s="104"/>
      <c r="AX534" s="106"/>
      <c r="AY534" s="106"/>
      <c r="AZ534" s="107"/>
      <c r="BA534" s="81"/>
      <c r="BB534" s="81"/>
      <c r="BC534" s="81"/>
    </row>
    <row r="535" spans="1:55" ht="28" customHeight="1" x14ac:dyDescent="0.25">
      <c r="A535" s="131">
        <v>530</v>
      </c>
      <c r="B535" s="141">
        <v>45099</v>
      </c>
      <c r="C535" s="77" t="s">
        <v>134</v>
      </c>
      <c r="D535" s="77" t="s">
        <v>135</v>
      </c>
      <c r="E535" s="77" t="s">
        <v>136</v>
      </c>
      <c r="F535" s="253" t="s">
        <v>430</v>
      </c>
      <c r="G535" s="254" t="s">
        <v>411</v>
      </c>
      <c r="H535" s="254" t="s">
        <v>287</v>
      </c>
      <c r="I535" s="255" t="s">
        <v>412</v>
      </c>
      <c r="J535" s="256" t="s">
        <v>1626</v>
      </c>
      <c r="K535" s="167" t="s">
        <v>80</v>
      </c>
      <c r="L535" s="257" t="s">
        <v>209</v>
      </c>
      <c r="M535" s="258" t="s">
        <v>114</v>
      </c>
      <c r="N535" s="258" t="s">
        <v>80</v>
      </c>
      <c r="O535" s="258" t="s">
        <v>80</v>
      </c>
      <c r="P535" s="259">
        <v>4</v>
      </c>
      <c r="Q535" s="308"/>
      <c r="R535" s="182">
        <v>0</v>
      </c>
      <c r="S535" s="76">
        <v>0</v>
      </c>
      <c r="T535" s="76">
        <v>0</v>
      </c>
      <c r="U535" s="76">
        <v>0</v>
      </c>
      <c r="V535" s="76">
        <v>0</v>
      </c>
      <c r="W535" s="76">
        <v>0</v>
      </c>
      <c r="X535" s="76">
        <v>0</v>
      </c>
      <c r="Y535" s="76">
        <v>0</v>
      </c>
      <c r="Z535" s="76">
        <v>0</v>
      </c>
      <c r="AA535" s="183">
        <v>0</v>
      </c>
      <c r="AB535" s="185">
        <v>0</v>
      </c>
      <c r="AC535" s="76">
        <v>0</v>
      </c>
      <c r="AD535" s="84">
        <v>4</v>
      </c>
      <c r="AE535" s="76">
        <v>0</v>
      </c>
      <c r="AF535" s="76">
        <v>0</v>
      </c>
      <c r="AG535" s="76">
        <v>0</v>
      </c>
      <c r="AH535" s="76">
        <v>0</v>
      </c>
      <c r="AI535" s="76">
        <v>0</v>
      </c>
      <c r="AJ535" s="76">
        <v>0</v>
      </c>
      <c r="AK535" s="183">
        <v>0</v>
      </c>
      <c r="AL535" s="215">
        <f t="shared" si="18"/>
        <v>4</v>
      </c>
      <c r="AM535" s="216">
        <f>0</f>
        <v>0</v>
      </c>
      <c r="AN535" s="217">
        <f t="shared" si="19"/>
        <v>4</v>
      </c>
      <c r="AO535" s="251">
        <v>45099</v>
      </c>
      <c r="AP535" s="223" t="s">
        <v>273</v>
      </c>
      <c r="AQ535" s="153" t="s">
        <v>1656</v>
      </c>
      <c r="AR535" s="219" t="s">
        <v>276</v>
      </c>
      <c r="AS535" s="98"/>
      <c r="AT535" s="104"/>
      <c r="AU535" s="104"/>
      <c r="AV535" s="105"/>
      <c r="AW535" s="104"/>
      <c r="AX535" s="106"/>
      <c r="AY535" s="106"/>
      <c r="AZ535" s="107"/>
      <c r="BA535" s="81"/>
      <c r="BB535" s="81"/>
      <c r="BC535" s="81"/>
    </row>
    <row r="536" spans="1:55" ht="28" customHeight="1" x14ac:dyDescent="0.25">
      <c r="A536" s="131">
        <v>531</v>
      </c>
      <c r="B536" s="141">
        <v>45099</v>
      </c>
      <c r="C536" s="77" t="s">
        <v>134</v>
      </c>
      <c r="D536" s="77" t="s">
        <v>135</v>
      </c>
      <c r="E536" s="77" t="s">
        <v>136</v>
      </c>
      <c r="F536" s="253" t="s">
        <v>430</v>
      </c>
      <c r="G536" s="254" t="s">
        <v>1627</v>
      </c>
      <c r="H536" s="254" t="s">
        <v>110</v>
      </c>
      <c r="I536" s="255" t="s">
        <v>220</v>
      </c>
      <c r="J536" s="256" t="s">
        <v>1628</v>
      </c>
      <c r="K536" s="167" t="s">
        <v>80</v>
      </c>
      <c r="L536" s="257" t="s">
        <v>222</v>
      </c>
      <c r="M536" s="258" t="s">
        <v>154</v>
      </c>
      <c r="N536" s="258" t="s">
        <v>80</v>
      </c>
      <c r="O536" s="258" t="s">
        <v>80</v>
      </c>
      <c r="P536" s="259">
        <v>1</v>
      </c>
      <c r="Q536" s="308"/>
      <c r="R536" s="182">
        <v>0</v>
      </c>
      <c r="S536" s="76">
        <v>0</v>
      </c>
      <c r="T536" s="76">
        <v>0</v>
      </c>
      <c r="U536" s="76">
        <v>0</v>
      </c>
      <c r="V536" s="76">
        <v>0</v>
      </c>
      <c r="W536" s="76">
        <v>0</v>
      </c>
      <c r="X536" s="76">
        <v>0</v>
      </c>
      <c r="Y536" s="76">
        <v>0</v>
      </c>
      <c r="Z536" s="76">
        <v>0</v>
      </c>
      <c r="AA536" s="183">
        <v>0</v>
      </c>
      <c r="AB536" s="185">
        <v>0</v>
      </c>
      <c r="AC536" s="76">
        <v>0</v>
      </c>
      <c r="AD536" s="84">
        <v>1</v>
      </c>
      <c r="AE536" s="76">
        <v>0</v>
      </c>
      <c r="AF536" s="76">
        <v>0</v>
      </c>
      <c r="AG536" s="76">
        <v>0</v>
      </c>
      <c r="AH536" s="76">
        <v>0</v>
      </c>
      <c r="AI536" s="76">
        <v>0</v>
      </c>
      <c r="AJ536" s="76">
        <v>0</v>
      </c>
      <c r="AK536" s="183">
        <v>0</v>
      </c>
      <c r="AL536" s="215">
        <f t="shared" si="18"/>
        <v>1</v>
      </c>
      <c r="AM536" s="216">
        <f>0</f>
        <v>0</v>
      </c>
      <c r="AN536" s="217">
        <f t="shared" si="19"/>
        <v>1</v>
      </c>
      <c r="AO536" s="251">
        <v>45099</v>
      </c>
      <c r="AP536" s="151" t="s">
        <v>273</v>
      </c>
      <c r="AQ536" s="153" t="s">
        <v>1655</v>
      </c>
      <c r="AR536" s="108" t="s">
        <v>148</v>
      </c>
      <c r="AS536" s="98"/>
      <c r="AT536" s="104"/>
      <c r="AU536" s="104"/>
      <c r="AV536" s="105"/>
      <c r="AW536" s="104"/>
      <c r="AX536" s="106"/>
      <c r="AY536" s="106"/>
      <c r="AZ536" s="107"/>
      <c r="BA536" s="81"/>
      <c r="BB536" s="81"/>
      <c r="BC536" s="81"/>
    </row>
    <row r="537" spans="1:55" ht="28" customHeight="1" x14ac:dyDescent="0.25">
      <c r="A537" s="131">
        <v>532</v>
      </c>
      <c r="B537" s="141">
        <v>45099</v>
      </c>
      <c r="C537" s="77" t="s">
        <v>134</v>
      </c>
      <c r="D537" s="77" t="s">
        <v>135</v>
      </c>
      <c r="E537" s="77" t="s">
        <v>136</v>
      </c>
      <c r="F537" s="253" t="s">
        <v>430</v>
      </c>
      <c r="G537" s="254" t="s">
        <v>1629</v>
      </c>
      <c r="H537" s="254" t="s">
        <v>110</v>
      </c>
      <c r="I537" s="255" t="s">
        <v>220</v>
      </c>
      <c r="J537" s="256" t="s">
        <v>1630</v>
      </c>
      <c r="K537" s="167" t="s">
        <v>80</v>
      </c>
      <c r="L537" s="257" t="s">
        <v>222</v>
      </c>
      <c r="M537" s="258" t="s">
        <v>154</v>
      </c>
      <c r="N537" s="258" t="s">
        <v>80</v>
      </c>
      <c r="O537" s="258" t="s">
        <v>80</v>
      </c>
      <c r="P537" s="259">
        <v>1</v>
      </c>
      <c r="Q537" s="308"/>
      <c r="R537" s="182">
        <v>0</v>
      </c>
      <c r="S537" s="76">
        <v>0</v>
      </c>
      <c r="T537" s="76">
        <v>0</v>
      </c>
      <c r="U537" s="76">
        <v>0</v>
      </c>
      <c r="V537" s="76">
        <v>0</v>
      </c>
      <c r="W537" s="76">
        <v>0</v>
      </c>
      <c r="X537" s="76">
        <v>0</v>
      </c>
      <c r="Y537" s="76">
        <v>0</v>
      </c>
      <c r="Z537" s="76">
        <v>0</v>
      </c>
      <c r="AA537" s="183">
        <v>0</v>
      </c>
      <c r="AB537" s="185">
        <v>0</v>
      </c>
      <c r="AC537" s="76">
        <v>0</v>
      </c>
      <c r="AD537" s="84">
        <v>1</v>
      </c>
      <c r="AE537" s="76">
        <v>0</v>
      </c>
      <c r="AF537" s="76">
        <v>0</v>
      </c>
      <c r="AG537" s="76">
        <v>0</v>
      </c>
      <c r="AH537" s="76">
        <v>0</v>
      </c>
      <c r="AI537" s="76">
        <v>0</v>
      </c>
      <c r="AJ537" s="76">
        <v>0</v>
      </c>
      <c r="AK537" s="183">
        <v>0</v>
      </c>
      <c r="AL537" s="215">
        <f t="shared" si="18"/>
        <v>1</v>
      </c>
      <c r="AM537" s="216">
        <f>0</f>
        <v>0</v>
      </c>
      <c r="AN537" s="217">
        <f t="shared" si="19"/>
        <v>1</v>
      </c>
      <c r="AO537" s="251">
        <v>45099</v>
      </c>
      <c r="AP537" s="151" t="s">
        <v>273</v>
      </c>
      <c r="AQ537" s="153" t="s">
        <v>1655</v>
      </c>
      <c r="AR537" s="108" t="s">
        <v>148</v>
      </c>
      <c r="AS537" s="98"/>
      <c r="AT537" s="104"/>
      <c r="AU537" s="104"/>
      <c r="AV537" s="105"/>
      <c r="AW537" s="104"/>
      <c r="AX537" s="106"/>
      <c r="AY537" s="106"/>
      <c r="AZ537" s="107"/>
      <c r="BA537" s="81"/>
      <c r="BB537" s="81"/>
      <c r="BC537" s="81"/>
    </row>
    <row r="538" spans="1:55" ht="28" customHeight="1" x14ac:dyDescent="0.25">
      <c r="A538" s="131">
        <v>533</v>
      </c>
      <c r="B538" s="141">
        <v>45099</v>
      </c>
      <c r="C538" s="77" t="s">
        <v>134</v>
      </c>
      <c r="D538" s="77" t="s">
        <v>135</v>
      </c>
      <c r="E538" s="77" t="s">
        <v>136</v>
      </c>
      <c r="F538" s="253" t="s">
        <v>430</v>
      </c>
      <c r="G538" s="254" t="s">
        <v>1631</v>
      </c>
      <c r="H538" s="254" t="s">
        <v>110</v>
      </c>
      <c r="I538" s="255" t="s">
        <v>224</v>
      </c>
      <c r="J538" s="256" t="s">
        <v>1632</v>
      </c>
      <c r="K538" s="167" t="s">
        <v>80</v>
      </c>
      <c r="L538" s="257" t="s">
        <v>226</v>
      </c>
      <c r="M538" s="258" t="s">
        <v>154</v>
      </c>
      <c r="N538" s="258" t="s">
        <v>80</v>
      </c>
      <c r="O538" s="258" t="s">
        <v>155</v>
      </c>
      <c r="P538" s="259">
        <v>1</v>
      </c>
      <c r="Q538" s="308"/>
      <c r="R538" s="182">
        <v>0</v>
      </c>
      <c r="S538" s="76">
        <v>0</v>
      </c>
      <c r="T538" s="76">
        <v>0</v>
      </c>
      <c r="U538" s="76">
        <v>0</v>
      </c>
      <c r="V538" s="76">
        <v>0</v>
      </c>
      <c r="W538" s="76">
        <v>0</v>
      </c>
      <c r="X538" s="76">
        <v>0</v>
      </c>
      <c r="Y538" s="76">
        <v>0</v>
      </c>
      <c r="Z538" s="76">
        <v>0</v>
      </c>
      <c r="AA538" s="183">
        <v>0</v>
      </c>
      <c r="AB538" s="185">
        <v>0</v>
      </c>
      <c r="AC538" s="76">
        <v>0</v>
      </c>
      <c r="AD538" s="84">
        <v>1</v>
      </c>
      <c r="AE538" s="76">
        <v>0</v>
      </c>
      <c r="AF538" s="76">
        <v>0</v>
      </c>
      <c r="AG538" s="76">
        <v>0</v>
      </c>
      <c r="AH538" s="76">
        <v>0</v>
      </c>
      <c r="AI538" s="76">
        <v>0</v>
      </c>
      <c r="AJ538" s="76">
        <v>0</v>
      </c>
      <c r="AK538" s="183">
        <v>0</v>
      </c>
      <c r="AL538" s="215">
        <f t="shared" si="18"/>
        <v>1</v>
      </c>
      <c r="AM538" s="216">
        <f>0</f>
        <v>0</v>
      </c>
      <c r="AN538" s="217">
        <f t="shared" si="19"/>
        <v>1</v>
      </c>
      <c r="AO538" s="251">
        <v>45099</v>
      </c>
      <c r="AP538" s="151" t="s">
        <v>273</v>
      </c>
      <c r="AQ538" s="153" t="s">
        <v>1655</v>
      </c>
      <c r="AR538" s="108" t="s">
        <v>148</v>
      </c>
      <c r="AS538" s="98"/>
      <c r="AT538" s="104"/>
      <c r="AU538" s="104"/>
      <c r="AV538" s="105"/>
      <c r="AW538" s="104"/>
      <c r="AX538" s="106"/>
      <c r="AY538" s="106"/>
      <c r="AZ538" s="107"/>
      <c r="BA538" s="81"/>
      <c r="BB538" s="81"/>
      <c r="BC538" s="81"/>
    </row>
    <row r="539" spans="1:55" ht="28" customHeight="1" x14ac:dyDescent="0.25">
      <c r="A539" s="131">
        <v>534</v>
      </c>
      <c r="B539" s="141">
        <v>45099</v>
      </c>
      <c r="C539" s="77" t="s">
        <v>134</v>
      </c>
      <c r="D539" s="77" t="s">
        <v>135</v>
      </c>
      <c r="E539" s="77" t="s">
        <v>136</v>
      </c>
      <c r="F539" s="253" t="s">
        <v>430</v>
      </c>
      <c r="G539" s="254" t="s">
        <v>1633</v>
      </c>
      <c r="H539" s="254" t="s">
        <v>110</v>
      </c>
      <c r="I539" s="255" t="s">
        <v>230</v>
      </c>
      <c r="J539" s="256" t="s">
        <v>1634</v>
      </c>
      <c r="K539" s="167" t="s">
        <v>80</v>
      </c>
      <c r="L539" s="257" t="s">
        <v>153</v>
      </c>
      <c r="M539" s="258" t="s">
        <v>154</v>
      </c>
      <c r="N539" s="258" t="s">
        <v>80</v>
      </c>
      <c r="O539" s="258" t="s">
        <v>155</v>
      </c>
      <c r="P539" s="259">
        <v>1</v>
      </c>
      <c r="Q539" s="308"/>
      <c r="R539" s="182">
        <v>0</v>
      </c>
      <c r="S539" s="76">
        <v>0</v>
      </c>
      <c r="T539" s="76">
        <v>0</v>
      </c>
      <c r="U539" s="76">
        <v>0</v>
      </c>
      <c r="V539" s="76">
        <v>0</v>
      </c>
      <c r="W539" s="76">
        <v>0</v>
      </c>
      <c r="X539" s="76">
        <v>0</v>
      </c>
      <c r="Y539" s="76">
        <v>0</v>
      </c>
      <c r="Z539" s="76">
        <v>0</v>
      </c>
      <c r="AA539" s="183">
        <v>0</v>
      </c>
      <c r="AB539" s="185">
        <v>0</v>
      </c>
      <c r="AC539" s="76">
        <v>0</v>
      </c>
      <c r="AD539" s="84">
        <v>1</v>
      </c>
      <c r="AE539" s="76">
        <v>0</v>
      </c>
      <c r="AF539" s="76">
        <v>0</v>
      </c>
      <c r="AG539" s="76">
        <v>0</v>
      </c>
      <c r="AH539" s="76">
        <v>0</v>
      </c>
      <c r="AI539" s="76">
        <v>0</v>
      </c>
      <c r="AJ539" s="76">
        <v>0</v>
      </c>
      <c r="AK539" s="183">
        <v>0</v>
      </c>
      <c r="AL539" s="215">
        <f t="shared" si="18"/>
        <v>1</v>
      </c>
      <c r="AM539" s="216">
        <f>0</f>
        <v>0</v>
      </c>
      <c r="AN539" s="217">
        <f t="shared" si="19"/>
        <v>1</v>
      </c>
      <c r="AO539" s="251">
        <v>45099</v>
      </c>
      <c r="AP539" s="151" t="s">
        <v>273</v>
      </c>
      <c r="AQ539" s="153" t="s">
        <v>1655</v>
      </c>
      <c r="AR539" s="108" t="s">
        <v>148</v>
      </c>
      <c r="AS539" s="98"/>
      <c r="AT539" s="104"/>
      <c r="AU539" s="104"/>
      <c r="AV539" s="105"/>
      <c r="AW539" s="104"/>
      <c r="AX539" s="106"/>
      <c r="AY539" s="106"/>
      <c r="AZ539" s="107"/>
      <c r="BA539" s="81"/>
      <c r="BB539" s="81"/>
      <c r="BC539" s="81"/>
    </row>
    <row r="540" spans="1:55" ht="28" customHeight="1" x14ac:dyDescent="0.25">
      <c r="A540" s="131">
        <v>535</v>
      </c>
      <c r="B540" s="141">
        <v>45099</v>
      </c>
      <c r="C540" s="77" t="s">
        <v>134</v>
      </c>
      <c r="D540" s="77" t="s">
        <v>135</v>
      </c>
      <c r="E540" s="77" t="s">
        <v>136</v>
      </c>
      <c r="F540" s="253" t="s">
        <v>430</v>
      </c>
      <c r="G540" s="254" t="s">
        <v>1635</v>
      </c>
      <c r="H540" s="254" t="s">
        <v>110</v>
      </c>
      <c r="I540" s="255" t="s">
        <v>236</v>
      </c>
      <c r="J540" s="256" t="s">
        <v>1636</v>
      </c>
      <c r="K540" s="167" t="s">
        <v>80</v>
      </c>
      <c r="L540" s="257" t="s">
        <v>153</v>
      </c>
      <c r="M540" s="258" t="s">
        <v>154</v>
      </c>
      <c r="N540" s="258"/>
      <c r="O540" s="258" t="s">
        <v>155</v>
      </c>
      <c r="P540" s="259">
        <v>1</v>
      </c>
      <c r="Q540" s="308"/>
      <c r="R540" s="182">
        <v>0</v>
      </c>
      <c r="S540" s="76">
        <v>0</v>
      </c>
      <c r="T540" s="76">
        <v>0</v>
      </c>
      <c r="U540" s="76">
        <v>0</v>
      </c>
      <c r="V540" s="76">
        <v>0</v>
      </c>
      <c r="W540" s="76">
        <v>0</v>
      </c>
      <c r="X540" s="76">
        <v>0</v>
      </c>
      <c r="Y540" s="76">
        <v>0</v>
      </c>
      <c r="Z540" s="76">
        <v>0</v>
      </c>
      <c r="AA540" s="183">
        <v>0</v>
      </c>
      <c r="AB540" s="185">
        <v>0</v>
      </c>
      <c r="AC540" s="76">
        <v>0</v>
      </c>
      <c r="AD540" s="84">
        <v>1</v>
      </c>
      <c r="AE540" s="76">
        <v>0</v>
      </c>
      <c r="AF540" s="76">
        <v>0</v>
      </c>
      <c r="AG540" s="76">
        <v>0</v>
      </c>
      <c r="AH540" s="76">
        <v>0</v>
      </c>
      <c r="AI540" s="76">
        <v>0</v>
      </c>
      <c r="AJ540" s="76">
        <v>0</v>
      </c>
      <c r="AK540" s="183">
        <v>0</v>
      </c>
      <c r="AL540" s="215">
        <f t="shared" si="18"/>
        <v>1</v>
      </c>
      <c r="AM540" s="216">
        <f>0</f>
        <v>0</v>
      </c>
      <c r="AN540" s="217">
        <f t="shared" si="19"/>
        <v>1</v>
      </c>
      <c r="AO540" s="251">
        <v>45099</v>
      </c>
      <c r="AP540" s="151" t="s">
        <v>273</v>
      </c>
      <c r="AQ540" s="153" t="s">
        <v>1655</v>
      </c>
      <c r="AR540" s="108" t="s">
        <v>148</v>
      </c>
      <c r="AS540" s="98"/>
      <c r="AT540" s="104"/>
      <c r="AU540" s="104"/>
      <c r="AV540" s="105"/>
      <c r="AW540" s="104"/>
      <c r="AX540" s="106"/>
      <c r="AY540" s="106"/>
      <c r="AZ540" s="107"/>
      <c r="BA540" s="81"/>
      <c r="BB540" s="81"/>
      <c r="BC540" s="81"/>
    </row>
    <row r="541" spans="1:55" ht="28" customHeight="1" x14ac:dyDescent="0.25">
      <c r="A541" s="131">
        <v>536</v>
      </c>
      <c r="B541" s="141">
        <v>45099</v>
      </c>
      <c r="C541" s="77" t="s">
        <v>134</v>
      </c>
      <c r="D541" s="77" t="s">
        <v>135</v>
      </c>
      <c r="E541" s="77" t="s">
        <v>136</v>
      </c>
      <c r="F541" s="253" t="s">
        <v>430</v>
      </c>
      <c r="G541" s="254" t="s">
        <v>1637</v>
      </c>
      <c r="H541" s="254" t="s">
        <v>110</v>
      </c>
      <c r="I541" s="255" t="s">
        <v>233</v>
      </c>
      <c r="J541" s="256" t="s">
        <v>1638</v>
      </c>
      <c r="K541" s="167" t="s">
        <v>80</v>
      </c>
      <c r="L541" s="257" t="s">
        <v>153</v>
      </c>
      <c r="M541" s="258" t="s">
        <v>154</v>
      </c>
      <c r="N541" s="258" t="s">
        <v>80</v>
      </c>
      <c r="O541" s="258" t="s">
        <v>155</v>
      </c>
      <c r="P541" s="259">
        <v>1</v>
      </c>
      <c r="Q541" s="308"/>
      <c r="R541" s="182">
        <v>0</v>
      </c>
      <c r="S541" s="76">
        <v>0</v>
      </c>
      <c r="T541" s="76">
        <v>0</v>
      </c>
      <c r="U541" s="76">
        <v>0</v>
      </c>
      <c r="V541" s="76">
        <v>0</v>
      </c>
      <c r="W541" s="76">
        <v>0</v>
      </c>
      <c r="X541" s="76">
        <v>0</v>
      </c>
      <c r="Y541" s="76">
        <v>0</v>
      </c>
      <c r="Z541" s="76">
        <v>0</v>
      </c>
      <c r="AA541" s="183">
        <v>0</v>
      </c>
      <c r="AB541" s="185">
        <v>0</v>
      </c>
      <c r="AC541" s="76">
        <v>0</v>
      </c>
      <c r="AD541" s="84">
        <v>1</v>
      </c>
      <c r="AE541" s="76">
        <v>0</v>
      </c>
      <c r="AF541" s="76">
        <v>0</v>
      </c>
      <c r="AG541" s="76">
        <v>0</v>
      </c>
      <c r="AH541" s="76">
        <v>0</v>
      </c>
      <c r="AI541" s="76">
        <v>0</v>
      </c>
      <c r="AJ541" s="76">
        <v>0</v>
      </c>
      <c r="AK541" s="183">
        <v>0</v>
      </c>
      <c r="AL541" s="215">
        <f t="shared" ref="AL541:AL572" si="20">SUM(R541:AK541)</f>
        <v>1</v>
      </c>
      <c r="AM541" s="216">
        <f>0</f>
        <v>0</v>
      </c>
      <c r="AN541" s="217">
        <f t="shared" ref="AN541:AN547" si="21">AL541-AM541</f>
        <v>1</v>
      </c>
      <c r="AO541" s="251">
        <v>45099</v>
      </c>
      <c r="AP541" s="151" t="s">
        <v>273</v>
      </c>
      <c r="AQ541" s="153" t="s">
        <v>1655</v>
      </c>
      <c r="AR541" s="108" t="s">
        <v>148</v>
      </c>
      <c r="AS541" s="98"/>
      <c r="AT541" s="104"/>
      <c r="AU541" s="104"/>
      <c r="AV541" s="105"/>
      <c r="AW541" s="104"/>
      <c r="AX541" s="106"/>
      <c r="AY541" s="106"/>
      <c r="AZ541" s="107"/>
      <c r="BA541" s="81"/>
      <c r="BB541" s="81"/>
      <c r="BC541" s="81"/>
    </row>
    <row r="542" spans="1:55" ht="28" customHeight="1" x14ac:dyDescent="0.25">
      <c r="A542" s="131">
        <v>537</v>
      </c>
      <c r="B542" s="141">
        <v>45099</v>
      </c>
      <c r="C542" s="77" t="s">
        <v>134</v>
      </c>
      <c r="D542" s="77" t="s">
        <v>135</v>
      </c>
      <c r="E542" s="77" t="s">
        <v>136</v>
      </c>
      <c r="F542" s="253" t="s">
        <v>430</v>
      </c>
      <c r="G542" s="254" t="s">
        <v>1639</v>
      </c>
      <c r="H542" s="254" t="s">
        <v>110</v>
      </c>
      <c r="I542" s="255" t="s">
        <v>242</v>
      </c>
      <c r="J542" s="256" t="s">
        <v>1640</v>
      </c>
      <c r="K542" s="167"/>
      <c r="L542" s="257" t="s">
        <v>168</v>
      </c>
      <c r="M542" s="258" t="s">
        <v>154</v>
      </c>
      <c r="N542" s="258"/>
      <c r="O542" s="258" t="s">
        <v>149</v>
      </c>
      <c r="P542" s="259">
        <v>1</v>
      </c>
      <c r="Q542" s="308"/>
      <c r="R542" s="182">
        <v>0</v>
      </c>
      <c r="S542" s="76">
        <v>0</v>
      </c>
      <c r="T542" s="76">
        <v>0</v>
      </c>
      <c r="U542" s="76">
        <v>0</v>
      </c>
      <c r="V542" s="76">
        <v>0</v>
      </c>
      <c r="W542" s="76">
        <v>0</v>
      </c>
      <c r="X542" s="76">
        <v>0</v>
      </c>
      <c r="Y542" s="76">
        <v>0</v>
      </c>
      <c r="Z542" s="76">
        <v>0</v>
      </c>
      <c r="AA542" s="183">
        <v>0</v>
      </c>
      <c r="AB542" s="185">
        <v>0</v>
      </c>
      <c r="AC542" s="76">
        <v>0</v>
      </c>
      <c r="AD542" s="84">
        <v>1</v>
      </c>
      <c r="AE542" s="76">
        <v>0</v>
      </c>
      <c r="AF542" s="76">
        <v>0</v>
      </c>
      <c r="AG542" s="76">
        <v>0</v>
      </c>
      <c r="AH542" s="76">
        <v>0</v>
      </c>
      <c r="AI542" s="76">
        <v>0</v>
      </c>
      <c r="AJ542" s="76">
        <v>0</v>
      </c>
      <c r="AK542" s="183">
        <v>0</v>
      </c>
      <c r="AL542" s="215">
        <f t="shared" si="20"/>
        <v>1</v>
      </c>
      <c r="AM542" s="216">
        <f>0</f>
        <v>0</v>
      </c>
      <c r="AN542" s="217">
        <f t="shared" si="21"/>
        <v>1</v>
      </c>
      <c r="AO542" s="251">
        <v>45103</v>
      </c>
      <c r="AP542" s="260" t="s">
        <v>273</v>
      </c>
      <c r="AQ542" s="153" t="s">
        <v>1657</v>
      </c>
      <c r="AR542" s="219" t="s">
        <v>669</v>
      </c>
      <c r="AS542" s="98"/>
      <c r="AT542" s="99"/>
      <c r="AU542" s="104"/>
      <c r="AV542" s="105"/>
      <c r="AW542" s="104"/>
      <c r="AX542" s="106"/>
      <c r="AY542" s="106"/>
      <c r="AZ542" s="107"/>
      <c r="BA542" s="81"/>
      <c r="BB542" s="81"/>
      <c r="BC542" s="81"/>
    </row>
    <row r="543" spans="1:55" ht="28" customHeight="1" x14ac:dyDescent="0.25">
      <c r="A543" s="131">
        <v>538</v>
      </c>
      <c r="B543" s="141">
        <v>45099</v>
      </c>
      <c r="C543" s="77" t="s">
        <v>134</v>
      </c>
      <c r="D543" s="77" t="s">
        <v>135</v>
      </c>
      <c r="E543" s="77" t="s">
        <v>136</v>
      </c>
      <c r="F543" s="253" t="s">
        <v>430</v>
      </c>
      <c r="G543" s="254" t="s">
        <v>1641</v>
      </c>
      <c r="H543" s="254" t="s">
        <v>110</v>
      </c>
      <c r="I543" s="255" t="s">
        <v>248</v>
      </c>
      <c r="J543" s="256" t="s">
        <v>1642</v>
      </c>
      <c r="K543" s="167" t="s">
        <v>80</v>
      </c>
      <c r="L543" s="257" t="s">
        <v>168</v>
      </c>
      <c r="M543" s="258" t="s">
        <v>154</v>
      </c>
      <c r="N543" s="258"/>
      <c r="O543" s="258" t="s">
        <v>149</v>
      </c>
      <c r="P543" s="259">
        <v>1</v>
      </c>
      <c r="Q543" s="308"/>
      <c r="R543" s="182">
        <v>0</v>
      </c>
      <c r="S543" s="76">
        <v>0</v>
      </c>
      <c r="T543" s="76">
        <v>0</v>
      </c>
      <c r="U543" s="76">
        <v>0</v>
      </c>
      <c r="V543" s="76">
        <v>0</v>
      </c>
      <c r="W543" s="76">
        <v>0</v>
      </c>
      <c r="X543" s="76">
        <v>0</v>
      </c>
      <c r="Y543" s="76">
        <v>0</v>
      </c>
      <c r="Z543" s="76">
        <v>0</v>
      </c>
      <c r="AA543" s="183">
        <v>0</v>
      </c>
      <c r="AB543" s="185">
        <v>0</v>
      </c>
      <c r="AC543" s="76">
        <v>0</v>
      </c>
      <c r="AD543" s="84">
        <v>1</v>
      </c>
      <c r="AE543" s="76">
        <v>0</v>
      </c>
      <c r="AF543" s="76">
        <v>0</v>
      </c>
      <c r="AG543" s="76">
        <v>0</v>
      </c>
      <c r="AH543" s="76">
        <v>0</v>
      </c>
      <c r="AI543" s="76">
        <v>0</v>
      </c>
      <c r="AJ543" s="76">
        <v>0</v>
      </c>
      <c r="AK543" s="183">
        <v>0</v>
      </c>
      <c r="AL543" s="215">
        <f t="shared" si="20"/>
        <v>1</v>
      </c>
      <c r="AM543" s="216">
        <f>0</f>
        <v>0</v>
      </c>
      <c r="AN543" s="217">
        <f t="shared" si="21"/>
        <v>1</v>
      </c>
      <c r="AO543" s="251">
        <v>45103</v>
      </c>
      <c r="AP543" s="260" t="s">
        <v>273</v>
      </c>
      <c r="AQ543" s="153" t="s">
        <v>1657</v>
      </c>
      <c r="AR543" s="219" t="s">
        <v>669</v>
      </c>
      <c r="AS543" s="98"/>
      <c r="AT543" s="99"/>
      <c r="AU543" s="104"/>
      <c r="AV543" s="105"/>
      <c r="AW543" s="104"/>
      <c r="AX543" s="106"/>
      <c r="AY543" s="106"/>
      <c r="AZ543" s="107"/>
      <c r="BA543" s="81"/>
      <c r="BB543" s="81"/>
      <c r="BC543" s="81"/>
    </row>
    <row r="544" spans="1:55" ht="28" customHeight="1" x14ac:dyDescent="0.25">
      <c r="A544" s="131">
        <v>539</v>
      </c>
      <c r="B544" s="141">
        <v>45099</v>
      </c>
      <c r="C544" s="77" t="s">
        <v>134</v>
      </c>
      <c r="D544" s="77" t="s">
        <v>135</v>
      </c>
      <c r="E544" s="77" t="s">
        <v>136</v>
      </c>
      <c r="F544" s="253" t="s">
        <v>430</v>
      </c>
      <c r="G544" s="254" t="s">
        <v>1643</v>
      </c>
      <c r="H544" s="254" t="s">
        <v>110</v>
      </c>
      <c r="I544" s="255" t="s">
        <v>251</v>
      </c>
      <c r="J544" s="256" t="s">
        <v>1644</v>
      </c>
      <c r="K544" s="167" t="s">
        <v>80</v>
      </c>
      <c r="L544" s="257" t="s">
        <v>209</v>
      </c>
      <c r="M544" s="258" t="s">
        <v>114</v>
      </c>
      <c r="N544" s="258" t="s">
        <v>80</v>
      </c>
      <c r="O544" s="258" t="s">
        <v>80</v>
      </c>
      <c r="P544" s="259">
        <v>1</v>
      </c>
      <c r="Q544" s="308"/>
      <c r="R544" s="182">
        <v>0</v>
      </c>
      <c r="S544" s="76">
        <v>0</v>
      </c>
      <c r="T544" s="76">
        <v>0</v>
      </c>
      <c r="U544" s="76">
        <v>0</v>
      </c>
      <c r="V544" s="76">
        <v>0</v>
      </c>
      <c r="W544" s="76">
        <v>0</v>
      </c>
      <c r="X544" s="76">
        <v>0</v>
      </c>
      <c r="Y544" s="76">
        <v>0</v>
      </c>
      <c r="Z544" s="76">
        <v>0</v>
      </c>
      <c r="AA544" s="183">
        <v>0</v>
      </c>
      <c r="AB544" s="185">
        <v>0</v>
      </c>
      <c r="AC544" s="76">
        <v>0</v>
      </c>
      <c r="AD544" s="84">
        <v>1</v>
      </c>
      <c r="AE544" s="76">
        <v>0</v>
      </c>
      <c r="AF544" s="76">
        <v>0</v>
      </c>
      <c r="AG544" s="76">
        <v>0</v>
      </c>
      <c r="AH544" s="76">
        <v>0</v>
      </c>
      <c r="AI544" s="76">
        <v>0</v>
      </c>
      <c r="AJ544" s="76">
        <v>0</v>
      </c>
      <c r="AK544" s="183">
        <v>0</v>
      </c>
      <c r="AL544" s="215">
        <f t="shared" si="20"/>
        <v>1</v>
      </c>
      <c r="AM544" s="216">
        <f>0</f>
        <v>0</v>
      </c>
      <c r="AN544" s="217">
        <f t="shared" si="21"/>
        <v>1</v>
      </c>
      <c r="AO544" s="251">
        <v>45099</v>
      </c>
      <c r="AP544" s="223" t="s">
        <v>273</v>
      </c>
      <c r="AQ544" s="153" t="s">
        <v>1656</v>
      </c>
      <c r="AR544" s="219" t="s">
        <v>276</v>
      </c>
      <c r="AS544" s="98"/>
      <c r="AT544" s="104"/>
      <c r="AU544" s="104"/>
      <c r="AV544" s="105"/>
      <c r="AW544" s="104"/>
      <c r="AX544" s="106"/>
      <c r="AY544" s="106"/>
      <c r="AZ544" s="107"/>
      <c r="BA544" s="81"/>
      <c r="BB544" s="81"/>
      <c r="BC544" s="81"/>
    </row>
    <row r="545" spans="1:55" ht="28" customHeight="1" x14ac:dyDescent="0.25">
      <c r="A545" s="131">
        <v>540</v>
      </c>
      <c r="B545" s="141">
        <v>45099</v>
      </c>
      <c r="C545" s="77" t="s">
        <v>134</v>
      </c>
      <c r="D545" s="77" t="s">
        <v>135</v>
      </c>
      <c r="E545" s="77" t="s">
        <v>136</v>
      </c>
      <c r="F545" s="253" t="s">
        <v>430</v>
      </c>
      <c r="G545" s="254" t="s">
        <v>1181</v>
      </c>
      <c r="H545" s="254" t="s">
        <v>110</v>
      </c>
      <c r="I545" s="255" t="s">
        <v>1182</v>
      </c>
      <c r="J545" s="256" t="s">
        <v>1183</v>
      </c>
      <c r="K545" s="167" t="s">
        <v>80</v>
      </c>
      <c r="L545" s="257" t="s">
        <v>168</v>
      </c>
      <c r="M545" s="258" t="s">
        <v>154</v>
      </c>
      <c r="N545" s="258" t="s">
        <v>578</v>
      </c>
      <c r="O545" s="258" t="s">
        <v>149</v>
      </c>
      <c r="P545" s="259">
        <v>1</v>
      </c>
      <c r="Q545" s="308"/>
      <c r="R545" s="182">
        <v>0</v>
      </c>
      <c r="S545" s="76">
        <v>0</v>
      </c>
      <c r="T545" s="76">
        <v>0</v>
      </c>
      <c r="U545" s="76">
        <v>0</v>
      </c>
      <c r="V545" s="76">
        <v>0</v>
      </c>
      <c r="W545" s="76">
        <v>0</v>
      </c>
      <c r="X545" s="76">
        <v>0</v>
      </c>
      <c r="Y545" s="76">
        <v>0</v>
      </c>
      <c r="Z545" s="76">
        <v>0</v>
      </c>
      <c r="AA545" s="183">
        <v>0</v>
      </c>
      <c r="AB545" s="185">
        <v>0</v>
      </c>
      <c r="AC545" s="76">
        <v>0</v>
      </c>
      <c r="AD545" s="84">
        <v>1</v>
      </c>
      <c r="AE545" s="76">
        <v>0</v>
      </c>
      <c r="AF545" s="76">
        <v>0</v>
      </c>
      <c r="AG545" s="76">
        <v>0</v>
      </c>
      <c r="AH545" s="76">
        <v>0</v>
      </c>
      <c r="AI545" s="76">
        <v>0</v>
      </c>
      <c r="AJ545" s="76">
        <v>0</v>
      </c>
      <c r="AK545" s="183">
        <v>0</v>
      </c>
      <c r="AL545" s="215">
        <f t="shared" si="20"/>
        <v>1</v>
      </c>
      <c r="AM545" s="216">
        <f>0</f>
        <v>0</v>
      </c>
      <c r="AN545" s="217">
        <f t="shared" si="21"/>
        <v>1</v>
      </c>
      <c r="AO545" s="251">
        <v>45099</v>
      </c>
      <c r="AP545" s="151" t="s">
        <v>273</v>
      </c>
      <c r="AQ545" s="153" t="s">
        <v>1655</v>
      </c>
      <c r="AR545" s="108" t="s">
        <v>148</v>
      </c>
      <c r="AS545" s="98"/>
      <c r="AT545" s="104"/>
      <c r="AU545" s="104"/>
      <c r="AV545" s="105"/>
      <c r="AW545" s="104"/>
      <c r="AX545" s="106"/>
      <c r="AY545" s="106"/>
      <c r="AZ545" s="107"/>
      <c r="BA545" s="81"/>
      <c r="BB545" s="81"/>
      <c r="BC545" s="81"/>
    </row>
    <row r="546" spans="1:55" ht="28" customHeight="1" x14ac:dyDescent="0.25">
      <c r="A546" s="131">
        <v>541</v>
      </c>
      <c r="B546" s="141">
        <v>45099</v>
      </c>
      <c r="C546" s="77" t="s">
        <v>134</v>
      </c>
      <c r="D546" s="77" t="s">
        <v>135</v>
      </c>
      <c r="E546" s="77" t="s">
        <v>136</v>
      </c>
      <c r="F546" s="253" t="s">
        <v>430</v>
      </c>
      <c r="G546" s="254" t="s">
        <v>1490</v>
      </c>
      <c r="H546" s="254" t="s">
        <v>287</v>
      </c>
      <c r="I546" s="255" t="s">
        <v>146</v>
      </c>
      <c r="J546" s="256" t="s">
        <v>1652</v>
      </c>
      <c r="K546" s="167" t="s">
        <v>1490</v>
      </c>
      <c r="L546" s="257" t="s">
        <v>147</v>
      </c>
      <c r="M546" s="258" t="s">
        <v>148</v>
      </c>
      <c r="N546" s="258" t="s">
        <v>80</v>
      </c>
      <c r="O546" s="258" t="s">
        <v>149</v>
      </c>
      <c r="P546" s="259">
        <v>2</v>
      </c>
      <c r="Q546" s="308"/>
      <c r="R546" s="182">
        <v>0</v>
      </c>
      <c r="S546" s="76">
        <v>0</v>
      </c>
      <c r="T546" s="76">
        <v>0</v>
      </c>
      <c r="U546" s="76">
        <v>0</v>
      </c>
      <c r="V546" s="76">
        <v>0</v>
      </c>
      <c r="W546" s="76">
        <v>0</v>
      </c>
      <c r="X546" s="76">
        <v>0</v>
      </c>
      <c r="Y546" s="76">
        <v>0</v>
      </c>
      <c r="Z546" s="76">
        <v>0</v>
      </c>
      <c r="AA546" s="183">
        <v>0</v>
      </c>
      <c r="AB546" s="185">
        <v>0</v>
      </c>
      <c r="AC546" s="76">
        <v>0</v>
      </c>
      <c r="AD546" s="84">
        <v>2</v>
      </c>
      <c r="AE546" s="76">
        <v>0</v>
      </c>
      <c r="AF546" s="76">
        <v>0</v>
      </c>
      <c r="AG546" s="76">
        <v>0</v>
      </c>
      <c r="AH546" s="76">
        <v>0</v>
      </c>
      <c r="AI546" s="76">
        <v>0</v>
      </c>
      <c r="AJ546" s="76">
        <v>0</v>
      </c>
      <c r="AK546" s="183">
        <v>0</v>
      </c>
      <c r="AL546" s="215">
        <f t="shared" si="20"/>
        <v>2</v>
      </c>
      <c r="AM546" s="216">
        <f>0</f>
        <v>0</v>
      </c>
      <c r="AN546" s="217">
        <f t="shared" si="21"/>
        <v>2</v>
      </c>
      <c r="AO546" s="251">
        <v>45099</v>
      </c>
      <c r="AP546" s="151" t="s">
        <v>273</v>
      </c>
      <c r="AQ546" s="153" t="s">
        <v>1655</v>
      </c>
      <c r="AR546" s="108" t="s">
        <v>148</v>
      </c>
      <c r="AS546" s="98"/>
      <c r="AT546" s="104"/>
      <c r="AU546" s="104">
        <v>2</v>
      </c>
      <c r="AV546" s="105"/>
      <c r="AW546" s="99" t="s">
        <v>457</v>
      </c>
      <c r="AX546" s="106"/>
      <c r="AY546" s="106"/>
      <c r="AZ546" s="107"/>
      <c r="BA546" s="81"/>
      <c r="BB546" s="81"/>
      <c r="BC546" s="81"/>
    </row>
    <row r="547" spans="1:55" ht="28" customHeight="1" x14ac:dyDescent="0.25">
      <c r="A547" s="131">
        <v>542</v>
      </c>
      <c r="B547" s="141">
        <v>45099</v>
      </c>
      <c r="C547" s="77" t="s">
        <v>134</v>
      </c>
      <c r="D547" s="77" t="s">
        <v>135</v>
      </c>
      <c r="E547" s="77" t="s">
        <v>136</v>
      </c>
      <c r="F547" s="253" t="s">
        <v>430</v>
      </c>
      <c r="G547" s="254" t="s">
        <v>278</v>
      </c>
      <c r="H547" s="254" t="s">
        <v>279</v>
      </c>
      <c r="I547" s="255" t="s">
        <v>280</v>
      </c>
      <c r="J547" s="256" t="s">
        <v>455</v>
      </c>
      <c r="K547" s="167" t="s">
        <v>431</v>
      </c>
      <c r="L547" s="257" t="s">
        <v>281</v>
      </c>
      <c r="M547" s="258" t="s">
        <v>148</v>
      </c>
      <c r="N547" s="258" t="s">
        <v>212</v>
      </c>
      <c r="O547" s="258" t="s">
        <v>149</v>
      </c>
      <c r="P547" s="259">
        <v>2</v>
      </c>
      <c r="Q547" s="308"/>
      <c r="R547" s="182">
        <v>0</v>
      </c>
      <c r="S547" s="76">
        <v>0</v>
      </c>
      <c r="T547" s="76">
        <v>0</v>
      </c>
      <c r="U547" s="76">
        <v>0</v>
      </c>
      <c r="V547" s="76">
        <v>0</v>
      </c>
      <c r="W547" s="76">
        <v>0</v>
      </c>
      <c r="X547" s="76">
        <v>0</v>
      </c>
      <c r="Y547" s="76">
        <v>0</v>
      </c>
      <c r="Z547" s="76">
        <v>0</v>
      </c>
      <c r="AA547" s="183">
        <v>0</v>
      </c>
      <c r="AB547" s="185">
        <v>0</v>
      </c>
      <c r="AC547" s="76">
        <v>0</v>
      </c>
      <c r="AD547" s="84">
        <v>2</v>
      </c>
      <c r="AE547" s="76">
        <v>0</v>
      </c>
      <c r="AF547" s="76">
        <v>0</v>
      </c>
      <c r="AG547" s="76">
        <v>0</v>
      </c>
      <c r="AH547" s="76">
        <v>0</v>
      </c>
      <c r="AI547" s="76">
        <v>0</v>
      </c>
      <c r="AJ547" s="76">
        <v>0</v>
      </c>
      <c r="AK547" s="183">
        <v>0</v>
      </c>
      <c r="AL547" s="215">
        <f t="shared" si="20"/>
        <v>2</v>
      </c>
      <c r="AM547" s="216">
        <f>0</f>
        <v>0</v>
      </c>
      <c r="AN547" s="217">
        <f t="shared" si="21"/>
        <v>2</v>
      </c>
      <c r="AO547" s="251">
        <v>45099</v>
      </c>
      <c r="AP547" s="151" t="s">
        <v>273</v>
      </c>
      <c r="AQ547" s="153" t="s">
        <v>1655</v>
      </c>
      <c r="AR547" s="108" t="s">
        <v>148</v>
      </c>
      <c r="AS547" s="98"/>
      <c r="AT547" s="104"/>
      <c r="AU547" s="104">
        <v>2</v>
      </c>
      <c r="AV547" s="105"/>
      <c r="AW547" s="99" t="s">
        <v>457</v>
      </c>
      <c r="AX547" s="106"/>
      <c r="AY547" s="106"/>
      <c r="AZ547" s="107"/>
      <c r="BA547" s="81"/>
      <c r="BB547" s="81"/>
      <c r="BC547" s="81"/>
    </row>
    <row r="548" spans="1:55" ht="28" customHeight="1" x14ac:dyDescent="0.45">
      <c r="A548" s="269">
        <v>543</v>
      </c>
      <c r="B548" s="270">
        <v>45104</v>
      </c>
      <c r="C548" s="282"/>
      <c r="D548" s="282"/>
      <c r="E548" s="282"/>
      <c r="F548" s="148" t="s">
        <v>1665</v>
      </c>
      <c r="G548" s="274" t="s">
        <v>1074</v>
      </c>
      <c r="H548" s="148" t="s">
        <v>287</v>
      </c>
      <c r="I548" s="148" t="s">
        <v>1075</v>
      </c>
      <c r="J548" s="274" t="s">
        <v>1666</v>
      </c>
      <c r="K548" s="271"/>
      <c r="L548" s="257" t="s">
        <v>451</v>
      </c>
      <c r="M548" s="271"/>
      <c r="N548" s="258" t="s">
        <v>214</v>
      </c>
      <c r="O548" s="271"/>
      <c r="P548" s="148"/>
      <c r="Q548" s="271"/>
      <c r="R548" s="182">
        <v>0</v>
      </c>
      <c r="S548" s="76">
        <v>0</v>
      </c>
      <c r="T548" s="76">
        <v>0</v>
      </c>
      <c r="U548" s="76">
        <v>0</v>
      </c>
      <c r="V548" s="76">
        <v>0</v>
      </c>
      <c r="W548" s="76">
        <v>0</v>
      </c>
      <c r="X548" s="76">
        <v>0</v>
      </c>
      <c r="Y548" s="76">
        <v>0</v>
      </c>
      <c r="Z548" s="76">
        <v>0</v>
      </c>
      <c r="AA548" s="183">
        <v>0</v>
      </c>
      <c r="AB548" s="185">
        <v>0</v>
      </c>
      <c r="AC548" s="76">
        <v>0</v>
      </c>
      <c r="AD548" s="76">
        <v>0</v>
      </c>
      <c r="AE548" s="76">
        <v>0</v>
      </c>
      <c r="AF548" s="76">
        <v>0</v>
      </c>
      <c r="AG548" s="76">
        <v>0</v>
      </c>
      <c r="AH548" s="76">
        <v>0</v>
      </c>
      <c r="AI548" s="76">
        <v>0</v>
      </c>
      <c r="AJ548" s="76">
        <v>0</v>
      </c>
      <c r="AK548" s="183">
        <v>0</v>
      </c>
      <c r="AL548" s="368">
        <f t="shared" si="20"/>
        <v>0</v>
      </c>
      <c r="AM548" s="216">
        <f>0</f>
        <v>0</v>
      </c>
      <c r="AN548" s="217">
        <v>1</v>
      </c>
      <c r="AO548" s="273">
        <v>45110</v>
      </c>
      <c r="AP548" s="151" t="s">
        <v>273</v>
      </c>
      <c r="AQ548" s="225" t="s">
        <v>1663</v>
      </c>
      <c r="AR548" s="148" t="s">
        <v>1295</v>
      </c>
      <c r="AS548" s="281"/>
      <c r="AT548" s="148"/>
      <c r="AU548" s="148"/>
      <c r="AV548" s="148"/>
      <c r="AW548" s="148"/>
      <c r="AX548" s="148"/>
      <c r="AY548" s="148"/>
      <c r="AZ548" s="272"/>
      <c r="BA548" s="81"/>
      <c r="BB548" s="81"/>
      <c r="BC548" s="81"/>
    </row>
    <row r="549" spans="1:55" ht="28" customHeight="1" x14ac:dyDescent="0.45">
      <c r="A549" s="269">
        <v>544</v>
      </c>
      <c r="B549" s="270">
        <v>45104</v>
      </c>
      <c r="C549" s="282"/>
      <c r="D549" s="282"/>
      <c r="E549" s="282"/>
      <c r="F549" s="148" t="s">
        <v>1665</v>
      </c>
      <c r="G549" s="274" t="s">
        <v>1668</v>
      </c>
      <c r="H549" s="148" t="s">
        <v>110</v>
      </c>
      <c r="I549" s="148" t="s">
        <v>1075</v>
      </c>
      <c r="J549" s="274" t="s">
        <v>1667</v>
      </c>
      <c r="K549" s="271"/>
      <c r="L549" s="257" t="s">
        <v>510</v>
      </c>
      <c r="M549" s="271"/>
      <c r="N549" s="258" t="s">
        <v>578</v>
      </c>
      <c r="O549" s="271"/>
      <c r="P549" s="148"/>
      <c r="Q549" s="271"/>
      <c r="R549" s="182">
        <v>0</v>
      </c>
      <c r="S549" s="76">
        <v>0</v>
      </c>
      <c r="T549" s="76">
        <v>0</v>
      </c>
      <c r="U549" s="76">
        <v>0</v>
      </c>
      <c r="V549" s="76">
        <v>0</v>
      </c>
      <c r="W549" s="76">
        <v>0</v>
      </c>
      <c r="X549" s="76">
        <v>0</v>
      </c>
      <c r="Y549" s="76">
        <v>0</v>
      </c>
      <c r="Z549" s="76">
        <v>0</v>
      </c>
      <c r="AA549" s="183">
        <v>0</v>
      </c>
      <c r="AB549" s="185">
        <v>0</v>
      </c>
      <c r="AC549" s="76">
        <v>0</v>
      </c>
      <c r="AD549" s="76">
        <v>0</v>
      </c>
      <c r="AE549" s="76">
        <v>0</v>
      </c>
      <c r="AF549" s="76">
        <v>0</v>
      </c>
      <c r="AG549" s="76">
        <v>0</v>
      </c>
      <c r="AH549" s="76">
        <v>0</v>
      </c>
      <c r="AI549" s="76">
        <v>0</v>
      </c>
      <c r="AJ549" s="76">
        <v>0</v>
      </c>
      <c r="AK549" s="183">
        <v>0</v>
      </c>
      <c r="AL549" s="368">
        <f t="shared" si="20"/>
        <v>0</v>
      </c>
      <c r="AM549" s="216">
        <f>0</f>
        <v>0</v>
      </c>
      <c r="AN549" s="217">
        <v>1</v>
      </c>
      <c r="AO549" s="273">
        <v>45110</v>
      </c>
      <c r="AP549" s="151" t="s">
        <v>273</v>
      </c>
      <c r="AQ549" s="225" t="s">
        <v>1663</v>
      </c>
      <c r="AR549" s="148" t="s">
        <v>1295</v>
      </c>
      <c r="AS549" s="281"/>
      <c r="AT549" s="148"/>
      <c r="AU549" s="148"/>
      <c r="AV549" s="148"/>
      <c r="AW549" s="148"/>
      <c r="AX549" s="148"/>
      <c r="AY549" s="148"/>
      <c r="AZ549" s="272"/>
      <c r="BA549" s="81"/>
      <c r="BB549" s="81"/>
      <c r="BC549" s="81"/>
    </row>
    <row r="550" spans="1:55" ht="28" customHeight="1" x14ac:dyDescent="0.25">
      <c r="A550" s="320">
        <v>545</v>
      </c>
      <c r="B550" s="279">
        <v>45111</v>
      </c>
      <c r="C550" s="77" t="s">
        <v>134</v>
      </c>
      <c r="D550" s="77" t="s">
        <v>135</v>
      </c>
      <c r="E550" s="77" t="s">
        <v>136</v>
      </c>
      <c r="F550" s="280" t="s">
        <v>1688</v>
      </c>
      <c r="G550" s="338" t="s">
        <v>1669</v>
      </c>
      <c r="H550" s="339" t="s">
        <v>110</v>
      </c>
      <c r="I550" s="338" t="s">
        <v>1670</v>
      </c>
      <c r="J550" s="340" t="s">
        <v>1671</v>
      </c>
      <c r="K550" s="341"/>
      <c r="L550" s="341" t="s">
        <v>113</v>
      </c>
      <c r="M550" s="355" t="s">
        <v>126</v>
      </c>
      <c r="N550" s="366"/>
      <c r="O550" s="283"/>
      <c r="P550" s="345"/>
      <c r="Q550" s="367" t="s">
        <v>1703</v>
      </c>
      <c r="R550" s="181">
        <v>1</v>
      </c>
      <c r="S550" s="76">
        <v>0</v>
      </c>
      <c r="T550" s="76">
        <v>0</v>
      </c>
      <c r="U550" s="76">
        <v>0</v>
      </c>
      <c r="V550" s="76">
        <v>0</v>
      </c>
      <c r="W550" s="76">
        <v>0</v>
      </c>
      <c r="X550" s="76">
        <v>0</v>
      </c>
      <c r="Y550" s="76">
        <v>0</v>
      </c>
      <c r="Z550" s="76">
        <v>0</v>
      </c>
      <c r="AA550" s="183">
        <v>0</v>
      </c>
      <c r="AB550" s="185">
        <v>0</v>
      </c>
      <c r="AC550" s="76">
        <v>0</v>
      </c>
      <c r="AD550" s="76">
        <v>0</v>
      </c>
      <c r="AE550" s="76">
        <v>0</v>
      </c>
      <c r="AF550" s="76">
        <v>0</v>
      </c>
      <c r="AG550" s="76">
        <v>0</v>
      </c>
      <c r="AH550" s="76">
        <v>0</v>
      </c>
      <c r="AI550" s="76">
        <v>0</v>
      </c>
      <c r="AJ550" s="76">
        <v>0</v>
      </c>
      <c r="AK550" s="183">
        <v>0</v>
      </c>
      <c r="AL550" s="215">
        <f t="shared" si="20"/>
        <v>1</v>
      </c>
      <c r="AM550" s="216">
        <f>0</f>
        <v>0</v>
      </c>
      <c r="AN550" s="217">
        <f t="shared" ref="AN550:AN581" si="22">AL550-AM550</f>
        <v>1</v>
      </c>
      <c r="AO550" s="369"/>
      <c r="AP550" s="359"/>
      <c r="AQ550" s="330"/>
      <c r="AR550" s="331" t="s">
        <v>271</v>
      </c>
      <c r="AS550" s="330"/>
      <c r="AT550" s="330"/>
      <c r="AU550" s="331"/>
      <c r="AV550" s="331"/>
      <c r="AW550" s="331"/>
      <c r="AX550" s="332"/>
      <c r="AY550" s="333"/>
      <c r="AZ550" s="334"/>
      <c r="BA550" s="319"/>
      <c r="BB550" s="319"/>
      <c r="BC550" s="319"/>
    </row>
    <row r="551" spans="1:55" ht="28" customHeight="1" x14ac:dyDescent="0.25">
      <c r="A551" s="131">
        <v>546</v>
      </c>
      <c r="B551" s="141">
        <v>45111</v>
      </c>
      <c r="C551" s="77" t="s">
        <v>134</v>
      </c>
      <c r="D551" s="77" t="s">
        <v>135</v>
      </c>
      <c r="E551" s="77" t="s">
        <v>136</v>
      </c>
      <c r="F551" s="142" t="s">
        <v>1688</v>
      </c>
      <c r="G551" s="145" t="s">
        <v>1672</v>
      </c>
      <c r="H551" s="146" t="s">
        <v>110</v>
      </c>
      <c r="I551" s="145" t="s">
        <v>1673</v>
      </c>
      <c r="J551" s="240" t="s">
        <v>1674</v>
      </c>
      <c r="K551" s="241"/>
      <c r="L551" s="241" t="s">
        <v>1691</v>
      </c>
      <c r="M551" s="220" t="s">
        <v>1692</v>
      </c>
      <c r="N551" s="258"/>
      <c r="O551" s="271"/>
      <c r="P551" s="148"/>
      <c r="Q551" s="271" t="s">
        <v>1693</v>
      </c>
      <c r="R551" s="181">
        <v>2</v>
      </c>
      <c r="S551" s="76">
        <v>0</v>
      </c>
      <c r="T551" s="76">
        <v>0</v>
      </c>
      <c r="U551" s="76">
        <v>0</v>
      </c>
      <c r="V551" s="76">
        <v>0</v>
      </c>
      <c r="W551" s="76">
        <v>0</v>
      </c>
      <c r="X551" s="76">
        <v>0</v>
      </c>
      <c r="Y551" s="76">
        <v>0</v>
      </c>
      <c r="Z551" s="76">
        <v>0</v>
      </c>
      <c r="AA551" s="183">
        <v>0</v>
      </c>
      <c r="AB551" s="185">
        <v>0</v>
      </c>
      <c r="AC551" s="76">
        <v>0</v>
      </c>
      <c r="AD551" s="76">
        <v>0</v>
      </c>
      <c r="AE551" s="76">
        <v>0</v>
      </c>
      <c r="AF551" s="76">
        <v>0</v>
      </c>
      <c r="AG551" s="76">
        <v>0</v>
      </c>
      <c r="AH551" s="76">
        <v>0</v>
      </c>
      <c r="AI551" s="76">
        <v>0</v>
      </c>
      <c r="AJ551" s="76">
        <v>0</v>
      </c>
      <c r="AK551" s="183">
        <v>0</v>
      </c>
      <c r="AL551" s="215">
        <f t="shared" si="20"/>
        <v>2</v>
      </c>
      <c r="AM551" s="216">
        <f>0</f>
        <v>0</v>
      </c>
      <c r="AN551" s="217">
        <f t="shared" si="22"/>
        <v>2</v>
      </c>
      <c r="AO551" s="287">
        <v>45113</v>
      </c>
      <c r="AP551" s="261" t="s">
        <v>273</v>
      </c>
      <c r="AQ551" s="153" t="s">
        <v>1304</v>
      </c>
      <c r="AR551" s="154" t="s">
        <v>148</v>
      </c>
      <c r="AS551" s="159"/>
      <c r="AT551" s="153"/>
      <c r="AU551" s="154"/>
      <c r="AV551" s="154"/>
      <c r="AW551" s="154"/>
      <c r="AX551" s="155"/>
      <c r="AY551" s="156"/>
      <c r="AZ551" s="157"/>
      <c r="BA551" s="81"/>
      <c r="BB551" s="81"/>
      <c r="BC551" s="81"/>
    </row>
    <row r="552" spans="1:55" ht="28" customHeight="1" x14ac:dyDescent="0.25">
      <c r="A552" s="131">
        <v>547</v>
      </c>
      <c r="B552" s="141">
        <v>45111</v>
      </c>
      <c r="C552" s="85"/>
      <c r="D552" s="85"/>
      <c r="E552" s="85"/>
      <c r="F552" s="142" t="s">
        <v>1688</v>
      </c>
      <c r="G552" s="145" t="s">
        <v>1808</v>
      </c>
      <c r="H552" s="146" t="s">
        <v>110</v>
      </c>
      <c r="I552" s="145" t="s">
        <v>1673</v>
      </c>
      <c r="J552" s="240" t="s">
        <v>1809</v>
      </c>
      <c r="K552" s="241"/>
      <c r="L552" s="241" t="s">
        <v>1691</v>
      </c>
      <c r="M552" s="220" t="s">
        <v>1692</v>
      </c>
      <c r="N552" s="258"/>
      <c r="O552" s="271"/>
      <c r="P552" s="148"/>
      <c r="Q552" s="271" t="s">
        <v>1693</v>
      </c>
      <c r="R552" s="181">
        <v>2</v>
      </c>
      <c r="S552" s="76">
        <v>0</v>
      </c>
      <c r="T552" s="76">
        <v>0</v>
      </c>
      <c r="U552" s="76">
        <v>0</v>
      </c>
      <c r="V552" s="76">
        <v>0</v>
      </c>
      <c r="W552" s="76">
        <v>0</v>
      </c>
      <c r="X552" s="76">
        <v>0</v>
      </c>
      <c r="Y552" s="76">
        <v>0</v>
      </c>
      <c r="Z552" s="76">
        <v>0</v>
      </c>
      <c r="AA552" s="183">
        <v>0</v>
      </c>
      <c r="AB552" s="185">
        <v>0</v>
      </c>
      <c r="AC552" s="76">
        <v>0</v>
      </c>
      <c r="AD552" s="76">
        <v>0</v>
      </c>
      <c r="AE552" s="76">
        <v>0</v>
      </c>
      <c r="AF552" s="76">
        <v>0</v>
      </c>
      <c r="AG552" s="76">
        <v>0</v>
      </c>
      <c r="AH552" s="76">
        <v>0</v>
      </c>
      <c r="AI552" s="76">
        <v>0</v>
      </c>
      <c r="AJ552" s="76">
        <v>0</v>
      </c>
      <c r="AK552" s="183">
        <v>0</v>
      </c>
      <c r="AL552" s="215">
        <f t="shared" si="20"/>
        <v>2</v>
      </c>
      <c r="AM552" s="216">
        <f>0</f>
        <v>0</v>
      </c>
      <c r="AN552" s="217">
        <f t="shared" si="22"/>
        <v>2</v>
      </c>
      <c r="AO552" s="287">
        <v>45113</v>
      </c>
      <c r="AP552" s="261" t="s">
        <v>273</v>
      </c>
      <c r="AQ552" s="153" t="s">
        <v>1304</v>
      </c>
      <c r="AR552" s="154" t="s">
        <v>148</v>
      </c>
      <c r="AS552" s="159"/>
      <c r="AT552" s="153"/>
      <c r="AU552" s="154"/>
      <c r="AV552" s="154"/>
      <c r="AW552" s="154"/>
      <c r="AX552" s="155"/>
      <c r="AY552" s="156"/>
      <c r="AZ552" s="157"/>
      <c r="BA552" s="81"/>
      <c r="BB552" s="81"/>
      <c r="BC552" s="81"/>
    </row>
    <row r="553" spans="1:55" ht="28" customHeight="1" x14ac:dyDescent="0.25">
      <c r="A553" s="131">
        <v>548</v>
      </c>
      <c r="B553" s="141">
        <v>45111</v>
      </c>
      <c r="C553" s="77" t="s">
        <v>134</v>
      </c>
      <c r="D553" s="77" t="s">
        <v>135</v>
      </c>
      <c r="E553" s="77" t="s">
        <v>136</v>
      </c>
      <c r="F553" s="142" t="s">
        <v>1688</v>
      </c>
      <c r="G553" s="145" t="s">
        <v>1672</v>
      </c>
      <c r="H553" s="146" t="s">
        <v>110</v>
      </c>
      <c r="I553" s="145" t="s">
        <v>1673</v>
      </c>
      <c r="J553" s="240" t="s">
        <v>1674</v>
      </c>
      <c r="K553" s="241"/>
      <c r="L553" s="241" t="s">
        <v>1691</v>
      </c>
      <c r="M553" s="220" t="s">
        <v>1692</v>
      </c>
      <c r="N553" s="258"/>
      <c r="O553" s="271"/>
      <c r="P553" s="148"/>
      <c r="Q553" s="271" t="s">
        <v>1694</v>
      </c>
      <c r="R553" s="181">
        <v>2</v>
      </c>
      <c r="S553" s="76">
        <v>0</v>
      </c>
      <c r="T553" s="76">
        <v>0</v>
      </c>
      <c r="U553" s="76">
        <v>0</v>
      </c>
      <c r="V553" s="76">
        <v>0</v>
      </c>
      <c r="W553" s="76">
        <v>0</v>
      </c>
      <c r="X553" s="76">
        <v>0</v>
      </c>
      <c r="Y553" s="76">
        <v>0</v>
      </c>
      <c r="Z553" s="76">
        <v>0</v>
      </c>
      <c r="AA553" s="183">
        <v>0</v>
      </c>
      <c r="AB553" s="185">
        <v>0</v>
      </c>
      <c r="AC553" s="76">
        <v>0</v>
      </c>
      <c r="AD553" s="76">
        <v>0</v>
      </c>
      <c r="AE553" s="76">
        <v>0</v>
      </c>
      <c r="AF553" s="76">
        <v>0</v>
      </c>
      <c r="AG553" s="76">
        <v>0</v>
      </c>
      <c r="AH553" s="76">
        <v>0</v>
      </c>
      <c r="AI553" s="76">
        <v>0</v>
      </c>
      <c r="AJ553" s="76">
        <v>0</v>
      </c>
      <c r="AK553" s="183">
        <v>0</v>
      </c>
      <c r="AL553" s="215">
        <f t="shared" si="20"/>
        <v>2</v>
      </c>
      <c r="AM553" s="216">
        <f>0</f>
        <v>0</v>
      </c>
      <c r="AN553" s="217">
        <f t="shared" si="22"/>
        <v>2</v>
      </c>
      <c r="AO553" s="287">
        <v>45113</v>
      </c>
      <c r="AP553" s="261" t="s">
        <v>273</v>
      </c>
      <c r="AQ553" s="153" t="s">
        <v>1304</v>
      </c>
      <c r="AR553" s="154" t="s">
        <v>148</v>
      </c>
      <c r="AS553" s="159"/>
      <c r="AT553" s="153"/>
      <c r="AU553" s="154"/>
      <c r="AV553" s="154"/>
      <c r="AW553" s="154"/>
      <c r="AX553" s="155"/>
      <c r="AY553" s="156"/>
      <c r="AZ553" s="157"/>
      <c r="BA553" s="81"/>
      <c r="BB553" s="81"/>
      <c r="BC553" s="81"/>
    </row>
    <row r="554" spans="1:55" ht="28" customHeight="1" x14ac:dyDescent="0.25">
      <c r="A554" s="131">
        <v>549</v>
      </c>
      <c r="B554" s="141">
        <v>45111</v>
      </c>
      <c r="C554" s="85"/>
      <c r="D554" s="85"/>
      <c r="E554" s="85"/>
      <c r="F554" s="142" t="s">
        <v>1688</v>
      </c>
      <c r="G554" s="145" t="s">
        <v>1808</v>
      </c>
      <c r="H554" s="146" t="s">
        <v>110</v>
      </c>
      <c r="I554" s="145" t="s">
        <v>1673</v>
      </c>
      <c r="J554" s="240" t="s">
        <v>1809</v>
      </c>
      <c r="K554" s="241"/>
      <c r="L554" s="241" t="s">
        <v>1691</v>
      </c>
      <c r="M554" s="220" t="s">
        <v>1692</v>
      </c>
      <c r="N554" s="258"/>
      <c r="O554" s="271"/>
      <c r="P554" s="148"/>
      <c r="Q554" s="271" t="s">
        <v>1694</v>
      </c>
      <c r="R554" s="181">
        <v>2</v>
      </c>
      <c r="S554" s="76">
        <v>0</v>
      </c>
      <c r="T554" s="76">
        <v>0</v>
      </c>
      <c r="U554" s="76">
        <v>0</v>
      </c>
      <c r="V554" s="76">
        <v>0</v>
      </c>
      <c r="W554" s="76">
        <v>0</v>
      </c>
      <c r="X554" s="76">
        <v>0</v>
      </c>
      <c r="Y554" s="76">
        <v>0</v>
      </c>
      <c r="Z554" s="76">
        <v>0</v>
      </c>
      <c r="AA554" s="183">
        <v>0</v>
      </c>
      <c r="AB554" s="185">
        <v>0</v>
      </c>
      <c r="AC554" s="76">
        <v>0</v>
      </c>
      <c r="AD554" s="76">
        <v>0</v>
      </c>
      <c r="AE554" s="76">
        <v>0</v>
      </c>
      <c r="AF554" s="76">
        <v>0</v>
      </c>
      <c r="AG554" s="76">
        <v>0</v>
      </c>
      <c r="AH554" s="76">
        <v>0</v>
      </c>
      <c r="AI554" s="76">
        <v>0</v>
      </c>
      <c r="AJ554" s="76">
        <v>0</v>
      </c>
      <c r="AK554" s="183">
        <v>0</v>
      </c>
      <c r="AL554" s="215">
        <f t="shared" si="20"/>
        <v>2</v>
      </c>
      <c r="AM554" s="216">
        <f>0</f>
        <v>0</v>
      </c>
      <c r="AN554" s="217">
        <f t="shared" si="22"/>
        <v>2</v>
      </c>
      <c r="AO554" s="287">
        <v>45113</v>
      </c>
      <c r="AP554" s="261" t="s">
        <v>273</v>
      </c>
      <c r="AQ554" s="153" t="s">
        <v>1304</v>
      </c>
      <c r="AR554" s="154" t="s">
        <v>148</v>
      </c>
      <c r="AS554" s="159"/>
      <c r="AT554" s="153"/>
      <c r="AU554" s="154"/>
      <c r="AV554" s="154"/>
      <c r="AW554" s="154"/>
      <c r="AX554" s="155"/>
      <c r="AY554" s="156"/>
      <c r="AZ554" s="157"/>
      <c r="BA554" s="81"/>
      <c r="BB554" s="81"/>
      <c r="BC554" s="81"/>
    </row>
    <row r="555" spans="1:55" ht="28" customHeight="1" x14ac:dyDescent="0.25">
      <c r="A555" s="131">
        <v>548</v>
      </c>
      <c r="B555" s="141">
        <v>45111</v>
      </c>
      <c r="C555" s="77" t="s">
        <v>134</v>
      </c>
      <c r="D555" s="77" t="s">
        <v>135</v>
      </c>
      <c r="E555" s="77" t="s">
        <v>136</v>
      </c>
      <c r="F555" s="142" t="s">
        <v>1688</v>
      </c>
      <c r="G555" s="145" t="s">
        <v>1675</v>
      </c>
      <c r="H555" s="146" t="s">
        <v>110</v>
      </c>
      <c r="I555" s="145" t="s">
        <v>1676</v>
      </c>
      <c r="J555" s="240" t="s">
        <v>1677</v>
      </c>
      <c r="K555" s="241"/>
      <c r="L555" s="241" t="s">
        <v>1691</v>
      </c>
      <c r="M555" s="220" t="s">
        <v>1692</v>
      </c>
      <c r="N555" s="258"/>
      <c r="O555" s="271"/>
      <c r="P555" s="148"/>
      <c r="Q555" s="271" t="s">
        <v>1693</v>
      </c>
      <c r="R555" s="181">
        <v>2</v>
      </c>
      <c r="S555" s="76">
        <v>0</v>
      </c>
      <c r="T555" s="76">
        <v>0</v>
      </c>
      <c r="U555" s="76">
        <v>0</v>
      </c>
      <c r="V555" s="76">
        <v>0</v>
      </c>
      <c r="W555" s="76">
        <v>0</v>
      </c>
      <c r="X555" s="76">
        <v>0</v>
      </c>
      <c r="Y555" s="76">
        <v>0</v>
      </c>
      <c r="Z555" s="76">
        <v>0</v>
      </c>
      <c r="AA555" s="183">
        <v>0</v>
      </c>
      <c r="AB555" s="185">
        <v>0</v>
      </c>
      <c r="AC555" s="76">
        <v>0</v>
      </c>
      <c r="AD555" s="76">
        <v>0</v>
      </c>
      <c r="AE555" s="76">
        <v>0</v>
      </c>
      <c r="AF555" s="76">
        <v>0</v>
      </c>
      <c r="AG555" s="76">
        <v>0</v>
      </c>
      <c r="AH555" s="76">
        <v>0</v>
      </c>
      <c r="AI555" s="76">
        <v>0</v>
      </c>
      <c r="AJ555" s="76">
        <v>0</v>
      </c>
      <c r="AK555" s="183">
        <v>0</v>
      </c>
      <c r="AL555" s="215">
        <f t="shared" si="20"/>
        <v>2</v>
      </c>
      <c r="AM555" s="216">
        <f>0</f>
        <v>0</v>
      </c>
      <c r="AN555" s="217">
        <f t="shared" si="22"/>
        <v>2</v>
      </c>
      <c r="AO555" s="287">
        <v>45113</v>
      </c>
      <c r="AP555" s="261" t="s">
        <v>273</v>
      </c>
      <c r="AQ555" s="153" t="s">
        <v>1304</v>
      </c>
      <c r="AR555" s="154" t="s">
        <v>148</v>
      </c>
      <c r="AS555" s="159"/>
      <c r="AT555" s="153"/>
      <c r="AU555" s="154"/>
      <c r="AV555" s="154"/>
      <c r="AW555" s="154"/>
      <c r="AX555" s="155"/>
      <c r="AY555" s="156"/>
      <c r="AZ555" s="157"/>
      <c r="BA555" s="81"/>
      <c r="BB555" s="81"/>
      <c r="BC555" s="81"/>
    </row>
    <row r="556" spans="1:55" ht="28" customHeight="1" x14ac:dyDescent="0.25">
      <c r="A556" s="320">
        <v>549</v>
      </c>
      <c r="B556" s="279">
        <v>45111</v>
      </c>
      <c r="C556" s="77" t="s">
        <v>134</v>
      </c>
      <c r="D556" s="77" t="s">
        <v>135</v>
      </c>
      <c r="E556" s="77" t="s">
        <v>136</v>
      </c>
      <c r="F556" s="280" t="s">
        <v>1688</v>
      </c>
      <c r="G556" s="338" t="s">
        <v>1678</v>
      </c>
      <c r="H556" s="339" t="s">
        <v>110</v>
      </c>
      <c r="I556" s="338" t="s">
        <v>1670</v>
      </c>
      <c r="J556" s="340" t="s">
        <v>1679</v>
      </c>
      <c r="K556" s="341"/>
      <c r="L556" s="341" t="s">
        <v>113</v>
      </c>
      <c r="M556" s="355" t="s">
        <v>126</v>
      </c>
      <c r="N556" s="366"/>
      <c r="O556" s="283"/>
      <c r="P556" s="345"/>
      <c r="Q556" s="367" t="s">
        <v>1695</v>
      </c>
      <c r="R556" s="181">
        <v>1</v>
      </c>
      <c r="S556" s="76">
        <v>0</v>
      </c>
      <c r="T556" s="76">
        <v>0</v>
      </c>
      <c r="U556" s="76">
        <v>0</v>
      </c>
      <c r="V556" s="76">
        <v>0</v>
      </c>
      <c r="W556" s="76">
        <v>0</v>
      </c>
      <c r="X556" s="76">
        <v>0</v>
      </c>
      <c r="Y556" s="76">
        <v>0</v>
      </c>
      <c r="Z556" s="76">
        <v>0</v>
      </c>
      <c r="AA556" s="183">
        <v>0</v>
      </c>
      <c r="AB556" s="185">
        <v>0</v>
      </c>
      <c r="AC556" s="76">
        <v>0</v>
      </c>
      <c r="AD556" s="76">
        <v>0</v>
      </c>
      <c r="AE556" s="76">
        <v>0</v>
      </c>
      <c r="AF556" s="76">
        <v>0</v>
      </c>
      <c r="AG556" s="76">
        <v>0</v>
      </c>
      <c r="AH556" s="76">
        <v>0</v>
      </c>
      <c r="AI556" s="76">
        <v>0</v>
      </c>
      <c r="AJ556" s="76">
        <v>0</v>
      </c>
      <c r="AK556" s="183">
        <v>0</v>
      </c>
      <c r="AL556" s="215">
        <f t="shared" si="20"/>
        <v>1</v>
      </c>
      <c r="AM556" s="216">
        <f>0</f>
        <v>0</v>
      </c>
      <c r="AN556" s="217">
        <f t="shared" si="22"/>
        <v>1</v>
      </c>
      <c r="AO556" s="369"/>
      <c r="AP556" s="359"/>
      <c r="AQ556" s="330"/>
      <c r="AR556" s="331" t="s">
        <v>271</v>
      </c>
      <c r="AS556" s="330"/>
      <c r="AT556" s="330"/>
      <c r="AU556" s="331"/>
      <c r="AV556" s="331"/>
      <c r="AW556" s="331"/>
      <c r="AX556" s="332"/>
      <c r="AY556" s="333"/>
      <c r="AZ556" s="334"/>
      <c r="BA556" s="319"/>
      <c r="BB556" s="319"/>
      <c r="BC556" s="319"/>
    </row>
    <row r="557" spans="1:55" ht="28" customHeight="1" x14ac:dyDescent="0.25">
      <c r="A557" s="131">
        <v>550</v>
      </c>
      <c r="B557" s="141">
        <v>45111</v>
      </c>
      <c r="C557" s="77" t="s">
        <v>134</v>
      </c>
      <c r="D557" s="77" t="s">
        <v>135</v>
      </c>
      <c r="E557" s="77" t="s">
        <v>136</v>
      </c>
      <c r="F557" s="142" t="s">
        <v>1688</v>
      </c>
      <c r="G557" s="145" t="s">
        <v>1672</v>
      </c>
      <c r="H557" s="146" t="s">
        <v>110</v>
      </c>
      <c r="I557" s="145" t="s">
        <v>1673</v>
      </c>
      <c r="J557" s="240" t="s">
        <v>1674</v>
      </c>
      <c r="K557" s="241"/>
      <c r="L557" s="241" t="s">
        <v>1691</v>
      </c>
      <c r="M557" s="220" t="s">
        <v>1692</v>
      </c>
      <c r="N557" s="258"/>
      <c r="O557" s="271"/>
      <c r="P557" s="148"/>
      <c r="Q557" s="271" t="s">
        <v>1693</v>
      </c>
      <c r="R557" s="181">
        <v>1</v>
      </c>
      <c r="S557" s="76">
        <v>0</v>
      </c>
      <c r="T557" s="76">
        <v>0</v>
      </c>
      <c r="U557" s="76">
        <v>0</v>
      </c>
      <c r="V557" s="76">
        <v>0</v>
      </c>
      <c r="W557" s="76">
        <v>0</v>
      </c>
      <c r="X557" s="76">
        <v>0</v>
      </c>
      <c r="Y557" s="76">
        <v>0</v>
      </c>
      <c r="Z557" s="76">
        <v>0</v>
      </c>
      <c r="AA557" s="183">
        <v>0</v>
      </c>
      <c r="AB557" s="185">
        <v>0</v>
      </c>
      <c r="AC557" s="76">
        <v>0</v>
      </c>
      <c r="AD557" s="76">
        <v>0</v>
      </c>
      <c r="AE557" s="76">
        <v>0</v>
      </c>
      <c r="AF557" s="76">
        <v>0</v>
      </c>
      <c r="AG557" s="76">
        <v>0</v>
      </c>
      <c r="AH557" s="76">
        <v>0</v>
      </c>
      <c r="AI557" s="76">
        <v>0</v>
      </c>
      <c r="AJ557" s="76">
        <v>0</v>
      </c>
      <c r="AK557" s="183">
        <v>0</v>
      </c>
      <c r="AL557" s="215">
        <f t="shared" si="20"/>
        <v>1</v>
      </c>
      <c r="AM557" s="216">
        <f>0</f>
        <v>0</v>
      </c>
      <c r="AN557" s="217">
        <f t="shared" si="22"/>
        <v>1</v>
      </c>
      <c r="AO557" s="287">
        <v>45113</v>
      </c>
      <c r="AP557" s="261" t="s">
        <v>273</v>
      </c>
      <c r="AQ557" s="153" t="s">
        <v>1304</v>
      </c>
      <c r="AR557" s="154" t="s">
        <v>148</v>
      </c>
      <c r="AS557" s="159"/>
      <c r="AT557" s="153"/>
      <c r="AU557" s="154"/>
      <c r="AV557" s="154"/>
      <c r="AW557" s="154"/>
      <c r="AX557" s="155"/>
      <c r="AY557" s="156"/>
      <c r="AZ557" s="157"/>
      <c r="BA557" s="81"/>
      <c r="BB557" s="81"/>
      <c r="BC557" s="81"/>
    </row>
    <row r="558" spans="1:55" ht="27.75" customHeight="1" x14ac:dyDescent="0.25">
      <c r="A558" s="131">
        <v>551</v>
      </c>
      <c r="B558" s="141">
        <v>45111</v>
      </c>
      <c r="C558" s="85"/>
      <c r="D558" s="85"/>
      <c r="E558" s="85"/>
      <c r="F558" s="142" t="s">
        <v>1688</v>
      </c>
      <c r="G558" s="145" t="s">
        <v>1808</v>
      </c>
      <c r="H558" s="146" t="s">
        <v>110</v>
      </c>
      <c r="I558" s="145" t="s">
        <v>1673</v>
      </c>
      <c r="J558" s="240" t="s">
        <v>1809</v>
      </c>
      <c r="K558" s="241"/>
      <c r="L558" s="241" t="s">
        <v>1691</v>
      </c>
      <c r="M558" s="220" t="s">
        <v>1692</v>
      </c>
      <c r="N558" s="258"/>
      <c r="O558" s="271"/>
      <c r="P558" s="148"/>
      <c r="Q558" s="271" t="s">
        <v>1693</v>
      </c>
      <c r="R558" s="181">
        <v>1</v>
      </c>
      <c r="S558" s="76">
        <v>0</v>
      </c>
      <c r="T558" s="76">
        <v>0</v>
      </c>
      <c r="U558" s="76">
        <v>0</v>
      </c>
      <c r="V558" s="76">
        <v>0</v>
      </c>
      <c r="W558" s="76">
        <v>0</v>
      </c>
      <c r="X558" s="76">
        <v>0</v>
      </c>
      <c r="Y558" s="76">
        <v>0</v>
      </c>
      <c r="Z558" s="76">
        <v>0</v>
      </c>
      <c r="AA558" s="183">
        <v>0</v>
      </c>
      <c r="AB558" s="185">
        <v>0</v>
      </c>
      <c r="AC558" s="76">
        <v>0</v>
      </c>
      <c r="AD558" s="76">
        <v>0</v>
      </c>
      <c r="AE558" s="76">
        <v>0</v>
      </c>
      <c r="AF558" s="76">
        <v>0</v>
      </c>
      <c r="AG558" s="76">
        <v>0</v>
      </c>
      <c r="AH558" s="76">
        <v>0</v>
      </c>
      <c r="AI558" s="76">
        <v>0</v>
      </c>
      <c r="AJ558" s="76">
        <v>0</v>
      </c>
      <c r="AK558" s="183">
        <v>0</v>
      </c>
      <c r="AL558" s="215">
        <f t="shared" si="20"/>
        <v>1</v>
      </c>
      <c r="AM558" s="216">
        <f>0</f>
        <v>0</v>
      </c>
      <c r="AN558" s="217">
        <f t="shared" si="22"/>
        <v>1</v>
      </c>
      <c r="AO558" s="287">
        <v>45113</v>
      </c>
      <c r="AP558" s="261" t="s">
        <v>273</v>
      </c>
      <c r="AQ558" s="153" t="s">
        <v>1304</v>
      </c>
      <c r="AR558" s="154" t="s">
        <v>148</v>
      </c>
      <c r="AS558" s="159"/>
      <c r="AT558" s="153"/>
      <c r="AU558" s="154"/>
      <c r="AV558" s="154"/>
      <c r="AW558" s="154"/>
      <c r="AX558" s="155"/>
      <c r="AY558" s="156"/>
      <c r="AZ558" s="157"/>
      <c r="BA558" s="81"/>
      <c r="BB558" s="81"/>
      <c r="BC558" s="81"/>
    </row>
    <row r="559" spans="1:55" ht="28" customHeight="1" x14ac:dyDescent="0.25">
      <c r="A559" s="131">
        <v>552</v>
      </c>
      <c r="B559" s="141">
        <v>45111</v>
      </c>
      <c r="C559" s="77" t="s">
        <v>134</v>
      </c>
      <c r="D559" s="77" t="s">
        <v>135</v>
      </c>
      <c r="E559" s="77" t="s">
        <v>136</v>
      </c>
      <c r="F559" s="142" t="s">
        <v>1688</v>
      </c>
      <c r="G559" s="145" t="s">
        <v>1680</v>
      </c>
      <c r="H559" s="146" t="s">
        <v>110</v>
      </c>
      <c r="I559" s="145" t="s">
        <v>1673</v>
      </c>
      <c r="J559" s="240" t="s">
        <v>1681</v>
      </c>
      <c r="K559" s="241"/>
      <c r="L559" s="241" t="s">
        <v>1691</v>
      </c>
      <c r="M559" s="220" t="s">
        <v>1692</v>
      </c>
      <c r="N559" s="258"/>
      <c r="O559" s="271"/>
      <c r="P559" s="148"/>
      <c r="Q559" s="271" t="s">
        <v>1694</v>
      </c>
      <c r="R559" s="181">
        <v>8</v>
      </c>
      <c r="S559" s="76">
        <v>0</v>
      </c>
      <c r="T559" s="76">
        <v>0</v>
      </c>
      <c r="U559" s="76">
        <v>0</v>
      </c>
      <c r="V559" s="76">
        <v>0</v>
      </c>
      <c r="W559" s="76">
        <v>0</v>
      </c>
      <c r="X559" s="76">
        <v>0</v>
      </c>
      <c r="Y559" s="76">
        <v>0</v>
      </c>
      <c r="Z559" s="76">
        <v>0</v>
      </c>
      <c r="AA559" s="183">
        <v>0</v>
      </c>
      <c r="AB559" s="185">
        <v>0</v>
      </c>
      <c r="AC559" s="76">
        <v>0</v>
      </c>
      <c r="AD559" s="76">
        <v>0</v>
      </c>
      <c r="AE559" s="76">
        <v>0</v>
      </c>
      <c r="AF559" s="76">
        <v>0</v>
      </c>
      <c r="AG559" s="76">
        <v>0</v>
      </c>
      <c r="AH559" s="76">
        <v>0</v>
      </c>
      <c r="AI559" s="76">
        <v>0</v>
      </c>
      <c r="AJ559" s="76">
        <v>0</v>
      </c>
      <c r="AK559" s="183">
        <v>0</v>
      </c>
      <c r="AL559" s="215">
        <f t="shared" si="20"/>
        <v>8</v>
      </c>
      <c r="AM559" s="216">
        <f>0</f>
        <v>0</v>
      </c>
      <c r="AN559" s="217">
        <f t="shared" si="22"/>
        <v>8</v>
      </c>
      <c r="AO559" s="287">
        <v>45113</v>
      </c>
      <c r="AP559" s="261" t="s">
        <v>273</v>
      </c>
      <c r="AQ559" s="153" t="s">
        <v>1304</v>
      </c>
      <c r="AR559" s="154" t="s">
        <v>148</v>
      </c>
      <c r="AS559" s="159"/>
      <c r="AT559" s="153"/>
      <c r="AU559" s="154"/>
      <c r="AV559" s="154"/>
      <c r="AW559" s="154"/>
      <c r="AX559" s="155"/>
      <c r="AY559" s="156"/>
      <c r="AZ559" s="157"/>
      <c r="BA559" s="81"/>
      <c r="BB559" s="81"/>
      <c r="BC559" s="81"/>
    </row>
    <row r="560" spans="1:55" ht="28" customHeight="1" x14ac:dyDescent="0.25">
      <c r="A560" s="131">
        <v>553</v>
      </c>
      <c r="B560" s="141">
        <v>45111</v>
      </c>
      <c r="C560" s="85"/>
      <c r="D560" s="85"/>
      <c r="E560" s="85"/>
      <c r="F560" s="142" t="s">
        <v>1688</v>
      </c>
      <c r="G560" s="145" t="s">
        <v>1689</v>
      </c>
      <c r="H560" s="146" t="s">
        <v>110</v>
      </c>
      <c r="I560" s="145" t="s">
        <v>1673</v>
      </c>
      <c r="J560" s="240" t="s">
        <v>1810</v>
      </c>
      <c r="K560" s="241"/>
      <c r="L560" s="241" t="s">
        <v>1691</v>
      </c>
      <c r="M560" s="220" t="s">
        <v>1692</v>
      </c>
      <c r="N560" s="258"/>
      <c r="O560" s="271"/>
      <c r="P560" s="148"/>
      <c r="Q560" s="271" t="s">
        <v>1694</v>
      </c>
      <c r="R560" s="181">
        <v>8</v>
      </c>
      <c r="S560" s="76">
        <v>0</v>
      </c>
      <c r="T560" s="76">
        <v>0</v>
      </c>
      <c r="U560" s="76">
        <v>0</v>
      </c>
      <c r="V560" s="76">
        <v>0</v>
      </c>
      <c r="W560" s="76">
        <v>0</v>
      </c>
      <c r="X560" s="76">
        <v>0</v>
      </c>
      <c r="Y560" s="76">
        <v>0</v>
      </c>
      <c r="Z560" s="76">
        <v>0</v>
      </c>
      <c r="AA560" s="183">
        <v>0</v>
      </c>
      <c r="AB560" s="185">
        <v>0</v>
      </c>
      <c r="AC560" s="76">
        <v>0</v>
      </c>
      <c r="AD560" s="76">
        <v>0</v>
      </c>
      <c r="AE560" s="76">
        <v>0</v>
      </c>
      <c r="AF560" s="76">
        <v>0</v>
      </c>
      <c r="AG560" s="76">
        <v>0</v>
      </c>
      <c r="AH560" s="76">
        <v>0</v>
      </c>
      <c r="AI560" s="76">
        <v>0</v>
      </c>
      <c r="AJ560" s="76">
        <v>0</v>
      </c>
      <c r="AK560" s="183">
        <v>0</v>
      </c>
      <c r="AL560" s="215">
        <f t="shared" si="20"/>
        <v>8</v>
      </c>
      <c r="AM560" s="216">
        <f>0</f>
        <v>0</v>
      </c>
      <c r="AN560" s="217">
        <f t="shared" si="22"/>
        <v>8</v>
      </c>
      <c r="AO560" s="287">
        <v>45113</v>
      </c>
      <c r="AP560" s="261" t="s">
        <v>273</v>
      </c>
      <c r="AQ560" s="153" t="s">
        <v>1304</v>
      </c>
      <c r="AR560" s="154" t="s">
        <v>148</v>
      </c>
      <c r="AS560" s="159"/>
      <c r="AT560" s="153"/>
      <c r="AU560" s="154"/>
      <c r="AV560" s="154"/>
      <c r="AW560" s="154"/>
      <c r="AX560" s="155"/>
      <c r="AY560" s="156"/>
      <c r="AZ560" s="157"/>
      <c r="BA560" s="81"/>
      <c r="BB560" s="81"/>
      <c r="BC560" s="81"/>
    </row>
    <row r="561" spans="1:55" ht="28" customHeight="1" x14ac:dyDescent="0.25">
      <c r="A561" s="131">
        <v>554</v>
      </c>
      <c r="B561" s="141">
        <v>45111</v>
      </c>
      <c r="C561" s="77" t="s">
        <v>134</v>
      </c>
      <c r="D561" s="77" t="s">
        <v>135</v>
      </c>
      <c r="E561" s="77" t="s">
        <v>136</v>
      </c>
      <c r="F561" s="142" t="s">
        <v>1688</v>
      </c>
      <c r="G561" s="145" t="s">
        <v>1682</v>
      </c>
      <c r="H561" s="146" t="s">
        <v>110</v>
      </c>
      <c r="I561" s="145" t="s">
        <v>1673</v>
      </c>
      <c r="J561" s="240" t="s">
        <v>1683</v>
      </c>
      <c r="K561" s="241"/>
      <c r="L561" s="241" t="s">
        <v>1691</v>
      </c>
      <c r="M561" s="220" t="s">
        <v>1692</v>
      </c>
      <c r="N561" s="258"/>
      <c r="O561" s="271"/>
      <c r="P561" s="148"/>
      <c r="Q561" s="271" t="s">
        <v>1693</v>
      </c>
      <c r="R561" s="181">
        <v>2</v>
      </c>
      <c r="S561" s="76">
        <v>0</v>
      </c>
      <c r="T561" s="76">
        <v>0</v>
      </c>
      <c r="U561" s="76">
        <v>0</v>
      </c>
      <c r="V561" s="76">
        <v>0</v>
      </c>
      <c r="W561" s="76">
        <v>0</v>
      </c>
      <c r="X561" s="76">
        <v>0</v>
      </c>
      <c r="Y561" s="76">
        <v>0</v>
      </c>
      <c r="Z561" s="76">
        <v>0</v>
      </c>
      <c r="AA561" s="183">
        <v>0</v>
      </c>
      <c r="AB561" s="185">
        <v>0</v>
      </c>
      <c r="AC561" s="76">
        <v>0</v>
      </c>
      <c r="AD561" s="76">
        <v>0</v>
      </c>
      <c r="AE561" s="76">
        <v>0</v>
      </c>
      <c r="AF561" s="76">
        <v>0</v>
      </c>
      <c r="AG561" s="76">
        <v>0</v>
      </c>
      <c r="AH561" s="76">
        <v>0</v>
      </c>
      <c r="AI561" s="76">
        <v>0</v>
      </c>
      <c r="AJ561" s="76">
        <v>0</v>
      </c>
      <c r="AK561" s="183">
        <v>0</v>
      </c>
      <c r="AL561" s="215">
        <f t="shared" si="20"/>
        <v>2</v>
      </c>
      <c r="AM561" s="216">
        <f>0</f>
        <v>0</v>
      </c>
      <c r="AN561" s="217">
        <f t="shared" si="22"/>
        <v>2</v>
      </c>
      <c r="AO561" s="287">
        <v>45113</v>
      </c>
      <c r="AP561" s="261" t="s">
        <v>273</v>
      </c>
      <c r="AQ561" s="153" t="s">
        <v>1304</v>
      </c>
      <c r="AR561" s="154" t="s">
        <v>148</v>
      </c>
      <c r="AS561" s="159"/>
      <c r="AT561" s="153"/>
      <c r="AU561" s="154"/>
      <c r="AV561" s="154"/>
      <c r="AW561" s="154"/>
      <c r="AX561" s="155"/>
      <c r="AY561" s="156"/>
      <c r="AZ561" s="157"/>
      <c r="BA561" s="81"/>
      <c r="BB561" s="81"/>
      <c r="BC561" s="81"/>
    </row>
    <row r="562" spans="1:55" ht="28" customHeight="1" x14ac:dyDescent="0.25">
      <c r="A562" s="131">
        <v>555</v>
      </c>
      <c r="B562" s="141">
        <v>45111</v>
      </c>
      <c r="C562" s="85"/>
      <c r="D562" s="85"/>
      <c r="E562" s="85"/>
      <c r="F562" s="142" t="s">
        <v>1688</v>
      </c>
      <c r="G562" s="145" t="s">
        <v>1690</v>
      </c>
      <c r="H562" s="146" t="s">
        <v>110</v>
      </c>
      <c r="I562" s="145" t="s">
        <v>1673</v>
      </c>
      <c r="J562" s="240" t="s">
        <v>1807</v>
      </c>
      <c r="K562" s="241"/>
      <c r="L562" s="241" t="s">
        <v>1691</v>
      </c>
      <c r="M562" s="220" t="s">
        <v>1692</v>
      </c>
      <c r="N562" s="258"/>
      <c r="O562" s="271"/>
      <c r="P562" s="148"/>
      <c r="Q562" s="271" t="s">
        <v>1693</v>
      </c>
      <c r="R562" s="181">
        <v>2</v>
      </c>
      <c r="S562" s="76">
        <v>0</v>
      </c>
      <c r="T562" s="76">
        <v>0</v>
      </c>
      <c r="U562" s="76">
        <v>0</v>
      </c>
      <c r="V562" s="76">
        <v>0</v>
      </c>
      <c r="W562" s="76">
        <v>0</v>
      </c>
      <c r="X562" s="76">
        <v>0</v>
      </c>
      <c r="Y562" s="76">
        <v>0</v>
      </c>
      <c r="Z562" s="76">
        <v>0</v>
      </c>
      <c r="AA562" s="183">
        <v>0</v>
      </c>
      <c r="AB562" s="185">
        <v>0</v>
      </c>
      <c r="AC562" s="76">
        <v>0</v>
      </c>
      <c r="AD562" s="76">
        <v>0</v>
      </c>
      <c r="AE562" s="76">
        <v>0</v>
      </c>
      <c r="AF562" s="76">
        <v>0</v>
      </c>
      <c r="AG562" s="76">
        <v>0</v>
      </c>
      <c r="AH562" s="76">
        <v>0</v>
      </c>
      <c r="AI562" s="76">
        <v>0</v>
      </c>
      <c r="AJ562" s="76">
        <v>0</v>
      </c>
      <c r="AK562" s="183">
        <v>0</v>
      </c>
      <c r="AL562" s="215">
        <f t="shared" si="20"/>
        <v>2</v>
      </c>
      <c r="AM562" s="216">
        <f>0</f>
        <v>0</v>
      </c>
      <c r="AN562" s="217">
        <f t="shared" si="22"/>
        <v>2</v>
      </c>
      <c r="AO562" s="287">
        <v>45113</v>
      </c>
      <c r="AP562" s="261" t="s">
        <v>273</v>
      </c>
      <c r="AQ562" s="153" t="s">
        <v>1304</v>
      </c>
      <c r="AR562" s="154" t="s">
        <v>148</v>
      </c>
      <c r="AS562" s="159"/>
      <c r="AT562" s="153"/>
      <c r="AU562" s="154"/>
      <c r="AV562" s="154"/>
      <c r="AW562" s="154"/>
      <c r="AX562" s="155"/>
      <c r="AY562" s="156"/>
      <c r="AZ562" s="157"/>
      <c r="BA562" s="81"/>
      <c r="BB562" s="81"/>
      <c r="BC562" s="81"/>
    </row>
    <row r="563" spans="1:55" ht="28" customHeight="1" x14ac:dyDescent="0.25">
      <c r="A563" s="320">
        <v>556</v>
      </c>
      <c r="B563" s="279">
        <v>45111</v>
      </c>
      <c r="C563" s="77" t="s">
        <v>134</v>
      </c>
      <c r="D563" s="77" t="s">
        <v>135</v>
      </c>
      <c r="E563" s="77" t="s">
        <v>136</v>
      </c>
      <c r="F563" s="280" t="s">
        <v>1688</v>
      </c>
      <c r="G563" s="338" t="s">
        <v>1684</v>
      </c>
      <c r="H563" s="339" t="s">
        <v>110</v>
      </c>
      <c r="I563" s="338" t="s">
        <v>1670</v>
      </c>
      <c r="J563" s="340" t="s">
        <v>1685</v>
      </c>
      <c r="K563" s="341"/>
      <c r="L563" s="341" t="s">
        <v>113</v>
      </c>
      <c r="M563" s="355" t="s">
        <v>126</v>
      </c>
      <c r="N563" s="366"/>
      <c r="O563" s="283"/>
      <c r="P563" s="345"/>
      <c r="Q563" s="367" t="s">
        <v>1695</v>
      </c>
      <c r="R563" s="181">
        <v>2</v>
      </c>
      <c r="S563" s="76">
        <v>0</v>
      </c>
      <c r="T563" s="76">
        <v>0</v>
      </c>
      <c r="U563" s="76">
        <v>0</v>
      </c>
      <c r="V563" s="76">
        <v>0</v>
      </c>
      <c r="W563" s="76">
        <v>0</v>
      </c>
      <c r="X563" s="76">
        <v>0</v>
      </c>
      <c r="Y563" s="76">
        <v>0</v>
      </c>
      <c r="Z563" s="76">
        <v>0</v>
      </c>
      <c r="AA563" s="183">
        <v>0</v>
      </c>
      <c r="AB563" s="185">
        <v>0</v>
      </c>
      <c r="AC563" s="76">
        <v>0</v>
      </c>
      <c r="AD563" s="76">
        <v>0</v>
      </c>
      <c r="AE563" s="76">
        <v>0</v>
      </c>
      <c r="AF563" s="76">
        <v>0</v>
      </c>
      <c r="AG563" s="76">
        <v>0</v>
      </c>
      <c r="AH563" s="76">
        <v>0</v>
      </c>
      <c r="AI563" s="76">
        <v>0</v>
      </c>
      <c r="AJ563" s="76">
        <v>0</v>
      </c>
      <c r="AK563" s="183">
        <v>0</v>
      </c>
      <c r="AL563" s="215">
        <f t="shared" si="20"/>
        <v>2</v>
      </c>
      <c r="AM563" s="216">
        <f>0</f>
        <v>0</v>
      </c>
      <c r="AN563" s="217">
        <f t="shared" si="22"/>
        <v>2</v>
      </c>
      <c r="AO563" s="369"/>
      <c r="AP563" s="359"/>
      <c r="AQ563" s="330"/>
      <c r="AR563" s="331" t="s">
        <v>271</v>
      </c>
      <c r="AS563" s="330"/>
      <c r="AT563" s="330"/>
      <c r="AU563" s="331"/>
      <c r="AV563" s="331"/>
      <c r="AW563" s="331"/>
      <c r="AX563" s="332"/>
      <c r="AY563" s="333"/>
      <c r="AZ563" s="334"/>
      <c r="BA563" s="319"/>
      <c r="BB563" s="319"/>
      <c r="BC563" s="319"/>
    </row>
    <row r="564" spans="1:55" ht="28" customHeight="1" x14ac:dyDescent="0.25">
      <c r="A564" s="320">
        <v>557</v>
      </c>
      <c r="B564" s="279">
        <v>45111</v>
      </c>
      <c r="C564" s="77" t="s">
        <v>134</v>
      </c>
      <c r="D564" s="77" t="s">
        <v>135</v>
      </c>
      <c r="E564" s="77" t="s">
        <v>136</v>
      </c>
      <c r="F564" s="280" t="s">
        <v>1688</v>
      </c>
      <c r="G564" s="338" t="s">
        <v>1686</v>
      </c>
      <c r="H564" s="339" t="s">
        <v>110</v>
      </c>
      <c r="I564" s="338" t="s">
        <v>1670</v>
      </c>
      <c r="J564" s="340" t="s">
        <v>1687</v>
      </c>
      <c r="K564" s="341"/>
      <c r="L564" s="341" t="s">
        <v>113</v>
      </c>
      <c r="M564" s="355" t="s">
        <v>126</v>
      </c>
      <c r="N564" s="366"/>
      <c r="O564" s="283"/>
      <c r="P564" s="345"/>
      <c r="Q564" s="367" t="s">
        <v>1694</v>
      </c>
      <c r="R564" s="181">
        <v>4</v>
      </c>
      <c r="S564" s="76">
        <v>0</v>
      </c>
      <c r="T564" s="76">
        <v>0</v>
      </c>
      <c r="U564" s="76">
        <v>0</v>
      </c>
      <c r="V564" s="76">
        <v>0</v>
      </c>
      <c r="W564" s="76">
        <v>0</v>
      </c>
      <c r="X564" s="76">
        <v>0</v>
      </c>
      <c r="Y564" s="76">
        <v>0</v>
      </c>
      <c r="Z564" s="76">
        <v>0</v>
      </c>
      <c r="AA564" s="183">
        <v>0</v>
      </c>
      <c r="AB564" s="185">
        <v>0</v>
      </c>
      <c r="AC564" s="76">
        <v>0</v>
      </c>
      <c r="AD564" s="76">
        <v>0</v>
      </c>
      <c r="AE564" s="76">
        <v>0</v>
      </c>
      <c r="AF564" s="76">
        <v>0</v>
      </c>
      <c r="AG564" s="76">
        <v>0</v>
      </c>
      <c r="AH564" s="76">
        <v>0</v>
      </c>
      <c r="AI564" s="76">
        <v>0</v>
      </c>
      <c r="AJ564" s="76">
        <v>0</v>
      </c>
      <c r="AK564" s="183">
        <v>0</v>
      </c>
      <c r="AL564" s="215">
        <f t="shared" si="20"/>
        <v>4</v>
      </c>
      <c r="AM564" s="216">
        <f>0</f>
        <v>0</v>
      </c>
      <c r="AN564" s="217">
        <f t="shared" si="22"/>
        <v>4</v>
      </c>
      <c r="AO564" s="369"/>
      <c r="AP564" s="359"/>
      <c r="AQ564" s="330"/>
      <c r="AR564" s="331" t="s">
        <v>271</v>
      </c>
      <c r="AS564" s="330"/>
      <c r="AT564" s="330"/>
      <c r="AU564" s="331"/>
      <c r="AV564" s="331"/>
      <c r="AW564" s="331"/>
      <c r="AX564" s="332"/>
      <c r="AY564" s="333"/>
      <c r="AZ564" s="334"/>
      <c r="BA564" s="319"/>
      <c r="BB564" s="319"/>
      <c r="BC564" s="319"/>
    </row>
    <row r="565" spans="1:55" ht="28" customHeight="1" x14ac:dyDescent="0.25">
      <c r="A565" s="131">
        <v>558</v>
      </c>
      <c r="B565" s="141">
        <v>45111</v>
      </c>
      <c r="C565" s="77" t="s">
        <v>134</v>
      </c>
      <c r="D565" s="77" t="s">
        <v>135</v>
      </c>
      <c r="E565" s="77" t="s">
        <v>136</v>
      </c>
      <c r="F565" s="142" t="s">
        <v>1688</v>
      </c>
      <c r="G565" s="145" t="s">
        <v>1699</v>
      </c>
      <c r="H565" s="146" t="s">
        <v>110</v>
      </c>
      <c r="I565" s="145" t="s">
        <v>1700</v>
      </c>
      <c r="J565" s="240" t="s">
        <v>1696</v>
      </c>
      <c r="K565" s="241"/>
      <c r="L565" s="241" t="s">
        <v>119</v>
      </c>
      <c r="M565" s="220" t="s">
        <v>114</v>
      </c>
      <c r="N565" s="258"/>
      <c r="O565" s="271" t="s">
        <v>1313</v>
      </c>
      <c r="P565" s="148"/>
      <c r="Q565" s="271" t="s">
        <v>1694</v>
      </c>
      <c r="R565" s="181">
        <v>8</v>
      </c>
      <c r="S565" s="76">
        <v>0</v>
      </c>
      <c r="T565" s="76">
        <v>0</v>
      </c>
      <c r="U565" s="76">
        <v>0</v>
      </c>
      <c r="V565" s="76">
        <v>0</v>
      </c>
      <c r="W565" s="76">
        <v>0</v>
      </c>
      <c r="X565" s="76">
        <v>0</v>
      </c>
      <c r="Y565" s="76">
        <v>0</v>
      </c>
      <c r="Z565" s="76">
        <v>0</v>
      </c>
      <c r="AA565" s="183">
        <v>0</v>
      </c>
      <c r="AB565" s="185">
        <v>0</v>
      </c>
      <c r="AC565" s="76">
        <v>0</v>
      </c>
      <c r="AD565" s="76">
        <v>0</v>
      </c>
      <c r="AE565" s="76">
        <v>0</v>
      </c>
      <c r="AF565" s="76">
        <v>0</v>
      </c>
      <c r="AG565" s="76">
        <v>0</v>
      </c>
      <c r="AH565" s="76">
        <v>0</v>
      </c>
      <c r="AI565" s="76">
        <v>0</v>
      </c>
      <c r="AJ565" s="76">
        <v>0</v>
      </c>
      <c r="AK565" s="183">
        <v>0</v>
      </c>
      <c r="AL565" s="215">
        <f t="shared" si="20"/>
        <v>8</v>
      </c>
      <c r="AM565" s="216">
        <f>0</f>
        <v>0</v>
      </c>
      <c r="AN565" s="217">
        <f t="shared" si="22"/>
        <v>8</v>
      </c>
      <c r="AO565" s="288">
        <v>45113</v>
      </c>
      <c r="AP565" s="261" t="s">
        <v>273</v>
      </c>
      <c r="AQ565" s="153" t="s">
        <v>1792</v>
      </c>
      <c r="AR565" s="154" t="s">
        <v>1793</v>
      </c>
      <c r="AS565" s="159"/>
      <c r="AT565" s="153"/>
      <c r="AU565" s="154"/>
      <c r="AV565" s="154"/>
      <c r="AW565" s="154"/>
      <c r="AX565" s="155"/>
      <c r="AY565" s="156"/>
      <c r="AZ565" s="157"/>
      <c r="BA565" s="81"/>
      <c r="BB565" s="81"/>
      <c r="BC565" s="81"/>
    </row>
    <row r="566" spans="1:55" ht="28" customHeight="1" x14ac:dyDescent="0.25">
      <c r="A566" s="131">
        <v>559</v>
      </c>
      <c r="B566" s="141">
        <v>45111</v>
      </c>
      <c r="C566" s="77" t="s">
        <v>134</v>
      </c>
      <c r="D566" s="77" t="s">
        <v>135</v>
      </c>
      <c r="E566" s="77" t="s">
        <v>136</v>
      </c>
      <c r="F566" s="142" t="s">
        <v>1688</v>
      </c>
      <c r="G566" s="145" t="s">
        <v>1698</v>
      </c>
      <c r="H566" s="146" t="s">
        <v>110</v>
      </c>
      <c r="I566" s="145" t="s">
        <v>1701</v>
      </c>
      <c r="J566" s="240" t="s">
        <v>1697</v>
      </c>
      <c r="K566" s="241"/>
      <c r="L566" s="241" t="s">
        <v>119</v>
      </c>
      <c r="M566" s="220" t="s">
        <v>114</v>
      </c>
      <c r="N566" s="258"/>
      <c r="O566" s="271" t="s">
        <v>1313</v>
      </c>
      <c r="P566" s="148"/>
      <c r="Q566" s="271" t="s">
        <v>1702</v>
      </c>
      <c r="R566" s="181">
        <v>8</v>
      </c>
      <c r="S566" s="76">
        <v>0</v>
      </c>
      <c r="T566" s="76">
        <v>0</v>
      </c>
      <c r="U566" s="76">
        <v>0</v>
      </c>
      <c r="V566" s="76">
        <v>0</v>
      </c>
      <c r="W566" s="76">
        <v>0</v>
      </c>
      <c r="X566" s="76">
        <v>0</v>
      </c>
      <c r="Y566" s="76">
        <v>0</v>
      </c>
      <c r="Z566" s="76">
        <v>0</v>
      </c>
      <c r="AA566" s="183">
        <v>0</v>
      </c>
      <c r="AB566" s="185">
        <v>0</v>
      </c>
      <c r="AC566" s="76">
        <v>0</v>
      </c>
      <c r="AD566" s="76">
        <v>0</v>
      </c>
      <c r="AE566" s="76">
        <v>0</v>
      </c>
      <c r="AF566" s="76">
        <v>0</v>
      </c>
      <c r="AG566" s="76">
        <v>0</v>
      </c>
      <c r="AH566" s="76">
        <v>0</v>
      </c>
      <c r="AI566" s="76">
        <v>0</v>
      </c>
      <c r="AJ566" s="76">
        <v>0</v>
      </c>
      <c r="AK566" s="183">
        <v>0</v>
      </c>
      <c r="AL566" s="215">
        <f t="shared" si="20"/>
        <v>8</v>
      </c>
      <c r="AM566" s="216">
        <f>0</f>
        <v>0</v>
      </c>
      <c r="AN566" s="217">
        <f t="shared" si="22"/>
        <v>8</v>
      </c>
      <c r="AO566" s="288">
        <v>45113</v>
      </c>
      <c r="AP566" s="261" t="s">
        <v>273</v>
      </c>
      <c r="AQ566" s="153" t="s">
        <v>1792</v>
      </c>
      <c r="AR566" s="154" t="s">
        <v>1793</v>
      </c>
      <c r="AS566" s="159"/>
      <c r="AT566" s="153"/>
      <c r="AU566" s="154"/>
      <c r="AV566" s="154"/>
      <c r="AW566" s="154"/>
      <c r="AX566" s="155"/>
      <c r="AY566" s="156"/>
      <c r="AZ566" s="157"/>
      <c r="BA566" s="81"/>
      <c r="BB566" s="81"/>
      <c r="BC566" s="81"/>
    </row>
    <row r="567" spans="1:55" ht="28" customHeight="1" x14ac:dyDescent="0.25">
      <c r="A567" s="131">
        <v>566</v>
      </c>
      <c r="B567" s="141">
        <v>45112</v>
      </c>
      <c r="C567" s="77" t="s">
        <v>134</v>
      </c>
      <c r="D567" s="77" t="s">
        <v>135</v>
      </c>
      <c r="E567" s="77" t="s">
        <v>136</v>
      </c>
      <c r="F567" s="168" t="s">
        <v>265</v>
      </c>
      <c r="G567" s="169" t="s">
        <v>1719</v>
      </c>
      <c r="H567" s="170" t="s">
        <v>110</v>
      </c>
      <c r="I567" s="169" t="s">
        <v>1720</v>
      </c>
      <c r="J567" s="170" t="s">
        <v>1721</v>
      </c>
      <c r="K567" s="170" t="s">
        <v>80</v>
      </c>
      <c r="L567" s="169" t="s">
        <v>209</v>
      </c>
      <c r="M567" s="169" t="s">
        <v>114</v>
      </c>
      <c r="N567" s="169" t="s">
        <v>80</v>
      </c>
      <c r="O567" s="169" t="s">
        <v>80</v>
      </c>
      <c r="P567" s="168"/>
      <c r="Q567" s="174" t="s">
        <v>1763</v>
      </c>
      <c r="R567" s="286"/>
      <c r="S567" s="87"/>
      <c r="T567" s="87"/>
      <c r="U567" s="87"/>
      <c r="V567" s="90">
        <v>1</v>
      </c>
      <c r="W567" s="87"/>
      <c r="X567" s="87"/>
      <c r="Y567" s="87"/>
      <c r="Z567" s="87"/>
      <c r="AA567" s="184"/>
      <c r="AB567" s="186"/>
      <c r="AC567" s="87"/>
      <c r="AD567" s="87"/>
      <c r="AE567" s="87"/>
      <c r="AF567" s="87"/>
      <c r="AG567" s="87"/>
      <c r="AH567" s="87"/>
      <c r="AI567" s="87"/>
      <c r="AJ567" s="87"/>
      <c r="AK567" s="184"/>
      <c r="AL567" s="215">
        <f t="shared" si="20"/>
        <v>1</v>
      </c>
      <c r="AM567" s="216">
        <f>0</f>
        <v>0</v>
      </c>
      <c r="AN567" s="217">
        <f t="shared" si="22"/>
        <v>1</v>
      </c>
      <c r="AO567" s="288">
        <v>45113</v>
      </c>
      <c r="AP567" s="261" t="s">
        <v>273</v>
      </c>
      <c r="AQ567" s="153" t="s">
        <v>1792</v>
      </c>
      <c r="AR567" s="154" t="s">
        <v>1793</v>
      </c>
      <c r="AS567" s="159"/>
      <c r="AT567" s="153"/>
      <c r="AU567" s="154"/>
      <c r="AV567" s="154"/>
      <c r="AW567" s="154"/>
      <c r="AX567" s="155"/>
      <c r="AY567" s="156"/>
      <c r="AZ567" s="157"/>
      <c r="BA567" s="81"/>
      <c r="BB567" s="81"/>
      <c r="BC567" s="81"/>
    </row>
    <row r="568" spans="1:55" ht="28" customHeight="1" x14ac:dyDescent="0.25">
      <c r="A568" s="131">
        <v>561</v>
      </c>
      <c r="B568" s="141">
        <v>45112</v>
      </c>
      <c r="C568" s="77" t="s">
        <v>134</v>
      </c>
      <c r="D568" s="77" t="s">
        <v>135</v>
      </c>
      <c r="E568" s="77" t="s">
        <v>136</v>
      </c>
      <c r="F568" s="142" t="s">
        <v>1688</v>
      </c>
      <c r="G568" s="145" t="s">
        <v>1709</v>
      </c>
      <c r="H568" s="146" t="s">
        <v>110</v>
      </c>
      <c r="I568" s="145" t="s">
        <v>1006</v>
      </c>
      <c r="J568" s="240" t="s">
        <v>1705</v>
      </c>
      <c r="K568" s="241"/>
      <c r="L568" s="241" t="s">
        <v>153</v>
      </c>
      <c r="M568" s="220" t="s">
        <v>154</v>
      </c>
      <c r="N568" s="258"/>
      <c r="O568" s="271"/>
      <c r="P568" s="148"/>
      <c r="Q568" s="271" t="s">
        <v>1710</v>
      </c>
      <c r="R568" s="181">
        <v>1</v>
      </c>
      <c r="S568" s="76">
        <v>0</v>
      </c>
      <c r="T568" s="76">
        <v>0</v>
      </c>
      <c r="U568" s="76">
        <v>0</v>
      </c>
      <c r="V568" s="76">
        <v>0</v>
      </c>
      <c r="W568" s="76">
        <v>0</v>
      </c>
      <c r="X568" s="76">
        <v>0</v>
      </c>
      <c r="Y568" s="76">
        <v>0</v>
      </c>
      <c r="Z568" s="76">
        <v>0</v>
      </c>
      <c r="AA568" s="183">
        <v>0</v>
      </c>
      <c r="AB568" s="185">
        <v>0</v>
      </c>
      <c r="AC568" s="76">
        <v>0</v>
      </c>
      <c r="AD568" s="76">
        <v>0</v>
      </c>
      <c r="AE568" s="76">
        <v>0</v>
      </c>
      <c r="AF568" s="76">
        <v>0</v>
      </c>
      <c r="AG568" s="76">
        <v>0</v>
      </c>
      <c r="AH568" s="76">
        <v>0</v>
      </c>
      <c r="AI568" s="76">
        <v>0</v>
      </c>
      <c r="AJ568" s="76">
        <v>0</v>
      </c>
      <c r="AK568" s="183">
        <v>0</v>
      </c>
      <c r="AL568" s="215">
        <f t="shared" si="20"/>
        <v>1</v>
      </c>
      <c r="AM568" s="216">
        <f>0</f>
        <v>0</v>
      </c>
      <c r="AN568" s="217">
        <f t="shared" si="22"/>
        <v>1</v>
      </c>
      <c r="AO568" s="287">
        <v>45113</v>
      </c>
      <c r="AP568" s="261" t="s">
        <v>273</v>
      </c>
      <c r="AQ568" s="153" t="s">
        <v>1304</v>
      </c>
      <c r="AR568" s="154" t="s">
        <v>148</v>
      </c>
      <c r="AS568" s="159"/>
      <c r="AT568" s="153"/>
      <c r="AU568" s="154"/>
      <c r="AV568" s="154"/>
      <c r="AW568" s="154"/>
      <c r="AX568" s="155"/>
      <c r="AY568" s="156"/>
      <c r="AZ568" s="157"/>
      <c r="BA568" s="81"/>
      <c r="BB568" s="81"/>
      <c r="BC568" s="81"/>
    </row>
    <row r="569" spans="1:55" ht="28" customHeight="1" x14ac:dyDescent="0.25">
      <c r="A569" s="131">
        <v>562</v>
      </c>
      <c r="B569" s="141">
        <v>45112</v>
      </c>
      <c r="C569" s="77" t="s">
        <v>134</v>
      </c>
      <c r="D569" s="77" t="s">
        <v>135</v>
      </c>
      <c r="E569" s="77" t="s">
        <v>136</v>
      </c>
      <c r="F569" s="142" t="s">
        <v>1688</v>
      </c>
      <c r="G569" s="145" t="s">
        <v>1712</v>
      </c>
      <c r="H569" s="146" t="s">
        <v>110</v>
      </c>
      <c r="I569" s="145" t="s">
        <v>1700</v>
      </c>
      <c r="J569" s="240" t="s">
        <v>1706</v>
      </c>
      <c r="K569" s="241"/>
      <c r="L569" s="241" t="s">
        <v>153</v>
      </c>
      <c r="M569" s="220" t="s">
        <v>154</v>
      </c>
      <c r="N569" s="258"/>
      <c r="O569" s="271"/>
      <c r="P569" s="148"/>
      <c r="Q569" s="271" t="s">
        <v>1711</v>
      </c>
      <c r="R569" s="181">
        <v>2</v>
      </c>
      <c r="S569" s="76">
        <v>0</v>
      </c>
      <c r="T569" s="76">
        <v>0</v>
      </c>
      <c r="U569" s="76">
        <v>0</v>
      </c>
      <c r="V569" s="76">
        <v>0</v>
      </c>
      <c r="W569" s="76">
        <v>0</v>
      </c>
      <c r="X569" s="76">
        <v>0</v>
      </c>
      <c r="Y569" s="76">
        <v>0</v>
      </c>
      <c r="Z569" s="76">
        <v>0</v>
      </c>
      <c r="AA569" s="183">
        <v>0</v>
      </c>
      <c r="AB569" s="185">
        <v>0</v>
      </c>
      <c r="AC569" s="76">
        <v>0</v>
      </c>
      <c r="AD569" s="76">
        <v>0</v>
      </c>
      <c r="AE569" s="76">
        <v>0</v>
      </c>
      <c r="AF569" s="76">
        <v>0</v>
      </c>
      <c r="AG569" s="76">
        <v>0</v>
      </c>
      <c r="AH569" s="76">
        <v>0</v>
      </c>
      <c r="AI569" s="76">
        <v>0</v>
      </c>
      <c r="AJ569" s="76">
        <v>0</v>
      </c>
      <c r="AK569" s="183">
        <v>0</v>
      </c>
      <c r="AL569" s="215">
        <f t="shared" si="20"/>
        <v>2</v>
      </c>
      <c r="AM569" s="216">
        <f>0</f>
        <v>0</v>
      </c>
      <c r="AN569" s="217">
        <f t="shared" si="22"/>
        <v>2</v>
      </c>
      <c r="AO569" s="287">
        <v>45113</v>
      </c>
      <c r="AP569" s="261" t="s">
        <v>273</v>
      </c>
      <c r="AQ569" s="153" t="s">
        <v>1304</v>
      </c>
      <c r="AR569" s="154" t="s">
        <v>148</v>
      </c>
      <c r="AS569" s="159"/>
      <c r="AT569" s="153"/>
      <c r="AU569" s="154"/>
      <c r="AV569" s="154"/>
      <c r="AW569" s="154"/>
      <c r="AX569" s="155"/>
      <c r="AY569" s="156"/>
      <c r="AZ569" s="157"/>
      <c r="BA569" s="81"/>
      <c r="BB569" s="81"/>
      <c r="BC569" s="81"/>
    </row>
    <row r="570" spans="1:55" ht="28" customHeight="1" x14ac:dyDescent="0.25">
      <c r="A570" s="131">
        <v>568</v>
      </c>
      <c r="B570" s="141">
        <v>45112</v>
      </c>
      <c r="C570" s="77" t="s">
        <v>134</v>
      </c>
      <c r="D570" s="77" t="s">
        <v>135</v>
      </c>
      <c r="E570" s="77" t="s">
        <v>136</v>
      </c>
      <c r="F570" s="168" t="s">
        <v>265</v>
      </c>
      <c r="G570" s="169" t="s">
        <v>1724</v>
      </c>
      <c r="H570" s="170" t="s">
        <v>110</v>
      </c>
      <c r="I570" s="169" t="s">
        <v>1725</v>
      </c>
      <c r="J570" s="170" t="s">
        <v>1771</v>
      </c>
      <c r="K570" s="170" t="s">
        <v>80</v>
      </c>
      <c r="L570" s="169" t="s">
        <v>358</v>
      </c>
      <c r="M570" s="169" t="s">
        <v>114</v>
      </c>
      <c r="N570" s="169" t="s">
        <v>80</v>
      </c>
      <c r="O570" s="169" t="s">
        <v>120</v>
      </c>
      <c r="P570" s="168"/>
      <c r="Q570" s="174" t="s">
        <v>1763</v>
      </c>
      <c r="R570" s="182"/>
      <c r="S570" s="76"/>
      <c r="T570" s="76"/>
      <c r="U570" s="76"/>
      <c r="V570" s="90">
        <v>1</v>
      </c>
      <c r="W570" s="87"/>
      <c r="X570" s="87"/>
      <c r="Y570" s="87"/>
      <c r="Z570" s="87"/>
      <c r="AA570" s="87"/>
      <c r="AB570" s="87"/>
      <c r="AC570" s="87"/>
      <c r="AD570" s="87"/>
      <c r="AE570" s="87"/>
      <c r="AF570" s="87"/>
      <c r="AG570" s="87"/>
      <c r="AH570" s="87"/>
      <c r="AI570" s="87"/>
      <c r="AJ570" s="87"/>
      <c r="AK570" s="87"/>
      <c r="AL570" s="215">
        <f t="shared" si="20"/>
        <v>1</v>
      </c>
      <c r="AM570" s="216">
        <f>0</f>
        <v>0</v>
      </c>
      <c r="AN570" s="217">
        <f t="shared" si="22"/>
        <v>1</v>
      </c>
      <c r="AO570" s="288">
        <v>45113</v>
      </c>
      <c r="AP570" s="261" t="s">
        <v>273</v>
      </c>
      <c r="AQ570" s="153" t="s">
        <v>1792</v>
      </c>
      <c r="AR570" s="154" t="s">
        <v>1793</v>
      </c>
      <c r="AS570" s="159"/>
      <c r="AT570" s="153"/>
      <c r="AU570" s="154"/>
      <c r="AV570" s="154"/>
      <c r="AW570" s="154"/>
      <c r="AX570" s="155"/>
      <c r="AY570" s="156"/>
      <c r="AZ570" s="157"/>
      <c r="BA570" s="81"/>
      <c r="BB570" s="81"/>
      <c r="BC570" s="81"/>
    </row>
    <row r="571" spans="1:55" ht="28" customHeight="1" x14ac:dyDescent="0.25">
      <c r="A571" s="131">
        <v>584</v>
      </c>
      <c r="B571" s="141">
        <v>45112</v>
      </c>
      <c r="C571" s="77" t="s">
        <v>134</v>
      </c>
      <c r="D571" s="77" t="s">
        <v>135</v>
      </c>
      <c r="E571" s="77" t="s">
        <v>136</v>
      </c>
      <c r="F571" s="168" t="s">
        <v>265</v>
      </c>
      <c r="G571" s="169" t="s">
        <v>1748</v>
      </c>
      <c r="H571" s="170" t="s">
        <v>110</v>
      </c>
      <c r="I571" s="169" t="s">
        <v>1749</v>
      </c>
      <c r="J571" s="170" t="s">
        <v>1750</v>
      </c>
      <c r="K571" s="170" t="s">
        <v>80</v>
      </c>
      <c r="L571" s="169" t="s">
        <v>119</v>
      </c>
      <c r="M571" s="169" t="s">
        <v>114</v>
      </c>
      <c r="N571" s="169" t="s">
        <v>80</v>
      </c>
      <c r="O571" s="169" t="s">
        <v>120</v>
      </c>
      <c r="P571" s="168"/>
      <c r="Q571" s="174" t="s">
        <v>1763</v>
      </c>
      <c r="R571" s="182"/>
      <c r="S571" s="76"/>
      <c r="T571" s="76"/>
      <c r="U571" s="76"/>
      <c r="V571" s="90">
        <v>2</v>
      </c>
      <c r="W571" s="87"/>
      <c r="X571" s="87"/>
      <c r="Y571" s="87"/>
      <c r="Z571" s="87"/>
      <c r="AA571" s="87"/>
      <c r="AB571" s="87"/>
      <c r="AC571" s="87"/>
      <c r="AD571" s="87"/>
      <c r="AE571" s="87"/>
      <c r="AF571" s="87"/>
      <c r="AG571" s="87"/>
      <c r="AH571" s="87"/>
      <c r="AI571" s="87"/>
      <c r="AJ571" s="87"/>
      <c r="AK571" s="87"/>
      <c r="AL571" s="215">
        <f t="shared" si="20"/>
        <v>2</v>
      </c>
      <c r="AM571" s="216">
        <f>0</f>
        <v>0</v>
      </c>
      <c r="AN571" s="217">
        <f t="shared" si="22"/>
        <v>2</v>
      </c>
      <c r="AO571" s="288">
        <v>45113</v>
      </c>
      <c r="AP571" s="261" t="s">
        <v>273</v>
      </c>
      <c r="AQ571" s="153" t="s">
        <v>1792</v>
      </c>
      <c r="AR571" s="154" t="s">
        <v>1793</v>
      </c>
      <c r="AS571" s="159"/>
      <c r="AT571" s="153"/>
      <c r="AU571" s="154"/>
      <c r="AV571" s="154"/>
      <c r="AW571" s="154"/>
      <c r="AX571" s="155"/>
      <c r="AY571" s="156"/>
      <c r="AZ571" s="157"/>
      <c r="BA571" s="81"/>
      <c r="BB571" s="81"/>
      <c r="BC571" s="81"/>
    </row>
    <row r="572" spans="1:55" ht="28" customHeight="1" x14ac:dyDescent="0.25">
      <c r="A572" s="131">
        <v>569</v>
      </c>
      <c r="B572" s="141">
        <v>45112</v>
      </c>
      <c r="C572" s="77" t="s">
        <v>134</v>
      </c>
      <c r="D572" s="77" t="s">
        <v>135</v>
      </c>
      <c r="E572" s="77" t="s">
        <v>136</v>
      </c>
      <c r="F572" s="168" t="s">
        <v>265</v>
      </c>
      <c r="G572" s="169" t="s">
        <v>1726</v>
      </c>
      <c r="H572" s="170" t="s">
        <v>110</v>
      </c>
      <c r="I572" s="169" t="s">
        <v>1727</v>
      </c>
      <c r="J572" s="170" t="s">
        <v>1770</v>
      </c>
      <c r="K572" s="170" t="s">
        <v>80</v>
      </c>
      <c r="L572" s="169" t="s">
        <v>358</v>
      </c>
      <c r="M572" s="169" t="s">
        <v>114</v>
      </c>
      <c r="N572" s="169" t="s">
        <v>80</v>
      </c>
      <c r="O572" s="169" t="s">
        <v>120</v>
      </c>
      <c r="P572" s="168"/>
      <c r="Q572" s="174" t="s">
        <v>1763</v>
      </c>
      <c r="R572" s="182"/>
      <c r="S572" s="76"/>
      <c r="T572" s="76"/>
      <c r="U572" s="76"/>
      <c r="V572" s="90">
        <v>1</v>
      </c>
      <c r="W572" s="87"/>
      <c r="X572" s="87"/>
      <c r="Y572" s="87"/>
      <c r="Z572" s="87"/>
      <c r="AA572" s="87"/>
      <c r="AB572" s="87"/>
      <c r="AC572" s="87"/>
      <c r="AD572" s="87"/>
      <c r="AE572" s="87"/>
      <c r="AF572" s="87"/>
      <c r="AG572" s="87"/>
      <c r="AH572" s="87"/>
      <c r="AI572" s="87"/>
      <c r="AJ572" s="87"/>
      <c r="AK572" s="87"/>
      <c r="AL572" s="215">
        <f t="shared" si="20"/>
        <v>1</v>
      </c>
      <c r="AM572" s="216">
        <f>0</f>
        <v>0</v>
      </c>
      <c r="AN572" s="217">
        <f t="shared" si="22"/>
        <v>1</v>
      </c>
      <c r="AO572" s="288">
        <v>45113</v>
      </c>
      <c r="AP572" s="261" t="s">
        <v>273</v>
      </c>
      <c r="AQ572" s="153" t="s">
        <v>1792</v>
      </c>
      <c r="AR572" s="154" t="s">
        <v>1793</v>
      </c>
      <c r="AS572" s="159"/>
      <c r="AT572" s="153"/>
      <c r="AU572" s="154"/>
      <c r="AV572" s="154"/>
      <c r="AW572" s="154"/>
      <c r="AX572" s="155"/>
      <c r="AY572" s="156"/>
      <c r="AZ572" s="157"/>
      <c r="BA572" s="81"/>
      <c r="BB572" s="81"/>
      <c r="BC572" s="81"/>
    </row>
    <row r="573" spans="1:55" ht="28" customHeight="1" x14ac:dyDescent="0.25">
      <c r="A573" s="131">
        <v>570</v>
      </c>
      <c r="B573" s="141">
        <v>45112</v>
      </c>
      <c r="C573" s="77" t="s">
        <v>134</v>
      </c>
      <c r="D573" s="77" t="s">
        <v>135</v>
      </c>
      <c r="E573" s="77" t="s">
        <v>136</v>
      </c>
      <c r="F573" s="168" t="s">
        <v>265</v>
      </c>
      <c r="G573" s="169" t="s">
        <v>1728</v>
      </c>
      <c r="H573" s="170" t="s">
        <v>110</v>
      </c>
      <c r="I573" s="169" t="s">
        <v>1250</v>
      </c>
      <c r="J573" s="170" t="s">
        <v>1769</v>
      </c>
      <c r="K573" s="170" t="s">
        <v>80</v>
      </c>
      <c r="L573" s="169" t="s">
        <v>358</v>
      </c>
      <c r="M573" s="169" t="s">
        <v>114</v>
      </c>
      <c r="N573" s="169" t="s">
        <v>80</v>
      </c>
      <c r="O573" s="169" t="s">
        <v>120</v>
      </c>
      <c r="P573" s="168"/>
      <c r="Q573" s="174" t="s">
        <v>1763</v>
      </c>
      <c r="R573" s="182"/>
      <c r="S573" s="76"/>
      <c r="T573" s="76"/>
      <c r="U573" s="76"/>
      <c r="V573" s="90">
        <v>1</v>
      </c>
      <c r="W573" s="87"/>
      <c r="X573" s="87"/>
      <c r="Y573" s="87"/>
      <c r="Z573" s="87"/>
      <c r="AA573" s="87"/>
      <c r="AB573" s="87"/>
      <c r="AC573" s="87"/>
      <c r="AD573" s="87"/>
      <c r="AE573" s="87"/>
      <c r="AF573" s="87"/>
      <c r="AG573" s="87"/>
      <c r="AH573" s="87"/>
      <c r="AI573" s="87"/>
      <c r="AJ573" s="87"/>
      <c r="AK573" s="87"/>
      <c r="AL573" s="215">
        <f t="shared" ref="AL573:AL603" si="23">SUM(R573:AK573)</f>
        <v>1</v>
      </c>
      <c r="AM573" s="216">
        <f>0</f>
        <v>0</v>
      </c>
      <c r="AN573" s="217">
        <f t="shared" si="22"/>
        <v>1</v>
      </c>
      <c r="AO573" s="288">
        <v>45113</v>
      </c>
      <c r="AP573" s="261" t="s">
        <v>273</v>
      </c>
      <c r="AQ573" s="153" t="s">
        <v>1792</v>
      </c>
      <c r="AR573" s="154" t="s">
        <v>1793</v>
      </c>
      <c r="AS573" s="159"/>
      <c r="AT573" s="153"/>
      <c r="AU573" s="154"/>
      <c r="AV573" s="154"/>
      <c r="AW573" s="154"/>
      <c r="AX573" s="155"/>
      <c r="AY573" s="156"/>
      <c r="AZ573" s="157"/>
      <c r="BA573" s="81"/>
      <c r="BB573" s="81"/>
      <c r="BC573" s="81"/>
    </row>
    <row r="574" spans="1:55" ht="28" customHeight="1" x14ac:dyDescent="0.25">
      <c r="A574" s="131">
        <v>571</v>
      </c>
      <c r="B574" s="141">
        <v>45112</v>
      </c>
      <c r="C574" s="77" t="s">
        <v>134</v>
      </c>
      <c r="D574" s="77" t="s">
        <v>135</v>
      </c>
      <c r="E574" s="77" t="s">
        <v>136</v>
      </c>
      <c r="F574" s="168" t="s">
        <v>265</v>
      </c>
      <c r="G574" s="169" t="s">
        <v>1729</v>
      </c>
      <c r="H574" s="170" t="s">
        <v>110</v>
      </c>
      <c r="I574" s="169" t="s">
        <v>1730</v>
      </c>
      <c r="J574" s="170" t="s">
        <v>1768</v>
      </c>
      <c r="K574" s="170" t="s">
        <v>80</v>
      </c>
      <c r="L574" s="169" t="s">
        <v>358</v>
      </c>
      <c r="M574" s="169" t="s">
        <v>114</v>
      </c>
      <c r="N574" s="169" t="s">
        <v>80</v>
      </c>
      <c r="O574" s="169" t="s">
        <v>120</v>
      </c>
      <c r="P574" s="168"/>
      <c r="Q574" s="174" t="s">
        <v>1763</v>
      </c>
      <c r="R574" s="182"/>
      <c r="S574" s="76"/>
      <c r="T574" s="76"/>
      <c r="U574" s="76"/>
      <c r="V574" s="90">
        <v>1</v>
      </c>
      <c r="W574" s="87"/>
      <c r="X574" s="87"/>
      <c r="Y574" s="87"/>
      <c r="Z574" s="87"/>
      <c r="AA574" s="87"/>
      <c r="AB574" s="87"/>
      <c r="AC574" s="87"/>
      <c r="AD574" s="87"/>
      <c r="AE574" s="87"/>
      <c r="AF574" s="87"/>
      <c r="AG574" s="87"/>
      <c r="AH574" s="87"/>
      <c r="AI574" s="87"/>
      <c r="AJ574" s="87"/>
      <c r="AK574" s="87"/>
      <c r="AL574" s="215">
        <f t="shared" si="23"/>
        <v>1</v>
      </c>
      <c r="AM574" s="216">
        <f>0</f>
        <v>0</v>
      </c>
      <c r="AN574" s="217">
        <f t="shared" si="22"/>
        <v>1</v>
      </c>
      <c r="AO574" s="288">
        <v>45113</v>
      </c>
      <c r="AP574" s="261" t="s">
        <v>273</v>
      </c>
      <c r="AQ574" s="153" t="s">
        <v>1792</v>
      </c>
      <c r="AR574" s="154" t="s">
        <v>1793</v>
      </c>
      <c r="AS574" s="159"/>
      <c r="AT574" s="153"/>
      <c r="AU574" s="154"/>
      <c r="AV574" s="154"/>
      <c r="AW574" s="154"/>
      <c r="AX574" s="155"/>
      <c r="AY574" s="156"/>
      <c r="AZ574" s="157"/>
      <c r="BA574" s="81"/>
      <c r="BB574" s="81"/>
      <c r="BC574" s="81"/>
    </row>
    <row r="575" spans="1:55" ht="28" customHeight="1" x14ac:dyDescent="0.25">
      <c r="A575" s="131">
        <v>563</v>
      </c>
      <c r="B575" s="141">
        <v>45112</v>
      </c>
      <c r="C575" s="77" t="s">
        <v>134</v>
      </c>
      <c r="D575" s="77" t="s">
        <v>135</v>
      </c>
      <c r="E575" s="77" t="s">
        <v>136</v>
      </c>
      <c r="F575" s="168" t="s">
        <v>265</v>
      </c>
      <c r="G575" s="169" t="s">
        <v>1713</v>
      </c>
      <c r="H575" s="170" t="s">
        <v>110</v>
      </c>
      <c r="I575" s="169" t="s">
        <v>1764</v>
      </c>
      <c r="J575" s="170" t="s">
        <v>1714</v>
      </c>
      <c r="K575" s="170"/>
      <c r="L575" s="169" t="s">
        <v>119</v>
      </c>
      <c r="M575" s="169" t="s">
        <v>114</v>
      </c>
      <c r="N575" s="169" t="s">
        <v>80</v>
      </c>
      <c r="O575" s="169" t="s">
        <v>120</v>
      </c>
      <c r="P575" s="168"/>
      <c r="Q575" s="174" t="s">
        <v>1763</v>
      </c>
      <c r="R575" s="182"/>
      <c r="S575" s="76"/>
      <c r="T575" s="76"/>
      <c r="U575" s="76"/>
      <c r="V575" s="90">
        <v>2</v>
      </c>
      <c r="W575" s="87"/>
      <c r="X575" s="87"/>
      <c r="Y575" s="87"/>
      <c r="Z575" s="87"/>
      <c r="AA575" s="87"/>
      <c r="AB575" s="87"/>
      <c r="AC575" s="87"/>
      <c r="AD575" s="87"/>
      <c r="AE575" s="87"/>
      <c r="AF575" s="87"/>
      <c r="AG575" s="87"/>
      <c r="AH575" s="87"/>
      <c r="AI575" s="87"/>
      <c r="AJ575" s="87"/>
      <c r="AK575" s="87"/>
      <c r="AL575" s="215">
        <f t="shared" si="23"/>
        <v>2</v>
      </c>
      <c r="AM575" s="216">
        <f>0</f>
        <v>0</v>
      </c>
      <c r="AN575" s="217">
        <f t="shared" si="22"/>
        <v>2</v>
      </c>
      <c r="AO575" s="288">
        <v>45113</v>
      </c>
      <c r="AP575" s="261" t="s">
        <v>273</v>
      </c>
      <c r="AQ575" s="153" t="s">
        <v>1792</v>
      </c>
      <c r="AR575" s="154" t="s">
        <v>1793</v>
      </c>
      <c r="AS575" s="159"/>
      <c r="AT575" s="153"/>
      <c r="AU575" s="154"/>
      <c r="AV575" s="154"/>
      <c r="AW575" s="154"/>
      <c r="AX575" s="155"/>
      <c r="AY575" s="156"/>
      <c r="AZ575" s="157"/>
      <c r="BA575" s="81"/>
      <c r="BB575" s="81"/>
      <c r="BC575" s="81"/>
    </row>
    <row r="576" spans="1:55" ht="28" customHeight="1" x14ac:dyDescent="0.25">
      <c r="A576" s="131">
        <v>590</v>
      </c>
      <c r="B576" s="141">
        <v>45113</v>
      </c>
      <c r="C576" s="77" t="s">
        <v>134</v>
      </c>
      <c r="D576" s="77" t="s">
        <v>135</v>
      </c>
      <c r="E576" s="77" t="s">
        <v>136</v>
      </c>
      <c r="F576" s="168" t="s">
        <v>265</v>
      </c>
      <c r="G576" s="168" t="s">
        <v>1786</v>
      </c>
      <c r="H576" s="168" t="s">
        <v>110</v>
      </c>
      <c r="I576" s="168" t="s">
        <v>1785</v>
      </c>
      <c r="J576" s="175" t="s">
        <v>1784</v>
      </c>
      <c r="K576" s="174"/>
      <c r="L576" s="169" t="s">
        <v>119</v>
      </c>
      <c r="M576" s="169" t="s">
        <v>114</v>
      </c>
      <c r="N576" s="169" t="s">
        <v>80</v>
      </c>
      <c r="O576" s="169" t="s">
        <v>120</v>
      </c>
      <c r="P576" s="168"/>
      <c r="Q576" s="174" t="s">
        <v>1763</v>
      </c>
      <c r="R576" s="182"/>
      <c r="S576" s="76"/>
      <c r="T576" s="76"/>
      <c r="U576" s="76"/>
      <c r="V576" s="285">
        <v>2</v>
      </c>
      <c r="W576" s="87"/>
      <c r="X576" s="87"/>
      <c r="Y576" s="87"/>
      <c r="Z576" s="87"/>
      <c r="AA576" s="87"/>
      <c r="AB576" s="87"/>
      <c r="AC576" s="87"/>
      <c r="AD576" s="87"/>
      <c r="AE576" s="87"/>
      <c r="AF576" s="87"/>
      <c r="AG576" s="87"/>
      <c r="AH576" s="87"/>
      <c r="AI576" s="87"/>
      <c r="AJ576" s="87"/>
      <c r="AK576" s="87"/>
      <c r="AL576" s="215">
        <f t="shared" si="23"/>
        <v>2</v>
      </c>
      <c r="AM576" s="216">
        <f>0</f>
        <v>0</v>
      </c>
      <c r="AN576" s="217">
        <f t="shared" si="22"/>
        <v>2</v>
      </c>
      <c r="AO576" s="288">
        <v>45113</v>
      </c>
      <c r="AP576" s="261" t="s">
        <v>273</v>
      </c>
      <c r="AQ576" s="153" t="s">
        <v>1792</v>
      </c>
      <c r="AR576" s="154" t="s">
        <v>1793</v>
      </c>
      <c r="AS576" s="159"/>
      <c r="AT576" s="153"/>
      <c r="AU576" s="154"/>
      <c r="AV576" s="154"/>
      <c r="AW576" s="154"/>
      <c r="AX576" s="155"/>
      <c r="AY576" s="156"/>
      <c r="AZ576" s="157"/>
      <c r="BA576" s="81"/>
      <c r="BB576" s="81"/>
      <c r="BC576" s="81"/>
    </row>
    <row r="577" spans="1:55" ht="28" customHeight="1" x14ac:dyDescent="0.25">
      <c r="A577" s="131">
        <v>585</v>
      </c>
      <c r="B577" s="141">
        <v>45112</v>
      </c>
      <c r="C577" s="162"/>
      <c r="D577" s="163"/>
      <c r="E577" s="85" t="s">
        <v>136</v>
      </c>
      <c r="F577" s="168" t="s">
        <v>265</v>
      </c>
      <c r="G577" s="169" t="s">
        <v>1751</v>
      </c>
      <c r="H577" s="170" t="s">
        <v>110</v>
      </c>
      <c r="I577" s="169" t="s">
        <v>1752</v>
      </c>
      <c r="J577" s="170" t="s">
        <v>1779</v>
      </c>
      <c r="K577" s="170" t="s">
        <v>80</v>
      </c>
      <c r="L577" s="169" t="s">
        <v>119</v>
      </c>
      <c r="M577" s="169" t="s">
        <v>114</v>
      </c>
      <c r="N577" s="169" t="s">
        <v>80</v>
      </c>
      <c r="O577" s="169" t="s">
        <v>1753</v>
      </c>
      <c r="P577" s="168"/>
      <c r="Q577" s="174" t="s">
        <v>1763</v>
      </c>
      <c r="R577" s="182"/>
      <c r="S577" s="76"/>
      <c r="T577" s="76"/>
      <c r="U577" s="76"/>
      <c r="V577" s="90">
        <v>2</v>
      </c>
      <c r="W577" s="87"/>
      <c r="X577" s="87"/>
      <c r="Y577" s="87"/>
      <c r="Z577" s="87"/>
      <c r="AA577" s="87"/>
      <c r="AB577" s="87"/>
      <c r="AC577" s="87"/>
      <c r="AD577" s="87"/>
      <c r="AE577" s="87"/>
      <c r="AF577" s="87"/>
      <c r="AG577" s="87"/>
      <c r="AH577" s="87"/>
      <c r="AI577" s="87"/>
      <c r="AJ577" s="87"/>
      <c r="AK577" s="87"/>
      <c r="AL577" s="215">
        <f t="shared" si="23"/>
        <v>2</v>
      </c>
      <c r="AM577" s="216">
        <f>0</f>
        <v>0</v>
      </c>
      <c r="AN577" s="217">
        <f t="shared" si="22"/>
        <v>2</v>
      </c>
      <c r="AO577" s="288">
        <v>45113</v>
      </c>
      <c r="AP577" s="261" t="s">
        <v>273</v>
      </c>
      <c r="AQ577" s="153" t="s">
        <v>1792</v>
      </c>
      <c r="AR577" s="154" t="s">
        <v>1793</v>
      </c>
      <c r="AS577" s="159"/>
      <c r="AT577" s="153"/>
      <c r="AU577" s="154"/>
      <c r="AV577" s="154"/>
      <c r="AW577" s="154"/>
      <c r="AX577" s="155"/>
      <c r="AY577" s="156"/>
      <c r="AZ577" s="157"/>
      <c r="BA577" s="81"/>
      <c r="BB577" s="81"/>
      <c r="BC577" s="81"/>
    </row>
    <row r="578" spans="1:55" ht="28" customHeight="1" x14ac:dyDescent="0.25">
      <c r="A578" s="131">
        <v>586</v>
      </c>
      <c r="B578" s="141">
        <v>45112</v>
      </c>
      <c r="C578" s="77" t="s">
        <v>134</v>
      </c>
      <c r="D578" s="77" t="s">
        <v>135</v>
      </c>
      <c r="E578" s="77" t="s">
        <v>136</v>
      </c>
      <c r="F578" s="168" t="s">
        <v>265</v>
      </c>
      <c r="G578" s="169" t="s">
        <v>1754</v>
      </c>
      <c r="H578" s="170" t="s">
        <v>110</v>
      </c>
      <c r="I578" s="169" t="s">
        <v>1752</v>
      </c>
      <c r="J578" s="170" t="s">
        <v>1755</v>
      </c>
      <c r="K578" s="170" t="s">
        <v>80</v>
      </c>
      <c r="L578" s="169" t="s">
        <v>119</v>
      </c>
      <c r="M578" s="169" t="s">
        <v>114</v>
      </c>
      <c r="N578" s="169" t="s">
        <v>80</v>
      </c>
      <c r="O578" s="169" t="s">
        <v>1753</v>
      </c>
      <c r="P578" s="168"/>
      <c r="Q578" s="174" t="s">
        <v>1763</v>
      </c>
      <c r="R578" s="182"/>
      <c r="S578" s="76"/>
      <c r="T578" s="76"/>
      <c r="U578" s="76"/>
      <c r="V578" s="90">
        <v>2</v>
      </c>
      <c r="W578" s="87"/>
      <c r="X578" s="87"/>
      <c r="Y578" s="87"/>
      <c r="Z578" s="87"/>
      <c r="AA578" s="87"/>
      <c r="AB578" s="87"/>
      <c r="AC578" s="87"/>
      <c r="AD578" s="87"/>
      <c r="AE578" s="87"/>
      <c r="AF578" s="87"/>
      <c r="AG578" s="87"/>
      <c r="AH578" s="87"/>
      <c r="AI578" s="87"/>
      <c r="AJ578" s="87"/>
      <c r="AK578" s="87"/>
      <c r="AL578" s="215">
        <f t="shared" si="23"/>
        <v>2</v>
      </c>
      <c r="AM578" s="216">
        <f>0</f>
        <v>0</v>
      </c>
      <c r="AN578" s="217">
        <f t="shared" si="22"/>
        <v>2</v>
      </c>
      <c r="AO578" s="288">
        <v>45113</v>
      </c>
      <c r="AP578" s="261" t="s">
        <v>273</v>
      </c>
      <c r="AQ578" s="153" t="s">
        <v>1792</v>
      </c>
      <c r="AR578" s="154" t="s">
        <v>1793</v>
      </c>
      <c r="AS578" s="159"/>
      <c r="AT578" s="153"/>
      <c r="AU578" s="154"/>
      <c r="AV578" s="154"/>
      <c r="AW578" s="154"/>
      <c r="AX578" s="155"/>
      <c r="AY578" s="156"/>
      <c r="AZ578" s="157"/>
      <c r="BA578" s="81"/>
      <c r="BB578" s="81"/>
      <c r="BC578" s="81"/>
    </row>
    <row r="579" spans="1:55" ht="28" customHeight="1" x14ac:dyDescent="0.25">
      <c r="A579" s="131">
        <v>567</v>
      </c>
      <c r="B579" s="141">
        <v>45112</v>
      </c>
      <c r="C579" s="77" t="s">
        <v>134</v>
      </c>
      <c r="D579" s="77" t="s">
        <v>135</v>
      </c>
      <c r="E579" s="77" t="s">
        <v>136</v>
      </c>
      <c r="F579" s="168" t="s">
        <v>265</v>
      </c>
      <c r="G579" s="169" t="s">
        <v>1722</v>
      </c>
      <c r="H579" s="170" t="s">
        <v>110</v>
      </c>
      <c r="I579" s="169" t="s">
        <v>1720</v>
      </c>
      <c r="J579" s="170" t="s">
        <v>1723</v>
      </c>
      <c r="K579" s="170" t="s">
        <v>80</v>
      </c>
      <c r="L579" s="169" t="s">
        <v>209</v>
      </c>
      <c r="M579" s="169" t="s">
        <v>114</v>
      </c>
      <c r="N579" s="169" t="s">
        <v>80</v>
      </c>
      <c r="O579" s="169" t="s">
        <v>80</v>
      </c>
      <c r="P579" s="168"/>
      <c r="Q579" s="174" t="s">
        <v>1763</v>
      </c>
      <c r="R579" s="182"/>
      <c r="S579" s="76"/>
      <c r="T579" s="76"/>
      <c r="U579" s="76"/>
      <c r="V579" s="90">
        <v>1</v>
      </c>
      <c r="W579" s="87"/>
      <c r="X579" s="87"/>
      <c r="Y579" s="87"/>
      <c r="Z579" s="87"/>
      <c r="AA579" s="87"/>
      <c r="AB579" s="87"/>
      <c r="AC579" s="87"/>
      <c r="AD579" s="87"/>
      <c r="AE579" s="87"/>
      <c r="AF579" s="87"/>
      <c r="AG579" s="87"/>
      <c r="AH579" s="87"/>
      <c r="AI579" s="87"/>
      <c r="AJ579" s="87"/>
      <c r="AK579" s="87"/>
      <c r="AL579" s="215">
        <f t="shared" si="23"/>
        <v>1</v>
      </c>
      <c r="AM579" s="216">
        <f>0</f>
        <v>0</v>
      </c>
      <c r="AN579" s="217">
        <f t="shared" si="22"/>
        <v>1</v>
      </c>
      <c r="AO579" s="288">
        <v>45113</v>
      </c>
      <c r="AP579" s="261" t="s">
        <v>273</v>
      </c>
      <c r="AQ579" s="153" t="s">
        <v>1792</v>
      </c>
      <c r="AR579" s="154" t="s">
        <v>1793</v>
      </c>
      <c r="AS579" s="159"/>
      <c r="AT579" s="153"/>
      <c r="AU579" s="154"/>
      <c r="AV579" s="154"/>
      <c r="AW579" s="154"/>
      <c r="AX579" s="155"/>
      <c r="AY579" s="156"/>
      <c r="AZ579" s="157"/>
      <c r="BA579" s="81"/>
      <c r="BB579" s="81"/>
      <c r="BC579" s="81"/>
    </row>
    <row r="580" spans="1:55" ht="28" customHeight="1" x14ac:dyDescent="0.25">
      <c r="A580" s="131">
        <v>591</v>
      </c>
      <c r="B580" s="141">
        <v>45113</v>
      </c>
      <c r="C580" s="77" t="s">
        <v>134</v>
      </c>
      <c r="D580" s="77" t="s">
        <v>135</v>
      </c>
      <c r="E580" s="77" t="s">
        <v>136</v>
      </c>
      <c r="F580" s="168" t="s">
        <v>265</v>
      </c>
      <c r="G580" s="168" t="s">
        <v>1788</v>
      </c>
      <c r="H580" s="168" t="s">
        <v>110</v>
      </c>
      <c r="I580" s="168" t="s">
        <v>1785</v>
      </c>
      <c r="J580" s="175" t="s">
        <v>1787</v>
      </c>
      <c r="K580" s="174"/>
      <c r="L580" s="169" t="s">
        <v>119</v>
      </c>
      <c r="M580" s="169" t="s">
        <v>114</v>
      </c>
      <c r="N580" s="169" t="s">
        <v>80</v>
      </c>
      <c r="O580" s="169" t="s">
        <v>120</v>
      </c>
      <c r="P580" s="168"/>
      <c r="Q580" s="174" t="s">
        <v>1763</v>
      </c>
      <c r="R580" s="182"/>
      <c r="S580" s="76"/>
      <c r="T580" s="76"/>
      <c r="U580" s="76"/>
      <c r="V580" s="285">
        <v>2</v>
      </c>
      <c r="W580" s="87"/>
      <c r="X580" s="87"/>
      <c r="Y580" s="87"/>
      <c r="Z580" s="87"/>
      <c r="AA580" s="87"/>
      <c r="AB580" s="87"/>
      <c r="AC580" s="87"/>
      <c r="AD580" s="87"/>
      <c r="AE580" s="87"/>
      <c r="AF580" s="87"/>
      <c r="AG580" s="87"/>
      <c r="AH580" s="87"/>
      <c r="AI580" s="87"/>
      <c r="AJ580" s="87"/>
      <c r="AK580" s="87"/>
      <c r="AL580" s="215">
        <f t="shared" si="23"/>
        <v>2</v>
      </c>
      <c r="AM580" s="216">
        <f>0</f>
        <v>0</v>
      </c>
      <c r="AN580" s="217">
        <f t="shared" si="22"/>
        <v>2</v>
      </c>
      <c r="AO580" s="288">
        <v>45113</v>
      </c>
      <c r="AP580" s="261" t="s">
        <v>273</v>
      </c>
      <c r="AQ580" s="153" t="s">
        <v>1792</v>
      </c>
      <c r="AR580" s="154" t="s">
        <v>1793</v>
      </c>
      <c r="AS580" s="159"/>
      <c r="AT580" s="153"/>
      <c r="AU580" s="154"/>
      <c r="AV580" s="154"/>
      <c r="AW580" s="154"/>
      <c r="AX580" s="155"/>
      <c r="AY580" s="156"/>
      <c r="AZ580" s="157"/>
      <c r="BA580" s="81"/>
      <c r="BB580" s="81"/>
      <c r="BC580" s="81"/>
    </row>
    <row r="581" spans="1:55" ht="28" customHeight="1" x14ac:dyDescent="0.25">
      <c r="A581" s="131">
        <v>592</v>
      </c>
      <c r="B581" s="141">
        <v>45113</v>
      </c>
      <c r="C581" s="77" t="s">
        <v>134</v>
      </c>
      <c r="D581" s="77" t="s">
        <v>135</v>
      </c>
      <c r="E581" s="77" t="s">
        <v>136</v>
      </c>
      <c r="F581" s="168" t="s">
        <v>265</v>
      </c>
      <c r="G581" s="168" t="s">
        <v>1791</v>
      </c>
      <c r="H581" s="168" t="s">
        <v>110</v>
      </c>
      <c r="I581" s="168" t="s">
        <v>1790</v>
      </c>
      <c r="J581" s="175" t="s">
        <v>1789</v>
      </c>
      <c r="K581" s="174"/>
      <c r="L581" s="169" t="s">
        <v>209</v>
      </c>
      <c r="M581" s="169" t="s">
        <v>114</v>
      </c>
      <c r="N581" s="169" t="s">
        <v>80</v>
      </c>
      <c r="O581" s="169" t="s">
        <v>80</v>
      </c>
      <c r="P581" s="153"/>
      <c r="Q581" s="174" t="s">
        <v>1763</v>
      </c>
      <c r="R581" s="182"/>
      <c r="S581" s="76"/>
      <c r="T581" s="76"/>
      <c r="U581" s="76"/>
      <c r="V581" s="285">
        <v>1</v>
      </c>
      <c r="W581" s="87"/>
      <c r="X581" s="87"/>
      <c r="Y581" s="87"/>
      <c r="Z581" s="87"/>
      <c r="AA581" s="87"/>
      <c r="AB581" s="87"/>
      <c r="AC581" s="87"/>
      <c r="AD581" s="87"/>
      <c r="AE581" s="87"/>
      <c r="AF581" s="87"/>
      <c r="AG581" s="87"/>
      <c r="AH581" s="87"/>
      <c r="AI581" s="87"/>
      <c r="AJ581" s="87"/>
      <c r="AK581" s="87"/>
      <c r="AL581" s="215">
        <f t="shared" si="23"/>
        <v>1</v>
      </c>
      <c r="AM581" s="216">
        <f>0</f>
        <v>0</v>
      </c>
      <c r="AN581" s="217">
        <f t="shared" si="22"/>
        <v>1</v>
      </c>
      <c r="AO581" s="288">
        <v>45113</v>
      </c>
      <c r="AP581" s="261" t="s">
        <v>273</v>
      </c>
      <c r="AQ581" s="153" t="s">
        <v>1792</v>
      </c>
      <c r="AR581" s="154" t="s">
        <v>1793</v>
      </c>
      <c r="AS581" s="159"/>
      <c r="AT581" s="153"/>
      <c r="AU581" s="154"/>
      <c r="AV581" s="154"/>
      <c r="AW581" s="154"/>
      <c r="AX581" s="155"/>
      <c r="AY581" s="156"/>
      <c r="AZ581" s="157"/>
      <c r="BA581" s="81"/>
      <c r="BB581" s="81"/>
      <c r="BC581" s="81"/>
    </row>
    <row r="582" spans="1:55" ht="28" customHeight="1" x14ac:dyDescent="0.25">
      <c r="A582" s="131">
        <v>572</v>
      </c>
      <c r="B582" s="141">
        <v>45112</v>
      </c>
      <c r="C582" s="77" t="s">
        <v>134</v>
      </c>
      <c r="D582" s="77" t="s">
        <v>135</v>
      </c>
      <c r="E582" s="77" t="s">
        <v>136</v>
      </c>
      <c r="F582" s="168" t="s">
        <v>265</v>
      </c>
      <c r="G582" s="169" t="s">
        <v>1731</v>
      </c>
      <c r="H582" s="170" t="s">
        <v>110</v>
      </c>
      <c r="I582" s="169" t="s">
        <v>1250</v>
      </c>
      <c r="J582" s="170" t="s">
        <v>1767</v>
      </c>
      <c r="K582" s="170" t="s">
        <v>80</v>
      </c>
      <c r="L582" s="169" t="s">
        <v>358</v>
      </c>
      <c r="M582" s="169" t="s">
        <v>114</v>
      </c>
      <c r="N582" s="169" t="s">
        <v>80</v>
      </c>
      <c r="O582" s="169" t="s">
        <v>120</v>
      </c>
      <c r="P582" s="168"/>
      <c r="Q582" s="174" t="s">
        <v>1763</v>
      </c>
      <c r="R582" s="182"/>
      <c r="S582" s="76"/>
      <c r="T582" s="76"/>
      <c r="U582" s="76"/>
      <c r="V582" s="90">
        <v>1</v>
      </c>
      <c r="W582" s="87"/>
      <c r="X582" s="87"/>
      <c r="Y582" s="87"/>
      <c r="Z582" s="87"/>
      <c r="AA582" s="87"/>
      <c r="AB582" s="87"/>
      <c r="AC582" s="87"/>
      <c r="AD582" s="87"/>
      <c r="AE582" s="87"/>
      <c r="AF582" s="87"/>
      <c r="AG582" s="87"/>
      <c r="AH582" s="87"/>
      <c r="AI582" s="87"/>
      <c r="AJ582" s="87"/>
      <c r="AK582" s="87"/>
      <c r="AL582" s="215">
        <f t="shared" si="23"/>
        <v>1</v>
      </c>
      <c r="AM582" s="216">
        <f>0</f>
        <v>0</v>
      </c>
      <c r="AN582" s="217">
        <f t="shared" ref="AN582:AN603" si="24">AL582-AM582</f>
        <v>1</v>
      </c>
      <c r="AO582" s="288">
        <v>45113</v>
      </c>
      <c r="AP582" s="261" t="s">
        <v>273</v>
      </c>
      <c r="AQ582" s="153" t="s">
        <v>1792</v>
      </c>
      <c r="AR582" s="154" t="s">
        <v>1793</v>
      </c>
      <c r="AS582" s="159"/>
      <c r="AT582" s="153"/>
      <c r="AU582" s="154"/>
      <c r="AV582" s="154"/>
      <c r="AW582" s="154"/>
      <c r="AX582" s="155"/>
      <c r="AY582" s="156"/>
      <c r="AZ582" s="157"/>
      <c r="BA582" s="81"/>
      <c r="BB582" s="81"/>
      <c r="BC582" s="81"/>
    </row>
    <row r="583" spans="1:55" ht="28" customHeight="1" x14ac:dyDescent="0.25">
      <c r="A583" s="131">
        <v>573</v>
      </c>
      <c r="B583" s="141">
        <v>45112</v>
      </c>
      <c r="C583" s="77" t="s">
        <v>134</v>
      </c>
      <c r="D583" s="77" t="s">
        <v>135</v>
      </c>
      <c r="E583" s="77" t="s">
        <v>136</v>
      </c>
      <c r="F583" s="168" t="s">
        <v>265</v>
      </c>
      <c r="G583" s="169" t="s">
        <v>1732</v>
      </c>
      <c r="H583" s="170" t="s">
        <v>110</v>
      </c>
      <c r="I583" s="169" t="s">
        <v>1725</v>
      </c>
      <c r="J583" s="170" t="s">
        <v>1766</v>
      </c>
      <c r="K583" s="170" t="s">
        <v>80</v>
      </c>
      <c r="L583" s="169" t="s">
        <v>358</v>
      </c>
      <c r="M583" s="169" t="s">
        <v>114</v>
      </c>
      <c r="N583" s="169" t="s">
        <v>80</v>
      </c>
      <c r="O583" s="169" t="s">
        <v>120</v>
      </c>
      <c r="P583" s="168"/>
      <c r="Q583" s="174" t="s">
        <v>1763</v>
      </c>
      <c r="R583" s="182"/>
      <c r="S583" s="76"/>
      <c r="T583" s="76"/>
      <c r="U583" s="76"/>
      <c r="V583" s="90">
        <v>1</v>
      </c>
      <c r="W583" s="87"/>
      <c r="X583" s="87"/>
      <c r="Y583" s="87"/>
      <c r="Z583" s="87"/>
      <c r="AA583" s="87"/>
      <c r="AB583" s="87"/>
      <c r="AC583" s="87"/>
      <c r="AD583" s="87"/>
      <c r="AE583" s="87"/>
      <c r="AF583" s="87"/>
      <c r="AG583" s="87"/>
      <c r="AH583" s="87"/>
      <c r="AI583" s="87"/>
      <c r="AJ583" s="87"/>
      <c r="AK583" s="87"/>
      <c r="AL583" s="215">
        <f t="shared" si="23"/>
        <v>1</v>
      </c>
      <c r="AM583" s="216">
        <f>0</f>
        <v>0</v>
      </c>
      <c r="AN583" s="217">
        <f t="shared" si="24"/>
        <v>1</v>
      </c>
      <c r="AO583" s="288">
        <v>45113</v>
      </c>
      <c r="AP583" s="261" t="s">
        <v>273</v>
      </c>
      <c r="AQ583" s="153" t="s">
        <v>1792</v>
      </c>
      <c r="AR583" s="154" t="s">
        <v>1793</v>
      </c>
      <c r="AS583" s="159"/>
      <c r="AT583" s="153"/>
      <c r="AU583" s="154"/>
      <c r="AV583" s="154"/>
      <c r="AW583" s="154"/>
      <c r="AX583" s="155"/>
      <c r="AY583" s="156"/>
      <c r="AZ583" s="157"/>
      <c r="BA583" s="81"/>
      <c r="BB583" s="81"/>
      <c r="BC583" s="81"/>
    </row>
    <row r="584" spans="1:55" ht="28" customHeight="1" x14ac:dyDescent="0.25">
      <c r="A584" s="131">
        <v>574</v>
      </c>
      <c r="B584" s="141">
        <v>45112</v>
      </c>
      <c r="C584" s="77" t="s">
        <v>134</v>
      </c>
      <c r="D584" s="77" t="s">
        <v>135</v>
      </c>
      <c r="E584" s="77" t="s">
        <v>136</v>
      </c>
      <c r="F584" s="168" t="s">
        <v>265</v>
      </c>
      <c r="G584" s="169" t="s">
        <v>1733</v>
      </c>
      <c r="H584" s="170" t="s">
        <v>110</v>
      </c>
      <c r="I584" s="169" t="s">
        <v>1730</v>
      </c>
      <c r="J584" s="170" t="s">
        <v>1765</v>
      </c>
      <c r="K584" s="170" t="s">
        <v>80</v>
      </c>
      <c r="L584" s="169" t="s">
        <v>358</v>
      </c>
      <c r="M584" s="169" t="s">
        <v>114</v>
      </c>
      <c r="N584" s="169" t="s">
        <v>80</v>
      </c>
      <c r="O584" s="169" t="s">
        <v>120</v>
      </c>
      <c r="P584" s="168"/>
      <c r="Q584" s="174" t="s">
        <v>1763</v>
      </c>
      <c r="R584" s="182"/>
      <c r="S584" s="76"/>
      <c r="T584" s="76"/>
      <c r="U584" s="76"/>
      <c r="V584" s="90">
        <v>1</v>
      </c>
      <c r="W584" s="87"/>
      <c r="X584" s="87"/>
      <c r="Y584" s="87"/>
      <c r="Z584" s="87"/>
      <c r="AA584" s="87"/>
      <c r="AB584" s="87"/>
      <c r="AC584" s="87"/>
      <c r="AD584" s="87"/>
      <c r="AE584" s="87"/>
      <c r="AF584" s="87"/>
      <c r="AG584" s="87"/>
      <c r="AH584" s="87"/>
      <c r="AI584" s="87"/>
      <c r="AJ584" s="87"/>
      <c r="AK584" s="87"/>
      <c r="AL584" s="215">
        <f t="shared" si="23"/>
        <v>1</v>
      </c>
      <c r="AM584" s="216">
        <f>0</f>
        <v>0</v>
      </c>
      <c r="AN584" s="217">
        <f t="shared" si="24"/>
        <v>1</v>
      </c>
      <c r="AO584" s="288">
        <v>45113</v>
      </c>
      <c r="AP584" s="261" t="s">
        <v>273</v>
      </c>
      <c r="AQ584" s="153" t="s">
        <v>1792</v>
      </c>
      <c r="AR584" s="154" t="s">
        <v>1793</v>
      </c>
      <c r="AS584" s="159"/>
      <c r="AT584" s="153"/>
      <c r="AU584" s="154"/>
      <c r="AV584" s="154"/>
      <c r="AW584" s="154"/>
      <c r="AX584" s="155"/>
      <c r="AY584" s="156"/>
      <c r="AZ584" s="157"/>
      <c r="BA584" s="81"/>
      <c r="BB584" s="81"/>
      <c r="BC584" s="81"/>
    </row>
    <row r="585" spans="1:55" ht="28" customHeight="1" x14ac:dyDescent="0.25">
      <c r="A585" s="131">
        <v>578</v>
      </c>
      <c r="B585" s="141">
        <v>45112</v>
      </c>
      <c r="C585" s="77" t="s">
        <v>134</v>
      </c>
      <c r="D585" s="77" t="s">
        <v>135</v>
      </c>
      <c r="E585" s="77" t="s">
        <v>136</v>
      </c>
      <c r="F585" s="168" t="s">
        <v>265</v>
      </c>
      <c r="G585" s="169" t="s">
        <v>1738</v>
      </c>
      <c r="H585" s="170" t="s">
        <v>110</v>
      </c>
      <c r="I585" s="169" t="s">
        <v>1739</v>
      </c>
      <c r="J585" s="170" t="s">
        <v>1740</v>
      </c>
      <c r="K585" s="170" t="s">
        <v>80</v>
      </c>
      <c r="L585" s="169" t="s">
        <v>153</v>
      </c>
      <c r="M585" s="169" t="s">
        <v>154</v>
      </c>
      <c r="N585" s="169" t="s">
        <v>80</v>
      </c>
      <c r="O585" s="169" t="s">
        <v>155</v>
      </c>
      <c r="P585" s="168"/>
      <c r="Q585" s="174" t="s">
        <v>1763</v>
      </c>
      <c r="R585" s="182"/>
      <c r="S585" s="76"/>
      <c r="T585" s="76"/>
      <c r="U585" s="76"/>
      <c r="V585" s="90">
        <v>2</v>
      </c>
      <c r="W585" s="87"/>
      <c r="X585" s="87"/>
      <c r="Y585" s="87"/>
      <c r="Z585" s="87"/>
      <c r="AA585" s="87"/>
      <c r="AB585" s="87"/>
      <c r="AC585" s="87"/>
      <c r="AD585" s="87"/>
      <c r="AE585" s="87"/>
      <c r="AF585" s="87"/>
      <c r="AG585" s="87"/>
      <c r="AH585" s="87"/>
      <c r="AI585" s="87"/>
      <c r="AJ585" s="87"/>
      <c r="AK585" s="87"/>
      <c r="AL585" s="215">
        <f t="shared" si="23"/>
        <v>2</v>
      </c>
      <c r="AM585" s="216">
        <f>0</f>
        <v>0</v>
      </c>
      <c r="AN585" s="217">
        <f t="shared" si="24"/>
        <v>2</v>
      </c>
      <c r="AO585" s="287">
        <v>45113</v>
      </c>
      <c r="AP585" s="261" t="s">
        <v>273</v>
      </c>
      <c r="AQ585" s="153" t="s">
        <v>1304</v>
      </c>
      <c r="AR585" s="154" t="s">
        <v>148</v>
      </c>
      <c r="AS585" s="159"/>
      <c r="AT585" s="153"/>
      <c r="AU585" s="154"/>
      <c r="AV585" s="154"/>
      <c r="AW585" s="154"/>
      <c r="AX585" s="155"/>
      <c r="AY585" s="156"/>
      <c r="AZ585" s="157"/>
      <c r="BA585" s="81"/>
      <c r="BB585" s="81"/>
      <c r="BC585" s="81"/>
    </row>
    <row r="586" spans="1:55" ht="28" customHeight="1" x14ac:dyDescent="0.25">
      <c r="A586" s="320">
        <v>579</v>
      </c>
      <c r="B586" s="279">
        <v>45112</v>
      </c>
      <c r="C586" s="77" t="s">
        <v>134</v>
      </c>
      <c r="D586" s="77" t="s">
        <v>135</v>
      </c>
      <c r="E586" s="77" t="s">
        <v>136</v>
      </c>
      <c r="F586" s="324" t="s">
        <v>265</v>
      </c>
      <c r="G586" s="342" t="s">
        <v>1741</v>
      </c>
      <c r="H586" s="343" t="s">
        <v>110</v>
      </c>
      <c r="I586" s="342" t="s">
        <v>1730</v>
      </c>
      <c r="J586" s="343" t="s">
        <v>1778</v>
      </c>
      <c r="K586" s="343" t="s">
        <v>80</v>
      </c>
      <c r="L586" s="342" t="s">
        <v>113</v>
      </c>
      <c r="M586" s="342" t="s">
        <v>126</v>
      </c>
      <c r="N586" s="342" t="s">
        <v>80</v>
      </c>
      <c r="O586" s="284" t="s">
        <v>80</v>
      </c>
      <c r="P586" s="324"/>
      <c r="Q586" s="326" t="s">
        <v>1763</v>
      </c>
      <c r="R586" s="182"/>
      <c r="S586" s="76"/>
      <c r="T586" s="76"/>
      <c r="U586" s="76"/>
      <c r="V586" s="90">
        <v>2</v>
      </c>
      <c r="W586" s="87"/>
      <c r="X586" s="87"/>
      <c r="Y586" s="87"/>
      <c r="Z586" s="87"/>
      <c r="AA586" s="87"/>
      <c r="AB586" s="87"/>
      <c r="AC586" s="87"/>
      <c r="AD586" s="87"/>
      <c r="AE586" s="87"/>
      <c r="AF586" s="87"/>
      <c r="AG586" s="87"/>
      <c r="AH586" s="87"/>
      <c r="AI586" s="87"/>
      <c r="AJ586" s="87"/>
      <c r="AK586" s="87"/>
      <c r="AL586" s="215">
        <f t="shared" si="23"/>
        <v>2</v>
      </c>
      <c r="AM586" s="216">
        <f>0</f>
        <v>0</v>
      </c>
      <c r="AN586" s="217">
        <f t="shared" si="24"/>
        <v>2</v>
      </c>
      <c r="AO586" s="369"/>
      <c r="AP586" s="359"/>
      <c r="AQ586" s="330"/>
      <c r="AR586" s="331" t="s">
        <v>271</v>
      </c>
      <c r="AS586" s="330"/>
      <c r="AT586" s="330"/>
      <c r="AU586" s="331"/>
      <c r="AV586" s="331"/>
      <c r="AW586" s="331"/>
      <c r="AX586" s="332"/>
      <c r="AY586" s="333"/>
      <c r="AZ586" s="334"/>
      <c r="BA586" s="319"/>
      <c r="BB586" s="319"/>
      <c r="BC586" s="319"/>
    </row>
    <row r="587" spans="1:55" ht="28" customHeight="1" x14ac:dyDescent="0.25">
      <c r="A587" s="320">
        <v>580</v>
      </c>
      <c r="B587" s="279">
        <v>45112</v>
      </c>
      <c r="C587" s="77" t="s">
        <v>134</v>
      </c>
      <c r="D587" s="77" t="s">
        <v>135</v>
      </c>
      <c r="E587" s="77" t="s">
        <v>136</v>
      </c>
      <c r="F587" s="324" t="s">
        <v>265</v>
      </c>
      <c r="G587" s="342" t="s">
        <v>1742</v>
      </c>
      <c r="H587" s="343" t="s">
        <v>110</v>
      </c>
      <c r="I587" s="342" t="s">
        <v>1730</v>
      </c>
      <c r="J587" s="343" t="s">
        <v>1777</v>
      </c>
      <c r="K587" s="343" t="s">
        <v>80</v>
      </c>
      <c r="L587" s="342" t="s">
        <v>113</v>
      </c>
      <c r="M587" s="342" t="s">
        <v>126</v>
      </c>
      <c r="N587" s="342" t="s">
        <v>80</v>
      </c>
      <c r="O587" s="284" t="s">
        <v>80</v>
      </c>
      <c r="P587" s="324"/>
      <c r="Q587" s="326" t="s">
        <v>1763</v>
      </c>
      <c r="R587" s="182"/>
      <c r="S587" s="76"/>
      <c r="T587" s="76"/>
      <c r="U587" s="76"/>
      <c r="V587" s="90">
        <v>1</v>
      </c>
      <c r="W587" s="87"/>
      <c r="X587" s="87"/>
      <c r="Y587" s="87"/>
      <c r="Z587" s="87"/>
      <c r="AA587" s="87"/>
      <c r="AB587" s="87"/>
      <c r="AC587" s="87"/>
      <c r="AD587" s="87"/>
      <c r="AE587" s="87"/>
      <c r="AF587" s="87"/>
      <c r="AG587" s="87"/>
      <c r="AH587" s="87"/>
      <c r="AI587" s="87"/>
      <c r="AJ587" s="87"/>
      <c r="AK587" s="87"/>
      <c r="AL587" s="215">
        <f t="shared" si="23"/>
        <v>1</v>
      </c>
      <c r="AM587" s="216">
        <f>0</f>
        <v>0</v>
      </c>
      <c r="AN587" s="217">
        <f t="shared" si="24"/>
        <v>1</v>
      </c>
      <c r="AO587" s="369"/>
      <c r="AP587" s="359"/>
      <c r="AQ587" s="330"/>
      <c r="AR587" s="331" t="s">
        <v>271</v>
      </c>
      <c r="AS587" s="330"/>
      <c r="AT587" s="330"/>
      <c r="AU587" s="331"/>
      <c r="AV587" s="331"/>
      <c r="AW587" s="331"/>
      <c r="AX587" s="332"/>
      <c r="AY587" s="333"/>
      <c r="AZ587" s="334"/>
      <c r="BA587" s="319"/>
      <c r="BB587" s="319"/>
      <c r="BC587" s="319"/>
    </row>
    <row r="588" spans="1:55" ht="28" customHeight="1" x14ac:dyDescent="0.25">
      <c r="A588" s="320">
        <v>581</v>
      </c>
      <c r="B588" s="279">
        <v>45112</v>
      </c>
      <c r="C588" s="77" t="s">
        <v>134</v>
      </c>
      <c r="D588" s="77" t="s">
        <v>135</v>
      </c>
      <c r="E588" s="77" t="s">
        <v>136</v>
      </c>
      <c r="F588" s="324" t="s">
        <v>265</v>
      </c>
      <c r="G588" s="342" t="s">
        <v>1743</v>
      </c>
      <c r="H588" s="343" t="s">
        <v>110</v>
      </c>
      <c r="I588" s="342" t="s">
        <v>126</v>
      </c>
      <c r="J588" s="343" t="s">
        <v>1776</v>
      </c>
      <c r="K588" s="343" t="s">
        <v>80</v>
      </c>
      <c r="L588" s="342" t="s">
        <v>113</v>
      </c>
      <c r="M588" s="342" t="s">
        <v>126</v>
      </c>
      <c r="N588" s="342" t="s">
        <v>80</v>
      </c>
      <c r="O588" s="284" t="s">
        <v>80</v>
      </c>
      <c r="P588" s="324"/>
      <c r="Q588" s="326" t="s">
        <v>1763</v>
      </c>
      <c r="R588" s="182"/>
      <c r="S588" s="76"/>
      <c r="T588" s="76"/>
      <c r="U588" s="76"/>
      <c r="V588" s="90">
        <v>3</v>
      </c>
      <c r="W588" s="87"/>
      <c r="X588" s="87"/>
      <c r="Y588" s="87"/>
      <c r="Z588" s="87"/>
      <c r="AA588" s="87"/>
      <c r="AB588" s="87"/>
      <c r="AC588" s="87"/>
      <c r="AD588" s="87"/>
      <c r="AE588" s="87"/>
      <c r="AF588" s="87"/>
      <c r="AG588" s="87"/>
      <c r="AH588" s="87"/>
      <c r="AI588" s="87"/>
      <c r="AJ588" s="87"/>
      <c r="AK588" s="87"/>
      <c r="AL588" s="215">
        <f t="shared" si="23"/>
        <v>3</v>
      </c>
      <c r="AM588" s="216">
        <f>0</f>
        <v>0</v>
      </c>
      <c r="AN588" s="217">
        <f t="shared" si="24"/>
        <v>3</v>
      </c>
      <c r="AO588" s="369"/>
      <c r="AP588" s="359"/>
      <c r="AQ588" s="330"/>
      <c r="AR588" s="331" t="s">
        <v>271</v>
      </c>
      <c r="AS588" s="330"/>
      <c r="AT588" s="330"/>
      <c r="AU588" s="331"/>
      <c r="AV588" s="331"/>
      <c r="AW588" s="331"/>
      <c r="AX588" s="332"/>
      <c r="AY588" s="333"/>
      <c r="AZ588" s="334"/>
      <c r="BA588" s="319"/>
      <c r="BB588" s="319"/>
      <c r="BC588" s="319"/>
    </row>
    <row r="589" spans="1:55" ht="28" customHeight="1" x14ac:dyDescent="0.25">
      <c r="A589" s="320">
        <v>582</v>
      </c>
      <c r="B589" s="279">
        <v>45112</v>
      </c>
      <c r="C589" s="77" t="s">
        <v>134</v>
      </c>
      <c r="D589" s="77" t="s">
        <v>135</v>
      </c>
      <c r="E589" s="77" t="s">
        <v>136</v>
      </c>
      <c r="F589" s="324" t="s">
        <v>265</v>
      </c>
      <c r="G589" s="342" t="s">
        <v>1744</v>
      </c>
      <c r="H589" s="343" t="s">
        <v>110</v>
      </c>
      <c r="I589" s="342" t="s">
        <v>1745</v>
      </c>
      <c r="J589" s="343" t="s">
        <v>1775</v>
      </c>
      <c r="K589" s="343" t="s">
        <v>80</v>
      </c>
      <c r="L589" s="342" t="s">
        <v>1746</v>
      </c>
      <c r="M589" s="342" t="s">
        <v>126</v>
      </c>
      <c r="N589" s="342" t="s">
        <v>80</v>
      </c>
      <c r="O589" s="284" t="s">
        <v>80</v>
      </c>
      <c r="P589" s="324"/>
      <c r="Q589" s="326" t="s">
        <v>1763</v>
      </c>
      <c r="R589" s="182"/>
      <c r="S589" s="76"/>
      <c r="T589" s="76"/>
      <c r="U589" s="76"/>
      <c r="V589" s="90">
        <v>1</v>
      </c>
      <c r="W589" s="87"/>
      <c r="X589" s="87"/>
      <c r="Y589" s="87"/>
      <c r="Z589" s="87"/>
      <c r="AA589" s="87"/>
      <c r="AB589" s="87"/>
      <c r="AC589" s="87"/>
      <c r="AD589" s="87"/>
      <c r="AE589" s="87"/>
      <c r="AF589" s="87"/>
      <c r="AG589" s="87"/>
      <c r="AH589" s="87"/>
      <c r="AI589" s="87"/>
      <c r="AJ589" s="87"/>
      <c r="AK589" s="87"/>
      <c r="AL589" s="215">
        <f t="shared" si="23"/>
        <v>1</v>
      </c>
      <c r="AM589" s="216">
        <f>0</f>
        <v>0</v>
      </c>
      <c r="AN589" s="217">
        <f t="shared" si="24"/>
        <v>1</v>
      </c>
      <c r="AO589" s="369"/>
      <c r="AP589" s="359"/>
      <c r="AQ589" s="330"/>
      <c r="AR589" s="331" t="s">
        <v>271</v>
      </c>
      <c r="AS589" s="330"/>
      <c r="AT589" s="330"/>
      <c r="AU589" s="331"/>
      <c r="AV589" s="331"/>
      <c r="AW589" s="331"/>
      <c r="AX589" s="332"/>
      <c r="AY589" s="333"/>
      <c r="AZ589" s="334"/>
      <c r="BA589" s="319"/>
      <c r="BB589" s="319"/>
      <c r="BC589" s="319"/>
    </row>
    <row r="590" spans="1:55" ht="28" customHeight="1" x14ac:dyDescent="0.25">
      <c r="A590" s="320">
        <v>583</v>
      </c>
      <c r="B590" s="279">
        <v>45112</v>
      </c>
      <c r="C590" s="77" t="s">
        <v>134</v>
      </c>
      <c r="D590" s="77" t="s">
        <v>135</v>
      </c>
      <c r="E590" s="77" t="s">
        <v>136</v>
      </c>
      <c r="F590" s="324" t="s">
        <v>265</v>
      </c>
      <c r="G590" s="342" t="s">
        <v>1747</v>
      </c>
      <c r="H590" s="343" t="s">
        <v>110</v>
      </c>
      <c r="I590" s="342" t="s">
        <v>1745</v>
      </c>
      <c r="J590" s="343" t="s">
        <v>1774</v>
      </c>
      <c r="K590" s="343" t="s">
        <v>80</v>
      </c>
      <c r="L590" s="342" t="s">
        <v>1746</v>
      </c>
      <c r="M590" s="342" t="s">
        <v>126</v>
      </c>
      <c r="N590" s="342" t="s">
        <v>80</v>
      </c>
      <c r="O590" s="284" t="s">
        <v>80</v>
      </c>
      <c r="P590" s="324"/>
      <c r="Q590" s="326" t="s">
        <v>1763</v>
      </c>
      <c r="R590" s="182"/>
      <c r="S590" s="76"/>
      <c r="T590" s="76"/>
      <c r="U590" s="76"/>
      <c r="V590" s="90">
        <v>1</v>
      </c>
      <c r="W590" s="87"/>
      <c r="X590" s="87"/>
      <c r="Y590" s="87"/>
      <c r="Z590" s="87"/>
      <c r="AA590" s="87"/>
      <c r="AB590" s="87"/>
      <c r="AC590" s="87"/>
      <c r="AD590" s="87"/>
      <c r="AE590" s="87"/>
      <c r="AF590" s="87"/>
      <c r="AG590" s="87"/>
      <c r="AH590" s="87"/>
      <c r="AI590" s="87"/>
      <c r="AJ590" s="87"/>
      <c r="AK590" s="87"/>
      <c r="AL590" s="215">
        <f t="shared" si="23"/>
        <v>1</v>
      </c>
      <c r="AM590" s="216">
        <f>0</f>
        <v>0</v>
      </c>
      <c r="AN590" s="217">
        <f t="shared" si="24"/>
        <v>1</v>
      </c>
      <c r="AO590" s="369"/>
      <c r="AP590" s="359"/>
      <c r="AQ590" s="330"/>
      <c r="AR590" s="331" t="s">
        <v>271</v>
      </c>
      <c r="AS590" s="330"/>
      <c r="AT590" s="330"/>
      <c r="AU590" s="331"/>
      <c r="AV590" s="331"/>
      <c r="AW590" s="331"/>
      <c r="AX590" s="332"/>
      <c r="AY590" s="333"/>
      <c r="AZ590" s="334"/>
      <c r="BA590" s="319"/>
      <c r="BB590" s="319"/>
      <c r="BC590" s="319"/>
    </row>
    <row r="591" spans="1:55" ht="28" customHeight="1" x14ac:dyDescent="0.25">
      <c r="A591" s="131">
        <v>575</v>
      </c>
      <c r="B591" s="141">
        <v>45112</v>
      </c>
      <c r="C591" s="77" t="s">
        <v>134</v>
      </c>
      <c r="D591" s="77" t="s">
        <v>135</v>
      </c>
      <c r="E591" s="77" t="s">
        <v>136</v>
      </c>
      <c r="F591" s="168" t="s">
        <v>265</v>
      </c>
      <c r="G591" s="169" t="s">
        <v>1734</v>
      </c>
      <c r="H591" s="170" t="s">
        <v>110</v>
      </c>
      <c r="I591" s="169" t="s">
        <v>1727</v>
      </c>
      <c r="J591" s="170" t="s">
        <v>1735</v>
      </c>
      <c r="K591" s="170" t="s">
        <v>80</v>
      </c>
      <c r="L591" s="169" t="s">
        <v>358</v>
      </c>
      <c r="M591" s="169" t="s">
        <v>114</v>
      </c>
      <c r="N591" s="169" t="s">
        <v>80</v>
      </c>
      <c r="O591" s="169" t="s">
        <v>120</v>
      </c>
      <c r="P591" s="168"/>
      <c r="Q591" s="174" t="s">
        <v>1763</v>
      </c>
      <c r="R591" s="182"/>
      <c r="S591" s="76"/>
      <c r="T591" s="76"/>
      <c r="U591" s="76"/>
      <c r="V591" s="90">
        <v>1</v>
      </c>
      <c r="W591" s="87"/>
      <c r="X591" s="87"/>
      <c r="Y591" s="87"/>
      <c r="Z591" s="87"/>
      <c r="AA591" s="87"/>
      <c r="AB591" s="87"/>
      <c r="AC591" s="87"/>
      <c r="AD591" s="87"/>
      <c r="AE591" s="87"/>
      <c r="AF591" s="87"/>
      <c r="AG591" s="87"/>
      <c r="AH591" s="87"/>
      <c r="AI591" s="87"/>
      <c r="AJ591" s="87"/>
      <c r="AK591" s="87"/>
      <c r="AL591" s="215">
        <f t="shared" si="23"/>
        <v>1</v>
      </c>
      <c r="AM591" s="216">
        <f>0</f>
        <v>0</v>
      </c>
      <c r="AN591" s="217">
        <f t="shared" si="24"/>
        <v>1</v>
      </c>
      <c r="AO591" s="288">
        <v>45113</v>
      </c>
      <c r="AP591" s="261" t="s">
        <v>273</v>
      </c>
      <c r="AQ591" s="153" t="s">
        <v>1792</v>
      </c>
      <c r="AR591" s="154" t="s">
        <v>1793</v>
      </c>
      <c r="AS591" s="159"/>
      <c r="AT591" s="153"/>
      <c r="AU591" s="154"/>
      <c r="AV591" s="154"/>
      <c r="AW591" s="154"/>
      <c r="AX591" s="155"/>
      <c r="AY591" s="156"/>
      <c r="AZ591" s="157"/>
      <c r="BA591" s="81"/>
      <c r="BB591" s="81"/>
      <c r="BC591" s="81"/>
    </row>
    <row r="592" spans="1:55" ht="28" customHeight="1" x14ac:dyDescent="0.25">
      <c r="A592" s="131">
        <v>576</v>
      </c>
      <c r="B592" s="141">
        <v>45112</v>
      </c>
      <c r="C592" s="77" t="s">
        <v>134</v>
      </c>
      <c r="D592" s="77" t="s">
        <v>135</v>
      </c>
      <c r="E592" s="77" t="s">
        <v>136</v>
      </c>
      <c r="F592" s="168" t="s">
        <v>265</v>
      </c>
      <c r="G592" s="169" t="s">
        <v>1736</v>
      </c>
      <c r="H592" s="170" t="s">
        <v>110</v>
      </c>
      <c r="I592" s="169" t="s">
        <v>1730</v>
      </c>
      <c r="J592" s="170" t="s">
        <v>1772</v>
      </c>
      <c r="K592" s="170" t="s">
        <v>80</v>
      </c>
      <c r="L592" s="169" t="s">
        <v>358</v>
      </c>
      <c r="M592" s="169" t="s">
        <v>114</v>
      </c>
      <c r="N592" s="169" t="s">
        <v>80</v>
      </c>
      <c r="O592" s="169" t="s">
        <v>120</v>
      </c>
      <c r="P592" s="168"/>
      <c r="Q592" s="174" t="s">
        <v>1763</v>
      </c>
      <c r="R592" s="182"/>
      <c r="S592" s="76"/>
      <c r="T592" s="76"/>
      <c r="U592" s="76"/>
      <c r="V592" s="90">
        <v>1</v>
      </c>
      <c r="W592" s="87"/>
      <c r="X592" s="87"/>
      <c r="Y592" s="87"/>
      <c r="Z592" s="87"/>
      <c r="AA592" s="87"/>
      <c r="AB592" s="87"/>
      <c r="AC592" s="87"/>
      <c r="AD592" s="87"/>
      <c r="AE592" s="87"/>
      <c r="AF592" s="87"/>
      <c r="AG592" s="87"/>
      <c r="AH592" s="87"/>
      <c r="AI592" s="87"/>
      <c r="AJ592" s="87"/>
      <c r="AK592" s="87"/>
      <c r="AL592" s="215">
        <f t="shared" si="23"/>
        <v>1</v>
      </c>
      <c r="AM592" s="216">
        <f>0</f>
        <v>0</v>
      </c>
      <c r="AN592" s="217">
        <f t="shared" si="24"/>
        <v>1</v>
      </c>
      <c r="AO592" s="288">
        <v>45113</v>
      </c>
      <c r="AP592" s="261" t="s">
        <v>273</v>
      </c>
      <c r="AQ592" s="153" t="s">
        <v>1792</v>
      </c>
      <c r="AR592" s="154" t="s">
        <v>1793</v>
      </c>
      <c r="AS592" s="159"/>
      <c r="AT592" s="153"/>
      <c r="AU592" s="154"/>
      <c r="AV592" s="154"/>
      <c r="AW592" s="154"/>
      <c r="AX592" s="155"/>
      <c r="AY592" s="156"/>
      <c r="AZ592" s="157"/>
      <c r="BA592" s="81"/>
      <c r="BB592" s="81"/>
      <c r="BC592" s="81"/>
    </row>
    <row r="593" spans="1:55" ht="28" customHeight="1" x14ac:dyDescent="0.25">
      <c r="A593" s="131">
        <v>577</v>
      </c>
      <c r="B593" s="141">
        <v>45112</v>
      </c>
      <c r="C593" s="77" t="s">
        <v>134</v>
      </c>
      <c r="D593" s="77" t="s">
        <v>135</v>
      </c>
      <c r="E593" s="77" t="s">
        <v>136</v>
      </c>
      <c r="F593" s="168" t="s">
        <v>265</v>
      </c>
      <c r="G593" s="169" t="s">
        <v>1737</v>
      </c>
      <c r="H593" s="170" t="s">
        <v>110</v>
      </c>
      <c r="I593" s="169" t="s">
        <v>1730</v>
      </c>
      <c r="J593" s="170" t="s">
        <v>1773</v>
      </c>
      <c r="K593" s="170" t="s">
        <v>80</v>
      </c>
      <c r="L593" s="169" t="s">
        <v>358</v>
      </c>
      <c r="M593" s="169" t="s">
        <v>114</v>
      </c>
      <c r="N593" s="169" t="s">
        <v>80</v>
      </c>
      <c r="O593" s="169" t="s">
        <v>120</v>
      </c>
      <c r="P593" s="168"/>
      <c r="Q593" s="174" t="s">
        <v>1763</v>
      </c>
      <c r="R593" s="182"/>
      <c r="S593" s="76"/>
      <c r="T593" s="76"/>
      <c r="U593" s="76"/>
      <c r="V593" s="90">
        <v>1</v>
      </c>
      <c r="W593" s="87"/>
      <c r="X593" s="87"/>
      <c r="Y593" s="87"/>
      <c r="Z593" s="87"/>
      <c r="AA593" s="87"/>
      <c r="AB593" s="87"/>
      <c r="AC593" s="87"/>
      <c r="AD593" s="87"/>
      <c r="AE593" s="87"/>
      <c r="AF593" s="87"/>
      <c r="AG593" s="87"/>
      <c r="AH593" s="87"/>
      <c r="AI593" s="87"/>
      <c r="AJ593" s="87"/>
      <c r="AK593" s="87"/>
      <c r="AL593" s="215">
        <f t="shared" si="23"/>
        <v>1</v>
      </c>
      <c r="AM593" s="216">
        <f>0</f>
        <v>0</v>
      </c>
      <c r="AN593" s="217">
        <f t="shared" si="24"/>
        <v>1</v>
      </c>
      <c r="AO593" s="288">
        <v>45113</v>
      </c>
      <c r="AP593" s="261" t="s">
        <v>273</v>
      </c>
      <c r="AQ593" s="153" t="s">
        <v>1792</v>
      </c>
      <c r="AR593" s="154" t="s">
        <v>1793</v>
      </c>
      <c r="AS593" s="159"/>
      <c r="AT593" s="153"/>
      <c r="AU593" s="154"/>
      <c r="AV593" s="154"/>
      <c r="AW593" s="154"/>
      <c r="AX593" s="155"/>
      <c r="AY593" s="156"/>
      <c r="AZ593" s="157"/>
      <c r="BA593" s="81"/>
      <c r="BB593" s="81"/>
      <c r="BC593" s="81"/>
    </row>
    <row r="594" spans="1:55" ht="28" customHeight="1" x14ac:dyDescent="0.25">
      <c r="A594" s="131">
        <v>587</v>
      </c>
      <c r="B594" s="141">
        <v>45112</v>
      </c>
      <c r="C594" s="77" t="s">
        <v>134</v>
      </c>
      <c r="D594" s="77" t="s">
        <v>135</v>
      </c>
      <c r="E594" s="77" t="s">
        <v>136</v>
      </c>
      <c r="F594" s="168" t="s">
        <v>265</v>
      </c>
      <c r="G594" s="169" t="s">
        <v>1756</v>
      </c>
      <c r="H594" s="170" t="s">
        <v>110</v>
      </c>
      <c r="I594" s="169" t="s">
        <v>1757</v>
      </c>
      <c r="J594" s="170" t="s">
        <v>1758</v>
      </c>
      <c r="K594" s="170" t="s">
        <v>80</v>
      </c>
      <c r="L594" s="169" t="s">
        <v>119</v>
      </c>
      <c r="M594" s="169" t="s">
        <v>154</v>
      </c>
      <c r="N594" s="169" t="s">
        <v>80</v>
      </c>
      <c r="O594" s="169" t="s">
        <v>149</v>
      </c>
      <c r="P594" s="168"/>
      <c r="Q594" s="174" t="s">
        <v>1763</v>
      </c>
      <c r="R594" s="182"/>
      <c r="S594" s="76"/>
      <c r="T594" s="76"/>
      <c r="U594" s="76"/>
      <c r="V594" s="90">
        <v>8</v>
      </c>
      <c r="W594" s="87"/>
      <c r="X594" s="87"/>
      <c r="Y594" s="87"/>
      <c r="Z594" s="87"/>
      <c r="AA594" s="87"/>
      <c r="AB594" s="87"/>
      <c r="AC594" s="87"/>
      <c r="AD594" s="87"/>
      <c r="AE594" s="87"/>
      <c r="AF594" s="87"/>
      <c r="AG594" s="87"/>
      <c r="AH594" s="87"/>
      <c r="AI594" s="87"/>
      <c r="AJ594" s="87"/>
      <c r="AK594" s="87"/>
      <c r="AL594" s="215">
        <f t="shared" si="23"/>
        <v>8</v>
      </c>
      <c r="AM594" s="216">
        <f>0</f>
        <v>0</v>
      </c>
      <c r="AN594" s="217">
        <f t="shared" si="24"/>
        <v>8</v>
      </c>
      <c r="AO594" s="287">
        <v>45113</v>
      </c>
      <c r="AP594" s="261" t="s">
        <v>273</v>
      </c>
      <c r="AQ594" s="153" t="s">
        <v>1304</v>
      </c>
      <c r="AR594" s="154" t="s">
        <v>148</v>
      </c>
      <c r="AS594" s="159"/>
      <c r="AT594" s="153"/>
      <c r="AU594" s="154"/>
      <c r="AV594" s="154"/>
      <c r="AW594" s="154"/>
      <c r="AX594" s="155"/>
      <c r="AY594" s="156"/>
      <c r="AZ594" s="157"/>
      <c r="BA594" s="81"/>
      <c r="BB594" s="81"/>
      <c r="BC594" s="81"/>
    </row>
    <row r="595" spans="1:55" ht="28" customHeight="1" x14ac:dyDescent="0.25">
      <c r="A595" s="131">
        <v>588</v>
      </c>
      <c r="B595" s="141">
        <v>45112</v>
      </c>
      <c r="C595" s="77" t="s">
        <v>134</v>
      </c>
      <c r="D595" s="77" t="s">
        <v>135</v>
      </c>
      <c r="E595" s="77" t="s">
        <v>136</v>
      </c>
      <c r="F595" s="168" t="s">
        <v>265</v>
      </c>
      <c r="G595" s="169" t="s">
        <v>1759</v>
      </c>
      <c r="H595" s="170" t="s">
        <v>110</v>
      </c>
      <c r="I595" s="169" t="s">
        <v>1760</v>
      </c>
      <c r="J595" s="170" t="s">
        <v>1780</v>
      </c>
      <c r="K595" s="170" t="s">
        <v>80</v>
      </c>
      <c r="L595" s="169" t="s">
        <v>119</v>
      </c>
      <c r="M595" s="169" t="s">
        <v>114</v>
      </c>
      <c r="N595" s="169" t="s">
        <v>80</v>
      </c>
      <c r="O595" s="169" t="s">
        <v>120</v>
      </c>
      <c r="P595" s="168"/>
      <c r="Q595" s="174" t="s">
        <v>1763</v>
      </c>
      <c r="R595" s="182"/>
      <c r="S595" s="76"/>
      <c r="T595" s="76"/>
      <c r="U595" s="76"/>
      <c r="V595" s="90">
        <v>1</v>
      </c>
      <c r="W595" s="87"/>
      <c r="X595" s="87"/>
      <c r="Y595" s="87"/>
      <c r="Z595" s="87"/>
      <c r="AA595" s="87"/>
      <c r="AB595" s="87"/>
      <c r="AC595" s="87"/>
      <c r="AD595" s="87"/>
      <c r="AE595" s="87"/>
      <c r="AF595" s="87"/>
      <c r="AG595" s="87"/>
      <c r="AH595" s="87"/>
      <c r="AI595" s="87"/>
      <c r="AJ595" s="87"/>
      <c r="AK595" s="87"/>
      <c r="AL595" s="215">
        <f t="shared" si="23"/>
        <v>1</v>
      </c>
      <c r="AM595" s="216">
        <f>0</f>
        <v>0</v>
      </c>
      <c r="AN595" s="217">
        <f t="shared" si="24"/>
        <v>1</v>
      </c>
      <c r="AO595" s="288">
        <v>45113</v>
      </c>
      <c r="AP595" s="261" t="s">
        <v>273</v>
      </c>
      <c r="AQ595" s="153" t="s">
        <v>1792</v>
      </c>
      <c r="AR595" s="154" t="s">
        <v>1793</v>
      </c>
      <c r="AS595" s="159"/>
      <c r="AT595" s="153"/>
      <c r="AU595" s="154"/>
      <c r="AV595" s="154"/>
      <c r="AW595" s="154"/>
      <c r="AX595" s="155"/>
      <c r="AY595" s="156"/>
      <c r="AZ595" s="157"/>
      <c r="BA595" s="81"/>
      <c r="BB595" s="81"/>
      <c r="BC595" s="81"/>
    </row>
    <row r="596" spans="1:55" ht="28" customHeight="1" x14ac:dyDescent="0.25">
      <c r="A596" s="131">
        <v>564</v>
      </c>
      <c r="B596" s="141">
        <v>45112</v>
      </c>
      <c r="C596" s="77" t="s">
        <v>134</v>
      </c>
      <c r="D596" s="77" t="s">
        <v>135</v>
      </c>
      <c r="E596" s="77" t="s">
        <v>136</v>
      </c>
      <c r="F596" s="168" t="s">
        <v>265</v>
      </c>
      <c r="G596" s="169" t="s">
        <v>1715</v>
      </c>
      <c r="H596" s="170" t="s">
        <v>287</v>
      </c>
      <c r="I596" s="169" t="s">
        <v>1716</v>
      </c>
      <c r="J596" s="170" t="s">
        <v>1781</v>
      </c>
      <c r="K596" s="170"/>
      <c r="L596" s="169" t="s">
        <v>119</v>
      </c>
      <c r="M596" s="169" t="s">
        <v>114</v>
      </c>
      <c r="N596" s="169" t="s">
        <v>80</v>
      </c>
      <c r="O596" s="169" t="s">
        <v>1717</v>
      </c>
      <c r="P596" s="168"/>
      <c r="Q596" s="174" t="s">
        <v>1763</v>
      </c>
      <c r="R596" s="182"/>
      <c r="S596" s="76"/>
      <c r="T596" s="76"/>
      <c r="U596" s="76"/>
      <c r="V596" s="90">
        <v>1</v>
      </c>
      <c r="W596" s="87"/>
      <c r="X596" s="87"/>
      <c r="Y596" s="87"/>
      <c r="Z596" s="87"/>
      <c r="AA596" s="87"/>
      <c r="AB596" s="87"/>
      <c r="AC596" s="87"/>
      <c r="AD596" s="87"/>
      <c r="AE596" s="87"/>
      <c r="AF596" s="87"/>
      <c r="AG596" s="87"/>
      <c r="AH596" s="87"/>
      <c r="AI596" s="87"/>
      <c r="AJ596" s="87"/>
      <c r="AK596" s="87"/>
      <c r="AL596" s="215">
        <f t="shared" si="23"/>
        <v>1</v>
      </c>
      <c r="AM596" s="216">
        <f>0</f>
        <v>0</v>
      </c>
      <c r="AN596" s="217">
        <f t="shared" si="24"/>
        <v>1</v>
      </c>
      <c r="AO596" s="288">
        <v>45113</v>
      </c>
      <c r="AP596" s="261" t="s">
        <v>273</v>
      </c>
      <c r="AQ596" s="153" t="s">
        <v>1792</v>
      </c>
      <c r="AR596" s="154" t="s">
        <v>1793</v>
      </c>
      <c r="AS596" s="159"/>
      <c r="AT596" s="153"/>
      <c r="AU596" s="154"/>
      <c r="AV596" s="154"/>
      <c r="AW596" s="154"/>
      <c r="AX596" s="155"/>
      <c r="AY596" s="156"/>
      <c r="AZ596" s="157"/>
      <c r="BA596" s="81"/>
      <c r="BB596" s="81"/>
      <c r="BC596" s="81"/>
    </row>
    <row r="597" spans="1:55" ht="28" customHeight="1" x14ac:dyDescent="0.25">
      <c r="A597" s="131">
        <v>565</v>
      </c>
      <c r="B597" s="141">
        <v>45112</v>
      </c>
      <c r="C597" s="77" t="s">
        <v>134</v>
      </c>
      <c r="D597" s="77" t="s">
        <v>135</v>
      </c>
      <c r="E597" s="77" t="s">
        <v>136</v>
      </c>
      <c r="F597" s="168" t="s">
        <v>265</v>
      </c>
      <c r="G597" s="169" t="s">
        <v>1718</v>
      </c>
      <c r="H597" s="170" t="s">
        <v>287</v>
      </c>
      <c r="I597" s="169" t="s">
        <v>1716</v>
      </c>
      <c r="J597" s="170" t="s">
        <v>1782</v>
      </c>
      <c r="K597" s="170"/>
      <c r="L597" s="169" t="s">
        <v>119</v>
      </c>
      <c r="M597" s="169" t="s">
        <v>114</v>
      </c>
      <c r="N597" s="169" t="s">
        <v>80</v>
      </c>
      <c r="O597" s="169" t="s">
        <v>1717</v>
      </c>
      <c r="P597" s="168"/>
      <c r="Q597" s="174" t="s">
        <v>1763</v>
      </c>
      <c r="R597" s="182"/>
      <c r="S597" s="76"/>
      <c r="T597" s="76"/>
      <c r="U597" s="76"/>
      <c r="V597" s="90">
        <v>1</v>
      </c>
      <c r="W597" s="87"/>
      <c r="X597" s="87"/>
      <c r="Y597" s="87"/>
      <c r="Z597" s="87"/>
      <c r="AA597" s="87"/>
      <c r="AB597" s="87"/>
      <c r="AC597" s="87"/>
      <c r="AD597" s="87"/>
      <c r="AE597" s="87"/>
      <c r="AF597" s="87"/>
      <c r="AG597" s="87"/>
      <c r="AH597" s="87"/>
      <c r="AI597" s="87"/>
      <c r="AJ597" s="87"/>
      <c r="AK597" s="87"/>
      <c r="AL597" s="215">
        <f t="shared" si="23"/>
        <v>1</v>
      </c>
      <c r="AM597" s="216">
        <f>0</f>
        <v>0</v>
      </c>
      <c r="AN597" s="217">
        <f t="shared" si="24"/>
        <v>1</v>
      </c>
      <c r="AO597" s="288">
        <v>45113</v>
      </c>
      <c r="AP597" s="261" t="s">
        <v>273</v>
      </c>
      <c r="AQ597" s="153" t="s">
        <v>1792</v>
      </c>
      <c r="AR597" s="154" t="s">
        <v>1793</v>
      </c>
      <c r="AS597" s="159"/>
      <c r="AT597" s="153"/>
      <c r="AU597" s="154"/>
      <c r="AV597" s="154"/>
      <c r="AW597" s="154"/>
      <c r="AX597" s="155"/>
      <c r="AY597" s="156"/>
      <c r="AZ597" s="157"/>
      <c r="BA597" s="81"/>
      <c r="BB597" s="81"/>
      <c r="BC597" s="81"/>
    </row>
    <row r="598" spans="1:55" ht="28" customHeight="1" x14ac:dyDescent="0.25">
      <c r="A598" s="131">
        <v>589</v>
      </c>
      <c r="B598" s="141">
        <v>45112</v>
      </c>
      <c r="C598" s="77" t="s">
        <v>134</v>
      </c>
      <c r="D598" s="77" t="s">
        <v>135</v>
      </c>
      <c r="E598" s="77" t="s">
        <v>136</v>
      </c>
      <c r="F598" s="168" t="s">
        <v>265</v>
      </c>
      <c r="G598" s="169" t="s">
        <v>1761</v>
      </c>
      <c r="H598" s="170" t="s">
        <v>287</v>
      </c>
      <c r="I598" s="169" t="s">
        <v>1716</v>
      </c>
      <c r="J598" s="170" t="s">
        <v>1783</v>
      </c>
      <c r="K598" s="170" t="s">
        <v>80</v>
      </c>
      <c r="L598" s="169" t="s">
        <v>119</v>
      </c>
      <c r="M598" s="169" t="s">
        <v>114</v>
      </c>
      <c r="N598" s="169" t="s">
        <v>80</v>
      </c>
      <c r="O598" s="169" t="s">
        <v>1762</v>
      </c>
      <c r="P598" s="168"/>
      <c r="Q598" s="174" t="s">
        <v>1763</v>
      </c>
      <c r="R598" s="182"/>
      <c r="S598" s="76"/>
      <c r="T598" s="76"/>
      <c r="U598" s="76"/>
      <c r="V598" s="90">
        <v>1</v>
      </c>
      <c r="W598" s="87"/>
      <c r="X598" s="87"/>
      <c r="Y598" s="87"/>
      <c r="Z598" s="87"/>
      <c r="AA598" s="87"/>
      <c r="AB598" s="87"/>
      <c r="AC598" s="87"/>
      <c r="AD598" s="87"/>
      <c r="AE598" s="87"/>
      <c r="AF598" s="87"/>
      <c r="AG598" s="87"/>
      <c r="AH598" s="87"/>
      <c r="AI598" s="87"/>
      <c r="AJ598" s="87"/>
      <c r="AK598" s="87"/>
      <c r="AL598" s="215">
        <f t="shared" si="23"/>
        <v>1</v>
      </c>
      <c r="AM598" s="216">
        <f>0</f>
        <v>0</v>
      </c>
      <c r="AN598" s="217">
        <f t="shared" si="24"/>
        <v>1</v>
      </c>
      <c r="AO598" s="288">
        <v>45113</v>
      </c>
      <c r="AP598" s="261" t="s">
        <v>273</v>
      </c>
      <c r="AQ598" s="153" t="s">
        <v>1792</v>
      </c>
      <c r="AR598" s="154" t="s">
        <v>1793</v>
      </c>
      <c r="AS598" s="159"/>
      <c r="AT598" s="153"/>
      <c r="AU598" s="154"/>
      <c r="AV598" s="154"/>
      <c r="AW598" s="154"/>
      <c r="AX598" s="155"/>
      <c r="AY598" s="156"/>
      <c r="AZ598" s="157"/>
      <c r="BA598" s="81"/>
      <c r="BB598" s="81"/>
      <c r="BC598" s="81"/>
    </row>
    <row r="599" spans="1:55" ht="28" customHeight="1" x14ac:dyDescent="0.25">
      <c r="A599" s="322">
        <v>590</v>
      </c>
      <c r="B599" s="323">
        <v>45114</v>
      </c>
      <c r="C599" s="77" t="s">
        <v>134</v>
      </c>
      <c r="D599" s="77" t="s">
        <v>135</v>
      </c>
      <c r="E599" s="77" t="s">
        <v>136</v>
      </c>
      <c r="F599" s="330" t="s">
        <v>1186</v>
      </c>
      <c r="G599" s="330" t="s">
        <v>1794</v>
      </c>
      <c r="H599" s="330" t="s">
        <v>110</v>
      </c>
      <c r="I599" s="330" t="s">
        <v>126</v>
      </c>
      <c r="J599" s="370" t="s">
        <v>1802</v>
      </c>
      <c r="K599" s="371"/>
      <c r="L599" s="342" t="s">
        <v>113</v>
      </c>
      <c r="M599" s="342" t="s">
        <v>126</v>
      </c>
      <c r="N599" s="342" t="s">
        <v>80</v>
      </c>
      <c r="O599" s="342" t="s">
        <v>1219</v>
      </c>
      <c r="P599" s="342" t="s">
        <v>80</v>
      </c>
      <c r="Q599" s="371" t="s">
        <v>1795</v>
      </c>
      <c r="R599" s="181">
        <v>1</v>
      </c>
      <c r="S599" s="76">
        <v>0</v>
      </c>
      <c r="T599" s="76">
        <v>0</v>
      </c>
      <c r="U599" s="76">
        <v>0</v>
      </c>
      <c r="V599" s="76">
        <v>0</v>
      </c>
      <c r="W599" s="76">
        <v>0</v>
      </c>
      <c r="X599" s="76">
        <v>0</v>
      </c>
      <c r="Y599" s="76">
        <v>0</v>
      </c>
      <c r="Z599" s="76">
        <v>0</v>
      </c>
      <c r="AA599" s="76">
        <v>0</v>
      </c>
      <c r="AB599" s="76">
        <v>0</v>
      </c>
      <c r="AC599" s="76">
        <v>0</v>
      </c>
      <c r="AD599" s="76">
        <v>0</v>
      </c>
      <c r="AE599" s="76">
        <v>0</v>
      </c>
      <c r="AF599" s="76">
        <v>0</v>
      </c>
      <c r="AG599" s="76">
        <v>0</v>
      </c>
      <c r="AH599" s="76">
        <v>0</v>
      </c>
      <c r="AI599" s="76">
        <v>0</v>
      </c>
      <c r="AJ599" s="76">
        <v>0</v>
      </c>
      <c r="AK599" s="76">
        <v>0</v>
      </c>
      <c r="AL599" s="215">
        <f t="shared" si="23"/>
        <v>1</v>
      </c>
      <c r="AM599" s="216">
        <f>0</f>
        <v>0</v>
      </c>
      <c r="AN599" s="217">
        <f t="shared" si="24"/>
        <v>1</v>
      </c>
      <c r="AO599" s="369"/>
      <c r="AP599" s="359"/>
      <c r="AQ599" s="330"/>
      <c r="AR599" s="331"/>
      <c r="AS599" s="330"/>
      <c r="AT599" s="330"/>
      <c r="AU599" s="331"/>
      <c r="AV599" s="331"/>
      <c r="AW599" s="331"/>
      <c r="AX599" s="332"/>
      <c r="AY599" s="333"/>
      <c r="AZ599" s="334"/>
      <c r="BA599" s="319"/>
      <c r="BB599" s="319"/>
      <c r="BC599" s="319"/>
    </row>
    <row r="600" spans="1:55" ht="28" customHeight="1" x14ac:dyDescent="0.25">
      <c r="A600" s="322">
        <v>591</v>
      </c>
      <c r="B600" s="323">
        <v>45114</v>
      </c>
      <c r="C600" s="77" t="s">
        <v>134</v>
      </c>
      <c r="D600" s="77" t="s">
        <v>135</v>
      </c>
      <c r="E600" s="77" t="s">
        <v>136</v>
      </c>
      <c r="F600" s="330" t="s">
        <v>1186</v>
      </c>
      <c r="G600" s="330" t="s">
        <v>1796</v>
      </c>
      <c r="H600" s="330" t="s">
        <v>110</v>
      </c>
      <c r="I600" s="330" t="s">
        <v>126</v>
      </c>
      <c r="J600" s="370" t="s">
        <v>1803</v>
      </c>
      <c r="K600" s="371"/>
      <c r="L600" s="342" t="s">
        <v>113</v>
      </c>
      <c r="M600" s="342" t="s">
        <v>126</v>
      </c>
      <c r="N600" s="342" t="s">
        <v>80</v>
      </c>
      <c r="O600" s="342" t="s">
        <v>1219</v>
      </c>
      <c r="P600" s="342" t="s">
        <v>80</v>
      </c>
      <c r="Q600" s="371" t="s">
        <v>1797</v>
      </c>
      <c r="R600" s="181">
        <v>2</v>
      </c>
      <c r="S600" s="76">
        <v>0</v>
      </c>
      <c r="T600" s="76">
        <v>0</v>
      </c>
      <c r="U600" s="76">
        <v>0</v>
      </c>
      <c r="V600" s="76">
        <v>0</v>
      </c>
      <c r="W600" s="76">
        <v>0</v>
      </c>
      <c r="X600" s="76">
        <v>0</v>
      </c>
      <c r="Y600" s="76">
        <v>0</v>
      </c>
      <c r="Z600" s="76">
        <v>0</v>
      </c>
      <c r="AA600" s="76">
        <v>0</v>
      </c>
      <c r="AB600" s="76">
        <v>0</v>
      </c>
      <c r="AC600" s="76">
        <v>0</v>
      </c>
      <c r="AD600" s="76">
        <v>0</v>
      </c>
      <c r="AE600" s="76">
        <v>0</v>
      </c>
      <c r="AF600" s="76">
        <v>0</v>
      </c>
      <c r="AG600" s="76">
        <v>0</v>
      </c>
      <c r="AH600" s="76">
        <v>0</v>
      </c>
      <c r="AI600" s="76">
        <v>0</v>
      </c>
      <c r="AJ600" s="76">
        <v>0</v>
      </c>
      <c r="AK600" s="76">
        <v>0</v>
      </c>
      <c r="AL600" s="215">
        <f t="shared" si="23"/>
        <v>2</v>
      </c>
      <c r="AM600" s="216">
        <f>0</f>
        <v>0</v>
      </c>
      <c r="AN600" s="217">
        <f t="shared" si="24"/>
        <v>2</v>
      </c>
      <c r="AO600" s="369"/>
      <c r="AP600" s="359"/>
      <c r="AQ600" s="330"/>
      <c r="AR600" s="331"/>
      <c r="AS600" s="330"/>
      <c r="AT600" s="330"/>
      <c r="AU600" s="331"/>
      <c r="AV600" s="331"/>
      <c r="AW600" s="331"/>
      <c r="AX600" s="332"/>
      <c r="AY600" s="333"/>
      <c r="AZ600" s="334"/>
      <c r="BA600" s="319"/>
      <c r="BB600" s="319"/>
      <c r="BC600" s="319"/>
    </row>
    <row r="601" spans="1:55" ht="28" customHeight="1" x14ac:dyDescent="0.25">
      <c r="A601" s="322">
        <v>592</v>
      </c>
      <c r="B601" s="323">
        <v>45114</v>
      </c>
      <c r="C601" s="77" t="s">
        <v>134</v>
      </c>
      <c r="D601" s="77" t="s">
        <v>135</v>
      </c>
      <c r="E601" s="77" t="s">
        <v>136</v>
      </c>
      <c r="F601" s="330" t="s">
        <v>1186</v>
      </c>
      <c r="G601" s="330" t="s">
        <v>1798</v>
      </c>
      <c r="H601" s="330" t="s">
        <v>110</v>
      </c>
      <c r="I601" s="330" t="s">
        <v>126</v>
      </c>
      <c r="J601" s="370" t="s">
        <v>1804</v>
      </c>
      <c r="K601" s="371"/>
      <c r="L601" s="342" t="s">
        <v>113</v>
      </c>
      <c r="M601" s="342" t="s">
        <v>126</v>
      </c>
      <c r="N601" s="342" t="s">
        <v>80</v>
      </c>
      <c r="O601" s="342" t="s">
        <v>1219</v>
      </c>
      <c r="P601" s="342" t="s">
        <v>80</v>
      </c>
      <c r="Q601" s="371" t="s">
        <v>1799</v>
      </c>
      <c r="R601" s="181">
        <v>1</v>
      </c>
      <c r="S601" s="76">
        <v>0</v>
      </c>
      <c r="T601" s="76">
        <v>0</v>
      </c>
      <c r="U601" s="76">
        <v>0</v>
      </c>
      <c r="V601" s="76">
        <v>0</v>
      </c>
      <c r="W601" s="76">
        <v>0</v>
      </c>
      <c r="X601" s="76">
        <v>0</v>
      </c>
      <c r="Y601" s="76">
        <v>0</v>
      </c>
      <c r="Z601" s="76">
        <v>0</v>
      </c>
      <c r="AA601" s="76">
        <v>0</v>
      </c>
      <c r="AB601" s="76">
        <v>0</v>
      </c>
      <c r="AC601" s="76">
        <v>0</v>
      </c>
      <c r="AD601" s="76">
        <v>0</v>
      </c>
      <c r="AE601" s="76">
        <v>0</v>
      </c>
      <c r="AF601" s="76">
        <v>0</v>
      </c>
      <c r="AG601" s="76">
        <v>0</v>
      </c>
      <c r="AH601" s="76">
        <v>0</v>
      </c>
      <c r="AI601" s="76">
        <v>0</v>
      </c>
      <c r="AJ601" s="76">
        <v>0</v>
      </c>
      <c r="AK601" s="76">
        <v>0</v>
      </c>
      <c r="AL601" s="215">
        <f t="shared" si="23"/>
        <v>1</v>
      </c>
      <c r="AM601" s="216">
        <f>0</f>
        <v>0</v>
      </c>
      <c r="AN601" s="217">
        <f t="shared" si="24"/>
        <v>1</v>
      </c>
      <c r="AO601" s="369"/>
      <c r="AP601" s="359"/>
      <c r="AQ601" s="330"/>
      <c r="AR601" s="331"/>
      <c r="AS601" s="330"/>
      <c r="AT601" s="330"/>
      <c r="AU601" s="331"/>
      <c r="AV601" s="331"/>
      <c r="AW601" s="331"/>
      <c r="AX601" s="332"/>
      <c r="AY601" s="333"/>
      <c r="AZ601" s="334"/>
      <c r="BA601" s="319"/>
      <c r="BB601" s="319"/>
      <c r="BC601" s="319"/>
    </row>
    <row r="602" spans="1:55" ht="28" customHeight="1" x14ac:dyDescent="0.25">
      <c r="A602" s="322">
        <v>593</v>
      </c>
      <c r="B602" s="323">
        <v>45114</v>
      </c>
      <c r="C602" s="77" t="s">
        <v>134</v>
      </c>
      <c r="D602" s="77" t="s">
        <v>135</v>
      </c>
      <c r="E602" s="77" t="s">
        <v>136</v>
      </c>
      <c r="F602" s="330" t="s">
        <v>1186</v>
      </c>
      <c r="G602" s="330" t="s">
        <v>1800</v>
      </c>
      <c r="H602" s="330" t="s">
        <v>287</v>
      </c>
      <c r="I602" s="330" t="s">
        <v>126</v>
      </c>
      <c r="J602" s="370" t="s">
        <v>1805</v>
      </c>
      <c r="K602" s="371"/>
      <c r="L602" s="342" t="s">
        <v>113</v>
      </c>
      <c r="M602" s="342" t="s">
        <v>126</v>
      </c>
      <c r="N602" s="342" t="s">
        <v>80</v>
      </c>
      <c r="O602" s="342" t="s">
        <v>1219</v>
      </c>
      <c r="P602" s="342" t="s">
        <v>80</v>
      </c>
      <c r="Q602" s="371" t="s">
        <v>1799</v>
      </c>
      <c r="R602" s="181">
        <v>2</v>
      </c>
      <c r="S602" s="76">
        <v>0</v>
      </c>
      <c r="T602" s="76">
        <v>0</v>
      </c>
      <c r="U602" s="76">
        <v>0</v>
      </c>
      <c r="V602" s="76">
        <v>0</v>
      </c>
      <c r="W602" s="76">
        <v>0</v>
      </c>
      <c r="X602" s="76">
        <v>0</v>
      </c>
      <c r="Y602" s="76">
        <v>0</v>
      </c>
      <c r="Z602" s="76">
        <v>0</v>
      </c>
      <c r="AA602" s="76">
        <v>0</v>
      </c>
      <c r="AB602" s="76">
        <v>0</v>
      </c>
      <c r="AC602" s="76">
        <v>0</v>
      </c>
      <c r="AD602" s="76">
        <v>0</v>
      </c>
      <c r="AE602" s="76">
        <v>0</v>
      </c>
      <c r="AF602" s="76">
        <v>0</v>
      </c>
      <c r="AG602" s="76">
        <v>0</v>
      </c>
      <c r="AH602" s="76">
        <v>0</v>
      </c>
      <c r="AI602" s="76">
        <v>0</v>
      </c>
      <c r="AJ602" s="76">
        <v>0</v>
      </c>
      <c r="AK602" s="76">
        <v>0</v>
      </c>
      <c r="AL602" s="215">
        <f t="shared" si="23"/>
        <v>2</v>
      </c>
      <c r="AM602" s="216">
        <f>0</f>
        <v>0</v>
      </c>
      <c r="AN602" s="217">
        <f t="shared" si="24"/>
        <v>2</v>
      </c>
      <c r="AO602" s="369"/>
      <c r="AP602" s="359"/>
      <c r="AQ602" s="330"/>
      <c r="AR602" s="331"/>
      <c r="AS602" s="330"/>
      <c r="AT602" s="330"/>
      <c r="AU602" s="331"/>
      <c r="AV602" s="331"/>
      <c r="AW602" s="331"/>
      <c r="AX602" s="332"/>
      <c r="AY602" s="333"/>
      <c r="AZ602" s="334"/>
      <c r="BA602" s="319"/>
      <c r="BB602" s="319"/>
      <c r="BC602" s="319"/>
    </row>
    <row r="603" spans="1:55" ht="28" customHeight="1" x14ac:dyDescent="0.25">
      <c r="A603" s="322">
        <v>594</v>
      </c>
      <c r="B603" s="323">
        <v>45114</v>
      </c>
      <c r="C603" s="77" t="s">
        <v>134</v>
      </c>
      <c r="D603" s="77" t="s">
        <v>135</v>
      </c>
      <c r="E603" s="77" t="s">
        <v>136</v>
      </c>
      <c r="F603" s="330" t="s">
        <v>1186</v>
      </c>
      <c r="G603" s="330" t="s">
        <v>1801</v>
      </c>
      <c r="H603" s="330" t="s">
        <v>287</v>
      </c>
      <c r="I603" s="330" t="s">
        <v>126</v>
      </c>
      <c r="J603" s="370" t="s">
        <v>1806</v>
      </c>
      <c r="K603" s="371"/>
      <c r="L603" s="342" t="s">
        <v>113</v>
      </c>
      <c r="M603" s="342" t="s">
        <v>126</v>
      </c>
      <c r="N603" s="342" t="s">
        <v>80</v>
      </c>
      <c r="O603" s="342" t="s">
        <v>1219</v>
      </c>
      <c r="P603" s="342" t="s">
        <v>80</v>
      </c>
      <c r="Q603" s="371" t="s">
        <v>1799</v>
      </c>
      <c r="R603" s="181">
        <v>1</v>
      </c>
      <c r="S603" s="76">
        <v>0</v>
      </c>
      <c r="T603" s="76">
        <v>0</v>
      </c>
      <c r="U603" s="76">
        <v>0</v>
      </c>
      <c r="V603" s="76">
        <v>0</v>
      </c>
      <c r="W603" s="76">
        <v>0</v>
      </c>
      <c r="X603" s="76">
        <v>0</v>
      </c>
      <c r="Y603" s="76">
        <v>0</v>
      </c>
      <c r="Z603" s="76">
        <v>0</v>
      </c>
      <c r="AA603" s="76">
        <v>0</v>
      </c>
      <c r="AB603" s="76">
        <v>0</v>
      </c>
      <c r="AC603" s="76">
        <v>0</v>
      </c>
      <c r="AD603" s="76">
        <v>0</v>
      </c>
      <c r="AE603" s="76">
        <v>0</v>
      </c>
      <c r="AF603" s="76">
        <v>0</v>
      </c>
      <c r="AG603" s="76">
        <v>0</v>
      </c>
      <c r="AH603" s="76">
        <v>0</v>
      </c>
      <c r="AI603" s="76">
        <v>0</v>
      </c>
      <c r="AJ603" s="76">
        <v>0</v>
      </c>
      <c r="AK603" s="76">
        <v>0</v>
      </c>
      <c r="AL603" s="215">
        <f t="shared" si="23"/>
        <v>1</v>
      </c>
      <c r="AM603" s="216">
        <f>0</f>
        <v>0</v>
      </c>
      <c r="AN603" s="217">
        <f t="shared" si="24"/>
        <v>1</v>
      </c>
      <c r="AO603" s="369"/>
      <c r="AP603" s="359"/>
      <c r="AQ603" s="330"/>
      <c r="AR603" s="331"/>
      <c r="AS603" s="330"/>
      <c r="AT603" s="330"/>
      <c r="AU603" s="331"/>
      <c r="AV603" s="331"/>
      <c r="AW603" s="331"/>
      <c r="AX603" s="332"/>
      <c r="AY603" s="333"/>
      <c r="AZ603" s="334"/>
      <c r="BA603" s="319"/>
      <c r="BB603" s="319"/>
      <c r="BC603" s="319"/>
    </row>
    <row r="604" spans="1:55" ht="28" customHeight="1" x14ac:dyDescent="0.25">
      <c r="A604" s="372">
        <v>595</v>
      </c>
      <c r="B604" s="373">
        <v>45115</v>
      </c>
      <c r="C604" s="77" t="s">
        <v>134</v>
      </c>
      <c r="D604" s="77" t="s">
        <v>135</v>
      </c>
      <c r="E604" s="77" t="s">
        <v>136</v>
      </c>
      <c r="F604" s="374" t="s">
        <v>1186</v>
      </c>
      <c r="G604" s="374" t="s">
        <v>1813</v>
      </c>
      <c r="H604" s="374" t="s">
        <v>287</v>
      </c>
      <c r="I604" s="374" t="s">
        <v>126</v>
      </c>
      <c r="J604" s="375" t="s">
        <v>1806</v>
      </c>
      <c r="K604" s="376"/>
      <c r="L604" s="377" t="s">
        <v>113</v>
      </c>
      <c r="M604" s="377" t="s">
        <v>126</v>
      </c>
      <c r="N604" s="377" t="s">
        <v>80</v>
      </c>
      <c r="O604" s="342" t="s">
        <v>1219</v>
      </c>
      <c r="P604" s="377" t="s">
        <v>80</v>
      </c>
      <c r="Q604" s="371" t="s">
        <v>1799</v>
      </c>
      <c r="R604" s="289">
        <v>2</v>
      </c>
      <c r="S604" s="76">
        <v>0</v>
      </c>
      <c r="T604" s="76">
        <v>0</v>
      </c>
      <c r="U604" s="76">
        <v>0</v>
      </c>
      <c r="V604" s="76">
        <v>0</v>
      </c>
      <c r="W604" s="76">
        <v>0</v>
      </c>
      <c r="X604" s="76">
        <v>0</v>
      </c>
      <c r="Y604" s="76">
        <v>0</v>
      </c>
      <c r="Z604" s="76">
        <v>0</v>
      </c>
      <c r="AA604" s="76">
        <v>0</v>
      </c>
      <c r="AB604" s="76">
        <v>0</v>
      </c>
      <c r="AC604" s="76">
        <v>0</v>
      </c>
      <c r="AD604" s="76">
        <v>0</v>
      </c>
      <c r="AE604" s="76">
        <v>0</v>
      </c>
      <c r="AF604" s="76">
        <v>0</v>
      </c>
      <c r="AG604" s="76">
        <v>0</v>
      </c>
      <c r="AH604" s="76">
        <v>0</v>
      </c>
      <c r="AI604" s="76">
        <v>0</v>
      </c>
      <c r="AJ604" s="76">
        <v>0</v>
      </c>
      <c r="AK604" s="76">
        <v>0</v>
      </c>
      <c r="AL604" s="290">
        <f t="shared" ref="AL604" si="25">SUM(R604:AK604)</f>
        <v>2</v>
      </c>
      <c r="AM604" s="291">
        <f>0</f>
        <v>0</v>
      </c>
      <c r="AN604" s="292">
        <f t="shared" ref="AN604" si="26">AL604-AM604</f>
        <v>2</v>
      </c>
      <c r="AO604" s="378"/>
      <c r="AP604" s="379"/>
      <c r="AQ604" s="374"/>
      <c r="AR604" s="380"/>
      <c r="AS604" s="374"/>
      <c r="AT604" s="374"/>
      <c r="AU604" s="380"/>
      <c r="AV604" s="380"/>
      <c r="AW604" s="380"/>
      <c r="AX604" s="381"/>
      <c r="AY604" s="382"/>
      <c r="AZ604" s="383"/>
      <c r="BA604" s="319"/>
      <c r="BB604" s="319"/>
      <c r="BC604" s="319"/>
    </row>
    <row r="605" spans="1:55" ht="28" customHeight="1" x14ac:dyDescent="0.25">
      <c r="A605" s="322">
        <v>596</v>
      </c>
      <c r="B605" s="373">
        <v>45117</v>
      </c>
      <c r="C605" s="77" t="s">
        <v>134</v>
      </c>
      <c r="D605" s="77" t="s">
        <v>135</v>
      </c>
      <c r="E605" s="77" t="s">
        <v>136</v>
      </c>
      <c r="F605" s="330" t="s">
        <v>1186</v>
      </c>
      <c r="G605" s="384" t="s">
        <v>1812</v>
      </c>
      <c r="H605" s="384" t="s">
        <v>287</v>
      </c>
      <c r="I605" s="384" t="s">
        <v>126</v>
      </c>
      <c r="J605" s="385" t="s">
        <v>1814</v>
      </c>
      <c r="K605" s="386"/>
      <c r="L605" s="387" t="s">
        <v>113</v>
      </c>
      <c r="M605" s="387" t="s">
        <v>126</v>
      </c>
      <c r="N605" s="387" t="s">
        <v>80</v>
      </c>
      <c r="O605" s="342" t="s">
        <v>1219</v>
      </c>
      <c r="P605" s="387" t="s">
        <v>80</v>
      </c>
      <c r="Q605" s="376" t="s">
        <v>1815</v>
      </c>
      <c r="R605" s="289">
        <v>1</v>
      </c>
      <c r="S605" s="76">
        <v>0</v>
      </c>
      <c r="T605" s="76">
        <v>0</v>
      </c>
      <c r="U605" s="76">
        <v>0</v>
      </c>
      <c r="V605" s="76">
        <v>0</v>
      </c>
      <c r="W605" s="76">
        <v>0</v>
      </c>
      <c r="X605" s="76">
        <v>0</v>
      </c>
      <c r="Y605" s="76">
        <v>0</v>
      </c>
      <c r="Z605" s="76">
        <v>0</v>
      </c>
      <c r="AA605" s="76">
        <v>0</v>
      </c>
      <c r="AB605" s="76">
        <v>0</v>
      </c>
      <c r="AC605" s="76">
        <v>0</v>
      </c>
      <c r="AD605" s="76">
        <v>0</v>
      </c>
      <c r="AE605" s="76">
        <v>0</v>
      </c>
      <c r="AF605" s="76">
        <v>0</v>
      </c>
      <c r="AG605" s="76">
        <v>0</v>
      </c>
      <c r="AH605" s="76">
        <v>0</v>
      </c>
      <c r="AI605" s="76">
        <v>0</v>
      </c>
      <c r="AJ605" s="76">
        <v>0</v>
      </c>
      <c r="AK605" s="76">
        <v>0</v>
      </c>
      <c r="AL605" s="290">
        <f>SUM(R605:AK605)</f>
        <v>1</v>
      </c>
      <c r="AM605" s="293">
        <f>0</f>
        <v>0</v>
      </c>
      <c r="AN605" s="292">
        <f>AL605-AM605</f>
        <v>1</v>
      </c>
      <c r="AO605" s="388"/>
      <c r="AP605" s="389"/>
      <c r="AQ605" s="384"/>
      <c r="AR605" s="390"/>
      <c r="AS605" s="384"/>
      <c r="AT605" s="384"/>
      <c r="AU605" s="390"/>
      <c r="AV605" s="390"/>
      <c r="AW605" s="390"/>
      <c r="AX605" s="391"/>
      <c r="AY605" s="391"/>
      <c r="AZ605" s="392"/>
      <c r="BA605" s="319"/>
      <c r="BB605" s="319"/>
      <c r="BC605" s="319"/>
    </row>
    <row r="606" spans="1:55" ht="28" customHeight="1" x14ac:dyDescent="0.25">
      <c r="A606" s="322">
        <v>597</v>
      </c>
      <c r="B606" s="373">
        <v>45117</v>
      </c>
      <c r="C606" s="77" t="s">
        <v>134</v>
      </c>
      <c r="D606" s="77" t="s">
        <v>135</v>
      </c>
      <c r="E606" s="77" t="s">
        <v>136</v>
      </c>
      <c r="F606" s="330" t="s">
        <v>1186</v>
      </c>
      <c r="G606" s="384" t="s">
        <v>116</v>
      </c>
      <c r="H606" s="384" t="s">
        <v>110</v>
      </c>
      <c r="I606" s="384" t="s">
        <v>117</v>
      </c>
      <c r="J606" s="385" t="s">
        <v>118</v>
      </c>
      <c r="K606" s="386"/>
      <c r="L606" s="387" t="s">
        <v>119</v>
      </c>
      <c r="M606" s="387" t="s">
        <v>114</v>
      </c>
      <c r="N606" s="387" t="s">
        <v>80</v>
      </c>
      <c r="O606" s="387" t="s">
        <v>120</v>
      </c>
      <c r="P606" s="387" t="s">
        <v>80</v>
      </c>
      <c r="Q606" s="376" t="s">
        <v>1815</v>
      </c>
      <c r="R606" s="289">
        <v>1</v>
      </c>
      <c r="S606" s="76">
        <v>0</v>
      </c>
      <c r="T606" s="76">
        <v>0</v>
      </c>
      <c r="U606" s="76">
        <v>0</v>
      </c>
      <c r="V606" s="76">
        <v>0</v>
      </c>
      <c r="W606" s="76">
        <v>0</v>
      </c>
      <c r="X606" s="76">
        <v>0</v>
      </c>
      <c r="Y606" s="76">
        <v>0</v>
      </c>
      <c r="Z606" s="76">
        <v>0</v>
      </c>
      <c r="AA606" s="76">
        <v>0</v>
      </c>
      <c r="AB606" s="76">
        <v>0</v>
      </c>
      <c r="AC606" s="76">
        <v>0</v>
      </c>
      <c r="AD606" s="76">
        <v>0</v>
      </c>
      <c r="AE606" s="76">
        <v>0</v>
      </c>
      <c r="AF606" s="76">
        <v>0</v>
      </c>
      <c r="AG606" s="76">
        <v>0</v>
      </c>
      <c r="AH606" s="76">
        <v>0</v>
      </c>
      <c r="AI606" s="76">
        <v>0</v>
      </c>
      <c r="AJ606" s="76">
        <v>0</v>
      </c>
      <c r="AK606" s="76">
        <v>0</v>
      </c>
      <c r="AL606" s="290">
        <f>SUM(R606:AK606)</f>
        <v>1</v>
      </c>
      <c r="AM606" s="293">
        <f>0</f>
        <v>0</v>
      </c>
      <c r="AN606" s="292">
        <f>AL606-AM606</f>
        <v>1</v>
      </c>
      <c r="AO606" s="388"/>
      <c r="AP606" s="389"/>
      <c r="AQ606" s="384"/>
      <c r="AR606" s="390"/>
      <c r="AS606" s="384"/>
      <c r="AT606" s="384"/>
      <c r="AU606" s="390"/>
      <c r="AV606" s="390"/>
      <c r="AW606" s="390"/>
      <c r="AX606" s="391"/>
      <c r="AY606" s="391"/>
      <c r="AZ606" s="392"/>
      <c r="BA606" s="319"/>
      <c r="BB606" s="319"/>
      <c r="BC606" s="319"/>
    </row>
    <row r="607" spans="1:55" ht="28" customHeight="1" x14ac:dyDescent="0.25">
      <c r="A607" s="322">
        <v>598</v>
      </c>
      <c r="B607" s="373">
        <v>45117</v>
      </c>
      <c r="C607" s="77" t="s">
        <v>134</v>
      </c>
      <c r="D607" s="77" t="s">
        <v>135</v>
      </c>
      <c r="E607" s="77" t="s">
        <v>136</v>
      </c>
      <c r="F607" s="330" t="s">
        <v>1186</v>
      </c>
      <c r="G607" s="374" t="s">
        <v>1816</v>
      </c>
      <c r="H607" s="374" t="s">
        <v>287</v>
      </c>
      <c r="I607" s="384" t="s">
        <v>126</v>
      </c>
      <c r="J607" s="375" t="s">
        <v>1820</v>
      </c>
      <c r="K607" s="376"/>
      <c r="L607" s="377" t="s">
        <v>113</v>
      </c>
      <c r="M607" s="377" t="s">
        <v>126</v>
      </c>
      <c r="N607" s="377" t="s">
        <v>80</v>
      </c>
      <c r="O607" s="342" t="s">
        <v>1219</v>
      </c>
      <c r="P607" s="377" t="s">
        <v>80</v>
      </c>
      <c r="Q607" s="376" t="s">
        <v>1818</v>
      </c>
      <c r="R607" s="289">
        <v>1</v>
      </c>
      <c r="S607" s="76">
        <v>0</v>
      </c>
      <c r="T607" s="76">
        <v>0</v>
      </c>
      <c r="U607" s="76">
        <v>0</v>
      </c>
      <c r="V607" s="76">
        <v>0</v>
      </c>
      <c r="W607" s="76">
        <v>0</v>
      </c>
      <c r="X607" s="76">
        <v>0</v>
      </c>
      <c r="Y607" s="76">
        <v>0</v>
      </c>
      <c r="Z607" s="76">
        <v>0</v>
      </c>
      <c r="AA607" s="76">
        <v>0</v>
      </c>
      <c r="AB607" s="76">
        <v>0</v>
      </c>
      <c r="AC607" s="76">
        <v>0</v>
      </c>
      <c r="AD607" s="76">
        <v>0</v>
      </c>
      <c r="AE607" s="76">
        <v>0</v>
      </c>
      <c r="AF607" s="76">
        <v>0</v>
      </c>
      <c r="AG607" s="76">
        <v>0</v>
      </c>
      <c r="AH607" s="76">
        <v>0</v>
      </c>
      <c r="AI607" s="76">
        <v>0</v>
      </c>
      <c r="AJ607" s="76">
        <v>0</v>
      </c>
      <c r="AK607" s="76">
        <v>0</v>
      </c>
      <c r="AL607" s="290">
        <f>SUM(R607:AK607)</f>
        <v>1</v>
      </c>
      <c r="AM607" s="291">
        <f>0</f>
        <v>0</v>
      </c>
      <c r="AN607" s="292">
        <f>AL607-AM607</f>
        <v>1</v>
      </c>
      <c r="AO607" s="378"/>
      <c r="AP607" s="379"/>
      <c r="AQ607" s="374"/>
      <c r="AR607" s="380"/>
      <c r="AS607" s="374"/>
      <c r="AT607" s="374"/>
      <c r="AU607" s="380"/>
      <c r="AV607" s="380"/>
      <c r="AW607" s="380"/>
      <c r="AX607" s="394"/>
      <c r="AY607" s="394"/>
      <c r="AZ607" s="383"/>
      <c r="BA607" s="319"/>
      <c r="BB607" s="319"/>
      <c r="BC607" s="319"/>
    </row>
    <row r="608" spans="1:55" ht="28" customHeight="1" x14ac:dyDescent="0.25">
      <c r="A608" s="322">
        <v>599</v>
      </c>
      <c r="B608" s="373">
        <v>45117</v>
      </c>
      <c r="C608" s="77" t="s">
        <v>134</v>
      </c>
      <c r="D608" s="77" t="s">
        <v>135</v>
      </c>
      <c r="E608" s="77" t="s">
        <v>136</v>
      </c>
      <c r="F608" s="330" t="s">
        <v>1186</v>
      </c>
      <c r="G608" s="374" t="s">
        <v>1817</v>
      </c>
      <c r="H608" s="374" t="s">
        <v>110</v>
      </c>
      <c r="I608" s="384" t="s">
        <v>126</v>
      </c>
      <c r="J608" s="375" t="s">
        <v>1819</v>
      </c>
      <c r="K608" s="376"/>
      <c r="L608" s="377" t="s">
        <v>113</v>
      </c>
      <c r="M608" s="377" t="s">
        <v>126</v>
      </c>
      <c r="N608" s="377" t="s">
        <v>80</v>
      </c>
      <c r="O608" s="342" t="s">
        <v>1219</v>
      </c>
      <c r="P608" s="377" t="s">
        <v>80</v>
      </c>
      <c r="Q608" s="376" t="s">
        <v>1818</v>
      </c>
      <c r="R608" s="289">
        <v>1</v>
      </c>
      <c r="S608" s="76">
        <v>0</v>
      </c>
      <c r="T608" s="76">
        <v>0</v>
      </c>
      <c r="U608" s="76">
        <v>0</v>
      </c>
      <c r="V608" s="76">
        <v>0</v>
      </c>
      <c r="W608" s="76">
        <v>0</v>
      </c>
      <c r="X608" s="76">
        <v>0</v>
      </c>
      <c r="Y608" s="76">
        <v>0</v>
      </c>
      <c r="Z608" s="76">
        <v>0</v>
      </c>
      <c r="AA608" s="76">
        <v>0</v>
      </c>
      <c r="AB608" s="76">
        <v>0</v>
      </c>
      <c r="AC608" s="76">
        <v>0</v>
      </c>
      <c r="AD608" s="76">
        <v>0</v>
      </c>
      <c r="AE608" s="76">
        <v>0</v>
      </c>
      <c r="AF608" s="76">
        <v>0</v>
      </c>
      <c r="AG608" s="76">
        <v>0</v>
      </c>
      <c r="AH608" s="76">
        <v>0</v>
      </c>
      <c r="AI608" s="76">
        <v>0</v>
      </c>
      <c r="AJ608" s="76">
        <v>0</v>
      </c>
      <c r="AK608" s="76">
        <v>0</v>
      </c>
      <c r="AL608" s="290">
        <f>SUM(R608:AK608)</f>
        <v>1</v>
      </c>
      <c r="AM608" s="291">
        <f>0</f>
        <v>0</v>
      </c>
      <c r="AN608" s="292">
        <f>AL608-AM608</f>
        <v>1</v>
      </c>
      <c r="AO608" s="378"/>
      <c r="AP608" s="379"/>
      <c r="AQ608" s="374"/>
      <c r="AR608" s="380"/>
      <c r="AS608" s="374"/>
      <c r="AT608" s="374"/>
      <c r="AU608" s="380"/>
      <c r="AV608" s="380"/>
      <c r="AW608" s="380"/>
      <c r="AX608" s="394"/>
      <c r="AY608" s="394"/>
      <c r="AZ608" s="383"/>
      <c r="BA608" s="319"/>
      <c r="BB608" s="319"/>
      <c r="BC608" s="319"/>
    </row>
    <row r="609" spans="1:55" ht="28" customHeight="1" x14ac:dyDescent="0.25">
      <c r="A609" s="322">
        <v>600</v>
      </c>
      <c r="B609" s="373">
        <v>45117</v>
      </c>
      <c r="C609" s="77" t="s">
        <v>134</v>
      </c>
      <c r="D609" s="77" t="s">
        <v>135</v>
      </c>
      <c r="E609" s="77" t="s">
        <v>136</v>
      </c>
      <c r="F609" s="374" t="s">
        <v>1186</v>
      </c>
      <c r="G609" s="374" t="s">
        <v>116</v>
      </c>
      <c r="H609" s="374" t="s">
        <v>110</v>
      </c>
      <c r="I609" s="374" t="s">
        <v>117</v>
      </c>
      <c r="J609" s="375" t="s">
        <v>118</v>
      </c>
      <c r="K609" s="376"/>
      <c r="L609" s="393" t="s">
        <v>119</v>
      </c>
      <c r="M609" s="393" t="s">
        <v>114</v>
      </c>
      <c r="N609" s="393" t="s">
        <v>80</v>
      </c>
      <c r="O609" s="393" t="s">
        <v>120</v>
      </c>
      <c r="P609" s="393" t="s">
        <v>80</v>
      </c>
      <c r="Q609" s="376" t="s">
        <v>1818</v>
      </c>
      <c r="R609" s="289">
        <v>1</v>
      </c>
      <c r="S609" s="76">
        <v>0</v>
      </c>
      <c r="T609" s="76">
        <v>0</v>
      </c>
      <c r="U609" s="76">
        <v>0</v>
      </c>
      <c r="V609" s="76">
        <v>0</v>
      </c>
      <c r="W609" s="76">
        <v>0</v>
      </c>
      <c r="X609" s="76">
        <v>0</v>
      </c>
      <c r="Y609" s="76">
        <v>0</v>
      </c>
      <c r="Z609" s="76">
        <v>0</v>
      </c>
      <c r="AA609" s="76">
        <v>0</v>
      </c>
      <c r="AB609" s="76">
        <v>0</v>
      </c>
      <c r="AC609" s="76">
        <v>0</v>
      </c>
      <c r="AD609" s="76">
        <v>0</v>
      </c>
      <c r="AE609" s="76">
        <v>0</v>
      </c>
      <c r="AF609" s="76">
        <v>0</v>
      </c>
      <c r="AG609" s="76">
        <v>0</v>
      </c>
      <c r="AH609" s="76">
        <v>0</v>
      </c>
      <c r="AI609" s="76">
        <v>0</v>
      </c>
      <c r="AJ609" s="76">
        <v>0</v>
      </c>
      <c r="AK609" s="76">
        <v>0</v>
      </c>
      <c r="AL609" s="290">
        <f>SUM(R609:AK609)</f>
        <v>1</v>
      </c>
      <c r="AM609" s="291">
        <f>0</f>
        <v>0</v>
      </c>
      <c r="AN609" s="292">
        <f>AL609-AM609</f>
        <v>1</v>
      </c>
      <c r="AO609" s="378"/>
      <c r="AP609" s="379"/>
      <c r="AQ609" s="374"/>
      <c r="AR609" s="380"/>
      <c r="AS609" s="374"/>
      <c r="AT609" s="374"/>
      <c r="AU609" s="380"/>
      <c r="AV609" s="380"/>
      <c r="AW609" s="380"/>
      <c r="AX609" s="394"/>
      <c r="AY609" s="394"/>
      <c r="AZ609" s="383"/>
      <c r="BA609" s="319"/>
      <c r="BB609" s="319"/>
      <c r="BC609" s="319"/>
    </row>
  </sheetData>
  <sheetProtection formatCells="0" formatColumns="0" formatRows="0" insertColumns="0" insertRows="0" insertHyperlinks="0" deleteColumns="0" deleteRows="0" sort="0" autoFilter="0" pivotTables="0"/>
  <mergeCells count="8">
    <mergeCell ref="S3:AA4"/>
    <mergeCell ref="AB3:AK4"/>
    <mergeCell ref="AZ1:AZ2"/>
    <mergeCell ref="AO1:AT2"/>
    <mergeCell ref="AU1:AW2"/>
    <mergeCell ref="AX1:AY2"/>
    <mergeCell ref="R1:AK2"/>
    <mergeCell ref="R3:R4"/>
  </mergeCells>
  <phoneticPr fontId="3" type="noConversion"/>
  <conditionalFormatting sqref="BA1:CD384 BA548:CD604 BA606:CD1048576">
    <cfRule type="containsBlanks" dxfId="87" priority="114" stopIfTrue="1">
      <formula>LEN(TRIM(BA1))=0</formula>
    </cfRule>
  </conditionalFormatting>
  <conditionalFormatting sqref="R6:AK17 S18:AK145 R18:R377 R570:U598 R600:R604 R599:AK599 S600:AK609">
    <cfRule type="cellIs" dxfId="86" priority="55" stopIfTrue="1" operator="equal">
      <formula>0</formula>
    </cfRule>
    <cfRule type="cellIs" dxfId="85" priority="56" stopIfTrue="1" operator="greaterThan">
      <formula>0</formula>
    </cfRule>
  </conditionalFormatting>
  <conditionalFormatting sqref="AM6:AM609">
    <cfRule type="cellIs" dxfId="84" priority="54" stopIfTrue="1" operator="equal">
      <formula>0</formula>
    </cfRule>
  </conditionalFormatting>
  <conditionalFormatting sqref="AW6">
    <cfRule type="cellIs" dxfId="83" priority="53" stopIfTrue="1" operator="greaterThan">
      <formula>0</formula>
    </cfRule>
  </conditionalFormatting>
  <conditionalFormatting sqref="AV6:AV145">
    <cfRule type="cellIs" dxfId="82" priority="51" stopIfTrue="1" operator="greaterThan">
      <formula>0</formula>
    </cfRule>
    <cfRule type="cellIs" dxfId="81" priority="52" stopIfTrue="1" operator="equal">
      <formula>0</formula>
    </cfRule>
  </conditionalFormatting>
  <conditionalFormatting sqref="R378:R384">
    <cfRule type="cellIs" dxfId="80" priority="49" stopIfTrue="1" operator="equal">
      <formula>0</formula>
    </cfRule>
    <cfRule type="cellIs" dxfId="79" priority="50" stopIfTrue="1" operator="greaterThan">
      <formula>0</formula>
    </cfRule>
  </conditionalFormatting>
  <conditionalFormatting sqref="BA385:CD387">
    <cfRule type="containsBlanks" dxfId="78" priority="48" stopIfTrue="1">
      <formula>LEN(TRIM(BA385))=0</formula>
    </cfRule>
  </conditionalFormatting>
  <conditionalFormatting sqref="R385:R401">
    <cfRule type="cellIs" dxfId="77" priority="45" stopIfTrue="1" operator="equal">
      <formula>0</formula>
    </cfRule>
    <cfRule type="cellIs" dxfId="76" priority="46" stopIfTrue="1" operator="greaterThan">
      <formula>0</formula>
    </cfRule>
  </conditionalFormatting>
  <conditionalFormatting sqref="BA388:CD401">
    <cfRule type="containsBlanks" dxfId="75" priority="43" stopIfTrue="1">
      <formula>LEN(TRIM(BA388))=0</formula>
    </cfRule>
  </conditionalFormatting>
  <conditionalFormatting sqref="R402">
    <cfRule type="cellIs" dxfId="74" priority="38" stopIfTrue="1" operator="equal">
      <formula>0</formula>
    </cfRule>
    <cfRule type="cellIs" dxfId="73" priority="39" stopIfTrue="1" operator="greaterThan">
      <formula>0</formula>
    </cfRule>
  </conditionalFormatting>
  <conditionalFormatting sqref="BA402:CD402">
    <cfRule type="containsBlanks" dxfId="72" priority="37" stopIfTrue="1">
      <formula>LEN(TRIM(BA402))=0</formula>
    </cfRule>
  </conditionalFormatting>
  <conditionalFormatting sqref="R403:R475">
    <cfRule type="cellIs" dxfId="71" priority="34" stopIfTrue="1" operator="equal">
      <formula>0</formula>
    </cfRule>
    <cfRule type="cellIs" dxfId="70" priority="35" stopIfTrue="1" operator="greaterThan">
      <formula>0</formula>
    </cfRule>
  </conditionalFormatting>
  <conditionalFormatting sqref="BA403:CD405">
    <cfRule type="containsBlanks" dxfId="69" priority="33" stopIfTrue="1">
      <formula>LEN(TRIM(BA403))=0</formula>
    </cfRule>
  </conditionalFormatting>
  <conditionalFormatting sqref="BA406:CD475">
    <cfRule type="containsBlanks" dxfId="68" priority="32" stopIfTrue="1">
      <formula>LEN(TRIM(BA406))=0</formula>
    </cfRule>
  </conditionalFormatting>
  <conditionalFormatting sqref="BA476:CD544">
    <cfRule type="containsBlanks" dxfId="67" priority="24" stopIfTrue="1">
      <formula>LEN(TRIM(BA476))=0</formula>
    </cfRule>
  </conditionalFormatting>
  <conditionalFormatting sqref="R476:AK544 R548:AG548 R552:AG552 R554:AG554 S556:AG556 S558:AG558 R560:AG560 S562:AG562 R564:AG564 R566:AG566 R568:AG568">
    <cfRule type="cellIs" dxfId="66" priority="22" stopIfTrue="1" operator="equal">
      <formula>0</formula>
    </cfRule>
    <cfRule type="cellIs" dxfId="65" priority="23" stopIfTrue="1" operator="greaterThan">
      <formula>0</formula>
    </cfRule>
  </conditionalFormatting>
  <conditionalFormatting sqref="AV476:AV547">
    <cfRule type="cellIs" dxfId="64" priority="20" stopIfTrue="1" operator="greaterThan">
      <formula>0</formula>
    </cfRule>
    <cfRule type="cellIs" dxfId="63" priority="21" stopIfTrue="1" operator="equal">
      <formula>0</formula>
    </cfRule>
  </conditionalFormatting>
  <conditionalFormatting sqref="BA545:CD546">
    <cfRule type="containsBlanks" dxfId="62" priority="16" stopIfTrue="1">
      <formula>LEN(TRIM(BA545))=0</formula>
    </cfRule>
  </conditionalFormatting>
  <conditionalFormatting sqref="R545:AK546 R549:AG550 R556 R561:R562">
    <cfRule type="cellIs" dxfId="61" priority="14" stopIfTrue="1" operator="equal">
      <formula>0</formula>
    </cfRule>
    <cfRule type="cellIs" dxfId="60" priority="15" stopIfTrue="1" operator="greaterThan">
      <formula>0</formula>
    </cfRule>
  </conditionalFormatting>
  <conditionalFormatting sqref="BA547:CD547">
    <cfRule type="containsBlanks" dxfId="59" priority="9" stopIfTrue="1">
      <formula>LEN(TRIM(BA547))=0</formula>
    </cfRule>
  </conditionalFormatting>
  <conditionalFormatting sqref="R547:AK547 R551:AG551 R553:AG553 R555:AG555 S557:AG557 R559:AG559 S561:AG561 R563:AG563 R565:AG565 R567:AG567 R569:AG569 AH548:AK569">
    <cfRule type="cellIs" dxfId="58" priority="7" stopIfTrue="1" operator="equal">
      <formula>0</formula>
    </cfRule>
    <cfRule type="cellIs" dxfId="57" priority="8" stopIfTrue="1" operator="greaterThan">
      <formula>0</formula>
    </cfRule>
  </conditionalFormatting>
  <conditionalFormatting sqref="R558">
    <cfRule type="cellIs" dxfId="56" priority="5" stopIfTrue="1" operator="equal">
      <formula>0</formula>
    </cfRule>
    <cfRule type="cellIs" dxfId="55" priority="6" stopIfTrue="1" operator="greaterThan">
      <formula>0</formula>
    </cfRule>
  </conditionalFormatting>
  <conditionalFormatting sqref="R557">
    <cfRule type="cellIs" dxfId="54" priority="3" stopIfTrue="1" operator="equal">
      <formula>0</formula>
    </cfRule>
    <cfRule type="cellIs" dxfId="53" priority="4" stopIfTrue="1" operator="greaterThan">
      <formula>0</formula>
    </cfRule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8" r:id="rId7"/>
    <hyperlink ref="D8" r:id="rId8"/>
    <hyperlink ref="E8" r:id="rId9"/>
    <hyperlink ref="C9" r:id="rId10"/>
    <hyperlink ref="D9" r:id="rId11"/>
    <hyperlink ref="E9" r:id="rId12"/>
    <hyperlink ref="C10" r:id="rId13"/>
    <hyperlink ref="D10" r:id="rId14"/>
    <hyperlink ref="E10" r:id="rId15"/>
    <hyperlink ref="C11" r:id="rId16"/>
    <hyperlink ref="D11" r:id="rId17"/>
    <hyperlink ref="E11" r:id="rId18"/>
    <hyperlink ref="C12" r:id="rId19"/>
    <hyperlink ref="D12" r:id="rId20"/>
    <hyperlink ref="E12" r:id="rId21"/>
    <hyperlink ref="C13" r:id="rId22"/>
    <hyperlink ref="D13" r:id="rId23"/>
    <hyperlink ref="E13" r:id="rId24"/>
    <hyperlink ref="C14" r:id="rId25"/>
    <hyperlink ref="D14" r:id="rId26"/>
    <hyperlink ref="E14" r:id="rId27"/>
    <hyperlink ref="C15" r:id="rId28"/>
    <hyperlink ref="D15" r:id="rId29"/>
    <hyperlink ref="E15" r:id="rId30"/>
    <hyperlink ref="C16" r:id="rId31"/>
    <hyperlink ref="D16" r:id="rId32"/>
    <hyperlink ref="E16" r:id="rId33"/>
    <hyperlink ref="C17" r:id="rId34"/>
    <hyperlink ref="D17" r:id="rId35"/>
    <hyperlink ref="E17" r:id="rId36"/>
    <hyperlink ref="C18" r:id="rId37"/>
    <hyperlink ref="D18" r:id="rId38"/>
    <hyperlink ref="E18" r:id="rId39"/>
    <hyperlink ref="C19" r:id="rId40"/>
    <hyperlink ref="D19" r:id="rId41"/>
    <hyperlink ref="E19" r:id="rId42"/>
    <hyperlink ref="C20" r:id="rId43"/>
    <hyperlink ref="D20" r:id="rId44"/>
    <hyperlink ref="E20" r:id="rId45"/>
    <hyperlink ref="C21" r:id="rId46"/>
    <hyperlink ref="D21" r:id="rId47"/>
    <hyperlink ref="E21" r:id="rId48"/>
    <hyperlink ref="C23" r:id="rId49"/>
    <hyperlink ref="D23" r:id="rId50"/>
    <hyperlink ref="E23" r:id="rId51"/>
    <hyperlink ref="C24" r:id="rId52"/>
    <hyperlink ref="D24" r:id="rId53"/>
    <hyperlink ref="E24" r:id="rId54"/>
    <hyperlink ref="C25" r:id="rId55"/>
    <hyperlink ref="D25" r:id="rId56"/>
    <hyperlink ref="E25" r:id="rId57"/>
    <hyperlink ref="C26" r:id="rId58"/>
    <hyperlink ref="D26" r:id="rId59"/>
    <hyperlink ref="E26" r:id="rId60"/>
    <hyperlink ref="C27" r:id="rId61"/>
    <hyperlink ref="D27" r:id="rId62"/>
    <hyperlink ref="E27" r:id="rId63"/>
    <hyperlink ref="C28" r:id="rId64"/>
    <hyperlink ref="D28" r:id="rId65"/>
    <hyperlink ref="E28" r:id="rId66"/>
    <hyperlink ref="C29" r:id="rId67"/>
    <hyperlink ref="D29" r:id="rId68"/>
    <hyperlink ref="E29" r:id="rId69"/>
    <hyperlink ref="C30" r:id="rId70"/>
    <hyperlink ref="D30" r:id="rId71"/>
    <hyperlink ref="E30" r:id="rId72"/>
    <hyperlink ref="C31" r:id="rId73"/>
    <hyperlink ref="D31" r:id="rId74"/>
    <hyperlink ref="E31" r:id="rId75"/>
    <hyperlink ref="C32" r:id="rId76"/>
    <hyperlink ref="D32" r:id="rId77"/>
    <hyperlink ref="E32" r:id="rId78"/>
    <hyperlink ref="C33" r:id="rId79"/>
    <hyperlink ref="D33" r:id="rId80"/>
    <hyperlink ref="E33" r:id="rId81"/>
    <hyperlink ref="C34" r:id="rId82"/>
    <hyperlink ref="D34" r:id="rId83"/>
    <hyperlink ref="E34" r:id="rId84"/>
    <hyperlink ref="C35" r:id="rId85"/>
    <hyperlink ref="D35" r:id="rId86"/>
    <hyperlink ref="E35" r:id="rId87"/>
    <hyperlink ref="C36" r:id="rId88"/>
    <hyperlink ref="D36" r:id="rId89"/>
    <hyperlink ref="E36" r:id="rId90"/>
    <hyperlink ref="C37" r:id="rId91"/>
    <hyperlink ref="D37" r:id="rId92"/>
    <hyperlink ref="E37" r:id="rId93"/>
    <hyperlink ref="C38" r:id="rId94"/>
    <hyperlink ref="D38" r:id="rId95"/>
    <hyperlink ref="E38" r:id="rId96"/>
    <hyperlink ref="C39" r:id="rId97"/>
    <hyperlink ref="D39" r:id="rId98"/>
    <hyperlink ref="E39" r:id="rId99"/>
    <hyperlink ref="C40" r:id="rId100"/>
    <hyperlink ref="D40" r:id="rId101"/>
    <hyperlink ref="E40" r:id="rId102"/>
    <hyperlink ref="C41" r:id="rId103"/>
    <hyperlink ref="D41" r:id="rId104"/>
    <hyperlink ref="E41" r:id="rId105"/>
    <hyperlink ref="C42" r:id="rId106"/>
    <hyperlink ref="D42" r:id="rId107"/>
    <hyperlink ref="E42" r:id="rId108"/>
    <hyperlink ref="C43" r:id="rId109"/>
    <hyperlink ref="D43" r:id="rId110"/>
    <hyperlink ref="E43" r:id="rId111"/>
    <hyperlink ref="C44" r:id="rId112"/>
    <hyperlink ref="D44" r:id="rId113"/>
    <hyperlink ref="E44" r:id="rId114"/>
    <hyperlink ref="C45" r:id="rId115"/>
    <hyperlink ref="D45" r:id="rId116"/>
    <hyperlink ref="E45" r:id="rId117"/>
    <hyperlink ref="C46" r:id="rId118"/>
    <hyperlink ref="D46" r:id="rId119"/>
    <hyperlink ref="E46" r:id="rId120"/>
    <hyperlink ref="C48" r:id="rId121"/>
    <hyperlink ref="D48" r:id="rId122"/>
    <hyperlink ref="E48" r:id="rId123"/>
    <hyperlink ref="C49" r:id="rId124"/>
    <hyperlink ref="D49" r:id="rId125"/>
    <hyperlink ref="E49" r:id="rId126"/>
    <hyperlink ref="C50" r:id="rId127"/>
    <hyperlink ref="D50" r:id="rId128"/>
    <hyperlink ref="E50" r:id="rId129"/>
    <hyperlink ref="C51" r:id="rId130"/>
    <hyperlink ref="D51" r:id="rId131"/>
    <hyperlink ref="E51" r:id="rId132"/>
    <hyperlink ref="C52" r:id="rId133"/>
    <hyperlink ref="D52" r:id="rId134"/>
    <hyperlink ref="E52" r:id="rId135"/>
    <hyperlink ref="C53" r:id="rId136"/>
    <hyperlink ref="D53" r:id="rId137"/>
    <hyperlink ref="E53" r:id="rId138"/>
    <hyperlink ref="C54" r:id="rId139"/>
    <hyperlink ref="D54" r:id="rId140"/>
    <hyperlink ref="E54" r:id="rId141"/>
    <hyperlink ref="C55" r:id="rId142"/>
    <hyperlink ref="D55" r:id="rId143"/>
    <hyperlink ref="E55" r:id="rId144"/>
    <hyperlink ref="C56" r:id="rId145"/>
    <hyperlink ref="D56" r:id="rId146"/>
    <hyperlink ref="E56" r:id="rId147"/>
    <hyperlink ref="C57" r:id="rId148"/>
    <hyperlink ref="D57" r:id="rId149"/>
    <hyperlink ref="E57" r:id="rId150"/>
    <hyperlink ref="C58" r:id="rId151"/>
    <hyperlink ref="D58" r:id="rId152"/>
    <hyperlink ref="E58" r:id="rId153"/>
    <hyperlink ref="C59" r:id="rId154"/>
    <hyperlink ref="D59" r:id="rId155"/>
    <hyperlink ref="E59" r:id="rId156"/>
    <hyperlink ref="C60" r:id="rId157"/>
    <hyperlink ref="D60" r:id="rId158"/>
    <hyperlink ref="E60" r:id="rId159"/>
    <hyperlink ref="C61" r:id="rId160"/>
    <hyperlink ref="D61" r:id="rId161"/>
    <hyperlink ref="E61" r:id="rId162"/>
    <hyperlink ref="C62" r:id="rId163"/>
    <hyperlink ref="D62" r:id="rId164"/>
    <hyperlink ref="E62" r:id="rId165"/>
    <hyperlink ref="C63" r:id="rId166"/>
    <hyperlink ref="D63" r:id="rId167"/>
    <hyperlink ref="E63" r:id="rId168"/>
    <hyperlink ref="C64" r:id="rId169"/>
    <hyperlink ref="D64" r:id="rId170"/>
    <hyperlink ref="E64" r:id="rId171"/>
    <hyperlink ref="C65" r:id="rId172"/>
    <hyperlink ref="D65" r:id="rId173"/>
    <hyperlink ref="E65" r:id="rId174"/>
    <hyperlink ref="C66" r:id="rId175"/>
    <hyperlink ref="D66" r:id="rId176"/>
    <hyperlink ref="E66" r:id="rId177"/>
    <hyperlink ref="C67" r:id="rId178"/>
    <hyperlink ref="D67" r:id="rId179"/>
    <hyperlink ref="E67" r:id="rId180"/>
    <hyperlink ref="C68" r:id="rId181"/>
    <hyperlink ref="D68" r:id="rId182"/>
    <hyperlink ref="E68" r:id="rId183"/>
    <hyperlink ref="C69" r:id="rId184"/>
    <hyperlink ref="D69" r:id="rId185"/>
    <hyperlink ref="E69" r:id="rId186"/>
    <hyperlink ref="C70" r:id="rId187"/>
    <hyperlink ref="D70" r:id="rId188"/>
    <hyperlink ref="E70" r:id="rId189"/>
    <hyperlink ref="C71" r:id="rId190"/>
    <hyperlink ref="D71" r:id="rId191"/>
    <hyperlink ref="E71" r:id="rId192"/>
    <hyperlink ref="C72" r:id="rId193"/>
    <hyperlink ref="D72" r:id="rId194"/>
    <hyperlink ref="E72" r:id="rId195"/>
    <hyperlink ref="C73" r:id="rId196"/>
    <hyperlink ref="D73" r:id="rId197"/>
    <hyperlink ref="E73" r:id="rId198"/>
    <hyperlink ref="C74" r:id="rId199"/>
    <hyperlink ref="D74" r:id="rId200"/>
    <hyperlink ref="E74" r:id="rId201"/>
    <hyperlink ref="C75" r:id="rId202"/>
    <hyperlink ref="D75" r:id="rId203"/>
    <hyperlink ref="E75" r:id="rId204"/>
    <hyperlink ref="C76" r:id="rId205"/>
    <hyperlink ref="D76" r:id="rId206"/>
    <hyperlink ref="E76" r:id="rId207"/>
    <hyperlink ref="C77" r:id="rId208"/>
    <hyperlink ref="D77" r:id="rId209"/>
    <hyperlink ref="E77" r:id="rId210"/>
    <hyperlink ref="C78" r:id="rId211"/>
    <hyperlink ref="D78" r:id="rId212"/>
    <hyperlink ref="E78" r:id="rId213"/>
    <hyperlink ref="C79" r:id="rId214"/>
    <hyperlink ref="D79" r:id="rId215"/>
    <hyperlink ref="E79" r:id="rId216"/>
    <hyperlink ref="C80" r:id="rId217"/>
    <hyperlink ref="D80" r:id="rId218"/>
    <hyperlink ref="E80" r:id="rId219"/>
    <hyperlink ref="C81" r:id="rId220"/>
    <hyperlink ref="D81" r:id="rId221"/>
    <hyperlink ref="E81" r:id="rId222"/>
    <hyperlink ref="C82" r:id="rId223"/>
    <hyperlink ref="D82" r:id="rId224"/>
    <hyperlink ref="E82" r:id="rId225"/>
    <hyperlink ref="C83" r:id="rId226"/>
    <hyperlink ref="D83" r:id="rId227"/>
    <hyperlink ref="E83" r:id="rId228"/>
    <hyperlink ref="C84" r:id="rId229"/>
    <hyperlink ref="D84" r:id="rId230"/>
    <hyperlink ref="E84" r:id="rId231"/>
    <hyperlink ref="C85" r:id="rId232"/>
    <hyperlink ref="D85" r:id="rId233"/>
    <hyperlink ref="E85" r:id="rId234"/>
    <hyperlink ref="C86" r:id="rId235"/>
    <hyperlink ref="D86" r:id="rId236"/>
    <hyperlink ref="E86" r:id="rId237"/>
    <hyperlink ref="C87" r:id="rId238"/>
    <hyperlink ref="D87" r:id="rId239"/>
    <hyperlink ref="E87" r:id="rId240"/>
    <hyperlink ref="C88" r:id="rId241"/>
    <hyperlink ref="D88" r:id="rId242"/>
    <hyperlink ref="E88" r:id="rId243"/>
    <hyperlink ref="C89" r:id="rId244"/>
    <hyperlink ref="D89" r:id="rId245"/>
    <hyperlink ref="E89" r:id="rId246"/>
    <hyperlink ref="C90" r:id="rId247"/>
    <hyperlink ref="D90" r:id="rId248"/>
    <hyperlink ref="E90" r:id="rId249"/>
    <hyperlink ref="C91" r:id="rId250"/>
    <hyperlink ref="D91" r:id="rId251"/>
    <hyperlink ref="E91" r:id="rId252"/>
    <hyperlink ref="C92" r:id="rId253"/>
    <hyperlink ref="D92" r:id="rId254"/>
    <hyperlink ref="E92" r:id="rId255"/>
    <hyperlink ref="C93" r:id="rId256"/>
    <hyperlink ref="D93" r:id="rId257"/>
    <hyperlink ref="E93" r:id="rId258"/>
    <hyperlink ref="C94" r:id="rId259"/>
    <hyperlink ref="D94" r:id="rId260"/>
    <hyperlink ref="E94" r:id="rId261"/>
    <hyperlink ref="C95" r:id="rId262"/>
    <hyperlink ref="D95" r:id="rId263"/>
    <hyperlink ref="E95" r:id="rId264"/>
    <hyperlink ref="C96" r:id="rId265"/>
    <hyperlink ref="D96" r:id="rId266"/>
    <hyperlink ref="E96" r:id="rId267"/>
    <hyperlink ref="C97" r:id="rId268"/>
    <hyperlink ref="D97" r:id="rId269"/>
    <hyperlink ref="E97" r:id="rId270"/>
    <hyperlink ref="E98" r:id="rId271"/>
    <hyperlink ref="C99" r:id="rId272"/>
    <hyperlink ref="D99" r:id="rId273"/>
    <hyperlink ref="E99" r:id="rId274"/>
    <hyperlink ref="C100" r:id="rId275"/>
    <hyperlink ref="D100" r:id="rId276"/>
    <hyperlink ref="E100" r:id="rId277"/>
    <hyperlink ref="C101" r:id="rId278"/>
    <hyperlink ref="D101" r:id="rId279"/>
    <hyperlink ref="E101" r:id="rId280"/>
    <hyperlink ref="C102" r:id="rId281"/>
    <hyperlink ref="D102" r:id="rId282"/>
    <hyperlink ref="E102" r:id="rId283"/>
    <hyperlink ref="C103" r:id="rId284"/>
    <hyperlink ref="D103" r:id="rId285"/>
    <hyperlink ref="E103" r:id="rId286"/>
    <hyperlink ref="C104" r:id="rId287"/>
    <hyperlink ref="D104" r:id="rId288"/>
    <hyperlink ref="E104" r:id="rId289"/>
    <hyperlink ref="C105" r:id="rId290"/>
    <hyperlink ref="D105" r:id="rId291"/>
    <hyperlink ref="E105" r:id="rId292"/>
    <hyperlink ref="C106" r:id="rId293"/>
    <hyperlink ref="D106" r:id="rId294"/>
    <hyperlink ref="E106" r:id="rId295"/>
    <hyperlink ref="C107" r:id="rId296"/>
    <hyperlink ref="D107" r:id="rId297"/>
    <hyperlink ref="E107" r:id="rId298"/>
    <hyperlink ref="C108" r:id="rId299"/>
    <hyperlink ref="D108" r:id="rId300"/>
    <hyperlink ref="E108" r:id="rId301"/>
    <hyperlink ref="C109" r:id="rId302"/>
    <hyperlink ref="D109" r:id="rId303"/>
    <hyperlink ref="E109" r:id="rId304"/>
    <hyperlink ref="C110" r:id="rId305"/>
    <hyperlink ref="D110" r:id="rId306"/>
    <hyperlink ref="E110" r:id="rId307"/>
    <hyperlink ref="C111" r:id="rId308"/>
    <hyperlink ref="D111" r:id="rId309"/>
    <hyperlink ref="E111" r:id="rId310"/>
    <hyperlink ref="C112" r:id="rId311"/>
    <hyperlink ref="D112" r:id="rId312"/>
    <hyperlink ref="E112" r:id="rId313"/>
    <hyperlink ref="C113" r:id="rId314"/>
    <hyperlink ref="D113" r:id="rId315"/>
    <hyperlink ref="E113" r:id="rId316"/>
    <hyperlink ref="C114" r:id="rId317"/>
    <hyperlink ref="D114" r:id="rId318"/>
    <hyperlink ref="E114" r:id="rId319"/>
    <hyperlink ref="C115" r:id="rId320"/>
    <hyperlink ref="D115" r:id="rId321"/>
    <hyperlink ref="E115" r:id="rId322"/>
    <hyperlink ref="C116" r:id="rId323"/>
    <hyperlink ref="D116" r:id="rId324"/>
    <hyperlink ref="E116" r:id="rId325"/>
    <hyperlink ref="C117" r:id="rId326"/>
    <hyperlink ref="D117" r:id="rId327"/>
    <hyperlink ref="E117" r:id="rId328"/>
    <hyperlink ref="C118" r:id="rId329"/>
    <hyperlink ref="D118" r:id="rId330"/>
    <hyperlink ref="E118" r:id="rId331"/>
    <hyperlink ref="C119" r:id="rId332"/>
    <hyperlink ref="D119" r:id="rId333"/>
    <hyperlink ref="E119" r:id="rId334"/>
    <hyperlink ref="C120" r:id="rId335"/>
    <hyperlink ref="D120" r:id="rId336"/>
    <hyperlink ref="E120" r:id="rId337"/>
    <hyperlink ref="C121" r:id="rId338"/>
    <hyperlink ref="D121" r:id="rId339"/>
    <hyperlink ref="E121" r:id="rId340"/>
    <hyperlink ref="C122" r:id="rId341"/>
    <hyperlink ref="D122" r:id="rId342"/>
    <hyperlink ref="E122" r:id="rId343"/>
    <hyperlink ref="C123" r:id="rId344"/>
    <hyperlink ref="D123" r:id="rId345"/>
    <hyperlink ref="E123" r:id="rId346"/>
    <hyperlink ref="C124" r:id="rId347"/>
    <hyperlink ref="D124" r:id="rId348"/>
    <hyperlink ref="E124" r:id="rId349"/>
    <hyperlink ref="C125" r:id="rId350"/>
    <hyperlink ref="D125" r:id="rId351"/>
    <hyperlink ref="E125" r:id="rId352"/>
    <hyperlink ref="C126" r:id="rId353"/>
    <hyperlink ref="D126" r:id="rId354"/>
    <hyperlink ref="E126" r:id="rId355"/>
    <hyperlink ref="C127" r:id="rId356"/>
    <hyperlink ref="D127" r:id="rId357"/>
    <hyperlink ref="E127" r:id="rId358"/>
    <hyperlink ref="C128" r:id="rId359"/>
    <hyperlink ref="D128" r:id="rId360"/>
    <hyperlink ref="E128" r:id="rId361"/>
    <hyperlink ref="C129" r:id="rId362"/>
    <hyperlink ref="D129" r:id="rId363"/>
    <hyperlink ref="E129" r:id="rId364"/>
    <hyperlink ref="C130" r:id="rId365"/>
    <hyperlink ref="D130" r:id="rId366"/>
    <hyperlink ref="E130" r:id="rId367"/>
    <hyperlink ref="C131" r:id="rId368"/>
    <hyperlink ref="D131" r:id="rId369"/>
    <hyperlink ref="E131" r:id="rId370"/>
    <hyperlink ref="C132" r:id="rId371"/>
    <hyperlink ref="D132" r:id="rId372"/>
    <hyperlink ref="E132" r:id="rId373"/>
    <hyperlink ref="C133" r:id="rId374"/>
    <hyperlink ref="D133" r:id="rId375"/>
    <hyperlink ref="E133" r:id="rId376"/>
    <hyperlink ref="C134" r:id="rId377"/>
    <hyperlink ref="D134" r:id="rId378"/>
    <hyperlink ref="E134" r:id="rId379"/>
    <hyperlink ref="C135" r:id="rId380"/>
    <hyperlink ref="D135" r:id="rId381"/>
    <hyperlink ref="E135" r:id="rId382"/>
    <hyperlink ref="C136" r:id="rId383"/>
    <hyperlink ref="D136" r:id="rId384"/>
    <hyperlink ref="E136" r:id="rId385"/>
    <hyperlink ref="C137" r:id="rId386"/>
    <hyperlink ref="D137" r:id="rId387"/>
    <hyperlink ref="E137" r:id="rId388"/>
    <hyperlink ref="C138" r:id="rId389"/>
    <hyperlink ref="D138" r:id="rId390"/>
    <hyperlink ref="E138" r:id="rId391"/>
    <hyperlink ref="C139" r:id="rId392"/>
    <hyperlink ref="D139" r:id="rId393"/>
    <hyperlink ref="E139" r:id="rId394"/>
    <hyperlink ref="C140" r:id="rId395"/>
    <hyperlink ref="D140" r:id="rId396"/>
    <hyperlink ref="E140" r:id="rId397"/>
    <hyperlink ref="C141" r:id="rId398"/>
    <hyperlink ref="D141" r:id="rId399"/>
    <hyperlink ref="E141" r:id="rId400"/>
    <hyperlink ref="C142" r:id="rId401"/>
    <hyperlink ref="D142" r:id="rId402"/>
    <hyperlink ref="E142" r:id="rId403"/>
    <hyperlink ref="C143" r:id="rId404"/>
    <hyperlink ref="D143" r:id="rId405"/>
    <hyperlink ref="E143" r:id="rId406"/>
    <hyperlink ref="C144" r:id="rId407"/>
    <hyperlink ref="D144" r:id="rId408"/>
    <hyperlink ref="E144" r:id="rId409"/>
    <hyperlink ref="C145" r:id="rId410"/>
    <hyperlink ref="D145" r:id="rId411"/>
    <hyperlink ref="E145" r:id="rId412"/>
    <hyperlink ref="C146" r:id="rId413"/>
    <hyperlink ref="D146" r:id="rId414"/>
    <hyperlink ref="E146" r:id="rId415"/>
    <hyperlink ref="C147" r:id="rId416"/>
    <hyperlink ref="D147" r:id="rId417"/>
    <hyperlink ref="E147" r:id="rId418"/>
    <hyperlink ref="C148" r:id="rId419"/>
    <hyperlink ref="D148" r:id="rId420"/>
    <hyperlink ref="E148" r:id="rId421"/>
    <hyperlink ref="C149" r:id="rId422"/>
    <hyperlink ref="D149" r:id="rId423"/>
    <hyperlink ref="E149" r:id="rId424"/>
    <hyperlink ref="C150" r:id="rId425"/>
    <hyperlink ref="D150" r:id="rId426"/>
    <hyperlink ref="E150" r:id="rId427"/>
    <hyperlink ref="C151" r:id="rId428"/>
    <hyperlink ref="D151" r:id="rId429"/>
    <hyperlink ref="E151" r:id="rId430"/>
    <hyperlink ref="C152" r:id="rId431"/>
    <hyperlink ref="D152" r:id="rId432"/>
    <hyperlink ref="E152" r:id="rId433"/>
    <hyperlink ref="C153" r:id="rId434"/>
    <hyperlink ref="D153" r:id="rId435"/>
    <hyperlink ref="E153" r:id="rId436"/>
    <hyperlink ref="C154" r:id="rId437"/>
    <hyperlink ref="D154" r:id="rId438"/>
    <hyperlink ref="E154" r:id="rId439"/>
    <hyperlink ref="C155" r:id="rId440"/>
    <hyperlink ref="D155" r:id="rId441"/>
    <hyperlink ref="E155" r:id="rId442"/>
    <hyperlink ref="C156" r:id="rId443"/>
    <hyperlink ref="D156" r:id="rId444"/>
    <hyperlink ref="E156" r:id="rId445"/>
    <hyperlink ref="C157" r:id="rId446"/>
    <hyperlink ref="D157" r:id="rId447"/>
    <hyperlink ref="E157" r:id="rId448"/>
    <hyperlink ref="C158" r:id="rId449"/>
    <hyperlink ref="D158" r:id="rId450"/>
    <hyperlink ref="E158" r:id="rId451"/>
    <hyperlink ref="C159" r:id="rId452"/>
    <hyperlink ref="D159" r:id="rId453"/>
    <hyperlink ref="E159" r:id="rId454"/>
    <hyperlink ref="C160" r:id="rId455"/>
    <hyperlink ref="D160" r:id="rId456"/>
    <hyperlink ref="E160" r:id="rId457"/>
    <hyperlink ref="C161" r:id="rId458"/>
    <hyperlink ref="D161" r:id="rId459"/>
    <hyperlink ref="E161" r:id="rId460"/>
    <hyperlink ref="C162" r:id="rId461"/>
    <hyperlink ref="D162" r:id="rId462"/>
    <hyperlink ref="E162" r:id="rId463"/>
    <hyperlink ref="C163" r:id="rId464"/>
    <hyperlink ref="D163" r:id="rId465"/>
    <hyperlink ref="E163" r:id="rId466"/>
    <hyperlink ref="C164" r:id="rId467"/>
    <hyperlink ref="D164" r:id="rId468"/>
    <hyperlink ref="E164" r:id="rId469"/>
    <hyperlink ref="C165" r:id="rId470"/>
    <hyperlink ref="D165" r:id="rId471"/>
    <hyperlink ref="E165" r:id="rId472"/>
    <hyperlink ref="C166" r:id="rId473"/>
    <hyperlink ref="D166" r:id="rId474"/>
    <hyperlink ref="E166" r:id="rId475"/>
    <hyperlink ref="C167" r:id="rId476"/>
    <hyperlink ref="D167" r:id="rId477"/>
    <hyperlink ref="E167" r:id="rId478"/>
    <hyperlink ref="C168" r:id="rId479"/>
    <hyperlink ref="D168" r:id="rId480"/>
    <hyperlink ref="E168" r:id="rId481"/>
    <hyperlink ref="C169" r:id="rId482"/>
    <hyperlink ref="D169" r:id="rId483"/>
    <hyperlink ref="E169" r:id="rId484"/>
    <hyperlink ref="C170" r:id="rId485"/>
    <hyperlink ref="D170" r:id="rId486"/>
    <hyperlink ref="E170" r:id="rId487"/>
    <hyperlink ref="C171" r:id="rId488"/>
    <hyperlink ref="D171" r:id="rId489"/>
    <hyperlink ref="E171" r:id="rId490"/>
    <hyperlink ref="C172" r:id="rId491"/>
    <hyperlink ref="D172" r:id="rId492"/>
    <hyperlink ref="E172" r:id="rId493"/>
    <hyperlink ref="C173" r:id="rId494"/>
    <hyperlink ref="D173" r:id="rId495"/>
    <hyperlink ref="E173" r:id="rId496"/>
    <hyperlink ref="C174" r:id="rId497"/>
    <hyperlink ref="D174" r:id="rId498"/>
    <hyperlink ref="E174" r:id="rId499"/>
    <hyperlink ref="C175" r:id="rId500"/>
    <hyperlink ref="D175" r:id="rId501"/>
    <hyperlink ref="E175" r:id="rId502"/>
    <hyperlink ref="C176" r:id="rId503"/>
    <hyperlink ref="D176" r:id="rId504"/>
    <hyperlink ref="E176" r:id="rId505"/>
    <hyperlink ref="C177" r:id="rId506"/>
    <hyperlink ref="D177" r:id="rId507"/>
    <hyperlink ref="E177" r:id="rId508"/>
    <hyperlink ref="C178" r:id="rId509"/>
    <hyperlink ref="D178" r:id="rId510"/>
    <hyperlink ref="E178" r:id="rId511"/>
    <hyperlink ref="C179" r:id="rId512"/>
    <hyperlink ref="D179" r:id="rId513"/>
    <hyperlink ref="E179" r:id="rId514"/>
    <hyperlink ref="C180" r:id="rId515"/>
    <hyperlink ref="D180" r:id="rId516"/>
    <hyperlink ref="E180" r:id="rId517"/>
    <hyperlink ref="C181" r:id="rId518"/>
    <hyperlink ref="D181" r:id="rId519"/>
    <hyperlink ref="E181" r:id="rId520"/>
    <hyperlink ref="C182" r:id="rId521"/>
    <hyperlink ref="D182" r:id="rId522"/>
    <hyperlink ref="E182" r:id="rId523"/>
    <hyperlink ref="C183" r:id="rId524"/>
    <hyperlink ref="D183" r:id="rId525"/>
    <hyperlink ref="E183" r:id="rId526"/>
    <hyperlink ref="C184" r:id="rId527"/>
    <hyperlink ref="D184" r:id="rId528"/>
    <hyperlink ref="E184" r:id="rId529"/>
    <hyperlink ref="C185" r:id="rId530"/>
    <hyperlink ref="D185" r:id="rId531"/>
    <hyperlink ref="E185" r:id="rId532"/>
    <hyperlink ref="C186" r:id="rId533"/>
    <hyperlink ref="D186" r:id="rId534"/>
    <hyperlink ref="E186" r:id="rId535"/>
    <hyperlink ref="C187" r:id="rId536"/>
    <hyperlink ref="D187" r:id="rId537"/>
    <hyperlink ref="E187" r:id="rId538"/>
    <hyperlink ref="C188" r:id="rId539"/>
    <hyperlink ref="D188" r:id="rId540"/>
    <hyperlink ref="E188" r:id="rId541"/>
    <hyperlink ref="C189" r:id="rId542"/>
    <hyperlink ref="D189" r:id="rId543"/>
    <hyperlink ref="E189" r:id="rId544"/>
    <hyperlink ref="C191" r:id="rId545"/>
    <hyperlink ref="D191" r:id="rId546"/>
    <hyperlink ref="E191" r:id="rId547"/>
    <hyperlink ref="C192" r:id="rId548"/>
    <hyperlink ref="D192" r:id="rId549"/>
    <hyperlink ref="E192" r:id="rId550"/>
    <hyperlink ref="C193" r:id="rId551"/>
    <hyperlink ref="D193" r:id="rId552"/>
    <hyperlink ref="E193" r:id="rId553"/>
    <hyperlink ref="C194" r:id="rId554"/>
    <hyperlink ref="D194" r:id="rId555"/>
    <hyperlink ref="E194" r:id="rId556"/>
    <hyperlink ref="C196" r:id="rId557"/>
    <hyperlink ref="D196" r:id="rId558"/>
    <hyperlink ref="E196" r:id="rId559"/>
    <hyperlink ref="C197" r:id="rId560"/>
    <hyperlink ref="D197" r:id="rId561"/>
    <hyperlink ref="E197" r:id="rId562"/>
    <hyperlink ref="C199" r:id="rId563"/>
    <hyperlink ref="D199" r:id="rId564"/>
    <hyperlink ref="E199" r:id="rId565"/>
    <hyperlink ref="C200" r:id="rId566"/>
    <hyperlink ref="D200" r:id="rId567"/>
    <hyperlink ref="E200" r:id="rId568"/>
    <hyperlink ref="C201" r:id="rId569"/>
    <hyperlink ref="D201" r:id="rId570"/>
    <hyperlink ref="E201" r:id="rId571"/>
    <hyperlink ref="C202" r:id="rId572"/>
    <hyperlink ref="D202" r:id="rId573"/>
    <hyperlink ref="E202" r:id="rId574"/>
    <hyperlink ref="C204" r:id="rId575"/>
    <hyperlink ref="D204" r:id="rId576"/>
    <hyperlink ref="E204" r:id="rId577"/>
    <hyperlink ref="C206" r:id="rId578"/>
    <hyperlink ref="D206" r:id="rId579"/>
    <hyperlink ref="E206" r:id="rId580"/>
    <hyperlink ref="C207" r:id="rId581"/>
    <hyperlink ref="D207" r:id="rId582"/>
    <hyperlink ref="E207" r:id="rId583"/>
    <hyperlink ref="C209" r:id="rId584"/>
    <hyperlink ref="D209" r:id="rId585"/>
    <hyperlink ref="E209" r:id="rId586"/>
    <hyperlink ref="C210" r:id="rId587"/>
    <hyperlink ref="D210" r:id="rId588"/>
    <hyperlink ref="E210" r:id="rId589"/>
    <hyperlink ref="C212" r:id="rId590"/>
    <hyperlink ref="D212" r:id="rId591"/>
    <hyperlink ref="E212" r:id="rId592"/>
    <hyperlink ref="C213" r:id="rId593"/>
    <hyperlink ref="D213" r:id="rId594"/>
    <hyperlink ref="E213" r:id="rId595"/>
    <hyperlink ref="C214" r:id="rId596"/>
    <hyperlink ref="D214" r:id="rId597"/>
    <hyperlink ref="E214" r:id="rId598"/>
    <hyperlink ref="C215" r:id="rId599"/>
    <hyperlink ref="D215" r:id="rId600"/>
    <hyperlink ref="E215" r:id="rId601"/>
    <hyperlink ref="C216" r:id="rId602"/>
    <hyperlink ref="D216" r:id="rId603"/>
    <hyperlink ref="E216" r:id="rId604"/>
    <hyperlink ref="C217" r:id="rId605"/>
    <hyperlink ref="D217" r:id="rId606"/>
    <hyperlink ref="E217" r:id="rId607"/>
    <hyperlink ref="C218" r:id="rId608"/>
    <hyperlink ref="D218" r:id="rId609"/>
    <hyperlink ref="E218" r:id="rId610"/>
    <hyperlink ref="C219" r:id="rId611"/>
    <hyperlink ref="D219" r:id="rId612"/>
    <hyperlink ref="E219" r:id="rId613"/>
    <hyperlink ref="C220" r:id="rId614"/>
    <hyperlink ref="D220" r:id="rId615"/>
    <hyperlink ref="E220" r:id="rId616"/>
    <hyperlink ref="C221" r:id="rId617"/>
    <hyperlink ref="D221" r:id="rId618"/>
    <hyperlink ref="E221" r:id="rId619"/>
    <hyperlink ref="C222" r:id="rId620"/>
    <hyperlink ref="D222" r:id="rId621"/>
    <hyperlink ref="E222" r:id="rId622"/>
    <hyperlink ref="C223" r:id="rId623"/>
    <hyperlink ref="D223" r:id="rId624"/>
    <hyperlink ref="E223" r:id="rId625"/>
    <hyperlink ref="C224" r:id="rId626"/>
    <hyperlink ref="D224" r:id="rId627"/>
    <hyperlink ref="E224" r:id="rId628"/>
    <hyperlink ref="C225" r:id="rId629"/>
    <hyperlink ref="D225" r:id="rId630"/>
    <hyperlink ref="E225" r:id="rId631"/>
    <hyperlink ref="C226" r:id="rId632"/>
    <hyperlink ref="D226" r:id="rId633"/>
    <hyperlink ref="E226" r:id="rId634"/>
    <hyperlink ref="C227" r:id="rId635"/>
    <hyperlink ref="D227" r:id="rId636"/>
    <hyperlink ref="E227" r:id="rId637"/>
    <hyperlink ref="C228" r:id="rId638"/>
    <hyperlink ref="D228" r:id="rId639"/>
    <hyperlink ref="E228" r:id="rId640"/>
    <hyperlink ref="C229" r:id="rId641"/>
    <hyperlink ref="D229" r:id="rId642"/>
    <hyperlink ref="E229" r:id="rId643"/>
    <hyperlink ref="C230" r:id="rId644"/>
    <hyperlink ref="D230" r:id="rId645"/>
    <hyperlink ref="E230" r:id="rId646"/>
    <hyperlink ref="C231" r:id="rId647"/>
    <hyperlink ref="D231" r:id="rId648"/>
    <hyperlink ref="E231" r:id="rId649"/>
    <hyperlink ref="C232" r:id="rId650"/>
    <hyperlink ref="D232" r:id="rId651"/>
    <hyperlink ref="E232" r:id="rId652"/>
    <hyperlink ref="C233" r:id="rId653"/>
    <hyperlink ref="D233" r:id="rId654"/>
    <hyperlink ref="E233" r:id="rId655"/>
    <hyperlink ref="C234" r:id="rId656"/>
    <hyperlink ref="D234" r:id="rId657"/>
    <hyperlink ref="E234" r:id="rId658"/>
    <hyperlink ref="C235" r:id="rId659"/>
    <hyperlink ref="D235" r:id="rId660"/>
    <hyperlink ref="E235" r:id="rId661"/>
    <hyperlink ref="C236" r:id="rId662"/>
    <hyperlink ref="D236" r:id="rId663"/>
    <hyperlink ref="E236" r:id="rId664"/>
    <hyperlink ref="C237" r:id="rId665"/>
    <hyperlink ref="D237" r:id="rId666"/>
    <hyperlink ref="E237" r:id="rId667"/>
    <hyperlink ref="C238" r:id="rId668"/>
    <hyperlink ref="D238" r:id="rId669"/>
    <hyperlink ref="E238" r:id="rId670"/>
    <hyperlink ref="C239" r:id="rId671"/>
    <hyperlink ref="D239" r:id="rId672"/>
    <hyperlink ref="E239" r:id="rId673"/>
    <hyperlink ref="C240" r:id="rId674"/>
    <hyperlink ref="D240" r:id="rId675"/>
    <hyperlink ref="E240" r:id="rId676"/>
    <hyperlink ref="C241" r:id="rId677"/>
    <hyperlink ref="D241" r:id="rId678"/>
    <hyperlink ref="E241" r:id="rId679"/>
    <hyperlink ref="C242" r:id="rId680"/>
    <hyperlink ref="D242" r:id="rId681"/>
    <hyperlink ref="E242" r:id="rId682"/>
    <hyperlink ref="C243" r:id="rId683"/>
    <hyperlink ref="D243" r:id="rId684"/>
    <hyperlink ref="E243" r:id="rId685"/>
    <hyperlink ref="C244" r:id="rId686"/>
    <hyperlink ref="D244" r:id="rId687"/>
    <hyperlink ref="E244" r:id="rId688"/>
    <hyperlink ref="C245" r:id="rId689"/>
    <hyperlink ref="D245" r:id="rId690"/>
    <hyperlink ref="E245" r:id="rId691"/>
    <hyperlink ref="C246" r:id="rId692"/>
    <hyperlink ref="D246" r:id="rId693"/>
    <hyperlink ref="E246" r:id="rId694"/>
    <hyperlink ref="C247" r:id="rId695"/>
    <hyperlink ref="D247" r:id="rId696"/>
    <hyperlink ref="E247" r:id="rId697"/>
    <hyperlink ref="C248" r:id="rId698"/>
    <hyperlink ref="D248" r:id="rId699"/>
    <hyperlink ref="E248" r:id="rId700"/>
    <hyperlink ref="C249" r:id="rId701"/>
    <hyperlink ref="D249" r:id="rId702"/>
    <hyperlink ref="E249" r:id="rId703"/>
    <hyperlink ref="C250" r:id="rId704"/>
    <hyperlink ref="D250" r:id="rId705"/>
    <hyperlink ref="E250" r:id="rId706"/>
    <hyperlink ref="C251" r:id="rId707"/>
    <hyperlink ref="D251" r:id="rId708"/>
    <hyperlink ref="E251" r:id="rId709"/>
    <hyperlink ref="C252" r:id="rId710"/>
    <hyperlink ref="D252" r:id="rId711"/>
    <hyperlink ref="E252" r:id="rId712"/>
    <hyperlink ref="C253" r:id="rId713"/>
    <hyperlink ref="D253" r:id="rId714"/>
    <hyperlink ref="E253" r:id="rId715"/>
    <hyperlink ref="C254" r:id="rId716"/>
    <hyperlink ref="D254" r:id="rId717"/>
    <hyperlink ref="E254" r:id="rId718"/>
    <hyperlink ref="C255" r:id="rId719"/>
    <hyperlink ref="D255" r:id="rId720"/>
    <hyperlink ref="E255" r:id="rId721"/>
    <hyperlink ref="C256" r:id="rId722"/>
    <hyperlink ref="D256" r:id="rId723"/>
    <hyperlink ref="E256" r:id="rId724"/>
    <hyperlink ref="C257" r:id="rId725"/>
    <hyperlink ref="D257" r:id="rId726"/>
    <hyperlink ref="E257" r:id="rId727"/>
    <hyperlink ref="C258" r:id="rId728"/>
    <hyperlink ref="D258" r:id="rId729"/>
    <hyperlink ref="E258" r:id="rId730"/>
    <hyperlink ref="C259" r:id="rId731"/>
    <hyperlink ref="D259" r:id="rId732"/>
    <hyperlink ref="E259" r:id="rId733"/>
    <hyperlink ref="C260" r:id="rId734"/>
    <hyperlink ref="D260" r:id="rId735"/>
    <hyperlink ref="E260" r:id="rId736"/>
    <hyperlink ref="C261" r:id="rId737"/>
    <hyperlink ref="D261" r:id="rId738"/>
    <hyperlink ref="E261" r:id="rId739"/>
    <hyperlink ref="C262" r:id="rId740"/>
    <hyperlink ref="D262" r:id="rId741"/>
    <hyperlink ref="E262" r:id="rId742"/>
    <hyperlink ref="C263" r:id="rId743"/>
    <hyperlink ref="D263" r:id="rId744"/>
    <hyperlink ref="E263" r:id="rId745"/>
    <hyperlink ref="C264" r:id="rId746"/>
    <hyperlink ref="D264" r:id="rId747"/>
    <hyperlink ref="E264" r:id="rId748"/>
    <hyperlink ref="C265" r:id="rId749"/>
    <hyperlink ref="D265" r:id="rId750"/>
    <hyperlink ref="E265" r:id="rId751"/>
    <hyperlink ref="E266" r:id="rId752"/>
    <hyperlink ref="C267" r:id="rId753"/>
    <hyperlink ref="D267" r:id="rId754"/>
    <hyperlink ref="E267" r:id="rId755"/>
    <hyperlink ref="E268" r:id="rId756"/>
    <hyperlink ref="C269" r:id="rId757"/>
    <hyperlink ref="D269" r:id="rId758"/>
    <hyperlink ref="E269" r:id="rId759"/>
    <hyperlink ref="C271" r:id="rId760"/>
    <hyperlink ref="D271" r:id="rId761"/>
    <hyperlink ref="E271" r:id="rId762"/>
    <hyperlink ref="E272" r:id="rId763"/>
    <hyperlink ref="C273" r:id="rId764"/>
    <hyperlink ref="D273" r:id="rId765"/>
    <hyperlink ref="E273" r:id="rId766"/>
    <hyperlink ref="E274" r:id="rId767"/>
    <hyperlink ref="C275" r:id="rId768"/>
    <hyperlink ref="D275" r:id="rId769"/>
    <hyperlink ref="E275" r:id="rId770"/>
    <hyperlink ref="E276" r:id="rId771"/>
    <hyperlink ref="C277" r:id="rId772"/>
    <hyperlink ref="D277" r:id="rId773"/>
    <hyperlink ref="E277" r:id="rId774"/>
    <hyperlink ref="C278" r:id="rId775"/>
    <hyperlink ref="D278" r:id="rId776"/>
    <hyperlink ref="E278" r:id="rId777"/>
    <hyperlink ref="C279" r:id="rId778"/>
    <hyperlink ref="D279" r:id="rId779"/>
    <hyperlink ref="E279" r:id="rId780"/>
    <hyperlink ref="C280" r:id="rId781"/>
    <hyperlink ref="D280" r:id="rId782"/>
    <hyperlink ref="E280" r:id="rId783"/>
    <hyperlink ref="C281" r:id="rId784"/>
    <hyperlink ref="D281" r:id="rId785"/>
    <hyperlink ref="E281" r:id="rId786"/>
    <hyperlink ref="C282" r:id="rId787"/>
    <hyperlink ref="D282" r:id="rId788"/>
    <hyperlink ref="E282" r:id="rId789"/>
    <hyperlink ref="C283" r:id="rId790"/>
    <hyperlink ref="D283" r:id="rId791"/>
    <hyperlink ref="E283" r:id="rId792"/>
    <hyperlink ref="C284" r:id="rId793"/>
    <hyperlink ref="D284" r:id="rId794"/>
    <hyperlink ref="E284" r:id="rId795"/>
    <hyperlink ref="C285" r:id="rId796"/>
    <hyperlink ref="D285" r:id="rId797"/>
    <hyperlink ref="E285" r:id="rId798"/>
    <hyperlink ref="C286" r:id="rId799"/>
    <hyperlink ref="D286" r:id="rId800"/>
    <hyperlink ref="E286" r:id="rId801"/>
    <hyperlink ref="C287" r:id="rId802"/>
    <hyperlink ref="D287" r:id="rId803"/>
    <hyperlink ref="E287" r:id="rId804"/>
    <hyperlink ref="C288" r:id="rId805"/>
    <hyperlink ref="D288" r:id="rId806"/>
    <hyperlink ref="E288" r:id="rId807"/>
    <hyperlink ref="C289" r:id="rId808"/>
    <hyperlink ref="D289" r:id="rId809"/>
    <hyperlink ref="E289" r:id="rId810"/>
    <hyperlink ref="C290" r:id="rId811"/>
    <hyperlink ref="D290" r:id="rId812"/>
    <hyperlink ref="E290" r:id="rId813"/>
    <hyperlink ref="C291" r:id="rId814"/>
    <hyperlink ref="D291" r:id="rId815"/>
    <hyperlink ref="E291" r:id="rId816"/>
    <hyperlink ref="C292" r:id="rId817"/>
    <hyperlink ref="D292" r:id="rId818"/>
    <hyperlink ref="E292" r:id="rId819"/>
    <hyperlink ref="C293" r:id="rId820"/>
    <hyperlink ref="D293" r:id="rId821"/>
    <hyperlink ref="E293" r:id="rId822"/>
    <hyperlink ref="C294" r:id="rId823"/>
    <hyperlink ref="D294" r:id="rId824"/>
    <hyperlink ref="E294" r:id="rId825"/>
    <hyperlink ref="C295" r:id="rId826"/>
    <hyperlink ref="D295" r:id="rId827"/>
    <hyperlink ref="E295" r:id="rId828"/>
    <hyperlink ref="C296" r:id="rId829"/>
    <hyperlink ref="D296" r:id="rId830"/>
    <hyperlink ref="E296" r:id="rId831"/>
    <hyperlink ref="C297" r:id="rId832"/>
    <hyperlink ref="D297" r:id="rId833"/>
    <hyperlink ref="E297" r:id="rId834"/>
    <hyperlink ref="C298" r:id="rId835"/>
    <hyperlink ref="D298" r:id="rId836"/>
    <hyperlink ref="E298" r:id="rId837"/>
    <hyperlink ref="C299" r:id="rId838"/>
    <hyperlink ref="D299" r:id="rId839"/>
    <hyperlink ref="E299" r:id="rId840"/>
    <hyperlink ref="C300" r:id="rId841"/>
    <hyperlink ref="D300" r:id="rId842"/>
    <hyperlink ref="E300" r:id="rId843"/>
    <hyperlink ref="C301" r:id="rId844"/>
    <hyperlink ref="D301" r:id="rId845"/>
    <hyperlink ref="E301" r:id="rId846"/>
    <hyperlink ref="C302" r:id="rId847"/>
    <hyperlink ref="D302" r:id="rId848"/>
    <hyperlink ref="E302" r:id="rId849"/>
    <hyperlink ref="C303" r:id="rId850"/>
    <hyperlink ref="D303" r:id="rId851"/>
    <hyperlink ref="E303" r:id="rId852"/>
    <hyperlink ref="C304" r:id="rId853"/>
    <hyperlink ref="D304" r:id="rId854"/>
    <hyperlink ref="E304" r:id="rId855"/>
    <hyperlink ref="C305" r:id="rId856"/>
    <hyperlink ref="D305" r:id="rId857"/>
    <hyperlink ref="E305" r:id="rId858"/>
    <hyperlink ref="C306" r:id="rId859"/>
    <hyperlink ref="D306" r:id="rId860"/>
    <hyperlink ref="E306" r:id="rId861"/>
    <hyperlink ref="C307" r:id="rId862"/>
    <hyperlink ref="D307" r:id="rId863"/>
    <hyperlink ref="E307" r:id="rId864"/>
    <hyperlink ref="C308" r:id="rId865"/>
    <hyperlink ref="D308" r:id="rId866"/>
    <hyperlink ref="E308" r:id="rId867"/>
    <hyperlink ref="C309" r:id="rId868"/>
    <hyperlink ref="D309" r:id="rId869"/>
    <hyperlink ref="E309" r:id="rId870"/>
    <hyperlink ref="C310" r:id="rId871"/>
    <hyperlink ref="D310" r:id="rId872"/>
    <hyperlink ref="E310" r:id="rId873"/>
    <hyperlink ref="C311" r:id="rId874"/>
    <hyperlink ref="D311" r:id="rId875"/>
    <hyperlink ref="E311" r:id="rId876"/>
    <hyperlink ref="C312" r:id="rId877"/>
    <hyperlink ref="D312" r:id="rId878"/>
    <hyperlink ref="E312" r:id="rId879"/>
    <hyperlink ref="C313" r:id="rId880"/>
    <hyperlink ref="D313" r:id="rId881"/>
    <hyperlink ref="E313" r:id="rId882"/>
    <hyperlink ref="C314" r:id="rId883"/>
    <hyperlink ref="D314" r:id="rId884"/>
    <hyperlink ref="E314" r:id="rId885"/>
    <hyperlink ref="C315" r:id="rId886"/>
    <hyperlink ref="D315" r:id="rId887"/>
    <hyperlink ref="E315" r:id="rId888"/>
    <hyperlink ref="C316" r:id="rId889"/>
    <hyperlink ref="D316" r:id="rId890"/>
    <hyperlink ref="E316" r:id="rId891"/>
    <hyperlink ref="C317" r:id="rId892"/>
    <hyperlink ref="D317" r:id="rId893"/>
    <hyperlink ref="E317" r:id="rId894"/>
    <hyperlink ref="C318" r:id="rId895"/>
    <hyperlink ref="D318" r:id="rId896"/>
    <hyperlink ref="E318" r:id="rId897"/>
    <hyperlink ref="C319" r:id="rId898"/>
    <hyperlink ref="D319" r:id="rId899"/>
    <hyperlink ref="E319" r:id="rId900"/>
    <hyperlink ref="C320" r:id="rId901"/>
    <hyperlink ref="D320" r:id="rId902"/>
    <hyperlink ref="E320" r:id="rId903"/>
    <hyperlink ref="C321" r:id="rId904"/>
    <hyperlink ref="D321" r:id="rId905"/>
    <hyperlink ref="E321" r:id="rId906"/>
    <hyperlink ref="C322" r:id="rId907"/>
    <hyperlink ref="D322" r:id="rId908"/>
    <hyperlink ref="E322" r:id="rId909"/>
    <hyperlink ref="C323" r:id="rId910"/>
    <hyperlink ref="D323" r:id="rId911"/>
    <hyperlink ref="E323" r:id="rId912"/>
    <hyperlink ref="C324" r:id="rId913"/>
    <hyperlink ref="D324" r:id="rId914"/>
    <hyperlink ref="E324" r:id="rId915"/>
    <hyperlink ref="C325" r:id="rId916"/>
    <hyperlink ref="D325" r:id="rId917"/>
    <hyperlink ref="E325" r:id="rId918"/>
    <hyperlink ref="C326" r:id="rId919"/>
    <hyperlink ref="D326" r:id="rId920"/>
    <hyperlink ref="E326" r:id="rId921"/>
    <hyperlink ref="C327" r:id="rId922"/>
    <hyperlink ref="D327" r:id="rId923"/>
    <hyperlink ref="E327" r:id="rId924"/>
    <hyperlink ref="C328" r:id="rId925"/>
    <hyperlink ref="D328" r:id="rId926"/>
    <hyperlink ref="E328" r:id="rId927"/>
    <hyperlink ref="C329" r:id="rId928"/>
    <hyperlink ref="D329" r:id="rId929"/>
    <hyperlink ref="E329" r:id="rId930"/>
    <hyperlink ref="C330" r:id="rId931"/>
    <hyperlink ref="D330" r:id="rId932"/>
    <hyperlink ref="E330" r:id="rId933"/>
    <hyperlink ref="C331" r:id="rId934"/>
    <hyperlink ref="D331" r:id="rId935"/>
    <hyperlink ref="E331" r:id="rId936"/>
    <hyperlink ref="C332" r:id="rId937"/>
    <hyperlink ref="D332" r:id="rId938"/>
    <hyperlink ref="E332" r:id="rId939"/>
    <hyperlink ref="C333" r:id="rId940"/>
    <hyperlink ref="D333" r:id="rId941"/>
    <hyperlink ref="E333" r:id="rId942"/>
    <hyperlink ref="C334" r:id="rId943"/>
    <hyperlink ref="D334" r:id="rId944"/>
    <hyperlink ref="E334" r:id="rId945"/>
    <hyperlink ref="C335" r:id="rId946"/>
    <hyperlink ref="D335" r:id="rId947"/>
    <hyperlink ref="E335" r:id="rId948"/>
    <hyperlink ref="C336" r:id="rId949"/>
    <hyperlink ref="D336" r:id="rId950"/>
    <hyperlink ref="E336" r:id="rId951"/>
    <hyperlink ref="C337" r:id="rId952"/>
    <hyperlink ref="D337" r:id="rId953"/>
    <hyperlink ref="E337" r:id="rId954"/>
    <hyperlink ref="C338" r:id="rId955"/>
    <hyperlink ref="D338" r:id="rId956"/>
    <hyperlink ref="E338" r:id="rId957"/>
    <hyperlink ref="C339" r:id="rId958"/>
    <hyperlink ref="D339" r:id="rId959"/>
    <hyperlink ref="E339" r:id="rId960"/>
    <hyperlink ref="C340" r:id="rId961"/>
    <hyperlink ref="D340" r:id="rId962"/>
    <hyperlink ref="E340" r:id="rId963"/>
    <hyperlink ref="C341" r:id="rId964"/>
    <hyperlink ref="D341" r:id="rId965"/>
    <hyperlink ref="E341" r:id="rId966"/>
    <hyperlink ref="C342" r:id="rId967"/>
    <hyperlink ref="D342" r:id="rId968"/>
    <hyperlink ref="E342" r:id="rId969"/>
    <hyperlink ref="C343" r:id="rId970"/>
    <hyperlink ref="D343" r:id="rId971"/>
    <hyperlink ref="E343" r:id="rId972"/>
    <hyperlink ref="C344" r:id="rId973"/>
    <hyperlink ref="D344" r:id="rId974"/>
    <hyperlink ref="E344" r:id="rId975"/>
    <hyperlink ref="C345" r:id="rId976"/>
    <hyperlink ref="D345" r:id="rId977"/>
    <hyperlink ref="E345" r:id="rId978"/>
    <hyperlink ref="C346" r:id="rId979"/>
    <hyperlink ref="D346" r:id="rId980"/>
    <hyperlink ref="E346" r:id="rId981"/>
    <hyperlink ref="C347" r:id="rId982"/>
    <hyperlink ref="D347" r:id="rId983"/>
    <hyperlink ref="E347" r:id="rId984"/>
    <hyperlink ref="C348" r:id="rId985"/>
    <hyperlink ref="D348" r:id="rId986"/>
    <hyperlink ref="E348" r:id="rId987"/>
    <hyperlink ref="E349" r:id="rId988"/>
    <hyperlink ref="C350" r:id="rId989"/>
    <hyperlink ref="D350" r:id="rId990"/>
    <hyperlink ref="E350" r:id="rId991"/>
    <hyperlink ref="E351" r:id="rId992"/>
    <hyperlink ref="C352" r:id="rId993"/>
    <hyperlink ref="D352" r:id="rId994"/>
    <hyperlink ref="E352" r:id="rId995"/>
    <hyperlink ref="E353" r:id="rId996"/>
    <hyperlink ref="C354" r:id="rId997"/>
    <hyperlink ref="D354" r:id="rId998"/>
    <hyperlink ref="E354" r:id="rId999"/>
    <hyperlink ref="C355" r:id="rId1000"/>
    <hyperlink ref="D355" r:id="rId1001"/>
    <hyperlink ref="E355" r:id="rId1002"/>
    <hyperlink ref="C356" r:id="rId1003"/>
    <hyperlink ref="D356" r:id="rId1004"/>
    <hyperlink ref="E356" r:id="rId1005"/>
    <hyperlink ref="C357" r:id="rId1006"/>
    <hyperlink ref="D357" r:id="rId1007"/>
    <hyperlink ref="E357" r:id="rId1008"/>
    <hyperlink ref="C358" r:id="rId1009"/>
    <hyperlink ref="D358" r:id="rId1010"/>
    <hyperlink ref="E358" r:id="rId1011"/>
    <hyperlink ref="C359" r:id="rId1012"/>
    <hyperlink ref="D359" r:id="rId1013"/>
    <hyperlink ref="E359" r:id="rId1014"/>
    <hyperlink ref="C360" r:id="rId1015"/>
    <hyperlink ref="D360" r:id="rId1016"/>
    <hyperlink ref="E360" r:id="rId1017"/>
    <hyperlink ref="C361" r:id="rId1018"/>
    <hyperlink ref="D361" r:id="rId1019"/>
    <hyperlink ref="E361" r:id="rId1020"/>
    <hyperlink ref="C362" r:id="rId1021"/>
    <hyperlink ref="D362" r:id="rId1022"/>
    <hyperlink ref="E362" r:id="rId1023"/>
    <hyperlink ref="C363" r:id="rId1024"/>
    <hyperlink ref="D363" r:id="rId1025"/>
    <hyperlink ref="E363" r:id="rId1026"/>
    <hyperlink ref="C364" r:id="rId1027"/>
    <hyperlink ref="D364" r:id="rId1028"/>
    <hyperlink ref="E364" r:id="rId1029"/>
    <hyperlink ref="C365" r:id="rId1030"/>
    <hyperlink ref="D365" r:id="rId1031"/>
    <hyperlink ref="E365" r:id="rId1032"/>
    <hyperlink ref="C366" r:id="rId1033"/>
    <hyperlink ref="D366" r:id="rId1034"/>
    <hyperlink ref="E366" r:id="rId1035"/>
    <hyperlink ref="C367" r:id="rId1036"/>
    <hyperlink ref="D367" r:id="rId1037"/>
    <hyperlink ref="E367" r:id="rId1038"/>
    <hyperlink ref="C368" r:id="rId1039"/>
    <hyperlink ref="D368" r:id="rId1040"/>
    <hyperlink ref="E368" r:id="rId1041"/>
    <hyperlink ref="C369" r:id="rId1042"/>
    <hyperlink ref="D369" r:id="rId1043"/>
    <hyperlink ref="E369" r:id="rId1044"/>
    <hyperlink ref="C370" r:id="rId1045"/>
    <hyperlink ref="D370" r:id="rId1046"/>
    <hyperlink ref="E370" r:id="rId1047"/>
    <hyperlink ref="C371" r:id="rId1048"/>
    <hyperlink ref="D371" r:id="rId1049"/>
    <hyperlink ref="E371" r:id="rId1050"/>
    <hyperlink ref="C372" r:id="rId1051"/>
    <hyperlink ref="D372" r:id="rId1052"/>
    <hyperlink ref="E372" r:id="rId1053"/>
    <hyperlink ref="C373" r:id="rId1054"/>
    <hyperlink ref="D373" r:id="rId1055"/>
    <hyperlink ref="E373" r:id="rId1056"/>
    <hyperlink ref="C374" r:id="rId1057"/>
    <hyperlink ref="D374" r:id="rId1058"/>
    <hyperlink ref="E374" r:id="rId1059"/>
    <hyperlink ref="C375" r:id="rId1060"/>
    <hyperlink ref="D375" r:id="rId1061"/>
    <hyperlink ref="E375" r:id="rId1062"/>
    <hyperlink ref="C376" r:id="rId1063"/>
    <hyperlink ref="D376" r:id="rId1064"/>
    <hyperlink ref="E376" r:id="rId1065"/>
    <hyperlink ref="C377" r:id="rId1066"/>
    <hyperlink ref="D377" r:id="rId1067"/>
    <hyperlink ref="E377" r:id="rId1068"/>
    <hyperlink ref="C378" r:id="rId1069"/>
    <hyperlink ref="D378" r:id="rId1070"/>
    <hyperlink ref="E378" r:id="rId1071"/>
    <hyperlink ref="C379" r:id="rId1072"/>
    <hyperlink ref="D379" r:id="rId1073"/>
    <hyperlink ref="E379" r:id="rId1074"/>
    <hyperlink ref="C380" r:id="rId1075"/>
    <hyperlink ref="D380" r:id="rId1076"/>
    <hyperlink ref="E380" r:id="rId1077"/>
    <hyperlink ref="C381" r:id="rId1078"/>
    <hyperlink ref="D381" r:id="rId1079"/>
    <hyperlink ref="E381" r:id="rId1080"/>
    <hyperlink ref="C382" r:id="rId1081"/>
    <hyperlink ref="D382" r:id="rId1082"/>
    <hyperlink ref="E382" r:id="rId1083"/>
    <hyperlink ref="C383" r:id="rId1084"/>
    <hyperlink ref="D383" r:id="rId1085"/>
    <hyperlink ref="E383" r:id="rId1086"/>
    <hyperlink ref="C384" r:id="rId1087"/>
    <hyperlink ref="D384" r:id="rId1088"/>
    <hyperlink ref="E384" r:id="rId1089"/>
    <hyperlink ref="C385" r:id="rId1090"/>
    <hyperlink ref="D385" r:id="rId1091"/>
    <hyperlink ref="E385" r:id="rId1092"/>
    <hyperlink ref="C386" r:id="rId1093"/>
    <hyperlink ref="D386" r:id="rId1094"/>
    <hyperlink ref="E386" r:id="rId1095"/>
    <hyperlink ref="C387" r:id="rId1096"/>
    <hyperlink ref="D387" r:id="rId1097"/>
    <hyperlink ref="E387" r:id="rId1098"/>
    <hyperlink ref="C388" r:id="rId1099"/>
    <hyperlink ref="D388" r:id="rId1100"/>
    <hyperlink ref="C389" r:id="rId1101"/>
    <hyperlink ref="D389" r:id="rId1102"/>
    <hyperlink ref="E389" r:id="rId1103"/>
    <hyperlink ref="C390" r:id="rId1104"/>
    <hyperlink ref="D390" r:id="rId1105"/>
    <hyperlink ref="E390" r:id="rId1106"/>
    <hyperlink ref="C391" r:id="rId1107"/>
    <hyperlink ref="D391" r:id="rId1108"/>
    <hyperlink ref="E391" r:id="rId1109"/>
    <hyperlink ref="C392" r:id="rId1110"/>
    <hyperlink ref="D392" r:id="rId1111"/>
    <hyperlink ref="E392" r:id="rId1112"/>
    <hyperlink ref="C393" r:id="rId1113"/>
    <hyperlink ref="D393" r:id="rId1114"/>
    <hyperlink ref="E393" r:id="rId1115"/>
    <hyperlink ref="C394" r:id="rId1116"/>
    <hyperlink ref="D394" r:id="rId1117"/>
    <hyperlink ref="E394" r:id="rId1118"/>
    <hyperlink ref="C395" r:id="rId1119"/>
    <hyperlink ref="D395" r:id="rId1120"/>
    <hyperlink ref="E395" r:id="rId1121"/>
    <hyperlink ref="C396" r:id="rId1122"/>
    <hyperlink ref="D396" r:id="rId1123"/>
    <hyperlink ref="E396" r:id="rId1124"/>
    <hyperlink ref="C397" r:id="rId1125"/>
    <hyperlink ref="D397" r:id="rId1126"/>
    <hyperlink ref="E397" r:id="rId1127"/>
    <hyperlink ref="C399" r:id="rId1128"/>
    <hyperlink ref="D399" r:id="rId1129"/>
    <hyperlink ref="E399" r:id="rId1130"/>
    <hyperlink ref="C401" r:id="rId1131"/>
    <hyperlink ref="D401" r:id="rId1132"/>
    <hyperlink ref="E401" r:id="rId1133"/>
    <hyperlink ref="C402" r:id="rId1134"/>
    <hyperlink ref="D402" r:id="rId1135"/>
    <hyperlink ref="E402" r:id="rId1136"/>
    <hyperlink ref="C403" r:id="rId1137"/>
    <hyperlink ref="D403" r:id="rId1138"/>
    <hyperlink ref="E403" r:id="rId1139"/>
    <hyperlink ref="C404" r:id="rId1140"/>
    <hyperlink ref="D404" r:id="rId1141"/>
    <hyperlink ref="E404" r:id="rId1142"/>
    <hyperlink ref="C405" r:id="rId1143"/>
    <hyperlink ref="D405" r:id="rId1144"/>
    <hyperlink ref="E405" r:id="rId1145"/>
    <hyperlink ref="C406" r:id="rId1146"/>
    <hyperlink ref="D406" r:id="rId1147"/>
    <hyperlink ref="E406" r:id="rId1148"/>
    <hyperlink ref="C407" r:id="rId1149"/>
    <hyperlink ref="D407" r:id="rId1150"/>
    <hyperlink ref="E407" r:id="rId1151"/>
    <hyperlink ref="C408" r:id="rId1152"/>
    <hyperlink ref="D408" r:id="rId1153"/>
    <hyperlink ref="E408" r:id="rId1154"/>
    <hyperlink ref="C409" r:id="rId1155"/>
    <hyperlink ref="D409" r:id="rId1156"/>
    <hyperlink ref="E409" r:id="rId1157"/>
    <hyperlink ref="C410" r:id="rId1158"/>
    <hyperlink ref="D410" r:id="rId1159"/>
    <hyperlink ref="E410" r:id="rId1160"/>
    <hyperlink ref="C411" r:id="rId1161"/>
    <hyperlink ref="D411" r:id="rId1162"/>
    <hyperlink ref="E411" r:id="rId1163"/>
    <hyperlink ref="C412" r:id="rId1164"/>
    <hyperlink ref="D412" r:id="rId1165"/>
    <hyperlink ref="E412" r:id="rId1166"/>
    <hyperlink ref="C413" r:id="rId1167"/>
    <hyperlink ref="D413" r:id="rId1168"/>
    <hyperlink ref="E413" r:id="rId1169"/>
    <hyperlink ref="C414" r:id="rId1170"/>
    <hyperlink ref="D414" r:id="rId1171"/>
    <hyperlink ref="E414" r:id="rId1172"/>
    <hyperlink ref="C415" r:id="rId1173"/>
    <hyperlink ref="D415" r:id="rId1174"/>
    <hyperlink ref="E415" r:id="rId1175"/>
    <hyperlink ref="E416" r:id="rId1176"/>
    <hyperlink ref="C417" r:id="rId1177"/>
    <hyperlink ref="D417" r:id="rId1178"/>
    <hyperlink ref="E417" r:id="rId1179"/>
    <hyperlink ref="C418" r:id="rId1180"/>
    <hyperlink ref="D418" r:id="rId1181"/>
    <hyperlink ref="E418" r:id="rId1182"/>
    <hyperlink ref="C419" r:id="rId1183"/>
    <hyperlink ref="D419" r:id="rId1184"/>
    <hyperlink ref="E419" r:id="rId1185"/>
    <hyperlink ref="C420" r:id="rId1186"/>
    <hyperlink ref="D420" r:id="rId1187"/>
    <hyperlink ref="E420" r:id="rId1188"/>
    <hyperlink ref="C421" r:id="rId1189"/>
    <hyperlink ref="D421" r:id="rId1190"/>
    <hyperlink ref="E421" r:id="rId1191"/>
    <hyperlink ref="C422" r:id="rId1192"/>
    <hyperlink ref="D422" r:id="rId1193"/>
    <hyperlink ref="E422" r:id="rId1194"/>
    <hyperlink ref="C423" r:id="rId1195"/>
    <hyperlink ref="D423" r:id="rId1196"/>
    <hyperlink ref="E423" r:id="rId1197"/>
    <hyperlink ref="C424" r:id="rId1198"/>
    <hyperlink ref="D424" r:id="rId1199"/>
    <hyperlink ref="E424" r:id="rId1200"/>
    <hyperlink ref="C425" r:id="rId1201"/>
    <hyperlink ref="D425" r:id="rId1202"/>
    <hyperlink ref="E425" r:id="rId1203"/>
    <hyperlink ref="C426" r:id="rId1204"/>
    <hyperlink ref="D426" r:id="rId1205"/>
    <hyperlink ref="E426" r:id="rId1206"/>
    <hyperlink ref="E427" r:id="rId1207"/>
    <hyperlink ref="C428" r:id="rId1208"/>
    <hyperlink ref="D428" r:id="rId1209"/>
    <hyperlink ref="E428" r:id="rId1210"/>
    <hyperlink ref="C429" r:id="rId1211"/>
    <hyperlink ref="D429" r:id="rId1212"/>
    <hyperlink ref="E429" r:id="rId1213"/>
    <hyperlink ref="C430" r:id="rId1214"/>
    <hyperlink ref="D430" r:id="rId1215"/>
    <hyperlink ref="E430" r:id="rId1216"/>
    <hyperlink ref="C431" r:id="rId1217"/>
    <hyperlink ref="D431" r:id="rId1218"/>
    <hyperlink ref="E431" r:id="rId1219"/>
    <hyperlink ref="C432" r:id="rId1220"/>
    <hyperlink ref="D432" r:id="rId1221"/>
    <hyperlink ref="E432" r:id="rId1222"/>
    <hyperlink ref="C433" r:id="rId1223"/>
    <hyperlink ref="D433" r:id="rId1224"/>
    <hyperlink ref="E433" r:id="rId1225"/>
    <hyperlink ref="C434" r:id="rId1226"/>
    <hyperlink ref="D434" r:id="rId1227"/>
    <hyperlink ref="E434" r:id="rId1228"/>
    <hyperlink ref="C435" r:id="rId1229"/>
    <hyperlink ref="D435" r:id="rId1230"/>
    <hyperlink ref="E435" r:id="rId1231"/>
    <hyperlink ref="C436" r:id="rId1232"/>
    <hyperlink ref="D436" r:id="rId1233"/>
    <hyperlink ref="E436" r:id="rId1234"/>
    <hyperlink ref="C437" r:id="rId1235"/>
    <hyperlink ref="D437" r:id="rId1236"/>
    <hyperlink ref="E437" r:id="rId1237"/>
    <hyperlink ref="E438" r:id="rId1238"/>
    <hyperlink ref="C439" r:id="rId1239"/>
    <hyperlink ref="D439" r:id="rId1240"/>
    <hyperlink ref="E439" r:id="rId1241"/>
    <hyperlink ref="C440" r:id="rId1242"/>
    <hyperlink ref="D440" r:id="rId1243"/>
    <hyperlink ref="E440" r:id="rId1244"/>
    <hyperlink ref="C441" r:id="rId1245"/>
    <hyperlink ref="D441" r:id="rId1246"/>
    <hyperlink ref="E441" r:id="rId1247"/>
    <hyperlink ref="C442" r:id="rId1248"/>
    <hyperlink ref="D442" r:id="rId1249"/>
    <hyperlink ref="E442" r:id="rId1250"/>
    <hyperlink ref="C443" r:id="rId1251"/>
    <hyperlink ref="D443" r:id="rId1252"/>
    <hyperlink ref="E443" r:id="rId1253"/>
    <hyperlink ref="C444" r:id="rId1254"/>
    <hyperlink ref="D444" r:id="rId1255"/>
    <hyperlink ref="E444" r:id="rId1256"/>
    <hyperlink ref="C445" r:id="rId1257"/>
    <hyperlink ref="D445" r:id="rId1258"/>
    <hyperlink ref="E445" r:id="rId1259"/>
    <hyperlink ref="C446" r:id="rId1260"/>
    <hyperlink ref="D446" r:id="rId1261"/>
    <hyperlink ref="E446" r:id="rId1262"/>
    <hyperlink ref="C447" r:id="rId1263"/>
    <hyperlink ref="D447" r:id="rId1264"/>
    <hyperlink ref="E447" r:id="rId1265"/>
    <hyperlink ref="C448" r:id="rId1266"/>
    <hyperlink ref="D448" r:id="rId1267"/>
    <hyperlink ref="E448" r:id="rId1268"/>
    <hyperlink ref="E449" r:id="rId1269"/>
    <hyperlink ref="C450" r:id="rId1270"/>
    <hyperlink ref="D450" r:id="rId1271"/>
    <hyperlink ref="E450" r:id="rId1272"/>
    <hyperlink ref="E451" r:id="rId1273"/>
    <hyperlink ref="C452" r:id="rId1274"/>
    <hyperlink ref="D452" r:id="rId1275"/>
    <hyperlink ref="E452" r:id="rId1276"/>
    <hyperlink ref="C453" r:id="rId1277"/>
    <hyperlink ref="D453" r:id="rId1278"/>
    <hyperlink ref="E453" r:id="rId1279"/>
    <hyperlink ref="C454" r:id="rId1280"/>
    <hyperlink ref="D454" r:id="rId1281"/>
    <hyperlink ref="E454" r:id="rId1282"/>
    <hyperlink ref="C455" r:id="rId1283"/>
    <hyperlink ref="D455" r:id="rId1284"/>
    <hyperlink ref="E455" r:id="rId1285"/>
    <hyperlink ref="C456" r:id="rId1286"/>
    <hyperlink ref="D456" r:id="rId1287"/>
    <hyperlink ref="E456" r:id="rId1288"/>
    <hyperlink ref="C457" r:id="rId1289"/>
    <hyperlink ref="D457" r:id="rId1290"/>
    <hyperlink ref="E457" r:id="rId1291"/>
    <hyperlink ref="C458" r:id="rId1292"/>
    <hyperlink ref="D458" r:id="rId1293"/>
    <hyperlink ref="E458" r:id="rId1294"/>
    <hyperlink ref="C459" r:id="rId1295"/>
    <hyperlink ref="D459" r:id="rId1296"/>
    <hyperlink ref="E459" r:id="rId1297"/>
    <hyperlink ref="C460" r:id="rId1298"/>
    <hyperlink ref="D460" r:id="rId1299"/>
    <hyperlink ref="E460" r:id="rId1300"/>
    <hyperlink ref="C461" r:id="rId1301"/>
    <hyperlink ref="D461" r:id="rId1302"/>
    <hyperlink ref="E461" r:id="rId1303"/>
    <hyperlink ref="C462" r:id="rId1304"/>
    <hyperlink ref="D462" r:id="rId1305"/>
    <hyperlink ref="E462" r:id="rId1306"/>
    <hyperlink ref="C463" r:id="rId1307"/>
    <hyperlink ref="D463" r:id="rId1308"/>
    <hyperlink ref="E463" r:id="rId1309"/>
    <hyperlink ref="C464" r:id="rId1310"/>
    <hyperlink ref="D464" r:id="rId1311"/>
    <hyperlink ref="E464" r:id="rId1312"/>
    <hyperlink ref="C465" r:id="rId1313"/>
    <hyperlink ref="D465" r:id="rId1314"/>
    <hyperlink ref="E465" r:id="rId1315"/>
    <hyperlink ref="C466" r:id="rId1316"/>
    <hyperlink ref="D466" r:id="rId1317"/>
    <hyperlink ref="E466" r:id="rId1318"/>
    <hyperlink ref="C467" r:id="rId1319"/>
    <hyperlink ref="D467" r:id="rId1320"/>
    <hyperlink ref="E467" r:id="rId1321"/>
    <hyperlink ref="C468" r:id="rId1322"/>
    <hyperlink ref="D468" r:id="rId1323"/>
    <hyperlink ref="E468" r:id="rId1324"/>
    <hyperlink ref="C469" r:id="rId1325"/>
    <hyperlink ref="D469" r:id="rId1326"/>
    <hyperlink ref="E469" r:id="rId1327"/>
    <hyperlink ref="C470" r:id="rId1328"/>
    <hyperlink ref="D470" r:id="rId1329"/>
    <hyperlink ref="E470" r:id="rId1330"/>
    <hyperlink ref="C471" r:id="rId1331"/>
    <hyperlink ref="D471" r:id="rId1332"/>
    <hyperlink ref="E471" r:id="rId1333"/>
    <hyperlink ref="C472" r:id="rId1334"/>
    <hyperlink ref="D472" r:id="rId1335"/>
    <hyperlink ref="E472" r:id="rId1336"/>
    <hyperlink ref="C476" r:id="rId1337"/>
    <hyperlink ref="D476" r:id="rId1338"/>
    <hyperlink ref="E476" r:id="rId1339"/>
    <hyperlink ref="C477" r:id="rId1340"/>
    <hyperlink ref="D477" r:id="rId1341"/>
    <hyperlink ref="E477" r:id="rId1342"/>
    <hyperlink ref="C478" r:id="rId1343"/>
    <hyperlink ref="D478" r:id="rId1344"/>
    <hyperlink ref="E478" r:id="rId1345"/>
    <hyperlink ref="C479" r:id="rId1346"/>
    <hyperlink ref="D479" r:id="rId1347"/>
    <hyperlink ref="E479" r:id="rId1348"/>
    <hyperlink ref="C480" r:id="rId1349"/>
    <hyperlink ref="D480" r:id="rId1350"/>
    <hyperlink ref="E480" r:id="rId1351"/>
    <hyperlink ref="C481" r:id="rId1352"/>
    <hyperlink ref="D481" r:id="rId1353"/>
    <hyperlink ref="E481" r:id="rId1354"/>
    <hyperlink ref="C482" r:id="rId1355"/>
    <hyperlink ref="D482" r:id="rId1356"/>
    <hyperlink ref="E482" r:id="rId1357"/>
    <hyperlink ref="C483" r:id="rId1358"/>
    <hyperlink ref="D483" r:id="rId1359"/>
    <hyperlink ref="E483" r:id="rId1360"/>
    <hyperlink ref="C484" r:id="rId1361"/>
    <hyperlink ref="D484" r:id="rId1362"/>
    <hyperlink ref="E484" r:id="rId1363"/>
    <hyperlink ref="C485" r:id="rId1364"/>
    <hyperlink ref="D485" r:id="rId1365"/>
    <hyperlink ref="E485" r:id="rId1366"/>
    <hyperlink ref="C486" r:id="rId1367"/>
    <hyperlink ref="D486" r:id="rId1368"/>
    <hyperlink ref="E486" r:id="rId1369"/>
    <hyperlink ref="C487" r:id="rId1370"/>
    <hyperlink ref="D487" r:id="rId1371"/>
    <hyperlink ref="E487" r:id="rId1372"/>
    <hyperlink ref="C488" r:id="rId1373"/>
    <hyperlink ref="D488" r:id="rId1374"/>
    <hyperlink ref="E488" r:id="rId1375"/>
    <hyperlink ref="C489" r:id="rId1376"/>
    <hyperlink ref="D489" r:id="rId1377"/>
    <hyperlink ref="E489" r:id="rId1378"/>
    <hyperlink ref="C490" r:id="rId1379"/>
    <hyperlink ref="D490" r:id="rId1380"/>
    <hyperlink ref="E490" r:id="rId1381"/>
    <hyperlink ref="E491" r:id="rId1382"/>
    <hyperlink ref="C492" r:id="rId1383"/>
    <hyperlink ref="D492" r:id="rId1384"/>
    <hyperlink ref="E492" r:id="rId1385"/>
    <hyperlink ref="C493" r:id="rId1386"/>
    <hyperlink ref="D493" r:id="rId1387"/>
    <hyperlink ref="E493" r:id="rId1388"/>
    <hyperlink ref="C494" r:id="rId1389"/>
    <hyperlink ref="D494" r:id="rId1390"/>
    <hyperlink ref="E494" r:id="rId1391"/>
    <hyperlink ref="C495" r:id="rId1392"/>
    <hyperlink ref="D495" r:id="rId1393"/>
    <hyperlink ref="E495" r:id="rId1394"/>
    <hyperlink ref="C496" r:id="rId1395"/>
    <hyperlink ref="D496" r:id="rId1396"/>
    <hyperlink ref="E496" r:id="rId1397"/>
    <hyperlink ref="C498" r:id="rId1398"/>
    <hyperlink ref="D498" r:id="rId1399"/>
    <hyperlink ref="E498" r:id="rId1400"/>
    <hyperlink ref="E499" r:id="rId1401"/>
    <hyperlink ref="C500" r:id="rId1402"/>
    <hyperlink ref="D500" r:id="rId1403"/>
    <hyperlink ref="E500" r:id="rId1404"/>
    <hyperlink ref="C501" r:id="rId1405"/>
    <hyperlink ref="D501" r:id="rId1406"/>
    <hyperlink ref="E501" r:id="rId1407"/>
    <hyperlink ref="C502" r:id="rId1408"/>
    <hyperlink ref="D502" r:id="rId1409"/>
    <hyperlink ref="E502" r:id="rId1410"/>
    <hyperlink ref="C503" r:id="rId1411"/>
    <hyperlink ref="D503" r:id="rId1412"/>
    <hyperlink ref="E503" r:id="rId1413"/>
    <hyperlink ref="C504" r:id="rId1414"/>
    <hyperlink ref="D504" r:id="rId1415"/>
    <hyperlink ref="E504" r:id="rId1416"/>
    <hyperlink ref="C505" r:id="rId1417"/>
    <hyperlink ref="D505" r:id="rId1418"/>
    <hyperlink ref="E505" r:id="rId1419"/>
    <hyperlink ref="C506" r:id="rId1420"/>
    <hyperlink ref="D506" r:id="rId1421"/>
    <hyperlink ref="E506" r:id="rId1422"/>
    <hyperlink ref="C507" r:id="rId1423"/>
    <hyperlink ref="D507" r:id="rId1424"/>
    <hyperlink ref="E507" r:id="rId1425"/>
    <hyperlink ref="C508" r:id="rId1426"/>
    <hyperlink ref="D508" r:id="rId1427"/>
    <hyperlink ref="E508" r:id="rId1428"/>
    <hyperlink ref="E509" r:id="rId1429"/>
    <hyperlink ref="C510" r:id="rId1430"/>
    <hyperlink ref="D510" r:id="rId1431"/>
    <hyperlink ref="E510" r:id="rId1432"/>
    <hyperlink ref="C511" r:id="rId1433"/>
    <hyperlink ref="D511" r:id="rId1434"/>
    <hyperlink ref="E511" r:id="rId1435"/>
    <hyperlink ref="C512" r:id="rId1436"/>
    <hyperlink ref="D512" r:id="rId1437"/>
    <hyperlink ref="E512" r:id="rId1438"/>
    <hyperlink ref="E513" r:id="rId1439"/>
    <hyperlink ref="C514" r:id="rId1440"/>
    <hyperlink ref="D514" r:id="rId1441"/>
    <hyperlink ref="E514" r:id="rId1442"/>
    <hyperlink ref="C515" r:id="rId1443"/>
    <hyperlink ref="D515" r:id="rId1444"/>
    <hyperlink ref="E515" r:id="rId1445"/>
    <hyperlink ref="E516" r:id="rId1446"/>
    <hyperlink ref="C517" r:id="rId1447"/>
    <hyperlink ref="D517" r:id="rId1448"/>
    <hyperlink ref="E517" r:id="rId1449"/>
    <hyperlink ref="E518" r:id="rId1450"/>
    <hyperlink ref="C519" r:id="rId1451"/>
    <hyperlink ref="D519" r:id="rId1452"/>
    <hyperlink ref="E519" r:id="rId1453"/>
    <hyperlink ref="E520" r:id="rId1454"/>
    <hyperlink ref="C521" r:id="rId1455"/>
    <hyperlink ref="D521" r:id="rId1456"/>
    <hyperlink ref="E521" r:id="rId1457"/>
    <hyperlink ref="E522" r:id="rId1458"/>
    <hyperlink ref="C523" r:id="rId1459"/>
    <hyperlink ref="D523" r:id="rId1460"/>
    <hyperlink ref="E523" r:id="rId1461"/>
    <hyperlink ref="E524" r:id="rId1462"/>
    <hyperlink ref="C525" r:id="rId1463"/>
    <hyperlink ref="D525" r:id="rId1464"/>
    <hyperlink ref="E525" r:id="rId1465"/>
    <hyperlink ref="E526" r:id="rId1466"/>
    <hyperlink ref="C527" r:id="rId1467"/>
    <hyperlink ref="D527" r:id="rId1468"/>
    <hyperlink ref="E527" r:id="rId1469"/>
    <hyperlink ref="C528" r:id="rId1470"/>
    <hyperlink ref="D528" r:id="rId1471"/>
    <hyperlink ref="E528" r:id="rId1472"/>
    <hyperlink ref="C529" r:id="rId1473"/>
    <hyperlink ref="D529" r:id="rId1474"/>
    <hyperlink ref="E529" r:id="rId1475"/>
    <hyperlink ref="C530" r:id="rId1476"/>
    <hyperlink ref="D530" r:id="rId1477"/>
    <hyperlink ref="E530" r:id="rId1478"/>
    <hyperlink ref="C531" r:id="rId1479"/>
    <hyperlink ref="D531" r:id="rId1480"/>
    <hyperlink ref="E531" r:id="rId1481"/>
    <hyperlink ref="C532" r:id="rId1482"/>
    <hyperlink ref="D532" r:id="rId1483"/>
    <hyperlink ref="E532" r:id="rId1484"/>
    <hyperlink ref="E533" r:id="rId1485"/>
    <hyperlink ref="C534" r:id="rId1486"/>
    <hyperlink ref="D534" r:id="rId1487"/>
    <hyperlink ref="E534" r:id="rId1488"/>
    <hyperlink ref="C535" r:id="rId1489"/>
    <hyperlink ref="D535" r:id="rId1490"/>
    <hyperlink ref="E535" r:id="rId1491"/>
    <hyperlink ref="C536" r:id="rId1492"/>
    <hyperlink ref="D536" r:id="rId1493"/>
    <hyperlink ref="E536" r:id="rId1494"/>
    <hyperlink ref="C537" r:id="rId1495"/>
    <hyperlink ref="D537" r:id="rId1496"/>
    <hyperlink ref="E537" r:id="rId1497"/>
    <hyperlink ref="C538" r:id="rId1498"/>
    <hyperlink ref="D538" r:id="rId1499"/>
    <hyperlink ref="E538" r:id="rId1500"/>
    <hyperlink ref="C539" r:id="rId1501"/>
    <hyperlink ref="D539" r:id="rId1502"/>
    <hyperlink ref="E539" r:id="rId1503"/>
    <hyperlink ref="C540" r:id="rId1504"/>
    <hyperlink ref="D540" r:id="rId1505"/>
    <hyperlink ref="E540" r:id="rId1506"/>
    <hyperlink ref="C541" r:id="rId1507"/>
    <hyperlink ref="D541" r:id="rId1508"/>
    <hyperlink ref="E541" r:id="rId1509"/>
    <hyperlink ref="C542" r:id="rId1510"/>
    <hyperlink ref="D542" r:id="rId1511"/>
    <hyperlink ref="E542" r:id="rId1512"/>
    <hyperlink ref="C543" r:id="rId1513"/>
    <hyperlink ref="D543" r:id="rId1514"/>
    <hyperlink ref="E543" r:id="rId1515"/>
    <hyperlink ref="C544" r:id="rId1516"/>
    <hyperlink ref="D544" r:id="rId1517"/>
    <hyperlink ref="E544" r:id="rId1518"/>
    <hyperlink ref="C545" r:id="rId1519"/>
    <hyperlink ref="D545" r:id="rId1520"/>
    <hyperlink ref="E545" r:id="rId1521"/>
    <hyperlink ref="C546" r:id="rId1522"/>
    <hyperlink ref="D546" r:id="rId1523"/>
    <hyperlink ref="E546" r:id="rId1524"/>
    <hyperlink ref="C547" r:id="rId1525"/>
    <hyperlink ref="D547" r:id="rId1526"/>
    <hyperlink ref="E547" r:id="rId1527"/>
    <hyperlink ref="C550" r:id="rId1528"/>
    <hyperlink ref="D550" r:id="rId1529"/>
    <hyperlink ref="E550" r:id="rId1530"/>
    <hyperlink ref="C551" r:id="rId1531"/>
    <hyperlink ref="D551" r:id="rId1532"/>
    <hyperlink ref="E551" r:id="rId1533"/>
    <hyperlink ref="C553" r:id="rId1534"/>
    <hyperlink ref="D553" r:id="rId1535"/>
    <hyperlink ref="E553" r:id="rId1536"/>
    <hyperlink ref="C555" r:id="rId1537"/>
    <hyperlink ref="D555" r:id="rId1538"/>
    <hyperlink ref="E555" r:id="rId1539"/>
    <hyperlink ref="C556" r:id="rId1540"/>
    <hyperlink ref="D556" r:id="rId1541"/>
    <hyperlink ref="E556" r:id="rId1542"/>
    <hyperlink ref="C557" r:id="rId1543"/>
    <hyperlink ref="D557" r:id="rId1544"/>
    <hyperlink ref="E557" r:id="rId1545"/>
    <hyperlink ref="C559" r:id="rId1546"/>
    <hyperlink ref="D559" r:id="rId1547"/>
    <hyperlink ref="E559" r:id="rId1548"/>
    <hyperlink ref="C561" r:id="rId1549"/>
    <hyperlink ref="D561" r:id="rId1550"/>
    <hyperlink ref="E561" r:id="rId1551"/>
    <hyperlink ref="C563" r:id="rId1552"/>
    <hyperlink ref="D563" r:id="rId1553"/>
    <hyperlink ref="E563" r:id="rId1554"/>
    <hyperlink ref="C564" r:id="rId1555"/>
    <hyperlink ref="D564" r:id="rId1556"/>
    <hyperlink ref="E564" r:id="rId1557"/>
    <hyperlink ref="C565" r:id="rId1558"/>
    <hyperlink ref="D565" r:id="rId1559"/>
    <hyperlink ref="E565" r:id="rId1560"/>
    <hyperlink ref="C566" r:id="rId1561"/>
    <hyperlink ref="D566" r:id="rId1562"/>
    <hyperlink ref="E566" r:id="rId1563"/>
    <hyperlink ref="C567" r:id="rId1564"/>
    <hyperlink ref="D567" r:id="rId1565"/>
    <hyperlink ref="E567" r:id="rId1566"/>
    <hyperlink ref="C568" r:id="rId1567"/>
    <hyperlink ref="D568" r:id="rId1568"/>
    <hyperlink ref="E568" r:id="rId1569"/>
    <hyperlink ref="C569" r:id="rId1570"/>
    <hyperlink ref="D569" r:id="rId1571"/>
    <hyperlink ref="E569" r:id="rId1572"/>
    <hyperlink ref="C570" r:id="rId1573"/>
    <hyperlink ref="D570" r:id="rId1574"/>
    <hyperlink ref="E570" r:id="rId1575"/>
    <hyperlink ref="C571" r:id="rId1576"/>
    <hyperlink ref="D571" r:id="rId1577"/>
    <hyperlink ref="E571" r:id="rId1578"/>
    <hyperlink ref="C572" r:id="rId1579"/>
    <hyperlink ref="D572" r:id="rId1580"/>
    <hyperlink ref="E572" r:id="rId1581"/>
    <hyperlink ref="C573" r:id="rId1582"/>
    <hyperlink ref="D573" r:id="rId1583"/>
    <hyperlink ref="E573" r:id="rId1584"/>
    <hyperlink ref="C574" r:id="rId1585"/>
    <hyperlink ref="D574" r:id="rId1586"/>
    <hyperlink ref="E574" r:id="rId1587"/>
    <hyperlink ref="C575" r:id="rId1588"/>
    <hyperlink ref="D575" r:id="rId1589"/>
    <hyperlink ref="E575" r:id="rId1590"/>
    <hyperlink ref="C576" r:id="rId1591"/>
    <hyperlink ref="D576" r:id="rId1592"/>
    <hyperlink ref="E576" r:id="rId1593"/>
    <hyperlink ref="E577" r:id="rId1594"/>
    <hyperlink ref="C578" r:id="rId1595"/>
    <hyperlink ref="D578" r:id="rId1596"/>
    <hyperlink ref="E578" r:id="rId1597"/>
    <hyperlink ref="C579" r:id="rId1598"/>
    <hyperlink ref="D579" r:id="rId1599"/>
    <hyperlink ref="E579" r:id="rId1600"/>
    <hyperlink ref="C580" r:id="rId1601"/>
    <hyperlink ref="D580" r:id="rId1602"/>
    <hyperlink ref="E580" r:id="rId1603"/>
    <hyperlink ref="C581" r:id="rId1604"/>
    <hyperlink ref="D581" r:id="rId1605"/>
    <hyperlink ref="E581" r:id="rId1606"/>
    <hyperlink ref="C582" r:id="rId1607"/>
    <hyperlink ref="D582" r:id="rId1608"/>
    <hyperlink ref="E582" r:id="rId1609"/>
    <hyperlink ref="C583" r:id="rId1610"/>
    <hyperlink ref="D583" r:id="rId1611"/>
    <hyperlink ref="E583" r:id="rId1612"/>
    <hyperlink ref="C584" r:id="rId1613"/>
    <hyperlink ref="D584" r:id="rId1614"/>
    <hyperlink ref="E584" r:id="rId1615"/>
    <hyperlink ref="C585" r:id="rId1616"/>
    <hyperlink ref="D585" r:id="rId1617"/>
    <hyperlink ref="E585" r:id="rId1618"/>
    <hyperlink ref="C586" r:id="rId1619"/>
    <hyperlink ref="D586" r:id="rId1620"/>
    <hyperlink ref="E586" r:id="rId1621"/>
    <hyperlink ref="C587" r:id="rId1622"/>
    <hyperlink ref="D587" r:id="rId1623"/>
    <hyperlink ref="E587" r:id="rId1624"/>
    <hyperlink ref="C588" r:id="rId1625"/>
    <hyperlink ref="D588" r:id="rId1626"/>
    <hyperlink ref="E588" r:id="rId1627"/>
    <hyperlink ref="C589" r:id="rId1628"/>
    <hyperlink ref="D589" r:id="rId1629"/>
    <hyperlink ref="E589" r:id="rId1630"/>
    <hyperlink ref="C590" r:id="rId1631"/>
    <hyperlink ref="D590" r:id="rId1632"/>
    <hyperlink ref="E590" r:id="rId1633"/>
    <hyperlink ref="C591" r:id="rId1634"/>
    <hyperlink ref="D591" r:id="rId1635"/>
    <hyperlink ref="E591" r:id="rId1636"/>
    <hyperlink ref="C592" r:id="rId1637"/>
    <hyperlink ref="D592" r:id="rId1638"/>
    <hyperlink ref="E592" r:id="rId1639"/>
    <hyperlink ref="C593" r:id="rId1640"/>
    <hyperlink ref="D593" r:id="rId1641"/>
    <hyperlink ref="E593" r:id="rId1642"/>
    <hyperlink ref="C594" r:id="rId1643"/>
    <hyperlink ref="D594" r:id="rId1644"/>
    <hyperlink ref="E594" r:id="rId1645"/>
    <hyperlink ref="C595" r:id="rId1646"/>
    <hyperlink ref="D595" r:id="rId1647"/>
    <hyperlink ref="E595" r:id="rId1648"/>
    <hyperlink ref="C596" r:id="rId1649"/>
    <hyperlink ref="D596" r:id="rId1650"/>
    <hyperlink ref="E596" r:id="rId1651"/>
    <hyperlink ref="C597" r:id="rId1652"/>
    <hyperlink ref="D597" r:id="rId1653"/>
    <hyperlink ref="E597" r:id="rId1654"/>
    <hyperlink ref="C598" r:id="rId1655"/>
    <hyperlink ref="D598" r:id="rId1656"/>
    <hyperlink ref="E598" r:id="rId1657"/>
    <hyperlink ref="C599" r:id="rId1658"/>
    <hyperlink ref="D599" r:id="rId1659"/>
    <hyperlink ref="E599" r:id="rId1660"/>
    <hyperlink ref="C600" r:id="rId1661"/>
    <hyperlink ref="D600" r:id="rId1662"/>
    <hyperlink ref="E600" r:id="rId1663"/>
    <hyperlink ref="C601" r:id="rId1664"/>
    <hyperlink ref="D601" r:id="rId1665"/>
    <hyperlink ref="E601" r:id="rId1666"/>
    <hyperlink ref="C602" r:id="rId1667"/>
    <hyperlink ref="D602" r:id="rId1668"/>
    <hyperlink ref="E602" r:id="rId1669"/>
    <hyperlink ref="C603" r:id="rId1670"/>
    <hyperlink ref="D603" r:id="rId1671"/>
    <hyperlink ref="E603" r:id="rId1672"/>
    <hyperlink ref="C604" r:id="rId1673"/>
    <hyperlink ref="D604" r:id="rId1674"/>
    <hyperlink ref="E604" r:id="rId1675"/>
    <hyperlink ref="C605" r:id="rId1676"/>
    <hyperlink ref="D605" r:id="rId1677"/>
    <hyperlink ref="E605" r:id="rId1678"/>
    <hyperlink ref="C606" r:id="rId1679"/>
    <hyperlink ref="D606" r:id="rId1680"/>
    <hyperlink ref="E606" r:id="rId1681"/>
    <hyperlink ref="C607" r:id="rId1682"/>
    <hyperlink ref="D607" r:id="rId1683"/>
    <hyperlink ref="E607" r:id="rId1684"/>
    <hyperlink ref="C608" r:id="rId1685"/>
    <hyperlink ref="D608" r:id="rId1686"/>
    <hyperlink ref="E608" r:id="rId1687"/>
    <hyperlink ref="C609" r:id="rId1688"/>
    <hyperlink ref="D609" r:id="rId1689"/>
    <hyperlink ref="E609" r:id="rId1690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691"/>
  <headerFooter alignWithMargins="0">
    <oddFooter>&amp;CStrona &amp;P z &amp;N</oddFooter>
  </headerFooter>
  <drawing r:id="rId1692"/>
  <tableParts count="1">
    <tablePart r:id="rId169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AL49"/>
  <sheetViews>
    <sheetView workbookViewId="0">
      <selection activeCell="C5" sqref="C5"/>
    </sheetView>
  </sheetViews>
  <sheetFormatPr defaultRowHeight="12.5" x14ac:dyDescent="0.2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 x14ac:dyDescent="0.25">
      <c r="B1" t="s">
        <v>79</v>
      </c>
      <c r="C1" t="s">
        <v>73</v>
      </c>
    </row>
    <row r="2" spans="1:38" x14ac:dyDescent="0.25">
      <c r="A2" s="74" t="s">
        <v>74</v>
      </c>
      <c r="B2">
        <v>6</v>
      </c>
      <c r="C2" s="53" t="s">
        <v>89</v>
      </c>
    </row>
    <row r="3" spans="1:38" x14ac:dyDescent="0.25">
      <c r="A3" s="74" t="s">
        <v>75</v>
      </c>
      <c r="B3">
        <v>7</v>
      </c>
      <c r="C3" s="53" t="s">
        <v>89</v>
      </c>
    </row>
    <row r="4" spans="1:38" x14ac:dyDescent="0.25">
      <c r="A4" s="74" t="s">
        <v>76</v>
      </c>
      <c r="B4">
        <v>8</v>
      </c>
      <c r="C4" s="53" t="s">
        <v>89</v>
      </c>
      <c r="D4" s="65" t="s">
        <v>101</v>
      </c>
    </row>
    <row r="5" spans="1:38" x14ac:dyDescent="0.25">
      <c r="A5" s="74" t="s">
        <v>77</v>
      </c>
      <c r="B5">
        <v>9</v>
      </c>
      <c r="C5" s="53" t="s">
        <v>89</v>
      </c>
    </row>
    <row r="6" spans="1:38" x14ac:dyDescent="0.25">
      <c r="A6" s="74" t="s">
        <v>106</v>
      </c>
      <c r="B6">
        <v>10</v>
      </c>
      <c r="C6" s="53" t="s">
        <v>89</v>
      </c>
      <c r="AL6" s="55"/>
    </row>
    <row r="7" spans="1:38" x14ac:dyDescent="0.25">
      <c r="A7" s="74" t="s">
        <v>107</v>
      </c>
      <c r="B7">
        <v>11</v>
      </c>
      <c r="C7" t="s">
        <v>80</v>
      </c>
      <c r="AL7" s="55"/>
    </row>
    <row r="8" spans="1:38" x14ac:dyDescent="0.25">
      <c r="A8" s="74" t="s">
        <v>108</v>
      </c>
      <c r="B8">
        <v>12</v>
      </c>
      <c r="C8" s="53" t="s">
        <v>89</v>
      </c>
      <c r="AL8" s="55"/>
    </row>
    <row r="9" spans="1:38" x14ac:dyDescent="0.25">
      <c r="A9" s="74" t="s">
        <v>78</v>
      </c>
      <c r="B9">
        <v>13</v>
      </c>
      <c r="C9" s="53" t="s">
        <v>89</v>
      </c>
      <c r="AL9" s="55"/>
    </row>
    <row r="10" spans="1:38" x14ac:dyDescent="0.25">
      <c r="A10" s="74" t="s">
        <v>81</v>
      </c>
      <c r="B10">
        <v>14</v>
      </c>
      <c r="C10" t="s">
        <v>80</v>
      </c>
      <c r="AL10" s="55"/>
    </row>
    <row r="11" spans="1:38" x14ac:dyDescent="0.25">
      <c r="A11" s="74" t="s">
        <v>82</v>
      </c>
      <c r="B11">
        <v>15</v>
      </c>
      <c r="C11" s="53" t="s">
        <v>90</v>
      </c>
      <c r="AL11" s="55"/>
    </row>
    <row r="12" spans="1:38" ht="13" x14ac:dyDescent="0.3">
      <c r="A12" s="74" t="s">
        <v>84</v>
      </c>
      <c r="B12">
        <v>18</v>
      </c>
      <c r="C12" s="59" t="s">
        <v>95</v>
      </c>
      <c r="D12" s="62" t="s">
        <v>96</v>
      </c>
      <c r="E12" s="60" t="s">
        <v>101</v>
      </c>
      <c r="AL12" s="55"/>
    </row>
    <row r="13" spans="1:38" ht="13" x14ac:dyDescent="0.3">
      <c r="A13" s="74" t="s">
        <v>83</v>
      </c>
      <c r="B13">
        <v>38</v>
      </c>
      <c r="C13" s="58" t="s">
        <v>97</v>
      </c>
      <c r="D13" s="62" t="s">
        <v>102</v>
      </c>
      <c r="E13" s="60" t="s">
        <v>103</v>
      </c>
      <c r="AL13" s="55"/>
    </row>
    <row r="14" spans="1:38" x14ac:dyDescent="0.25">
      <c r="A14" s="74" t="s">
        <v>85</v>
      </c>
      <c r="B14">
        <v>43</v>
      </c>
      <c r="C14" s="67" t="s">
        <v>91</v>
      </c>
    </row>
    <row r="15" spans="1:38" x14ac:dyDescent="0.25">
      <c r="A15" s="74" t="s">
        <v>86</v>
      </c>
      <c r="B15">
        <v>46</v>
      </c>
      <c r="C15" s="54" t="s">
        <v>87</v>
      </c>
      <c r="D15" s="56" t="s">
        <v>88</v>
      </c>
      <c r="E15" s="57" t="s">
        <v>94</v>
      </c>
    </row>
    <row r="16" spans="1:38" x14ac:dyDescent="0.25">
      <c r="A16" s="74" t="s">
        <v>92</v>
      </c>
      <c r="B16">
        <v>55</v>
      </c>
      <c r="C16" t="s">
        <v>80</v>
      </c>
    </row>
    <row r="17" spans="1:5" x14ac:dyDescent="0.25">
      <c r="A17" s="74" t="s">
        <v>98</v>
      </c>
      <c r="B17">
        <v>2</v>
      </c>
      <c r="C17" s="53" t="s">
        <v>89</v>
      </c>
    </row>
    <row r="18" spans="1:5" x14ac:dyDescent="0.25">
      <c r="A18" s="74" t="s">
        <v>99</v>
      </c>
      <c r="B18">
        <v>39</v>
      </c>
      <c r="C18" t="s">
        <v>80</v>
      </c>
    </row>
    <row r="19" spans="1:5" ht="13" x14ac:dyDescent="0.3">
      <c r="A19" s="74" t="s">
        <v>100</v>
      </c>
      <c r="B19">
        <v>40</v>
      </c>
      <c r="C19" s="66" t="s">
        <v>95</v>
      </c>
      <c r="D19" s="61" t="s">
        <v>96</v>
      </c>
      <c r="E19" s="60" t="s">
        <v>101</v>
      </c>
    </row>
    <row r="20" spans="1:5" x14ac:dyDescent="0.25">
      <c r="A20" s="74" t="s">
        <v>104</v>
      </c>
      <c r="B20">
        <v>45</v>
      </c>
      <c r="C20" s="53" t="s">
        <v>89</v>
      </c>
    </row>
    <row r="21" spans="1:5" x14ac:dyDescent="0.25">
      <c r="A21" s="74" t="s">
        <v>105</v>
      </c>
      <c r="B21">
        <v>44</v>
      </c>
      <c r="C21" s="53" t="s">
        <v>89</v>
      </c>
    </row>
    <row r="49" spans="4:4" x14ac:dyDescent="0.25">
      <c r="D49" s="67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DETALE</vt:lpstr>
      <vt:lpstr>PARAMETRY</vt:lpstr>
      <vt:lpstr>DETALE!Obszar_wydruku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Krzysztof Wróblewski</cp:lastModifiedBy>
  <cp:lastPrinted>2018-12-03T12:08:08Z</cp:lastPrinted>
  <dcterms:created xsi:type="dcterms:W3CDTF">2015-02-11T06:44:04Z</dcterms:created>
  <dcterms:modified xsi:type="dcterms:W3CDTF">2023-07-10T11:31:03Z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