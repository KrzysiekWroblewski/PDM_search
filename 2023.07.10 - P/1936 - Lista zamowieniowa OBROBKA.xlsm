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en_skoroszyt"/>
  <bookViews>
    <workbookView xWindow="-120" yWindow="-120" windowWidth="29040" windowHeight="15840" tabRatio="297" activeTab="1"/>
  </bookViews>
  <sheets>
    <sheet name="POMOC" sheetId="1" r:id="rId1"/>
    <sheet name="DETALE" sheetId="4" r:id="rId2"/>
    <sheet name="Arkusz1" sheetId="8" r:id="rId3"/>
    <sheet name="MAGAZYN" sheetId="6" r:id="rId4"/>
    <sheet name="PARAMETRY" sheetId="7" r:id="rId5"/>
  </sheets>
  <functionGroups/>
  <definedNames>
    <definedName name="_xlnm._FilterDatabase" localSheetId="1" hidden="1">DETALE!$A$5:$AS$5</definedName>
    <definedName name="_xlnm._FilterDatabase" localSheetId="3" hidden="1">MAGAZYN!$A$5:$AS$5</definedName>
    <definedName name="_xlnm.Print_Area" localSheetId="1">DETALE!$A$1:$AS$5</definedName>
    <definedName name="_xlnm.Print_Area" localSheetId="3">MAGAZYN!$A$1:$AS$5</definedName>
  </definedNames>
  <calcPr calcId="125725"/>
  <fileRecoveryPr autoRecover="0"/>
</workbook>
</file>

<file path=xl/calcChain.xml><?xml version="1.0" encoding="utf-8"?>
<calcChain xmlns="http://schemas.openxmlformats.org/spreadsheetml/2006/main">
  <c r="AL499" i="4"/>
  <c r="AN499" s="1"/>
  <c r="AV499" s="1"/>
  <c r="AL498"/>
  <c r="AN498" s="1"/>
  <c r="AV498" s="1"/>
  <c r="AL497"/>
  <c r="AN497"/>
  <c r="AV497" s="1"/>
  <c r="AG451"/>
  <c r="AH451"/>
  <c r="AI451"/>
  <c r="AJ451"/>
  <c r="AK451"/>
  <c r="AG452"/>
  <c r="AH452"/>
  <c r="AI452"/>
  <c r="AJ452"/>
  <c r="AK452"/>
  <c r="AG453"/>
  <c r="AH453"/>
  <c r="AI453"/>
  <c r="AJ453"/>
  <c r="AK453"/>
  <c r="AG454"/>
  <c r="AH454"/>
  <c r="AL454"/>
  <c r="AN454" s="1"/>
  <c r="AV454" s="1"/>
  <c r="AI454"/>
  <c r="AJ454"/>
  <c r="AK454"/>
  <c r="AG455"/>
  <c r="AH455"/>
  <c r="AI455"/>
  <c r="AJ455"/>
  <c r="AK455"/>
  <c r="AG456"/>
  <c r="AH456"/>
  <c r="AI456"/>
  <c r="AJ456"/>
  <c r="AK456"/>
  <c r="AG457"/>
  <c r="AH457"/>
  <c r="AI457"/>
  <c r="AL457"/>
  <c r="AN457"/>
  <c r="AV457" s="1"/>
  <c r="AJ457"/>
  <c r="AK457"/>
  <c r="AG458"/>
  <c r="AH458"/>
  <c r="AI458"/>
  <c r="AJ458"/>
  <c r="AL458"/>
  <c r="AN458" s="1"/>
  <c r="AV458" s="1"/>
  <c r="AK458"/>
  <c r="AG459"/>
  <c r="AH459"/>
  <c r="AL459"/>
  <c r="AN459"/>
  <c r="AV459" s="1"/>
  <c r="AI459"/>
  <c r="AJ459"/>
  <c r="AK459"/>
  <c r="AG460"/>
  <c r="AH460"/>
  <c r="AI460"/>
  <c r="AJ460"/>
  <c r="AK460"/>
  <c r="AG461"/>
  <c r="AH461"/>
  <c r="AI461"/>
  <c r="AJ461"/>
  <c r="AK461"/>
  <c r="AG462"/>
  <c r="AH462"/>
  <c r="AI462"/>
  <c r="AJ462"/>
  <c r="AK462"/>
  <c r="AG463"/>
  <c r="AH463"/>
  <c r="AI463"/>
  <c r="AJ463"/>
  <c r="AK463"/>
  <c r="AL463"/>
  <c r="AN463" s="1"/>
  <c r="AV463" s="1"/>
  <c r="AG464"/>
  <c r="AH464"/>
  <c r="AI464"/>
  <c r="AJ464"/>
  <c r="AK464"/>
  <c r="AG465"/>
  <c r="AH465"/>
  <c r="AI465"/>
  <c r="AJ465"/>
  <c r="AK465"/>
  <c r="AG466"/>
  <c r="AH466"/>
  <c r="AI466"/>
  <c r="AJ466"/>
  <c r="AK466"/>
  <c r="AG467"/>
  <c r="AH467"/>
  <c r="AI467"/>
  <c r="AJ467"/>
  <c r="AK467"/>
  <c r="AG468"/>
  <c r="AH468"/>
  <c r="AI468"/>
  <c r="AJ468"/>
  <c r="AK468"/>
  <c r="AG469"/>
  <c r="AH469"/>
  <c r="AI469"/>
  <c r="AJ469"/>
  <c r="AK469"/>
  <c r="AG470"/>
  <c r="AH470"/>
  <c r="AI470"/>
  <c r="AL470"/>
  <c r="AN470"/>
  <c r="AV470" s="1"/>
  <c r="AJ470"/>
  <c r="AK470"/>
  <c r="AG471"/>
  <c r="AL471"/>
  <c r="AN471" s="1"/>
  <c r="AV471" s="1"/>
  <c r="AH471"/>
  <c r="AI471"/>
  <c r="AJ471"/>
  <c r="AK471"/>
  <c r="AG472"/>
  <c r="AH472"/>
  <c r="AI472"/>
  <c r="AJ472"/>
  <c r="AK472"/>
  <c r="AG473"/>
  <c r="AH473"/>
  <c r="AI473"/>
  <c r="AJ473"/>
  <c r="AK473"/>
  <c r="AG474"/>
  <c r="AH474"/>
  <c r="AI474"/>
  <c r="AJ474"/>
  <c r="AK474"/>
  <c r="AG475"/>
  <c r="AH475"/>
  <c r="AI475"/>
  <c r="AJ475"/>
  <c r="AL475"/>
  <c r="AN475" s="1"/>
  <c r="AV475" s="1"/>
  <c r="AK475"/>
  <c r="AG476"/>
  <c r="AH476"/>
  <c r="AI476"/>
  <c r="AJ476"/>
  <c r="AK476"/>
  <c r="AG477"/>
  <c r="AH477"/>
  <c r="AI477"/>
  <c r="AJ477"/>
  <c r="AK477"/>
  <c r="AG478"/>
  <c r="AL478"/>
  <c r="AN478"/>
  <c r="AV478" s="1"/>
  <c r="AH478"/>
  <c r="AI478"/>
  <c r="AJ478"/>
  <c r="AK478"/>
  <c r="AG479"/>
  <c r="AH479"/>
  <c r="AI479"/>
  <c r="AJ479"/>
  <c r="AK479"/>
  <c r="AG480"/>
  <c r="AH480"/>
  <c r="AI480"/>
  <c r="AJ480"/>
  <c r="AK480"/>
  <c r="AG481"/>
  <c r="AL481"/>
  <c r="AN481" s="1"/>
  <c r="AV481"/>
  <c r="AH481"/>
  <c r="AI481"/>
  <c r="AJ481"/>
  <c r="AK481"/>
  <c r="AG482"/>
  <c r="AH482"/>
  <c r="AI482"/>
  <c r="AJ482"/>
  <c r="AK482"/>
  <c r="AG483"/>
  <c r="AH483"/>
  <c r="AL483"/>
  <c r="AN483" s="1"/>
  <c r="AV483" s="1"/>
  <c r="AI483"/>
  <c r="AJ483"/>
  <c r="AK483"/>
  <c r="AG484"/>
  <c r="AL484"/>
  <c r="AN484" s="1"/>
  <c r="AV484" s="1"/>
  <c r="AH484"/>
  <c r="AI484"/>
  <c r="AJ484"/>
  <c r="AK484"/>
  <c r="AG485"/>
  <c r="AH485"/>
  <c r="AL485"/>
  <c r="AN485" s="1"/>
  <c r="AV485" s="1"/>
  <c r="AI485"/>
  <c r="AJ485"/>
  <c r="AK485"/>
  <c r="AG486"/>
  <c r="AL486"/>
  <c r="AN486"/>
  <c r="AH486"/>
  <c r="AI486"/>
  <c r="AJ486"/>
  <c r="AK486"/>
  <c r="AG487"/>
  <c r="AL487"/>
  <c r="AN487" s="1"/>
  <c r="AH487"/>
  <c r="AI487"/>
  <c r="AJ487"/>
  <c r="AK487"/>
  <c r="AG488"/>
  <c r="AL488"/>
  <c r="AN488" s="1"/>
  <c r="AV488" s="1"/>
  <c r="AH488"/>
  <c r="AI488"/>
  <c r="AJ488"/>
  <c r="AK488"/>
  <c r="AG489"/>
  <c r="AH489"/>
  <c r="AI489"/>
  <c r="AJ489"/>
  <c r="AK489"/>
  <c r="AG490"/>
  <c r="AH490"/>
  <c r="AI490"/>
  <c r="AJ490"/>
  <c r="AK490"/>
  <c r="AG491"/>
  <c r="AH491"/>
  <c r="AL491"/>
  <c r="AN491" s="1"/>
  <c r="AV491" s="1"/>
  <c r="AI491"/>
  <c r="AJ491"/>
  <c r="AK491"/>
  <c r="AG492"/>
  <c r="AH492"/>
  <c r="AI492"/>
  <c r="AJ492"/>
  <c r="AK492"/>
  <c r="AG493"/>
  <c r="AH493"/>
  <c r="AL493"/>
  <c r="AN493"/>
  <c r="AV493" s="1"/>
  <c r="AI493"/>
  <c r="AJ493"/>
  <c r="AK493"/>
  <c r="AG494"/>
  <c r="AH494"/>
  <c r="AL494"/>
  <c r="AN494" s="1"/>
  <c r="AV494" s="1"/>
  <c r="AI494"/>
  <c r="AJ494"/>
  <c r="AK494"/>
  <c r="AG495"/>
  <c r="AH495"/>
  <c r="AI495"/>
  <c r="AJ495"/>
  <c r="AK495"/>
  <c r="AG496"/>
  <c r="AH496"/>
  <c r="AI496"/>
  <c r="AL496"/>
  <c r="AN496" s="1"/>
  <c r="AV496" s="1"/>
  <c r="AJ496"/>
  <c r="AK496"/>
  <c r="AL464"/>
  <c r="AN464"/>
  <c r="AV464"/>
  <c r="AG442"/>
  <c r="AH442"/>
  <c r="AI442"/>
  <c r="AJ442"/>
  <c r="AK442"/>
  <c r="AG443"/>
  <c r="AH443"/>
  <c r="AI443"/>
  <c r="AJ443"/>
  <c r="AK443"/>
  <c r="AG444"/>
  <c r="AH444"/>
  <c r="AI444"/>
  <c r="AJ444"/>
  <c r="AK444"/>
  <c r="AG445"/>
  <c r="AH445"/>
  <c r="AI445"/>
  <c r="AJ445"/>
  <c r="AK445"/>
  <c r="AG446"/>
  <c r="AH446"/>
  <c r="AI446"/>
  <c r="AJ446"/>
  <c r="AK446"/>
  <c r="AG447"/>
  <c r="AH447"/>
  <c r="AI447"/>
  <c r="AL447"/>
  <c r="AN447" s="1"/>
  <c r="AV447" s="1"/>
  <c r="AJ447"/>
  <c r="AK447"/>
  <c r="AG448"/>
  <c r="AH448"/>
  <c r="AI448"/>
  <c r="AJ448"/>
  <c r="AK448"/>
  <c r="AG449"/>
  <c r="AH449"/>
  <c r="AI449"/>
  <c r="AJ449"/>
  <c r="AK449"/>
  <c r="AG450"/>
  <c r="AH450"/>
  <c r="AI450"/>
  <c r="AJ450"/>
  <c r="AK450"/>
  <c r="V428"/>
  <c r="W428"/>
  <c r="X428"/>
  <c r="Y428"/>
  <c r="Z428"/>
  <c r="AA428"/>
  <c r="AB428"/>
  <c r="AC428"/>
  <c r="AD428"/>
  <c r="AE428"/>
  <c r="AF428"/>
  <c r="AG428"/>
  <c r="AH428"/>
  <c r="AI428"/>
  <c r="AJ428"/>
  <c r="AK428"/>
  <c r="V429"/>
  <c r="W429"/>
  <c r="X429"/>
  <c r="Y429"/>
  <c r="Z429"/>
  <c r="AA429"/>
  <c r="AB429"/>
  <c r="AC429"/>
  <c r="AD429"/>
  <c r="AE429"/>
  <c r="AF429"/>
  <c r="AG429"/>
  <c r="AH429"/>
  <c r="AI429"/>
  <c r="AJ429"/>
  <c r="AK429"/>
  <c r="V430"/>
  <c r="W430"/>
  <c r="X430"/>
  <c r="Y430"/>
  <c r="Z430"/>
  <c r="AA430"/>
  <c r="AB430"/>
  <c r="AC430"/>
  <c r="AD430"/>
  <c r="AE430"/>
  <c r="AF430"/>
  <c r="AG430"/>
  <c r="AH430"/>
  <c r="AI430"/>
  <c r="AJ430"/>
  <c r="AK430"/>
  <c r="V431"/>
  <c r="W431"/>
  <c r="X431"/>
  <c r="Y431"/>
  <c r="Z431"/>
  <c r="AA431"/>
  <c r="AB431"/>
  <c r="AC431"/>
  <c r="AD431"/>
  <c r="AE431"/>
  <c r="AF431"/>
  <c r="AG431"/>
  <c r="AH431"/>
  <c r="AI431"/>
  <c r="AJ431"/>
  <c r="AK431"/>
  <c r="V432"/>
  <c r="W432"/>
  <c r="X432"/>
  <c r="Y432"/>
  <c r="Z432"/>
  <c r="AA432"/>
  <c r="AB432"/>
  <c r="AC432"/>
  <c r="AD432"/>
  <c r="AE432"/>
  <c r="AF432"/>
  <c r="AG432"/>
  <c r="AH432"/>
  <c r="AI432"/>
  <c r="AJ432"/>
  <c r="AK432"/>
  <c r="V433"/>
  <c r="W433"/>
  <c r="X433"/>
  <c r="Y433"/>
  <c r="Z433"/>
  <c r="AA433"/>
  <c r="AB433"/>
  <c r="AC433"/>
  <c r="AD433"/>
  <c r="AE433"/>
  <c r="AF433"/>
  <c r="AG433"/>
  <c r="AH433"/>
  <c r="AI433"/>
  <c r="AJ433"/>
  <c r="AK433"/>
  <c r="V434"/>
  <c r="W434"/>
  <c r="X434"/>
  <c r="Y434"/>
  <c r="Z434"/>
  <c r="AA434"/>
  <c r="AB434"/>
  <c r="AC434"/>
  <c r="AD434"/>
  <c r="AE434"/>
  <c r="AF434"/>
  <c r="AG434"/>
  <c r="AH434"/>
  <c r="AI434"/>
  <c r="AJ434"/>
  <c r="AK434"/>
  <c r="V435"/>
  <c r="W435"/>
  <c r="X435"/>
  <c r="Y435"/>
  <c r="Z435"/>
  <c r="AA435"/>
  <c r="AB435"/>
  <c r="AC435"/>
  <c r="AD435"/>
  <c r="AE435"/>
  <c r="AF435"/>
  <c r="AG435"/>
  <c r="AH435"/>
  <c r="AI435"/>
  <c r="AJ435"/>
  <c r="AK435"/>
  <c r="V436"/>
  <c r="W436"/>
  <c r="X436"/>
  <c r="Y436"/>
  <c r="Z436"/>
  <c r="AA436"/>
  <c r="AB436"/>
  <c r="AC436"/>
  <c r="AD436"/>
  <c r="AE436"/>
  <c r="AF436"/>
  <c r="AG436"/>
  <c r="AH436"/>
  <c r="AI436"/>
  <c r="AJ436"/>
  <c r="AK436"/>
  <c r="V437"/>
  <c r="W437"/>
  <c r="X437"/>
  <c r="Y437"/>
  <c r="Z437"/>
  <c r="AA437"/>
  <c r="AB437"/>
  <c r="AC437"/>
  <c r="AD437"/>
  <c r="AE437"/>
  <c r="AF437"/>
  <c r="AG437"/>
  <c r="AH437"/>
  <c r="AI437"/>
  <c r="AJ437"/>
  <c r="AK437"/>
  <c r="V438"/>
  <c r="W438"/>
  <c r="X438"/>
  <c r="Y438"/>
  <c r="Z438"/>
  <c r="AA438"/>
  <c r="AB438"/>
  <c r="AC438"/>
  <c r="AD438"/>
  <c r="AE438"/>
  <c r="AF438"/>
  <c r="AG438"/>
  <c r="AH438"/>
  <c r="AI438"/>
  <c r="AJ438"/>
  <c r="AK438"/>
  <c r="V439"/>
  <c r="W439"/>
  <c r="X439"/>
  <c r="Y439"/>
  <c r="Z439"/>
  <c r="AA439"/>
  <c r="AB439"/>
  <c r="AC439"/>
  <c r="AD439"/>
  <c r="AE439"/>
  <c r="AF439"/>
  <c r="AG439"/>
  <c r="AH439"/>
  <c r="AI439"/>
  <c r="AJ439"/>
  <c r="AK439"/>
  <c r="V440"/>
  <c r="W440"/>
  <c r="X440"/>
  <c r="Y440"/>
  <c r="Z440"/>
  <c r="AA440"/>
  <c r="AB440"/>
  <c r="AC440"/>
  <c r="AD440"/>
  <c r="AE440"/>
  <c r="AF440"/>
  <c r="AG440"/>
  <c r="AH440"/>
  <c r="AI440"/>
  <c r="AJ440"/>
  <c r="AK440"/>
  <c r="V441"/>
  <c r="W441"/>
  <c r="X441"/>
  <c r="Y441"/>
  <c r="Z441"/>
  <c r="AA441"/>
  <c r="AB441"/>
  <c r="AC441"/>
  <c r="AD441"/>
  <c r="AE441"/>
  <c r="AF441"/>
  <c r="AG441"/>
  <c r="AH441"/>
  <c r="AI441"/>
  <c r="AJ441"/>
  <c r="AK441"/>
  <c r="U426"/>
  <c r="V426"/>
  <c r="W426"/>
  <c r="X426"/>
  <c r="Y426"/>
  <c r="Z426"/>
  <c r="AA426"/>
  <c r="AB426"/>
  <c r="AC426"/>
  <c r="AD426"/>
  <c r="AE426"/>
  <c r="AF426"/>
  <c r="AG426"/>
  <c r="AH426"/>
  <c r="AI426"/>
  <c r="AJ426"/>
  <c r="AK426"/>
  <c r="V427"/>
  <c r="W427"/>
  <c r="X427"/>
  <c r="Y427"/>
  <c r="Z427"/>
  <c r="AA427"/>
  <c r="AB427"/>
  <c r="AC427"/>
  <c r="AD427"/>
  <c r="AE427"/>
  <c r="AF427"/>
  <c r="AG427"/>
  <c r="AH427"/>
  <c r="AI427"/>
  <c r="AJ427"/>
  <c r="AK427"/>
  <c r="T424"/>
  <c r="U424"/>
  <c r="V424"/>
  <c r="W424"/>
  <c r="X424"/>
  <c r="Y424"/>
  <c r="Z424"/>
  <c r="AA424"/>
  <c r="AB424"/>
  <c r="AC424"/>
  <c r="AD424"/>
  <c r="AE424"/>
  <c r="AF424"/>
  <c r="AG424"/>
  <c r="AH424"/>
  <c r="AI424"/>
  <c r="AJ424"/>
  <c r="AK424"/>
  <c r="T425"/>
  <c r="U425"/>
  <c r="V425"/>
  <c r="W425"/>
  <c r="X425"/>
  <c r="Y425"/>
  <c r="Z425"/>
  <c r="AA425"/>
  <c r="AB425"/>
  <c r="AC425"/>
  <c r="AD425"/>
  <c r="AE425"/>
  <c r="AF425"/>
  <c r="AG425"/>
  <c r="AH425"/>
  <c r="AI425"/>
  <c r="AJ425"/>
  <c r="AK425"/>
  <c r="AB412"/>
  <c r="AC412"/>
  <c r="AD412"/>
  <c r="AE412"/>
  <c r="AF412"/>
  <c r="AG412"/>
  <c r="AH412"/>
  <c r="AI412"/>
  <c r="AJ412"/>
  <c r="AK412"/>
  <c r="AB413"/>
  <c r="AC413"/>
  <c r="AD413"/>
  <c r="AE413"/>
  <c r="AF413"/>
  <c r="AG413"/>
  <c r="AH413"/>
  <c r="AI413"/>
  <c r="AJ413"/>
  <c r="AK413"/>
  <c r="AB414"/>
  <c r="AC414"/>
  <c r="AD414"/>
  <c r="AE414"/>
  <c r="AF414"/>
  <c r="AG414"/>
  <c r="AH414"/>
  <c r="AI414"/>
  <c r="AJ414"/>
  <c r="AK414"/>
  <c r="AB415"/>
  <c r="AC415"/>
  <c r="AD415"/>
  <c r="AE415"/>
  <c r="AF415"/>
  <c r="AG415"/>
  <c r="AH415"/>
  <c r="AI415"/>
  <c r="AJ415"/>
  <c r="AK415"/>
  <c r="AB416"/>
  <c r="AC416"/>
  <c r="AD416"/>
  <c r="AE416"/>
  <c r="AF416"/>
  <c r="AG416"/>
  <c r="AH416"/>
  <c r="AI416"/>
  <c r="AJ416"/>
  <c r="AK416"/>
  <c r="AB417"/>
  <c r="AC417"/>
  <c r="AL417"/>
  <c r="AN417"/>
  <c r="AV417" s="1"/>
  <c r="AD417"/>
  <c r="AE417"/>
  <c r="AF417"/>
  <c r="AG417"/>
  <c r="AH417"/>
  <c r="AI417"/>
  <c r="AJ417"/>
  <c r="AK417"/>
  <c r="AB418"/>
  <c r="AC418"/>
  <c r="AD418"/>
  <c r="AE418"/>
  <c r="AF418"/>
  <c r="AG418"/>
  <c r="AH418"/>
  <c r="AI418"/>
  <c r="AL418"/>
  <c r="AN418" s="1"/>
  <c r="AV418" s="1"/>
  <c r="AJ418"/>
  <c r="AK418"/>
  <c r="AB419"/>
  <c r="AC419"/>
  <c r="AD419"/>
  <c r="AE419"/>
  <c r="AF419"/>
  <c r="AG419"/>
  <c r="AH419"/>
  <c r="AI419"/>
  <c r="AJ419"/>
  <c r="AK419"/>
  <c r="AB420"/>
  <c r="AC420"/>
  <c r="AD420"/>
  <c r="AE420"/>
  <c r="AF420"/>
  <c r="AG420"/>
  <c r="AH420"/>
  <c r="AI420"/>
  <c r="AJ420"/>
  <c r="AK420"/>
  <c r="AB421"/>
  <c r="AC421"/>
  <c r="AD421"/>
  <c r="AE421"/>
  <c r="AF421"/>
  <c r="AG421"/>
  <c r="AH421"/>
  <c r="AI421"/>
  <c r="AJ421"/>
  <c r="AK421"/>
  <c r="AB422"/>
  <c r="AC422"/>
  <c r="AD422"/>
  <c r="AE422"/>
  <c r="AF422"/>
  <c r="AG422"/>
  <c r="AH422"/>
  <c r="AI422"/>
  <c r="AJ422"/>
  <c r="AK422"/>
  <c r="AB423"/>
  <c r="AC423"/>
  <c r="AD423"/>
  <c r="AE423"/>
  <c r="AF423"/>
  <c r="AG423"/>
  <c r="AH423"/>
  <c r="AI423"/>
  <c r="AJ423"/>
  <c r="AK423"/>
  <c r="T412"/>
  <c r="U412"/>
  <c r="V412"/>
  <c r="T413"/>
  <c r="U413"/>
  <c r="V413"/>
  <c r="T414"/>
  <c r="U414"/>
  <c r="V414"/>
  <c r="T415"/>
  <c r="U415"/>
  <c r="V415"/>
  <c r="T416"/>
  <c r="U416"/>
  <c r="V416"/>
  <c r="T417"/>
  <c r="U417"/>
  <c r="V417"/>
  <c r="T418"/>
  <c r="U418"/>
  <c r="V418"/>
  <c r="T419"/>
  <c r="U419"/>
  <c r="V419"/>
  <c r="T420"/>
  <c r="U420"/>
  <c r="V420"/>
  <c r="T421"/>
  <c r="U421"/>
  <c r="V421"/>
  <c r="T422"/>
  <c r="U422"/>
  <c r="V422"/>
  <c r="T423"/>
  <c r="U423"/>
  <c r="V423"/>
  <c r="W412"/>
  <c r="W413"/>
  <c r="W414"/>
  <c r="W415"/>
  <c r="W416"/>
  <c r="W417"/>
  <c r="W418"/>
  <c r="W419"/>
  <c r="W420"/>
  <c r="W421"/>
  <c r="W422"/>
  <c r="W423"/>
  <c r="X412"/>
  <c r="X413"/>
  <c r="X414"/>
  <c r="X415"/>
  <c r="X416"/>
  <c r="X417"/>
  <c r="X418"/>
  <c r="X419"/>
  <c r="X420"/>
  <c r="X421"/>
  <c r="X422"/>
  <c r="X423"/>
  <c r="Y412"/>
  <c r="Y413"/>
  <c r="Y414"/>
  <c r="Y415"/>
  <c r="Y416"/>
  <c r="Y417"/>
  <c r="Y418"/>
  <c r="Y419"/>
  <c r="Y420"/>
  <c r="Y421"/>
  <c r="Y422"/>
  <c r="Y423"/>
  <c r="Z412"/>
  <c r="Z413"/>
  <c r="Z414"/>
  <c r="Z415"/>
  <c r="Z416"/>
  <c r="Z417"/>
  <c r="Z418"/>
  <c r="Z419"/>
  <c r="Z420"/>
  <c r="Z421"/>
  <c r="Z422"/>
  <c r="Z423"/>
  <c r="AA412"/>
  <c r="AA413"/>
  <c r="AA414"/>
  <c r="AA415"/>
  <c r="AA416"/>
  <c r="AA417"/>
  <c r="AA418"/>
  <c r="AA419"/>
  <c r="AA420"/>
  <c r="AA421"/>
  <c r="AA422"/>
  <c r="AA423"/>
  <c r="Z410"/>
  <c r="AA410"/>
  <c r="AB410"/>
  <c r="AC410"/>
  <c r="AD410"/>
  <c r="AE410"/>
  <c r="AF410"/>
  <c r="AG410"/>
  <c r="AH410"/>
  <c r="AI410"/>
  <c r="AJ410"/>
  <c r="AK410"/>
  <c r="Z411"/>
  <c r="AA411"/>
  <c r="AB411"/>
  <c r="AC411"/>
  <c r="AD411"/>
  <c r="AE411"/>
  <c r="AF411"/>
  <c r="AG411"/>
  <c r="AH411"/>
  <c r="AI411"/>
  <c r="AJ411"/>
  <c r="AK411"/>
  <c r="S410"/>
  <c r="T410"/>
  <c r="U410"/>
  <c r="V410"/>
  <c r="S411"/>
  <c r="T411"/>
  <c r="U411"/>
  <c r="V411"/>
  <c r="X411"/>
  <c r="Y411"/>
  <c r="X410"/>
  <c r="Y410"/>
  <c r="AC408"/>
  <c r="AD408"/>
  <c r="AE408"/>
  <c r="AF408"/>
  <c r="AG408"/>
  <c r="AH408"/>
  <c r="AI408"/>
  <c r="AJ408"/>
  <c r="AK408"/>
  <c r="AC409"/>
  <c r="AD409"/>
  <c r="AE409"/>
  <c r="AF409"/>
  <c r="AG409"/>
  <c r="AH409"/>
  <c r="AI409"/>
  <c r="AJ409"/>
  <c r="AK409"/>
  <c r="T407"/>
  <c r="U407"/>
  <c r="V407"/>
  <c r="T408"/>
  <c r="U408"/>
  <c r="V408"/>
  <c r="T409"/>
  <c r="U409"/>
  <c r="V409"/>
  <c r="S409"/>
  <c r="X409"/>
  <c r="Y409"/>
  <c r="Z409"/>
  <c r="AA409"/>
  <c r="AB409"/>
  <c r="S408"/>
  <c r="X408"/>
  <c r="Y408"/>
  <c r="Z408"/>
  <c r="AA408"/>
  <c r="AB408"/>
  <c r="Z271"/>
  <c r="AA271"/>
  <c r="AB271"/>
  <c r="AC271"/>
  <c r="AD271"/>
  <c r="AE271"/>
  <c r="AF271"/>
  <c r="AG271"/>
  <c r="AH271"/>
  <c r="AI271"/>
  <c r="AJ271"/>
  <c r="AK271"/>
  <c r="Z272"/>
  <c r="AA272"/>
  <c r="AB272"/>
  <c r="AC272"/>
  <c r="AD272"/>
  <c r="AE272"/>
  <c r="AF272"/>
  <c r="AG272"/>
  <c r="AH272"/>
  <c r="AI272"/>
  <c r="AJ272"/>
  <c r="AK272"/>
  <c r="Z273"/>
  <c r="AA273"/>
  <c r="AB273"/>
  <c r="AC273"/>
  <c r="AD273"/>
  <c r="AE273"/>
  <c r="AF273"/>
  <c r="AG273"/>
  <c r="AH273"/>
  <c r="AI273"/>
  <c r="AJ273"/>
  <c r="AK273"/>
  <c r="Z274"/>
  <c r="AA274"/>
  <c r="AB274"/>
  <c r="AC274"/>
  <c r="AD274"/>
  <c r="AE274"/>
  <c r="AF274"/>
  <c r="AG274"/>
  <c r="AH274"/>
  <c r="AI274"/>
  <c r="AJ274"/>
  <c r="AK274"/>
  <c r="Z275"/>
  <c r="AA275"/>
  <c r="AB275"/>
  <c r="AC275"/>
  <c r="AD275"/>
  <c r="AE275"/>
  <c r="AF275"/>
  <c r="AG275"/>
  <c r="AH275"/>
  <c r="AI275"/>
  <c r="AJ275"/>
  <c r="AK275"/>
  <c r="Z276"/>
  <c r="AA276"/>
  <c r="AB276"/>
  <c r="AC276"/>
  <c r="AD276"/>
  <c r="AE276"/>
  <c r="AF276"/>
  <c r="AG276"/>
  <c r="AH276"/>
  <c r="AI276"/>
  <c r="AJ276"/>
  <c r="AK276"/>
  <c r="Z277"/>
  <c r="AA277"/>
  <c r="AB277"/>
  <c r="AC277"/>
  <c r="AD277"/>
  <c r="AE277"/>
  <c r="AF277"/>
  <c r="AG277"/>
  <c r="AH277"/>
  <c r="AI277"/>
  <c r="AJ277"/>
  <c r="AK277"/>
  <c r="Z278"/>
  <c r="AA278"/>
  <c r="AB278"/>
  <c r="AC278"/>
  <c r="AD278"/>
  <c r="AE278"/>
  <c r="AF278"/>
  <c r="AG278"/>
  <c r="AH278"/>
  <c r="AI278"/>
  <c r="AJ278"/>
  <c r="AK278"/>
  <c r="Z279"/>
  <c r="AA279"/>
  <c r="AB279"/>
  <c r="AC279"/>
  <c r="AD279"/>
  <c r="AE279"/>
  <c r="AF279"/>
  <c r="AG279"/>
  <c r="AH279"/>
  <c r="AI279"/>
  <c r="AJ279"/>
  <c r="AK279"/>
  <c r="Z280"/>
  <c r="AA280"/>
  <c r="AB280"/>
  <c r="AC280"/>
  <c r="AD280"/>
  <c r="AE280"/>
  <c r="AF280"/>
  <c r="AG280"/>
  <c r="AH280"/>
  <c r="AI280"/>
  <c r="AJ280"/>
  <c r="AK280"/>
  <c r="Z281"/>
  <c r="AA281"/>
  <c r="AB281"/>
  <c r="AC281"/>
  <c r="AD281"/>
  <c r="AE281"/>
  <c r="AF281"/>
  <c r="AG281"/>
  <c r="AH281"/>
  <c r="AI281"/>
  <c r="AJ281"/>
  <c r="AK281"/>
  <c r="Z282"/>
  <c r="AA282"/>
  <c r="AB282"/>
  <c r="AC282"/>
  <c r="AD282"/>
  <c r="AE282"/>
  <c r="AF282"/>
  <c r="AG282"/>
  <c r="AH282"/>
  <c r="AI282"/>
  <c r="AJ282"/>
  <c r="AK282"/>
  <c r="Z283"/>
  <c r="AA283"/>
  <c r="AB283"/>
  <c r="AC283"/>
  <c r="AD283"/>
  <c r="AE283"/>
  <c r="AF283"/>
  <c r="AG283"/>
  <c r="AH283"/>
  <c r="AI283"/>
  <c r="AJ283"/>
  <c r="AK283"/>
  <c r="Z284"/>
  <c r="AA284"/>
  <c r="AB284"/>
  <c r="AC284"/>
  <c r="AD284"/>
  <c r="AE284"/>
  <c r="AF284"/>
  <c r="AG284"/>
  <c r="AH284"/>
  <c r="AI284"/>
  <c r="AJ284"/>
  <c r="AK284"/>
  <c r="Z285"/>
  <c r="AA285"/>
  <c r="AB285"/>
  <c r="AC285"/>
  <c r="AD285"/>
  <c r="AE285"/>
  <c r="AF285"/>
  <c r="AG285"/>
  <c r="AH285"/>
  <c r="AI285"/>
  <c r="AJ285"/>
  <c r="AK285"/>
  <c r="Z286"/>
  <c r="AA286"/>
  <c r="AB286"/>
  <c r="AC286"/>
  <c r="AD286"/>
  <c r="AE286"/>
  <c r="AF286"/>
  <c r="AG286"/>
  <c r="AH286"/>
  <c r="AI286"/>
  <c r="AJ286"/>
  <c r="AK286"/>
  <c r="Z287"/>
  <c r="AA287"/>
  <c r="AB287"/>
  <c r="AC287"/>
  <c r="AD287"/>
  <c r="AE287"/>
  <c r="AF287"/>
  <c r="AG287"/>
  <c r="AH287"/>
  <c r="AI287"/>
  <c r="AJ287"/>
  <c r="AK287"/>
  <c r="Z288"/>
  <c r="AA288"/>
  <c r="AB288"/>
  <c r="AC288"/>
  <c r="AD288"/>
  <c r="AE288"/>
  <c r="AF288"/>
  <c r="AG288"/>
  <c r="AH288"/>
  <c r="AI288"/>
  <c r="AJ288"/>
  <c r="AK288"/>
  <c r="Z289"/>
  <c r="AA289"/>
  <c r="AB289"/>
  <c r="AC289"/>
  <c r="AD289"/>
  <c r="AE289"/>
  <c r="AF289"/>
  <c r="AG289"/>
  <c r="AH289"/>
  <c r="AI289"/>
  <c r="AJ289"/>
  <c r="AK289"/>
  <c r="Z290"/>
  <c r="AA290"/>
  <c r="AB290"/>
  <c r="AC290"/>
  <c r="AD290"/>
  <c r="AE290"/>
  <c r="AF290"/>
  <c r="AG290"/>
  <c r="AH290"/>
  <c r="AI290"/>
  <c r="AJ290"/>
  <c r="AK290"/>
  <c r="Z291"/>
  <c r="AA291"/>
  <c r="AB291"/>
  <c r="AC291"/>
  <c r="AD291"/>
  <c r="AE291"/>
  <c r="AF291"/>
  <c r="AG291"/>
  <c r="AH291"/>
  <c r="AI291"/>
  <c r="AJ291"/>
  <c r="AK291"/>
  <c r="Z292"/>
  <c r="AA292"/>
  <c r="AB292"/>
  <c r="AC292"/>
  <c r="AD292"/>
  <c r="AE292"/>
  <c r="AF292"/>
  <c r="AG292"/>
  <c r="AH292"/>
  <c r="AI292"/>
  <c r="AJ292"/>
  <c r="AK292"/>
  <c r="Z293"/>
  <c r="AA293"/>
  <c r="AB293"/>
  <c r="AC293"/>
  <c r="AD293"/>
  <c r="AE293"/>
  <c r="AF293"/>
  <c r="AG293"/>
  <c r="AH293"/>
  <c r="AI293"/>
  <c r="AJ293"/>
  <c r="AK293"/>
  <c r="Z294"/>
  <c r="AA294"/>
  <c r="AB294"/>
  <c r="AC294"/>
  <c r="AD294"/>
  <c r="AE294"/>
  <c r="AF294"/>
  <c r="AG294"/>
  <c r="AH294"/>
  <c r="AI294"/>
  <c r="AJ294"/>
  <c r="AK294"/>
  <c r="Z295"/>
  <c r="AA295"/>
  <c r="AB295"/>
  <c r="AC295"/>
  <c r="AD295"/>
  <c r="AE295"/>
  <c r="AF295"/>
  <c r="AG295"/>
  <c r="AH295"/>
  <c r="AI295"/>
  <c r="AJ295"/>
  <c r="AK295"/>
  <c r="Z296"/>
  <c r="AA296"/>
  <c r="AB296"/>
  <c r="AC296"/>
  <c r="AD296"/>
  <c r="AE296"/>
  <c r="AF296"/>
  <c r="AG296"/>
  <c r="AH296"/>
  <c r="AI296"/>
  <c r="AJ296"/>
  <c r="AK296"/>
  <c r="Z297"/>
  <c r="AA297"/>
  <c r="AB297"/>
  <c r="AC297"/>
  <c r="AD297"/>
  <c r="AE297"/>
  <c r="AF297"/>
  <c r="AG297"/>
  <c r="AH297"/>
  <c r="AI297"/>
  <c r="AJ297"/>
  <c r="AK297"/>
  <c r="Z298"/>
  <c r="AA298"/>
  <c r="AB298"/>
  <c r="AC298"/>
  <c r="AD298"/>
  <c r="AE298"/>
  <c r="AF298"/>
  <c r="AG298"/>
  <c r="AH298"/>
  <c r="AI298"/>
  <c r="AJ298"/>
  <c r="AK298"/>
  <c r="Z299"/>
  <c r="AL299"/>
  <c r="AN299" s="1"/>
  <c r="AV299" s="1"/>
  <c r="AA299"/>
  <c r="AB299"/>
  <c r="AC299"/>
  <c r="AD299"/>
  <c r="AE299"/>
  <c r="AF299"/>
  <c r="AG299"/>
  <c r="AH299"/>
  <c r="AI299"/>
  <c r="AJ299"/>
  <c r="AK299"/>
  <c r="Z300"/>
  <c r="AA300"/>
  <c r="AB300"/>
  <c r="AC300"/>
  <c r="AD300"/>
  <c r="AE300"/>
  <c r="AF300"/>
  <c r="AG300"/>
  <c r="AH300"/>
  <c r="AI300"/>
  <c r="AJ300"/>
  <c r="AK300"/>
  <c r="Z301"/>
  <c r="AA301"/>
  <c r="AB301"/>
  <c r="AC301"/>
  <c r="AD301"/>
  <c r="AE301"/>
  <c r="AF301"/>
  <c r="AG301"/>
  <c r="AH301"/>
  <c r="AI301"/>
  <c r="AJ301"/>
  <c r="AK301"/>
  <c r="Z302"/>
  <c r="AA302"/>
  <c r="AB302"/>
  <c r="AC302"/>
  <c r="AD302"/>
  <c r="AE302"/>
  <c r="AF302"/>
  <c r="AG302"/>
  <c r="AH302"/>
  <c r="AI302"/>
  <c r="AJ302"/>
  <c r="AK302"/>
  <c r="Z303"/>
  <c r="AA303"/>
  <c r="AB303"/>
  <c r="AC303"/>
  <c r="AD303"/>
  <c r="AE303"/>
  <c r="AF303"/>
  <c r="AG303"/>
  <c r="AH303"/>
  <c r="AI303"/>
  <c r="AJ303"/>
  <c r="AK303"/>
  <c r="Z304"/>
  <c r="AA304"/>
  <c r="AB304"/>
  <c r="AC304"/>
  <c r="AD304"/>
  <c r="AE304"/>
  <c r="AF304"/>
  <c r="AG304"/>
  <c r="AH304"/>
  <c r="AI304"/>
  <c r="AJ304"/>
  <c r="AK304"/>
  <c r="Z305"/>
  <c r="AA305"/>
  <c r="AB305"/>
  <c r="AC305"/>
  <c r="AD305"/>
  <c r="AE305"/>
  <c r="AF305"/>
  <c r="AG305"/>
  <c r="AH305"/>
  <c r="AI305"/>
  <c r="AJ305"/>
  <c r="AK305"/>
  <c r="Z306"/>
  <c r="AA306"/>
  <c r="AB306"/>
  <c r="AC306"/>
  <c r="AD306"/>
  <c r="AE306"/>
  <c r="AF306"/>
  <c r="AG306"/>
  <c r="AH306"/>
  <c r="AI306"/>
  <c r="AJ306"/>
  <c r="AK306"/>
  <c r="Z307"/>
  <c r="AA307"/>
  <c r="AB307"/>
  <c r="AC307"/>
  <c r="AD307"/>
  <c r="AE307"/>
  <c r="AF307"/>
  <c r="AG307"/>
  <c r="AH307"/>
  <c r="AI307"/>
  <c r="AJ307"/>
  <c r="AK307"/>
  <c r="Z308"/>
  <c r="AA308"/>
  <c r="AB308"/>
  <c r="AC308"/>
  <c r="AD308"/>
  <c r="AE308"/>
  <c r="AF308"/>
  <c r="AG308"/>
  <c r="AH308"/>
  <c r="AI308"/>
  <c r="AJ308"/>
  <c r="AK308"/>
  <c r="Z309"/>
  <c r="AA309"/>
  <c r="AB309"/>
  <c r="AC309"/>
  <c r="AD309"/>
  <c r="AE309"/>
  <c r="AF309"/>
  <c r="AG309"/>
  <c r="AH309"/>
  <c r="AI309"/>
  <c r="AJ309"/>
  <c r="AK309"/>
  <c r="Z310"/>
  <c r="AA310"/>
  <c r="AB310"/>
  <c r="AC310"/>
  <c r="AD310"/>
  <c r="AE310"/>
  <c r="AF310"/>
  <c r="AG310"/>
  <c r="AH310"/>
  <c r="AI310"/>
  <c r="AJ310"/>
  <c r="AK310"/>
  <c r="Z311"/>
  <c r="AA311"/>
  <c r="AB311"/>
  <c r="AC311"/>
  <c r="AD311"/>
  <c r="AE311"/>
  <c r="AF311"/>
  <c r="AG311"/>
  <c r="AH311"/>
  <c r="AI311"/>
  <c r="AJ311"/>
  <c r="AK311"/>
  <c r="Z312"/>
  <c r="AA312"/>
  <c r="AB312"/>
  <c r="AC312"/>
  <c r="AD312"/>
  <c r="AE312"/>
  <c r="AF312"/>
  <c r="AG312"/>
  <c r="AH312"/>
  <c r="AI312"/>
  <c r="AJ312"/>
  <c r="AK312"/>
  <c r="Z313"/>
  <c r="AA313"/>
  <c r="AB313"/>
  <c r="AC313"/>
  <c r="AD313"/>
  <c r="AE313"/>
  <c r="AF313"/>
  <c r="AG313"/>
  <c r="AH313"/>
  <c r="AI313"/>
  <c r="AJ313"/>
  <c r="AK313"/>
  <c r="Z314"/>
  <c r="AA314"/>
  <c r="AB314"/>
  <c r="AC314"/>
  <c r="AD314"/>
  <c r="AE314"/>
  <c r="AF314"/>
  <c r="AG314"/>
  <c r="AH314"/>
  <c r="AI314"/>
  <c r="AJ314"/>
  <c r="AK314"/>
  <c r="Z315"/>
  <c r="AA315"/>
  <c r="AB315"/>
  <c r="AC315"/>
  <c r="AD315"/>
  <c r="AE315"/>
  <c r="AF315"/>
  <c r="AG315"/>
  <c r="AH315"/>
  <c r="AI315"/>
  <c r="AJ315"/>
  <c r="AK315"/>
  <c r="Z316"/>
  <c r="AA316"/>
  <c r="AB316"/>
  <c r="AC316"/>
  <c r="AD316"/>
  <c r="AE316"/>
  <c r="AF316"/>
  <c r="AG316"/>
  <c r="AH316"/>
  <c r="AI316"/>
  <c r="AJ316"/>
  <c r="AK316"/>
  <c r="Z317"/>
  <c r="AA317"/>
  <c r="AB317"/>
  <c r="AC317"/>
  <c r="AD317"/>
  <c r="AE317"/>
  <c r="AF317"/>
  <c r="AG317"/>
  <c r="AH317"/>
  <c r="AI317"/>
  <c r="AJ317"/>
  <c r="AK317"/>
  <c r="Z318"/>
  <c r="AA318"/>
  <c r="AB318"/>
  <c r="AC318"/>
  <c r="AD318"/>
  <c r="AE318"/>
  <c r="AF318"/>
  <c r="AG318"/>
  <c r="AH318"/>
  <c r="AI318"/>
  <c r="AJ318"/>
  <c r="AK318"/>
  <c r="Z319"/>
  <c r="AA319"/>
  <c r="AB319"/>
  <c r="AC319"/>
  <c r="AD319"/>
  <c r="AE319"/>
  <c r="AF319"/>
  <c r="AG319"/>
  <c r="AH319"/>
  <c r="AI319"/>
  <c r="AJ319"/>
  <c r="AK319"/>
  <c r="Z320"/>
  <c r="AA320"/>
  <c r="AB320"/>
  <c r="AC320"/>
  <c r="AD320"/>
  <c r="AE320"/>
  <c r="AF320"/>
  <c r="AG320"/>
  <c r="AH320"/>
  <c r="AI320"/>
  <c r="AJ320"/>
  <c r="AK320"/>
  <c r="Z321"/>
  <c r="AA321"/>
  <c r="AB321"/>
  <c r="AC321"/>
  <c r="AD321"/>
  <c r="AE321"/>
  <c r="AF321"/>
  <c r="AG321"/>
  <c r="AH321"/>
  <c r="AI321"/>
  <c r="AJ321"/>
  <c r="AK321"/>
  <c r="Z322"/>
  <c r="AA322"/>
  <c r="AB322"/>
  <c r="AC322"/>
  <c r="AD322"/>
  <c r="AE322"/>
  <c r="AF322"/>
  <c r="AG322"/>
  <c r="AH322"/>
  <c r="AI322"/>
  <c r="AJ322"/>
  <c r="AK322"/>
  <c r="Z323"/>
  <c r="AA323"/>
  <c r="AB323"/>
  <c r="AC323"/>
  <c r="AD323"/>
  <c r="AE323"/>
  <c r="AF323"/>
  <c r="AG323"/>
  <c r="AH323"/>
  <c r="AI323"/>
  <c r="AJ323"/>
  <c r="AK323"/>
  <c r="Z324"/>
  <c r="AA324"/>
  <c r="AB324"/>
  <c r="AC324"/>
  <c r="AD324"/>
  <c r="AE324"/>
  <c r="AF324"/>
  <c r="AG324"/>
  <c r="AH324"/>
  <c r="AI324"/>
  <c r="AJ324"/>
  <c r="AK324"/>
  <c r="Z325"/>
  <c r="AA325"/>
  <c r="AB325"/>
  <c r="AC325"/>
  <c r="AD325"/>
  <c r="AE325"/>
  <c r="AF325"/>
  <c r="AG325"/>
  <c r="AH325"/>
  <c r="AI325"/>
  <c r="AJ325"/>
  <c r="AK325"/>
  <c r="Z326"/>
  <c r="AA326"/>
  <c r="AB326"/>
  <c r="AC326"/>
  <c r="AD326"/>
  <c r="AE326"/>
  <c r="AF326"/>
  <c r="AG326"/>
  <c r="AH326"/>
  <c r="AI326"/>
  <c r="AJ326"/>
  <c r="AK326"/>
  <c r="Z327"/>
  <c r="AA327"/>
  <c r="AB327"/>
  <c r="AC327"/>
  <c r="AD327"/>
  <c r="AE327"/>
  <c r="AF327"/>
  <c r="AG327"/>
  <c r="AH327"/>
  <c r="AI327"/>
  <c r="AJ327"/>
  <c r="AK327"/>
  <c r="Z328"/>
  <c r="AA328"/>
  <c r="AB328"/>
  <c r="AC328"/>
  <c r="AD328"/>
  <c r="AE328"/>
  <c r="AF328"/>
  <c r="AG328"/>
  <c r="AH328"/>
  <c r="AI328"/>
  <c r="AJ328"/>
  <c r="AK328"/>
  <c r="Z329"/>
  <c r="AA329"/>
  <c r="AB329"/>
  <c r="AC329"/>
  <c r="AD329"/>
  <c r="AE329"/>
  <c r="AF329"/>
  <c r="AG329"/>
  <c r="AH329"/>
  <c r="AI329"/>
  <c r="AJ329"/>
  <c r="AK329"/>
  <c r="Z330"/>
  <c r="AA330"/>
  <c r="AB330"/>
  <c r="AC330"/>
  <c r="AD330"/>
  <c r="AE330"/>
  <c r="AF330"/>
  <c r="AG330"/>
  <c r="AH330"/>
  <c r="AI330"/>
  <c r="AJ330"/>
  <c r="AK330"/>
  <c r="Z331"/>
  <c r="AA331"/>
  <c r="AB331"/>
  <c r="AC331"/>
  <c r="AD331"/>
  <c r="AE331"/>
  <c r="AF331"/>
  <c r="AG331"/>
  <c r="AH331"/>
  <c r="AI331"/>
  <c r="AJ331"/>
  <c r="AK331"/>
  <c r="Z332"/>
  <c r="AA332"/>
  <c r="AB332"/>
  <c r="AC332"/>
  <c r="AD332"/>
  <c r="AE332"/>
  <c r="AF332"/>
  <c r="AG332"/>
  <c r="AH332"/>
  <c r="AI332"/>
  <c r="AJ332"/>
  <c r="AK332"/>
  <c r="Z333"/>
  <c r="AA333"/>
  <c r="AB333"/>
  <c r="AC333"/>
  <c r="AD333"/>
  <c r="AE333"/>
  <c r="AF333"/>
  <c r="AG333"/>
  <c r="AH333"/>
  <c r="AI333"/>
  <c r="AJ333"/>
  <c r="AK333"/>
  <c r="Z334"/>
  <c r="AA334"/>
  <c r="AB334"/>
  <c r="AC334"/>
  <c r="AD334"/>
  <c r="AE334"/>
  <c r="AF334"/>
  <c r="AG334"/>
  <c r="AH334"/>
  <c r="AI334"/>
  <c r="AJ334"/>
  <c r="AK334"/>
  <c r="Z335"/>
  <c r="AA335"/>
  <c r="AB335"/>
  <c r="AC335"/>
  <c r="AD335"/>
  <c r="AE335"/>
  <c r="AF335"/>
  <c r="AG335"/>
  <c r="AH335"/>
  <c r="AI335"/>
  <c r="AJ335"/>
  <c r="AK335"/>
  <c r="Z336"/>
  <c r="AA336"/>
  <c r="AB336"/>
  <c r="AC336"/>
  <c r="AD336"/>
  <c r="AE336"/>
  <c r="AF336"/>
  <c r="AG336"/>
  <c r="AH336"/>
  <c r="AI336"/>
  <c r="AJ336"/>
  <c r="AK336"/>
  <c r="Z337"/>
  <c r="AA337"/>
  <c r="AB337"/>
  <c r="AC337"/>
  <c r="AD337"/>
  <c r="AE337"/>
  <c r="AF337"/>
  <c r="AG337"/>
  <c r="AH337"/>
  <c r="AI337"/>
  <c r="AJ337"/>
  <c r="AK337"/>
  <c r="Z338"/>
  <c r="AA338"/>
  <c r="AB338"/>
  <c r="AC338"/>
  <c r="AD338"/>
  <c r="AE338"/>
  <c r="AF338"/>
  <c r="AG338"/>
  <c r="AH338"/>
  <c r="AI338"/>
  <c r="AJ338"/>
  <c r="AK338"/>
  <c r="Z339"/>
  <c r="AA339"/>
  <c r="AB339"/>
  <c r="AC339"/>
  <c r="AD339"/>
  <c r="AE339"/>
  <c r="AF339"/>
  <c r="AG339"/>
  <c r="AH339"/>
  <c r="AI339"/>
  <c r="AJ339"/>
  <c r="AK339"/>
  <c r="Z340"/>
  <c r="AA340"/>
  <c r="AB340"/>
  <c r="AC340"/>
  <c r="AD340"/>
  <c r="AE340"/>
  <c r="AF340"/>
  <c r="AG340"/>
  <c r="AH340"/>
  <c r="AI340"/>
  <c r="AJ340"/>
  <c r="AK340"/>
  <c r="Z341"/>
  <c r="AA341"/>
  <c r="AB341"/>
  <c r="AC341"/>
  <c r="AD341"/>
  <c r="AE341"/>
  <c r="AF341"/>
  <c r="AG341"/>
  <c r="AH341"/>
  <c r="AI341"/>
  <c r="AJ341"/>
  <c r="AK341"/>
  <c r="Z342"/>
  <c r="AA342"/>
  <c r="AB342"/>
  <c r="AC342"/>
  <c r="AD342"/>
  <c r="AE342"/>
  <c r="AF342"/>
  <c r="AG342"/>
  <c r="AH342"/>
  <c r="AI342"/>
  <c r="AJ342"/>
  <c r="AK342"/>
  <c r="Z343"/>
  <c r="AL343"/>
  <c r="AN343" s="1"/>
  <c r="AV343" s="1"/>
  <c r="AA343"/>
  <c r="AB343"/>
  <c r="AC343"/>
  <c r="AD343"/>
  <c r="AE343"/>
  <c r="AF343"/>
  <c r="AG343"/>
  <c r="AH343"/>
  <c r="AI343"/>
  <c r="AJ343"/>
  <c r="AK343"/>
  <c r="Z344"/>
  <c r="AA344"/>
  <c r="AB344"/>
  <c r="AC344"/>
  <c r="AD344"/>
  <c r="AE344"/>
  <c r="AF344"/>
  <c r="AG344"/>
  <c r="AH344"/>
  <c r="AI344"/>
  <c r="AJ344"/>
  <c r="AK344"/>
  <c r="Z345"/>
  <c r="AA345"/>
  <c r="AB345"/>
  <c r="AC345"/>
  <c r="AD345"/>
  <c r="AE345"/>
  <c r="AF345"/>
  <c r="AG345"/>
  <c r="AH345"/>
  <c r="AI345"/>
  <c r="AJ345"/>
  <c r="AK345"/>
  <c r="Z346"/>
  <c r="AA346"/>
  <c r="AB346"/>
  <c r="AC346"/>
  <c r="AD346"/>
  <c r="AE346"/>
  <c r="AF346"/>
  <c r="AG346"/>
  <c r="AH346"/>
  <c r="AI346"/>
  <c r="AJ346"/>
  <c r="AK346"/>
  <c r="Z347"/>
  <c r="AA347"/>
  <c r="AB347"/>
  <c r="AC347"/>
  <c r="AD347"/>
  <c r="AE347"/>
  <c r="AF347"/>
  <c r="AG347"/>
  <c r="AH347"/>
  <c r="AI347"/>
  <c r="AJ347"/>
  <c r="AK347"/>
  <c r="Z348"/>
  <c r="AA348"/>
  <c r="AB348"/>
  <c r="AC348"/>
  <c r="AD348"/>
  <c r="AE348"/>
  <c r="AF348"/>
  <c r="AG348"/>
  <c r="AH348"/>
  <c r="AI348"/>
  <c r="AJ348"/>
  <c r="AK348"/>
  <c r="Z349"/>
  <c r="AA349"/>
  <c r="AB349"/>
  <c r="AC349"/>
  <c r="AD349"/>
  <c r="AE349"/>
  <c r="AF349"/>
  <c r="AG349"/>
  <c r="AH349"/>
  <c r="AI349"/>
  <c r="AJ349"/>
  <c r="AK349"/>
  <c r="Z350"/>
  <c r="AA350"/>
  <c r="AB350"/>
  <c r="AC350"/>
  <c r="AD350"/>
  <c r="AE350"/>
  <c r="AF350"/>
  <c r="AG350"/>
  <c r="AH350"/>
  <c r="AI350"/>
  <c r="AJ350"/>
  <c r="AK350"/>
  <c r="Z351"/>
  <c r="AA351"/>
  <c r="AB351"/>
  <c r="AC351"/>
  <c r="AD351"/>
  <c r="AE351"/>
  <c r="AF351"/>
  <c r="AG351"/>
  <c r="AH351"/>
  <c r="AI351"/>
  <c r="AJ351"/>
  <c r="AK351"/>
  <c r="Z352"/>
  <c r="AA352"/>
  <c r="AB352"/>
  <c r="AC352"/>
  <c r="AD352"/>
  <c r="AE352"/>
  <c r="AF352"/>
  <c r="AG352"/>
  <c r="AH352"/>
  <c r="AI352"/>
  <c r="AJ352"/>
  <c r="AK352"/>
  <c r="Z353"/>
  <c r="AA353"/>
  <c r="AB353"/>
  <c r="AC353"/>
  <c r="AD353"/>
  <c r="AE353"/>
  <c r="AF353"/>
  <c r="AG353"/>
  <c r="AH353"/>
  <c r="AI353"/>
  <c r="AJ353"/>
  <c r="AK353"/>
  <c r="Z354"/>
  <c r="AA354"/>
  <c r="AB354"/>
  <c r="AC354"/>
  <c r="AD354"/>
  <c r="AE354"/>
  <c r="AF354"/>
  <c r="AG354"/>
  <c r="AH354"/>
  <c r="AI354"/>
  <c r="AJ354"/>
  <c r="AK354"/>
  <c r="Z355"/>
  <c r="AA355"/>
  <c r="AB355"/>
  <c r="AC355"/>
  <c r="AD355"/>
  <c r="AE355"/>
  <c r="AF355"/>
  <c r="AG355"/>
  <c r="AH355"/>
  <c r="AI355"/>
  <c r="AJ355"/>
  <c r="AK355"/>
  <c r="Z356"/>
  <c r="AA356"/>
  <c r="AB356"/>
  <c r="AC356"/>
  <c r="AD356"/>
  <c r="AE356"/>
  <c r="AF356"/>
  <c r="AG356"/>
  <c r="AH356"/>
  <c r="AI356"/>
  <c r="AJ356"/>
  <c r="AK356"/>
  <c r="Z357"/>
  <c r="AA357"/>
  <c r="AB357"/>
  <c r="AC357"/>
  <c r="AD357"/>
  <c r="AE357"/>
  <c r="AF357"/>
  <c r="AG357"/>
  <c r="AH357"/>
  <c r="AI357"/>
  <c r="AJ357"/>
  <c r="AK357"/>
  <c r="Z358"/>
  <c r="AA358"/>
  <c r="AB358"/>
  <c r="AC358"/>
  <c r="AD358"/>
  <c r="AE358"/>
  <c r="AF358"/>
  <c r="AG358"/>
  <c r="AH358"/>
  <c r="AI358"/>
  <c r="AJ358"/>
  <c r="AK358"/>
  <c r="Z359"/>
  <c r="AA359"/>
  <c r="AB359"/>
  <c r="AC359"/>
  <c r="AD359"/>
  <c r="AE359"/>
  <c r="AF359"/>
  <c r="AG359"/>
  <c r="AH359"/>
  <c r="AI359"/>
  <c r="AJ359"/>
  <c r="AK359"/>
  <c r="Z360"/>
  <c r="AA360"/>
  <c r="AB360"/>
  <c r="AC360"/>
  <c r="AD360"/>
  <c r="AE360"/>
  <c r="AF360"/>
  <c r="AG360"/>
  <c r="AH360"/>
  <c r="AI360"/>
  <c r="AJ360"/>
  <c r="AK360"/>
  <c r="Z361"/>
  <c r="AA361"/>
  <c r="AB361"/>
  <c r="AC361"/>
  <c r="AD361"/>
  <c r="AE361"/>
  <c r="AF361"/>
  <c r="AG361"/>
  <c r="AH361"/>
  <c r="AI361"/>
  <c r="AJ361"/>
  <c r="AK361"/>
  <c r="Z362"/>
  <c r="AA362"/>
  <c r="AB362"/>
  <c r="AC362"/>
  <c r="AD362"/>
  <c r="AE362"/>
  <c r="AF362"/>
  <c r="AG362"/>
  <c r="AH362"/>
  <c r="AI362"/>
  <c r="AJ362"/>
  <c r="AK362"/>
  <c r="Z363"/>
  <c r="AA363"/>
  <c r="AB363"/>
  <c r="AC363"/>
  <c r="AD363"/>
  <c r="AE363"/>
  <c r="AF363"/>
  <c r="AG363"/>
  <c r="AH363"/>
  <c r="AI363"/>
  <c r="AJ363"/>
  <c r="AK363"/>
  <c r="Z364"/>
  <c r="AA364"/>
  <c r="AB364"/>
  <c r="AC364"/>
  <c r="AD364"/>
  <c r="AE364"/>
  <c r="AF364"/>
  <c r="AG364"/>
  <c r="AH364"/>
  <c r="AI364"/>
  <c r="AJ364"/>
  <c r="AK364"/>
  <c r="Z365"/>
  <c r="AA365"/>
  <c r="AB365"/>
  <c r="AC365"/>
  <c r="AD365"/>
  <c r="AE365"/>
  <c r="AF365"/>
  <c r="AG365"/>
  <c r="AH365"/>
  <c r="AI365"/>
  <c r="AJ365"/>
  <c r="AK365"/>
  <c r="Z366"/>
  <c r="AA366"/>
  <c r="AB366"/>
  <c r="AC366"/>
  <c r="AD366"/>
  <c r="AE366"/>
  <c r="AF366"/>
  <c r="AG366"/>
  <c r="AH366"/>
  <c r="AI366"/>
  <c r="AJ366"/>
  <c r="AK366"/>
  <c r="Z367"/>
  <c r="AA367"/>
  <c r="AB367"/>
  <c r="AC367"/>
  <c r="AD367"/>
  <c r="AE367"/>
  <c r="AF367"/>
  <c r="AG367"/>
  <c r="AH367"/>
  <c r="AI367"/>
  <c r="AJ367"/>
  <c r="AK367"/>
  <c r="Z368"/>
  <c r="AA368"/>
  <c r="AB368"/>
  <c r="AC368"/>
  <c r="AD368"/>
  <c r="AE368"/>
  <c r="AF368"/>
  <c r="AG368"/>
  <c r="AH368"/>
  <c r="AI368"/>
  <c r="AJ368"/>
  <c r="AK368"/>
  <c r="Z369"/>
  <c r="AA369"/>
  <c r="AB369"/>
  <c r="AC369"/>
  <c r="AD369"/>
  <c r="AE369"/>
  <c r="AF369"/>
  <c r="AG369"/>
  <c r="AH369"/>
  <c r="AI369"/>
  <c r="AJ369"/>
  <c r="AK369"/>
  <c r="Z370"/>
  <c r="AA370"/>
  <c r="AB370"/>
  <c r="AC370"/>
  <c r="AD370"/>
  <c r="AE370"/>
  <c r="AF370"/>
  <c r="AG370"/>
  <c r="AH370"/>
  <c r="AI370"/>
  <c r="AJ370"/>
  <c r="AK370"/>
  <c r="Z371"/>
  <c r="AA371"/>
  <c r="AB371"/>
  <c r="AC371"/>
  <c r="AD371"/>
  <c r="AE371"/>
  <c r="AF371"/>
  <c r="AG371"/>
  <c r="AH371"/>
  <c r="AI371"/>
  <c r="AJ371"/>
  <c r="AK371"/>
  <c r="Z372"/>
  <c r="AA372"/>
  <c r="AB372"/>
  <c r="AC372"/>
  <c r="AD372"/>
  <c r="AE372"/>
  <c r="AF372"/>
  <c r="AG372"/>
  <c r="AH372"/>
  <c r="AI372"/>
  <c r="AJ372"/>
  <c r="AK372"/>
  <c r="Z373"/>
  <c r="AA373"/>
  <c r="AB373"/>
  <c r="AC373"/>
  <c r="AD373"/>
  <c r="AE373"/>
  <c r="AF373"/>
  <c r="AG373"/>
  <c r="AH373"/>
  <c r="AI373"/>
  <c r="AJ373"/>
  <c r="AK373"/>
  <c r="Z374"/>
  <c r="AA374"/>
  <c r="AB374"/>
  <c r="AC374"/>
  <c r="AD374"/>
  <c r="AE374"/>
  <c r="AF374"/>
  <c r="AG374"/>
  <c r="AH374"/>
  <c r="AI374"/>
  <c r="AJ374"/>
  <c r="AK374"/>
  <c r="Z375"/>
  <c r="AA375"/>
  <c r="AB375"/>
  <c r="AC375"/>
  <c r="AD375"/>
  <c r="AE375"/>
  <c r="AF375"/>
  <c r="AG375"/>
  <c r="AH375"/>
  <c r="AI375"/>
  <c r="AJ375"/>
  <c r="AK375"/>
  <c r="Z376"/>
  <c r="AA376"/>
  <c r="AB376"/>
  <c r="AC376"/>
  <c r="AD376"/>
  <c r="AE376"/>
  <c r="AF376"/>
  <c r="AG376"/>
  <c r="AH376"/>
  <c r="AI376"/>
  <c r="AJ376"/>
  <c r="AK376"/>
  <c r="Z377"/>
  <c r="AA377"/>
  <c r="AB377"/>
  <c r="AC377"/>
  <c r="AD377"/>
  <c r="AE377"/>
  <c r="AF377"/>
  <c r="AG377"/>
  <c r="AH377"/>
  <c r="AI377"/>
  <c r="AJ377"/>
  <c r="AK377"/>
  <c r="Z378"/>
  <c r="AA378"/>
  <c r="AB378"/>
  <c r="AC378"/>
  <c r="AD378"/>
  <c r="AE378"/>
  <c r="AF378"/>
  <c r="AG378"/>
  <c r="AH378"/>
  <c r="AI378"/>
  <c r="AJ378"/>
  <c r="AK378"/>
  <c r="Z379"/>
  <c r="AA379"/>
  <c r="AB379"/>
  <c r="AC379"/>
  <c r="AD379"/>
  <c r="AE379"/>
  <c r="AF379"/>
  <c r="AG379"/>
  <c r="AH379"/>
  <c r="AI379"/>
  <c r="AJ379"/>
  <c r="AK379"/>
  <c r="Z380"/>
  <c r="AA380"/>
  <c r="AB380"/>
  <c r="AC380"/>
  <c r="AD380"/>
  <c r="AE380"/>
  <c r="AF380"/>
  <c r="AG380"/>
  <c r="AH380"/>
  <c r="AI380"/>
  <c r="AJ380"/>
  <c r="AK380"/>
  <c r="Z381"/>
  <c r="AA381"/>
  <c r="AB381"/>
  <c r="AC381"/>
  <c r="AD381"/>
  <c r="AE381"/>
  <c r="AF381"/>
  <c r="AG381"/>
  <c r="AH381"/>
  <c r="AI381"/>
  <c r="AJ381"/>
  <c r="AK381"/>
  <c r="Z382"/>
  <c r="AA382"/>
  <c r="AB382"/>
  <c r="AC382"/>
  <c r="AD382"/>
  <c r="AE382"/>
  <c r="AF382"/>
  <c r="AG382"/>
  <c r="AH382"/>
  <c r="AI382"/>
  <c r="AJ382"/>
  <c r="AK382"/>
  <c r="Z383"/>
  <c r="AA383"/>
  <c r="AB383"/>
  <c r="AC383"/>
  <c r="AD383"/>
  <c r="AE383"/>
  <c r="AF383"/>
  <c r="AG383"/>
  <c r="AH383"/>
  <c r="AI383"/>
  <c r="AJ383"/>
  <c r="AK383"/>
  <c r="Z384"/>
  <c r="AA384"/>
  <c r="AB384"/>
  <c r="AC384"/>
  <c r="AD384"/>
  <c r="AE384"/>
  <c r="AF384"/>
  <c r="AG384"/>
  <c r="AH384"/>
  <c r="AI384"/>
  <c r="AJ384"/>
  <c r="AK384"/>
  <c r="Z385"/>
  <c r="AA385"/>
  <c r="AB385"/>
  <c r="AC385"/>
  <c r="AD385"/>
  <c r="AE385"/>
  <c r="AF385"/>
  <c r="AG385"/>
  <c r="AH385"/>
  <c r="AI385"/>
  <c r="AJ385"/>
  <c r="AK385"/>
  <c r="Z386"/>
  <c r="AA386"/>
  <c r="AB386"/>
  <c r="AC386"/>
  <c r="AD386"/>
  <c r="AE386"/>
  <c r="AF386"/>
  <c r="AG386"/>
  <c r="AH386"/>
  <c r="AI386"/>
  <c r="AJ386"/>
  <c r="AK386"/>
  <c r="Z387"/>
  <c r="AA387"/>
  <c r="AB387"/>
  <c r="AC387"/>
  <c r="AD387"/>
  <c r="AE387"/>
  <c r="AF387"/>
  <c r="AG387"/>
  <c r="AH387"/>
  <c r="AI387"/>
  <c r="AJ387"/>
  <c r="AK387"/>
  <c r="Z388"/>
  <c r="AA388"/>
  <c r="AB388"/>
  <c r="AC388"/>
  <c r="AD388"/>
  <c r="AE388"/>
  <c r="AF388"/>
  <c r="AG388"/>
  <c r="AH388"/>
  <c r="AI388"/>
  <c r="AJ388"/>
  <c r="AK388"/>
  <c r="Z389"/>
  <c r="AA389"/>
  <c r="AB389"/>
  <c r="AC389"/>
  <c r="AD389"/>
  <c r="AE389"/>
  <c r="AF389"/>
  <c r="AG389"/>
  <c r="AH389"/>
  <c r="AI389"/>
  <c r="AJ389"/>
  <c r="AK389"/>
  <c r="Z390"/>
  <c r="AA390"/>
  <c r="AB390"/>
  <c r="AC390"/>
  <c r="AD390"/>
  <c r="AE390"/>
  <c r="AF390"/>
  <c r="AG390"/>
  <c r="AH390"/>
  <c r="AI390"/>
  <c r="AJ390"/>
  <c r="AK390"/>
  <c r="Z391"/>
  <c r="AA391"/>
  <c r="AB391"/>
  <c r="AC391"/>
  <c r="AD391"/>
  <c r="AE391"/>
  <c r="AF391"/>
  <c r="AG391"/>
  <c r="AH391"/>
  <c r="AI391"/>
  <c r="AJ391"/>
  <c r="AK391"/>
  <c r="Z392"/>
  <c r="AA392"/>
  <c r="AB392"/>
  <c r="AC392"/>
  <c r="AD392"/>
  <c r="AE392"/>
  <c r="AF392"/>
  <c r="AG392"/>
  <c r="AH392"/>
  <c r="AI392"/>
  <c r="AJ392"/>
  <c r="AK392"/>
  <c r="Z393"/>
  <c r="AA393"/>
  <c r="AB393"/>
  <c r="AC393"/>
  <c r="AD393"/>
  <c r="AE393"/>
  <c r="AF393"/>
  <c r="AG393"/>
  <c r="AH393"/>
  <c r="AI393"/>
  <c r="AJ393"/>
  <c r="AK393"/>
  <c r="Z394"/>
  <c r="AA394"/>
  <c r="AB394"/>
  <c r="AC394"/>
  <c r="AD394"/>
  <c r="AE394"/>
  <c r="AF394"/>
  <c r="AG394"/>
  <c r="AH394"/>
  <c r="AI394"/>
  <c r="AJ394"/>
  <c r="AK394"/>
  <c r="Z395"/>
  <c r="AA395"/>
  <c r="AB395"/>
  <c r="AC395"/>
  <c r="AD395"/>
  <c r="AE395"/>
  <c r="AF395"/>
  <c r="AG395"/>
  <c r="AH395"/>
  <c r="AI395"/>
  <c r="AJ395"/>
  <c r="AK395"/>
  <c r="Z396"/>
  <c r="AA396"/>
  <c r="AB396"/>
  <c r="AC396"/>
  <c r="AD396"/>
  <c r="AE396"/>
  <c r="AF396"/>
  <c r="AG396"/>
  <c r="AH396"/>
  <c r="AI396"/>
  <c r="AJ396"/>
  <c r="AK396"/>
  <c r="Z397"/>
  <c r="AA397"/>
  <c r="AB397"/>
  <c r="AC397"/>
  <c r="AD397"/>
  <c r="AE397"/>
  <c r="AF397"/>
  <c r="AG397"/>
  <c r="AH397"/>
  <c r="AI397"/>
  <c r="AJ397"/>
  <c r="AK397"/>
  <c r="Z398"/>
  <c r="AA398"/>
  <c r="AB398"/>
  <c r="AC398"/>
  <c r="AD398"/>
  <c r="AE398"/>
  <c r="AF398"/>
  <c r="AG398"/>
  <c r="AH398"/>
  <c r="AI398"/>
  <c r="AJ398"/>
  <c r="AK398"/>
  <c r="Z399"/>
  <c r="AA399"/>
  <c r="AB399"/>
  <c r="AC399"/>
  <c r="AD399"/>
  <c r="AE399"/>
  <c r="AF399"/>
  <c r="AG399"/>
  <c r="AH399"/>
  <c r="AI399"/>
  <c r="AJ399"/>
  <c r="AK399"/>
  <c r="Z400"/>
  <c r="AA400"/>
  <c r="AB400"/>
  <c r="AC400"/>
  <c r="AD400"/>
  <c r="AE400"/>
  <c r="AF400"/>
  <c r="AG400"/>
  <c r="AH400"/>
  <c r="AI400"/>
  <c r="AJ400"/>
  <c r="AK400"/>
  <c r="Z401"/>
  <c r="AA401"/>
  <c r="AB401"/>
  <c r="AC401"/>
  <c r="AD401"/>
  <c r="AE401"/>
  <c r="AF401"/>
  <c r="AG401"/>
  <c r="AH401"/>
  <c r="AI401"/>
  <c r="AJ401"/>
  <c r="AK401"/>
  <c r="Z402"/>
  <c r="AA402"/>
  <c r="AB402"/>
  <c r="AC402"/>
  <c r="AD402"/>
  <c r="AE402"/>
  <c r="AF402"/>
  <c r="AG402"/>
  <c r="AH402"/>
  <c r="AI402"/>
  <c r="AJ402"/>
  <c r="AK402"/>
  <c r="Z403"/>
  <c r="AA403"/>
  <c r="AB403"/>
  <c r="AC403"/>
  <c r="AD403"/>
  <c r="AE403"/>
  <c r="AF403"/>
  <c r="AG403"/>
  <c r="AH403"/>
  <c r="AI403"/>
  <c r="AJ403"/>
  <c r="AK403"/>
  <c r="Z404"/>
  <c r="AA404"/>
  <c r="AB404"/>
  <c r="AC404"/>
  <c r="AD404"/>
  <c r="AE404"/>
  <c r="AF404"/>
  <c r="AG404"/>
  <c r="AH404"/>
  <c r="AI404"/>
  <c r="AJ404"/>
  <c r="AK404"/>
  <c r="Z405"/>
  <c r="AA405"/>
  <c r="AB405"/>
  <c r="AC405"/>
  <c r="AD405"/>
  <c r="AE405"/>
  <c r="AF405"/>
  <c r="AG405"/>
  <c r="AH405"/>
  <c r="AI405"/>
  <c r="AJ405"/>
  <c r="AK405"/>
  <c r="Z406"/>
  <c r="AA406"/>
  <c r="AB406"/>
  <c r="AC406"/>
  <c r="AD406"/>
  <c r="AE406"/>
  <c r="AF406"/>
  <c r="AG406"/>
  <c r="AH406"/>
  <c r="AI406"/>
  <c r="AJ406"/>
  <c r="AK406"/>
  <c r="Z407"/>
  <c r="AA407"/>
  <c r="AB407"/>
  <c r="AC407"/>
  <c r="AD407"/>
  <c r="AE407"/>
  <c r="AF407"/>
  <c r="AG407"/>
  <c r="AH407"/>
  <c r="AI407"/>
  <c r="AJ407"/>
  <c r="AK407"/>
  <c r="S407"/>
  <c r="X407"/>
  <c r="Y407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57"/>
  <c r="S358"/>
  <c r="S359"/>
  <c r="S360"/>
  <c r="S361"/>
  <c r="S362"/>
  <c r="S363"/>
  <c r="AL363"/>
  <c r="AN363" s="1"/>
  <c r="AV363" s="1"/>
  <c r="S364"/>
  <c r="S365"/>
  <c r="S366"/>
  <c r="S367"/>
  <c r="S368"/>
  <c r="S369"/>
  <c r="S370"/>
  <c r="S371"/>
  <c r="S372"/>
  <c r="S373"/>
  <c r="S374"/>
  <c r="S375"/>
  <c r="S376"/>
  <c r="S377"/>
  <c r="S378"/>
  <c r="S379"/>
  <c r="S380"/>
  <c r="S381"/>
  <c r="S382"/>
  <c r="S383"/>
  <c r="S384"/>
  <c r="S385"/>
  <c r="S386"/>
  <c r="S387"/>
  <c r="S388"/>
  <c r="S389"/>
  <c r="S390"/>
  <c r="S391"/>
  <c r="S392"/>
  <c r="S393"/>
  <c r="S394"/>
  <c r="S395"/>
  <c r="S396"/>
  <c r="AL396"/>
  <c r="AN396" s="1"/>
  <c r="AV396" s="1"/>
  <c r="S397"/>
  <c r="S398"/>
  <c r="S399"/>
  <c r="S400"/>
  <c r="S401"/>
  <c r="S402"/>
  <c r="S403"/>
  <c r="S404"/>
  <c r="S405"/>
  <c r="S406"/>
  <c r="V334"/>
  <c r="V335"/>
  <c r="V336"/>
  <c r="AL336"/>
  <c r="AN336" s="1"/>
  <c r="AV336" s="1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AL356"/>
  <c r="AN356"/>
  <c r="AV356" s="1"/>
  <c r="V357"/>
  <c r="V358"/>
  <c r="V359"/>
  <c r="V360"/>
  <c r="V361"/>
  <c r="V362"/>
  <c r="V363"/>
  <c r="V364"/>
  <c r="V365"/>
  <c r="V366"/>
  <c r="V367"/>
  <c r="V368"/>
  <c r="V369"/>
  <c r="V370"/>
  <c r="V371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AL389"/>
  <c r="AN389" s="1"/>
  <c r="AV389" s="1"/>
  <c r="V390"/>
  <c r="V391"/>
  <c r="AL391"/>
  <c r="AN391" s="1"/>
  <c r="AV391" s="1"/>
  <c r="V392"/>
  <c r="V393"/>
  <c r="V394"/>
  <c r="V395"/>
  <c r="V396"/>
  <c r="V397"/>
  <c r="AL397"/>
  <c r="AN397" s="1"/>
  <c r="AV397" s="1"/>
  <c r="V398"/>
  <c r="V399"/>
  <c r="V400"/>
  <c r="V401"/>
  <c r="V402"/>
  <c r="V403"/>
  <c r="V404"/>
  <c r="V405"/>
  <c r="V406"/>
  <c r="W334"/>
  <c r="W335"/>
  <c r="W336"/>
  <c r="W337"/>
  <c r="W338"/>
  <c r="W339"/>
  <c r="W340"/>
  <c r="W341"/>
  <c r="W342"/>
  <c r="W343"/>
  <c r="W344"/>
  <c r="W345"/>
  <c r="W346"/>
  <c r="W347"/>
  <c r="W348"/>
  <c r="W349"/>
  <c r="W350"/>
  <c r="W351"/>
  <c r="W352"/>
  <c r="W353"/>
  <c r="W354"/>
  <c r="W355"/>
  <c r="W356"/>
  <c r="W357"/>
  <c r="W358"/>
  <c r="W359"/>
  <c r="W360"/>
  <c r="W361"/>
  <c r="W362"/>
  <c r="W363"/>
  <c r="W364"/>
  <c r="W365"/>
  <c r="W366"/>
  <c r="W367"/>
  <c r="W368"/>
  <c r="W369"/>
  <c r="W370"/>
  <c r="W371"/>
  <c r="W372"/>
  <c r="W373"/>
  <c r="W374"/>
  <c r="W375"/>
  <c r="W376"/>
  <c r="W377"/>
  <c r="W378"/>
  <c r="W379"/>
  <c r="W380"/>
  <c r="AL380"/>
  <c r="AN380" s="1"/>
  <c r="AV380" s="1"/>
  <c r="W381"/>
  <c r="W382"/>
  <c r="W383"/>
  <c r="W384"/>
  <c r="W385"/>
  <c r="W386"/>
  <c r="W387"/>
  <c r="W388"/>
  <c r="W389"/>
  <c r="W390"/>
  <c r="W391"/>
  <c r="W392"/>
  <c r="W393"/>
  <c r="AL393"/>
  <c r="AN393" s="1"/>
  <c r="AV393" s="1"/>
  <c r="W394"/>
  <c r="W395"/>
  <c r="W396"/>
  <c r="W397"/>
  <c r="W398"/>
  <c r="W399"/>
  <c r="W400"/>
  <c r="W401"/>
  <c r="W402"/>
  <c r="W403"/>
  <c r="W404"/>
  <c r="W405"/>
  <c r="W406"/>
  <c r="X334"/>
  <c r="X335"/>
  <c r="X336"/>
  <c r="X337"/>
  <c r="X338"/>
  <c r="X339"/>
  <c r="X340"/>
  <c r="X341"/>
  <c r="X342"/>
  <c r="X343"/>
  <c r="X344"/>
  <c r="X345"/>
  <c r="X346"/>
  <c r="X347"/>
  <c r="X348"/>
  <c r="X349"/>
  <c r="X350"/>
  <c r="X351"/>
  <c r="X352"/>
  <c r="X353"/>
  <c r="X354"/>
  <c r="X355"/>
  <c r="X356"/>
  <c r="X357"/>
  <c r="X358"/>
  <c r="X359"/>
  <c r="X360"/>
  <c r="X361"/>
  <c r="X362"/>
  <c r="X363"/>
  <c r="X364"/>
  <c r="X365"/>
  <c r="X366"/>
  <c r="X367"/>
  <c r="X368"/>
  <c r="X369"/>
  <c r="X370"/>
  <c r="X371"/>
  <c r="X372"/>
  <c r="X373"/>
  <c r="X374"/>
  <c r="X375"/>
  <c r="X376"/>
  <c r="X377"/>
  <c r="X378"/>
  <c r="X379"/>
  <c r="X380"/>
  <c r="X381"/>
  <c r="X382"/>
  <c r="X383"/>
  <c r="X384"/>
  <c r="X385"/>
  <c r="X386"/>
  <c r="X387"/>
  <c r="X388"/>
  <c r="X389"/>
  <c r="X390"/>
  <c r="X391"/>
  <c r="X392"/>
  <c r="X393"/>
  <c r="X394"/>
  <c r="X395"/>
  <c r="X396"/>
  <c r="X397"/>
  <c r="X398"/>
  <c r="X399"/>
  <c r="X400"/>
  <c r="X401"/>
  <c r="X402"/>
  <c r="X403"/>
  <c r="X404"/>
  <c r="X405"/>
  <c r="X406"/>
  <c r="Y334"/>
  <c r="Y335"/>
  <c r="Y336"/>
  <c r="Y337"/>
  <c r="Y338"/>
  <c r="Y339"/>
  <c r="Y340"/>
  <c r="Y341"/>
  <c r="Y342"/>
  <c r="Y343"/>
  <c r="Y344"/>
  <c r="Y345"/>
  <c r="Y346"/>
  <c r="Y347"/>
  <c r="Y348"/>
  <c r="Y349"/>
  <c r="Y350"/>
  <c r="Y351"/>
  <c r="Y352"/>
  <c r="Y353"/>
  <c r="Y354"/>
  <c r="Y355"/>
  <c r="Y356"/>
  <c r="Y357"/>
  <c r="Y358"/>
  <c r="Y359"/>
  <c r="AL359"/>
  <c r="AN359" s="1"/>
  <c r="AV359" s="1"/>
  <c r="Y360"/>
  <c r="Y361"/>
  <c r="Y362"/>
  <c r="Y363"/>
  <c r="Y364"/>
  <c r="Y365"/>
  <c r="Y366"/>
  <c r="Y367"/>
  <c r="Y368"/>
  <c r="Y369"/>
  <c r="Y370"/>
  <c r="Y371"/>
  <c r="Y372"/>
  <c r="Y373"/>
  <c r="Y374"/>
  <c r="Y375"/>
  <c r="Y376"/>
  <c r="Y377"/>
  <c r="Y378"/>
  <c r="Y379"/>
  <c r="Y380"/>
  <c r="Y381"/>
  <c r="Y382"/>
  <c r="Y383"/>
  <c r="Y384"/>
  <c r="Y385"/>
  <c r="Y386"/>
  <c r="Y387"/>
  <c r="Y388"/>
  <c r="Y389"/>
  <c r="Y390"/>
  <c r="Y391"/>
  <c r="Y392"/>
  <c r="Y393"/>
  <c r="Y394"/>
  <c r="Y395"/>
  <c r="Y396"/>
  <c r="Y397"/>
  <c r="Y398"/>
  <c r="Y399"/>
  <c r="Y400"/>
  <c r="Y401"/>
  <c r="Y402"/>
  <c r="Y403"/>
  <c r="Y404"/>
  <c r="Y405"/>
  <c r="Y406"/>
  <c r="S321"/>
  <c r="S322"/>
  <c r="S323"/>
  <c r="S324"/>
  <c r="S325"/>
  <c r="S326"/>
  <c r="S327"/>
  <c r="S328"/>
  <c r="AL328"/>
  <c r="AN328" s="1"/>
  <c r="AV328" s="1"/>
  <c r="S329"/>
  <c r="S330"/>
  <c r="S331"/>
  <c r="S332"/>
  <c r="S333"/>
  <c r="V321"/>
  <c r="V322"/>
  <c r="V323"/>
  <c r="V324"/>
  <c r="V325"/>
  <c r="V326"/>
  <c r="V327"/>
  <c r="V328"/>
  <c r="V329"/>
  <c r="V330"/>
  <c r="V331"/>
  <c r="V332"/>
  <c r="V333"/>
  <c r="W321"/>
  <c r="W322"/>
  <c r="W323"/>
  <c r="W324"/>
  <c r="W325"/>
  <c r="W326"/>
  <c r="W327"/>
  <c r="W328"/>
  <c r="W329"/>
  <c r="W330"/>
  <c r="W331"/>
  <c r="W332"/>
  <c r="W333"/>
  <c r="X321"/>
  <c r="X322"/>
  <c r="X323"/>
  <c r="X324"/>
  <c r="X325"/>
  <c r="X326"/>
  <c r="X327"/>
  <c r="X328"/>
  <c r="X329"/>
  <c r="X330"/>
  <c r="X331"/>
  <c r="X332"/>
  <c r="X333"/>
  <c r="Y321"/>
  <c r="Y322"/>
  <c r="Y323"/>
  <c r="Y324"/>
  <c r="Y325"/>
  <c r="Y326"/>
  <c r="Y327"/>
  <c r="Y328"/>
  <c r="Y329"/>
  <c r="Y330"/>
  <c r="Y331"/>
  <c r="Y332"/>
  <c r="Y333"/>
  <c r="S319"/>
  <c r="S320"/>
  <c r="V319"/>
  <c r="V320"/>
  <c r="W319"/>
  <c r="W320"/>
  <c r="X319"/>
  <c r="X320"/>
  <c r="Y319"/>
  <c r="Y320"/>
  <c r="S311"/>
  <c r="S312"/>
  <c r="S313"/>
  <c r="S314"/>
  <c r="S315"/>
  <c r="S316"/>
  <c r="S317"/>
  <c r="S318"/>
  <c r="V311"/>
  <c r="V312"/>
  <c r="V313"/>
  <c r="V314"/>
  <c r="V315"/>
  <c r="V316"/>
  <c r="V317"/>
  <c r="V318"/>
  <c r="W311"/>
  <c r="W312"/>
  <c r="W313"/>
  <c r="W314"/>
  <c r="W315"/>
  <c r="W316"/>
  <c r="AL316"/>
  <c r="AN316" s="1"/>
  <c r="AV316" s="1"/>
  <c r="W317"/>
  <c r="W318"/>
  <c r="X311"/>
  <c r="X312"/>
  <c r="X313"/>
  <c r="X314"/>
  <c r="X315"/>
  <c r="X316"/>
  <c r="X317"/>
  <c r="X318"/>
  <c r="Y311"/>
  <c r="Y312"/>
  <c r="Y313"/>
  <c r="Y314"/>
  <c r="Y315"/>
  <c r="Y316"/>
  <c r="Y317"/>
  <c r="Y318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W294"/>
  <c r="W295"/>
  <c r="W296"/>
  <c r="W297"/>
  <c r="W298"/>
  <c r="AL298"/>
  <c r="AN298" s="1"/>
  <c r="AV298" s="1"/>
  <c r="W299"/>
  <c r="W300"/>
  <c r="W301"/>
  <c r="W302"/>
  <c r="W303"/>
  <c r="W304"/>
  <c r="W305"/>
  <c r="W306"/>
  <c r="W307"/>
  <c r="W308"/>
  <c r="W309"/>
  <c r="W310"/>
  <c r="X294"/>
  <c r="X295"/>
  <c r="X296"/>
  <c r="X297"/>
  <c r="X298"/>
  <c r="X299"/>
  <c r="X300"/>
  <c r="X301"/>
  <c r="X302"/>
  <c r="X303"/>
  <c r="X304"/>
  <c r="X305"/>
  <c r="X306"/>
  <c r="X307"/>
  <c r="X308"/>
  <c r="X309"/>
  <c r="X310"/>
  <c r="Y294"/>
  <c r="Y295"/>
  <c r="Y296"/>
  <c r="Y297"/>
  <c r="Y298"/>
  <c r="Y299"/>
  <c r="Y300"/>
  <c r="Y301"/>
  <c r="Y302"/>
  <c r="Y303"/>
  <c r="Y304"/>
  <c r="Y305"/>
  <c r="Y306"/>
  <c r="Y307"/>
  <c r="Y308"/>
  <c r="Y309"/>
  <c r="Y310"/>
  <c r="S271"/>
  <c r="S272"/>
  <c r="S273"/>
  <c r="S274"/>
  <c r="S275"/>
  <c r="S276"/>
  <c r="S277"/>
  <c r="S278"/>
  <c r="AL278"/>
  <c r="AN278" s="1"/>
  <c r="AV278" s="1"/>
  <c r="S279"/>
  <c r="S280"/>
  <c r="S281"/>
  <c r="S282"/>
  <c r="S283"/>
  <c r="S284"/>
  <c r="S285"/>
  <c r="S286"/>
  <c r="S287"/>
  <c r="S288"/>
  <c r="S289"/>
  <c r="S290"/>
  <c r="S291"/>
  <c r="S292"/>
  <c r="S293"/>
  <c r="V271"/>
  <c r="V272"/>
  <c r="V273"/>
  <c r="V274"/>
  <c r="V275"/>
  <c r="V276"/>
  <c r="V277"/>
  <c r="AL277"/>
  <c r="AN277" s="1"/>
  <c r="AV277" s="1"/>
  <c r="V278"/>
  <c r="V279"/>
  <c r="V280"/>
  <c r="V281"/>
  <c r="V282"/>
  <c r="V283"/>
  <c r="V284"/>
  <c r="V285"/>
  <c r="AL285"/>
  <c r="AN285" s="1"/>
  <c r="AV285" s="1"/>
  <c r="V286"/>
  <c r="V287"/>
  <c r="V288"/>
  <c r="V289"/>
  <c r="V290"/>
  <c r="V291"/>
  <c r="V292"/>
  <c r="V293"/>
  <c r="AL293"/>
  <c r="AN293" s="1"/>
  <c r="AV293" s="1"/>
  <c r="W271"/>
  <c r="W272"/>
  <c r="W273"/>
  <c r="W274"/>
  <c r="W275"/>
  <c r="W276"/>
  <c r="W277"/>
  <c r="W278"/>
  <c r="W279"/>
  <c r="W280"/>
  <c r="W281"/>
  <c r="W282"/>
  <c r="W283"/>
  <c r="W284"/>
  <c r="W285"/>
  <c r="W286"/>
  <c r="AL286"/>
  <c r="AN286" s="1"/>
  <c r="AV286"/>
  <c r="W287"/>
  <c r="W288"/>
  <c r="W289"/>
  <c r="W290"/>
  <c r="W291"/>
  <c r="W292"/>
  <c r="W293"/>
  <c r="X271"/>
  <c r="X272"/>
  <c r="X273"/>
  <c r="X274"/>
  <c r="X275"/>
  <c r="X276"/>
  <c r="X277"/>
  <c r="X278"/>
  <c r="X279"/>
  <c r="X280"/>
  <c r="X281"/>
  <c r="X282"/>
  <c r="X283"/>
  <c r="X284"/>
  <c r="X285"/>
  <c r="X286"/>
  <c r="X287"/>
  <c r="X288"/>
  <c r="X289"/>
  <c r="X290"/>
  <c r="X291"/>
  <c r="X292"/>
  <c r="X293"/>
  <c r="Y271"/>
  <c r="Y272"/>
  <c r="Y273"/>
  <c r="Y274"/>
  <c r="Y275"/>
  <c r="Y276"/>
  <c r="Y277"/>
  <c r="Y278"/>
  <c r="Y279"/>
  <c r="Y280"/>
  <c r="Y281"/>
  <c r="Y282"/>
  <c r="Y283"/>
  <c r="Y284"/>
  <c r="Y285"/>
  <c r="Y286"/>
  <c r="Y287"/>
  <c r="Y288"/>
  <c r="AL288"/>
  <c r="AN288" s="1"/>
  <c r="AV288" s="1"/>
  <c r="Y289"/>
  <c r="Y290"/>
  <c r="AL290"/>
  <c r="AN290" s="1"/>
  <c r="AV290" s="1"/>
  <c r="Y291"/>
  <c r="Y292"/>
  <c r="Y293"/>
  <c r="S256"/>
  <c r="T256"/>
  <c r="S257"/>
  <c r="T257"/>
  <c r="S240"/>
  <c r="S241"/>
  <c r="S242"/>
  <c r="S243"/>
  <c r="S244"/>
  <c r="S245"/>
  <c r="S246"/>
  <c r="AL246"/>
  <c r="AN246" s="1"/>
  <c r="AV246" s="1"/>
  <c r="S247"/>
  <c r="S248"/>
  <c r="S249"/>
  <c r="S250"/>
  <c r="S251"/>
  <c r="S252"/>
  <c r="S253"/>
  <c r="S254"/>
  <c r="S255"/>
  <c r="S258"/>
  <c r="S259"/>
  <c r="S260"/>
  <c r="S261"/>
  <c r="S262"/>
  <c r="S263"/>
  <c r="S264"/>
  <c r="AL264"/>
  <c r="AN264" s="1"/>
  <c r="AV264" s="1"/>
  <c r="S265"/>
  <c r="S266"/>
  <c r="S267"/>
  <c r="S268"/>
  <c r="S269"/>
  <c r="S270"/>
  <c r="V238"/>
  <c r="W238"/>
  <c r="X238"/>
  <c r="Y238"/>
  <c r="Z238"/>
  <c r="AA238"/>
  <c r="AB238"/>
  <c r="AC238"/>
  <c r="AD238"/>
  <c r="AE238"/>
  <c r="AF238"/>
  <c r="AG238"/>
  <c r="AH238"/>
  <c r="AI238"/>
  <c r="AJ238"/>
  <c r="AK238"/>
  <c r="V239"/>
  <c r="W239"/>
  <c r="X239"/>
  <c r="Y239"/>
  <c r="Z239"/>
  <c r="AA239"/>
  <c r="AB239"/>
  <c r="AC239"/>
  <c r="AD239"/>
  <c r="AE239"/>
  <c r="AL239"/>
  <c r="AN239" s="1"/>
  <c r="AV239" s="1"/>
  <c r="AF239"/>
  <c r="AG239"/>
  <c r="AH239"/>
  <c r="AI239"/>
  <c r="AJ239"/>
  <c r="AK239"/>
  <c r="V240"/>
  <c r="W240"/>
  <c r="X240"/>
  <c r="Y240"/>
  <c r="Z240"/>
  <c r="AA240"/>
  <c r="AB240"/>
  <c r="AC240"/>
  <c r="AD240"/>
  <c r="AE240"/>
  <c r="AL240"/>
  <c r="AN240" s="1"/>
  <c r="AV240" s="1"/>
  <c r="AF240"/>
  <c r="AG240"/>
  <c r="AH240"/>
  <c r="AI240"/>
  <c r="AJ240"/>
  <c r="AK240"/>
  <c r="V241"/>
  <c r="W241"/>
  <c r="X241"/>
  <c r="Y241"/>
  <c r="Z241"/>
  <c r="AA241"/>
  <c r="AB241"/>
  <c r="AC241"/>
  <c r="AD241"/>
  <c r="AE241"/>
  <c r="AL241"/>
  <c r="AN241" s="1"/>
  <c r="AV241" s="1"/>
  <c r="AF241"/>
  <c r="AG241"/>
  <c r="AH241"/>
  <c r="AI241"/>
  <c r="AJ241"/>
  <c r="AK241"/>
  <c r="V242"/>
  <c r="W242"/>
  <c r="X242"/>
  <c r="Y242"/>
  <c r="Z242"/>
  <c r="AA242"/>
  <c r="AB242"/>
  <c r="AC242"/>
  <c r="AD242"/>
  <c r="AE242"/>
  <c r="AL242"/>
  <c r="AN242" s="1"/>
  <c r="AV242" s="1"/>
  <c r="AF242"/>
  <c r="AG242"/>
  <c r="AH242"/>
  <c r="AI242"/>
  <c r="AJ242"/>
  <c r="AK242"/>
  <c r="V243"/>
  <c r="W243"/>
  <c r="X243"/>
  <c r="Y243"/>
  <c r="Z243"/>
  <c r="AA243"/>
  <c r="AB243"/>
  <c r="AC243"/>
  <c r="AD243"/>
  <c r="AE243"/>
  <c r="AL243"/>
  <c r="AN243" s="1"/>
  <c r="AV243" s="1"/>
  <c r="AF243"/>
  <c r="AG243"/>
  <c r="AH243"/>
  <c r="AI243"/>
  <c r="AJ243"/>
  <c r="AK243"/>
  <c r="V244"/>
  <c r="W244"/>
  <c r="X244"/>
  <c r="Y244"/>
  <c r="Z244"/>
  <c r="AA244"/>
  <c r="AB244"/>
  <c r="AC244"/>
  <c r="AD244"/>
  <c r="AE244"/>
  <c r="AF244"/>
  <c r="AG244"/>
  <c r="AH244"/>
  <c r="AI244"/>
  <c r="AJ244"/>
  <c r="AK244"/>
  <c r="V245"/>
  <c r="W245"/>
  <c r="X245"/>
  <c r="Y245"/>
  <c r="Z245"/>
  <c r="AA245"/>
  <c r="AB245"/>
  <c r="AC245"/>
  <c r="AD245"/>
  <c r="AE245"/>
  <c r="AL245"/>
  <c r="AN245" s="1"/>
  <c r="AV245" s="1"/>
  <c r="AF245"/>
  <c r="AG245"/>
  <c r="AH245"/>
  <c r="AI245"/>
  <c r="AJ245"/>
  <c r="AK245"/>
  <c r="V246"/>
  <c r="W246"/>
  <c r="X246"/>
  <c r="Y246"/>
  <c r="Z246"/>
  <c r="AA246"/>
  <c r="AB246"/>
  <c r="AC246"/>
  <c r="AD246"/>
  <c r="AE246"/>
  <c r="AF246"/>
  <c r="AG246"/>
  <c r="AH246"/>
  <c r="AI246"/>
  <c r="AJ246"/>
  <c r="AK246"/>
  <c r="V247"/>
  <c r="W247"/>
  <c r="X247"/>
  <c r="Y247"/>
  <c r="Z247"/>
  <c r="AA247"/>
  <c r="AB247"/>
  <c r="AC247"/>
  <c r="AD247"/>
  <c r="AE247"/>
  <c r="AL247"/>
  <c r="AN247"/>
  <c r="AV247" s="1"/>
  <c r="AF247"/>
  <c r="AG247"/>
  <c r="AH247"/>
  <c r="AI247"/>
  <c r="AJ247"/>
  <c r="AK247"/>
  <c r="V248"/>
  <c r="W248"/>
  <c r="X248"/>
  <c r="Y248"/>
  <c r="Z248"/>
  <c r="AA248"/>
  <c r="AB248"/>
  <c r="AC248"/>
  <c r="AD248"/>
  <c r="AE248"/>
  <c r="AL248"/>
  <c r="AN248" s="1"/>
  <c r="AV248" s="1"/>
  <c r="AF248"/>
  <c r="AG248"/>
  <c r="AH248"/>
  <c r="AI248"/>
  <c r="AJ248"/>
  <c r="AK248"/>
  <c r="V249"/>
  <c r="W249"/>
  <c r="X249"/>
  <c r="Y249"/>
  <c r="Z249"/>
  <c r="AA249"/>
  <c r="AB249"/>
  <c r="AC249"/>
  <c r="AD249"/>
  <c r="AE249"/>
  <c r="AL249"/>
  <c r="AN249" s="1"/>
  <c r="AV249" s="1"/>
  <c r="AF249"/>
  <c r="AG249"/>
  <c r="AH249"/>
  <c r="AI249"/>
  <c r="AJ249"/>
  <c r="AK249"/>
  <c r="V250"/>
  <c r="W250"/>
  <c r="X250"/>
  <c r="Y250"/>
  <c r="Z250"/>
  <c r="AA250"/>
  <c r="AB250"/>
  <c r="AC250"/>
  <c r="AD250"/>
  <c r="AE250"/>
  <c r="AL250"/>
  <c r="AN250" s="1"/>
  <c r="AV250"/>
  <c r="AF250"/>
  <c r="AG250"/>
  <c r="AH250"/>
  <c r="AI250"/>
  <c r="AJ250"/>
  <c r="AK250"/>
  <c r="V251"/>
  <c r="W251"/>
  <c r="X251"/>
  <c r="Y251"/>
  <c r="Z251"/>
  <c r="AA251"/>
  <c r="AB251"/>
  <c r="AC251"/>
  <c r="AD251"/>
  <c r="AE251"/>
  <c r="AF251"/>
  <c r="AG251"/>
  <c r="AH251"/>
  <c r="AI251"/>
  <c r="AJ251"/>
  <c r="AK251"/>
  <c r="V252"/>
  <c r="W252"/>
  <c r="X252"/>
  <c r="Y252"/>
  <c r="Z252"/>
  <c r="AA252"/>
  <c r="AB252"/>
  <c r="AC252"/>
  <c r="AD252"/>
  <c r="AE252"/>
  <c r="AL252"/>
  <c r="AN252" s="1"/>
  <c r="AV252" s="1"/>
  <c r="AF252"/>
  <c r="AG252"/>
  <c r="AH252"/>
  <c r="AI252"/>
  <c r="AJ252"/>
  <c r="AK252"/>
  <c r="V253"/>
  <c r="W253"/>
  <c r="X253"/>
  <c r="Y253"/>
  <c r="Z253"/>
  <c r="AA253"/>
  <c r="AB253"/>
  <c r="AC253"/>
  <c r="AD253"/>
  <c r="AE253"/>
  <c r="AF253"/>
  <c r="AG253"/>
  <c r="AH253"/>
  <c r="AI253"/>
  <c r="AJ253"/>
  <c r="AK253"/>
  <c r="V254"/>
  <c r="W254"/>
  <c r="X254"/>
  <c r="Y254"/>
  <c r="Z254"/>
  <c r="AA254"/>
  <c r="AB254"/>
  <c r="AC254"/>
  <c r="AD254"/>
  <c r="AE254"/>
  <c r="AF254"/>
  <c r="AG254"/>
  <c r="AH254"/>
  <c r="AI254"/>
  <c r="AJ254"/>
  <c r="AK254"/>
  <c r="V255"/>
  <c r="W255"/>
  <c r="X255"/>
  <c r="Y255"/>
  <c r="Z255"/>
  <c r="AA255"/>
  <c r="AB255"/>
  <c r="AC255"/>
  <c r="AD255"/>
  <c r="AE255"/>
  <c r="AF255"/>
  <c r="AG255"/>
  <c r="AH255"/>
  <c r="AI255"/>
  <c r="AJ255"/>
  <c r="AK255"/>
  <c r="V256"/>
  <c r="X256"/>
  <c r="Y256"/>
  <c r="Z256"/>
  <c r="AA256"/>
  <c r="AB256"/>
  <c r="AC256"/>
  <c r="AD256"/>
  <c r="AE256"/>
  <c r="AL256"/>
  <c r="AN256" s="1"/>
  <c r="AV256" s="1"/>
  <c r="AF256"/>
  <c r="AG256"/>
  <c r="AH256"/>
  <c r="AI256"/>
  <c r="AJ256"/>
  <c r="AK256"/>
  <c r="V257"/>
  <c r="W257"/>
  <c r="X257"/>
  <c r="Y257"/>
  <c r="Z257"/>
  <c r="AA257"/>
  <c r="AB257"/>
  <c r="AC257"/>
  <c r="AD257"/>
  <c r="AE257"/>
  <c r="AF257"/>
  <c r="AG257"/>
  <c r="AH257"/>
  <c r="AI257"/>
  <c r="AJ257"/>
  <c r="AK257"/>
  <c r="V258"/>
  <c r="W258"/>
  <c r="X258"/>
  <c r="Y258"/>
  <c r="Z258"/>
  <c r="AA258"/>
  <c r="AB258"/>
  <c r="AC258"/>
  <c r="AD258"/>
  <c r="AE258"/>
  <c r="AL258"/>
  <c r="AN258" s="1"/>
  <c r="AV258" s="1"/>
  <c r="AF258"/>
  <c r="AG258"/>
  <c r="AH258"/>
  <c r="AI258"/>
  <c r="AJ258"/>
  <c r="AK258"/>
  <c r="V259"/>
  <c r="W259"/>
  <c r="X259"/>
  <c r="Y259"/>
  <c r="Z259"/>
  <c r="AA259"/>
  <c r="AB259"/>
  <c r="AC259"/>
  <c r="AD259"/>
  <c r="AE259"/>
  <c r="AF259"/>
  <c r="AG259"/>
  <c r="AH259"/>
  <c r="AI259"/>
  <c r="AJ259"/>
  <c r="AK259"/>
  <c r="V260"/>
  <c r="W260"/>
  <c r="X260"/>
  <c r="Y260"/>
  <c r="Z260"/>
  <c r="AA260"/>
  <c r="AB260"/>
  <c r="AC260"/>
  <c r="AD260"/>
  <c r="AE260"/>
  <c r="AL260"/>
  <c r="AN260" s="1"/>
  <c r="AV260" s="1"/>
  <c r="AF260"/>
  <c r="AG260"/>
  <c r="AH260"/>
  <c r="AI260"/>
  <c r="AJ260"/>
  <c r="AK260"/>
  <c r="V261"/>
  <c r="W261"/>
  <c r="X261"/>
  <c r="Y261"/>
  <c r="Z261"/>
  <c r="AA261"/>
  <c r="AB261"/>
  <c r="AC261"/>
  <c r="AD261"/>
  <c r="AE261"/>
  <c r="AF261"/>
  <c r="AG261"/>
  <c r="AH261"/>
  <c r="AI261"/>
  <c r="AJ261"/>
  <c r="AK261"/>
  <c r="V262"/>
  <c r="W262"/>
  <c r="X262"/>
  <c r="Y262"/>
  <c r="Z262"/>
  <c r="AA262"/>
  <c r="AB262"/>
  <c r="AC262"/>
  <c r="AD262"/>
  <c r="AE262"/>
  <c r="AL262"/>
  <c r="AN262" s="1"/>
  <c r="AV262" s="1"/>
  <c r="AF262"/>
  <c r="AG262"/>
  <c r="AH262"/>
  <c r="AI262"/>
  <c r="AJ262"/>
  <c r="AK262"/>
  <c r="V263"/>
  <c r="W263"/>
  <c r="X263"/>
  <c r="Y263"/>
  <c r="Z263"/>
  <c r="AA263"/>
  <c r="AB263"/>
  <c r="AC263"/>
  <c r="AD263"/>
  <c r="AE263"/>
  <c r="AF263"/>
  <c r="AG263"/>
  <c r="AH263"/>
  <c r="AI263"/>
  <c r="AJ263"/>
  <c r="AK263"/>
  <c r="V264"/>
  <c r="W264"/>
  <c r="X264"/>
  <c r="Y264"/>
  <c r="Z264"/>
  <c r="AA264"/>
  <c r="AB264"/>
  <c r="AC264"/>
  <c r="AD264"/>
  <c r="AE264"/>
  <c r="AF264"/>
  <c r="AG264"/>
  <c r="AH264"/>
  <c r="AI264"/>
  <c r="AJ264"/>
  <c r="AK264"/>
  <c r="V265"/>
  <c r="W265"/>
  <c r="X265"/>
  <c r="Y265"/>
  <c r="Z265"/>
  <c r="AA265"/>
  <c r="AB265"/>
  <c r="AC265"/>
  <c r="AD265"/>
  <c r="AE265"/>
  <c r="AF265"/>
  <c r="AG265"/>
  <c r="AH265"/>
  <c r="AI265"/>
  <c r="AJ265"/>
  <c r="AK265"/>
  <c r="V266"/>
  <c r="W266"/>
  <c r="X266"/>
  <c r="Y266"/>
  <c r="Z266"/>
  <c r="AA266"/>
  <c r="AB266"/>
  <c r="AC266"/>
  <c r="AD266"/>
  <c r="AE266"/>
  <c r="AF266"/>
  <c r="AG266"/>
  <c r="AH266"/>
  <c r="AI266"/>
  <c r="AJ266"/>
  <c r="AK266"/>
  <c r="V267"/>
  <c r="W267"/>
  <c r="X267"/>
  <c r="Y267"/>
  <c r="Z267"/>
  <c r="AA267"/>
  <c r="AB267"/>
  <c r="AC267"/>
  <c r="AD267"/>
  <c r="AE267"/>
  <c r="AF267"/>
  <c r="AG267"/>
  <c r="AH267"/>
  <c r="AI267"/>
  <c r="AJ267"/>
  <c r="AK267"/>
  <c r="V268"/>
  <c r="W268"/>
  <c r="X268"/>
  <c r="Y268"/>
  <c r="Z268"/>
  <c r="AA268"/>
  <c r="AB268"/>
  <c r="AC268"/>
  <c r="AD268"/>
  <c r="AE268"/>
  <c r="AF268"/>
  <c r="AG268"/>
  <c r="AH268"/>
  <c r="AI268"/>
  <c r="AJ268"/>
  <c r="AK268"/>
  <c r="V269"/>
  <c r="W269"/>
  <c r="X269"/>
  <c r="Y269"/>
  <c r="Z269"/>
  <c r="AA269"/>
  <c r="AB269"/>
  <c r="AC269"/>
  <c r="AD269"/>
  <c r="AE269"/>
  <c r="AF269"/>
  <c r="AG269"/>
  <c r="AH269"/>
  <c r="AI269"/>
  <c r="AJ269"/>
  <c r="AK269"/>
  <c r="V270"/>
  <c r="W270"/>
  <c r="X270"/>
  <c r="Y270"/>
  <c r="Z270"/>
  <c r="AA270"/>
  <c r="AB270"/>
  <c r="AC270"/>
  <c r="AD270"/>
  <c r="AE270"/>
  <c r="AF270"/>
  <c r="AG270"/>
  <c r="AH270"/>
  <c r="AI270"/>
  <c r="AJ270"/>
  <c r="AK270"/>
  <c r="S238"/>
  <c r="S239"/>
  <c r="T258"/>
  <c r="T259"/>
  <c r="T260"/>
  <c r="T261"/>
  <c r="T262"/>
  <c r="T263"/>
  <c r="T264"/>
  <c r="T265"/>
  <c r="T266"/>
  <c r="T267"/>
  <c r="T268"/>
  <c r="AE236"/>
  <c r="AF236"/>
  <c r="AG236"/>
  <c r="AH236"/>
  <c r="AI236"/>
  <c r="AJ236"/>
  <c r="AK236"/>
  <c r="AE237"/>
  <c r="AF237"/>
  <c r="AG237"/>
  <c r="AH237"/>
  <c r="AI237"/>
  <c r="AJ237"/>
  <c r="AK237"/>
  <c r="S236"/>
  <c r="S237"/>
  <c r="T236"/>
  <c r="T237"/>
  <c r="V236"/>
  <c r="V237"/>
  <c r="W236"/>
  <c r="W237"/>
  <c r="X236"/>
  <c r="X237"/>
  <c r="Y236"/>
  <c r="Y237"/>
  <c r="Z236"/>
  <c r="Z237"/>
  <c r="AA236"/>
  <c r="AA237"/>
  <c r="AB236"/>
  <c r="AB237"/>
  <c r="AC236"/>
  <c r="AC237"/>
  <c r="AD236"/>
  <c r="AD237"/>
  <c r="AM220"/>
  <c r="AM221"/>
  <c r="AM222"/>
  <c r="AM223"/>
  <c r="AM224"/>
  <c r="AM225"/>
  <c r="AM226"/>
  <c r="AM227"/>
  <c r="AM228"/>
  <c r="AM229"/>
  <c r="AM230"/>
  <c r="AM231"/>
  <c r="AM232"/>
  <c r="AM233"/>
  <c r="AM234"/>
  <c r="AM235"/>
  <c r="AI222"/>
  <c r="AJ222"/>
  <c r="AK222"/>
  <c r="AI223"/>
  <c r="AJ223"/>
  <c r="AK223"/>
  <c r="AI224"/>
  <c r="AJ224"/>
  <c r="AK224"/>
  <c r="AI225"/>
  <c r="AJ225"/>
  <c r="AK225"/>
  <c r="AI226"/>
  <c r="AJ226"/>
  <c r="AK226"/>
  <c r="AI227"/>
  <c r="AJ227"/>
  <c r="AK227"/>
  <c r="AI228"/>
  <c r="AJ228"/>
  <c r="AK228"/>
  <c r="AI229"/>
  <c r="AJ229"/>
  <c r="AK229"/>
  <c r="AI230"/>
  <c r="AJ230"/>
  <c r="AK230"/>
  <c r="AI231"/>
  <c r="AJ231"/>
  <c r="AK231"/>
  <c r="AI232"/>
  <c r="AJ232"/>
  <c r="AK232"/>
  <c r="AI233"/>
  <c r="AJ233"/>
  <c r="AK233"/>
  <c r="AI234"/>
  <c r="AJ234"/>
  <c r="AK234"/>
  <c r="AI235"/>
  <c r="AJ235"/>
  <c r="AK235"/>
  <c r="U220"/>
  <c r="V220"/>
  <c r="W220"/>
  <c r="AL220"/>
  <c r="AN220" s="1"/>
  <c r="AV220" s="1"/>
  <c r="X220"/>
  <c r="Y220"/>
  <c r="Z220"/>
  <c r="AA220"/>
  <c r="AB220"/>
  <c r="AC220"/>
  <c r="AD220"/>
  <c r="AE220"/>
  <c r="AF220"/>
  <c r="AG220"/>
  <c r="AH220"/>
  <c r="AI220"/>
  <c r="AJ220"/>
  <c r="U221"/>
  <c r="V221"/>
  <c r="W221"/>
  <c r="X221"/>
  <c r="Y221"/>
  <c r="Z221"/>
  <c r="AA221"/>
  <c r="AB221"/>
  <c r="AC221"/>
  <c r="AD221"/>
  <c r="AE221"/>
  <c r="AF221"/>
  <c r="AG221"/>
  <c r="AH221"/>
  <c r="AI221"/>
  <c r="AJ221"/>
  <c r="U222"/>
  <c r="V222"/>
  <c r="W222"/>
  <c r="X222"/>
  <c r="Y222"/>
  <c r="Z222"/>
  <c r="AA222"/>
  <c r="AB222"/>
  <c r="AC222"/>
  <c r="AD222"/>
  <c r="AE222"/>
  <c r="AF222"/>
  <c r="AG222"/>
  <c r="AH222"/>
  <c r="U223"/>
  <c r="V223"/>
  <c r="W223"/>
  <c r="X223"/>
  <c r="Y223"/>
  <c r="Z223"/>
  <c r="AA223"/>
  <c r="AB223"/>
  <c r="AC223"/>
  <c r="AD223"/>
  <c r="AE223"/>
  <c r="AF223"/>
  <c r="AG223"/>
  <c r="AH223"/>
  <c r="U224"/>
  <c r="V224"/>
  <c r="W224"/>
  <c r="X224"/>
  <c r="Y224"/>
  <c r="Z224"/>
  <c r="AA224"/>
  <c r="AB224"/>
  <c r="AC224"/>
  <c r="AD224"/>
  <c r="AE224"/>
  <c r="AF224"/>
  <c r="AG224"/>
  <c r="AH224"/>
  <c r="U225"/>
  <c r="V225"/>
  <c r="W225"/>
  <c r="X225"/>
  <c r="Y225"/>
  <c r="Z225"/>
  <c r="AA225"/>
  <c r="AB225"/>
  <c r="AC225"/>
  <c r="AD225"/>
  <c r="AE225"/>
  <c r="AF225"/>
  <c r="AG225"/>
  <c r="AH225"/>
  <c r="U226"/>
  <c r="V226"/>
  <c r="W226"/>
  <c r="X226"/>
  <c r="Y226"/>
  <c r="Z226"/>
  <c r="AA226"/>
  <c r="AB226"/>
  <c r="AC226"/>
  <c r="AD226"/>
  <c r="AE226"/>
  <c r="AF226"/>
  <c r="AG226"/>
  <c r="AH226"/>
  <c r="U227"/>
  <c r="V227"/>
  <c r="W227"/>
  <c r="X227"/>
  <c r="Y227"/>
  <c r="Z227"/>
  <c r="AA227"/>
  <c r="AB227"/>
  <c r="AC227"/>
  <c r="AD227"/>
  <c r="AE227"/>
  <c r="AF227"/>
  <c r="AG227"/>
  <c r="AH227"/>
  <c r="U228"/>
  <c r="V228"/>
  <c r="W228"/>
  <c r="X228"/>
  <c r="Y228"/>
  <c r="Z228"/>
  <c r="AA228"/>
  <c r="AB228"/>
  <c r="AC228"/>
  <c r="AD228"/>
  <c r="AE228"/>
  <c r="AF228"/>
  <c r="AG228"/>
  <c r="AH228"/>
  <c r="U229"/>
  <c r="V229"/>
  <c r="W229"/>
  <c r="X229"/>
  <c r="Y229"/>
  <c r="Z229"/>
  <c r="AA229"/>
  <c r="AB229"/>
  <c r="AC229"/>
  <c r="AD229"/>
  <c r="AE229"/>
  <c r="AF229"/>
  <c r="AG229"/>
  <c r="AH229"/>
  <c r="U230"/>
  <c r="V230"/>
  <c r="W230"/>
  <c r="X230"/>
  <c r="Y230"/>
  <c r="Z230"/>
  <c r="AA230"/>
  <c r="AB230"/>
  <c r="AC230"/>
  <c r="AD230"/>
  <c r="AE230"/>
  <c r="AF230"/>
  <c r="AG230"/>
  <c r="AH230"/>
  <c r="U231"/>
  <c r="V231"/>
  <c r="W231"/>
  <c r="X231"/>
  <c r="Y231"/>
  <c r="Z231"/>
  <c r="AA231"/>
  <c r="AB231"/>
  <c r="AC231"/>
  <c r="AD231"/>
  <c r="AE231"/>
  <c r="AF231"/>
  <c r="AG231"/>
  <c r="AH231"/>
  <c r="U232"/>
  <c r="V232"/>
  <c r="W232"/>
  <c r="X232"/>
  <c r="Y232"/>
  <c r="Z232"/>
  <c r="AA232"/>
  <c r="AB232"/>
  <c r="AC232"/>
  <c r="AD232"/>
  <c r="AE232"/>
  <c r="AF232"/>
  <c r="AG232"/>
  <c r="AH232"/>
  <c r="U233"/>
  <c r="V233"/>
  <c r="W233"/>
  <c r="X233"/>
  <c r="Y233"/>
  <c r="Z233"/>
  <c r="AA233"/>
  <c r="AB233"/>
  <c r="AC233"/>
  <c r="AD233"/>
  <c r="AE233"/>
  <c r="AF233"/>
  <c r="AG233"/>
  <c r="AH233"/>
  <c r="U234"/>
  <c r="V234"/>
  <c r="W234"/>
  <c r="X234"/>
  <c r="Y234"/>
  <c r="Z234"/>
  <c r="AA234"/>
  <c r="AB234"/>
  <c r="AC234"/>
  <c r="AD234"/>
  <c r="AE234"/>
  <c r="AF234"/>
  <c r="AG234"/>
  <c r="AH234"/>
  <c r="U235"/>
  <c r="V235"/>
  <c r="W235"/>
  <c r="X235"/>
  <c r="Y235"/>
  <c r="AL235"/>
  <c r="AN235" s="1"/>
  <c r="AV235" s="1"/>
  <c r="Z235"/>
  <c r="AA235"/>
  <c r="AB235"/>
  <c r="AC235"/>
  <c r="AD235"/>
  <c r="AE235"/>
  <c r="AF235"/>
  <c r="AG235"/>
  <c r="AH235"/>
  <c r="S222"/>
  <c r="S223"/>
  <c r="S224"/>
  <c r="S225"/>
  <c r="S226"/>
  <c r="S227"/>
  <c r="S228"/>
  <c r="S229"/>
  <c r="S230"/>
  <c r="S231"/>
  <c r="S232"/>
  <c r="S233"/>
  <c r="S234"/>
  <c r="S235"/>
  <c r="T222"/>
  <c r="T223"/>
  <c r="T224"/>
  <c r="T225"/>
  <c r="T226"/>
  <c r="AL226"/>
  <c r="AN226" s="1"/>
  <c r="AV226" s="1"/>
  <c r="T227"/>
  <c r="AL227"/>
  <c r="AN227" s="1"/>
  <c r="AV227" s="1"/>
  <c r="T228"/>
  <c r="T229"/>
  <c r="T230"/>
  <c r="T231"/>
  <c r="T232"/>
  <c r="T233"/>
  <c r="T234"/>
  <c r="T235"/>
  <c r="AM219"/>
  <c r="AK220"/>
  <c r="AK221"/>
  <c r="S221"/>
  <c r="T221"/>
  <c r="S220"/>
  <c r="T220"/>
  <c r="AM217"/>
  <c r="AM218"/>
  <c r="W217"/>
  <c r="X217"/>
  <c r="Y217"/>
  <c r="Z217"/>
  <c r="AA217"/>
  <c r="AB217"/>
  <c r="AC217"/>
  <c r="AD217"/>
  <c r="AE217"/>
  <c r="AF217"/>
  <c r="AG217"/>
  <c r="AH217"/>
  <c r="AI217"/>
  <c r="AJ217"/>
  <c r="AK217"/>
  <c r="W218"/>
  <c r="X218"/>
  <c r="Y218"/>
  <c r="Z218"/>
  <c r="AA218"/>
  <c r="AB218"/>
  <c r="AC218"/>
  <c r="AD218"/>
  <c r="AE218"/>
  <c r="AF218"/>
  <c r="AG218"/>
  <c r="AH218"/>
  <c r="AI218"/>
  <c r="AJ218"/>
  <c r="AK218"/>
  <c r="W219"/>
  <c r="X219"/>
  <c r="Y219"/>
  <c r="Z219"/>
  <c r="AA219"/>
  <c r="AB219"/>
  <c r="AC219"/>
  <c r="AD219"/>
  <c r="AE219"/>
  <c r="AF219"/>
  <c r="AG219"/>
  <c r="AH219"/>
  <c r="AI219"/>
  <c r="AJ219"/>
  <c r="AK219"/>
  <c r="S219"/>
  <c r="T219"/>
  <c r="V219"/>
  <c r="S217"/>
  <c r="T217"/>
  <c r="V217"/>
  <c r="AL217"/>
  <c r="AN217" s="1"/>
  <c r="AV217" s="1"/>
  <c r="S218"/>
  <c r="T218"/>
  <c r="V218"/>
  <c r="AL218"/>
  <c r="AN218" s="1"/>
  <c r="AV218"/>
  <c r="R218"/>
  <c r="S216"/>
  <c r="T216"/>
  <c r="U216"/>
  <c r="V216"/>
  <c r="W216"/>
  <c r="X216"/>
  <c r="Y216"/>
  <c r="Z216"/>
  <c r="AA216"/>
  <c r="AB216"/>
  <c r="AC216"/>
  <c r="AD216"/>
  <c r="AE216"/>
  <c r="AF216"/>
  <c r="AG216"/>
  <c r="AH216"/>
  <c r="AI216"/>
  <c r="AJ216"/>
  <c r="AK216"/>
  <c r="AM216"/>
  <c r="AM211"/>
  <c r="AM212"/>
  <c r="AM213"/>
  <c r="AM214"/>
  <c r="AM215"/>
  <c r="T212"/>
  <c r="U212"/>
  <c r="V212"/>
  <c r="W212"/>
  <c r="X212"/>
  <c r="Y212"/>
  <c r="Z212"/>
  <c r="AA212"/>
  <c r="AB212"/>
  <c r="AC212"/>
  <c r="AD212"/>
  <c r="AE212"/>
  <c r="AF212"/>
  <c r="AG212"/>
  <c r="AH212"/>
  <c r="AI212"/>
  <c r="AJ212"/>
  <c r="AK212"/>
  <c r="T213"/>
  <c r="U213"/>
  <c r="V213"/>
  <c r="W213"/>
  <c r="X213"/>
  <c r="Y213"/>
  <c r="Z213"/>
  <c r="AA213"/>
  <c r="AB213"/>
  <c r="AC213"/>
  <c r="AD213"/>
  <c r="AE213"/>
  <c r="AF213"/>
  <c r="AG213"/>
  <c r="AH213"/>
  <c r="AI213"/>
  <c r="AJ213"/>
  <c r="AK213"/>
  <c r="T214"/>
  <c r="U214"/>
  <c r="AL214"/>
  <c r="AN214" s="1"/>
  <c r="AV214" s="1"/>
  <c r="V214"/>
  <c r="W214"/>
  <c r="X214"/>
  <c r="Y214"/>
  <c r="Z214"/>
  <c r="AA214"/>
  <c r="AB214"/>
  <c r="AC214"/>
  <c r="AD214"/>
  <c r="AE214"/>
  <c r="AF214"/>
  <c r="AG214"/>
  <c r="AH214"/>
  <c r="AI214"/>
  <c r="AJ214"/>
  <c r="AK214"/>
  <c r="T215"/>
  <c r="U215"/>
  <c r="V215"/>
  <c r="W215"/>
  <c r="X215"/>
  <c r="Y215"/>
  <c r="Z215"/>
  <c r="AA215"/>
  <c r="AB215"/>
  <c r="AC215"/>
  <c r="AD215"/>
  <c r="AE215"/>
  <c r="AF215"/>
  <c r="AG215"/>
  <c r="AH215"/>
  <c r="AI215"/>
  <c r="AJ215"/>
  <c r="AK215"/>
  <c r="S212"/>
  <c r="S213"/>
  <c r="S214"/>
  <c r="S215"/>
  <c r="Y208"/>
  <c r="Z208"/>
  <c r="AA208"/>
  <c r="AB208"/>
  <c r="AC208"/>
  <c r="AD208"/>
  <c r="AE208"/>
  <c r="AF208"/>
  <c r="AG208"/>
  <c r="AH208"/>
  <c r="AI208"/>
  <c r="AJ208"/>
  <c r="AK208"/>
  <c r="Y209"/>
  <c r="Z209"/>
  <c r="AA209"/>
  <c r="AB209"/>
  <c r="AC209"/>
  <c r="AD209"/>
  <c r="AE209"/>
  <c r="AF209"/>
  <c r="AG209"/>
  <c r="AH209"/>
  <c r="AI209"/>
  <c r="AJ209"/>
  <c r="AK209"/>
  <c r="AL209"/>
  <c r="AN209" s="1"/>
  <c r="AV209" s="1"/>
  <c r="Y210"/>
  <c r="Z210"/>
  <c r="AA210"/>
  <c r="AB210"/>
  <c r="AC210"/>
  <c r="AD210"/>
  <c r="AE210"/>
  <c r="AF210"/>
  <c r="AG210"/>
  <c r="AH210"/>
  <c r="AI210"/>
  <c r="AJ210"/>
  <c r="AK210"/>
  <c r="Y211"/>
  <c r="Z211"/>
  <c r="AA211"/>
  <c r="AB211"/>
  <c r="AC211"/>
  <c r="AD211"/>
  <c r="AE211"/>
  <c r="AF211"/>
  <c r="AG211"/>
  <c r="AH211"/>
  <c r="AI211"/>
  <c r="AJ211"/>
  <c r="AK211"/>
  <c r="AM205"/>
  <c r="AM206"/>
  <c r="AM207"/>
  <c r="AM208"/>
  <c r="AM209"/>
  <c r="AM210"/>
  <c r="X208"/>
  <c r="X209"/>
  <c r="X210"/>
  <c r="X211"/>
  <c r="AM204"/>
  <c r="Z205"/>
  <c r="AA205"/>
  <c r="AB205"/>
  <c r="AC205"/>
  <c r="AD205"/>
  <c r="AE205"/>
  <c r="AF205"/>
  <c r="AG205"/>
  <c r="AH205"/>
  <c r="AI205"/>
  <c r="AJ205"/>
  <c r="AK205"/>
  <c r="Z206"/>
  <c r="AA206"/>
  <c r="AB206"/>
  <c r="AC206"/>
  <c r="AD206"/>
  <c r="AE206"/>
  <c r="AF206"/>
  <c r="AG206"/>
  <c r="AH206"/>
  <c r="AI206"/>
  <c r="AJ206"/>
  <c r="AK206"/>
  <c r="Z207"/>
  <c r="AA207"/>
  <c r="AB207"/>
  <c r="AC207"/>
  <c r="AD207"/>
  <c r="AE207"/>
  <c r="AF207"/>
  <c r="AG207"/>
  <c r="AH207"/>
  <c r="AI207"/>
  <c r="AJ207"/>
  <c r="AK207"/>
  <c r="W206"/>
  <c r="W207"/>
  <c r="X206"/>
  <c r="X207"/>
  <c r="Y206"/>
  <c r="Y207"/>
  <c r="U207"/>
  <c r="T207"/>
  <c r="S207"/>
  <c r="U206"/>
  <c r="T206"/>
  <c r="S206"/>
  <c r="AL206"/>
  <c r="AN206" s="1"/>
  <c r="AV206" s="1"/>
  <c r="U205"/>
  <c r="T205"/>
  <c r="S205"/>
  <c r="U204"/>
  <c r="T204"/>
  <c r="S204"/>
  <c r="U203"/>
  <c r="T203"/>
  <c r="S203"/>
  <c r="U202"/>
  <c r="T202"/>
  <c r="S202"/>
  <c r="U201"/>
  <c r="T201"/>
  <c r="S201"/>
  <c r="U200"/>
  <c r="T200"/>
  <c r="S200"/>
  <c r="U199"/>
  <c r="T199"/>
  <c r="S199"/>
  <c r="U198"/>
  <c r="T198"/>
  <c r="S198"/>
  <c r="U197"/>
  <c r="T197"/>
  <c r="S197"/>
  <c r="U196"/>
  <c r="T196"/>
  <c r="S196"/>
  <c r="U195"/>
  <c r="T195"/>
  <c r="U194"/>
  <c r="T194"/>
  <c r="S194"/>
  <c r="U193"/>
  <c r="T193"/>
  <c r="U192"/>
  <c r="T192"/>
  <c r="S192"/>
  <c r="U191"/>
  <c r="AL191"/>
  <c r="AN191" s="1"/>
  <c r="AV191" s="1"/>
  <c r="T191"/>
  <c r="AB190"/>
  <c r="AA190"/>
  <c r="Z190"/>
  <c r="Y190"/>
  <c r="X190"/>
  <c r="W190"/>
  <c r="V190"/>
  <c r="U190"/>
  <c r="T190"/>
  <c r="S190"/>
  <c r="AB189"/>
  <c r="AA189"/>
  <c r="Z189"/>
  <c r="Y189"/>
  <c r="X189"/>
  <c r="W189"/>
  <c r="V189"/>
  <c r="U189"/>
  <c r="T189"/>
  <c r="S189"/>
  <c r="AB188"/>
  <c r="AA188"/>
  <c r="Z188"/>
  <c r="Y188"/>
  <c r="X188"/>
  <c r="W188"/>
  <c r="V188"/>
  <c r="U188"/>
  <c r="T188"/>
  <c r="AL188"/>
  <c r="AN188" s="1"/>
  <c r="AV188" s="1"/>
  <c r="S188"/>
  <c r="AB187"/>
  <c r="AA187"/>
  <c r="Z187"/>
  <c r="Y187"/>
  <c r="X187"/>
  <c r="W187"/>
  <c r="AL187"/>
  <c r="AN187" s="1"/>
  <c r="AV187" s="1"/>
  <c r="V187"/>
  <c r="U187"/>
  <c r="T187"/>
  <c r="S187"/>
  <c r="AB186"/>
  <c r="AA186"/>
  <c r="Z186"/>
  <c r="Y186"/>
  <c r="X186"/>
  <c r="W186"/>
  <c r="V186"/>
  <c r="U186"/>
  <c r="T186"/>
  <c r="S186"/>
  <c r="AB185"/>
  <c r="AA185"/>
  <c r="Z185"/>
  <c r="Y185"/>
  <c r="X185"/>
  <c r="W185"/>
  <c r="V185"/>
  <c r="U185"/>
  <c r="T185"/>
  <c r="S185"/>
  <c r="AB184"/>
  <c r="AA184"/>
  <c r="Z184"/>
  <c r="Y184"/>
  <c r="X184"/>
  <c r="W184"/>
  <c r="V184"/>
  <c r="U184"/>
  <c r="T184"/>
  <c r="S184"/>
  <c r="AB183"/>
  <c r="AA183"/>
  <c r="Z183"/>
  <c r="Y183"/>
  <c r="X183"/>
  <c r="W183"/>
  <c r="V183"/>
  <c r="U183"/>
  <c r="T183"/>
  <c r="S183"/>
  <c r="AM154"/>
  <c r="AM155"/>
  <c r="AM156"/>
  <c r="AM157"/>
  <c r="AM158"/>
  <c r="AM159"/>
  <c r="AM160"/>
  <c r="AM161"/>
  <c r="AM162"/>
  <c r="S141"/>
  <c r="T141"/>
  <c r="U141"/>
  <c r="V141"/>
  <c r="W141"/>
  <c r="X141"/>
  <c r="Y141"/>
  <c r="Z141"/>
  <c r="AA141"/>
  <c r="AB141"/>
  <c r="AC141"/>
  <c r="AD141"/>
  <c r="AE141"/>
  <c r="AF141"/>
  <c r="AG141"/>
  <c r="AH141"/>
  <c r="AI141"/>
  <c r="AJ141"/>
  <c r="AK141"/>
  <c r="AM141"/>
  <c r="S130"/>
  <c r="T130"/>
  <c r="U130"/>
  <c r="V130"/>
  <c r="W130"/>
  <c r="X130"/>
  <c r="Y130"/>
  <c r="Z130"/>
  <c r="AA130"/>
  <c r="AB130"/>
  <c r="AC130"/>
  <c r="AD130"/>
  <c r="AE130"/>
  <c r="AF130"/>
  <c r="AG130"/>
  <c r="AH130"/>
  <c r="AI130"/>
  <c r="AJ130"/>
  <c r="AK130"/>
  <c r="S131"/>
  <c r="T131"/>
  <c r="U131"/>
  <c r="V131"/>
  <c r="W131"/>
  <c r="X131"/>
  <c r="Y131"/>
  <c r="Z131"/>
  <c r="AA131"/>
  <c r="AB131"/>
  <c r="AC131"/>
  <c r="AD131"/>
  <c r="AE131"/>
  <c r="AF131"/>
  <c r="AG131"/>
  <c r="AH131"/>
  <c r="AI131"/>
  <c r="AJ131"/>
  <c r="AK131"/>
  <c r="AM129"/>
  <c r="AM130"/>
  <c r="AM131"/>
  <c r="AM104"/>
  <c r="AM105"/>
  <c r="AM106"/>
  <c r="AM107"/>
  <c r="AM108"/>
  <c r="AM109"/>
  <c r="AM110"/>
  <c r="AM111"/>
  <c r="AM112"/>
  <c r="X21"/>
  <c r="Y21"/>
  <c r="Z21"/>
  <c r="AA21"/>
  <c r="AB21"/>
  <c r="AC21"/>
  <c r="AD21"/>
  <c r="AE21"/>
  <c r="AF21"/>
  <c r="AG21"/>
  <c r="AL21"/>
  <c r="AN21" s="1"/>
  <c r="AV21" s="1"/>
  <c r="AH21"/>
  <c r="AI21"/>
  <c r="AJ21"/>
  <c r="AK21"/>
  <c r="AM21"/>
  <c r="R22"/>
  <c r="S22"/>
  <c r="T22"/>
  <c r="U22"/>
  <c r="V22"/>
  <c r="X22"/>
  <c r="Y22"/>
  <c r="Z22"/>
  <c r="AA22"/>
  <c r="AB22"/>
  <c r="AC22"/>
  <c r="AD22"/>
  <c r="AE22"/>
  <c r="AF22"/>
  <c r="AG22"/>
  <c r="AH22"/>
  <c r="AI22"/>
  <c r="AJ22"/>
  <c r="AK22"/>
  <c r="AM22"/>
  <c r="R23"/>
  <c r="S23"/>
  <c r="T23"/>
  <c r="U23"/>
  <c r="V23"/>
  <c r="X23"/>
  <c r="Y23"/>
  <c r="Z23"/>
  <c r="AA23"/>
  <c r="AB23"/>
  <c r="AC23"/>
  <c r="AD23"/>
  <c r="AE23"/>
  <c r="AF23"/>
  <c r="AG23"/>
  <c r="AH23"/>
  <c r="AI23"/>
  <c r="AJ23"/>
  <c r="AK23"/>
  <c r="AM23"/>
  <c r="R24"/>
  <c r="S24"/>
  <c r="T24"/>
  <c r="AL24"/>
  <c r="AN24" s="1"/>
  <c r="AV24" s="1"/>
  <c r="U24"/>
  <c r="V24"/>
  <c r="X24"/>
  <c r="Y24"/>
  <c r="Z24"/>
  <c r="AA24"/>
  <c r="AB24"/>
  <c r="AC24"/>
  <c r="AD24"/>
  <c r="AE24"/>
  <c r="AF24"/>
  <c r="AG24"/>
  <c r="AH24"/>
  <c r="AI24"/>
  <c r="AJ24"/>
  <c r="AK24"/>
  <c r="AM24"/>
  <c r="R25"/>
  <c r="AL25"/>
  <c r="AN25" s="1"/>
  <c r="AV25" s="1"/>
  <c r="S25"/>
  <c r="T25"/>
  <c r="U25"/>
  <c r="V25"/>
  <c r="X25"/>
  <c r="Y25"/>
  <c r="Z25"/>
  <c r="AA25"/>
  <c r="AB25"/>
  <c r="AC25"/>
  <c r="AD25"/>
  <c r="AE25"/>
  <c r="AF25"/>
  <c r="AG25"/>
  <c r="AH25"/>
  <c r="AI25"/>
  <c r="AJ25"/>
  <c r="AK25"/>
  <c r="AM25"/>
  <c r="R26"/>
  <c r="S26"/>
  <c r="T26"/>
  <c r="U26"/>
  <c r="V26"/>
  <c r="X26"/>
  <c r="Y26"/>
  <c r="Z26"/>
  <c r="AA26"/>
  <c r="AB26"/>
  <c r="AC26"/>
  <c r="AD26"/>
  <c r="AE26"/>
  <c r="AF26"/>
  <c r="AG26"/>
  <c r="AH26"/>
  <c r="AI26"/>
  <c r="AJ26"/>
  <c r="AK26"/>
  <c r="AM26"/>
  <c r="R27"/>
  <c r="S27"/>
  <c r="T27"/>
  <c r="U27"/>
  <c r="V27"/>
  <c r="X27"/>
  <c r="Y27"/>
  <c r="AL27"/>
  <c r="AN27" s="1"/>
  <c r="AV27" s="1"/>
  <c r="Z27"/>
  <c r="AA27"/>
  <c r="AB27"/>
  <c r="AC27"/>
  <c r="AD27"/>
  <c r="AE27"/>
  <c r="AF27"/>
  <c r="AG27"/>
  <c r="AH27"/>
  <c r="AI27"/>
  <c r="AJ27"/>
  <c r="AK27"/>
  <c r="AM27"/>
  <c r="R28"/>
  <c r="S28"/>
  <c r="T28"/>
  <c r="U28"/>
  <c r="V28"/>
  <c r="X28"/>
  <c r="Y28"/>
  <c r="Z28"/>
  <c r="AA28"/>
  <c r="AB28"/>
  <c r="AC28"/>
  <c r="AD28"/>
  <c r="AE28"/>
  <c r="AF28"/>
  <c r="AG28"/>
  <c r="AH28"/>
  <c r="AI28"/>
  <c r="AJ28"/>
  <c r="AK28"/>
  <c r="AM28"/>
  <c r="R29"/>
  <c r="S29"/>
  <c r="T29"/>
  <c r="U29"/>
  <c r="V29"/>
  <c r="X29"/>
  <c r="Y29"/>
  <c r="Z29"/>
  <c r="AA29"/>
  <c r="AB29"/>
  <c r="AC29"/>
  <c r="AD29"/>
  <c r="AE29"/>
  <c r="AF29"/>
  <c r="AG29"/>
  <c r="AH29"/>
  <c r="AI29"/>
  <c r="AJ29"/>
  <c r="AK29"/>
  <c r="AM29"/>
  <c r="R30"/>
  <c r="S30"/>
  <c r="T30"/>
  <c r="U30"/>
  <c r="V30"/>
  <c r="X30"/>
  <c r="Y30"/>
  <c r="Z30"/>
  <c r="AA30"/>
  <c r="AB30"/>
  <c r="AC30"/>
  <c r="AD30"/>
  <c r="AE30"/>
  <c r="AF30"/>
  <c r="AG30"/>
  <c r="AH30"/>
  <c r="AI30"/>
  <c r="AJ30"/>
  <c r="AK30"/>
  <c r="AM30"/>
  <c r="R31"/>
  <c r="S31"/>
  <c r="T31"/>
  <c r="U31"/>
  <c r="V31"/>
  <c r="X31"/>
  <c r="Y31"/>
  <c r="AL31"/>
  <c r="AN31" s="1"/>
  <c r="AV31" s="1"/>
  <c r="Z31"/>
  <c r="AA31"/>
  <c r="AB31"/>
  <c r="AC31"/>
  <c r="AD31"/>
  <c r="AE31"/>
  <c r="AF31"/>
  <c r="AG31"/>
  <c r="AH31"/>
  <c r="AI31"/>
  <c r="AJ31"/>
  <c r="AK31"/>
  <c r="AM31"/>
  <c r="R32"/>
  <c r="S32"/>
  <c r="T32"/>
  <c r="AL32"/>
  <c r="AN32" s="1"/>
  <c r="AV32" s="1"/>
  <c r="U32"/>
  <c r="V32"/>
  <c r="X32"/>
  <c r="Y32"/>
  <c r="Z32"/>
  <c r="AA32"/>
  <c r="AB32"/>
  <c r="AC32"/>
  <c r="AD32"/>
  <c r="AE32"/>
  <c r="AF32"/>
  <c r="AG32"/>
  <c r="AH32"/>
  <c r="AI32"/>
  <c r="AJ32"/>
  <c r="AK32"/>
  <c r="AM32"/>
  <c r="R33"/>
  <c r="S33"/>
  <c r="T33"/>
  <c r="U33"/>
  <c r="V33"/>
  <c r="X33"/>
  <c r="Y33"/>
  <c r="Z33"/>
  <c r="AA33"/>
  <c r="AB33"/>
  <c r="AC33"/>
  <c r="AD33"/>
  <c r="AE33"/>
  <c r="AF33"/>
  <c r="AG33"/>
  <c r="AH33"/>
  <c r="AI33"/>
  <c r="AJ33"/>
  <c r="AK33"/>
  <c r="AM33"/>
  <c r="R34"/>
  <c r="S34"/>
  <c r="T34"/>
  <c r="U34"/>
  <c r="V34"/>
  <c r="X34"/>
  <c r="Y34"/>
  <c r="Z34"/>
  <c r="AA34"/>
  <c r="AB34"/>
  <c r="AC34"/>
  <c r="AD34"/>
  <c r="AE34"/>
  <c r="AF34"/>
  <c r="AG34"/>
  <c r="AH34"/>
  <c r="AI34"/>
  <c r="AJ34"/>
  <c r="AK34"/>
  <c r="AM34"/>
  <c r="R35"/>
  <c r="S35"/>
  <c r="T35"/>
  <c r="U35"/>
  <c r="V35"/>
  <c r="X35"/>
  <c r="Y35"/>
  <c r="Z35"/>
  <c r="AA35"/>
  <c r="AB35"/>
  <c r="AC35"/>
  <c r="AD35"/>
  <c r="AE35"/>
  <c r="AF35"/>
  <c r="AG35"/>
  <c r="AH35"/>
  <c r="AI35"/>
  <c r="AJ35"/>
  <c r="AK35"/>
  <c r="AM35"/>
  <c r="R36"/>
  <c r="S36"/>
  <c r="T36"/>
  <c r="AL36"/>
  <c r="AN36" s="1"/>
  <c r="AV36" s="1"/>
  <c r="U36"/>
  <c r="V36"/>
  <c r="X36"/>
  <c r="Y36"/>
  <c r="Z36"/>
  <c r="AA36"/>
  <c r="AB36"/>
  <c r="AC36"/>
  <c r="AD36"/>
  <c r="AE36"/>
  <c r="AF36"/>
  <c r="AG36"/>
  <c r="AH36"/>
  <c r="AI36"/>
  <c r="AJ36"/>
  <c r="AK36"/>
  <c r="AM36"/>
  <c r="R37"/>
  <c r="AL37"/>
  <c r="AN37" s="1"/>
  <c r="AV37" s="1"/>
  <c r="S37"/>
  <c r="T37"/>
  <c r="U37"/>
  <c r="V37"/>
  <c r="X37"/>
  <c r="Y37"/>
  <c r="Z37"/>
  <c r="AA37"/>
  <c r="AB37"/>
  <c r="AC37"/>
  <c r="AD37"/>
  <c r="AE37"/>
  <c r="AF37"/>
  <c r="AG37"/>
  <c r="AH37"/>
  <c r="AI37"/>
  <c r="AJ37"/>
  <c r="AK37"/>
  <c r="AM37"/>
  <c r="R38"/>
  <c r="AL38"/>
  <c r="AN38"/>
  <c r="AV38" s="1"/>
  <c r="S38"/>
  <c r="T38"/>
  <c r="U38"/>
  <c r="V38"/>
  <c r="X38"/>
  <c r="Y38"/>
  <c r="Z38"/>
  <c r="AA38"/>
  <c r="AB38"/>
  <c r="AC38"/>
  <c r="AD38"/>
  <c r="AE38"/>
  <c r="AF38"/>
  <c r="AG38"/>
  <c r="AH38"/>
  <c r="AI38"/>
  <c r="AJ38"/>
  <c r="AK38"/>
  <c r="AM38"/>
  <c r="R39"/>
  <c r="S39"/>
  <c r="T39"/>
  <c r="U39"/>
  <c r="V39"/>
  <c r="X39"/>
  <c r="Y39"/>
  <c r="Z39"/>
  <c r="AA39"/>
  <c r="AB39"/>
  <c r="AC39"/>
  <c r="AD39"/>
  <c r="AE39"/>
  <c r="AF39"/>
  <c r="AG39"/>
  <c r="AH39"/>
  <c r="AI39"/>
  <c r="AJ39"/>
  <c r="AK39"/>
  <c r="AM39"/>
  <c r="R40"/>
  <c r="S40"/>
  <c r="T40"/>
  <c r="U40"/>
  <c r="V40"/>
  <c r="X40"/>
  <c r="Y40"/>
  <c r="Z40"/>
  <c r="AA40"/>
  <c r="AB40"/>
  <c r="AC40"/>
  <c r="AD40"/>
  <c r="AE40"/>
  <c r="AF40"/>
  <c r="AG40"/>
  <c r="AH40"/>
  <c r="AI40"/>
  <c r="AJ40"/>
  <c r="AK40"/>
  <c r="AM40"/>
  <c r="R41"/>
  <c r="S41"/>
  <c r="T41"/>
  <c r="U41"/>
  <c r="V41"/>
  <c r="X41"/>
  <c r="Y41"/>
  <c r="Z41"/>
  <c r="AA41"/>
  <c r="AB41"/>
  <c r="AC41"/>
  <c r="AD41"/>
  <c r="AE41"/>
  <c r="AF41"/>
  <c r="AG41"/>
  <c r="AH41"/>
  <c r="AI41"/>
  <c r="AJ41"/>
  <c r="AK41"/>
  <c r="AM41"/>
  <c r="R42"/>
  <c r="S42"/>
  <c r="T42"/>
  <c r="U42"/>
  <c r="V42"/>
  <c r="X42"/>
  <c r="Y42"/>
  <c r="Z42"/>
  <c r="AA42"/>
  <c r="AB42"/>
  <c r="AC42"/>
  <c r="AD42"/>
  <c r="AE42"/>
  <c r="AF42"/>
  <c r="AG42"/>
  <c r="AH42"/>
  <c r="AI42"/>
  <c r="AJ42"/>
  <c r="AK42"/>
  <c r="AM42"/>
  <c r="R43"/>
  <c r="S43"/>
  <c r="T43"/>
  <c r="U43"/>
  <c r="V43"/>
  <c r="X43"/>
  <c r="Y43"/>
  <c r="Z43"/>
  <c r="AA43"/>
  <c r="AB43"/>
  <c r="AC43"/>
  <c r="AD43"/>
  <c r="AE43"/>
  <c r="AF43"/>
  <c r="AG43"/>
  <c r="AH43"/>
  <c r="AI43"/>
  <c r="AJ43"/>
  <c r="AK43"/>
  <c r="AM43"/>
  <c r="R44"/>
  <c r="S44"/>
  <c r="T44"/>
  <c r="U44"/>
  <c r="V44"/>
  <c r="X44"/>
  <c r="Y44"/>
  <c r="Z44"/>
  <c r="AA44"/>
  <c r="AB44"/>
  <c r="AC44"/>
  <c r="AD44"/>
  <c r="AE44"/>
  <c r="AF44"/>
  <c r="AG44"/>
  <c r="AH44"/>
  <c r="AI44"/>
  <c r="AJ44"/>
  <c r="AK44"/>
  <c r="AM44"/>
  <c r="R45"/>
  <c r="S45"/>
  <c r="T45"/>
  <c r="AL45"/>
  <c r="AN45" s="1"/>
  <c r="AV45"/>
  <c r="U45"/>
  <c r="V45"/>
  <c r="X45"/>
  <c r="Y45"/>
  <c r="Z45"/>
  <c r="AA45"/>
  <c r="AB45"/>
  <c r="AC45"/>
  <c r="AD45"/>
  <c r="AE45"/>
  <c r="AF45"/>
  <c r="AG45"/>
  <c r="AH45"/>
  <c r="AI45"/>
  <c r="AJ45"/>
  <c r="AK45"/>
  <c r="AM45"/>
  <c r="R46"/>
  <c r="S46"/>
  <c r="T46"/>
  <c r="U46"/>
  <c r="V46"/>
  <c r="X46"/>
  <c r="Y46"/>
  <c r="Z46"/>
  <c r="AA46"/>
  <c r="AB46"/>
  <c r="AC46"/>
  <c r="AD46"/>
  <c r="AE46"/>
  <c r="AF46"/>
  <c r="AG46"/>
  <c r="AH46"/>
  <c r="AI46"/>
  <c r="AJ46"/>
  <c r="AK46"/>
  <c r="AM46"/>
  <c r="R47"/>
  <c r="S47"/>
  <c r="T47"/>
  <c r="U47"/>
  <c r="V47"/>
  <c r="X47"/>
  <c r="Y47"/>
  <c r="Z47"/>
  <c r="AA47"/>
  <c r="AB47"/>
  <c r="AC47"/>
  <c r="AD47"/>
  <c r="AE47"/>
  <c r="AF47"/>
  <c r="AG47"/>
  <c r="AH47"/>
  <c r="AI47"/>
  <c r="AJ47"/>
  <c r="AK47"/>
  <c r="AM47"/>
  <c r="R48"/>
  <c r="S48"/>
  <c r="T48"/>
  <c r="U48"/>
  <c r="V48"/>
  <c r="X48"/>
  <c r="Y48"/>
  <c r="Z48"/>
  <c r="AA48"/>
  <c r="AB48"/>
  <c r="AC48"/>
  <c r="AD48"/>
  <c r="AE48"/>
  <c r="AF48"/>
  <c r="AG48"/>
  <c r="AH48"/>
  <c r="AI48"/>
  <c r="AJ48"/>
  <c r="AK48"/>
  <c r="AM48"/>
  <c r="R49"/>
  <c r="AL49"/>
  <c r="AN49"/>
  <c r="AV49" s="1"/>
  <c r="S49"/>
  <c r="T49"/>
  <c r="U49"/>
  <c r="V49"/>
  <c r="X49"/>
  <c r="Y49"/>
  <c r="Z49"/>
  <c r="AA49"/>
  <c r="AB49"/>
  <c r="AC49"/>
  <c r="AD49"/>
  <c r="AE49"/>
  <c r="AF49"/>
  <c r="AG49"/>
  <c r="AH49"/>
  <c r="AI49"/>
  <c r="AJ49"/>
  <c r="AK49"/>
  <c r="AM49"/>
  <c r="R50"/>
  <c r="AL50"/>
  <c r="AN50" s="1"/>
  <c r="AV50" s="1"/>
  <c r="S50"/>
  <c r="T50"/>
  <c r="U50"/>
  <c r="V50"/>
  <c r="X50"/>
  <c r="Y50"/>
  <c r="Z50"/>
  <c r="AA50"/>
  <c r="AB50"/>
  <c r="AC50"/>
  <c r="AD50"/>
  <c r="AE50"/>
  <c r="AF50"/>
  <c r="AG50"/>
  <c r="AH50"/>
  <c r="AI50"/>
  <c r="AJ50"/>
  <c r="AK50"/>
  <c r="AM50"/>
  <c r="R51"/>
  <c r="S51"/>
  <c r="T51"/>
  <c r="U51"/>
  <c r="V51"/>
  <c r="X51"/>
  <c r="Y51"/>
  <c r="AL51"/>
  <c r="AN51" s="1"/>
  <c r="AV51" s="1"/>
  <c r="Z51"/>
  <c r="AA51"/>
  <c r="AB51"/>
  <c r="AC51"/>
  <c r="AD51"/>
  <c r="AE51"/>
  <c r="AF51"/>
  <c r="AG51"/>
  <c r="AH51"/>
  <c r="AI51"/>
  <c r="AJ51"/>
  <c r="AK51"/>
  <c r="AM51"/>
  <c r="R52"/>
  <c r="S52"/>
  <c r="T52"/>
  <c r="U52"/>
  <c r="V52"/>
  <c r="X52"/>
  <c r="Y52"/>
  <c r="Z52"/>
  <c r="AA52"/>
  <c r="AB52"/>
  <c r="AC52"/>
  <c r="AD52"/>
  <c r="AE52"/>
  <c r="AF52"/>
  <c r="AG52"/>
  <c r="AH52"/>
  <c r="AI52"/>
  <c r="AJ52"/>
  <c r="AK52"/>
  <c r="AM52"/>
  <c r="R53"/>
  <c r="S53"/>
  <c r="T53"/>
  <c r="U53"/>
  <c r="V53"/>
  <c r="X53"/>
  <c r="Y53"/>
  <c r="Z53"/>
  <c r="AA53"/>
  <c r="AB53"/>
  <c r="AC53"/>
  <c r="AD53"/>
  <c r="AE53"/>
  <c r="AF53"/>
  <c r="AG53"/>
  <c r="AH53"/>
  <c r="AI53"/>
  <c r="AJ53"/>
  <c r="AK53"/>
  <c r="AM53"/>
  <c r="R54"/>
  <c r="S54"/>
  <c r="T54"/>
  <c r="U54"/>
  <c r="V54"/>
  <c r="X54"/>
  <c r="Y54"/>
  <c r="Z54"/>
  <c r="AA54"/>
  <c r="AB54"/>
  <c r="AC54"/>
  <c r="AD54"/>
  <c r="AE54"/>
  <c r="AF54"/>
  <c r="AG54"/>
  <c r="AH54"/>
  <c r="AI54"/>
  <c r="AJ54"/>
  <c r="AK54"/>
  <c r="AM54"/>
  <c r="R55"/>
  <c r="S55"/>
  <c r="T55"/>
  <c r="U55"/>
  <c r="V55"/>
  <c r="X55"/>
  <c r="Y55"/>
  <c r="Z55"/>
  <c r="AA55"/>
  <c r="AB55"/>
  <c r="AC55"/>
  <c r="AD55"/>
  <c r="AE55"/>
  <c r="AF55"/>
  <c r="AG55"/>
  <c r="AH55"/>
  <c r="AI55"/>
  <c r="AJ55"/>
  <c r="AK55"/>
  <c r="AM55"/>
  <c r="R56"/>
  <c r="S56"/>
  <c r="T56"/>
  <c r="AL56"/>
  <c r="AN56" s="1"/>
  <c r="AV56" s="1"/>
  <c r="U56"/>
  <c r="V56"/>
  <c r="X56"/>
  <c r="Y56"/>
  <c r="Z56"/>
  <c r="AA56"/>
  <c r="AB56"/>
  <c r="AC56"/>
  <c r="AD56"/>
  <c r="AE56"/>
  <c r="AF56"/>
  <c r="AG56"/>
  <c r="AH56"/>
  <c r="AI56"/>
  <c r="AJ56"/>
  <c r="AK56"/>
  <c r="AM56"/>
  <c r="R57"/>
  <c r="S57"/>
  <c r="T57"/>
  <c r="U57"/>
  <c r="V57"/>
  <c r="X57"/>
  <c r="Y57"/>
  <c r="Z57"/>
  <c r="AA57"/>
  <c r="AB57"/>
  <c r="AC57"/>
  <c r="AD57"/>
  <c r="AE57"/>
  <c r="AF57"/>
  <c r="AG57"/>
  <c r="AH57"/>
  <c r="AI57"/>
  <c r="AJ57"/>
  <c r="AK57"/>
  <c r="AM57"/>
  <c r="R58"/>
  <c r="S58"/>
  <c r="T58"/>
  <c r="U58"/>
  <c r="V58"/>
  <c r="X58"/>
  <c r="Y58"/>
  <c r="Z58"/>
  <c r="AA58"/>
  <c r="AB58"/>
  <c r="AC58"/>
  <c r="AD58"/>
  <c r="AE58"/>
  <c r="AF58"/>
  <c r="AG58"/>
  <c r="AH58"/>
  <c r="AI58"/>
  <c r="AJ58"/>
  <c r="AK58"/>
  <c r="AM58"/>
  <c r="R59"/>
  <c r="S59"/>
  <c r="T59"/>
  <c r="U59"/>
  <c r="V59"/>
  <c r="X59"/>
  <c r="Y59"/>
  <c r="Z59"/>
  <c r="AA59"/>
  <c r="AB59"/>
  <c r="AC59"/>
  <c r="AD59"/>
  <c r="AE59"/>
  <c r="AF59"/>
  <c r="AG59"/>
  <c r="AH59"/>
  <c r="AI59"/>
  <c r="AJ59"/>
  <c r="AK59"/>
  <c r="AM59"/>
  <c r="R60"/>
  <c r="S60"/>
  <c r="T60"/>
  <c r="U60"/>
  <c r="V60"/>
  <c r="X60"/>
  <c r="Y60"/>
  <c r="Z60"/>
  <c r="AA60"/>
  <c r="AB60"/>
  <c r="AC60"/>
  <c r="AD60"/>
  <c r="AE60"/>
  <c r="AF60"/>
  <c r="AG60"/>
  <c r="AH60"/>
  <c r="AI60"/>
  <c r="AJ60"/>
  <c r="AK60"/>
  <c r="AM60"/>
  <c r="R61"/>
  <c r="S61"/>
  <c r="T61"/>
  <c r="U61"/>
  <c r="V61"/>
  <c r="X61"/>
  <c r="Y61"/>
  <c r="Z61"/>
  <c r="AA61"/>
  <c r="AB61"/>
  <c r="AC61"/>
  <c r="AD61"/>
  <c r="AE61"/>
  <c r="AF61"/>
  <c r="AG61"/>
  <c r="AH61"/>
  <c r="AI61"/>
  <c r="AJ61"/>
  <c r="AK61"/>
  <c r="AM61"/>
  <c r="R62"/>
  <c r="S62"/>
  <c r="T62"/>
  <c r="U62"/>
  <c r="V62"/>
  <c r="X62"/>
  <c r="Y62"/>
  <c r="Z62"/>
  <c r="AA62"/>
  <c r="AB62"/>
  <c r="AC62"/>
  <c r="AD62"/>
  <c r="AE62"/>
  <c r="AF62"/>
  <c r="AG62"/>
  <c r="AH62"/>
  <c r="AI62"/>
  <c r="AJ62"/>
  <c r="AK62"/>
  <c r="AM62"/>
  <c r="R63"/>
  <c r="S63"/>
  <c r="T63"/>
  <c r="U63"/>
  <c r="V63"/>
  <c r="X63"/>
  <c r="Y63"/>
  <c r="Z63"/>
  <c r="AA63"/>
  <c r="AB63"/>
  <c r="AC63"/>
  <c r="AD63"/>
  <c r="AE63"/>
  <c r="AF63"/>
  <c r="AG63"/>
  <c r="AH63"/>
  <c r="AI63"/>
  <c r="AJ63"/>
  <c r="AK63"/>
  <c r="AM63"/>
  <c r="R64"/>
  <c r="S64"/>
  <c r="T64"/>
  <c r="AL64"/>
  <c r="AN64" s="1"/>
  <c r="AV64" s="1"/>
  <c r="U64"/>
  <c r="V64"/>
  <c r="X64"/>
  <c r="Y64"/>
  <c r="Z64"/>
  <c r="AA64"/>
  <c r="AB64"/>
  <c r="AC64"/>
  <c r="AD64"/>
  <c r="AE64"/>
  <c r="AF64"/>
  <c r="AG64"/>
  <c r="AH64"/>
  <c r="AI64"/>
  <c r="AJ64"/>
  <c r="AK64"/>
  <c r="AM64"/>
  <c r="R65"/>
  <c r="S65"/>
  <c r="T65"/>
  <c r="U65"/>
  <c r="V65"/>
  <c r="X65"/>
  <c r="Y65"/>
  <c r="Z65"/>
  <c r="AA65"/>
  <c r="AB65"/>
  <c r="AC65"/>
  <c r="AD65"/>
  <c r="AE65"/>
  <c r="AF65"/>
  <c r="AG65"/>
  <c r="AH65"/>
  <c r="AI65"/>
  <c r="AJ65"/>
  <c r="AK65"/>
  <c r="AM65"/>
  <c r="R66"/>
  <c r="S66"/>
  <c r="T66"/>
  <c r="U66"/>
  <c r="V66"/>
  <c r="X66"/>
  <c r="Y66"/>
  <c r="Z66"/>
  <c r="AA66"/>
  <c r="AB66"/>
  <c r="AC66"/>
  <c r="AD66"/>
  <c r="AE66"/>
  <c r="AF66"/>
  <c r="AG66"/>
  <c r="AH66"/>
  <c r="AI66"/>
  <c r="AJ66"/>
  <c r="AK66"/>
  <c r="AM66"/>
  <c r="R67"/>
  <c r="AL67"/>
  <c r="AN67" s="1"/>
  <c r="AV67" s="1"/>
  <c r="S67"/>
  <c r="T67"/>
  <c r="U67"/>
  <c r="V67"/>
  <c r="X67"/>
  <c r="Y67"/>
  <c r="Z67"/>
  <c r="AA67"/>
  <c r="AB67"/>
  <c r="AC67"/>
  <c r="AD67"/>
  <c r="AE67"/>
  <c r="AF67"/>
  <c r="AG67"/>
  <c r="AH67"/>
  <c r="AI67"/>
  <c r="AJ67"/>
  <c r="AK67"/>
  <c r="AM67"/>
  <c r="R68"/>
  <c r="S68"/>
  <c r="T68"/>
  <c r="AL68"/>
  <c r="AN68" s="1"/>
  <c r="AV68" s="1"/>
  <c r="U68"/>
  <c r="V68"/>
  <c r="X68"/>
  <c r="Y68"/>
  <c r="Z68"/>
  <c r="AA68"/>
  <c r="AB68"/>
  <c r="AC68"/>
  <c r="AD68"/>
  <c r="AE68"/>
  <c r="AF68"/>
  <c r="AG68"/>
  <c r="AH68"/>
  <c r="AI68"/>
  <c r="AJ68"/>
  <c r="AK68"/>
  <c r="AM68"/>
  <c r="R69"/>
  <c r="S69"/>
  <c r="T69"/>
  <c r="U69"/>
  <c r="V69"/>
  <c r="X69"/>
  <c r="Y69"/>
  <c r="Z69"/>
  <c r="AA69"/>
  <c r="AB69"/>
  <c r="AC69"/>
  <c r="AD69"/>
  <c r="AE69"/>
  <c r="AF69"/>
  <c r="AG69"/>
  <c r="AH69"/>
  <c r="AI69"/>
  <c r="AJ69"/>
  <c r="AK69"/>
  <c r="AM69"/>
  <c r="R70"/>
  <c r="S70"/>
  <c r="T70"/>
  <c r="U70"/>
  <c r="V70"/>
  <c r="X70"/>
  <c r="Y70"/>
  <c r="Z70"/>
  <c r="AA70"/>
  <c r="AB70"/>
  <c r="AC70"/>
  <c r="AD70"/>
  <c r="AE70"/>
  <c r="AF70"/>
  <c r="AG70"/>
  <c r="AH70"/>
  <c r="AI70"/>
  <c r="AJ70"/>
  <c r="AK70"/>
  <c r="AM70"/>
  <c r="R71"/>
  <c r="S71"/>
  <c r="T71"/>
  <c r="U71"/>
  <c r="V71"/>
  <c r="X71"/>
  <c r="Y71"/>
  <c r="Z71"/>
  <c r="AA71"/>
  <c r="AB71"/>
  <c r="AC71"/>
  <c r="AD71"/>
  <c r="AE71"/>
  <c r="AF71"/>
  <c r="AG71"/>
  <c r="AH71"/>
  <c r="AI71"/>
  <c r="AJ71"/>
  <c r="AK71"/>
  <c r="AM71"/>
  <c r="R72"/>
  <c r="S72"/>
  <c r="T72"/>
  <c r="U72"/>
  <c r="V72"/>
  <c r="X72"/>
  <c r="Y72"/>
  <c r="Z72"/>
  <c r="AA72"/>
  <c r="AB72"/>
  <c r="AC72"/>
  <c r="AD72"/>
  <c r="AE72"/>
  <c r="AF72"/>
  <c r="AG72"/>
  <c r="AH72"/>
  <c r="AI72"/>
  <c r="AJ72"/>
  <c r="AK72"/>
  <c r="AM72"/>
  <c r="R73"/>
  <c r="AL73"/>
  <c r="AN73" s="1"/>
  <c r="AV73" s="1"/>
  <c r="S73"/>
  <c r="T73"/>
  <c r="U73"/>
  <c r="V73"/>
  <c r="X73"/>
  <c r="Y73"/>
  <c r="Z73"/>
  <c r="AA73"/>
  <c r="AB73"/>
  <c r="AC73"/>
  <c r="AD73"/>
  <c r="AE73"/>
  <c r="AF73"/>
  <c r="AG73"/>
  <c r="AH73"/>
  <c r="AI73"/>
  <c r="AJ73"/>
  <c r="AK73"/>
  <c r="AM73"/>
  <c r="R74"/>
  <c r="S74"/>
  <c r="T74"/>
  <c r="U74"/>
  <c r="V74"/>
  <c r="X74"/>
  <c r="Y74"/>
  <c r="Z74"/>
  <c r="AA74"/>
  <c r="AB74"/>
  <c r="AC74"/>
  <c r="AD74"/>
  <c r="AE74"/>
  <c r="AF74"/>
  <c r="AG74"/>
  <c r="AH74"/>
  <c r="AI74"/>
  <c r="AJ74"/>
  <c r="AK74"/>
  <c r="AM74"/>
  <c r="R75"/>
  <c r="AL75"/>
  <c r="AN75" s="1"/>
  <c r="AV75" s="1"/>
  <c r="S75"/>
  <c r="T75"/>
  <c r="U75"/>
  <c r="V75"/>
  <c r="X75"/>
  <c r="Y75"/>
  <c r="Z75"/>
  <c r="AA75"/>
  <c r="AB75"/>
  <c r="AC75"/>
  <c r="AD75"/>
  <c r="AE75"/>
  <c r="AF75"/>
  <c r="AG75"/>
  <c r="AH75"/>
  <c r="AI75"/>
  <c r="AJ75"/>
  <c r="AK75"/>
  <c r="AM75"/>
  <c r="R76"/>
  <c r="S76"/>
  <c r="T76"/>
  <c r="U76"/>
  <c r="V76"/>
  <c r="X76"/>
  <c r="Y76"/>
  <c r="Z76"/>
  <c r="AA76"/>
  <c r="AB76"/>
  <c r="AC76"/>
  <c r="AD76"/>
  <c r="AE76"/>
  <c r="AF76"/>
  <c r="AG76"/>
  <c r="AH76"/>
  <c r="AI76"/>
  <c r="AJ76"/>
  <c r="AK76"/>
  <c r="AM76"/>
  <c r="R77"/>
  <c r="S77"/>
  <c r="T77"/>
  <c r="U77"/>
  <c r="V77"/>
  <c r="X77"/>
  <c r="Y77"/>
  <c r="Z77"/>
  <c r="AA77"/>
  <c r="AB77"/>
  <c r="AC77"/>
  <c r="AD77"/>
  <c r="AE77"/>
  <c r="AF77"/>
  <c r="AG77"/>
  <c r="AH77"/>
  <c r="AI77"/>
  <c r="AJ77"/>
  <c r="AK77"/>
  <c r="AM77"/>
  <c r="R78"/>
  <c r="S78"/>
  <c r="T78"/>
  <c r="U78"/>
  <c r="V78"/>
  <c r="X78"/>
  <c r="Y78"/>
  <c r="Z78"/>
  <c r="AA78"/>
  <c r="AB78"/>
  <c r="AC78"/>
  <c r="AD78"/>
  <c r="AE78"/>
  <c r="AF78"/>
  <c r="AG78"/>
  <c r="AH78"/>
  <c r="AI78"/>
  <c r="AJ78"/>
  <c r="AK78"/>
  <c r="AM78"/>
  <c r="R79"/>
  <c r="S79"/>
  <c r="T79"/>
  <c r="U79"/>
  <c r="V79"/>
  <c r="X79"/>
  <c r="Y79"/>
  <c r="Z79"/>
  <c r="AA79"/>
  <c r="AB79"/>
  <c r="AC79"/>
  <c r="AD79"/>
  <c r="AE79"/>
  <c r="AF79"/>
  <c r="AG79"/>
  <c r="AH79"/>
  <c r="AI79"/>
  <c r="AJ79"/>
  <c r="AK79"/>
  <c r="AM79"/>
  <c r="R80"/>
  <c r="S80"/>
  <c r="T80"/>
  <c r="AL80"/>
  <c r="AN80" s="1"/>
  <c r="AV80" s="1"/>
  <c r="U80"/>
  <c r="V80"/>
  <c r="X80"/>
  <c r="Y80"/>
  <c r="Z80"/>
  <c r="AA80"/>
  <c r="AB80"/>
  <c r="AC80"/>
  <c r="AD80"/>
  <c r="AE80"/>
  <c r="AF80"/>
  <c r="AG80"/>
  <c r="AH80"/>
  <c r="AI80"/>
  <c r="AJ80"/>
  <c r="AK80"/>
  <c r="AM80"/>
  <c r="R81"/>
  <c r="S81"/>
  <c r="T81"/>
  <c r="U81"/>
  <c r="V81"/>
  <c r="X81"/>
  <c r="Y81"/>
  <c r="Z81"/>
  <c r="AA81"/>
  <c r="AB81"/>
  <c r="AC81"/>
  <c r="AD81"/>
  <c r="AE81"/>
  <c r="AF81"/>
  <c r="AG81"/>
  <c r="AH81"/>
  <c r="AI81"/>
  <c r="AJ81"/>
  <c r="AK81"/>
  <c r="AM81"/>
  <c r="R82"/>
  <c r="S82"/>
  <c r="T82"/>
  <c r="U82"/>
  <c r="V82"/>
  <c r="X82"/>
  <c r="Y82"/>
  <c r="Z82"/>
  <c r="AA82"/>
  <c r="AB82"/>
  <c r="AC82"/>
  <c r="AD82"/>
  <c r="AE82"/>
  <c r="AF82"/>
  <c r="AG82"/>
  <c r="AH82"/>
  <c r="AI82"/>
  <c r="AJ82"/>
  <c r="AK82"/>
  <c r="AM82"/>
  <c r="R83"/>
  <c r="S83"/>
  <c r="T83"/>
  <c r="U83"/>
  <c r="V83"/>
  <c r="X83"/>
  <c r="Y83"/>
  <c r="Z83"/>
  <c r="AA83"/>
  <c r="AB83"/>
  <c r="AC83"/>
  <c r="AD83"/>
  <c r="AE83"/>
  <c r="AF83"/>
  <c r="AG83"/>
  <c r="AH83"/>
  <c r="AI83"/>
  <c r="AJ83"/>
  <c r="AK83"/>
  <c r="AM83"/>
  <c r="R84"/>
  <c r="S84"/>
  <c r="T84"/>
  <c r="U84"/>
  <c r="V84"/>
  <c r="X84"/>
  <c r="Y84"/>
  <c r="Z84"/>
  <c r="AA84"/>
  <c r="AB84"/>
  <c r="AC84"/>
  <c r="AD84"/>
  <c r="AE84"/>
  <c r="AF84"/>
  <c r="AG84"/>
  <c r="AH84"/>
  <c r="AI84"/>
  <c r="AJ84"/>
  <c r="AK84"/>
  <c r="AM84"/>
  <c r="R85"/>
  <c r="S85"/>
  <c r="T85"/>
  <c r="U85"/>
  <c r="V85"/>
  <c r="X85"/>
  <c r="Y85"/>
  <c r="Z85"/>
  <c r="AA85"/>
  <c r="AB85"/>
  <c r="AC85"/>
  <c r="AD85"/>
  <c r="AE85"/>
  <c r="AF85"/>
  <c r="AG85"/>
  <c r="AH85"/>
  <c r="AI85"/>
  <c r="AJ85"/>
  <c r="AK85"/>
  <c r="AM85"/>
  <c r="R86"/>
  <c r="S86"/>
  <c r="T86"/>
  <c r="U86"/>
  <c r="V86"/>
  <c r="X86"/>
  <c r="Y86"/>
  <c r="Z86"/>
  <c r="AA86"/>
  <c r="AB86"/>
  <c r="AC86"/>
  <c r="AD86"/>
  <c r="AE86"/>
  <c r="AF86"/>
  <c r="AG86"/>
  <c r="AH86"/>
  <c r="AI86"/>
  <c r="AJ86"/>
  <c r="AK86"/>
  <c r="AM86"/>
  <c r="R87"/>
  <c r="S87"/>
  <c r="T87"/>
  <c r="U87"/>
  <c r="V87"/>
  <c r="X87"/>
  <c r="Y87"/>
  <c r="Z87"/>
  <c r="AA87"/>
  <c r="AB87"/>
  <c r="AC87"/>
  <c r="AD87"/>
  <c r="AE87"/>
  <c r="AF87"/>
  <c r="AG87"/>
  <c r="AH87"/>
  <c r="AI87"/>
  <c r="AJ87"/>
  <c r="AK87"/>
  <c r="AM87"/>
  <c r="R88"/>
  <c r="S88"/>
  <c r="T88"/>
  <c r="AL88"/>
  <c r="AN88" s="1"/>
  <c r="AV88" s="1"/>
  <c r="U88"/>
  <c r="V88"/>
  <c r="X88"/>
  <c r="Y88"/>
  <c r="Z88"/>
  <c r="AA88"/>
  <c r="AB88"/>
  <c r="AC88"/>
  <c r="AD88"/>
  <c r="AE88"/>
  <c r="AF88"/>
  <c r="AG88"/>
  <c r="AH88"/>
  <c r="AI88"/>
  <c r="AJ88"/>
  <c r="AK88"/>
  <c r="AM88"/>
  <c r="R89"/>
  <c r="S89"/>
  <c r="T89"/>
  <c r="U89"/>
  <c r="V89"/>
  <c r="X89"/>
  <c r="Y89"/>
  <c r="Z89"/>
  <c r="AA89"/>
  <c r="AB89"/>
  <c r="AC89"/>
  <c r="AD89"/>
  <c r="AE89"/>
  <c r="AF89"/>
  <c r="AG89"/>
  <c r="AH89"/>
  <c r="AI89"/>
  <c r="AJ89"/>
  <c r="AK89"/>
  <c r="AM89"/>
  <c r="R90"/>
  <c r="S90"/>
  <c r="T90"/>
  <c r="U90"/>
  <c r="V90"/>
  <c r="X90"/>
  <c r="Y90"/>
  <c r="Z90"/>
  <c r="AA90"/>
  <c r="AB90"/>
  <c r="AC90"/>
  <c r="AD90"/>
  <c r="AE90"/>
  <c r="AF90"/>
  <c r="AG90"/>
  <c r="AH90"/>
  <c r="AI90"/>
  <c r="AJ90"/>
  <c r="AK90"/>
  <c r="AM90"/>
  <c r="R91"/>
  <c r="S91"/>
  <c r="T91"/>
  <c r="U91"/>
  <c r="V91"/>
  <c r="X91"/>
  <c r="Y91"/>
  <c r="Z91"/>
  <c r="AA91"/>
  <c r="AB91"/>
  <c r="AC91"/>
  <c r="AD91"/>
  <c r="AE91"/>
  <c r="AF91"/>
  <c r="AG91"/>
  <c r="AH91"/>
  <c r="AI91"/>
  <c r="AJ91"/>
  <c r="AK91"/>
  <c r="AM91"/>
  <c r="R92"/>
  <c r="S92"/>
  <c r="T92"/>
  <c r="U92"/>
  <c r="V92"/>
  <c r="X92"/>
  <c r="Y92"/>
  <c r="Z92"/>
  <c r="AA92"/>
  <c r="AB92"/>
  <c r="AC92"/>
  <c r="AD92"/>
  <c r="AE92"/>
  <c r="AF92"/>
  <c r="AG92"/>
  <c r="AH92"/>
  <c r="AI92"/>
  <c r="AJ92"/>
  <c r="AK92"/>
  <c r="AM92"/>
  <c r="R93"/>
  <c r="S93"/>
  <c r="T93"/>
  <c r="U93"/>
  <c r="V93"/>
  <c r="X93"/>
  <c r="Y93"/>
  <c r="Z93"/>
  <c r="AA93"/>
  <c r="AB93"/>
  <c r="AC93"/>
  <c r="AD93"/>
  <c r="AE93"/>
  <c r="AF93"/>
  <c r="AG93"/>
  <c r="AH93"/>
  <c r="AI93"/>
  <c r="AJ93"/>
  <c r="AK93"/>
  <c r="AM93"/>
  <c r="R94"/>
  <c r="S94"/>
  <c r="T94"/>
  <c r="U94"/>
  <c r="V94"/>
  <c r="AA94"/>
  <c r="AB94"/>
  <c r="AC94"/>
  <c r="AD94"/>
  <c r="AE94"/>
  <c r="AF94"/>
  <c r="AL94"/>
  <c r="AN94" s="1"/>
  <c r="AV94" s="1"/>
  <c r="AG94"/>
  <c r="AH94"/>
  <c r="AI94"/>
  <c r="AJ94"/>
  <c r="AK94"/>
  <c r="AM94"/>
  <c r="R95"/>
  <c r="S95"/>
  <c r="T95"/>
  <c r="U95"/>
  <c r="V95"/>
  <c r="AA95"/>
  <c r="AB95"/>
  <c r="AC95"/>
  <c r="AD95"/>
  <c r="AE95"/>
  <c r="AF95"/>
  <c r="AG95"/>
  <c r="AH95"/>
  <c r="AI95"/>
  <c r="AJ95"/>
  <c r="AK95"/>
  <c r="AM95"/>
  <c r="R96"/>
  <c r="S96"/>
  <c r="T96"/>
  <c r="U96"/>
  <c r="V96"/>
  <c r="AA96"/>
  <c r="AB96"/>
  <c r="AC96"/>
  <c r="AD96"/>
  <c r="AE96"/>
  <c r="AF96"/>
  <c r="AG96"/>
  <c r="AH96"/>
  <c r="AI96"/>
  <c r="AJ96"/>
  <c r="AK96"/>
  <c r="AM96"/>
  <c r="R97"/>
  <c r="S97"/>
  <c r="T97"/>
  <c r="U97"/>
  <c r="V97"/>
  <c r="AA97"/>
  <c r="AB97"/>
  <c r="AC97"/>
  <c r="AD97"/>
  <c r="AE97"/>
  <c r="AF97"/>
  <c r="AG97"/>
  <c r="AH97"/>
  <c r="AI97"/>
  <c r="AJ97"/>
  <c r="AK97"/>
  <c r="AM97"/>
  <c r="R98"/>
  <c r="AL98"/>
  <c r="AN98" s="1"/>
  <c r="AV98" s="1"/>
  <c r="S98"/>
  <c r="T98"/>
  <c r="U98"/>
  <c r="V98"/>
  <c r="AA98"/>
  <c r="AB98"/>
  <c r="AC98"/>
  <c r="AD98"/>
  <c r="AE98"/>
  <c r="AF98"/>
  <c r="AG98"/>
  <c r="AH98"/>
  <c r="AI98"/>
  <c r="AJ98"/>
  <c r="AK98"/>
  <c r="AM98"/>
  <c r="R99"/>
  <c r="S99"/>
  <c r="T99"/>
  <c r="U99"/>
  <c r="V99"/>
  <c r="AA99"/>
  <c r="AB99"/>
  <c r="AC99"/>
  <c r="AD99"/>
  <c r="AE99"/>
  <c r="AF99"/>
  <c r="AG99"/>
  <c r="AH99"/>
  <c r="AI99"/>
  <c r="AJ99"/>
  <c r="AK99"/>
  <c r="AM99"/>
  <c r="R100"/>
  <c r="S100"/>
  <c r="T100"/>
  <c r="U100"/>
  <c r="V100"/>
  <c r="AA100"/>
  <c r="AB100"/>
  <c r="AC100"/>
  <c r="AD100"/>
  <c r="AE100"/>
  <c r="AF100"/>
  <c r="AG100"/>
  <c r="AH100"/>
  <c r="AI100"/>
  <c r="AJ100"/>
  <c r="AK100"/>
  <c r="AM100"/>
  <c r="R101"/>
  <c r="S101"/>
  <c r="T101"/>
  <c r="U101"/>
  <c r="AL101"/>
  <c r="AN101" s="1"/>
  <c r="AV101" s="1"/>
  <c r="V101"/>
  <c r="AA101"/>
  <c r="AB101"/>
  <c r="AC101"/>
  <c r="AD101"/>
  <c r="AE101"/>
  <c r="AF101"/>
  <c r="AG101"/>
  <c r="AH101"/>
  <c r="AI101"/>
  <c r="AJ101"/>
  <c r="AK101"/>
  <c r="AM101"/>
  <c r="R102"/>
  <c r="S102"/>
  <c r="T102"/>
  <c r="AL102"/>
  <c r="AN102" s="1"/>
  <c r="AV102" s="1"/>
  <c r="U102"/>
  <c r="V102"/>
  <c r="AA102"/>
  <c r="AB102"/>
  <c r="AC102"/>
  <c r="AD102"/>
  <c r="AE102"/>
  <c r="AF102"/>
  <c r="AG102"/>
  <c r="AH102"/>
  <c r="AI102"/>
  <c r="AJ102"/>
  <c r="AK102"/>
  <c r="AM102"/>
  <c r="R103"/>
  <c r="S103"/>
  <c r="AL103"/>
  <c r="AN103" s="1"/>
  <c r="AV103" s="1"/>
  <c r="T103"/>
  <c r="U103"/>
  <c r="V103"/>
  <c r="W103"/>
  <c r="X103"/>
  <c r="Y103"/>
  <c r="Z103"/>
  <c r="AB103"/>
  <c r="AC103"/>
  <c r="AD103"/>
  <c r="AE103"/>
  <c r="AF103"/>
  <c r="AG103"/>
  <c r="AH103"/>
  <c r="AI103"/>
  <c r="AJ103"/>
  <c r="AK103"/>
  <c r="AM103"/>
  <c r="R104"/>
  <c r="S104"/>
  <c r="T104"/>
  <c r="U104"/>
  <c r="V104"/>
  <c r="W104"/>
  <c r="X104"/>
  <c r="Y104"/>
  <c r="Z104"/>
  <c r="AA104"/>
  <c r="AC104"/>
  <c r="AD104"/>
  <c r="AE104"/>
  <c r="AF104"/>
  <c r="AG104"/>
  <c r="AH104"/>
  <c r="AI104"/>
  <c r="AJ104"/>
  <c r="AK104"/>
  <c r="R105"/>
  <c r="S105"/>
  <c r="T105"/>
  <c r="U105"/>
  <c r="V105"/>
  <c r="W105"/>
  <c r="X105"/>
  <c r="Y105"/>
  <c r="Z105"/>
  <c r="AA105"/>
  <c r="AC105"/>
  <c r="AD105"/>
  <c r="AE105"/>
  <c r="AF105"/>
  <c r="AG105"/>
  <c r="AH105"/>
  <c r="AI105"/>
  <c r="AJ105"/>
  <c r="AK105"/>
  <c r="R106"/>
  <c r="S106"/>
  <c r="AL106"/>
  <c r="AN106" s="1"/>
  <c r="AV106" s="1"/>
  <c r="T106"/>
  <c r="U106"/>
  <c r="V106"/>
  <c r="W106"/>
  <c r="X106"/>
  <c r="Y106"/>
  <c r="Z106"/>
  <c r="AA106"/>
  <c r="AC106"/>
  <c r="AD106"/>
  <c r="AE106"/>
  <c r="AF106"/>
  <c r="AG106"/>
  <c r="AH106"/>
  <c r="AI106"/>
  <c r="AJ106"/>
  <c r="AK106"/>
  <c r="R107"/>
  <c r="S107"/>
  <c r="T107"/>
  <c r="U107"/>
  <c r="V107"/>
  <c r="W107"/>
  <c r="X107"/>
  <c r="Y107"/>
  <c r="Z107"/>
  <c r="AA107"/>
  <c r="AC107"/>
  <c r="AD107"/>
  <c r="AE107"/>
  <c r="AF107"/>
  <c r="AG107"/>
  <c r="AH107"/>
  <c r="AI107"/>
  <c r="AJ107"/>
  <c r="AK107"/>
  <c r="R108"/>
  <c r="S108"/>
  <c r="T108"/>
  <c r="U108"/>
  <c r="V108"/>
  <c r="W108"/>
  <c r="X108"/>
  <c r="Y108"/>
  <c r="Z108"/>
  <c r="AA108"/>
  <c r="AC108"/>
  <c r="AD108"/>
  <c r="AE108"/>
  <c r="AF108"/>
  <c r="AG108"/>
  <c r="AH108"/>
  <c r="AI108"/>
  <c r="AJ108"/>
  <c r="AK108"/>
  <c r="R109"/>
  <c r="AL109"/>
  <c r="AN109" s="1"/>
  <c r="AV109" s="1"/>
  <c r="S109"/>
  <c r="T109"/>
  <c r="U109"/>
  <c r="V109"/>
  <c r="W109"/>
  <c r="X109"/>
  <c r="Y109"/>
  <c r="Z109"/>
  <c r="AA109"/>
  <c r="AC109"/>
  <c r="AD109"/>
  <c r="AE109"/>
  <c r="AF109"/>
  <c r="AG109"/>
  <c r="AH109"/>
  <c r="AI109"/>
  <c r="AJ109"/>
  <c r="AK109"/>
  <c r="R110"/>
  <c r="S110"/>
  <c r="T110"/>
  <c r="U110"/>
  <c r="V110"/>
  <c r="W110"/>
  <c r="X110"/>
  <c r="Y110"/>
  <c r="Z110"/>
  <c r="AA110"/>
  <c r="AC110"/>
  <c r="AD110"/>
  <c r="AE110"/>
  <c r="AF110"/>
  <c r="AG110"/>
  <c r="AH110"/>
  <c r="AI110"/>
  <c r="AJ110"/>
  <c r="AK110"/>
  <c r="R111"/>
  <c r="S111"/>
  <c r="T111"/>
  <c r="U111"/>
  <c r="V111"/>
  <c r="W111"/>
  <c r="X111"/>
  <c r="Y111"/>
  <c r="Z111"/>
  <c r="AA111"/>
  <c r="AC111"/>
  <c r="AD111"/>
  <c r="AE111"/>
  <c r="AF111"/>
  <c r="AG111"/>
  <c r="AH111"/>
  <c r="AI111"/>
  <c r="AJ111"/>
  <c r="AK111"/>
  <c r="R112"/>
  <c r="S112"/>
  <c r="AL112"/>
  <c r="AN112"/>
  <c r="AV112" s="1"/>
  <c r="T112"/>
  <c r="U112"/>
  <c r="V112"/>
  <c r="W112"/>
  <c r="X112"/>
  <c r="Y112"/>
  <c r="Z112"/>
  <c r="AA112"/>
  <c r="AC112"/>
  <c r="AD112"/>
  <c r="AE112"/>
  <c r="AF112"/>
  <c r="AG112"/>
  <c r="AH112"/>
  <c r="AI112"/>
  <c r="AJ112"/>
  <c r="AK112"/>
  <c r="S113"/>
  <c r="T113"/>
  <c r="U113"/>
  <c r="V113"/>
  <c r="W113"/>
  <c r="X113"/>
  <c r="Y113"/>
  <c r="Z113"/>
  <c r="AA113"/>
  <c r="AB113"/>
  <c r="AC113"/>
  <c r="AD113"/>
  <c r="AE113"/>
  <c r="AF113"/>
  <c r="AG113"/>
  <c r="AH113"/>
  <c r="AI113"/>
  <c r="AJ113"/>
  <c r="AK113"/>
  <c r="AM113"/>
  <c r="S114"/>
  <c r="T114"/>
  <c r="U114"/>
  <c r="V114"/>
  <c r="W114"/>
  <c r="X114"/>
  <c r="Y114"/>
  <c r="Z114"/>
  <c r="AA114"/>
  <c r="AB114"/>
  <c r="AC114"/>
  <c r="AD114"/>
  <c r="AE114"/>
  <c r="AF114"/>
  <c r="AG114"/>
  <c r="AH114"/>
  <c r="AI114"/>
  <c r="AJ114"/>
  <c r="AK114"/>
  <c r="AM114"/>
  <c r="S115"/>
  <c r="T115"/>
  <c r="U115"/>
  <c r="V115"/>
  <c r="W115"/>
  <c r="X115"/>
  <c r="Y115"/>
  <c r="Z115"/>
  <c r="AA115"/>
  <c r="AB115"/>
  <c r="AC115"/>
  <c r="AD115"/>
  <c r="AE115"/>
  <c r="AF115"/>
  <c r="AG115"/>
  <c r="AH115"/>
  <c r="AI115"/>
  <c r="AJ115"/>
  <c r="AK115"/>
  <c r="AM115"/>
  <c r="S116"/>
  <c r="T116"/>
  <c r="U116"/>
  <c r="V116"/>
  <c r="W116"/>
  <c r="X116"/>
  <c r="Y116"/>
  <c r="Z116"/>
  <c r="AA116"/>
  <c r="AB116"/>
  <c r="AC116"/>
  <c r="AD116"/>
  <c r="AE116"/>
  <c r="AF116"/>
  <c r="AG116"/>
  <c r="AH116"/>
  <c r="AI116"/>
  <c r="AJ116"/>
  <c r="AK116"/>
  <c r="AM116"/>
  <c r="S117"/>
  <c r="AL117"/>
  <c r="AN117" s="1"/>
  <c r="AV117" s="1"/>
  <c r="T117"/>
  <c r="U117"/>
  <c r="V117"/>
  <c r="W117"/>
  <c r="X117"/>
  <c r="Y117"/>
  <c r="Z117"/>
  <c r="AA117"/>
  <c r="AB117"/>
  <c r="AC117"/>
  <c r="AD117"/>
  <c r="AE117"/>
  <c r="AF117"/>
  <c r="AG117"/>
  <c r="AH117"/>
  <c r="AI117"/>
  <c r="AJ117"/>
  <c r="AK117"/>
  <c r="AM117"/>
  <c r="S118"/>
  <c r="T118"/>
  <c r="U118"/>
  <c r="V118"/>
  <c r="W118"/>
  <c r="X118"/>
  <c r="Y118"/>
  <c r="Z118"/>
  <c r="AA118"/>
  <c r="AB118"/>
  <c r="AC118"/>
  <c r="AD118"/>
  <c r="AE118"/>
  <c r="AF118"/>
  <c r="AG118"/>
  <c r="AH118"/>
  <c r="AI118"/>
  <c r="AJ118"/>
  <c r="AK118"/>
  <c r="AM118"/>
  <c r="S119"/>
  <c r="T119"/>
  <c r="U119"/>
  <c r="V119"/>
  <c r="W119"/>
  <c r="X119"/>
  <c r="Y119"/>
  <c r="Z119"/>
  <c r="AA119"/>
  <c r="AB119"/>
  <c r="AC119"/>
  <c r="AD119"/>
  <c r="AE119"/>
  <c r="AF119"/>
  <c r="AG119"/>
  <c r="AH119"/>
  <c r="AI119"/>
  <c r="AJ119"/>
  <c r="AK119"/>
  <c r="AM119"/>
  <c r="S120"/>
  <c r="T120"/>
  <c r="U120"/>
  <c r="V120"/>
  <c r="W120"/>
  <c r="X120"/>
  <c r="Y120"/>
  <c r="Z120"/>
  <c r="AA120"/>
  <c r="AB120"/>
  <c r="AC120"/>
  <c r="AD120"/>
  <c r="AE120"/>
  <c r="AF120"/>
  <c r="AG120"/>
  <c r="AH120"/>
  <c r="AI120"/>
  <c r="AJ120"/>
  <c r="AK120"/>
  <c r="AM120"/>
  <c r="S121"/>
  <c r="T121"/>
  <c r="U121"/>
  <c r="V121"/>
  <c r="W121"/>
  <c r="X121"/>
  <c r="Y121"/>
  <c r="Z121"/>
  <c r="AA121"/>
  <c r="AB121"/>
  <c r="AC121"/>
  <c r="AD121"/>
  <c r="AE121"/>
  <c r="AF121"/>
  <c r="AG121"/>
  <c r="AH121"/>
  <c r="AI121"/>
  <c r="AJ121"/>
  <c r="AK121"/>
  <c r="AM121"/>
  <c r="S122"/>
  <c r="T122"/>
  <c r="U122"/>
  <c r="V122"/>
  <c r="W122"/>
  <c r="X122"/>
  <c r="Y122"/>
  <c r="Z122"/>
  <c r="AA122"/>
  <c r="AB122"/>
  <c r="AC122"/>
  <c r="AD122"/>
  <c r="AE122"/>
  <c r="AF122"/>
  <c r="AG122"/>
  <c r="AH122"/>
  <c r="AI122"/>
  <c r="AJ122"/>
  <c r="AK122"/>
  <c r="AM122"/>
  <c r="S123"/>
  <c r="AL123"/>
  <c r="AN123" s="1"/>
  <c r="AV123" s="1"/>
  <c r="T123"/>
  <c r="U123"/>
  <c r="V123"/>
  <c r="W123"/>
  <c r="X123"/>
  <c r="Y123"/>
  <c r="Z123"/>
  <c r="AA123"/>
  <c r="AB123"/>
  <c r="AC123"/>
  <c r="AD123"/>
  <c r="AE123"/>
  <c r="AF123"/>
  <c r="AG123"/>
  <c r="AH123"/>
  <c r="AI123"/>
  <c r="AJ123"/>
  <c r="AK123"/>
  <c r="AM123"/>
  <c r="S124"/>
  <c r="AL124"/>
  <c r="AN124" s="1"/>
  <c r="AV124" s="1"/>
  <c r="T124"/>
  <c r="U124"/>
  <c r="V124"/>
  <c r="W124"/>
  <c r="X124"/>
  <c r="Y124"/>
  <c r="Z124"/>
  <c r="AA124"/>
  <c r="AB124"/>
  <c r="AC124"/>
  <c r="AD124"/>
  <c r="AE124"/>
  <c r="AF124"/>
  <c r="AG124"/>
  <c r="AH124"/>
  <c r="AI124"/>
  <c r="AJ124"/>
  <c r="AK124"/>
  <c r="AM124"/>
  <c r="S125"/>
  <c r="AL125"/>
  <c r="AN125" s="1"/>
  <c r="AV125" s="1"/>
  <c r="T125"/>
  <c r="U125"/>
  <c r="V125"/>
  <c r="W125"/>
  <c r="X125"/>
  <c r="Y125"/>
  <c r="Z125"/>
  <c r="AA125"/>
  <c r="AB125"/>
  <c r="AC125"/>
  <c r="AD125"/>
  <c r="AE125"/>
  <c r="AF125"/>
  <c r="AG125"/>
  <c r="AH125"/>
  <c r="AI125"/>
  <c r="AJ125"/>
  <c r="AK125"/>
  <c r="AM125"/>
  <c r="S126"/>
  <c r="T126"/>
  <c r="U126"/>
  <c r="V126"/>
  <c r="W126"/>
  <c r="X126"/>
  <c r="Y126"/>
  <c r="Z126"/>
  <c r="AA126"/>
  <c r="AB126"/>
  <c r="AC126"/>
  <c r="AD126"/>
  <c r="AE126"/>
  <c r="AF126"/>
  <c r="AG126"/>
  <c r="AH126"/>
  <c r="AI126"/>
  <c r="AJ126"/>
  <c r="AK126"/>
  <c r="AM126"/>
  <c r="S127"/>
  <c r="T127"/>
  <c r="U127"/>
  <c r="V127"/>
  <c r="W127"/>
  <c r="X127"/>
  <c r="Y127"/>
  <c r="Z127"/>
  <c r="AA127"/>
  <c r="AB127"/>
  <c r="AC127"/>
  <c r="AD127"/>
  <c r="AE127"/>
  <c r="AF127"/>
  <c r="AG127"/>
  <c r="AH127"/>
  <c r="AI127"/>
  <c r="AJ127"/>
  <c r="AK127"/>
  <c r="AM127"/>
  <c r="S128"/>
  <c r="T128"/>
  <c r="U128"/>
  <c r="V128"/>
  <c r="W128"/>
  <c r="X128"/>
  <c r="Y128"/>
  <c r="Z128"/>
  <c r="AA128"/>
  <c r="AB128"/>
  <c r="AC128"/>
  <c r="AD128"/>
  <c r="AE128"/>
  <c r="AF128"/>
  <c r="AG128"/>
  <c r="AH128"/>
  <c r="AI128"/>
  <c r="AJ128"/>
  <c r="AK128"/>
  <c r="AM128"/>
  <c r="S129"/>
  <c r="T129"/>
  <c r="U129"/>
  <c r="V129"/>
  <c r="W129"/>
  <c r="X129"/>
  <c r="Y129"/>
  <c r="Z129"/>
  <c r="AA129"/>
  <c r="AB129"/>
  <c r="AC129"/>
  <c r="AD129"/>
  <c r="AE129"/>
  <c r="AF129"/>
  <c r="AG129"/>
  <c r="AH129"/>
  <c r="AI129"/>
  <c r="AJ129"/>
  <c r="AK129"/>
  <c r="S132"/>
  <c r="T132"/>
  <c r="U132"/>
  <c r="V132"/>
  <c r="W132"/>
  <c r="X132"/>
  <c r="Y132"/>
  <c r="Z132"/>
  <c r="AA132"/>
  <c r="AB132"/>
  <c r="AC132"/>
  <c r="AD132"/>
  <c r="AE132"/>
  <c r="AF132"/>
  <c r="AG132"/>
  <c r="AH132"/>
  <c r="AI132"/>
  <c r="AJ132"/>
  <c r="AK132"/>
  <c r="AM132"/>
  <c r="S133"/>
  <c r="AL133"/>
  <c r="AN133" s="1"/>
  <c r="AV133" s="1"/>
  <c r="T133"/>
  <c r="U133"/>
  <c r="V133"/>
  <c r="W133"/>
  <c r="X133"/>
  <c r="Y133"/>
  <c r="Z133"/>
  <c r="AA133"/>
  <c r="AB133"/>
  <c r="AC133"/>
  <c r="AE133"/>
  <c r="AF133"/>
  <c r="AG133"/>
  <c r="AH133"/>
  <c r="AI133"/>
  <c r="AJ133"/>
  <c r="AK133"/>
  <c r="AM133"/>
  <c r="S134"/>
  <c r="T134"/>
  <c r="U134"/>
  <c r="V134"/>
  <c r="W134"/>
  <c r="X134"/>
  <c r="Y134"/>
  <c r="Z134"/>
  <c r="AA134"/>
  <c r="AB134"/>
  <c r="AC134"/>
  <c r="AE134"/>
  <c r="AF134"/>
  <c r="AG134"/>
  <c r="AH134"/>
  <c r="AI134"/>
  <c r="AJ134"/>
  <c r="AK134"/>
  <c r="AM134"/>
  <c r="S135"/>
  <c r="T135"/>
  <c r="AL135"/>
  <c r="AN135" s="1"/>
  <c r="AV135" s="1"/>
  <c r="U135"/>
  <c r="V135"/>
  <c r="W135"/>
  <c r="X135"/>
  <c r="Y135"/>
  <c r="Z135"/>
  <c r="AA135"/>
  <c r="AB135"/>
  <c r="AC135"/>
  <c r="AD135"/>
  <c r="AE135"/>
  <c r="AF135"/>
  <c r="AG135"/>
  <c r="AH135"/>
  <c r="AI135"/>
  <c r="AJ135"/>
  <c r="AK135"/>
  <c r="AM135"/>
  <c r="S136"/>
  <c r="T136"/>
  <c r="U136"/>
  <c r="V136"/>
  <c r="W136"/>
  <c r="X136"/>
  <c r="Y136"/>
  <c r="Z136"/>
  <c r="AA136"/>
  <c r="AB136"/>
  <c r="AC136"/>
  <c r="AD136"/>
  <c r="AE136"/>
  <c r="AF136"/>
  <c r="AG136"/>
  <c r="AH136"/>
  <c r="AI136"/>
  <c r="AJ136"/>
  <c r="AK136"/>
  <c r="AM136"/>
  <c r="S137"/>
  <c r="T137"/>
  <c r="U137"/>
  <c r="V137"/>
  <c r="W137"/>
  <c r="X137"/>
  <c r="Y137"/>
  <c r="Z137"/>
  <c r="AL137"/>
  <c r="AN137" s="1"/>
  <c r="AV137" s="1"/>
  <c r="AA137"/>
  <c r="AB137"/>
  <c r="AC137"/>
  <c r="AD137"/>
  <c r="AE137"/>
  <c r="AF137"/>
  <c r="AG137"/>
  <c r="AH137"/>
  <c r="AI137"/>
  <c r="AJ137"/>
  <c r="AK137"/>
  <c r="AM137"/>
  <c r="S138"/>
  <c r="T138"/>
  <c r="U138"/>
  <c r="V138"/>
  <c r="AL138"/>
  <c r="AN138" s="1"/>
  <c r="AV138" s="1"/>
  <c r="W138"/>
  <c r="X138"/>
  <c r="Y138"/>
  <c r="Z138"/>
  <c r="AA138"/>
  <c r="AB138"/>
  <c r="AC138"/>
  <c r="AD138"/>
  <c r="AE138"/>
  <c r="AF138"/>
  <c r="AG138"/>
  <c r="AH138"/>
  <c r="AI138"/>
  <c r="AJ138"/>
  <c r="AK138"/>
  <c r="AM138"/>
  <c r="S139"/>
  <c r="T139"/>
  <c r="AL139"/>
  <c r="AN139" s="1"/>
  <c r="AV139" s="1"/>
  <c r="U139"/>
  <c r="V139"/>
  <c r="W139"/>
  <c r="X139"/>
  <c r="Y139"/>
  <c r="Z139"/>
  <c r="AA139"/>
  <c r="AB139"/>
  <c r="AC139"/>
  <c r="AD139"/>
  <c r="AE139"/>
  <c r="AF139"/>
  <c r="AG139"/>
  <c r="AH139"/>
  <c r="AI139"/>
  <c r="AJ139"/>
  <c r="AK139"/>
  <c r="AM139"/>
  <c r="S140"/>
  <c r="T140"/>
  <c r="U140"/>
  <c r="V140"/>
  <c r="W140"/>
  <c r="X140"/>
  <c r="Y140"/>
  <c r="Z140"/>
  <c r="AA140"/>
  <c r="AB140"/>
  <c r="AC140"/>
  <c r="AD140"/>
  <c r="AE140"/>
  <c r="AF140"/>
  <c r="AG140"/>
  <c r="AH140"/>
  <c r="AI140"/>
  <c r="AJ140"/>
  <c r="AK140"/>
  <c r="AM140"/>
  <c r="S142"/>
  <c r="T142"/>
  <c r="U142"/>
  <c r="V142"/>
  <c r="W142"/>
  <c r="X142"/>
  <c r="Y142"/>
  <c r="Z142"/>
  <c r="AA142"/>
  <c r="AB142"/>
  <c r="AC142"/>
  <c r="AD142"/>
  <c r="AE142"/>
  <c r="AF142"/>
  <c r="AG142"/>
  <c r="AH142"/>
  <c r="AI142"/>
  <c r="AJ142"/>
  <c r="AK142"/>
  <c r="AM142"/>
  <c r="S143"/>
  <c r="T143"/>
  <c r="U143"/>
  <c r="V143"/>
  <c r="W143"/>
  <c r="X143"/>
  <c r="Y143"/>
  <c r="Z143"/>
  <c r="AA143"/>
  <c r="AB143"/>
  <c r="AC143"/>
  <c r="AD143"/>
  <c r="AE143"/>
  <c r="AF143"/>
  <c r="AG143"/>
  <c r="AH143"/>
  <c r="AI143"/>
  <c r="AJ143"/>
  <c r="AK143"/>
  <c r="AM143"/>
  <c r="S144"/>
  <c r="T144"/>
  <c r="U144"/>
  <c r="V144"/>
  <c r="W144"/>
  <c r="X144"/>
  <c r="Y144"/>
  <c r="Z144"/>
  <c r="AA144"/>
  <c r="AB144"/>
  <c r="AC144"/>
  <c r="AD144"/>
  <c r="AE144"/>
  <c r="AL144"/>
  <c r="AN144" s="1"/>
  <c r="AV144" s="1"/>
  <c r="AF144"/>
  <c r="AG144"/>
  <c r="AH144"/>
  <c r="AI144"/>
  <c r="AJ144"/>
  <c r="AK144"/>
  <c r="AM144"/>
  <c r="S145"/>
  <c r="T145"/>
  <c r="U145"/>
  <c r="V145"/>
  <c r="W145"/>
  <c r="X145"/>
  <c r="Y145"/>
  <c r="Z145"/>
  <c r="AA145"/>
  <c r="AB145"/>
  <c r="AC145"/>
  <c r="AD145"/>
  <c r="AE145"/>
  <c r="AF145"/>
  <c r="AG145"/>
  <c r="AH145"/>
  <c r="AI145"/>
  <c r="AJ145"/>
  <c r="AK145"/>
  <c r="AM145"/>
  <c r="S146"/>
  <c r="T146"/>
  <c r="U146"/>
  <c r="V146"/>
  <c r="W146"/>
  <c r="X146"/>
  <c r="Y146"/>
  <c r="Z146"/>
  <c r="AA146"/>
  <c r="AB146"/>
  <c r="AC146"/>
  <c r="AD146"/>
  <c r="AE146"/>
  <c r="AF146"/>
  <c r="AG146"/>
  <c r="AH146"/>
  <c r="AI146"/>
  <c r="AJ146"/>
  <c r="AK146"/>
  <c r="AM146"/>
  <c r="S147"/>
  <c r="T147"/>
  <c r="U147"/>
  <c r="V147"/>
  <c r="W147"/>
  <c r="X147"/>
  <c r="Y147"/>
  <c r="Z147"/>
  <c r="AA147"/>
  <c r="AB147"/>
  <c r="AC147"/>
  <c r="AD147"/>
  <c r="AE147"/>
  <c r="AF147"/>
  <c r="AG147"/>
  <c r="AH147"/>
  <c r="AI147"/>
  <c r="AJ147"/>
  <c r="AK147"/>
  <c r="AM147"/>
  <c r="S148"/>
  <c r="T148"/>
  <c r="U148"/>
  <c r="V148"/>
  <c r="W148"/>
  <c r="X148"/>
  <c r="Y148"/>
  <c r="Z148"/>
  <c r="AA148"/>
  <c r="AB148"/>
  <c r="AL148"/>
  <c r="AN148" s="1"/>
  <c r="AV148" s="1"/>
  <c r="AC148"/>
  <c r="AD148"/>
  <c r="AE148"/>
  <c r="AF148"/>
  <c r="AG148"/>
  <c r="AH148"/>
  <c r="AI148"/>
  <c r="AJ148"/>
  <c r="AK148"/>
  <c r="AM148"/>
  <c r="S149"/>
  <c r="T149"/>
  <c r="U149"/>
  <c r="V149"/>
  <c r="W149"/>
  <c r="X149"/>
  <c r="AL149"/>
  <c r="AN149" s="1"/>
  <c r="AV149" s="1"/>
  <c r="Y149"/>
  <c r="Z149"/>
  <c r="AA149"/>
  <c r="AB149"/>
  <c r="AC149"/>
  <c r="AD149"/>
  <c r="AE149"/>
  <c r="AF149"/>
  <c r="AG149"/>
  <c r="AH149"/>
  <c r="AI149"/>
  <c r="AJ149"/>
  <c r="AK149"/>
  <c r="AM149"/>
  <c r="S150"/>
  <c r="T150"/>
  <c r="U150"/>
  <c r="V150"/>
  <c r="W150"/>
  <c r="X150"/>
  <c r="Y150"/>
  <c r="Z150"/>
  <c r="AA150"/>
  <c r="AB150"/>
  <c r="AC150"/>
  <c r="AD150"/>
  <c r="AE150"/>
  <c r="AF150"/>
  <c r="AG150"/>
  <c r="AH150"/>
  <c r="AI150"/>
  <c r="AJ150"/>
  <c r="AK150"/>
  <c r="AM150"/>
  <c r="S151"/>
  <c r="T151"/>
  <c r="AL151"/>
  <c r="AN151" s="1"/>
  <c r="AV151" s="1"/>
  <c r="U151"/>
  <c r="V151"/>
  <c r="W151"/>
  <c r="X151"/>
  <c r="Y151"/>
  <c r="Z151"/>
  <c r="AA151"/>
  <c r="AB151"/>
  <c r="AC151"/>
  <c r="AD151"/>
  <c r="AE151"/>
  <c r="AF151"/>
  <c r="AG151"/>
  <c r="AH151"/>
  <c r="AI151"/>
  <c r="AJ151"/>
  <c r="AK151"/>
  <c r="AM151"/>
  <c r="S152"/>
  <c r="T152"/>
  <c r="U152"/>
  <c r="V152"/>
  <c r="W152"/>
  <c r="X152"/>
  <c r="Y152"/>
  <c r="Z152"/>
  <c r="AA152"/>
  <c r="AB152"/>
  <c r="AL152"/>
  <c r="AN152" s="1"/>
  <c r="AV152" s="1"/>
  <c r="AC152"/>
  <c r="AD152"/>
  <c r="AE152"/>
  <c r="AF152"/>
  <c r="AG152"/>
  <c r="AH152"/>
  <c r="AI152"/>
  <c r="AJ152"/>
  <c r="AK152"/>
  <c r="AM152"/>
  <c r="S153"/>
  <c r="T153"/>
  <c r="U153"/>
  <c r="V153"/>
  <c r="W153"/>
  <c r="X153"/>
  <c r="AL153"/>
  <c r="AN153" s="1"/>
  <c r="AV153" s="1"/>
  <c r="Y153"/>
  <c r="Z153"/>
  <c r="AA153"/>
  <c r="AB153"/>
  <c r="AC153"/>
  <c r="AD153"/>
  <c r="AE153"/>
  <c r="AF153"/>
  <c r="AG153"/>
  <c r="AH153"/>
  <c r="AI153"/>
  <c r="AJ153"/>
  <c r="AK153"/>
  <c r="AM153"/>
  <c r="S154"/>
  <c r="T154"/>
  <c r="U154"/>
  <c r="V154"/>
  <c r="W154"/>
  <c r="X154"/>
  <c r="Y154"/>
  <c r="Z154"/>
  <c r="AA154"/>
  <c r="AB154"/>
  <c r="AC154"/>
  <c r="AD154"/>
  <c r="AE154"/>
  <c r="AF154"/>
  <c r="AG154"/>
  <c r="AH154"/>
  <c r="AI154"/>
  <c r="AJ154"/>
  <c r="AK154"/>
  <c r="S155"/>
  <c r="T155"/>
  <c r="U155"/>
  <c r="V155"/>
  <c r="W155"/>
  <c r="X155"/>
  <c r="Y155"/>
  <c r="Z155"/>
  <c r="AA155"/>
  <c r="AB155"/>
  <c r="AC155"/>
  <c r="AD155"/>
  <c r="AE155"/>
  <c r="AF155"/>
  <c r="AG155"/>
  <c r="AL155"/>
  <c r="AN155" s="1"/>
  <c r="AV155" s="1"/>
  <c r="AH155"/>
  <c r="AI155"/>
  <c r="AJ155"/>
  <c r="AK155"/>
  <c r="S156"/>
  <c r="T156"/>
  <c r="U156"/>
  <c r="V156"/>
  <c r="W156"/>
  <c r="X156"/>
  <c r="Y156"/>
  <c r="Z156"/>
  <c r="AA156"/>
  <c r="AB156"/>
  <c r="AC156"/>
  <c r="AE156"/>
  <c r="AF156"/>
  <c r="AG156"/>
  <c r="AH156"/>
  <c r="AI156"/>
  <c r="AJ156"/>
  <c r="AK156"/>
  <c r="S157"/>
  <c r="T157"/>
  <c r="U157"/>
  <c r="V157"/>
  <c r="W157"/>
  <c r="X157"/>
  <c r="Y157"/>
  <c r="Z157"/>
  <c r="AA157"/>
  <c r="AB157"/>
  <c r="AL157"/>
  <c r="AN157" s="1"/>
  <c r="AV157" s="1"/>
  <c r="AC157"/>
  <c r="AD157"/>
  <c r="AE157"/>
  <c r="AF157"/>
  <c r="AG157"/>
  <c r="AH157"/>
  <c r="AI157"/>
  <c r="AJ157"/>
  <c r="AK157"/>
  <c r="S158"/>
  <c r="T158"/>
  <c r="U158"/>
  <c r="V158"/>
  <c r="W158"/>
  <c r="X158"/>
  <c r="Y158"/>
  <c r="AL158"/>
  <c r="AN158" s="1"/>
  <c r="AV158" s="1"/>
  <c r="Z158"/>
  <c r="AA158"/>
  <c r="AB158"/>
  <c r="AC158"/>
  <c r="AD158"/>
  <c r="AE158"/>
  <c r="AF158"/>
  <c r="AG158"/>
  <c r="AH158"/>
  <c r="AI158"/>
  <c r="AJ158"/>
  <c r="AK158"/>
  <c r="S159"/>
  <c r="T159"/>
  <c r="U159"/>
  <c r="V159"/>
  <c r="AL159"/>
  <c r="AN159" s="1"/>
  <c r="AV159" s="1"/>
  <c r="W159"/>
  <c r="X159"/>
  <c r="Y159"/>
  <c r="Z159"/>
  <c r="AA159"/>
  <c r="AB159"/>
  <c r="AC159"/>
  <c r="AD159"/>
  <c r="AE159"/>
  <c r="AF159"/>
  <c r="AG159"/>
  <c r="AH159"/>
  <c r="AI159"/>
  <c r="AJ159"/>
  <c r="AK159"/>
  <c r="S160"/>
  <c r="AL160"/>
  <c r="AN160" s="1"/>
  <c r="AV160" s="1"/>
  <c r="T160"/>
  <c r="U160"/>
  <c r="V160"/>
  <c r="W160"/>
  <c r="X160"/>
  <c r="Y160"/>
  <c r="Z160"/>
  <c r="AA160"/>
  <c r="AB160"/>
  <c r="AC160"/>
  <c r="AD160"/>
  <c r="AE160"/>
  <c r="AF160"/>
  <c r="AG160"/>
  <c r="AH160"/>
  <c r="AI160"/>
  <c r="AJ160"/>
  <c r="AK160"/>
  <c r="S161"/>
  <c r="T161"/>
  <c r="U161"/>
  <c r="V161"/>
  <c r="W161"/>
  <c r="X161"/>
  <c r="Y161"/>
  <c r="Z161"/>
  <c r="AA161"/>
  <c r="AB161"/>
  <c r="AC161"/>
  <c r="AD161"/>
  <c r="AE161"/>
  <c r="AF161"/>
  <c r="AG161"/>
  <c r="AH161"/>
  <c r="AI161"/>
  <c r="AJ161"/>
  <c r="AK161"/>
  <c r="S162"/>
  <c r="T162"/>
  <c r="U162"/>
  <c r="V162"/>
  <c r="W162"/>
  <c r="X162"/>
  <c r="Y162"/>
  <c r="Z162"/>
  <c r="AL162"/>
  <c r="AN162"/>
  <c r="AV162" s="1"/>
  <c r="AA162"/>
  <c r="AB162"/>
  <c r="AC162"/>
  <c r="AD162"/>
  <c r="AE162"/>
  <c r="AF162"/>
  <c r="AG162"/>
  <c r="AH162"/>
  <c r="AI162"/>
  <c r="AJ162"/>
  <c r="AK162"/>
  <c r="S163"/>
  <c r="T163"/>
  <c r="U163"/>
  <c r="V163"/>
  <c r="W163"/>
  <c r="X163"/>
  <c r="Y163"/>
  <c r="Z163"/>
  <c r="AA163"/>
  <c r="AB163"/>
  <c r="AC163"/>
  <c r="AD163"/>
  <c r="AE163"/>
  <c r="AF163"/>
  <c r="AG163"/>
  <c r="AH163"/>
  <c r="AI163"/>
  <c r="AJ163"/>
  <c r="AK163"/>
  <c r="AM163"/>
  <c r="S164"/>
  <c r="T164"/>
  <c r="U164"/>
  <c r="V164"/>
  <c r="W164"/>
  <c r="X164"/>
  <c r="Y164"/>
  <c r="Z164"/>
  <c r="AA164"/>
  <c r="AB164"/>
  <c r="AC164"/>
  <c r="AD164"/>
  <c r="AE164"/>
  <c r="AF164"/>
  <c r="AG164"/>
  <c r="AH164"/>
  <c r="AI164"/>
  <c r="AJ164"/>
  <c r="AK164"/>
  <c r="AM164"/>
  <c r="S165"/>
  <c r="T165"/>
  <c r="U165"/>
  <c r="V165"/>
  <c r="W165"/>
  <c r="X165"/>
  <c r="Y165"/>
  <c r="Z165"/>
  <c r="AA165"/>
  <c r="AB165"/>
  <c r="AC165"/>
  <c r="AD165"/>
  <c r="AE165"/>
  <c r="AF165"/>
  <c r="AG165"/>
  <c r="AH165"/>
  <c r="AI165"/>
  <c r="AJ165"/>
  <c r="AK165"/>
  <c r="AM165"/>
  <c r="S166"/>
  <c r="T166"/>
  <c r="U166"/>
  <c r="V166"/>
  <c r="W166"/>
  <c r="X166"/>
  <c r="Y166"/>
  <c r="Z166"/>
  <c r="AA166"/>
  <c r="AB166"/>
  <c r="AC166"/>
  <c r="AD166"/>
  <c r="AE166"/>
  <c r="AF166"/>
  <c r="AG166"/>
  <c r="AH166"/>
  <c r="AI166"/>
  <c r="AJ166"/>
  <c r="AK166"/>
  <c r="AM166"/>
  <c r="S167"/>
  <c r="T167"/>
  <c r="U167"/>
  <c r="V167"/>
  <c r="W167"/>
  <c r="AL167"/>
  <c r="AN167" s="1"/>
  <c r="AV167" s="1"/>
  <c r="X167"/>
  <c r="Y167"/>
  <c r="Z167"/>
  <c r="AA167"/>
  <c r="AB167"/>
  <c r="AC167"/>
  <c r="AD167"/>
  <c r="AE167"/>
  <c r="AF167"/>
  <c r="AG167"/>
  <c r="AH167"/>
  <c r="AI167"/>
  <c r="AJ167"/>
  <c r="AK167"/>
  <c r="AM167"/>
  <c r="S168"/>
  <c r="T168"/>
  <c r="U168"/>
  <c r="V168"/>
  <c r="W168"/>
  <c r="X168"/>
  <c r="Y168"/>
  <c r="Z168"/>
  <c r="AA168"/>
  <c r="AB168"/>
  <c r="AC168"/>
  <c r="AD168"/>
  <c r="AE168"/>
  <c r="AF168"/>
  <c r="AG168"/>
  <c r="AH168"/>
  <c r="AI168"/>
  <c r="AJ168"/>
  <c r="AK168"/>
  <c r="AM168"/>
  <c r="S169"/>
  <c r="T169"/>
  <c r="U169"/>
  <c r="V169"/>
  <c r="W169"/>
  <c r="X169"/>
  <c r="Y169"/>
  <c r="Z169"/>
  <c r="AA169"/>
  <c r="AB169"/>
  <c r="AC169"/>
  <c r="AD169"/>
  <c r="AL169"/>
  <c r="AN169" s="1"/>
  <c r="AV169" s="1"/>
  <c r="AE169"/>
  <c r="AF169"/>
  <c r="AG169"/>
  <c r="AH169"/>
  <c r="AI169"/>
  <c r="AJ169"/>
  <c r="AK169"/>
  <c r="AM169"/>
  <c r="S170"/>
  <c r="T170"/>
  <c r="U170"/>
  <c r="V170"/>
  <c r="W170"/>
  <c r="X170"/>
  <c r="Y170"/>
  <c r="Z170"/>
  <c r="AA170"/>
  <c r="AB170"/>
  <c r="AC170"/>
  <c r="AD170"/>
  <c r="AE170"/>
  <c r="AF170"/>
  <c r="AG170"/>
  <c r="AH170"/>
  <c r="AI170"/>
  <c r="AJ170"/>
  <c r="AK170"/>
  <c r="AM170"/>
  <c r="S171"/>
  <c r="T171"/>
  <c r="U171"/>
  <c r="V171"/>
  <c r="W171"/>
  <c r="X171"/>
  <c r="Y171"/>
  <c r="Z171"/>
  <c r="AA171"/>
  <c r="AB171"/>
  <c r="AC171"/>
  <c r="AD171"/>
  <c r="AE171"/>
  <c r="AF171"/>
  <c r="AG171"/>
  <c r="AH171"/>
  <c r="AI171"/>
  <c r="AJ171"/>
  <c r="AK171"/>
  <c r="AM171"/>
  <c r="S172"/>
  <c r="T172"/>
  <c r="U172"/>
  <c r="V172"/>
  <c r="W172"/>
  <c r="X172"/>
  <c r="Y172"/>
  <c r="Z172"/>
  <c r="AA172"/>
  <c r="AB172"/>
  <c r="AC172"/>
  <c r="AD172"/>
  <c r="AE172"/>
  <c r="AF172"/>
  <c r="AG172"/>
  <c r="AH172"/>
  <c r="AI172"/>
  <c r="AJ172"/>
  <c r="AK172"/>
  <c r="AM172"/>
  <c r="S173"/>
  <c r="T173"/>
  <c r="U173"/>
  <c r="V173"/>
  <c r="W173"/>
  <c r="X173"/>
  <c r="Y173"/>
  <c r="Z173"/>
  <c r="AA173"/>
  <c r="AB173"/>
  <c r="AC173"/>
  <c r="AD173"/>
  <c r="AE173"/>
  <c r="AF173"/>
  <c r="AG173"/>
  <c r="AH173"/>
  <c r="AI173"/>
  <c r="AJ173"/>
  <c r="AK173"/>
  <c r="AM173"/>
  <c r="S174"/>
  <c r="T174"/>
  <c r="U174"/>
  <c r="V174"/>
  <c r="W174"/>
  <c r="X174"/>
  <c r="Y174"/>
  <c r="Z174"/>
  <c r="AL174"/>
  <c r="AN174" s="1"/>
  <c r="AV174" s="1"/>
  <c r="AA174"/>
  <c r="AB174"/>
  <c r="AC174"/>
  <c r="AD174"/>
  <c r="AE174"/>
  <c r="AF174"/>
  <c r="AG174"/>
  <c r="AH174"/>
  <c r="AI174"/>
  <c r="AJ174"/>
  <c r="AK174"/>
  <c r="AM174"/>
  <c r="S175"/>
  <c r="T175"/>
  <c r="U175"/>
  <c r="V175"/>
  <c r="W175"/>
  <c r="X175"/>
  <c r="Y175"/>
  <c r="Z175"/>
  <c r="AA175"/>
  <c r="AB175"/>
  <c r="AC175"/>
  <c r="AD175"/>
  <c r="AE175"/>
  <c r="AF175"/>
  <c r="AG175"/>
  <c r="AH175"/>
  <c r="AI175"/>
  <c r="AJ175"/>
  <c r="AK175"/>
  <c r="AM175"/>
  <c r="S176"/>
  <c r="T176"/>
  <c r="U176"/>
  <c r="V176"/>
  <c r="W176"/>
  <c r="X176"/>
  <c r="Y176"/>
  <c r="Z176"/>
  <c r="AA176"/>
  <c r="AB176"/>
  <c r="AC176"/>
  <c r="AD176"/>
  <c r="AE176"/>
  <c r="AF176"/>
  <c r="AG176"/>
  <c r="AH176"/>
  <c r="AI176"/>
  <c r="AJ176"/>
  <c r="AK176"/>
  <c r="AM176"/>
  <c r="R177"/>
  <c r="T177"/>
  <c r="U177"/>
  <c r="V177"/>
  <c r="W177"/>
  <c r="X177"/>
  <c r="Y177"/>
  <c r="Z177"/>
  <c r="AA177"/>
  <c r="AB177"/>
  <c r="AC177"/>
  <c r="AD177"/>
  <c r="AE177"/>
  <c r="AF177"/>
  <c r="AG177"/>
  <c r="AH177"/>
  <c r="AI177"/>
  <c r="AJ177"/>
  <c r="AK177"/>
  <c r="AM177"/>
  <c r="R178"/>
  <c r="T178"/>
  <c r="U178"/>
  <c r="V178"/>
  <c r="W178"/>
  <c r="X178"/>
  <c r="Y178"/>
  <c r="Z178"/>
  <c r="AL178"/>
  <c r="AN178" s="1"/>
  <c r="AV178" s="1"/>
  <c r="AA178"/>
  <c r="AB178"/>
  <c r="AC178"/>
  <c r="AD178"/>
  <c r="AE178"/>
  <c r="AF178"/>
  <c r="AG178"/>
  <c r="AH178"/>
  <c r="AI178"/>
  <c r="AJ178"/>
  <c r="AK178"/>
  <c r="AM178"/>
  <c r="S179"/>
  <c r="T179"/>
  <c r="U179"/>
  <c r="V179"/>
  <c r="W179"/>
  <c r="X179"/>
  <c r="Y179"/>
  <c r="Z179"/>
  <c r="AA179"/>
  <c r="AB179"/>
  <c r="AC179"/>
  <c r="AD179"/>
  <c r="AE179"/>
  <c r="AF179"/>
  <c r="AG179"/>
  <c r="AH179"/>
  <c r="AI179"/>
  <c r="AJ179"/>
  <c r="AK179"/>
  <c r="AM179"/>
  <c r="S180"/>
  <c r="T180"/>
  <c r="U180"/>
  <c r="V180"/>
  <c r="W180"/>
  <c r="X180"/>
  <c r="Y180"/>
  <c r="Z180"/>
  <c r="AA180"/>
  <c r="AB180"/>
  <c r="AC180"/>
  <c r="AD180"/>
  <c r="AE180"/>
  <c r="AF180"/>
  <c r="AG180"/>
  <c r="AH180"/>
  <c r="AL180"/>
  <c r="AN180" s="1"/>
  <c r="AV180" s="1"/>
  <c r="AI180"/>
  <c r="AJ180"/>
  <c r="AK180"/>
  <c r="AM180"/>
  <c r="S181"/>
  <c r="T181"/>
  <c r="U181"/>
  <c r="V181"/>
  <c r="W181"/>
  <c r="X181"/>
  <c r="Y181"/>
  <c r="Z181"/>
  <c r="AA181"/>
  <c r="AB181"/>
  <c r="AC181"/>
  <c r="AD181"/>
  <c r="AE181"/>
  <c r="AF181"/>
  <c r="AG181"/>
  <c r="AH181"/>
  <c r="AI181"/>
  <c r="AJ181"/>
  <c r="AK181"/>
  <c r="AM181"/>
  <c r="S182"/>
  <c r="T182"/>
  <c r="U182"/>
  <c r="V182"/>
  <c r="W182"/>
  <c r="X182"/>
  <c r="Y182"/>
  <c r="Z182"/>
  <c r="AA182"/>
  <c r="AB182"/>
  <c r="AC182"/>
  <c r="AD182"/>
  <c r="AE182"/>
  <c r="AF182"/>
  <c r="AG182"/>
  <c r="AH182"/>
  <c r="AI182"/>
  <c r="AJ182"/>
  <c r="AK182"/>
  <c r="AM182"/>
  <c r="AD183"/>
  <c r="AE183"/>
  <c r="AF183"/>
  <c r="AG183"/>
  <c r="AH183"/>
  <c r="AI183"/>
  <c r="AJ183"/>
  <c r="AK183"/>
  <c r="AM183"/>
  <c r="AD184"/>
  <c r="AE184"/>
  <c r="AF184"/>
  <c r="AG184"/>
  <c r="AH184"/>
  <c r="AI184"/>
  <c r="AJ184"/>
  <c r="AK184"/>
  <c r="AM184"/>
  <c r="AD185"/>
  <c r="AE185"/>
  <c r="AF185"/>
  <c r="AG185"/>
  <c r="AH185"/>
  <c r="AI185"/>
  <c r="AJ185"/>
  <c r="AK185"/>
  <c r="AM185"/>
  <c r="AD186"/>
  <c r="AE186"/>
  <c r="AF186"/>
  <c r="AG186"/>
  <c r="AH186"/>
  <c r="AI186"/>
  <c r="AJ186"/>
  <c r="AK186"/>
  <c r="AM186"/>
  <c r="AD187"/>
  <c r="AE187"/>
  <c r="AF187"/>
  <c r="AG187"/>
  <c r="AH187"/>
  <c r="AI187"/>
  <c r="AJ187"/>
  <c r="AK187"/>
  <c r="AM187"/>
  <c r="AD188"/>
  <c r="AE188"/>
  <c r="AF188"/>
  <c r="AG188"/>
  <c r="AH188"/>
  <c r="AI188"/>
  <c r="AJ188"/>
  <c r="AK188"/>
  <c r="AM188"/>
  <c r="AD189"/>
  <c r="AE189"/>
  <c r="AF189"/>
  <c r="AG189"/>
  <c r="AH189"/>
  <c r="AI189"/>
  <c r="AJ189"/>
  <c r="AK189"/>
  <c r="AM189"/>
  <c r="AD190"/>
  <c r="AE190"/>
  <c r="AF190"/>
  <c r="AG190"/>
  <c r="AH190"/>
  <c r="AI190"/>
  <c r="AJ190"/>
  <c r="AK190"/>
  <c r="AM190"/>
  <c r="W191"/>
  <c r="X191"/>
  <c r="Y191"/>
  <c r="Z191"/>
  <c r="AA191"/>
  <c r="AB191"/>
  <c r="AC191"/>
  <c r="AD191"/>
  <c r="AE191"/>
  <c r="AF191"/>
  <c r="AG191"/>
  <c r="AH191"/>
  <c r="AI191"/>
  <c r="AJ191"/>
  <c r="AK191"/>
  <c r="AM191"/>
  <c r="W192"/>
  <c r="X192"/>
  <c r="Y192"/>
  <c r="Z192"/>
  <c r="AA192"/>
  <c r="AB192"/>
  <c r="AC192"/>
  <c r="AD192"/>
  <c r="AE192"/>
  <c r="AF192"/>
  <c r="AG192"/>
  <c r="AH192"/>
  <c r="AI192"/>
  <c r="AJ192"/>
  <c r="AK192"/>
  <c r="AM192"/>
  <c r="W193"/>
  <c r="X193"/>
  <c r="Y193"/>
  <c r="Z193"/>
  <c r="AA193"/>
  <c r="AB193"/>
  <c r="AC193"/>
  <c r="AD193"/>
  <c r="AE193"/>
  <c r="AF193"/>
  <c r="AG193"/>
  <c r="AH193"/>
  <c r="AI193"/>
  <c r="AJ193"/>
  <c r="AK193"/>
  <c r="AM193"/>
  <c r="W194"/>
  <c r="X194"/>
  <c r="Y194"/>
  <c r="Z194"/>
  <c r="AA194"/>
  <c r="AB194"/>
  <c r="AC194"/>
  <c r="AD194"/>
  <c r="AE194"/>
  <c r="AF194"/>
  <c r="AG194"/>
  <c r="AH194"/>
  <c r="AI194"/>
  <c r="AJ194"/>
  <c r="AK194"/>
  <c r="AM194"/>
  <c r="W195"/>
  <c r="X195"/>
  <c r="Y195"/>
  <c r="Z195"/>
  <c r="AA195"/>
  <c r="AB195"/>
  <c r="AC195"/>
  <c r="AD195"/>
  <c r="AE195"/>
  <c r="AF195"/>
  <c r="AG195"/>
  <c r="AH195"/>
  <c r="AI195"/>
  <c r="AJ195"/>
  <c r="AL195"/>
  <c r="AN195" s="1"/>
  <c r="AV195" s="1"/>
  <c r="AK195"/>
  <c r="AM195"/>
  <c r="W196"/>
  <c r="X196"/>
  <c r="Y196"/>
  <c r="Z196"/>
  <c r="AA196"/>
  <c r="AB196"/>
  <c r="AC196"/>
  <c r="AD196"/>
  <c r="AE196"/>
  <c r="AF196"/>
  <c r="AG196"/>
  <c r="AH196"/>
  <c r="AI196"/>
  <c r="AJ196"/>
  <c r="AL196"/>
  <c r="AN196" s="1"/>
  <c r="AV196" s="1"/>
  <c r="AK196"/>
  <c r="AM196"/>
  <c r="W197"/>
  <c r="X197"/>
  <c r="Y197"/>
  <c r="Z197"/>
  <c r="AA197"/>
  <c r="AB197"/>
  <c r="AC197"/>
  <c r="AD197"/>
  <c r="AE197"/>
  <c r="AF197"/>
  <c r="AG197"/>
  <c r="AH197"/>
  <c r="AI197"/>
  <c r="AJ197"/>
  <c r="AK197"/>
  <c r="AM197"/>
  <c r="W198"/>
  <c r="X198"/>
  <c r="Y198"/>
  <c r="Z198"/>
  <c r="AA198"/>
  <c r="AB198"/>
  <c r="AC198"/>
  <c r="AD198"/>
  <c r="AE198"/>
  <c r="AF198"/>
  <c r="AG198"/>
  <c r="AH198"/>
  <c r="AI198"/>
  <c r="AJ198"/>
  <c r="AK198"/>
  <c r="AM198"/>
  <c r="W199"/>
  <c r="X199"/>
  <c r="Y199"/>
  <c r="Z199"/>
  <c r="AA199"/>
  <c r="AB199"/>
  <c r="AC199"/>
  <c r="AD199"/>
  <c r="AE199"/>
  <c r="AF199"/>
  <c r="AG199"/>
  <c r="AH199"/>
  <c r="AI199"/>
  <c r="AJ199"/>
  <c r="AK199"/>
  <c r="AM199"/>
  <c r="W200"/>
  <c r="X200"/>
  <c r="Y200"/>
  <c r="Z200"/>
  <c r="AA200"/>
  <c r="AB200"/>
  <c r="AC200"/>
  <c r="AD200"/>
  <c r="AE200"/>
  <c r="AF200"/>
  <c r="AG200"/>
  <c r="AH200"/>
  <c r="AI200"/>
  <c r="AJ200"/>
  <c r="AK200"/>
  <c r="AM200"/>
  <c r="W201"/>
  <c r="X201"/>
  <c r="Y201"/>
  <c r="Z201"/>
  <c r="AA201"/>
  <c r="AB201"/>
  <c r="AC201"/>
  <c r="AD201"/>
  <c r="AE201"/>
  <c r="AF201"/>
  <c r="AG201"/>
  <c r="AH201"/>
  <c r="AI201"/>
  <c r="AJ201"/>
  <c r="AK201"/>
  <c r="AM201"/>
  <c r="W202"/>
  <c r="X202"/>
  <c r="Y202"/>
  <c r="Z202"/>
  <c r="AA202"/>
  <c r="AB202"/>
  <c r="AC202"/>
  <c r="AD202"/>
  <c r="AE202"/>
  <c r="AF202"/>
  <c r="AG202"/>
  <c r="AH202"/>
  <c r="AI202"/>
  <c r="AJ202"/>
  <c r="AK202"/>
  <c r="AM202"/>
  <c r="W203"/>
  <c r="X203"/>
  <c r="Y203"/>
  <c r="Z203"/>
  <c r="AA203"/>
  <c r="AB203"/>
  <c r="AC203"/>
  <c r="AL203"/>
  <c r="AN203" s="1"/>
  <c r="AV203" s="1"/>
  <c r="AD203"/>
  <c r="AE203"/>
  <c r="AF203"/>
  <c r="AG203"/>
  <c r="AH203"/>
  <c r="AI203"/>
  <c r="AJ203"/>
  <c r="AK203"/>
  <c r="AM203"/>
  <c r="W204"/>
  <c r="X204"/>
  <c r="Y204"/>
  <c r="Z204"/>
  <c r="AA204"/>
  <c r="AB204"/>
  <c r="AC204"/>
  <c r="AL204"/>
  <c r="AN204" s="1"/>
  <c r="AV204" s="1"/>
  <c r="AD204"/>
  <c r="AE204"/>
  <c r="AF204"/>
  <c r="AG204"/>
  <c r="AH204"/>
  <c r="AI204"/>
  <c r="AJ204"/>
  <c r="AK204"/>
  <c r="W205"/>
  <c r="X205"/>
  <c r="Y205"/>
  <c r="AM20"/>
  <c r="AM19"/>
  <c r="AM18"/>
  <c r="AM17"/>
  <c r="AM16"/>
  <c r="AM15"/>
  <c r="AM14"/>
  <c r="AM13"/>
  <c r="AM12"/>
  <c r="AM11"/>
  <c r="AM10"/>
  <c r="AM9"/>
  <c r="AM8"/>
  <c r="AM7"/>
  <c r="AM6"/>
  <c r="AE6"/>
  <c r="AF6"/>
  <c r="AG6"/>
  <c r="AH6"/>
  <c r="AI6"/>
  <c r="AJ6"/>
  <c r="AK6"/>
  <c r="AE7"/>
  <c r="AF7"/>
  <c r="AG7"/>
  <c r="AH7"/>
  <c r="AI7"/>
  <c r="AJ7"/>
  <c r="AK7"/>
  <c r="AE8"/>
  <c r="AF8"/>
  <c r="AG8"/>
  <c r="AH8"/>
  <c r="AI8"/>
  <c r="AJ8"/>
  <c r="AK8"/>
  <c r="AE9"/>
  <c r="AF9"/>
  <c r="AG9"/>
  <c r="AH9"/>
  <c r="AI9"/>
  <c r="AJ9"/>
  <c r="AK9"/>
  <c r="AE10"/>
  <c r="AF10"/>
  <c r="AG10"/>
  <c r="AH10"/>
  <c r="AI10"/>
  <c r="AJ10"/>
  <c r="AK10"/>
  <c r="AE11"/>
  <c r="AF11"/>
  <c r="AG11"/>
  <c r="AH11"/>
  <c r="AI11"/>
  <c r="AJ11"/>
  <c r="AK11"/>
  <c r="AE12"/>
  <c r="AF12"/>
  <c r="AG12"/>
  <c r="AH12"/>
  <c r="AI12"/>
  <c r="AJ12"/>
  <c r="AK12"/>
  <c r="AE13"/>
  <c r="AF13"/>
  <c r="AG13"/>
  <c r="AH13"/>
  <c r="AI13"/>
  <c r="AL13"/>
  <c r="AN13" s="1"/>
  <c r="AV13" s="1"/>
  <c r="AJ13"/>
  <c r="AK13"/>
  <c r="AE14"/>
  <c r="AF14"/>
  <c r="AG14"/>
  <c r="AH14"/>
  <c r="AI14"/>
  <c r="AJ14"/>
  <c r="AK14"/>
  <c r="AE15"/>
  <c r="AF15"/>
  <c r="AG15"/>
  <c r="AH15"/>
  <c r="AI15"/>
  <c r="AJ15"/>
  <c r="AK15"/>
  <c r="AE16"/>
  <c r="AF16"/>
  <c r="AG16"/>
  <c r="AH16"/>
  <c r="AI16"/>
  <c r="AJ16"/>
  <c r="AK16"/>
  <c r="AE17"/>
  <c r="AF17"/>
  <c r="AG17"/>
  <c r="AH17"/>
  <c r="AI17"/>
  <c r="AJ17"/>
  <c r="AK17"/>
  <c r="AE18"/>
  <c r="AF18"/>
  <c r="AG18"/>
  <c r="AH18"/>
  <c r="AI18"/>
  <c r="AJ18"/>
  <c r="AK18"/>
  <c r="AE19"/>
  <c r="AF19"/>
  <c r="AG19"/>
  <c r="AH19"/>
  <c r="AI19"/>
  <c r="AJ19"/>
  <c r="AK19"/>
  <c r="AE20"/>
  <c r="AF20"/>
  <c r="AG20"/>
  <c r="AH20"/>
  <c r="AI20"/>
  <c r="AJ20"/>
  <c r="AK20"/>
  <c r="R6"/>
  <c r="R7"/>
  <c r="R8"/>
  <c r="R9"/>
  <c r="AL9"/>
  <c r="AN9"/>
  <c r="AV9" s="1"/>
  <c r="R10"/>
  <c r="R11"/>
  <c r="AL11"/>
  <c r="AN11" s="1"/>
  <c r="AV11"/>
  <c r="R12"/>
  <c r="R13"/>
  <c r="R14"/>
  <c r="R15"/>
  <c r="R16"/>
  <c r="R17"/>
  <c r="AL17"/>
  <c r="AN17" s="1"/>
  <c r="AV17"/>
  <c r="R18"/>
  <c r="R19"/>
  <c r="R20"/>
  <c r="R21"/>
  <c r="S6"/>
  <c r="S7"/>
  <c r="S8"/>
  <c r="S9"/>
  <c r="S10"/>
  <c r="S11"/>
  <c r="S12"/>
  <c r="S13"/>
  <c r="S14"/>
  <c r="S15"/>
  <c r="S16"/>
  <c r="S17"/>
  <c r="S18"/>
  <c r="S19"/>
  <c r="S20"/>
  <c r="S21"/>
  <c r="T6"/>
  <c r="T7"/>
  <c r="T8"/>
  <c r="T9"/>
  <c r="T10"/>
  <c r="T11"/>
  <c r="T12"/>
  <c r="T13"/>
  <c r="T14"/>
  <c r="T15"/>
  <c r="T16"/>
  <c r="T17"/>
  <c r="T18"/>
  <c r="T19"/>
  <c r="T20"/>
  <c r="T21"/>
  <c r="V6"/>
  <c r="V7"/>
  <c r="V8"/>
  <c r="V9"/>
  <c r="V10"/>
  <c r="AL10"/>
  <c r="AN10" s="1"/>
  <c r="AV10"/>
  <c r="V11"/>
  <c r="V12"/>
  <c r="V13"/>
  <c r="V14"/>
  <c r="V15"/>
  <c r="V16"/>
  <c r="V17"/>
  <c r="V18"/>
  <c r="V19"/>
  <c r="V20"/>
  <c r="V21"/>
  <c r="W6"/>
  <c r="W7"/>
  <c r="W8"/>
  <c r="W9"/>
  <c r="W10"/>
  <c r="W11"/>
  <c r="W12"/>
  <c r="W13"/>
  <c r="W14"/>
  <c r="W15"/>
  <c r="W16"/>
  <c r="W17"/>
  <c r="W18"/>
  <c r="W19"/>
  <c r="W20"/>
  <c r="X6"/>
  <c r="X7"/>
  <c r="X8"/>
  <c r="X9"/>
  <c r="X10"/>
  <c r="X11"/>
  <c r="X12"/>
  <c r="AL12"/>
  <c r="AN12" s="1"/>
  <c r="AV12" s="1"/>
  <c r="X13"/>
  <c r="X14"/>
  <c r="X15"/>
  <c r="X16"/>
  <c r="X17"/>
  <c r="X18"/>
  <c r="X19"/>
  <c r="X20"/>
  <c r="Y6"/>
  <c r="Y7"/>
  <c r="Y8"/>
  <c r="Y9"/>
  <c r="Y10"/>
  <c r="Y11"/>
  <c r="Y12"/>
  <c r="Y13"/>
  <c r="Y14"/>
  <c r="Y15"/>
  <c r="Y16"/>
  <c r="Y17"/>
  <c r="Y18"/>
  <c r="Y19"/>
  <c r="Y20"/>
  <c r="Z6"/>
  <c r="Z7"/>
  <c r="Z8"/>
  <c r="AL8"/>
  <c r="AN8" s="1"/>
  <c r="AV8" s="1"/>
  <c r="Z9"/>
  <c r="Z10"/>
  <c r="Z11"/>
  <c r="Z12"/>
  <c r="Z13"/>
  <c r="Z14"/>
  <c r="Z15"/>
  <c r="Z16"/>
  <c r="Z17"/>
  <c r="Z18"/>
  <c r="Z19"/>
  <c r="Z20"/>
  <c r="AA6"/>
  <c r="AA7"/>
  <c r="AA8"/>
  <c r="AA9"/>
  <c r="AA10"/>
  <c r="AA11"/>
  <c r="AA12"/>
  <c r="AA13"/>
  <c r="AA14"/>
  <c r="AA15"/>
  <c r="AA16"/>
  <c r="AA17"/>
  <c r="AA18"/>
  <c r="AA19"/>
  <c r="AA20"/>
  <c r="AB6"/>
  <c r="AB7"/>
  <c r="AB8"/>
  <c r="AB9"/>
  <c r="AB10"/>
  <c r="AB11"/>
  <c r="AB12"/>
  <c r="AB13"/>
  <c r="AB14"/>
  <c r="AB15"/>
  <c r="AB16"/>
  <c r="AB17"/>
  <c r="AB18"/>
  <c r="AB19"/>
  <c r="AB20"/>
  <c r="AC6"/>
  <c r="AC7"/>
  <c r="AC8"/>
  <c r="AC9"/>
  <c r="AC10"/>
  <c r="AC11"/>
  <c r="AC12"/>
  <c r="AC13"/>
  <c r="AC14"/>
  <c r="AC15"/>
  <c r="AC16"/>
  <c r="AC17"/>
  <c r="AC18"/>
  <c r="AC19"/>
  <c r="AC20"/>
  <c r="AD6"/>
  <c r="AD7"/>
  <c r="AD8"/>
  <c r="AD9"/>
  <c r="AD10"/>
  <c r="AD11"/>
  <c r="AD12"/>
  <c r="AD13"/>
  <c r="AD14"/>
  <c r="AD15"/>
  <c r="AD16"/>
  <c r="AD17"/>
  <c r="AD18"/>
  <c r="AD19"/>
  <c r="AD20"/>
  <c r="U21"/>
  <c r="AM25" i="6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AL25"/>
  <c r="AN25"/>
  <c r="AV25"/>
  <c r="R25"/>
  <c r="AM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AL24"/>
  <c r="AN24"/>
  <c r="AV24"/>
  <c r="AM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AL23"/>
  <c r="AN23"/>
  <c r="AV23"/>
  <c r="R23"/>
  <c r="AM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AL22"/>
  <c r="AN22"/>
  <c r="AV22"/>
  <c r="AM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AL21"/>
  <c r="AN21"/>
  <c r="AV21"/>
  <c r="R21"/>
  <c r="AM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AL20"/>
  <c r="AN20"/>
  <c r="AV20"/>
  <c r="AM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AL19"/>
  <c r="AN19"/>
  <c r="AV19"/>
  <c r="R19"/>
  <c r="AM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AL18"/>
  <c r="AN18"/>
  <c r="AV18"/>
  <c r="AM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AL17"/>
  <c r="AN17"/>
  <c r="AV17"/>
  <c r="R17"/>
  <c r="AM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AL16"/>
  <c r="AN16"/>
  <c r="AV16"/>
  <c r="AM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AL15"/>
  <c r="AN15"/>
  <c r="AV15"/>
  <c r="R15"/>
  <c r="AM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AL14"/>
  <c r="AN14"/>
  <c r="AV14"/>
  <c r="AM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AL13"/>
  <c r="AN13"/>
  <c r="AV13"/>
  <c r="R13"/>
  <c r="AM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AL12"/>
  <c r="AN12"/>
  <c r="AV12"/>
  <c r="AM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AL11"/>
  <c r="AN11"/>
  <c r="AV11"/>
  <c r="R11"/>
  <c r="AM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AL10"/>
  <c r="AN10"/>
  <c r="AV10"/>
  <c r="AM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AL9"/>
  <c r="AN9"/>
  <c r="AV9"/>
  <c r="R9"/>
  <c r="AM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AL8"/>
  <c r="AN8"/>
  <c r="AV8"/>
  <c r="AM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AL7"/>
  <c r="AN7"/>
  <c r="AV7"/>
  <c r="R7"/>
  <c r="AM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AL6"/>
  <c r="AN6"/>
  <c r="AV6"/>
  <c r="A2"/>
  <c r="A2" i="4"/>
  <c r="AL414"/>
  <c r="AN414" s="1"/>
  <c r="AV414" s="1"/>
  <c r="AL421"/>
  <c r="AN421" s="1"/>
  <c r="AV421" s="1"/>
  <c r="AL420"/>
  <c r="AN420" s="1"/>
  <c r="AV420"/>
  <c r="AL415"/>
  <c r="AN415" s="1"/>
  <c r="AV415" s="1"/>
  <c r="AL416"/>
  <c r="AN416" s="1"/>
  <c r="AV416" s="1"/>
  <c r="AL413"/>
  <c r="AN413" s="1"/>
  <c r="AV413" s="1"/>
  <c r="AL411"/>
  <c r="AN411" s="1"/>
  <c r="AV411" s="1"/>
  <c r="AL408"/>
  <c r="AN408" s="1"/>
  <c r="AV408" s="1"/>
  <c r="AL282"/>
  <c r="AN282" s="1"/>
  <c r="AV282" s="1"/>
  <c r="AL281"/>
  <c r="AN281" s="1"/>
  <c r="AV281" s="1"/>
  <c r="AL332"/>
  <c r="AN332" s="1"/>
  <c r="AV332" s="1"/>
  <c r="AL351"/>
  <c r="AN351" s="1"/>
  <c r="AV351" s="1"/>
  <c r="AL353"/>
  <c r="AN353" s="1"/>
  <c r="AV353" s="1"/>
  <c r="AL284"/>
  <c r="AN284" s="1"/>
  <c r="AV284" s="1"/>
  <c r="AL273"/>
  <c r="AN273" s="1"/>
  <c r="AV273" s="1"/>
  <c r="AL400"/>
  <c r="AN400" s="1"/>
  <c r="AV400" s="1"/>
  <c r="AL294"/>
  <c r="AN294" s="1"/>
  <c r="AV294" s="1"/>
  <c r="AL330"/>
  <c r="AN330" s="1"/>
  <c r="AV330" s="1"/>
  <c r="AL367"/>
  <c r="AN367" s="1"/>
  <c r="AV367" s="1"/>
  <c r="AL398"/>
  <c r="AN398" s="1"/>
  <c r="AV398" s="1"/>
  <c r="AL344"/>
  <c r="AN344" s="1"/>
  <c r="AV344" s="1"/>
  <c r="AL304"/>
  <c r="AN304" s="1"/>
  <c r="AV304" s="1"/>
  <c r="AL306"/>
  <c r="AN306" s="1"/>
  <c r="AV306" s="1"/>
  <c r="AL355"/>
  <c r="AN355" s="1"/>
  <c r="AV355" s="1"/>
  <c r="AL305"/>
  <c r="AN305" s="1"/>
  <c r="AV305" s="1"/>
  <c r="AL275"/>
  <c r="AN275" s="1"/>
  <c r="AV275" s="1"/>
  <c r="AL302"/>
  <c r="AN302" s="1"/>
  <c r="AV302" s="1"/>
  <c r="AL318"/>
  <c r="AN318" s="1"/>
  <c r="AV318" s="1"/>
  <c r="AL327"/>
  <c r="AN327" s="1"/>
  <c r="AV327" s="1"/>
  <c r="AL371"/>
  <c r="AN371" s="1"/>
  <c r="AV371" s="1"/>
  <c r="AL339"/>
  <c r="AN339" s="1"/>
  <c r="AV339" s="1"/>
  <c r="AL374"/>
  <c r="AN374" s="1"/>
  <c r="AV374" s="1"/>
  <c r="AL331"/>
  <c r="AN331" s="1"/>
  <c r="AV331" s="1"/>
  <c r="AL325"/>
  <c r="AN325" s="1"/>
  <c r="AV325" s="1"/>
  <c r="AL365"/>
  <c r="AN365" s="1"/>
  <c r="AV365" s="1"/>
  <c r="AL349"/>
  <c r="AN349" s="1"/>
  <c r="AV349" s="1"/>
  <c r="AL352"/>
  <c r="AN352" s="1"/>
  <c r="AV352" s="1"/>
  <c r="AL280"/>
  <c r="AN280" s="1"/>
  <c r="AV280" s="1"/>
  <c r="AL300"/>
  <c r="AN300" s="1"/>
  <c r="AV300" s="1"/>
  <c r="AL314"/>
  <c r="AN314" s="1"/>
  <c r="AV314" s="1"/>
  <c r="AL335"/>
  <c r="AN335" s="1"/>
  <c r="AV335" s="1"/>
  <c r="AL313"/>
  <c r="AN313" s="1"/>
  <c r="AV313" s="1"/>
  <c r="AL197"/>
  <c r="AN197" s="1"/>
  <c r="AV197" s="1"/>
  <c r="AL86"/>
  <c r="AN86" s="1"/>
  <c r="AV86" s="1"/>
  <c r="AL140"/>
  <c r="AN140" s="1"/>
  <c r="AV140" s="1"/>
  <c r="AL110"/>
  <c r="AN110" s="1"/>
  <c r="AV110" s="1"/>
  <c r="AL105"/>
  <c r="AN105" s="1"/>
  <c r="AV105" s="1"/>
  <c r="AL90"/>
  <c r="AN90" s="1"/>
  <c r="AV90" s="1"/>
  <c r="AL78"/>
  <c r="AN78" s="1"/>
  <c r="AV78" s="1"/>
  <c r="AL74"/>
  <c r="AN74" s="1"/>
  <c r="AV74" s="1"/>
  <c r="AL54"/>
  <c r="AN54" s="1"/>
  <c r="AV54" s="1"/>
  <c r="AL42"/>
  <c r="AN42" s="1"/>
  <c r="AV42" s="1"/>
  <c r="AL34"/>
  <c r="AN34" s="1"/>
  <c r="AV34" s="1"/>
  <c r="AL22"/>
  <c r="AN22" s="1"/>
  <c r="AV22" s="1"/>
  <c r="AL130"/>
  <c r="AN130" s="1"/>
  <c r="AL211"/>
  <c r="AN211" s="1"/>
  <c r="AV211" s="1"/>
  <c r="AL232"/>
  <c r="AN232" s="1"/>
  <c r="AV232" s="1"/>
  <c r="AL287"/>
  <c r="AN287" s="1"/>
  <c r="AV287" s="1"/>
  <c r="AL271"/>
  <c r="AN271" s="1"/>
  <c r="AV271" s="1"/>
  <c r="AL276"/>
  <c r="AN276" s="1"/>
  <c r="AV276" s="1"/>
  <c r="AL307"/>
  <c r="AN307" s="1"/>
  <c r="AV307" s="1"/>
  <c r="AL308"/>
  <c r="AN308" s="1"/>
  <c r="AV308"/>
  <c r="AL309"/>
  <c r="AN309" s="1"/>
  <c r="AV309" s="1"/>
  <c r="AL310"/>
  <c r="AN310" s="1"/>
  <c r="AV310" s="1"/>
  <c r="AL295"/>
  <c r="AN295" s="1"/>
  <c r="AV295" s="1"/>
  <c r="AL409"/>
  <c r="AN409" s="1"/>
  <c r="AV409" s="1"/>
  <c r="AL7"/>
  <c r="AN7" s="1"/>
  <c r="AV7" s="1"/>
  <c r="AL192"/>
  <c r="AN192" s="1"/>
  <c r="AV192" s="1"/>
  <c r="AL405"/>
  <c r="AN405" s="1"/>
  <c r="AV405" s="1"/>
  <c r="AL388"/>
  <c r="AN388" s="1"/>
  <c r="AV388" s="1"/>
  <c r="AL376"/>
  <c r="AN376" s="1"/>
  <c r="AV376" s="1"/>
  <c r="AL369"/>
  <c r="AN369" s="1"/>
  <c r="AV369" s="1"/>
  <c r="AL489"/>
  <c r="AN489" s="1"/>
  <c r="AV489" s="1"/>
  <c r="AL482"/>
  <c r="AN482" s="1"/>
  <c r="AV482" s="1"/>
  <c r="AL473"/>
  <c r="AN473" s="1"/>
  <c r="AV473" s="1"/>
  <c r="AL168"/>
  <c r="AN168" s="1"/>
  <c r="AV168" s="1"/>
  <c r="AL33"/>
  <c r="AN33" s="1"/>
  <c r="AV33" s="1"/>
  <c r="AL230"/>
  <c r="AN230" s="1"/>
  <c r="AV230" s="1"/>
  <c r="AL320"/>
  <c r="AN320" s="1"/>
  <c r="AV320" s="1"/>
  <c r="AL495"/>
  <c r="AN495" s="1"/>
  <c r="AV495" s="1"/>
  <c r="AL492"/>
  <c r="AN492" s="1"/>
  <c r="AV492" s="1"/>
  <c r="AL479"/>
  <c r="AN479" s="1"/>
  <c r="AV479" s="1"/>
  <c r="AL476"/>
  <c r="AN476" s="1"/>
  <c r="AV476" s="1"/>
  <c r="AL460"/>
  <c r="AN460"/>
  <c r="AV460" s="1"/>
  <c r="AL456"/>
  <c r="AN456" s="1"/>
  <c r="AV456" s="1"/>
  <c r="AL453"/>
  <c r="AN453" s="1"/>
  <c r="AV453" s="1"/>
  <c r="AL104"/>
  <c r="AN104" s="1"/>
  <c r="AV104" s="1"/>
  <c r="AL65"/>
  <c r="AN65" s="1"/>
  <c r="AV65" s="1"/>
  <c r="AL48"/>
  <c r="AN48" s="1"/>
  <c r="AV48" s="1"/>
  <c r="AL229"/>
  <c r="AN229" s="1"/>
  <c r="AV229" s="1"/>
  <c r="AL381"/>
  <c r="AN381" s="1"/>
  <c r="AV381" s="1"/>
  <c r="AL317"/>
  <c r="AN317" s="1"/>
  <c r="AV317" s="1"/>
  <c r="AL93"/>
  <c r="AN93" s="1"/>
  <c r="AV93" s="1"/>
  <c r="AL89"/>
  <c r="AN89" s="1"/>
  <c r="AV89"/>
  <c r="AL81"/>
  <c r="AN81" s="1"/>
  <c r="AV81" s="1"/>
  <c r="AL77"/>
  <c r="AN77" s="1"/>
  <c r="AV77" s="1"/>
  <c r="AL69"/>
  <c r="AN69" s="1"/>
  <c r="AV69" s="1"/>
  <c r="AL60"/>
  <c r="AN60" s="1"/>
  <c r="AV60" s="1"/>
  <c r="AL57"/>
  <c r="AN57" s="1"/>
  <c r="AV57" s="1"/>
  <c r="AL53"/>
  <c r="AN53" s="1"/>
  <c r="AV53" s="1"/>
  <c r="AL41"/>
  <c r="AN41"/>
  <c r="AV41" s="1"/>
  <c r="AL141"/>
  <c r="AN141" s="1"/>
  <c r="AL228"/>
  <c r="AN228" s="1"/>
  <c r="AV228" s="1"/>
  <c r="AL257"/>
  <c r="AN257"/>
  <c r="AV257" s="1"/>
  <c r="AL377"/>
  <c r="AN377" s="1"/>
  <c r="AV377" s="1"/>
  <c r="AL361"/>
  <c r="AN361" s="1"/>
  <c r="AV361" s="1"/>
  <c r="AL386"/>
  <c r="AN386" s="1"/>
  <c r="AV386" s="1"/>
  <c r="AL379"/>
  <c r="AN379" s="1"/>
  <c r="AV379" s="1"/>
  <c r="AL472"/>
  <c r="AN472" s="1"/>
  <c r="AV472" s="1"/>
  <c r="AL469"/>
  <c r="AN469" s="1"/>
  <c r="AV469" s="1"/>
  <c r="AL466"/>
  <c r="AN466" s="1"/>
  <c r="AV466" s="1"/>
  <c r="AL462"/>
  <c r="AN462" s="1"/>
  <c r="AV462" s="1"/>
  <c r="AL175"/>
  <c r="AN175" s="1"/>
  <c r="AV175" s="1"/>
  <c r="AL115"/>
  <c r="AN115" s="1"/>
  <c r="AV115" s="1"/>
  <c r="AL315"/>
  <c r="AN315" s="1"/>
  <c r="AV315" s="1"/>
  <c r="AL394"/>
  <c r="AN394" s="1"/>
  <c r="AV394" s="1"/>
  <c r="AL378"/>
  <c r="AN378" s="1"/>
  <c r="AV378" s="1"/>
  <c r="AL362"/>
  <c r="AN362" s="1"/>
  <c r="AV362" s="1"/>
  <c r="AL346"/>
  <c r="AN346" s="1"/>
  <c r="AV346" s="1"/>
  <c r="AL385"/>
  <c r="AN385" s="1"/>
  <c r="AV385" s="1"/>
  <c r="AL425"/>
  <c r="AN425" s="1"/>
  <c r="AV425" s="1"/>
  <c r="AL129"/>
  <c r="AN129" s="1"/>
  <c r="AV129" s="1"/>
  <c r="AL121"/>
  <c r="AN121" s="1"/>
  <c r="AV121" s="1"/>
  <c r="AL99"/>
  <c r="AN99" s="1"/>
  <c r="AV99" s="1"/>
  <c r="AL83"/>
  <c r="AN83" s="1"/>
  <c r="AV83" s="1"/>
  <c r="AL63"/>
  <c r="AN63" s="1"/>
  <c r="AV63" s="1"/>
  <c r="AL205"/>
  <c r="AN205" s="1"/>
  <c r="AV205" s="1"/>
  <c r="AL136"/>
  <c r="AN136" s="1"/>
  <c r="AV136" s="1"/>
  <c r="AL113"/>
  <c r="AN113" s="1"/>
  <c r="AV113" s="1"/>
  <c r="AL40"/>
  <c r="AN40" s="1"/>
  <c r="AV40" s="1"/>
  <c r="AL219"/>
  <c r="AN219" s="1"/>
  <c r="AV219" s="1"/>
  <c r="AL225"/>
  <c r="AN225" s="1"/>
  <c r="AV225" s="1"/>
  <c r="AL292"/>
  <c r="AN292" s="1"/>
  <c r="AV292" s="1"/>
  <c r="AL392"/>
  <c r="AN392" s="1"/>
  <c r="AV392" s="1"/>
  <c r="AL171"/>
  <c r="AN171" s="1"/>
  <c r="AV171" s="1"/>
  <c r="AL92"/>
  <c r="AN92" s="1"/>
  <c r="AV92" s="1"/>
  <c r="AL84"/>
  <c r="AN84" s="1"/>
  <c r="AV84" s="1"/>
  <c r="AL79"/>
  <c r="AN79" s="1"/>
  <c r="AV79" s="1"/>
  <c r="AL52"/>
  <c r="AN52" s="1"/>
  <c r="AV52" s="1"/>
  <c r="AL44"/>
  <c r="AN44" s="1"/>
  <c r="AV44" s="1"/>
  <c r="AL28"/>
  <c r="AN28"/>
  <c r="AV28" s="1"/>
  <c r="AL224"/>
  <c r="AN224" s="1"/>
  <c r="AV224" s="1"/>
  <c r="AL291"/>
  <c r="AN291" s="1"/>
  <c r="AV291" s="1"/>
  <c r="AL312"/>
  <c r="AN312" s="1"/>
  <c r="AV312" s="1"/>
  <c r="AL329"/>
  <c r="AN329" s="1"/>
  <c r="AV329" s="1"/>
  <c r="AL326"/>
  <c r="AN326" s="1"/>
  <c r="AV326" s="1"/>
  <c r="AL323"/>
  <c r="AN323" s="1"/>
  <c r="AV323" s="1"/>
  <c r="AL333"/>
  <c r="AN333" s="1"/>
  <c r="AV333" s="1"/>
  <c r="AL382"/>
  <c r="AN382" s="1"/>
  <c r="AV382"/>
  <c r="AL350"/>
  <c r="AN350" s="1"/>
  <c r="AV350" s="1"/>
  <c r="AL403"/>
  <c r="AN403" s="1"/>
  <c r="AV403" s="1"/>
  <c r="AL401"/>
  <c r="AN401"/>
  <c r="AV401" s="1"/>
  <c r="AL399"/>
  <c r="AN399" s="1"/>
  <c r="AV399" s="1"/>
  <c r="AL419"/>
  <c r="AN419" s="1"/>
  <c r="AV419" s="1"/>
  <c r="AL438"/>
  <c r="AN438" s="1"/>
  <c r="AV438" s="1"/>
  <c r="AL442"/>
  <c r="AN442" s="1"/>
  <c r="AV442" s="1"/>
  <c r="AL166"/>
  <c r="AN166" s="1"/>
  <c r="AV166" s="1"/>
  <c r="AL120"/>
  <c r="AN120" s="1"/>
  <c r="AV120" s="1"/>
  <c r="AL107"/>
  <c r="AN107" s="1"/>
  <c r="AV107" s="1"/>
  <c r="AL100"/>
  <c r="AN100" s="1"/>
  <c r="AV100" s="1"/>
  <c r="AL215"/>
  <c r="AN215" s="1"/>
  <c r="AV215" s="1"/>
  <c r="AL223"/>
  <c r="AN223" s="1"/>
  <c r="AV223" s="1"/>
  <c r="AL238"/>
  <c r="AN238" s="1"/>
  <c r="AV238" s="1"/>
  <c r="AL270"/>
  <c r="AN270"/>
  <c r="AV270" s="1"/>
  <c r="AL311"/>
  <c r="AN311" s="1"/>
  <c r="AV311" s="1"/>
  <c r="AL358"/>
  <c r="AN358" s="1"/>
  <c r="AV358" s="1"/>
  <c r="AL322"/>
  <c r="AN322" s="1"/>
  <c r="AV322" s="1"/>
  <c r="AL424"/>
  <c r="AN424" s="1"/>
  <c r="AV424" s="1"/>
  <c r="AL441"/>
  <c r="AN441" s="1"/>
  <c r="AV441" s="1"/>
  <c r="AL448"/>
  <c r="AN448" s="1"/>
  <c r="AV448" s="1"/>
  <c r="AL445"/>
  <c r="AN445" s="1"/>
  <c r="AV445" s="1"/>
  <c r="AL465"/>
  <c r="AN465" s="1"/>
  <c r="AV465" s="1"/>
  <c r="AL170"/>
  <c r="AN170"/>
  <c r="AV170" s="1"/>
  <c r="AL128"/>
  <c r="AN128" s="1"/>
  <c r="AV128" s="1"/>
  <c r="AL97"/>
  <c r="AN97" s="1"/>
  <c r="AV97" s="1"/>
  <c r="AL71"/>
  <c r="AN71" s="1"/>
  <c r="AV71" s="1"/>
  <c r="AL55"/>
  <c r="AN55" s="1"/>
  <c r="AV55" s="1"/>
  <c r="AL47"/>
  <c r="AN47" s="1"/>
  <c r="AV47" s="1"/>
  <c r="AL216"/>
  <c r="AN216" s="1"/>
  <c r="AV216" s="1"/>
  <c r="AL221"/>
  <c r="AN221" s="1"/>
  <c r="AV221" s="1"/>
  <c r="AL222"/>
  <c r="AN222" s="1"/>
  <c r="AV222"/>
  <c r="AL301"/>
  <c r="AN301" s="1"/>
  <c r="AV301" s="1"/>
  <c r="AL373"/>
  <c r="AN373" s="1"/>
  <c r="AV373" s="1"/>
  <c r="AL357"/>
  <c r="AN357"/>
  <c r="AV357" s="1"/>
  <c r="AL341"/>
  <c r="AN341" s="1"/>
  <c r="AV341" s="1"/>
  <c r="AL407"/>
  <c r="AN407" s="1"/>
  <c r="AV407" s="1"/>
  <c r="AL342"/>
  <c r="AN342" s="1"/>
  <c r="AV342" s="1"/>
  <c r="AL340"/>
  <c r="AN340" s="1"/>
  <c r="AV340" s="1"/>
  <c r="AL410"/>
  <c r="AN410" s="1"/>
  <c r="AV410" s="1"/>
  <c r="AL423"/>
  <c r="AN423" s="1"/>
  <c r="AV423" s="1"/>
  <c r="AL433"/>
  <c r="AN433" s="1"/>
  <c r="AV433" s="1"/>
  <c r="AL429"/>
  <c r="AN429" s="1"/>
  <c r="AV429" s="1"/>
  <c r="AL468"/>
  <c r="AN468"/>
  <c r="AV468"/>
  <c r="AL452"/>
  <c r="AN452" s="1"/>
  <c r="AV452" s="1"/>
  <c r="AL134"/>
  <c r="AN134" s="1"/>
  <c r="AV134" s="1"/>
  <c r="AL122"/>
  <c r="AN122"/>
  <c r="AV122" s="1"/>
  <c r="AL87"/>
  <c r="AN87" s="1"/>
  <c r="AV87" s="1"/>
  <c r="AL59"/>
  <c r="AN59" s="1"/>
  <c r="AV59" s="1"/>
  <c r="AL39"/>
  <c r="AN39" s="1"/>
  <c r="AV39" s="1"/>
  <c r="AL23"/>
  <c r="AN23" s="1"/>
  <c r="AV23" s="1"/>
  <c r="AL213"/>
  <c r="AN213" s="1"/>
  <c r="AV213" s="1"/>
  <c r="AL274"/>
  <c r="AN274" s="1"/>
  <c r="AV274" s="1"/>
  <c r="AL272"/>
  <c r="AN272" s="1"/>
  <c r="AV272" s="1"/>
  <c r="AL345"/>
  <c r="AN345" s="1"/>
  <c r="AV345" s="1"/>
  <c r="AL402"/>
  <c r="AN402"/>
  <c r="AV402" s="1"/>
  <c r="AL370"/>
  <c r="AN370" s="1"/>
  <c r="AV370" s="1"/>
  <c r="AL354"/>
  <c r="AN354" s="1"/>
  <c r="AV354" s="1"/>
  <c r="AL338"/>
  <c r="AN338" s="1"/>
  <c r="AV338" s="1"/>
  <c r="AL395"/>
  <c r="AN395" s="1"/>
  <c r="AV395" s="1"/>
  <c r="AL347"/>
  <c r="AN347" s="1"/>
  <c r="AV347" s="1"/>
  <c r="AL404"/>
  <c r="AN404" s="1"/>
  <c r="AV404" s="1"/>
  <c r="AL455"/>
  <c r="AN455" s="1"/>
  <c r="AV455" s="1"/>
  <c r="AL193"/>
  <c r="AN193" s="1"/>
  <c r="AV193"/>
  <c r="AL118"/>
  <c r="AN118" s="1"/>
  <c r="AV118" s="1"/>
  <c r="AL91"/>
  <c r="AN91" s="1"/>
  <c r="AV91" s="1"/>
  <c r="AL43"/>
  <c r="AN43"/>
  <c r="AV43" s="1"/>
  <c r="AL35"/>
  <c r="AN35" s="1"/>
  <c r="AV35" s="1"/>
  <c r="AL189"/>
  <c r="AN189" s="1"/>
  <c r="AV189" s="1"/>
  <c r="AL201"/>
  <c r="AN201" s="1"/>
  <c r="AV201" s="1"/>
  <c r="AL210"/>
  <c r="AN210" s="1"/>
  <c r="AV210" s="1"/>
  <c r="AL212"/>
  <c r="AN212" s="1"/>
  <c r="AV212" s="1"/>
  <c r="AL236"/>
  <c r="AN236" s="1"/>
  <c r="AV236" s="1"/>
  <c r="AL490"/>
  <c r="AN490" s="1"/>
  <c r="AV490" s="1"/>
  <c r="AL474"/>
  <c r="AN474" s="1"/>
  <c r="AV474" s="1"/>
  <c r="AL177"/>
  <c r="AN177"/>
  <c r="AV177"/>
  <c r="AL119"/>
  <c r="AN119" s="1"/>
  <c r="AV119" s="1"/>
  <c r="AL111"/>
  <c r="AN111" s="1"/>
  <c r="AV111" s="1"/>
  <c r="AL96"/>
  <c r="AN96"/>
  <c r="AV96" s="1"/>
  <c r="AL58"/>
  <c r="AN58" s="1"/>
  <c r="AV58" s="1"/>
  <c r="AL207"/>
  <c r="AN207" s="1"/>
  <c r="AV207" s="1"/>
  <c r="AL237"/>
  <c r="AN237" s="1"/>
  <c r="AV237" s="1"/>
  <c r="AL266"/>
  <c r="AN266" s="1"/>
  <c r="AV266" s="1"/>
  <c r="AL319"/>
  <c r="AN319" s="1"/>
  <c r="AV319" s="1"/>
  <c r="AL324"/>
  <c r="AN324" s="1"/>
  <c r="AV324" s="1"/>
  <c r="AL321"/>
  <c r="AN321" s="1"/>
  <c r="AV321" s="1"/>
  <c r="AL412"/>
  <c r="AN412" s="1"/>
  <c r="AV412" s="1"/>
  <c r="AL477"/>
  <c r="AN477"/>
  <c r="AV477" s="1"/>
  <c r="AL461"/>
  <c r="AN461" s="1"/>
  <c r="AV461" s="1"/>
  <c r="AL70"/>
  <c r="AN70" s="1"/>
  <c r="AV70" s="1"/>
  <c r="AL131"/>
  <c r="AN131" s="1"/>
  <c r="AL186"/>
  <c r="AN186" s="1"/>
  <c r="AV186" s="1"/>
  <c r="AL190"/>
  <c r="AN190" s="1"/>
  <c r="AV190" s="1"/>
  <c r="AL208"/>
  <c r="AN208" s="1"/>
  <c r="AV208" s="1"/>
  <c r="AL267"/>
  <c r="AN267"/>
  <c r="AV267" s="1"/>
  <c r="AL480"/>
  <c r="AN480" s="1"/>
  <c r="AV480" s="1"/>
  <c r="AL467"/>
  <c r="AN467" s="1"/>
  <c r="AV467" s="1"/>
  <c r="AL199"/>
  <c r="AN199" s="1"/>
  <c r="AV199" s="1"/>
  <c r="AL181"/>
  <c r="AN181" s="1"/>
  <c r="AV181"/>
  <c r="AL127"/>
  <c r="AN127" s="1"/>
  <c r="AV127" s="1"/>
  <c r="AL126"/>
  <c r="AN126" s="1"/>
  <c r="AV126" s="1"/>
  <c r="AL82"/>
  <c r="AN82"/>
  <c r="AV82" s="1"/>
  <c r="AL66"/>
  <c r="AN66" s="1"/>
  <c r="AV66" s="1"/>
  <c r="AL46"/>
  <c r="AN46" s="1"/>
  <c r="AV46" s="1"/>
  <c r="AL29"/>
  <c r="AN29" s="1"/>
  <c r="AV29" s="1"/>
  <c r="AL183"/>
  <c r="AN183" s="1"/>
  <c r="AV183" s="1"/>
  <c r="AL233"/>
  <c r="AN233" s="1"/>
  <c r="AV233" s="1"/>
  <c r="AL231"/>
  <c r="AN231" s="1"/>
  <c r="AV231" s="1"/>
  <c r="AL296"/>
  <c r="AN296" s="1"/>
  <c r="AV296" s="1"/>
  <c r="AL384"/>
  <c r="AN384" s="1"/>
  <c r="AV384" s="1"/>
  <c r="AL383"/>
  <c r="AN383" s="1"/>
  <c r="AV383" s="1"/>
  <c r="AL360"/>
  <c r="AN360" s="1"/>
  <c r="AV360" s="1"/>
  <c r="AL422"/>
  <c r="AN422" s="1"/>
  <c r="AV422" s="1"/>
  <c r="AL451"/>
  <c r="AN451"/>
  <c r="AV451" s="1"/>
  <c r="AL431"/>
  <c r="AN431" s="1"/>
  <c r="AV431" s="1"/>
  <c r="AL428"/>
  <c r="AN428" s="1"/>
  <c r="AV428" s="1"/>
  <c r="AL444"/>
  <c r="AN444" s="1"/>
  <c r="AV444" s="1"/>
  <c r="AL426"/>
  <c r="AN426"/>
  <c r="AV426" s="1"/>
  <c r="AL439"/>
  <c r="AN439" s="1"/>
  <c r="AV439" s="1"/>
  <c r="AL440"/>
  <c r="AN440" s="1"/>
  <c r="AV440" s="1"/>
  <c r="AL432"/>
  <c r="AN432" s="1"/>
  <c r="AV432" s="1"/>
  <c r="AL449"/>
  <c r="AN449" s="1"/>
  <c r="AV449" s="1"/>
  <c r="AL427"/>
  <c r="AN427" s="1"/>
  <c r="AV427" s="1"/>
  <c r="AL435"/>
  <c r="AN435" s="1"/>
  <c r="AV435" s="1"/>
  <c r="AL434"/>
  <c r="AN434" s="1"/>
  <c r="AV434" s="1"/>
  <c r="AL436"/>
  <c r="AN436" s="1"/>
  <c r="AV436" s="1"/>
  <c r="AL446"/>
  <c r="AN446"/>
  <c r="AV446" s="1"/>
  <c r="AL430"/>
  <c r="AN430" s="1"/>
  <c r="AV430" s="1"/>
  <c r="AL450"/>
  <c r="AN450" s="1"/>
  <c r="AV450" s="1"/>
  <c r="AL443"/>
  <c r="AN443" s="1"/>
  <c r="AV443" s="1"/>
  <c r="AL176"/>
  <c r="AN176" s="1"/>
  <c r="AV176"/>
  <c r="AL172"/>
  <c r="AN172" s="1"/>
  <c r="AV172" s="1"/>
  <c r="AL164"/>
  <c r="AN164" s="1"/>
  <c r="AV164" s="1"/>
  <c r="AL253"/>
  <c r="AN253"/>
  <c r="AV253" s="1"/>
  <c r="AL145"/>
  <c r="AN145" s="1"/>
  <c r="AV145" s="1"/>
  <c r="AL20"/>
  <c r="AN20" s="1"/>
  <c r="AV20" s="1"/>
  <c r="AL200"/>
  <c r="AN200" s="1"/>
  <c r="AV200" s="1"/>
  <c r="AL179"/>
  <c r="AN179" s="1"/>
  <c r="AV179" s="1"/>
  <c r="AL19"/>
  <c r="AN19" s="1"/>
  <c r="AV19" s="1"/>
  <c r="AL147"/>
  <c r="AN147" s="1"/>
  <c r="AV147" s="1"/>
  <c r="AL279"/>
  <c r="AN279" s="1"/>
  <c r="AV279" s="1"/>
  <c r="AL16"/>
  <c r="AN16" s="1"/>
  <c r="AV16" s="1"/>
  <c r="AL156"/>
  <c r="AN156"/>
  <c r="AV156" s="1"/>
  <c r="AL15"/>
  <c r="AN15" s="1"/>
  <c r="AV15" s="1"/>
  <c r="AL14"/>
  <c r="AN14" s="1"/>
  <c r="AV14" s="1"/>
  <c r="AL143"/>
  <c r="AN143" s="1"/>
  <c r="AV143" s="1"/>
  <c r="AL202"/>
  <c r="AN202"/>
  <c r="AV202" s="1"/>
  <c r="AL198"/>
  <c r="AN198" s="1"/>
  <c r="AV198" s="1"/>
  <c r="AL173"/>
  <c r="AN173" s="1"/>
  <c r="AV173" s="1"/>
  <c r="AL154"/>
  <c r="AN154" s="1"/>
  <c r="AV154" s="1"/>
  <c r="AL150"/>
  <c r="AN150" s="1"/>
  <c r="AV150" s="1"/>
  <c r="AL146"/>
  <c r="AN146" s="1"/>
  <c r="AV146" s="1"/>
  <c r="AL116"/>
  <c r="AN116" s="1"/>
  <c r="AV116" s="1"/>
  <c r="AL263"/>
  <c r="AN263" s="1"/>
  <c r="AV263" s="1"/>
  <c r="AL372"/>
  <c r="AN372" s="1"/>
  <c r="AV372" s="1"/>
  <c r="AL390"/>
  <c r="AN390"/>
  <c r="AV390" s="1"/>
  <c r="AL184"/>
  <c r="AN184" s="1"/>
  <c r="AV184" s="1"/>
  <c r="AL259"/>
  <c r="AN259"/>
  <c r="AV259" s="1"/>
  <c r="AL244"/>
  <c r="AN244" s="1"/>
  <c r="AV244" s="1"/>
  <c r="AL163"/>
  <c r="AN163"/>
  <c r="AV163" s="1"/>
  <c r="AL283"/>
  <c r="AN283" s="1"/>
  <c r="AV283" s="1"/>
  <c r="AL348"/>
  <c r="AN348"/>
  <c r="AV348" s="1"/>
  <c r="AL375"/>
  <c r="AN375" s="1"/>
  <c r="AV375" s="1"/>
  <c r="AL269"/>
  <c r="AN269" s="1"/>
  <c r="AV269" s="1"/>
  <c r="AL268"/>
  <c r="AN268" s="1"/>
  <c r="AV268" s="1"/>
  <c r="AL337"/>
  <c r="AN337" s="1"/>
  <c r="AV337" s="1"/>
  <c r="AL142"/>
  <c r="AN142"/>
  <c r="AV142" s="1"/>
  <c r="AL95"/>
  <c r="AN95" s="1"/>
  <c r="AV95" s="1"/>
  <c r="AL297"/>
  <c r="AN297" s="1"/>
  <c r="AV297" s="1"/>
  <c r="AL132"/>
  <c r="AN132" s="1"/>
  <c r="AV132" s="1"/>
  <c r="AL261"/>
  <c r="AN261" s="1"/>
  <c r="AV261" s="1"/>
  <c r="AL255"/>
  <c r="AN255" s="1"/>
  <c r="AV255" s="1"/>
  <c r="AL437"/>
  <c r="AN437" s="1"/>
  <c r="AV437" s="1"/>
  <c r="AL182"/>
  <c r="AN182" s="1"/>
  <c r="AV182" s="1"/>
  <c r="AL234"/>
  <c r="AN234" s="1"/>
  <c r="AV234" s="1"/>
  <c r="AL161"/>
  <c r="AN161" s="1"/>
  <c r="AV161" s="1"/>
  <c r="AL62"/>
  <c r="AN62" s="1"/>
  <c r="AV62" s="1"/>
  <c r="AL30"/>
  <c r="AN30" s="1"/>
  <c r="AV30" s="1"/>
  <c r="AL26"/>
  <c r="AN26" s="1"/>
  <c r="AV26" s="1"/>
  <c r="AL254"/>
  <c r="AN254"/>
  <c r="AV254" s="1"/>
  <c r="AL251"/>
  <c r="AN251" s="1"/>
  <c r="AV251" s="1"/>
  <c r="AL366"/>
  <c r="AN366" s="1"/>
  <c r="AV366" s="1"/>
  <c r="AL114"/>
  <c r="AN114" s="1"/>
  <c r="AV114" s="1"/>
  <c r="AL185"/>
  <c r="AN185" s="1"/>
  <c r="AV185" s="1"/>
  <c r="AL387"/>
  <c r="AN387" s="1"/>
  <c r="AV387" s="1"/>
  <c r="AL368"/>
  <c r="AN368" s="1"/>
  <c r="AV368" s="1"/>
  <c r="AL6"/>
  <c r="AN6" s="1"/>
  <c r="AV6" s="1"/>
  <c r="AL165"/>
  <c r="AN165" s="1"/>
  <c r="AV165" s="1"/>
  <c r="AL85"/>
  <c r="AN85" s="1"/>
  <c r="AV85" s="1"/>
  <c r="AL61"/>
  <c r="AN61" s="1"/>
  <c r="AV61" s="1"/>
  <c r="AL406"/>
  <c r="AN406"/>
  <c r="AV406" s="1"/>
  <c r="AL108"/>
  <c r="AN108" s="1"/>
  <c r="AV108" s="1"/>
  <c r="AL289"/>
  <c r="AN289" s="1"/>
  <c r="AV289" s="1"/>
  <c r="AL76"/>
  <c r="AN76" s="1"/>
  <c r="AV76" s="1"/>
  <c r="AL72"/>
  <c r="AN72" s="1"/>
  <c r="AV72" s="1"/>
  <c r="AL194"/>
  <c r="AN194" s="1"/>
  <c r="AV194" s="1"/>
  <c r="AL334"/>
  <c r="AN334" s="1"/>
  <c r="AV334" s="1"/>
  <c r="AL18"/>
  <c r="AN18"/>
  <c r="AV18" s="1"/>
  <c r="AL265"/>
  <c r="AN265" s="1"/>
  <c r="AV265" s="1"/>
  <c r="AL303"/>
  <c r="AN303" s="1"/>
  <c r="AV303" s="1"/>
  <c r="AL364"/>
  <c r="AN364" s="1"/>
  <c r="AV364" s="1"/>
</calcChain>
</file>

<file path=xl/sharedStrings.xml><?xml version="1.0" encoding="utf-8"?>
<sst xmlns="http://schemas.openxmlformats.org/spreadsheetml/2006/main" count="8609" uniqueCount="1552">
  <si>
    <t>Nazwa projektu:</t>
  </si>
  <si>
    <t>Osoba sporządzająca listę:</t>
  </si>
  <si>
    <t>Data:</t>
  </si>
  <si>
    <t>jak z tego korzystać:</t>
  </si>
  <si>
    <t>ARKUSZ EDYCJA:</t>
  </si>
  <si>
    <t>nazwa pliku:</t>
  </si>
  <si>
    <t>plik nazywamy:</t>
  </si>
  <si>
    <t>np.:</t>
  </si>
  <si>
    <t>data w formacie YYYY-MM-DD</t>
  </si>
  <si>
    <r>
      <t>datę wstawiamy skrótem kalwiatutowym</t>
    </r>
    <r>
      <rPr>
        <b/>
        <i/>
        <sz val="8"/>
        <rFont val="Arial"/>
        <family val="2"/>
        <charset val="238"/>
      </rPr>
      <t xml:space="preserve"> CTRL  +   ;</t>
    </r>
  </si>
  <si>
    <t>tzn.  trzymając wciśnięty CTRL jeden raz naciskamy klawisz "średnik"</t>
  </si>
  <si>
    <t>ochrona arkusza przed zmianami</t>
  </si>
  <si>
    <t>hasło 123</t>
  </si>
  <si>
    <t>wpisuje zamawiający</t>
  </si>
  <si>
    <t>Lp</t>
  </si>
  <si>
    <t>ilość sztuk
SUMA</t>
  </si>
  <si>
    <t>Osoba kupująca</t>
  </si>
  <si>
    <t>Numer zamówienia</t>
  </si>
  <si>
    <t>Data zamówienia:
yyyy-mm-dd</t>
  </si>
  <si>
    <t>Uwagi</t>
  </si>
  <si>
    <t>Uwagi do zamówienia</t>
  </si>
  <si>
    <t>Ilość dostarczona</t>
  </si>
  <si>
    <t>Konstruktor</t>
  </si>
  <si>
    <t>Uzupełnia przyjmujący</t>
  </si>
  <si>
    <t>zamawiajacy edytuje listę w kolumnach od U do Y</t>
  </si>
  <si>
    <t>konstruktor edytuje listę w kolumnach od A do Q  plus ewentualnie kolumne S jeżeli coś odkłada, zabezpiecza do projektu</t>
  </si>
  <si>
    <t>przyjmuący, odkładajacy do projektu wypełnia kolumny Z-AA</t>
  </si>
  <si>
    <t>numer projektu - "lista materiałów " "elktrycznych "/ "mechanicznych" - nazwisko osoby</t>
  </si>
  <si>
    <t>0637 - LISTA MATERIAŁÓW MECHANICZNYCH - S.GAWECKI</t>
  </si>
  <si>
    <t>0637 - LISTA MATERIAŁÓW ELEKTRYCZNYCH - J. FATYGA</t>
  </si>
  <si>
    <t>ARKUSZ PROFILE:</t>
  </si>
  <si>
    <t xml:space="preserve">konstruktor edytuje listę w kolumnach od A do G </t>
  </si>
  <si>
    <t>zamawiajacy edytuje listę w kolumnach od H do L</t>
  </si>
  <si>
    <t>Materiał</t>
  </si>
  <si>
    <t>Uwagi:</t>
  </si>
  <si>
    <t>Inspektor Jakości</t>
  </si>
  <si>
    <t>DOSTAWCA</t>
  </si>
  <si>
    <t>.PDF</t>
  </si>
  <si>
    <t>.DXF</t>
  </si>
  <si>
    <t>.STEP</t>
  </si>
  <si>
    <t>Obróbka</t>
  </si>
  <si>
    <t>Obróbka cieplna</t>
  </si>
  <si>
    <t>Powłoka</t>
  </si>
  <si>
    <t xml:space="preserve">Wymagana data dostawy 
</t>
  </si>
  <si>
    <t>Opis</t>
  </si>
  <si>
    <t>Ścieżka ===&gt;&gt;</t>
  </si>
  <si>
    <t>xxx</t>
  </si>
  <si>
    <t>Uwagi Inspektora</t>
  </si>
  <si>
    <t>Data inspekcji</t>
  </si>
  <si>
    <t>Nr. Kat.</t>
  </si>
  <si>
    <t>MAGAZYN</t>
  </si>
  <si>
    <t>Do Zamówienia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</si>
  <si>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</si>
  <si>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</si>
  <si>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</si>
  <si>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</si>
  <si>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</si>
  <si>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</si>
  <si>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</si>
  <si>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</si>
  <si>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</si>
  <si>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</si>
  <si>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</si>
  <si>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</si>
  <si>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 xml:space="preserve">Nr. Części </t>
  </si>
  <si>
    <t>ID. Części</t>
  </si>
  <si>
    <t>Rewizja</t>
  </si>
  <si>
    <t>Komentarz</t>
  </si>
  <si>
    <t>Braki</t>
  </si>
  <si>
    <t>Notatki</t>
  </si>
  <si>
    <t>Z:\</t>
  </si>
  <si>
    <t>Data wpisania
dd-mm-yyyy</t>
  </si>
  <si>
    <t>13</t>
  </si>
  <si>
    <t>14</t>
  </si>
  <si>
    <t>15</t>
  </si>
  <si>
    <t>16</t>
  </si>
  <si>
    <t>17</t>
  </si>
  <si>
    <t>18</t>
  </si>
  <si>
    <t>19</t>
  </si>
  <si>
    <t>20</t>
  </si>
  <si>
    <t>Nie dodawać i nie usuwać kolumn. Zmiany będą skutkować błędami MAKRA!
Niepotrzebne kolumny proszę ukrywać.</t>
  </si>
  <si>
    <t>Stany detalu</t>
  </si>
  <si>
    <t>Detal anulowano</t>
  </si>
  <si>
    <t>Detal wstrzymano</t>
  </si>
  <si>
    <t>Detal testowy</t>
  </si>
  <si>
    <t>Przeróbka</t>
  </si>
  <si>
    <t>1.</t>
  </si>
  <si>
    <t>2.</t>
  </si>
  <si>
    <t>3.</t>
  </si>
  <si>
    <t>4.</t>
  </si>
  <si>
    <t>kolor błędu</t>
  </si>
  <si>
    <t>nazwisko</t>
  </si>
  <si>
    <t>id części</t>
  </si>
  <si>
    <t>rewizja</t>
  </si>
  <si>
    <t>opis</t>
  </si>
  <si>
    <t>obróbka</t>
  </si>
  <si>
    <t>index</t>
  </si>
  <si>
    <t>-</t>
  </si>
  <si>
    <t>obróbka cieplna</t>
  </si>
  <si>
    <t>powłoka</t>
  </si>
  <si>
    <t>ilość suma</t>
  </si>
  <si>
    <t>ilość start</t>
  </si>
  <si>
    <t>numer zamówienia</t>
  </si>
  <si>
    <t>uwagi</t>
  </si>
  <si>
    <t>ANULOWANO</t>
  </si>
  <si>
    <t>WSTRZYMANO</t>
  </si>
  <si>
    <t>pusty</t>
  </si>
  <si>
    <t>pusty lub -</t>
  </si>
  <si>
    <t>niepusty</t>
  </si>
  <si>
    <t>ile kolumn</t>
  </si>
  <si>
    <t>sprawdzaj wiersze
od (min 6)
do (0 jeśli do końca)</t>
  </si>
  <si>
    <t>BŁĄD</t>
  </si>
  <si>
    <t>&gt; 0</t>
  </si>
  <si>
    <t>&lt; 0</t>
  </si>
  <si>
    <t>wyróżnij</t>
  </si>
  <si>
    <t>data czas</t>
  </si>
  <si>
    <t>magazyn</t>
  </si>
  <si>
    <t>do zamówienia</t>
  </si>
  <si>
    <t>= 0</t>
  </si>
  <si>
    <t>= 0, artykuł istnieje</t>
  </si>
  <si>
    <t>= 0, artykuj nie istnieje</t>
  </si>
  <si>
    <t>wymagana data dostawy</t>
  </si>
  <si>
    <t>dostawca</t>
  </si>
  <si>
    <t>M.Gołuch</t>
  </si>
  <si>
    <t>Gniazdo</t>
  </si>
  <si>
    <t>Nr. Części  
/ TYP ALFANUMERYCZNIE</t>
  </si>
  <si>
    <t>Nr. Kat. 
/ TYP NUMERYCZNIE</t>
  </si>
  <si>
    <t>Materiał 
/ PRODUCENT</t>
  </si>
  <si>
    <t>PRT-A0030649</t>
  </si>
  <si>
    <t>A</t>
  </si>
  <si>
    <t>PRT-A0030603</t>
  </si>
  <si>
    <t>PRT-A0030601</t>
  </si>
  <si>
    <t>PRT-A0030600</t>
  </si>
  <si>
    <t>PRT-A0030599</t>
  </si>
  <si>
    <t>PRT-A0030586</t>
  </si>
  <si>
    <t>PRT-A0030591</t>
  </si>
  <si>
    <t>PRT-A0030653</t>
  </si>
  <si>
    <t>PRT-A0030652</t>
  </si>
  <si>
    <t>PRT-A0030651</t>
  </si>
  <si>
    <t>PRT-A0030650</t>
  </si>
  <si>
    <t>PRT-A0030648</t>
  </si>
  <si>
    <t>PRT-A0030589</t>
  </si>
  <si>
    <t>PRT-A0030654</t>
  </si>
  <si>
    <t>PRT-A0030592</t>
  </si>
  <si>
    <t>Gniazdo obudowy górnej</t>
  </si>
  <si>
    <t>1881-04-PRT-A0030649-A-Gniazdo obudowy górnej</t>
  </si>
  <si>
    <t>PE 500</t>
  </si>
  <si>
    <t>Skrawanie</t>
  </si>
  <si>
    <t>Kolor: Biały</t>
  </si>
  <si>
    <t>1881-04-PRT-A0030603-A-Gniazdo obudowy górnej</t>
  </si>
  <si>
    <t>1881-04-PRT-A0030601-A-Gniazdo obudowy górnej</t>
  </si>
  <si>
    <t>1881-04-PRT-A0030600-A-Gniazdo obudowy górnej</t>
  </si>
  <si>
    <t>1881-04-PRT-A0030599-A-Gniazdo obudowy górnej</t>
  </si>
  <si>
    <t>Tabliczka</t>
  </si>
  <si>
    <t>1881-04-PRT-A0030586-A-Tabliczka</t>
  </si>
  <si>
    <t>0H18N9</t>
  </si>
  <si>
    <t>Laser</t>
  </si>
  <si>
    <t>Mocowanie skanera</t>
  </si>
  <si>
    <t>1881-04-PRT-A0030591-A-Mocowanie skanera</t>
  </si>
  <si>
    <t>S235JR/1.0037</t>
  </si>
  <si>
    <t>RAL 7035</t>
  </si>
  <si>
    <t>1881-04-PRT-A0030653-A-Gniazdo obudowy górnej</t>
  </si>
  <si>
    <t>PE500</t>
  </si>
  <si>
    <t>Mocowanie RFID</t>
  </si>
  <si>
    <t>1881-04-PRT-A0030652-A-Mocowanie RFID</t>
  </si>
  <si>
    <t>PA6/3.1325</t>
  </si>
  <si>
    <t>Mocowanie Gniazda</t>
  </si>
  <si>
    <t>1881-04-PRT-A0030651-A-Mocowanie Gniazda</t>
  </si>
  <si>
    <t>C45/1.0503</t>
  </si>
  <si>
    <t>Czernić</t>
  </si>
  <si>
    <t>1881-04-PRT-A0030650-A-Mocowanie Gniazda</t>
  </si>
  <si>
    <t>1881-04-PRT-A0030648-A-Gniazdo obudowy górnej</t>
  </si>
  <si>
    <t>Mocowanie gniazda</t>
  </si>
  <si>
    <t>1881-04-PRT-A0030589-A-Mocowanie gniazda</t>
  </si>
  <si>
    <t>Dystans</t>
  </si>
  <si>
    <t>1881-04-PRT-A0030654-A-Dystans</t>
  </si>
  <si>
    <t>PA13/3.3547</t>
  </si>
  <si>
    <t>Szkiełkować</t>
  </si>
  <si>
    <t>1881-04-PRT-A0030592-A-Mocowanie gniazda</t>
  </si>
  <si>
    <t>1936-001-00 Layout</t>
  </si>
  <si>
    <t>1936-002-00 Paletka transportowa</t>
  </si>
  <si>
    <t xml:space="preserve"> 1936-003-00 Znakowarka laserowa</t>
  </si>
  <si>
    <t>1936-004-00 Stanowisko skręcania</t>
  </si>
  <si>
    <t>1936-004-01 Rozdzielacz śrub</t>
  </si>
  <si>
    <t>1936-005-00 Stanowisko pakowania</t>
  </si>
  <si>
    <t>1936-006-00 Regał</t>
  </si>
  <si>
    <t>1936-007-00 Spadnie inlet</t>
  </si>
  <si>
    <t>1936-008-00 Spadnie kartony</t>
  </si>
  <si>
    <t>1936-009-00 Wózek cover</t>
  </si>
  <si>
    <t>1936-010-00 Spadnia obudowy górne</t>
  </si>
  <si>
    <t>1936-011-00 Podajnik wibracyjny</t>
  </si>
  <si>
    <t>1936-012-00 Narzędzie naprawcze</t>
  </si>
  <si>
    <t>PCz</t>
  </si>
  <si>
    <t>wybrane przez PCz</t>
  </si>
  <si>
    <t>Promatik</t>
  </si>
  <si>
    <t>Dostarczono</t>
  </si>
  <si>
    <t>zamówienie Z/1951/PCz/2023</t>
  </si>
  <si>
    <t>SPIROFLEX</t>
  </si>
  <si>
    <t>PDF</t>
  </si>
  <si>
    <t>DXF</t>
  </si>
  <si>
    <t>STEP</t>
  </si>
  <si>
    <t/>
  </si>
  <si>
    <t>PRT-A0065137</t>
  </si>
  <si>
    <t>Osłona Pick2Light</t>
  </si>
  <si>
    <t>Malować RAL 7035 (jasny szary)</t>
  </si>
  <si>
    <t>PRT-A0065140</t>
  </si>
  <si>
    <t xml:space="preserve">Blacha </t>
  </si>
  <si>
    <t xml:space="preserve">1936-005-PRT-A0065140-A-Blacha </t>
  </si>
  <si>
    <t>PRT-A0065141</t>
  </si>
  <si>
    <t>Mocowanie Lampki</t>
  </si>
  <si>
    <t>PRT-A0065132</t>
  </si>
  <si>
    <t>Prowadzenie Pudełek 2</t>
  </si>
  <si>
    <t>1936-005-PRT-A0065132-A-Prowadzenie Pudełek 2 Lustro</t>
  </si>
  <si>
    <t>1936-005-PRT-A0065132-A-Prowadzenie Pudełek 2</t>
  </si>
  <si>
    <t>PRT-A0065143</t>
  </si>
  <si>
    <t>Odbłyśnik Pick2Light</t>
  </si>
  <si>
    <t>PRT-A0065144</t>
  </si>
  <si>
    <t>Prowadzenie Pudełek</t>
  </si>
  <si>
    <t>1936-005-PRT-A0065144-A-Prowadzenie Pudełek</t>
  </si>
  <si>
    <t>PRT-A0065136</t>
  </si>
  <si>
    <t>Mocowanie Pick2Light</t>
  </si>
  <si>
    <t>PRT-A0065138</t>
  </si>
  <si>
    <t>Mocowanie SR-750</t>
  </si>
  <si>
    <t>1936-005-PRT-A0065138-A-Mocowanie SR-750</t>
  </si>
  <si>
    <t>Anodować</t>
  </si>
  <si>
    <t>PRT-A0065134</t>
  </si>
  <si>
    <t>Mocowanie czujnika</t>
  </si>
  <si>
    <t>1936-005-PRT-A0065134-A-Mocowanie czujnika</t>
  </si>
  <si>
    <t>PRT-A0066511</t>
  </si>
  <si>
    <t>Płytka Pick2Light</t>
  </si>
  <si>
    <t>1936-005-PRT-A0066511-A-Płytka Pick2Light</t>
  </si>
  <si>
    <t>DC01/1.0330</t>
  </si>
  <si>
    <t>PRT-A0065177</t>
  </si>
  <si>
    <t>1936-005-PRT-A0065177-A-Mocowanie czujnika</t>
  </si>
  <si>
    <t>0H18N9/1.4301</t>
  </si>
  <si>
    <t>1936-005-PRT-A0065177-A-Mocowanie czujnika Lustro</t>
  </si>
  <si>
    <t>PRT-A0065178</t>
  </si>
  <si>
    <t>Osłona</t>
  </si>
  <si>
    <t>1936-005-PRT-A0065178-A-Osłona</t>
  </si>
  <si>
    <t>PRT-A0065175</t>
  </si>
  <si>
    <t>Gniazdo Obudowy Górnej</t>
  </si>
  <si>
    <t>1936-005-PRT-A0065175-A-Gniazdo Obudowy Górnej</t>
  </si>
  <si>
    <t>PRT-A0065179</t>
  </si>
  <si>
    <t xml:space="preserve">Mocowanie gniazda </t>
  </si>
  <si>
    <t xml:space="preserve">1936-005-PRT-A0065179-A-Mocowanie gniazda </t>
  </si>
  <si>
    <t>PRT-A0065149</t>
  </si>
  <si>
    <t>Kątownik dolny szuflady</t>
  </si>
  <si>
    <t>1936-005-PRT-A0065149-A-Kątownik dolny szuflady</t>
  </si>
  <si>
    <t>1936-005-PRT-A0065149-A-Kątownik dolny szuflady Lustro</t>
  </si>
  <si>
    <t>PRT-A0065147</t>
  </si>
  <si>
    <t>Kątownik górny szuflady</t>
  </si>
  <si>
    <t>1936-005-PRT-A0065147-A-Kątownik górny szuflady</t>
  </si>
  <si>
    <t>1936-005-PRT-A0065147-A-Kątownik górny szuflady Lustro</t>
  </si>
  <si>
    <t>PRT-A0065145</t>
  </si>
  <si>
    <t>Blacha Pudełka II</t>
  </si>
  <si>
    <t>1936-005-PRT-A0065145-A-Blacha Pudełka II</t>
  </si>
  <si>
    <t>Malować RAL 3020 (czerwony)</t>
  </si>
  <si>
    <t>Z:\3. MS\1936 - linia Customizing 4 ( USA )\1 - RYSUNKI</t>
  </si>
  <si>
    <t>PRT-A0065171</t>
  </si>
  <si>
    <t>Blacha Drukarki I</t>
  </si>
  <si>
    <t>1936-005-PRT-A0065171-A-Blacha Drukarki I</t>
  </si>
  <si>
    <t>PRT-A0065126</t>
  </si>
  <si>
    <t>Blacha Drukarki II</t>
  </si>
  <si>
    <t>1936-005-PRT-A0065126-A-Blacha Drukarki II</t>
  </si>
  <si>
    <t>PRT-A0065114</t>
  </si>
  <si>
    <t>Blacha Drukarki III</t>
  </si>
  <si>
    <t>1936-005-PRT-A0065114-A-Blacha Drukarki III</t>
  </si>
  <si>
    <t>PRT-A0065165</t>
  </si>
  <si>
    <t>Blacha Drukarki IV</t>
  </si>
  <si>
    <t>1936-005-PRT-A0065165-A-Blacha Drukarki IV</t>
  </si>
  <si>
    <t>PRT-A0065160</t>
  </si>
  <si>
    <t>Mocowanie prowadnika</t>
  </si>
  <si>
    <t>1936-005-PRT-A0065160-A-Mocowanie prowadnika</t>
  </si>
  <si>
    <t>PRT-A0065156</t>
  </si>
  <si>
    <t>Mocowanie Prowadnika Drukarki</t>
  </si>
  <si>
    <t>1936-005-PRT-A0065156-A-Mocowanie Prowadnika Drukarki</t>
  </si>
  <si>
    <t>PRT-A0065161</t>
  </si>
  <si>
    <t>Blokada trzpienia szuflady</t>
  </si>
  <si>
    <t>1936-005-PRT-A0065161-A-Blokada trzpienia szuflady</t>
  </si>
  <si>
    <t>CNC</t>
  </si>
  <si>
    <t>PRT-A0065155</t>
  </si>
  <si>
    <t>Kątownik stalowy 1</t>
  </si>
  <si>
    <t>1936-005-PRT-A0065155-A-Kątownik stalowy 1</t>
  </si>
  <si>
    <t>1936-005-PRT-A0065155-A-Kątownik stalowy 1 Lustro</t>
  </si>
  <si>
    <t>PRT-A0065119</t>
  </si>
  <si>
    <t>Kątownik stalowy 2</t>
  </si>
  <si>
    <t>1936-005-PRT-A0065119-A-Kątownik stalowy 2</t>
  </si>
  <si>
    <t>1936-005-PRT-A0065119-A-Kątownik stalowy 2 Lustro</t>
  </si>
  <si>
    <t>Rozstaw drukarek</t>
  </si>
  <si>
    <t>Pudełka-akcesoria</t>
  </si>
  <si>
    <t>Kontrola etykiety</t>
  </si>
  <si>
    <t>Szuflada pudełka</t>
  </si>
  <si>
    <t>Brak</t>
  </si>
  <si>
    <t>PRT-A0065202</t>
  </si>
  <si>
    <t>Wzmocnienie trójkątne</t>
  </si>
  <si>
    <t>1936-005-PRT-A0065202-A-Wzmocnienie trójkątne</t>
  </si>
  <si>
    <t>Nie Anodować</t>
  </si>
  <si>
    <t>Wzmocnienie</t>
  </si>
  <si>
    <t>PRT-A0065201</t>
  </si>
  <si>
    <t>Mocowanie</t>
  </si>
  <si>
    <t>1936-005-PRT-A0065201-A-Mocowanie</t>
  </si>
  <si>
    <t>PRT-A0065185</t>
  </si>
  <si>
    <t>Wałeczek</t>
  </si>
  <si>
    <t>1936-005-PRT-A0065185-A-Wałeczek</t>
  </si>
  <si>
    <t>Rolki etykiety</t>
  </si>
  <si>
    <t>PRT-A0065183</t>
  </si>
  <si>
    <t xml:space="preserve">Mocowanie </t>
  </si>
  <si>
    <t xml:space="preserve">1936-005-PRT-A0065183-A-Mocowanie </t>
  </si>
  <si>
    <t>2H13/1.4021</t>
  </si>
  <si>
    <t>PRT-A0066016</t>
  </si>
  <si>
    <t>Mocowanie osłony</t>
  </si>
  <si>
    <t>1936-005-PRT-A0066016-A-Mocowanie osłony</t>
  </si>
  <si>
    <t>PRT-A0065125</t>
  </si>
  <si>
    <t>Mocowanie Rolki</t>
  </si>
  <si>
    <t>1936-005-PRT-A0065125-A-Mocowanie Rolki</t>
  </si>
  <si>
    <t>PRT-A0065115</t>
  </si>
  <si>
    <t>Osłona Etykiet</t>
  </si>
  <si>
    <t>1936-005-PRT-A0065115-A-Osłona Etykiet</t>
  </si>
  <si>
    <t>PRT-A0065123</t>
  </si>
  <si>
    <t>Blacha Stanowisko Skręcania</t>
  </si>
  <si>
    <t>1936-005-PRT-A0065123-A-Blacha Stanowisko Skręcania</t>
  </si>
  <si>
    <t>Stanowisko pakowania layout</t>
  </si>
  <si>
    <t>0000_Stanowiska_Wspornik I</t>
  </si>
  <si>
    <t>D</t>
  </si>
  <si>
    <t>Wspornik I</t>
  </si>
  <si>
    <t>0000_Stanowiska_Wspornik I-D</t>
  </si>
  <si>
    <t>St3S/1.0038</t>
  </si>
  <si>
    <t>Malować RAL 9002 (jasny szary)</t>
  </si>
  <si>
    <t>PRT-A0066029</t>
  </si>
  <si>
    <t>Kątownik</t>
  </si>
  <si>
    <t>1936-005-PRT-A0066029-A-Kątownik</t>
  </si>
  <si>
    <t>PRT-A0066027</t>
  </si>
  <si>
    <t>1936-005-PRT-A0066027-A-Mocowanie gniazda</t>
  </si>
  <si>
    <t>PRT-A0066025</t>
  </si>
  <si>
    <t>1936-005-PRT-A0066025-A-Mocowanie prowadnika</t>
  </si>
  <si>
    <t>PRT-A0066023</t>
  </si>
  <si>
    <t>Mocowanie IGUS 2</t>
  </si>
  <si>
    <t>1936-005-PRT-A0066023-A-Mocowanie IGUS 2</t>
  </si>
  <si>
    <t>PRT-A0066022</t>
  </si>
  <si>
    <t>Mocowanie IGUS</t>
  </si>
  <si>
    <t>1936-005-PRT-A0066022-A-Mocowanie IGUS</t>
  </si>
  <si>
    <t>PRT-A0065209</t>
  </si>
  <si>
    <t>1936-005-PRT-A0065209-A-Kątownik</t>
  </si>
  <si>
    <t>PRT-A0065192</t>
  </si>
  <si>
    <t>1881-005-PRT-A0065192-A-Mocowanie prowadnika Lustro</t>
  </si>
  <si>
    <t>PRT-A0065195</t>
  </si>
  <si>
    <t>Mocowanie Podnośnika</t>
  </si>
  <si>
    <t>1936-005-PRT-A0065192-A-Mocowanie prowadnika</t>
  </si>
  <si>
    <t>PRT-A0065174</t>
  </si>
  <si>
    <t>Mocowanie Prowadnika</t>
  </si>
  <si>
    <t>1936-005-PRT-A0065174-A-Mocowanie Prowadnika</t>
  </si>
  <si>
    <t>PRT-A0065151</t>
  </si>
  <si>
    <t>Uchwyt wentylatora I</t>
  </si>
  <si>
    <t>1936-005-PRT-A0065151-A-Uchwyt wentylatora I</t>
  </si>
  <si>
    <t>PRT-A0065122</t>
  </si>
  <si>
    <t>Blacha Podłoga</t>
  </si>
  <si>
    <t>0000_Stanowiska_Blaszka czujnika ruchu</t>
  </si>
  <si>
    <t>C</t>
  </si>
  <si>
    <t>Blaszka czujnika ruchu</t>
  </si>
  <si>
    <t>0000_Stanowiska_Blaszka czujnika ruchu-C</t>
  </si>
  <si>
    <t>PRT-A0065127</t>
  </si>
  <si>
    <t>1936-005-PRT-A0065127-A-Osłona</t>
  </si>
  <si>
    <t>PCV Spienione</t>
  </si>
  <si>
    <t>PRT-A0065116</t>
  </si>
  <si>
    <t>1936-005-PRT-A0065116-A-Osłona</t>
  </si>
  <si>
    <t>PRT-A0065203</t>
  </si>
  <si>
    <t>1936-005-PRT-A0065203-A-Osłona</t>
  </si>
  <si>
    <t>PC /poliweglan</t>
  </si>
  <si>
    <t>ESD</t>
  </si>
  <si>
    <t>PRT-A0065197</t>
  </si>
  <si>
    <t>1936-005-PRT-A0065197-A-Osłona</t>
  </si>
  <si>
    <t>PRT-A0065193</t>
  </si>
  <si>
    <t>1936-005-PRT-A0065193-A-Osłona</t>
  </si>
  <si>
    <t>PRT-A0065191</t>
  </si>
  <si>
    <t>Wpustka czujnika</t>
  </si>
  <si>
    <t>1936-005-PRT-A0065191-A-Wpustka czujnika</t>
  </si>
  <si>
    <t>PRT-A0065188</t>
  </si>
  <si>
    <t>1936-005-PRT-A0065188-A-Osłona</t>
  </si>
  <si>
    <t>PRT-A0065182</t>
  </si>
  <si>
    <t>1936-005-PRT-A0065182-A-Osłona</t>
  </si>
  <si>
    <t>PRT-A0065121</t>
  </si>
  <si>
    <t>1936-005-PRT-A0065121-A-Osłona</t>
  </si>
  <si>
    <t>PRT-A0065206</t>
  </si>
  <si>
    <t>Mocowanie Pilota</t>
  </si>
  <si>
    <t>1936-005-PRT-A0065206-A-Mocowanie Pilota</t>
  </si>
  <si>
    <t>PRT-A0065184</t>
  </si>
  <si>
    <t>Korpus skanera</t>
  </si>
  <si>
    <t>1936-005-PRT-A0065184-A-Korpus skanera</t>
  </si>
  <si>
    <t>PRT-A0065152</t>
  </si>
  <si>
    <t>Mocowanie czujnika wizyjnego</t>
  </si>
  <si>
    <t>1936-005-PRT-A0065152-A-Mocowanie czujnika wizyjnego</t>
  </si>
  <si>
    <t>PRT-A0065112</t>
  </si>
  <si>
    <t>1936-005-PRT-A0065112-A-Mocowanie</t>
  </si>
  <si>
    <t>PRT-A0065205</t>
  </si>
  <si>
    <t>Mocowanie Przycisku</t>
  </si>
  <si>
    <t>1936-005-PRT-A0065205-A-Mocowanie Przycisku</t>
  </si>
  <si>
    <t>PRT-A0065120</t>
  </si>
  <si>
    <t>Mocowanie Ergoswiss AG</t>
  </si>
  <si>
    <t>1936-001-PRT-A0065120-A-Mocowanie Ergoswiss AG</t>
  </si>
  <si>
    <t>Nie Anodować!!!</t>
  </si>
  <si>
    <t>0000_Stanowiska_Płyta końcowa kółka</t>
  </si>
  <si>
    <t>Płyta kółka</t>
  </si>
  <si>
    <t>0000_Stanowiska_Płyta końcowa kółka-D</t>
  </si>
  <si>
    <t>PRT-A0065208</t>
  </si>
  <si>
    <t>Mocowanie Supportu</t>
  </si>
  <si>
    <t>PRT-A0065198</t>
  </si>
  <si>
    <t>Blacha Stołu</t>
  </si>
  <si>
    <t>1936-005-PRT-A0065198-A-Blacha Stołu</t>
  </si>
  <si>
    <t>PRT-A0065108</t>
  </si>
  <si>
    <t>1936-008-PRT-A0065108-A-Osłona</t>
  </si>
  <si>
    <t>Spadnia kartony</t>
  </si>
  <si>
    <t>PRT-A0065107</t>
  </si>
  <si>
    <t>1936-008-PRT-A0065107-A-Osłona</t>
  </si>
  <si>
    <t>PRT-A0065106</t>
  </si>
  <si>
    <t>1936-008-PRT-A0065106-A-Osłona</t>
  </si>
  <si>
    <t>PRT-A0065109</t>
  </si>
  <si>
    <t>1936-008-PRT-A0065109-A-Osłona</t>
  </si>
  <si>
    <t>0002_Spadnie_Tuleja kółkostopki</t>
  </si>
  <si>
    <t>E</t>
  </si>
  <si>
    <t>Tulejka kółkostopki</t>
  </si>
  <si>
    <t>0002_Spadnie_Tuleja kółkostopki-E</t>
  </si>
  <si>
    <t>1.0503 (C45)</t>
  </si>
  <si>
    <t>PRT-A0065102</t>
  </si>
  <si>
    <t>Mocowanie Spadni</t>
  </si>
  <si>
    <t>1936-007-PRT-A0065102-A-Mocowanie Spadni</t>
  </si>
  <si>
    <t>Spadnia opróżniająca</t>
  </si>
  <si>
    <t>PRT-A0065111</t>
  </si>
  <si>
    <t>Banda pudełek</t>
  </si>
  <si>
    <t>1936-005-PRT-A0065111-A-Banda pudełek</t>
  </si>
  <si>
    <t>PRT-A0065424</t>
  </si>
  <si>
    <t>Półka</t>
  </si>
  <si>
    <t>1936-006-PRT-A0065424-A-Półka</t>
  </si>
  <si>
    <t>Regał</t>
  </si>
  <si>
    <t>PRT-A0065732</t>
  </si>
  <si>
    <t>Blacha Pudełka</t>
  </si>
  <si>
    <t>1936-009-PRT-A0065732-A-Blacha Pudełka</t>
  </si>
  <si>
    <t>Wózek covers</t>
  </si>
  <si>
    <t>PRT-A0066453</t>
  </si>
  <si>
    <t>Oslona SR750</t>
  </si>
  <si>
    <t>1936-010-PRT-A0066453-A-Oslona SR750</t>
  </si>
  <si>
    <t>Spadnia obudowy górne</t>
  </si>
  <si>
    <t>PRT-A0065218</t>
  </si>
  <si>
    <t>Oslona spadni szeroka</t>
  </si>
  <si>
    <t>1936-010-PRT-A0065218-A-Oslona spadni szeroka</t>
  </si>
  <si>
    <t>PRT-A0065216</t>
  </si>
  <si>
    <t>Oslona spadni wąska</t>
  </si>
  <si>
    <t>1936-010-PRT-A0065216-A-Oslona spadni wąska</t>
  </si>
  <si>
    <t>PRT-A0066450</t>
  </si>
  <si>
    <t>Płyta pośrednia SR</t>
  </si>
  <si>
    <t>1936-010-PRT-A0066450-A-Płyta pośrednia SR</t>
  </si>
  <si>
    <t>PRT-A0066447</t>
  </si>
  <si>
    <t>Mocowanie SR</t>
  </si>
  <si>
    <t>1936-010-PRT-A0066447-A-Mocowanie SR</t>
  </si>
  <si>
    <t>PRT-A0065233</t>
  </si>
  <si>
    <t>1936-010-PRT-A0065233-A-Mocowanie</t>
  </si>
  <si>
    <t>PRT-A0065212</t>
  </si>
  <si>
    <t>1936-010-PRT-A0065212-A-Mocowanie czujnika</t>
  </si>
  <si>
    <t>PRT-A0066456</t>
  </si>
  <si>
    <t>Trzpień mocujący</t>
  </si>
  <si>
    <t>1936-010-PRT-A0066456-A-Trzpień mocujący</t>
  </si>
  <si>
    <t>PRT-A0065219</t>
  </si>
  <si>
    <t>Podajnik pudełek</t>
  </si>
  <si>
    <t>1936-010-PRT-A0065219-A-Podajnik pudełek</t>
  </si>
  <si>
    <t>PRT-A0065413</t>
  </si>
  <si>
    <t>Mocownanie Slizgu</t>
  </si>
  <si>
    <t>1936-001-PRT-A0065413-A-Mocownanie Slizgu</t>
  </si>
  <si>
    <t>Zjazd komponentów</t>
  </si>
  <si>
    <t>1936-001-PRT-A0065413-A-Mocownanie Slizgu Lustro</t>
  </si>
  <si>
    <t>PRT-A0065416</t>
  </si>
  <si>
    <t>Ślizg</t>
  </si>
  <si>
    <t>1936-001-PRT-A0065416-A-Ślizg</t>
  </si>
  <si>
    <t>PRT-A0065414</t>
  </si>
  <si>
    <t>1936-001-PRT-A0065414-A-Ślizg</t>
  </si>
  <si>
    <t>PRT-A0065417</t>
  </si>
  <si>
    <t>Pole odkładcze</t>
  </si>
  <si>
    <t>1936-004-PRT-A0065417-A-Pole odkładcze</t>
  </si>
  <si>
    <t xml:space="preserve">0000_Stanowiska_Wspornik III-G </t>
  </si>
  <si>
    <t>G</t>
  </si>
  <si>
    <t>Wspornik III</t>
  </si>
  <si>
    <t>0000_Stanowiska_Wspornik III-G</t>
  </si>
  <si>
    <t>PRT-A0065362</t>
  </si>
  <si>
    <t>Blacha Pojemnika</t>
  </si>
  <si>
    <t>1936-001-PRT-A0065362-A-Blacha Pojemnika</t>
  </si>
  <si>
    <t>PRT-A0065420</t>
  </si>
  <si>
    <t>Blacha</t>
  </si>
  <si>
    <t>1936-001-PRT-A0065420-A-Blacha</t>
  </si>
  <si>
    <t>PRT-A0065419</t>
  </si>
  <si>
    <t>1936-001-PRT-A0065419-A-Blacha</t>
  </si>
  <si>
    <t xml:space="preserve">PRT-A0065366 </t>
  </si>
  <si>
    <t>Osłona bramki</t>
  </si>
  <si>
    <t>1936-004-PRT-A0065366-A-Osłona bramki</t>
  </si>
  <si>
    <t>POM</t>
  </si>
  <si>
    <t>1936-004-PRT-A0065366-A-Osłona bramki lustro</t>
  </si>
  <si>
    <t xml:space="preserve">PRT-A0065373 </t>
  </si>
  <si>
    <t>Mocowanie Łożyska</t>
  </si>
  <si>
    <t>1936-001-PRT-A0065373-A-Mocowanie Łożyska</t>
  </si>
  <si>
    <t>PRT-A0065253</t>
  </si>
  <si>
    <t>1936-005-PRT-A0065253-A-Kątownik dolny szuflady</t>
  </si>
  <si>
    <t>Szuflada dolna</t>
  </si>
  <si>
    <t>1936-005-PRT-A0065253-A-Kątownik dolny szuflady Lustro</t>
  </si>
  <si>
    <t>PRT-A0065257</t>
  </si>
  <si>
    <t>1936-005-PRT-A0065257-A-Kątownik górny szuflady</t>
  </si>
  <si>
    <t>1936-005-PRT-A0065257-A-Kątownik górny szuflady Lustro</t>
  </si>
  <si>
    <t>PRT-A0065258</t>
  </si>
  <si>
    <t>1936-005-PRT-A0065258-A-Blacha Pudełka</t>
  </si>
  <si>
    <t>Powinny być po 1881</t>
  </si>
  <si>
    <t>PRT-A0065386</t>
  </si>
  <si>
    <t>Oslona</t>
  </si>
  <si>
    <t>1936-004-PRT-A0065386-A-Oslona</t>
  </si>
  <si>
    <t>Osłona wkrętarek</t>
  </si>
  <si>
    <t>PRT-A0065387</t>
  </si>
  <si>
    <t>Adapter magnesu</t>
  </si>
  <si>
    <t>1936-001-PRT-A0065387-A-Adapter magnesu</t>
  </si>
  <si>
    <t>PRT-A0065388</t>
  </si>
  <si>
    <t>Odbój magnesu</t>
  </si>
  <si>
    <t>1936-001-PRT-A0065388-A-Odbój magnesu</t>
  </si>
  <si>
    <t>PRT-A0065289</t>
  </si>
  <si>
    <t>Gniazdo Narzędzia Naprawczego</t>
  </si>
  <si>
    <t>1936-012-PRT-A0065289-A-Gniazdo Narzędzia Naprawczego</t>
  </si>
  <si>
    <t>Gniazdo naprawcze</t>
  </si>
  <si>
    <t>PRT-A0065290</t>
  </si>
  <si>
    <t>Mocowanie OPTO</t>
  </si>
  <si>
    <t>1936-012-PRT-A0065290-A-Mocowanie OPTO</t>
  </si>
  <si>
    <t>PRT-A0065329</t>
  </si>
  <si>
    <t>Płyta SICK</t>
  </si>
  <si>
    <t>1936-001-PRT-A0065329-A-Płyta SICK</t>
  </si>
  <si>
    <t>PRT-A0066059</t>
  </si>
  <si>
    <t>Osłona boczna</t>
  </si>
  <si>
    <t>1936-003-PRT-A0066059-A-Osłona boczna</t>
  </si>
  <si>
    <t>Zabudowa lasera</t>
  </si>
  <si>
    <t>PRT-A0066058</t>
  </si>
  <si>
    <t>1936-003-PRT-A0066058-A-Osłona boczna</t>
  </si>
  <si>
    <t>PRT-A0066057</t>
  </si>
  <si>
    <t>Uchwyt kontrolera lasera</t>
  </si>
  <si>
    <t>1936-003-PRT-A0066057-A-Uchwyt kontrolera lasera</t>
  </si>
  <si>
    <t>Malować RAL 7035</t>
  </si>
  <si>
    <t>PRT-A0066055</t>
  </si>
  <si>
    <t>1936-003-PRT-A0066055-A-Uchwyt kontrolera lasera</t>
  </si>
  <si>
    <t>PRT-A0066066</t>
  </si>
  <si>
    <t>Podstawa lasera</t>
  </si>
  <si>
    <t>1936-003-PRT-A0066066-A-Podstawa lasera</t>
  </si>
  <si>
    <t>PRT-A0065367</t>
  </si>
  <si>
    <t>1936-001-PRT-A0065367-A-Mocowanie czujnika</t>
  </si>
  <si>
    <t>ABS</t>
  </si>
  <si>
    <t>Druk 3D</t>
  </si>
  <si>
    <t>PRT-A0065407</t>
  </si>
  <si>
    <t>Osłona czujnika</t>
  </si>
  <si>
    <t>1936-001-PRT-A0065407-A-Osłona czujnika</t>
  </si>
  <si>
    <t>Layout</t>
  </si>
  <si>
    <t>PRT-A0065252</t>
  </si>
  <si>
    <t>Mocowanie przycisku bezpieczeństwa</t>
  </si>
  <si>
    <t>Uchwyt tariforld</t>
  </si>
  <si>
    <t>PRT-A0065288</t>
  </si>
  <si>
    <t>Gniazdo na narzędzie naprawcze</t>
  </si>
  <si>
    <t>1936-012-PRT-A0065288-A-Gniazdo na narzędzie naprawcze</t>
  </si>
  <si>
    <t>0000_Stanowiska_Uchwyt tariforld-B</t>
  </si>
  <si>
    <t>B</t>
  </si>
  <si>
    <t>PRT-A0065323</t>
  </si>
  <si>
    <t>Pojemnik</t>
  </si>
  <si>
    <t>1936-001-PRT-A0065323-A-Pojemnik</t>
  </si>
  <si>
    <t>PRT-A0065363</t>
  </si>
  <si>
    <t>Mocowanie Transportera</t>
  </si>
  <si>
    <t>1936-001-PRT-A0065363-A-Mocowanie Transportera</t>
  </si>
  <si>
    <t>PRT-A0065354</t>
  </si>
  <si>
    <t>Blokada Stopera</t>
  </si>
  <si>
    <t>1936-001-PRT-A0065354-A-Blokada Stopera</t>
  </si>
  <si>
    <t>PRT-A0065321</t>
  </si>
  <si>
    <t>Kostka mocowanie blokady</t>
  </si>
  <si>
    <t>1936-001-PRT-A0065321-A-Kostka mocowanie blokady</t>
  </si>
  <si>
    <t>PRT-A0065293</t>
  </si>
  <si>
    <t>Blokada Stopera kolizyjnego</t>
  </si>
  <si>
    <t>1936-001-PRT-A0065293-A-Blokada Stopera kolizyjnego</t>
  </si>
  <si>
    <t>PRT-A0065421</t>
  </si>
  <si>
    <t>1936-001-PRT-A0065421-A-Mocowanie Transportera</t>
  </si>
  <si>
    <t>1936-001-PRT-A0065252-A-Mocowanie przycisku bezpieczeństwa</t>
  </si>
  <si>
    <t>PRT-A0066067</t>
  </si>
  <si>
    <t>Płyta złączy</t>
  </si>
  <si>
    <t>1936-003-PRT-A0066067-A-Płyta złączy</t>
  </si>
  <si>
    <t>PRT-A0066499</t>
  </si>
  <si>
    <t>Kątownik półki</t>
  </si>
  <si>
    <t>1936-001-PRT-A0066499-A-Kątownik półki</t>
  </si>
  <si>
    <t>PRT-A0065391</t>
  </si>
  <si>
    <t>Mocowanie Tarifolda</t>
  </si>
  <si>
    <t>1936-001-PRT-A0065391-A-Mocowanie Tarifolda</t>
  </si>
  <si>
    <t>PRT-A0065389</t>
  </si>
  <si>
    <t>Mocowanie odbojnika</t>
  </si>
  <si>
    <t>1936-001-PRT-A0065389-A-Mocowanie odbojnika</t>
  </si>
  <si>
    <t>Piaskować</t>
  </si>
  <si>
    <t>PRT-A0065265</t>
  </si>
  <si>
    <t>Płytka narzędzia naprawczego</t>
  </si>
  <si>
    <t>1936-012-PRT-A0065265-A-Płytka narzędzia naprawczego</t>
  </si>
  <si>
    <t>PRT-A0065320</t>
  </si>
  <si>
    <t>Mocowanie tablicy warsztatowej</t>
  </si>
  <si>
    <t>1936-001-PRT-A0065320-A-Mocowanie tablicy warsztatowej</t>
  </si>
  <si>
    <t>PRT-A0065292</t>
  </si>
  <si>
    <t>PRT-A0065264</t>
  </si>
  <si>
    <t>1936-001-PRT-A0065264-A-Blacha</t>
  </si>
  <si>
    <t>PRT-A0065262</t>
  </si>
  <si>
    <t>Mocowanie Szafy</t>
  </si>
  <si>
    <t>1936-001-PRT-A0065262-A-Mocowanie Szafy</t>
  </si>
  <si>
    <t>PRT-A0066035</t>
  </si>
  <si>
    <t>Mocowanie gniazd</t>
  </si>
  <si>
    <t>1936-005-PRT-A0066035-A-Mocowanie gniazd</t>
  </si>
  <si>
    <t>1936-001-PRT-A0065292-A-Osłona</t>
  </si>
  <si>
    <t>PRT-A0065418</t>
  </si>
  <si>
    <t>1936-001-PRT-A0065418-A-Mocowanie tablicy warsztatowej</t>
  </si>
  <si>
    <t>PRT-A0065400</t>
  </si>
  <si>
    <t>1936-001-PRT-A0065400-A-Pole odkładcze</t>
  </si>
  <si>
    <t>PRT-A0065399</t>
  </si>
  <si>
    <t>1936-001-PRT-A0065399-A-Mocowanie</t>
  </si>
  <si>
    <t>PRT-A0065398</t>
  </si>
  <si>
    <t>1936-001-PRT-A0065398-A-Blacha</t>
  </si>
  <si>
    <t>PRT-A0065394</t>
  </si>
  <si>
    <t>1936-001-PRT-A0065394-A-Osłona</t>
  </si>
  <si>
    <t>PRT-A0065384</t>
  </si>
  <si>
    <t>1936-001-PRT-A0065384-A-Osłona</t>
  </si>
  <si>
    <t>ZKZ</t>
  </si>
  <si>
    <t>MS</t>
  </si>
  <si>
    <t>PRT-A0065361</t>
  </si>
  <si>
    <t>Mocownaie korytka</t>
  </si>
  <si>
    <t>1936-001-PRT-A0065361-A-Mocownaie korytka</t>
  </si>
  <si>
    <t>PRT-A0065359</t>
  </si>
  <si>
    <t>1936-001-PRT-A0065359-A-Mocowanie czujnika</t>
  </si>
  <si>
    <t>PRT-A0065356</t>
  </si>
  <si>
    <t>Mocowanie Kontrolera</t>
  </si>
  <si>
    <t>1936-001-PRT-A0065356-A-Mocowanie Kontrolera</t>
  </si>
  <si>
    <t>PRT-A0065353</t>
  </si>
  <si>
    <t>1936-001-PRT-A0065353-A-Wspornik III</t>
  </si>
  <si>
    <t>PRT-A0065330</t>
  </si>
  <si>
    <t>1936-001-PRT-A0065330-A-Osłona</t>
  </si>
  <si>
    <t>PRT-A0065322</t>
  </si>
  <si>
    <t>Wzmocnienie pod szafę</t>
  </si>
  <si>
    <t>1936-001-PRT-A0065322-A-Wzmocnienie pod szafę</t>
  </si>
  <si>
    <t xml:space="preserve"> PRT-A0065295</t>
  </si>
  <si>
    <t>Mocowanie zaworu</t>
  </si>
  <si>
    <t>1936-001-PRT-A0065295-A-Mocowanie zaworu</t>
  </si>
  <si>
    <t xml:space="preserve"> PRT-A0068096</t>
  </si>
  <si>
    <t>Tuleja magnesu</t>
  </si>
  <si>
    <t>1936-001-PRT-A0068096-A-Tuleja magnesu</t>
  </si>
  <si>
    <t>PE 1000</t>
  </si>
  <si>
    <t>0000_Mocowanie_RFID_Kątownik</t>
  </si>
  <si>
    <t>0000_Mocowanie_RFID_Kątownik-B</t>
  </si>
  <si>
    <t>0000_Mocowanie_RFID_Osłona I-B</t>
  </si>
  <si>
    <t>PRT-A0065397</t>
  </si>
  <si>
    <t>1936-001-PRT-A0065397-A-Mocowanie Transportera</t>
  </si>
  <si>
    <t>PRT-A0065267</t>
  </si>
  <si>
    <t>Kątownik przepływomierza</t>
  </si>
  <si>
    <t>1936-001-PRT-A0065267-A-Kątownik przepływomierza</t>
  </si>
  <si>
    <t>Szafa pneumatyki</t>
  </si>
  <si>
    <t>PRT-A0065268</t>
  </si>
  <si>
    <t>Szafa Pneumatyki</t>
  </si>
  <si>
    <t>1936-001-PRT-A0065268-A-Szafa Pneumatyki</t>
  </si>
  <si>
    <t>PRT-A0065266</t>
  </si>
  <si>
    <t>1936-001-PRT-A0065266-A-Osłona</t>
  </si>
  <si>
    <t>PRT-A0065376</t>
  </si>
  <si>
    <t>Mocowanie zaworów</t>
  </si>
  <si>
    <t>1936-011-PRT-A0065376-A-Mocowanie zaworów</t>
  </si>
  <si>
    <t>Podajnik wibracyjny</t>
  </si>
  <si>
    <t>PRT-A0065381</t>
  </si>
  <si>
    <t>Kostka zabezpieczająca</t>
  </si>
  <si>
    <t>1936-001-PRT-A0065381-A-Kostka zabezpieczająca</t>
  </si>
  <si>
    <t>1936-001-PRT-A0065381-A-Kostka zabezpieczająca Lustro</t>
  </si>
  <si>
    <t>PRT-A0065378</t>
  </si>
  <si>
    <t>1936-011-PRT-A0065378-A-Blacha</t>
  </si>
  <si>
    <t>PRT-A0065377</t>
  </si>
  <si>
    <t>1936-011-PRT-A0065377-A-Mocowanie</t>
  </si>
  <si>
    <t>PRT-A0065375</t>
  </si>
  <si>
    <t>1936-011-PRT-A0065375-A-Blacha</t>
  </si>
  <si>
    <t>PRT-A0065848</t>
  </si>
  <si>
    <t>1936-011-PRT-A0065848-A-Kostka zabezpieczająca</t>
  </si>
  <si>
    <t>PRT-A0030517</t>
  </si>
  <si>
    <t>Zacisk przewodu</t>
  </si>
  <si>
    <t>1881-11-PRT-A0030517-A-Zacisk przewodu</t>
  </si>
  <si>
    <t>PRT-A0065842</t>
  </si>
  <si>
    <t xml:space="preserve">Tulejka dystansująca </t>
  </si>
  <si>
    <t xml:space="preserve">1936-004-PRT-A0065842-A-Tulejka dystansująca </t>
  </si>
  <si>
    <t>4H13/1.4034</t>
  </si>
  <si>
    <t>32 HRC±2HRC</t>
  </si>
  <si>
    <t>Rozdzielacz śrub</t>
  </si>
  <si>
    <t>PRT-A0065298</t>
  </si>
  <si>
    <t>Trzpień zaślepczy</t>
  </si>
  <si>
    <t>1936-004-PRT-A0065298-A-Trzpień zaślepczy</t>
  </si>
  <si>
    <t>PRT-A0065296</t>
  </si>
  <si>
    <t>Kostka przewodów</t>
  </si>
  <si>
    <t>1936-004-PRT-A0065296-A-Kostka przewodów</t>
  </si>
  <si>
    <t>NC10/1.2201</t>
  </si>
  <si>
    <t>58 HRC±2HRC</t>
  </si>
  <si>
    <t>PRT-A0065304</t>
  </si>
  <si>
    <t>Kostka siłownika</t>
  </si>
  <si>
    <t>1936-004-PRT-A0065304-A-Kostka siłownika</t>
  </si>
  <si>
    <t>PRT-A0065300</t>
  </si>
  <si>
    <t>Kostka wózka</t>
  </si>
  <si>
    <t>1936-004-PRT-A0065300-A-Kostka wózka</t>
  </si>
  <si>
    <t>PRT-A0065299</t>
  </si>
  <si>
    <t>Kostka rozdzielajaca</t>
  </si>
  <si>
    <t>1936-004-PRT-A0065299-A-Kostka rozdzielajaca</t>
  </si>
  <si>
    <t>40HM/1.7225</t>
  </si>
  <si>
    <t>52 HRC±2HRC</t>
  </si>
  <si>
    <t>PRT-A0065307</t>
  </si>
  <si>
    <t>Kostka przewodów wejściowa</t>
  </si>
  <si>
    <t>1936-004-PRT-A0065307-A-Kostka przewodów wejściowa</t>
  </si>
  <si>
    <t>PRT-A0065308</t>
  </si>
  <si>
    <t>Kostka rozdzielajaca wejściowa</t>
  </si>
  <si>
    <t>1936-004-PRT-A0065308-A-Kostka rozdzielajaca wejściowa</t>
  </si>
  <si>
    <t>PRT-A0068073</t>
  </si>
  <si>
    <t>1936-004-PRT-A0068073-A-Dystans</t>
  </si>
  <si>
    <t>PRT-A0065306</t>
  </si>
  <si>
    <t>Osłona elektryki</t>
  </si>
  <si>
    <t>1936-004-PRT-A0065306-A-Osłona elektryki</t>
  </si>
  <si>
    <t>PRT-A0065315</t>
  </si>
  <si>
    <t>Płyta Pudełka</t>
  </si>
  <si>
    <t>1936-004-PRT-A0065315-A-Płyta Pudełka</t>
  </si>
  <si>
    <t>PRT-A0065314</t>
  </si>
  <si>
    <t>Dystans magnesu</t>
  </si>
  <si>
    <t>1936-004-PRT-A0065314-A-Dystans magnesu</t>
  </si>
  <si>
    <t>PRT-A0065313</t>
  </si>
  <si>
    <t>Kołnierz Przewodu rozdzielacza</t>
  </si>
  <si>
    <t>1936-004-PRT-A0065313-A-Kołnierz Przewodu rozdzielacza</t>
  </si>
  <si>
    <t>PRT-A0065311</t>
  </si>
  <si>
    <t>1936-004-PRT-A0065311-A-Kołnierz Przewodu rozdzielacza</t>
  </si>
  <si>
    <t>PRT-A0065317</t>
  </si>
  <si>
    <t>Mocowanie rozdzielacza</t>
  </si>
  <si>
    <t>1936-004-PRT-A0065317-A-Mocowanie rozdzielacza</t>
  </si>
  <si>
    <t>PRT-A0065316</t>
  </si>
  <si>
    <t>1936-004-PRT-A0065316-A-Mocowanie rozdzielacza</t>
  </si>
  <si>
    <t>PRT-A0065309</t>
  </si>
  <si>
    <t>Ustnik</t>
  </si>
  <si>
    <t>1936-004-PRT-A0065309-A-Ustnik</t>
  </si>
  <si>
    <t>50HS/1.5026</t>
  </si>
  <si>
    <t>PRT-A0065099</t>
  </si>
  <si>
    <t>Mocowanie Monitora</t>
  </si>
  <si>
    <t>1936-005-PRT-A0065099-A-Mocowanie Monitora</t>
  </si>
  <si>
    <t>Mocowanie monitora</t>
  </si>
  <si>
    <t>PRT-A0065097</t>
  </si>
  <si>
    <t>1936-001-PRT-A0065097-A-Mocowanie Monitora</t>
  </si>
  <si>
    <t>PRT-A0065100</t>
  </si>
  <si>
    <t>Adapter uchwytu NOVUS</t>
  </si>
  <si>
    <t>1936-001-PRT-A0065100-A-Adapter uchwytu NOVUS</t>
  </si>
  <si>
    <t>PRT-A0065098</t>
  </si>
  <si>
    <t>Mocowanie klawiatury</t>
  </si>
  <si>
    <t>1936-001-PRT-A0065098-A-Mocowanie klawiatury</t>
  </si>
  <si>
    <t>PRT-A0068566</t>
  </si>
  <si>
    <t>Mocowanie pudełka 1</t>
  </si>
  <si>
    <t>1936-001-PRT-A0068566-A-Mocowanie pudełka 1</t>
  </si>
  <si>
    <t>S235JR/1.0038</t>
  </si>
  <si>
    <t>PRT-A0068567</t>
  </si>
  <si>
    <t>Mocowanie pudełka 3</t>
  </si>
  <si>
    <t>1936-001-PRT-A0068567-A-Mocowanie pudełka 3</t>
  </si>
  <si>
    <t>PRT-A0068568</t>
  </si>
  <si>
    <t>Mocowanie pudełka 4</t>
  </si>
  <si>
    <t>1936-001-PRT-A0068568-A-Mocowanie pudełka 4</t>
  </si>
  <si>
    <t>PRT-A0068569</t>
  </si>
  <si>
    <t>Mocowanie pudełka 2</t>
  </si>
  <si>
    <t>1936-001-PRT-A0068569-A-Mocowanie pudełka 2</t>
  </si>
  <si>
    <t>PRT-A0068561</t>
  </si>
  <si>
    <t>Mocowanie pudełka</t>
  </si>
  <si>
    <t>1936-001-PRT-A0068561-A-Mocowanie pudełka</t>
  </si>
  <si>
    <t>1936-004-PRT-A0065638-A-Ustnik</t>
  </si>
  <si>
    <t>PRT-A0065638</t>
  </si>
  <si>
    <t>PRT-A0068196</t>
  </si>
  <si>
    <t>Ustalenie ustników</t>
  </si>
  <si>
    <t>1936-004-PRT-A0068196-A-Ustalenie ustników</t>
  </si>
  <si>
    <t>1936-004-PRT-A0068196-A-Ustalenie ustników Lustro</t>
  </si>
  <si>
    <t>Stanowisko skręcania</t>
  </si>
  <si>
    <t>1936-001-PRT-A0068868-A-Kątownik przepływomierza</t>
  </si>
  <si>
    <t>PRT-A0068868</t>
  </si>
  <si>
    <t>Frezmat</t>
  </si>
  <si>
    <t>PRT-A0068987</t>
  </si>
  <si>
    <t>PRT-A0068980</t>
  </si>
  <si>
    <t>Mocowanie Spectra</t>
  </si>
  <si>
    <t>1936-001-PRT-A0068980-A-Mocowanie Spectra</t>
  </si>
  <si>
    <t>PRT-A0065350</t>
  </si>
  <si>
    <t>1936-001-PRT-A0065350-A-Osłona</t>
  </si>
  <si>
    <t>PRT-A0065349</t>
  </si>
  <si>
    <t>1936-001-PRT-A0065349-A-Osłona</t>
  </si>
  <si>
    <t>PRT-A0065344</t>
  </si>
  <si>
    <t>Mocowanie szafy</t>
  </si>
  <si>
    <t>1936-001-PRT-A0065344-A-Mocowanie szafy</t>
  </si>
  <si>
    <t>PRT-A0065343</t>
  </si>
  <si>
    <t>1936-001-PRT-A0065343-A-Osłona</t>
  </si>
  <si>
    <t>PRT-A0065342</t>
  </si>
  <si>
    <t>1936-001-PRT-A0065342-A-Osłona</t>
  </si>
  <si>
    <t>PRT-A0065339</t>
  </si>
  <si>
    <t>1936-001-PRT-A0065339-A-Osłona</t>
  </si>
  <si>
    <t>PRT-A0065338</t>
  </si>
  <si>
    <t>1936-001-PRT-A0065338-A-Osłona</t>
  </si>
  <si>
    <t>PRT-A0065336</t>
  </si>
  <si>
    <t>1936-001-PRT-A0065336-A-Osłona</t>
  </si>
  <si>
    <t>PRT-A0065334</t>
  </si>
  <si>
    <t>1936-001-PRT-A0065334-A-Osłona</t>
  </si>
  <si>
    <t>PRT-A0065332</t>
  </si>
  <si>
    <t>1936-001-PRT-A0065332-A-Osłona</t>
  </si>
  <si>
    <t>PRT-A0065331</t>
  </si>
  <si>
    <t>1936-001-PRT-A0065331-A-Mocowanie</t>
  </si>
  <si>
    <t>PRT-A0068985</t>
  </si>
  <si>
    <t>2020-000-PRT-A0068985-A-Osłona Transformatora</t>
  </si>
  <si>
    <t>PRT-A0065333</t>
  </si>
  <si>
    <t>Dystans szafa-ramka</t>
  </si>
  <si>
    <t>1936-001-PRT-A0065333-A-Dystans szafa-ramka</t>
  </si>
  <si>
    <t>1936-001-PRT-A0068987-A-Podstawa transformatora</t>
  </si>
  <si>
    <t>Podstawa transformatora</t>
  </si>
  <si>
    <t>Osłona Transformatora</t>
  </si>
  <si>
    <t>PRT-A0065346</t>
  </si>
  <si>
    <t>1936-001-PRT-A0065346-A-Mocowanie na zewnątrz</t>
  </si>
  <si>
    <t>PRT-A0065345</t>
  </si>
  <si>
    <t>1936-001-PRT-A0065345-A-Mocowanie do wewnątrz</t>
  </si>
  <si>
    <t>Mocowanie na zewnątrz</t>
  </si>
  <si>
    <t>Mocowanie do wewnątrz</t>
  </si>
  <si>
    <t>PRT-A0068986</t>
  </si>
  <si>
    <t>Zaślepka 1</t>
  </si>
  <si>
    <t>1936-003-PRT-A0068986-A-Zaślepka 1</t>
  </si>
  <si>
    <t>PRT-A0065532</t>
  </si>
  <si>
    <t>Płyta główna</t>
  </si>
  <si>
    <t>1936-003-PRT-A0065532-A-Płyta główna</t>
  </si>
  <si>
    <t>PRT-A0065530</t>
  </si>
  <si>
    <t>Żebro 1</t>
  </si>
  <si>
    <t>1936-003-PRT-A0065530-A-Żebro 1</t>
  </si>
  <si>
    <t>PRT-A0065529</t>
  </si>
  <si>
    <t>Żebro 3</t>
  </si>
  <si>
    <t>1936-003-PRT-A0065529-A-Żebro 3</t>
  </si>
  <si>
    <t>PRT-A0065527</t>
  </si>
  <si>
    <t>Płaskownik</t>
  </si>
  <si>
    <t>1936-003-PRT-A0065527-A-Płaskownik</t>
  </si>
  <si>
    <t>PRT-A0065525</t>
  </si>
  <si>
    <t>Ramka pod skręcanie</t>
  </si>
  <si>
    <t>1936-003-PRT-A0065525-A-Ramka pod skręcanie</t>
  </si>
  <si>
    <t>PRT-A0065524</t>
  </si>
  <si>
    <t>Żebro 2</t>
  </si>
  <si>
    <t>1936-003-PRT-A0065524-A-Żebro 2</t>
  </si>
  <si>
    <t>PRT-A0065523</t>
  </si>
  <si>
    <t>Płaskownik 2</t>
  </si>
  <si>
    <t>1936-003-PRT-A0065523-A-Płaskownik 2</t>
  </si>
  <si>
    <t>PRT-A0065522</t>
  </si>
  <si>
    <t>1936-003-PRT-A0065522-A-Zaślepka 1</t>
  </si>
  <si>
    <t>PRT-A0065521</t>
  </si>
  <si>
    <t>Wałek</t>
  </si>
  <si>
    <t>1936-003-PRT-A0065521-A-Wałek</t>
  </si>
  <si>
    <t>M. Ziętal</t>
  </si>
  <si>
    <t>1936-003-ASM-A0009804-A-Ramka skręcania</t>
  </si>
  <si>
    <t>Ramka skręcania</t>
  </si>
  <si>
    <t>ASM-A0009804</t>
  </si>
  <si>
    <t>Spawanie</t>
  </si>
  <si>
    <t>Złożenie</t>
  </si>
  <si>
    <t xml:space="preserve">Spawanie </t>
  </si>
  <si>
    <t>PRT-A0068622</t>
  </si>
  <si>
    <t>Kostka gwintowana</t>
  </si>
  <si>
    <t>1936-003-PRT-A0068622-A-Kostka gwintowana</t>
  </si>
  <si>
    <t>PRT-A0065584</t>
  </si>
  <si>
    <t>Rama dolna</t>
  </si>
  <si>
    <t>1936-003-PRT-A0065584-A-Rama dolna</t>
  </si>
  <si>
    <t>PRT-A0065566</t>
  </si>
  <si>
    <t>Płytka stopki</t>
  </si>
  <si>
    <t>1936-003-PRT-A0065566-A-Płytka stopki</t>
  </si>
  <si>
    <t>Ramka spawana</t>
  </si>
  <si>
    <t>ASM-A0009808</t>
  </si>
  <si>
    <t>1936-003-ASM-A0009808-A-Ramka spawana</t>
  </si>
  <si>
    <t>PRT-A0065564</t>
  </si>
  <si>
    <t>1936-003-PRT-A0065564-A-Rama dolna</t>
  </si>
  <si>
    <t>PRT-A0065565</t>
  </si>
  <si>
    <t>Zaślepka</t>
  </si>
  <si>
    <t>1936-003-PRT-A0065565-A-Zaślepka</t>
  </si>
  <si>
    <t>1936-003-ASM-A0009807-A-Rama dolna skręcania</t>
  </si>
  <si>
    <t>Rama dolna skręcania</t>
  </si>
  <si>
    <t>ASM-A0009807</t>
  </si>
  <si>
    <t>Konstrukcja spawana</t>
  </si>
  <si>
    <t>Mocowanie gniazdka</t>
  </si>
  <si>
    <t>PRT-A0065159</t>
  </si>
  <si>
    <t>1936-005-PRT-A0065159-A-Mocowanie gniazdka</t>
  </si>
  <si>
    <t>PRT-A0065364</t>
  </si>
  <si>
    <t>PRT-A0065324</t>
  </si>
  <si>
    <t>PRT-A0065319</t>
  </si>
  <si>
    <t>PRT-A0065395</t>
  </si>
  <si>
    <t>PRT-A0065351</t>
  </si>
  <si>
    <t>PRT-A0065405</t>
  </si>
  <si>
    <t>PRT-A0065403</t>
  </si>
  <si>
    <t>PRT-A0065396</t>
  </si>
  <si>
    <t>PRT-A0065393</t>
  </si>
  <si>
    <t>PRT-A0065392</t>
  </si>
  <si>
    <t>PRT-A0065383</t>
  </si>
  <si>
    <t>1936-001-PRT-A0065364-A-Osłona</t>
  </si>
  <si>
    <t>1936-001-PRT-A0065324-A-Osłona</t>
  </si>
  <si>
    <t>1936-001-PRT-A0065319-A-Osłona</t>
  </si>
  <si>
    <t>1936-001-PRT-A0065395-A-Osłona</t>
  </si>
  <si>
    <t>1936-001-PRT-A0065351-A-Osłona</t>
  </si>
  <si>
    <t>1936-001-PRT-A0065405-A-Osłona</t>
  </si>
  <si>
    <t>1936-001-PRT-A0065403-A-Osłona</t>
  </si>
  <si>
    <t>1936-001-PRT-A0065396-A-Osłona</t>
  </si>
  <si>
    <t>1936-001-PRT-A0065393-A-Osłona</t>
  </si>
  <si>
    <t>1936-001-PRT-A0065392-A-Osłona</t>
  </si>
  <si>
    <t>1936-001-PRT-A0065383-A-Osłona</t>
  </si>
  <si>
    <t>Osłona górna</t>
  </si>
  <si>
    <t>1936-001-PRT-A0069025-A-Osłona górna</t>
  </si>
  <si>
    <t>PRT-A0069025</t>
  </si>
  <si>
    <t>PRT-A0065471</t>
  </si>
  <si>
    <t xml:space="preserve">Szczęka </t>
  </si>
  <si>
    <t>4H13/1.4057</t>
  </si>
  <si>
    <t>PRT-A0065474</t>
  </si>
  <si>
    <t>Kątownik gniazda</t>
  </si>
  <si>
    <t>1936-003-PRT-A0065474-A-Kątownik gniazda</t>
  </si>
  <si>
    <t>PRT-A0065472</t>
  </si>
  <si>
    <t>Podpora gniazda</t>
  </si>
  <si>
    <t>1936-003-PRT-A0065472-A-Podpora gniazda</t>
  </si>
  <si>
    <t>PRT-A0065468</t>
  </si>
  <si>
    <t>Płytka obrotu</t>
  </si>
  <si>
    <t>1936-003-PRT-A0065468-A-Płytka obrotu</t>
  </si>
  <si>
    <t>PRT-A0065467</t>
  </si>
  <si>
    <t>1936-003-PRT-A0065467-A-Gniazdo</t>
  </si>
  <si>
    <t>1936-003-PRT-A0065471-A-Szczęka</t>
  </si>
  <si>
    <t>PRT-A0065429</t>
  </si>
  <si>
    <t>Płyta środkowa</t>
  </si>
  <si>
    <t>1936-003-PRT-A0065429-A-Płyta środkowa</t>
  </si>
  <si>
    <t>PRT-A0065430</t>
  </si>
  <si>
    <t>Dystans 1</t>
  </si>
  <si>
    <t>1936-003-PRT-A0065430-A-Dystans 1</t>
  </si>
  <si>
    <t>PRT-A0065431</t>
  </si>
  <si>
    <t>1936-003-PRT-A0065431-A-Blacha osłony środkowej</t>
  </si>
  <si>
    <t>PRT-A0065432</t>
  </si>
  <si>
    <t>Osłona laser</t>
  </si>
  <si>
    <t>1936-003-PRT-A0065432-A-Osłona laser</t>
  </si>
  <si>
    <t>H. Mech.</t>
  </si>
  <si>
    <t xml:space="preserve"> </t>
  </si>
  <si>
    <t>Blacha osłony środkowej</t>
  </si>
  <si>
    <t>Szkło do lasera</t>
  </si>
  <si>
    <t>PRT-A0065434</t>
  </si>
  <si>
    <t>Blaszka kodowania</t>
  </si>
  <si>
    <t>1936-003-PRT-A0065434-A-Blaszka kodowania</t>
  </si>
  <si>
    <t>PRT-A0065435</t>
  </si>
  <si>
    <t>Osłona 3</t>
  </si>
  <si>
    <t>1936-003-PRT-A0065435-A-Osłona 3</t>
  </si>
  <si>
    <t>PRT-A0065478</t>
  </si>
  <si>
    <t>PRT-A0065433</t>
  </si>
  <si>
    <t>1936-003-PRT-A0065433-A-Mocowanie osłony środkowej</t>
  </si>
  <si>
    <t>PRT-A0065464</t>
  </si>
  <si>
    <t>Osłona 1</t>
  </si>
  <si>
    <t>1936-003-PRT-A0065464-A-Osłona 1</t>
  </si>
  <si>
    <t>PRT-A0065428</t>
  </si>
  <si>
    <t>Osłona 2</t>
  </si>
  <si>
    <t>1936-003-PRT-A0065428-A-Osłona 2</t>
  </si>
  <si>
    <t>PRT-A0065462</t>
  </si>
  <si>
    <t>Kostka pneumatyczna</t>
  </si>
  <si>
    <t>1936-003-PRT-A0065462-A-Kostka pneumatyczna</t>
  </si>
  <si>
    <t>PRT-A0065463</t>
  </si>
  <si>
    <t>Kostka</t>
  </si>
  <si>
    <t>1936-003-PRT-A0065463-A-Kostka</t>
  </si>
  <si>
    <t>PRT-A0065465</t>
  </si>
  <si>
    <t>Płytka teowa</t>
  </si>
  <si>
    <t>1936-003-PRT-A0065465-A-Płytka teowa</t>
  </si>
  <si>
    <t>PRT-A0065466</t>
  </si>
  <si>
    <t>Płyta stołu</t>
  </si>
  <si>
    <t>1936-003-PRT-A0065466-A-Płyta stołu</t>
  </si>
  <si>
    <t>Mocowanie czujników kodowania</t>
  </si>
  <si>
    <t>1936-003-PRT-A0065478-A-Mocowanie czujników kodowania</t>
  </si>
  <si>
    <t>Mocowanie osłony środkowej</t>
  </si>
  <si>
    <t>PRT-A0065634</t>
  </si>
  <si>
    <t>Koło stożkowe 1</t>
  </si>
  <si>
    <t>1936-003-PRT-A0065634-A-Koło stożkowe 1</t>
  </si>
  <si>
    <t>ATLANTA</t>
  </si>
  <si>
    <t>PRT-A0065633</t>
  </si>
  <si>
    <t>Koło stożkowe 2</t>
  </si>
  <si>
    <t>1936-003-PRT-A0065633-A-Koło stożkowe 2</t>
  </si>
  <si>
    <t>PIVEXIN</t>
  </si>
  <si>
    <t>SZKŁO</t>
  </si>
  <si>
    <t>PRT-A0065629</t>
  </si>
  <si>
    <t>1936-003-PRT-A0065629-A-Dystans</t>
  </si>
  <si>
    <t>PRT-A0065610</t>
  </si>
  <si>
    <t>Uchwyt przewodu</t>
  </si>
  <si>
    <t>1936-003-PRT-A0065610-A-Uchwyt przewodu</t>
  </si>
  <si>
    <t>PRT-A0065631</t>
  </si>
  <si>
    <t>Płyta</t>
  </si>
  <si>
    <t>1936-003-PRT-A0065631-A-Płyta</t>
  </si>
  <si>
    <t>PRT-A0065618</t>
  </si>
  <si>
    <t>Suport</t>
  </si>
  <si>
    <t>1936-003-PRT-A0065618-A-Suport</t>
  </si>
  <si>
    <t>PRT-A0065616</t>
  </si>
  <si>
    <t>Blaszka</t>
  </si>
  <si>
    <t>1936-003-PRT-A0065616-A-Blaszka</t>
  </si>
  <si>
    <t>PRT-A0065613</t>
  </si>
  <si>
    <t>Oprawa nakrętki</t>
  </si>
  <si>
    <t>1936-003-PRT-A0065613-A-Oprawa nakrętki</t>
  </si>
  <si>
    <t>PRT-A0065626</t>
  </si>
  <si>
    <t>Suport 2</t>
  </si>
  <si>
    <t>1936-003-PRT-A0065626-A-Suport 2</t>
  </si>
  <si>
    <t>PRT-A0065623</t>
  </si>
  <si>
    <t>Żebro</t>
  </si>
  <si>
    <t>1936-003-PRT-A0065623-A-Żebro</t>
  </si>
  <si>
    <t>PRT-A0065632</t>
  </si>
  <si>
    <t>1936-003-PRT-A0065632-A-Oprawa nakrętki</t>
  </si>
  <si>
    <t>PRT-A0065621</t>
  </si>
  <si>
    <t>Pokrywka łożyska</t>
  </si>
  <si>
    <t>1936-003-PRT-A0065621-A-Pokrywka łożyska</t>
  </si>
  <si>
    <t>PRT-A0065617</t>
  </si>
  <si>
    <t>Zderzak</t>
  </si>
  <si>
    <t>1936-003-PRT-A0065617-A-Zderzak</t>
  </si>
  <si>
    <t>PRT-A0065615</t>
  </si>
  <si>
    <t>Pokrywka</t>
  </si>
  <si>
    <t>1936-003-PRT-A0065615-A-Pokrywka</t>
  </si>
  <si>
    <t>St5/1.0050</t>
  </si>
  <si>
    <t>PRT-A0065614</t>
  </si>
  <si>
    <t>1936-003-PRT-A0065614-A-Płyta</t>
  </si>
  <si>
    <t>45/1.0530</t>
  </si>
  <si>
    <t>PRT-A0065627</t>
  </si>
  <si>
    <t>1936-003-PRT-A0065627-A-Śruba trapezowa TR28x5 lewa</t>
  </si>
  <si>
    <t>PRT-A0065611</t>
  </si>
  <si>
    <t>Tuleja dystansowa</t>
  </si>
  <si>
    <t>1936-003-PRT-A0065611-A-Tuleja dystansowa</t>
  </si>
  <si>
    <t>PRT-A0065612</t>
  </si>
  <si>
    <t>Tulejka dystansowa</t>
  </si>
  <si>
    <t>1936-003-PRT-A0065612-A-Tulejka dystansowa</t>
  </si>
  <si>
    <t>PRT-A0065622</t>
  </si>
  <si>
    <t>1936-003-PRT-A0065622-A-Wałek</t>
  </si>
  <si>
    <t>PRT-A0065628</t>
  </si>
  <si>
    <t>Pokrywa</t>
  </si>
  <si>
    <t>1936-003-PRT-A0065628-A-Pokrywa</t>
  </si>
  <si>
    <t>PRT-A0065620</t>
  </si>
  <si>
    <t>Oprawa łożyska</t>
  </si>
  <si>
    <t>1936-003-PRT-A0065620-A-Oprawa łożyska</t>
  </si>
  <si>
    <t>PRT-A0065625</t>
  </si>
  <si>
    <t>Podkładka</t>
  </si>
  <si>
    <t>1936-003-PRT-A0065625-A-Podkładka</t>
  </si>
  <si>
    <t>PRT-A0065619</t>
  </si>
  <si>
    <t>Korpus przekładni</t>
  </si>
  <si>
    <t>1936-003-PRT-A0065619-A-Korpus przekładni</t>
  </si>
  <si>
    <t>Śruba trapezowa TR28x5 lewa</t>
  </si>
  <si>
    <t>PRT-A0065607</t>
  </si>
  <si>
    <t>Blacha zamka 2</t>
  </si>
  <si>
    <t>1936-003-PRT-A0065607-A-Blacha zamka 2</t>
  </si>
  <si>
    <t>PRT-A0065606</t>
  </si>
  <si>
    <t>Blaszka 3</t>
  </si>
  <si>
    <t>1936-003-PRT-A0065606-A-Blaszka 3</t>
  </si>
  <si>
    <t>PRT-A0065603</t>
  </si>
  <si>
    <t>Blaszka 2</t>
  </si>
  <si>
    <t>1936-003-PRT-A0065603-A-Blaszka 2</t>
  </si>
  <si>
    <t>PRT-A0065601</t>
  </si>
  <si>
    <t>Blaszka 1</t>
  </si>
  <si>
    <t>1936-003-PRT-A0065601-A-Blaszka 1</t>
  </si>
  <si>
    <t>PRT-A0065605</t>
  </si>
  <si>
    <t>1936-003-PRT-A0065605-A-Mocowanie prowadnika</t>
  </si>
  <si>
    <t>PRT-A0065605-Lustro</t>
  </si>
  <si>
    <t>1936-003-PRT-A0065605-Lustro-A-Mocowanie prowadnika</t>
  </si>
  <si>
    <t>PRT-A0065608</t>
  </si>
  <si>
    <t>Blacha zamka 1</t>
  </si>
  <si>
    <t>1936-003-PRT-A0065608-A-Blacha zamka 1</t>
  </si>
  <si>
    <t>PRT-A0065609</t>
  </si>
  <si>
    <t>Blacha regulacji</t>
  </si>
  <si>
    <t>1936-003-PRT-A0065609-A-Blacha regulacji</t>
  </si>
  <si>
    <t>PRT-A0065427</t>
  </si>
  <si>
    <t>Mocowanie skanera 1</t>
  </si>
  <si>
    <t>1936-003-PRT-A0065427-A-Mocowanie skanera 1</t>
  </si>
  <si>
    <t>PRT-A0065426</t>
  </si>
  <si>
    <t>Mocowanie skanera 2</t>
  </si>
  <si>
    <t>1936-003-PRT-A0065426-A-Mocowanie skanera 2</t>
  </si>
  <si>
    <t>000.MAG.50 - M8 x 40</t>
  </si>
  <si>
    <t>F</t>
  </si>
  <si>
    <t>Śruba separująca</t>
  </si>
  <si>
    <t>0--000.MAG.50 - M8 x40-F-Śruba separująca</t>
  </si>
  <si>
    <t>PROMATIK</t>
  </si>
  <si>
    <t>PRT-A0069009</t>
  </si>
  <si>
    <t>Uchwyt czujnika</t>
  </si>
  <si>
    <t>1936-003-PRT-A0069009-A-Uchwyt czujnika</t>
  </si>
  <si>
    <t>PRT-A0065534</t>
  </si>
  <si>
    <t>1936-003-PRT-A0065534-A-Mocowanie prowadnika</t>
  </si>
  <si>
    <t>PRT-A0065546</t>
  </si>
  <si>
    <t>1936-003-PRT-A0065546-A-Osłona</t>
  </si>
  <si>
    <t>PRT-A0065540</t>
  </si>
  <si>
    <t>1936-003-PRT-A0065540-A-Płaskownik</t>
  </si>
  <si>
    <t>1936-003-PRT-A0065540-A-Płaskownik-Lustro</t>
  </si>
  <si>
    <t>PRT-A0065537</t>
  </si>
  <si>
    <t>1936-003-PRT-A0065537-A-Mocowanie ramki i wózków</t>
  </si>
  <si>
    <t>1936-003-PRT-A0065537-A-Mocowanie ramki i wózków-Lustro</t>
  </si>
  <si>
    <t>PRT-A0068979</t>
  </si>
  <si>
    <t>1936-003-PRT-A0068979-A-Zderzak</t>
  </si>
  <si>
    <t>PRT-A0068977</t>
  </si>
  <si>
    <t>Kostka amortyzatora</t>
  </si>
  <si>
    <t>1936-003-PRT-A0068977-A-Kostka amortyzatora</t>
  </si>
  <si>
    <t>PRT-A0068623</t>
  </si>
  <si>
    <t>1936-003-PRT-A0068623-A-Kątownik</t>
  </si>
  <si>
    <t>PRT-A0068614</t>
  </si>
  <si>
    <t>Płaskownik siłownika</t>
  </si>
  <si>
    <t>1936-003-PRT-A0068614-A-Płaskownik siłownika</t>
  </si>
  <si>
    <t>PRT-A0065535</t>
  </si>
  <si>
    <t>Blacha prowadnika</t>
  </si>
  <si>
    <t>1936-003-PRT-A0065535-A-Blacha prowadnika</t>
  </si>
  <si>
    <t>40 HRC±2HRC</t>
  </si>
  <si>
    <t>Mocowanie ramki i wózków</t>
  </si>
  <si>
    <t>PRT-A0069044</t>
  </si>
  <si>
    <t>Osłona przednia górna</t>
  </si>
  <si>
    <t>1936-003-PRT-A0069044-A-Osłona przednia górna</t>
  </si>
  <si>
    <t>PRT-A0069043</t>
  </si>
  <si>
    <t>1936-003-PRT-A0069043-A-Uchwyt do wieży świetlnej</t>
  </si>
  <si>
    <t>PRT-A0065599</t>
  </si>
  <si>
    <t>Płyta Zebry</t>
  </si>
  <si>
    <t>1936-003-PRT-A0065599-A-Płyta Zebry</t>
  </si>
  <si>
    <t>PRT-A0065499</t>
  </si>
  <si>
    <t>1936-001-PRT-A0065499-A-Mocowanie włączników</t>
  </si>
  <si>
    <t>NIe Anodować!!!</t>
  </si>
  <si>
    <t>PRT-A0065489</t>
  </si>
  <si>
    <t>Kątownik skanera</t>
  </si>
  <si>
    <t>1936-003-PRT-A0065489-A-Kątownik skanera</t>
  </si>
  <si>
    <t>PRT-A0069040</t>
  </si>
  <si>
    <t>Blaszka bramki</t>
  </si>
  <si>
    <t>1936-003-PRT-A0069040-A-Blaszka bramki</t>
  </si>
  <si>
    <t>PRT-A0065595</t>
  </si>
  <si>
    <t>Płytka zawiasu</t>
  </si>
  <si>
    <t>1936-003-PRT-A0065595-A-Płytka zawiasu</t>
  </si>
  <si>
    <t>PRT-A0065591</t>
  </si>
  <si>
    <t>Kątownik 2</t>
  </si>
  <si>
    <t>1936-003-PRT-A0065591-A-Kątownik 2</t>
  </si>
  <si>
    <t>PRT-A0065559</t>
  </si>
  <si>
    <t>Kostka regulacji</t>
  </si>
  <si>
    <t>1936-003-PRT-A0065559-A-Kostka regulacji</t>
  </si>
  <si>
    <t>PRT-A0065481</t>
  </si>
  <si>
    <t>1936-003-PRT-A0065481-A-Dystans</t>
  </si>
  <si>
    <t>PRT-A0065571</t>
  </si>
  <si>
    <t>Kotwa</t>
  </si>
  <si>
    <t>1936-003-PRT-A0065571-A-Kotwa</t>
  </si>
  <si>
    <t>1936-003-PRT-A0065571-A-Kotwa-Lustro</t>
  </si>
  <si>
    <t>PRT-A0065586</t>
  </si>
  <si>
    <t>1936-003-PRT-A0065586-A-Blacha boczna  prawa górna</t>
  </si>
  <si>
    <t>PRT-A0065556</t>
  </si>
  <si>
    <t>Blacha szczotki 1</t>
  </si>
  <si>
    <t>1936-003-PRT-A0065556-A-Blacha szczotki 1</t>
  </si>
  <si>
    <t>Szkło</t>
  </si>
  <si>
    <t>PRT-A0065508</t>
  </si>
  <si>
    <t>1936-003-PRT-A0065508-A-Blaszka bramki</t>
  </si>
  <si>
    <t>PRT-A0065515</t>
  </si>
  <si>
    <t>Uchwyt bramki 2</t>
  </si>
  <si>
    <t>1936-003-PRT-A0065515-A-Uchwyt bramki 2</t>
  </si>
  <si>
    <t>1936-003-PRT-A0065515-A-Uchwyt bramki 2-Lustro</t>
  </si>
  <si>
    <t>PRT-A0065487</t>
  </si>
  <si>
    <t>Osłona płyty stołu</t>
  </si>
  <si>
    <t>1936-003-PRT-A0065487-A-Osłona płyty stołu</t>
  </si>
  <si>
    <t>1936-003-PRT-A0065487-A-Osłona płyty stołu-Lustro</t>
  </si>
  <si>
    <t>PRT-A0065493</t>
  </si>
  <si>
    <t>Osłona przednia 2</t>
  </si>
  <si>
    <t>1936-003-PRT-A0065493-A-Osłona przednia 2</t>
  </si>
  <si>
    <t>PRT-A0065482</t>
  </si>
  <si>
    <t>Mocowanie bramki 3</t>
  </si>
  <si>
    <t>1936-003-PRT-A0065482-A-Mocowanie bramki 3</t>
  </si>
  <si>
    <t>PRT-A0065479</t>
  </si>
  <si>
    <t>Blacha osłona</t>
  </si>
  <si>
    <t>1936-003-PRT-A0065479-A-Blacha osłona</t>
  </si>
  <si>
    <t>PRT-A0065553</t>
  </si>
  <si>
    <t>1936-003-PRT-A0065553-A-Kątownik</t>
  </si>
  <si>
    <t>1936-003-PRT-A0065553-A-Kątownik-Lustro</t>
  </si>
  <si>
    <t>PRT-A0065590</t>
  </si>
  <si>
    <t>Osłona rury 2</t>
  </si>
  <si>
    <t>1936-003-PRT-A0065590-A-Osłona rury 2</t>
  </si>
  <si>
    <t>PRT-A0065575</t>
  </si>
  <si>
    <t>Osłona przednia</t>
  </si>
  <si>
    <t>1936-003-PRT-A0065575-A-Osłona przednia</t>
  </si>
  <si>
    <t>PRT-A0065561</t>
  </si>
  <si>
    <t>Blacha uchwytu</t>
  </si>
  <si>
    <t>1936-003-PRT-A0065561-A-Blacha uchwytu</t>
  </si>
  <si>
    <t>PRT-A0065562</t>
  </si>
  <si>
    <t>Osłona przód</t>
  </si>
  <si>
    <t>1936-003-PRT-A0065562-A-Osłona przód</t>
  </si>
  <si>
    <t>PRT-A0065509</t>
  </si>
  <si>
    <t>1936-003-PRT-A0065509-A-Osłona ramki skręcania 6</t>
  </si>
  <si>
    <t>PRT-A0065582</t>
  </si>
  <si>
    <t>1936-003-PRT-A0065582-A-Osłona ramki skręcania 5</t>
  </si>
  <si>
    <t>PRT-A0065563</t>
  </si>
  <si>
    <t>1936-003-PRT-A0065563-A-Osłona ramki skręcania 4</t>
  </si>
  <si>
    <t>PRT-A0065500</t>
  </si>
  <si>
    <t>1936-003-PRT-A0065500-A-Osłona ramki skręcania 3</t>
  </si>
  <si>
    <t>PRT-A0065583</t>
  </si>
  <si>
    <t>1936-003-PRT-A0065583-A-Osłona ramki skręcania 2</t>
  </si>
  <si>
    <t>PRT-A0065554</t>
  </si>
  <si>
    <t>1936-003-PRT-A0065554-A-Osłona ramki skręcania 1</t>
  </si>
  <si>
    <t>PRT-A0065555</t>
  </si>
  <si>
    <t>Osłona szafy 5</t>
  </si>
  <si>
    <t>1936-003-PRT-A0065555-A-Osłona szafy 5</t>
  </si>
  <si>
    <t>PRT-A0065496</t>
  </si>
  <si>
    <t>Osłona szafy 4</t>
  </si>
  <si>
    <t>1936-003-PRT-A0065496-A-Osłona szafy 4</t>
  </si>
  <si>
    <t>PRT-A0065580</t>
  </si>
  <si>
    <t>1936-003-PRT-A0065580-A-Osłona przednia</t>
  </si>
  <si>
    <t>PRT-A0065497</t>
  </si>
  <si>
    <t>1936-003-PRT-A0065497-A-Osłona szafy 5</t>
  </si>
  <si>
    <t>PRT-A0065511</t>
  </si>
  <si>
    <t>1936-003-PRT-A0065511-A-Osłona szafy 4</t>
  </si>
  <si>
    <t>PRT-A0065498</t>
  </si>
  <si>
    <t>Osłona szafy 3</t>
  </si>
  <si>
    <t>1936-003-PRT-A0065498-A-Osłona szafy 3</t>
  </si>
  <si>
    <t>PRT-A0065490</t>
  </si>
  <si>
    <t>Zaślepka rury</t>
  </si>
  <si>
    <t>1936-003-PRT-A0065490-A-Zaślepka rury</t>
  </si>
  <si>
    <t>PRT-A0065576</t>
  </si>
  <si>
    <t>Osłona lewa dolna</t>
  </si>
  <si>
    <t>1936-003-PRT-A0065576-A-Osłona lewa dolna</t>
  </si>
  <si>
    <t>PRT-A0065579</t>
  </si>
  <si>
    <t>1936-003-PRT-A0065579-A-Osłona przód</t>
  </si>
  <si>
    <t>PRT-A0065572</t>
  </si>
  <si>
    <t>Osłona przewodu</t>
  </si>
  <si>
    <t>1936-003-PRT-A0065572-A-Osłona przewodu</t>
  </si>
  <si>
    <t>PRT-A0065573</t>
  </si>
  <si>
    <t>Blacha tylnia 3</t>
  </si>
  <si>
    <t>1936-003-PRT-A0065573-A-Blacha tylnia 3</t>
  </si>
  <si>
    <t>PRT-A0065480</t>
  </si>
  <si>
    <t>Blacha tylnia 1</t>
  </si>
  <si>
    <t>1936-003-PRT-A0065480-A-Blacha tylnia 1</t>
  </si>
  <si>
    <t>PRT-A0065518</t>
  </si>
  <si>
    <t>Blacha tylnia 2</t>
  </si>
  <si>
    <t>1936-003-PRT-A0065518-A-Blacha tylnia 2</t>
  </si>
  <si>
    <t>PRT-A0065585</t>
  </si>
  <si>
    <t xml:space="preserve">Osłona </t>
  </si>
  <si>
    <t xml:space="preserve">1936-003-PRT-A0065585-A-Osłona </t>
  </si>
  <si>
    <t>PRT-A0065592</t>
  </si>
  <si>
    <t>Uchwyt prowadnicy</t>
  </si>
  <si>
    <t>1936-003-PRT-A0065592-A-Uchwyt prowadnicy</t>
  </si>
  <si>
    <t>PRT-A0065568</t>
  </si>
  <si>
    <t>Osłona prawa górna</t>
  </si>
  <si>
    <t>1936-003-PRT-A0065568-A-Osłona prawa górna</t>
  </si>
  <si>
    <t>PRT-A0065510</t>
  </si>
  <si>
    <t>1936-003-PRT-A0065510-A-Osłona przednia</t>
  </si>
  <si>
    <t>PRT-A0065593</t>
  </si>
  <si>
    <t>Blacha dolna</t>
  </si>
  <si>
    <t>1936-003-PRT-A0065593-A-Blacha dolna</t>
  </si>
  <si>
    <t>PRT-A0065594</t>
  </si>
  <si>
    <t>Osłona dolna</t>
  </si>
  <si>
    <t>1936-003-PRT-A0065594-A-Osłona dolna</t>
  </si>
  <si>
    <t>PRT-A0065567</t>
  </si>
  <si>
    <t>Osłona lewa 1</t>
  </si>
  <si>
    <t>1936-003-PRT-A0065567-A-Osłona lewa 1</t>
  </si>
  <si>
    <t>PRT-A0065491</t>
  </si>
  <si>
    <t>Osłona tył 1</t>
  </si>
  <si>
    <t>1936-003-PRT-A0065491-A-Osłona tył 1</t>
  </si>
  <si>
    <t>PRT-A0065581</t>
  </si>
  <si>
    <t>Blacha górna</t>
  </si>
  <si>
    <t>1936-003-PRT-A0065581-A-Blacha górna</t>
  </si>
  <si>
    <t>PRT-A0065484</t>
  </si>
  <si>
    <t>Blacha Promatik</t>
  </si>
  <si>
    <t>1936-003-PRT-A0065484-A-Blacha Promatik</t>
  </si>
  <si>
    <t>PRT-A0065578</t>
  </si>
  <si>
    <t>Blacha kolor</t>
  </si>
  <si>
    <t>1936-003-PRT-A0065578-A-Blacha kolor</t>
  </si>
  <si>
    <t>Malować RAL 5022</t>
  </si>
  <si>
    <t>PRT-A0065558</t>
  </si>
  <si>
    <t>Uchwyt kurtyny</t>
  </si>
  <si>
    <t>1936-003-PRT-A0065558-A-Uchwyt kurtyny</t>
  </si>
  <si>
    <t>PRT-A0065513</t>
  </si>
  <si>
    <t>1936-003-PRT-A0065513-A-Osłona przednia górna</t>
  </si>
  <si>
    <t>PRT-A0065514</t>
  </si>
  <si>
    <t>1936-003-PRT-A0065514-A-Osłona przednia górna</t>
  </si>
  <si>
    <t>PRT-A0065507</t>
  </si>
  <si>
    <t>Blacha szczotki 2</t>
  </si>
  <si>
    <t>1936-003-PRT-A0065507-A-Blacha szczotki 2</t>
  </si>
  <si>
    <t>PRT-A0065492</t>
  </si>
  <si>
    <t>Uchwyt bramki</t>
  </si>
  <si>
    <t>1936-003-PRT-A0065492-A-Uchwyt bramki</t>
  </si>
  <si>
    <t>PRT-A0065589</t>
  </si>
  <si>
    <t>1936-003-PRT-A0065589-A-Osłona przednia</t>
  </si>
  <si>
    <t>PRT-A0065485</t>
  </si>
  <si>
    <t>Kostka pod osłonę</t>
  </si>
  <si>
    <t>1936-003-PRT-A0065485-A-Kostka pod osłonę</t>
  </si>
  <si>
    <t>PRT-A0065483</t>
  </si>
  <si>
    <t>Płytka</t>
  </si>
  <si>
    <t>1936-003-PRT-A0065483-A-Płytka</t>
  </si>
  <si>
    <t>PRT-A0065519</t>
  </si>
  <si>
    <t>Drzwi</t>
  </si>
  <si>
    <t>1936-003-PRT-A0065519-A-Drzwi</t>
  </si>
  <si>
    <t>PRT-A0065517</t>
  </si>
  <si>
    <t>Kątownik 1</t>
  </si>
  <si>
    <t>1936-003-PRT-A0065517-A-Kątownik 1</t>
  </si>
  <si>
    <t>PRT-A0065560</t>
  </si>
  <si>
    <t>Ramka okienka</t>
  </si>
  <si>
    <t>1936-003-PRT-A0065560-A-Ramka okienka</t>
  </si>
  <si>
    <t>PRT-A0065577</t>
  </si>
  <si>
    <t>Kostka regulacji 2</t>
  </si>
  <si>
    <t>1936-003-PRT-A0065577-A-Kostka regulacji 2</t>
  </si>
  <si>
    <t>PRT-A0065501</t>
  </si>
  <si>
    <t>1936-003-PRT-A0065501-A-Płyta główna</t>
  </si>
  <si>
    <t>Uchwyt do wieży świetlnej</t>
  </si>
  <si>
    <t>Mocowanie włączników</t>
  </si>
  <si>
    <t>Blacha boczna  prawa górna</t>
  </si>
  <si>
    <t>Osłona ramki skręcania 6</t>
  </si>
  <si>
    <t>Osłona ramki skręcania 5</t>
  </si>
  <si>
    <t>Osłona ramki skręcania 4</t>
  </si>
  <si>
    <t>Osłona ramki skręcania 3</t>
  </si>
  <si>
    <t>Osłona ramki skręcania 2</t>
  </si>
  <si>
    <t>Osłona ramki skręcania 1</t>
  </si>
  <si>
    <t>1936-005-PRT-A0065143-B-Odbłyśnik Pick2Light</t>
  </si>
  <si>
    <t>1936-005-PRT-A0065143-B-Odbłyśnik Pick2Light Lustro</t>
  </si>
  <si>
    <t>1936-005-PRT-A0065137-B-Osłona Pick2Light</t>
  </si>
  <si>
    <t>1936-005-PRT-A0065136-B-Mocowanie Pick2Light</t>
  </si>
  <si>
    <t>1936-005-PRT-A0065141-B-Mocowanie Lampki</t>
  </si>
  <si>
    <t>1936-005-PRT-A0068994-A-Mocowanie ASK drukarki</t>
  </si>
  <si>
    <t>PRT-A0068994</t>
  </si>
  <si>
    <t>Mocowanie ASK drukarki</t>
  </si>
  <si>
    <t>Packing</t>
  </si>
  <si>
    <t>1936-005-PRT-A0068994-A-Mocowanie ASK drukarki Lustro</t>
  </si>
  <si>
    <t>1936-005-PRT-A0068995-A-Płyta kółka</t>
  </si>
  <si>
    <t>1936-005-PRT-A0068995-A-Płyta kółka Lustro</t>
  </si>
  <si>
    <t>PA6/3.1326</t>
  </si>
  <si>
    <t>PRT-A0068995</t>
  </si>
  <si>
    <t>PRT-A0065281</t>
  </si>
  <si>
    <t>1936-002-PRT-A0065281-A-Mocowanie Gniazda</t>
  </si>
  <si>
    <t xml:space="preserve">Paletka </t>
  </si>
  <si>
    <t>PRT-A0065280</t>
  </si>
  <si>
    <t>Trzpień Bazujący</t>
  </si>
  <si>
    <t>1936-002-PRT-A0065280-A-Trzpień Bazujący</t>
  </si>
  <si>
    <t>PRT-A0065279</t>
  </si>
  <si>
    <t>1936-002-PRT-A0065279-A-Gniazdo Obudowy Górnej</t>
  </si>
  <si>
    <t>1936-002-PRT-A0065279-A-Gniazdo Obudowy Górnej Lustro</t>
  </si>
  <si>
    <t>PRT-A0065284</t>
  </si>
  <si>
    <t>Osłona RFID</t>
  </si>
  <si>
    <t>1936-002-PRT-A0065284-A-Osłona RFID</t>
  </si>
  <si>
    <t>PA 6 /Poliamid</t>
  </si>
  <si>
    <t>Kolor: Czarny</t>
  </si>
  <si>
    <t>PRT-A0065283</t>
  </si>
  <si>
    <t>Płyta paletki</t>
  </si>
  <si>
    <t>1936-002-PRT-A0065283-A-Płyta paletki</t>
  </si>
  <si>
    <t>Nie anodować!</t>
  </si>
  <si>
    <t>PRT-A0065274</t>
  </si>
  <si>
    <t>Pojemnik na przewód</t>
  </si>
  <si>
    <t>1936-002-PRT-A0065274-A-Pojemnik na przewód</t>
  </si>
  <si>
    <t>PRT-A0065282</t>
  </si>
  <si>
    <t>Mocowanie Przewodu</t>
  </si>
  <si>
    <t>1936-002-PRT-A0065282-A-Mocowanie Przewodu</t>
  </si>
  <si>
    <t>PRT-A0065285</t>
  </si>
  <si>
    <t>Ociekacz</t>
  </si>
  <si>
    <t>1936-002-PRT-A0065285-A-Ociekacz</t>
  </si>
  <si>
    <t>PRT-A0065368</t>
  </si>
  <si>
    <t>1936-001-PRT-A0065368-A-Mocowanie OPTO</t>
  </si>
  <si>
    <t>PRT-A0065370</t>
  </si>
  <si>
    <t>1936-001-PRT-A0065370-A-Mocowanie OPTO</t>
  </si>
  <si>
    <t>PRT-A0065371</t>
  </si>
  <si>
    <t>1936-001-PRT-A0065371-A-Mocowanie OPTO</t>
  </si>
  <si>
    <t>1936-001-PRT-A0066534-A-Wzorzec ostateczny RFID</t>
  </si>
  <si>
    <t>1936-001-PRT-A0066533-A-Wzorzec głowicy RFID 1</t>
  </si>
  <si>
    <t>Wzorzec głowicy RFID 1</t>
  </si>
  <si>
    <t>Wzorzec ostateczny RFID</t>
  </si>
  <si>
    <t>PRT-A0066533</t>
  </si>
  <si>
    <t>PRT-A0066534</t>
  </si>
  <si>
    <t>32+-2HRC</t>
  </si>
  <si>
    <t>SPAW M.P.</t>
  </si>
  <si>
    <t xml:space="preserve">ZKZ </t>
  </si>
  <si>
    <t>Mocowanie przycisku startu</t>
  </si>
  <si>
    <t>1936-001-PRT-A0069199-A-Mocowanie przycisku startu</t>
  </si>
  <si>
    <t>PRT-A0069199</t>
  </si>
  <si>
    <t>PRT-A0065681</t>
  </si>
  <si>
    <t>1936-004-PRT-A0065681-A-Mocowanie Gniazda</t>
  </si>
  <si>
    <t>PRT-A0065680</t>
  </si>
  <si>
    <t>1936-004-PRT-A0065680-A-Mocowanie Gniazda</t>
  </si>
  <si>
    <t>PRT-A0065677</t>
  </si>
  <si>
    <t>1936-004-PRT-A0065677-A-Gniazdo obudowy górnej</t>
  </si>
  <si>
    <t>PRT-A0065676</t>
  </si>
  <si>
    <t>1936-004-PRT-A0065676-A-Gniazdo obudowy górnej</t>
  </si>
  <si>
    <t>PRT-A0065671</t>
  </si>
  <si>
    <t>1936-004-PRT-A0065671-A-Gniazdo obudowy górnej</t>
  </si>
  <si>
    <t>PRT-A0065669</t>
  </si>
  <si>
    <t>1936-004-PRT-A0065669-A-Gniazdo obudowy górnej</t>
  </si>
  <si>
    <t>PRT-A0065667</t>
  </si>
  <si>
    <t>1936-004-PRT-A0065667-A-Mocowanie gniazda</t>
  </si>
  <si>
    <t>PRT-A0065659</t>
  </si>
  <si>
    <t>1936-004-PRT-A0065659-A-Gniazdo obudowy górnej</t>
  </si>
  <si>
    <t>PRT-A0065655</t>
  </si>
  <si>
    <t>1936-004-PRT-A0065655-A-Mocowanie gniazda</t>
  </si>
  <si>
    <t>PRT-A0065654</t>
  </si>
  <si>
    <t>1936-004-PRT-A0065654-A-Mocowanie skanera</t>
  </si>
  <si>
    <t>PRT-A0065652</t>
  </si>
  <si>
    <t>1936-004-PRT-A0065652-A-Gniazdo obudowy górnej</t>
  </si>
  <si>
    <t>PRT-A0065679</t>
  </si>
  <si>
    <t>1936-004-PRT-A0065679-A-Dystans</t>
  </si>
  <si>
    <t>PRT-A0065682</t>
  </si>
  <si>
    <t>1936-004-PRT-A0065682-A-Mocowanie RFID</t>
  </si>
  <si>
    <t>PRT-A0065678</t>
  </si>
  <si>
    <t>1936-004-PRT-A0065678-A-Gniazdo obudowy górnej</t>
  </si>
  <si>
    <t>PRT-A0065653</t>
  </si>
  <si>
    <t>1936-004-PRT-A0065653-A-Tabliczka</t>
  </si>
  <si>
    <t>Gniazdo DIEHL</t>
  </si>
  <si>
    <t>PRT-A0065647</t>
  </si>
  <si>
    <t xml:space="preserve">Kołnierz </t>
  </si>
  <si>
    <t xml:space="preserve">1936-004-PRT-A0065647-A-Kołnierz </t>
  </si>
  <si>
    <t>PRT-A0065641</t>
  </si>
  <si>
    <t>Blokada bita</t>
  </si>
  <si>
    <t>1936-004-PRT-A0065641-A-Blokada bita</t>
  </si>
  <si>
    <t>PRT-A0065636</t>
  </si>
  <si>
    <t>Blokada</t>
  </si>
  <si>
    <t>1936-004-PRT-A0065636-A-Blokada</t>
  </si>
  <si>
    <t>PRT-A0065645</t>
  </si>
  <si>
    <t>Korpus wkrętów</t>
  </si>
  <si>
    <t>1936-004-PRT-A0065645-A-Korpus wkrętów</t>
  </si>
  <si>
    <t>PRT-A0065642</t>
  </si>
  <si>
    <t>Korpus bita</t>
  </si>
  <si>
    <t>1936-004-PRT-A0065642-A-Korpus bita</t>
  </si>
  <si>
    <t>PRT-A0065637</t>
  </si>
  <si>
    <t xml:space="preserve">Złącze </t>
  </si>
  <si>
    <t xml:space="preserve">1936-004-PRT-A0065637-A-Złącze </t>
  </si>
  <si>
    <t>PRT-A0065644</t>
  </si>
  <si>
    <t>Dociskacz</t>
  </si>
  <si>
    <t>1936-004-PRT-A0065644-A-Dociskacz</t>
  </si>
  <si>
    <t>PRT-A0065639</t>
  </si>
  <si>
    <t>1936-004-PRT-A0065639-A-Adapter przewodu wkrętarki</t>
  </si>
  <si>
    <t>Adapter przewodu wkrętarki</t>
  </si>
  <si>
    <t>000.MAG.50 - M8 x 50</t>
  </si>
  <si>
    <t>Osłona włączników</t>
  </si>
  <si>
    <t>PRT-A0065705</t>
  </si>
  <si>
    <t>1936-004-PRT-A0065705-A-Osłona włączników</t>
  </si>
  <si>
    <t>PRT-A0065693</t>
  </si>
  <si>
    <t>1936-004-PRT-A0065693-A-Mocowanie siłownika wkrętarek</t>
  </si>
  <si>
    <t>PRT-A0068389</t>
  </si>
  <si>
    <t>1936-004-PRT-A0068389-A-Blaszka</t>
  </si>
  <si>
    <t>PRT-A0065702</t>
  </si>
  <si>
    <t xml:space="preserve">Wałek </t>
  </si>
  <si>
    <t xml:space="preserve">1936-004-PRT-A0065702-A-Wałek </t>
  </si>
  <si>
    <t>REXROTH</t>
  </si>
  <si>
    <t>PRT-A0065697</t>
  </si>
  <si>
    <t>Wał prowdzący główny</t>
  </si>
  <si>
    <t>1936-004-PRT-A0065697-A-Wał prowdzący główny</t>
  </si>
  <si>
    <t>PRT-A0065695</t>
  </si>
  <si>
    <t xml:space="preserve">Uchwyt </t>
  </si>
  <si>
    <t xml:space="preserve">1936-004-PRT-A0065695-A-Uchwyt </t>
  </si>
  <si>
    <t>PRT-A0065722</t>
  </si>
  <si>
    <t>1936-004-PRT-A0065722-A-Oslona</t>
  </si>
  <si>
    <t>PRT-A0065698</t>
  </si>
  <si>
    <t>1936-004-PRT-A0065698-A-Oslona</t>
  </si>
  <si>
    <t>PRT-A0065712</t>
  </si>
  <si>
    <t>Kątownik prowadnika</t>
  </si>
  <si>
    <t>1936-004-PRT-A0065712-A-Kątownik prowadnika</t>
  </si>
  <si>
    <t>PA38/3.2315</t>
  </si>
  <si>
    <t>PRT-A0065648</t>
  </si>
  <si>
    <t>Korpus główny</t>
  </si>
  <si>
    <t>1936-004-PRT-A0065648-A-Korpus główny</t>
  </si>
  <si>
    <t>PRT-A0068972</t>
  </si>
  <si>
    <t>Dystans skręcania</t>
  </si>
  <si>
    <t>PRT-A0068388</t>
  </si>
  <si>
    <t>Kątownik czujnika</t>
  </si>
  <si>
    <t>1936-004-PRT-A0068388-A-Kątownik czujnika</t>
  </si>
  <si>
    <t>PRT-A0065729</t>
  </si>
  <si>
    <t>1936-004-PRT-A0065729-A-Kątownik wzmacniający</t>
  </si>
  <si>
    <t>PRT-A0065727</t>
  </si>
  <si>
    <t xml:space="preserve">Mocowanie odboju </t>
  </si>
  <si>
    <t xml:space="preserve">1936-004-PRT-A0065727-A-Mocowanie odboju </t>
  </si>
  <si>
    <t>PRT-A0065723</t>
  </si>
  <si>
    <t>1936-004-PRT-A0065723-A-Zastrzał płyt wkrętarek</t>
  </si>
  <si>
    <t>PRT-A0065715</t>
  </si>
  <si>
    <t>Podpora osłony</t>
  </si>
  <si>
    <t>1936-004-PRT-A0065715-A-Podpora osłony</t>
  </si>
  <si>
    <t>PRT-A0065713</t>
  </si>
  <si>
    <t>1936-004-PRT-A0065713-A-Podstawa gniazda skręcania</t>
  </si>
  <si>
    <t>PRT-A0065711</t>
  </si>
  <si>
    <t>Mocowanie uchwytu</t>
  </si>
  <si>
    <t>1936-004-PRT-A0065711-A-Mocowanie uchwytu</t>
  </si>
  <si>
    <t>PRT-A0065710</t>
  </si>
  <si>
    <t>1936-004-PRT-A0065710-A-Mocowanie wałów głównych</t>
  </si>
  <si>
    <t>PRT-A0065708</t>
  </si>
  <si>
    <t>Płyta Skręcania</t>
  </si>
  <si>
    <t>1936-004-PRT-A0065708-A-Płyta Skręcania</t>
  </si>
  <si>
    <t>PRT-A0065706</t>
  </si>
  <si>
    <t>1936-004-PRT-A0065706-A-Mocowanie wałów głównych</t>
  </si>
  <si>
    <t>PRT-A0065701</t>
  </si>
  <si>
    <t>1936-004-PRT-A0065701-A-Podpora osłony</t>
  </si>
  <si>
    <t>PRT-A0065696</t>
  </si>
  <si>
    <t>Płyta wkrętarek</t>
  </si>
  <si>
    <t>1936-004-PRT-A0065696-A-Płyta wkrętarek</t>
  </si>
  <si>
    <t>PRT-A0065694</t>
  </si>
  <si>
    <t>Korpus wkrętarki</t>
  </si>
  <si>
    <t>1936-004-PRT-A0065694-A-Korpus wkrętarki</t>
  </si>
  <si>
    <t>PRT-A0065691</t>
  </si>
  <si>
    <t>1936-004-PRT-A0065691-A-Mocowanie uchwytu</t>
  </si>
  <si>
    <t>PRT-A0065686</t>
  </si>
  <si>
    <t>1936-004-PRT-A0065686-A-Płyta pionowa wkrętarek</t>
  </si>
  <si>
    <t>PRT-A0065685</t>
  </si>
  <si>
    <t>1936-004-PRT-A0065685-A-Kątownik wzmacniający</t>
  </si>
  <si>
    <t>PRT-A0065684</t>
  </si>
  <si>
    <t>Mocowanie czujników</t>
  </si>
  <si>
    <t>1936-004-PRT-A0065684-A-Mocowanie czujników</t>
  </si>
  <si>
    <t>PRT-A0069208</t>
  </si>
  <si>
    <t>Płytka testowa</t>
  </si>
  <si>
    <t>1936-004-PRT-A0069208-A-Płytka testowa</t>
  </si>
  <si>
    <t>PRT-A0065716</t>
  </si>
  <si>
    <t>1936-004-PRT-A0065716-A-Dystans</t>
  </si>
  <si>
    <t>PRT-A0065649</t>
  </si>
  <si>
    <t>Płytka ustników</t>
  </si>
  <si>
    <t>1936-004-PRT-A0065649-A-Płytka ustników</t>
  </si>
  <si>
    <t>PRT-A0068729</t>
  </si>
  <si>
    <t>Dystans supportu</t>
  </si>
  <si>
    <t>1936-004-PRT-A0068729-A-Dystans supportu</t>
  </si>
  <si>
    <t>PRT-A0065728</t>
  </si>
  <si>
    <t>Mocowanie zespołu</t>
  </si>
  <si>
    <t>1936-004-PRT-A0065728-A-Mocowanie zespołu</t>
  </si>
  <si>
    <t>PRT-A0065725</t>
  </si>
  <si>
    <t>1936-004-PRT-A0065725-A-Trzpień gwintowany mocujący</t>
  </si>
  <si>
    <t>PRT-A0065719</t>
  </si>
  <si>
    <t>Prowadzenie</t>
  </si>
  <si>
    <t>1936-004-PRT-A0065719-A-Prowadzenie</t>
  </si>
  <si>
    <t>PRT-A0065709</t>
  </si>
  <si>
    <t>1936-003-PRT-A0065709-A-Mocowanie Amortyzatora</t>
  </si>
  <si>
    <t>PRT-A0065704</t>
  </si>
  <si>
    <t>PRT-A0065703</t>
  </si>
  <si>
    <t>1936-003-PRT-A0065703-A-Zderzak</t>
  </si>
  <si>
    <t>PRT-A0065688</t>
  </si>
  <si>
    <t>1936-003-PRT-A0065688-A-Mocowanie Amortyzatora</t>
  </si>
  <si>
    <t>PRT-A0065718</t>
  </si>
  <si>
    <t>1936-004-PRT-A0065718-A-Podkładka</t>
  </si>
  <si>
    <t>PRT-A0069183</t>
  </si>
  <si>
    <t>1936-004-PRT-A0069183-A-Zderzak</t>
  </si>
  <si>
    <t>PRT-A0065726</t>
  </si>
  <si>
    <t>Blacha skręcania</t>
  </si>
  <si>
    <t>1936-004-PRT-A0065726-A-Blacha skręcania</t>
  </si>
  <si>
    <t>Tecaform AH ELS</t>
  </si>
  <si>
    <t>Mocowanie siłownika wkrętarek</t>
  </si>
  <si>
    <t>S355J2+N/1.0562</t>
  </si>
  <si>
    <t>Kątownik wzmacniający</t>
  </si>
  <si>
    <t>Zastrzał płyt wkrętarek</t>
  </si>
  <si>
    <t>Podstawa gniazda skręcania</t>
  </si>
  <si>
    <t>Mocowanie wałów głównych</t>
  </si>
  <si>
    <t>Płyta pionowa wkrętarek</t>
  </si>
  <si>
    <t>Trzpień gwintowany mocujący</t>
  </si>
  <si>
    <t>Mocowanie Amortyzatora</t>
  </si>
  <si>
    <t>1936-004-PRT-A0065705-A-Osłona włączników Lustro</t>
  </si>
  <si>
    <t>Skręcanie</t>
  </si>
  <si>
    <t>Sprawdzian 1936</t>
  </si>
  <si>
    <t>1936-004-PRT-A0065704-A-Sprawdzian 1936</t>
  </si>
  <si>
    <t>Płytka mocująca</t>
  </si>
  <si>
    <t>PRT-A0065277</t>
  </si>
  <si>
    <t>1936-002-PRT-A0065277-A-Płytka mocująca</t>
  </si>
  <si>
    <t>WYKONAĆ 1 SZTUKĘ NA TEST</t>
  </si>
  <si>
    <t>WYKONAĆ  4 SZTUKI NA TEST</t>
  </si>
  <si>
    <t>WYKONAĆ  2 SZTUKI NA TEST</t>
  </si>
  <si>
    <t>Z/1936-laser-cz1/PCz/2023</t>
  </si>
  <si>
    <t>Z/1936-laser-spaw/PCz/2023</t>
  </si>
  <si>
    <t>wybrane przez PCz 2023-04-18</t>
  </si>
  <si>
    <t>Przekazane do M. P.</t>
  </si>
  <si>
    <t>1936-004-PRT-A0069832-A-Zacisk przewodu</t>
  </si>
  <si>
    <t>PRT-A0069832</t>
  </si>
  <si>
    <t>1936-004-PRT-A0068972-B-Dystans skręcania</t>
  </si>
  <si>
    <t>1936-005-PRT-A0065208-C-Mocowanie Supportu</t>
  </si>
  <si>
    <t>1936-005-PRT-A0065122-C-Blacha Podłoga</t>
  </si>
  <si>
    <t>1936-005-PRT-A0065195-C-Mocowanie Podnośnika</t>
  </si>
  <si>
    <t>1936-005-PRT-A0065195-C-Mocowanie Podnośnika Lustro</t>
  </si>
  <si>
    <t>Z POPRZEDNIEGO PROJEKTU</t>
  </si>
  <si>
    <t>Z POPRZEDNIEGO PROJEKTU DOROBIĆ TYLKO OTOWRY</t>
  </si>
  <si>
    <t>Do dokończenia usniki od konstruktora</t>
  </si>
  <si>
    <t>1936-005-PRT-A0070044-A-Mocowanie Lampki</t>
  </si>
  <si>
    <t>PRT-A0070044</t>
  </si>
  <si>
    <t>wykonane w Proamtik</t>
  </si>
  <si>
    <t>Z/1936-laser-cz2/PCz/2023</t>
  </si>
  <si>
    <t>wybrane przez PCz 2023-04-25</t>
  </si>
  <si>
    <t>wybrane przez PCz 2023-04-29</t>
  </si>
  <si>
    <t>Nie wykonywać</t>
  </si>
  <si>
    <t xml:space="preserve">Wstrzymano </t>
  </si>
  <si>
    <t>wybrano przez PCz</t>
  </si>
  <si>
    <t>Z/1936-laser_palet/PCz/2023</t>
  </si>
  <si>
    <t>wybrane przez PCz 2023-05-15</t>
  </si>
  <si>
    <t xml:space="preserve"> Z/1936-skraw_zewn/PCz/2023</t>
  </si>
  <si>
    <t>WYKONA PROMATIK</t>
  </si>
  <si>
    <t>MS/PCz</t>
  </si>
  <si>
    <t>Mikron Bis</t>
  </si>
  <si>
    <t>Zamówienie Z/809/1936/MS/2023</t>
  </si>
  <si>
    <t>dostarczono</t>
  </si>
  <si>
    <t>czekamy na wkrętarkę</t>
  </si>
</sst>
</file>

<file path=xl/styles.xml><?xml version="1.0" encoding="utf-8"?>
<styleSheet xmlns="http://schemas.openxmlformats.org/spreadsheetml/2006/main">
  <numFmts count="3">
    <numFmt numFmtId="43" formatCode="_-* #,##0.00\ _z_ł_-;\-* #,##0.00\ _z_ł_-;_-* &quot;-&quot;??\ _z_ł_-;_-@_-"/>
    <numFmt numFmtId="164" formatCode="d/mm/yyyy"/>
    <numFmt numFmtId="165" formatCode="_-* #,##0.00\ _z_ł_-;\-* #,##0.00\ _z_ł_-;_-* \-??\ _z_ł_-;_-@_-"/>
  </numFmts>
  <fonts count="80">
    <font>
      <sz val="10"/>
      <name val="Arial"/>
      <family val="2"/>
      <charset val="238"/>
    </font>
    <font>
      <b/>
      <sz val="20"/>
      <name val="Arial"/>
      <family val="2"/>
      <charset val="238"/>
    </font>
    <font>
      <i/>
      <sz val="8"/>
      <name val="Arial"/>
      <family val="2"/>
      <charset val="238"/>
    </font>
    <font>
      <sz val="8"/>
      <name val="Arial"/>
      <family val="2"/>
      <charset val="238"/>
    </font>
    <font>
      <b/>
      <i/>
      <sz val="8"/>
      <name val="Arial"/>
      <family val="2"/>
      <charset val="238"/>
    </font>
    <font>
      <sz val="12"/>
      <name val="Arial"/>
      <family val="2"/>
      <charset val="238"/>
    </font>
    <font>
      <sz val="9"/>
      <name val="Arial"/>
      <family val="2"/>
      <charset val="238"/>
    </font>
    <font>
      <u/>
      <sz val="11.5"/>
      <color indexed="12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20"/>
      <name val="Arial"/>
      <family val="2"/>
      <charset val="238"/>
    </font>
    <font>
      <sz val="11"/>
      <name val="Arial"/>
      <family val="2"/>
      <charset val="238"/>
    </font>
    <font>
      <b/>
      <sz val="12"/>
      <name val="Arial"/>
      <family val="2"/>
      <charset val="238"/>
    </font>
    <font>
      <b/>
      <i/>
      <sz val="11"/>
      <name val="Arial"/>
      <family val="2"/>
      <charset val="238"/>
    </font>
    <font>
      <sz val="11"/>
      <color indexed="62"/>
      <name val="Calibri"/>
      <family val="2"/>
      <charset val="238"/>
    </font>
    <font>
      <b/>
      <sz val="18"/>
      <name val="Arial"/>
      <family val="2"/>
      <charset val="238"/>
    </font>
    <font>
      <b/>
      <sz val="8"/>
      <name val="Arial"/>
      <family val="2"/>
      <charset val="238"/>
    </font>
    <font>
      <b/>
      <sz val="9"/>
      <name val="Arial"/>
      <family val="2"/>
      <charset val="238"/>
    </font>
    <font>
      <b/>
      <sz val="10"/>
      <name val="Arial"/>
      <family val="2"/>
      <charset val="238"/>
    </font>
    <font>
      <u/>
      <sz val="11.5"/>
      <name val="Arial"/>
      <family val="2"/>
      <charset val="238"/>
    </font>
    <font>
      <b/>
      <sz val="14"/>
      <name val="Arial"/>
      <family val="2"/>
      <charset val="238"/>
    </font>
    <font>
      <sz val="24"/>
      <name val="Arial"/>
      <family val="2"/>
      <charset val="238"/>
    </font>
    <font>
      <sz val="10"/>
      <name val="Arial"/>
      <family val="2"/>
      <charset val="238"/>
    </font>
    <font>
      <b/>
      <sz val="14"/>
      <name val="Arial"/>
      <family val="2"/>
      <charset val="238"/>
    </font>
    <font>
      <sz val="9"/>
      <name val="Arial"/>
      <family val="2"/>
      <charset val="238"/>
    </font>
    <font>
      <sz val="11"/>
      <name val="Arial"/>
      <family val="2"/>
      <charset val="238"/>
    </font>
    <font>
      <sz val="16"/>
      <name val="Arial"/>
      <family val="2"/>
      <charset val="238"/>
    </font>
    <font>
      <b/>
      <u/>
      <sz val="11"/>
      <name val="Calibri"/>
      <family val="2"/>
      <charset val="238"/>
    </font>
    <font>
      <b/>
      <sz val="16"/>
      <name val="Arial"/>
      <family val="2"/>
      <charset val="238"/>
    </font>
    <font>
      <sz val="16"/>
      <name val="Calibri"/>
      <family val="2"/>
      <charset val="238"/>
    </font>
    <font>
      <b/>
      <sz val="14"/>
      <name val="Calibri"/>
      <family val="2"/>
      <charset val="238"/>
    </font>
    <font>
      <b/>
      <u/>
      <sz val="14"/>
      <name val="Calibri"/>
      <family val="2"/>
      <charset val="238"/>
    </font>
    <font>
      <sz val="10"/>
      <name val="Calibri"/>
      <family val="2"/>
      <charset val="238"/>
    </font>
    <font>
      <b/>
      <sz val="16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sz val="11"/>
      <color rgb="FF9C0006"/>
      <name val="Calibri"/>
      <family val="2"/>
      <charset val="238"/>
      <scheme val="minor"/>
    </font>
    <font>
      <sz val="10"/>
      <color theme="1" tint="4.9989318521683403E-2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theme="1" tint="4.9989318521683403E-2"/>
      <name val="Arial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  <charset val="238"/>
    </font>
    <font>
      <sz val="14"/>
      <color theme="1"/>
      <name val="Calibri"/>
      <family val="2"/>
      <charset val="238"/>
      <scheme val="minor"/>
    </font>
    <font>
      <i/>
      <sz val="14"/>
      <color theme="1"/>
      <name val="Calibri"/>
      <family val="2"/>
      <charset val="238"/>
      <scheme val="minor"/>
    </font>
    <font>
      <sz val="9"/>
      <color theme="1"/>
      <name val="Arial"/>
      <family val="2"/>
      <charset val="238"/>
    </font>
    <font>
      <sz val="12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sz val="14"/>
      <color rgb="FFA6A6A6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b/>
      <sz val="14"/>
      <color rgb="FF000000"/>
      <name val="Arial"/>
      <family val="2"/>
      <charset val="238"/>
    </font>
    <font>
      <sz val="16"/>
      <color theme="1"/>
      <name val="Arial"/>
      <family val="2"/>
      <charset val="238"/>
    </font>
    <font>
      <sz val="16"/>
      <color theme="1"/>
      <name val="Calibri"/>
      <family val="2"/>
      <charset val="238"/>
    </font>
    <font>
      <sz val="16"/>
      <color rgb="FF000000"/>
      <name val="Calibri"/>
      <family val="2"/>
      <charset val="238"/>
    </font>
    <font>
      <sz val="16"/>
      <color rgb="FF000000"/>
      <name val="Arial"/>
      <family val="2"/>
      <charset val="238"/>
    </font>
    <font>
      <sz val="10"/>
      <color theme="1"/>
      <name val="Arial"/>
      <family val="2"/>
      <charset val="238"/>
    </font>
    <font>
      <sz val="9"/>
      <color rgb="FF000000"/>
      <name val="Arial"/>
      <family val="2"/>
      <charset val="238"/>
    </font>
    <font>
      <sz val="16"/>
      <color theme="1"/>
      <name val="Calibri"/>
      <family val="2"/>
      <charset val="238"/>
      <scheme val="minor"/>
    </font>
    <font>
      <b/>
      <sz val="16"/>
      <color theme="1"/>
      <name val="Arial"/>
      <family val="2"/>
      <charset val="238"/>
    </font>
    <font>
      <b/>
      <sz val="16"/>
      <color theme="1"/>
      <name val="Calibri"/>
      <family val="2"/>
      <charset val="238"/>
    </font>
    <font>
      <sz val="14"/>
      <color theme="1"/>
      <name val="Arial"/>
      <family val="2"/>
      <charset val="238"/>
    </font>
    <font>
      <i/>
      <sz val="16"/>
      <color theme="1"/>
      <name val="Calibri"/>
      <family val="2"/>
      <charset val="238"/>
      <scheme val="minor"/>
    </font>
    <font>
      <sz val="8"/>
      <color theme="1"/>
      <name val="Verdana"/>
      <family val="2"/>
      <charset val="238"/>
    </font>
    <font>
      <sz val="14"/>
      <name val="Calibri"/>
      <family val="2"/>
      <charset val="238"/>
      <scheme val="minor"/>
    </font>
    <font>
      <b/>
      <sz val="13"/>
      <color rgb="FF000000"/>
      <name val="Arial"/>
      <family val="2"/>
      <charset val="238"/>
    </font>
    <font>
      <b/>
      <sz val="12"/>
      <color theme="1" tint="4.9989318521683403E-2"/>
      <name val="Arial"/>
      <family val="2"/>
      <charset val="238"/>
    </font>
  </fonts>
  <fills count="57">
    <fill>
      <patternFill patternType="none"/>
    </fill>
    <fill>
      <patternFill patternType="gray125"/>
    </fill>
    <fill>
      <patternFill patternType="solid">
        <fgColor indexed="47"/>
        <bgColor indexed="22"/>
      </patternFill>
    </fill>
    <fill>
      <patternFill patternType="solid">
        <fgColor indexed="22"/>
        <bgColor indexed="31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0EA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DCF4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0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0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2">
    <xf numFmtId="0" fontId="0" fillId="0" borderId="0"/>
    <xf numFmtId="0" fontId="34" fillId="4" borderId="0" applyNumberFormat="0" applyBorder="0" applyAlignment="0" applyProtection="0"/>
    <xf numFmtId="0" fontId="34" fillId="5" borderId="0" applyNumberFormat="0" applyBorder="0" applyAlignment="0" applyProtection="0"/>
    <xf numFmtId="0" fontId="34" fillId="6" borderId="0" applyNumberFormat="0" applyBorder="0" applyAlignment="0" applyProtection="0"/>
    <xf numFmtId="0" fontId="34" fillId="7" borderId="0" applyNumberFormat="0" applyBorder="0" applyAlignment="0" applyProtection="0"/>
    <xf numFmtId="0" fontId="34" fillId="8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19" borderId="0" applyNumberFormat="0" applyBorder="0" applyAlignment="0" applyProtection="0"/>
    <xf numFmtId="0" fontId="35" fillId="20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3" borderId="0" applyNumberFormat="0" applyBorder="0" applyAlignment="0" applyProtection="0"/>
    <xf numFmtId="0" fontId="35" fillId="24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7" borderId="0" applyNumberFormat="0" applyBorder="0" applyAlignment="0" applyProtection="0"/>
    <xf numFmtId="0" fontId="34" fillId="0" borderId="1"/>
    <xf numFmtId="0" fontId="34" fillId="0" borderId="1"/>
    <xf numFmtId="0" fontId="34" fillId="0" borderId="1"/>
    <xf numFmtId="0" fontId="34" fillId="0" borderId="1"/>
    <xf numFmtId="0" fontId="34" fillId="0" borderId="1"/>
    <xf numFmtId="0" fontId="34" fillId="0" borderId="1"/>
    <xf numFmtId="0" fontId="34" fillId="0" borderId="1"/>
    <xf numFmtId="0" fontId="34" fillId="0" borderId="1"/>
    <xf numFmtId="0" fontId="34" fillId="0" borderId="1">
      <alignment horizontal="center"/>
    </xf>
    <xf numFmtId="0" fontId="34" fillId="0" borderId="1"/>
    <xf numFmtId="0" fontId="34" fillId="0" borderId="1">
      <alignment horizontal="center"/>
    </xf>
    <xf numFmtId="0" fontId="34" fillId="0" borderId="1">
      <alignment horizontal="center"/>
    </xf>
    <xf numFmtId="0" fontId="36" fillId="28" borderId="72" applyNumberFormat="0" applyAlignment="0" applyProtection="0"/>
    <xf numFmtId="0" fontId="37" fillId="29" borderId="73" applyNumberFormat="0" applyAlignment="0" applyProtection="0"/>
    <xf numFmtId="0" fontId="38" fillId="30" borderId="0" applyNumberFormat="0" applyBorder="0" applyAlignment="0" applyProtection="0"/>
    <xf numFmtId="165" fontId="8" fillId="0" borderId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14" fillId="2" borderId="2" applyNumberFormat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39" fillId="0" borderId="74" applyNumberFormat="0" applyFill="0" applyAlignment="0" applyProtection="0"/>
    <xf numFmtId="0" fontId="40" fillId="31" borderId="75" applyNumberFormat="0" applyAlignment="0" applyProtection="0"/>
    <xf numFmtId="0" fontId="41" fillId="0" borderId="76" applyNumberFormat="0" applyFill="0" applyAlignment="0" applyProtection="0"/>
    <xf numFmtId="0" fontId="42" fillId="0" borderId="77" applyNumberFormat="0" applyFill="0" applyAlignment="0" applyProtection="0"/>
    <xf numFmtId="0" fontId="43" fillId="0" borderId="78" applyNumberFormat="0" applyFill="0" applyAlignment="0" applyProtection="0"/>
    <xf numFmtId="0" fontId="43" fillId="0" borderId="0" applyNumberFormat="0" applyFill="0" applyBorder="0" applyAlignment="0" applyProtection="0"/>
    <xf numFmtId="0" fontId="44" fillId="32" borderId="0" applyNumberFormat="0" applyBorder="0" applyAlignment="0" applyProtection="0"/>
    <xf numFmtId="0" fontId="34" fillId="0" borderId="0"/>
    <xf numFmtId="0" fontId="34" fillId="0" borderId="0"/>
    <xf numFmtId="0" fontId="45" fillId="29" borderId="72" applyNumberFormat="0" applyAlignment="0" applyProtection="0"/>
    <xf numFmtId="0" fontId="46" fillId="0" borderId="79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34" fillId="33" borderId="80" applyNumberFormat="0" applyFont="0" applyAlignment="0" applyProtection="0"/>
    <xf numFmtId="0" fontId="50" fillId="34" borderId="0" applyNumberFormat="0" applyBorder="0" applyAlignment="0" applyProtection="0"/>
  </cellStyleXfs>
  <cellXfs count="418">
    <xf numFmtId="0" fontId="0" fillId="0" borderId="0" xfId="0"/>
    <xf numFmtId="0" fontId="0" fillId="3" borderId="0" xfId="0" applyFill="1"/>
    <xf numFmtId="0" fontId="1" fillId="0" borderId="0" xfId="0" applyFont="1" applyProtection="1">
      <protection locked="0"/>
    </xf>
    <xf numFmtId="164" fontId="1" fillId="0" borderId="0" xfId="0" applyNumberFormat="1" applyFont="1" applyAlignment="1" applyProtection="1">
      <alignment horizontal="left"/>
      <protection locked="0"/>
    </xf>
    <xf numFmtId="0" fontId="2" fillId="0" borderId="0" xfId="0" applyFont="1"/>
    <xf numFmtId="0" fontId="2" fillId="3" borderId="3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/>
    <xf numFmtId="0" fontId="4" fillId="0" borderId="0" xfId="0" applyFont="1"/>
    <xf numFmtId="0" fontId="13" fillId="0" borderId="0" xfId="0" applyFont="1"/>
    <xf numFmtId="0" fontId="51" fillId="0" borderId="0" xfId="0" applyFont="1" applyProtection="1">
      <protection locked="0"/>
    </xf>
    <xf numFmtId="0" fontId="52" fillId="35" borderId="4" xfId="0" applyFont="1" applyFill="1" applyBorder="1" applyAlignment="1" applyProtection="1">
      <alignment horizontal="center" vertical="center" wrapText="1"/>
      <protection locked="0"/>
    </xf>
    <xf numFmtId="0" fontId="52" fillId="35" borderId="5" xfId="0" applyFont="1" applyFill="1" applyBorder="1" applyAlignment="1" applyProtection="1">
      <alignment horizontal="center" vertical="center" wrapText="1"/>
      <protection locked="0"/>
    </xf>
    <xf numFmtId="0" fontId="52" fillId="35" borderId="6" xfId="0" applyFont="1" applyFill="1" applyBorder="1" applyAlignment="1" applyProtection="1">
      <alignment horizontal="center" vertical="center" wrapText="1"/>
      <protection locked="0"/>
    </xf>
    <xf numFmtId="0" fontId="52" fillId="35" borderId="7" xfId="0" applyFont="1" applyFill="1" applyBorder="1" applyAlignment="1" applyProtection="1">
      <alignment horizontal="center" vertical="center" wrapText="1"/>
      <protection locked="0"/>
    </xf>
    <xf numFmtId="0" fontId="53" fillId="35" borderId="4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vertical="top"/>
      <protection locked="0"/>
    </xf>
    <xf numFmtId="0" fontId="17" fillId="0" borderId="0" xfId="0" applyFont="1" applyAlignment="1" applyProtection="1">
      <alignment horizontal="center" vertical="top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52" fillId="35" borderId="8" xfId="0" applyFont="1" applyFill="1" applyBorder="1" applyAlignment="1" applyProtection="1">
      <alignment horizontal="center" vertical="center" wrapText="1"/>
      <protection locked="0"/>
    </xf>
    <xf numFmtId="0" fontId="52" fillId="35" borderId="9" xfId="0" applyFont="1" applyFill="1" applyBorder="1" applyAlignment="1" applyProtection="1">
      <alignment horizontal="center" vertical="center" wrapText="1"/>
      <protection locked="0"/>
    </xf>
    <xf numFmtId="0" fontId="52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54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5" fillId="0" borderId="0" xfId="0" applyFont="1" applyAlignment="1">
      <alignment horizontal="center" vertical="center"/>
    </xf>
    <xf numFmtId="0" fontId="52" fillId="35" borderId="11" xfId="0" applyFont="1" applyFill="1" applyBorder="1" applyAlignment="1" applyProtection="1">
      <alignment horizontal="center" vertical="center" wrapText="1"/>
      <protection locked="0"/>
    </xf>
    <xf numFmtId="0" fontId="52" fillId="35" borderId="12" xfId="0" applyFont="1" applyFill="1" applyBorder="1" applyAlignment="1" applyProtection="1">
      <alignment horizontal="center" vertical="center" wrapText="1"/>
      <protection locked="0"/>
    </xf>
    <xf numFmtId="0" fontId="52" fillId="35" borderId="13" xfId="0" applyFont="1" applyFill="1" applyBorder="1" applyAlignment="1" applyProtection="1">
      <alignment horizontal="center" vertical="center" wrapText="1"/>
      <protection locked="0"/>
    </xf>
    <xf numFmtId="0" fontId="55" fillId="36" borderId="14" xfId="0" applyFont="1" applyFill="1" applyBorder="1" applyAlignment="1" applyProtection="1">
      <alignment horizontal="center" vertical="center" wrapText="1"/>
      <protection locked="0"/>
    </xf>
    <xf numFmtId="0" fontId="52" fillId="36" borderId="15" xfId="0" applyFont="1" applyFill="1" applyBorder="1" applyAlignment="1" applyProtection="1">
      <alignment horizontal="center" vertical="center" wrapText="1"/>
      <protection locked="0"/>
    </xf>
    <xf numFmtId="0" fontId="52" fillId="36" borderId="16" xfId="0" applyFont="1" applyFill="1" applyBorder="1" applyAlignment="1" applyProtection="1">
      <alignment horizontal="center" vertical="center" wrapText="1"/>
      <protection locked="0"/>
    </xf>
    <xf numFmtId="0" fontId="55" fillId="36" borderId="17" xfId="0" applyFont="1" applyFill="1" applyBorder="1" applyAlignment="1" applyProtection="1">
      <alignment horizontal="center" vertical="center" wrapText="1"/>
      <protection locked="0"/>
    </xf>
    <xf numFmtId="0" fontId="18" fillId="35" borderId="14" xfId="0" applyFont="1" applyFill="1" applyBorder="1" applyAlignment="1">
      <alignment horizontal="center" vertical="center" wrapText="1"/>
    </xf>
    <xf numFmtId="0" fontId="52" fillId="35" borderId="14" xfId="0" applyFont="1" applyFill="1" applyBorder="1" applyAlignment="1" applyProtection="1">
      <alignment horizontal="center" vertical="center" wrapText="1"/>
      <protection locked="0"/>
    </xf>
    <xf numFmtId="0" fontId="52" fillId="35" borderId="14" xfId="0" applyFont="1" applyFill="1" applyBorder="1" applyAlignment="1" applyProtection="1">
      <alignment horizontal="center" vertical="center"/>
      <protection locked="0"/>
    </xf>
    <xf numFmtId="0" fontId="53" fillId="35" borderId="18" xfId="0" applyFont="1" applyFill="1" applyBorder="1" applyAlignment="1" applyProtection="1">
      <alignment horizontal="center" vertical="center" wrapText="1"/>
      <protection locked="0"/>
    </xf>
    <xf numFmtId="0" fontId="53" fillId="35" borderId="19" xfId="0" applyFont="1" applyFill="1" applyBorder="1" applyAlignment="1" applyProtection="1">
      <alignment horizontal="center" vertical="center" wrapText="1"/>
      <protection locked="0"/>
    </xf>
    <xf numFmtId="0" fontId="56" fillId="0" borderId="8" xfId="0" applyFont="1" applyBorder="1" applyAlignment="1">
      <alignment horizontal="center" vertical="center" wrapText="1"/>
    </xf>
    <xf numFmtId="0" fontId="0" fillId="37" borderId="20" xfId="0" applyFill="1" applyBorder="1" applyAlignment="1">
      <alignment vertical="center" wrapText="1"/>
    </xf>
    <xf numFmtId="0" fontId="57" fillId="0" borderId="8" xfId="0" applyFont="1" applyBorder="1" applyAlignment="1" applyProtection="1">
      <alignment horizontal="center" vertical="center" wrapText="1"/>
      <protection locked="0"/>
    </xf>
    <xf numFmtId="0" fontId="58" fillId="0" borderId="8" xfId="0" applyFont="1" applyBorder="1" applyAlignment="1" applyProtection="1">
      <alignment horizontal="center" vertical="center" wrapText="1"/>
      <protection locked="0"/>
    </xf>
    <xf numFmtId="0" fontId="7" fillId="0" borderId="0" xfId="45" applyNumberFormat="1" applyFill="1" applyBorder="1" applyAlignment="1" applyProtection="1">
      <alignment horizontal="center" vertical="center"/>
      <protection locked="0"/>
    </xf>
    <xf numFmtId="0" fontId="52" fillId="35" borderId="21" xfId="0" applyFont="1" applyFill="1" applyBorder="1" applyAlignment="1" applyProtection="1">
      <alignment horizontal="center" vertical="center" wrapText="1"/>
      <protection locked="0"/>
    </xf>
    <xf numFmtId="0" fontId="55" fillId="36" borderId="22" xfId="0" applyFont="1" applyFill="1" applyBorder="1" applyAlignment="1" applyProtection="1">
      <alignment horizontal="center" vertical="center" wrapText="1"/>
      <protection locked="0"/>
    </xf>
    <xf numFmtId="0" fontId="57" fillId="0" borderId="11" xfId="0" applyFont="1" applyBorder="1" applyAlignment="1" applyProtection="1">
      <alignment horizontal="center" vertical="center" wrapText="1"/>
      <protection locked="0"/>
    </xf>
    <xf numFmtId="0" fontId="20" fillId="0" borderId="23" xfId="39" applyNumberFormat="1" applyFont="1" applyFill="1" applyBorder="1" applyAlignment="1" applyProtection="1">
      <alignment horizontal="center" vertical="center" wrapText="1"/>
    </xf>
    <xf numFmtId="14" fontId="59" fillId="0" borderId="8" xfId="39" applyNumberFormat="1" applyFont="1" applyFill="1" applyBorder="1" applyAlignment="1" applyProtection="1">
      <alignment horizontal="center" vertical="center" wrapText="1"/>
      <protection locked="0"/>
    </xf>
    <xf numFmtId="0" fontId="59" fillId="0" borderId="8" xfId="39" applyNumberFormat="1" applyFont="1" applyFill="1" applyBorder="1" applyAlignment="1" applyProtection="1">
      <alignment horizontal="center" vertical="center" wrapText="1"/>
      <protection locked="0"/>
    </xf>
    <xf numFmtId="0" fontId="59" fillId="0" borderId="8" xfId="0" applyFont="1" applyBorder="1" applyAlignment="1" applyProtection="1">
      <alignment horizontal="center" vertical="center" wrapText="1"/>
      <protection locked="0"/>
    </xf>
    <xf numFmtId="0" fontId="60" fillId="0" borderId="8" xfId="0" applyFont="1" applyBorder="1" applyAlignment="1" applyProtection="1">
      <alignment horizontal="center" vertical="center"/>
      <protection locked="0"/>
    </xf>
    <xf numFmtId="0" fontId="6" fillId="0" borderId="8" xfId="39" applyNumberFormat="1" applyFont="1" applyFill="1" applyBorder="1" applyAlignment="1" applyProtection="1">
      <alignment horizontal="center" vertical="center" wrapText="1"/>
      <protection locked="0"/>
    </xf>
    <xf numFmtId="0" fontId="11" fillId="0" borderId="24" xfId="39" applyNumberFormat="1" applyFont="1" applyFill="1" applyBorder="1" applyAlignment="1" applyProtection="1">
      <alignment horizontal="center" vertical="center" wrapText="1"/>
      <protection locked="0"/>
    </xf>
    <xf numFmtId="0" fontId="53" fillId="0" borderId="8" xfId="39" applyNumberFormat="1" applyFont="1" applyFill="1" applyBorder="1" applyAlignment="1" applyProtection="1">
      <alignment horizontal="center" vertical="center" wrapText="1"/>
      <protection locked="0"/>
    </xf>
    <xf numFmtId="0" fontId="6" fillId="0" borderId="8" xfId="0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0" fontId="5" fillId="0" borderId="25" xfId="0" applyFont="1" applyBorder="1" applyAlignment="1" applyProtection="1">
      <alignment horizontal="center" vertical="center"/>
      <protection locked="0"/>
    </xf>
    <xf numFmtId="0" fontId="0" fillId="0" borderId="25" xfId="0" applyBorder="1" applyAlignment="1">
      <alignment vertical="center" wrapText="1"/>
    </xf>
    <xf numFmtId="0" fontId="17" fillId="0" borderId="25" xfId="0" applyFont="1" applyBorder="1" applyAlignment="1" applyProtection="1">
      <alignment horizontal="center" vertical="center" wrapText="1"/>
      <protection locked="0"/>
    </xf>
    <xf numFmtId="0" fontId="52" fillId="35" borderId="22" xfId="0" applyFont="1" applyFill="1" applyBorder="1" applyAlignment="1">
      <alignment horizontal="center" vertical="center" wrapText="1"/>
    </xf>
    <xf numFmtId="0" fontId="52" fillId="35" borderId="26" xfId="0" applyFont="1" applyFill="1" applyBorder="1" applyAlignment="1" applyProtection="1">
      <alignment horizontal="center" vertical="center" wrapText="1"/>
      <protection locked="0"/>
    </xf>
    <xf numFmtId="0" fontId="52" fillId="35" borderId="27" xfId="0" applyFont="1" applyFill="1" applyBorder="1" applyAlignment="1" applyProtection="1">
      <alignment horizontal="center" vertical="center" wrapText="1"/>
      <protection locked="0"/>
    </xf>
    <xf numFmtId="0" fontId="52" fillId="35" borderId="28" xfId="0" applyFont="1" applyFill="1" applyBorder="1" applyAlignment="1">
      <alignment horizontal="center" vertical="center" wrapText="1"/>
    </xf>
    <xf numFmtId="0" fontId="18" fillId="35" borderId="29" xfId="0" applyFont="1" applyFill="1" applyBorder="1" applyAlignment="1">
      <alignment horizontal="center" vertical="center" wrapText="1"/>
    </xf>
    <xf numFmtId="0" fontId="52" fillId="35" borderId="29" xfId="0" applyFont="1" applyFill="1" applyBorder="1" applyAlignment="1" applyProtection="1">
      <alignment horizontal="center" vertical="center" wrapText="1"/>
      <protection locked="0"/>
    </xf>
    <xf numFmtId="0" fontId="52" fillId="35" borderId="29" xfId="0" applyFont="1" applyFill="1" applyBorder="1" applyAlignment="1" applyProtection="1">
      <alignment horizontal="center" vertical="center"/>
      <protection locked="0"/>
    </xf>
    <xf numFmtId="0" fontId="52" fillId="35" borderId="30" xfId="0" applyFont="1" applyFill="1" applyBorder="1" applyAlignment="1" applyProtection="1">
      <alignment horizontal="center" vertical="center" wrapText="1"/>
      <protection locked="0"/>
    </xf>
    <xf numFmtId="0" fontId="55" fillId="35" borderId="29" xfId="0" applyFont="1" applyFill="1" applyBorder="1" applyAlignment="1" applyProtection="1">
      <alignment horizontal="center" vertical="center" wrapText="1"/>
      <protection locked="0"/>
    </xf>
    <xf numFmtId="0" fontId="55" fillId="35" borderId="31" xfId="0" applyFont="1" applyFill="1" applyBorder="1" applyAlignment="1" applyProtection="1">
      <alignment horizontal="center" vertical="center" wrapText="1"/>
      <protection locked="0"/>
    </xf>
    <xf numFmtId="0" fontId="52" fillId="36" borderId="32" xfId="0" applyFont="1" applyFill="1" applyBorder="1" applyAlignment="1" applyProtection="1">
      <alignment horizontal="center" vertical="center" wrapText="1"/>
      <protection locked="0"/>
    </xf>
    <xf numFmtId="0" fontId="52" fillId="36" borderId="33" xfId="0" applyFont="1" applyFill="1" applyBorder="1" applyAlignment="1" applyProtection="1">
      <alignment horizontal="center" vertical="center" wrapText="1"/>
      <protection locked="0"/>
    </xf>
    <xf numFmtId="0" fontId="52" fillId="35" borderId="34" xfId="0" applyFont="1" applyFill="1" applyBorder="1" applyAlignment="1" applyProtection="1">
      <alignment horizontal="center" vertical="center" wrapText="1"/>
      <protection locked="0"/>
    </xf>
    <xf numFmtId="0" fontId="52" fillId="35" borderId="35" xfId="0" applyFont="1" applyFill="1" applyBorder="1" applyAlignment="1" applyProtection="1">
      <alignment horizontal="center" vertical="center" wrapText="1"/>
      <protection locked="0"/>
    </xf>
    <xf numFmtId="0" fontId="52" fillId="35" borderId="36" xfId="0" applyFont="1" applyFill="1" applyBorder="1" applyAlignment="1" applyProtection="1">
      <alignment horizontal="center" vertical="center" wrapText="1"/>
      <protection locked="0"/>
    </xf>
    <xf numFmtId="0" fontId="53" fillId="35" borderId="37" xfId="0" applyFont="1" applyFill="1" applyBorder="1" applyAlignment="1" applyProtection="1">
      <alignment horizontal="center" vertical="center" wrapText="1"/>
      <protection locked="0"/>
    </xf>
    <xf numFmtId="0" fontId="53" fillId="35" borderId="38" xfId="0" applyFont="1" applyFill="1" applyBorder="1" applyAlignment="1" applyProtection="1">
      <alignment horizontal="center" vertical="center" wrapText="1"/>
      <protection locked="0"/>
    </xf>
    <xf numFmtId="0" fontId="52" fillId="35" borderId="39" xfId="0" applyFont="1" applyFill="1" applyBorder="1" applyAlignment="1" applyProtection="1">
      <alignment horizontal="center" vertical="center" wrapText="1"/>
      <protection locked="0"/>
    </xf>
    <xf numFmtId="0" fontId="52" fillId="35" borderId="37" xfId="0" applyFont="1" applyFill="1" applyBorder="1" applyAlignment="1" applyProtection="1">
      <alignment horizontal="center" vertical="center" wrapText="1"/>
      <protection locked="0"/>
    </xf>
    <xf numFmtId="0" fontId="55" fillId="35" borderId="28" xfId="0" applyFont="1" applyFill="1" applyBorder="1" applyAlignment="1" applyProtection="1">
      <alignment horizontal="center" vertical="center" wrapText="1"/>
      <protection locked="0"/>
    </xf>
    <xf numFmtId="0" fontId="0" fillId="37" borderId="25" xfId="0" applyFill="1" applyBorder="1" applyAlignment="1">
      <alignment vertical="center" wrapText="1"/>
    </xf>
    <xf numFmtId="0" fontId="53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>
      <alignment horizontal="left" vertical="center"/>
    </xf>
    <xf numFmtId="0" fontId="52" fillId="35" borderId="40" xfId="0" applyFont="1" applyFill="1" applyBorder="1" applyAlignment="1">
      <alignment horizontal="center" vertical="center" wrapText="1"/>
    </xf>
    <xf numFmtId="0" fontId="18" fillId="35" borderId="41" xfId="0" applyFont="1" applyFill="1" applyBorder="1" applyAlignment="1">
      <alignment horizontal="center" vertical="center" wrapText="1"/>
    </xf>
    <xf numFmtId="0" fontId="52" fillId="35" borderId="41" xfId="0" applyFont="1" applyFill="1" applyBorder="1" applyAlignment="1" applyProtection="1">
      <alignment horizontal="center" vertical="center" wrapText="1"/>
      <protection locked="0"/>
    </xf>
    <xf numFmtId="0" fontId="52" fillId="35" borderId="41" xfId="0" applyFont="1" applyFill="1" applyBorder="1" applyAlignment="1" applyProtection="1">
      <alignment horizontal="center" vertical="center"/>
      <protection locked="0"/>
    </xf>
    <xf numFmtId="0" fontId="52" fillId="35" borderId="42" xfId="0" applyFont="1" applyFill="1" applyBorder="1" applyAlignment="1" applyProtection="1">
      <alignment horizontal="center" vertical="center" wrapText="1"/>
      <protection locked="0"/>
    </xf>
    <xf numFmtId="0" fontId="52" fillId="36" borderId="43" xfId="0" applyFont="1" applyFill="1" applyBorder="1" applyAlignment="1" applyProtection="1">
      <alignment horizontal="center" vertical="center" wrapText="1"/>
      <protection locked="0"/>
    </xf>
    <xf numFmtId="0" fontId="52" fillId="36" borderId="44" xfId="0" applyFont="1" applyFill="1" applyBorder="1" applyAlignment="1" applyProtection="1">
      <alignment horizontal="center" vertical="center" wrapText="1"/>
      <protection locked="0"/>
    </xf>
    <xf numFmtId="0" fontId="52" fillId="35" borderId="45" xfId="0" applyFont="1" applyFill="1" applyBorder="1" applyAlignment="1" applyProtection="1">
      <alignment horizontal="center" vertical="center" wrapText="1"/>
      <protection locked="0"/>
    </xf>
    <xf numFmtId="0" fontId="59" fillId="0" borderId="8" xfId="0" applyFont="1" applyBorder="1" applyAlignment="1" applyProtection="1">
      <alignment horizontal="left" vertical="center" wrapText="1"/>
      <protection locked="0"/>
    </xf>
    <xf numFmtId="0" fontId="1" fillId="0" borderId="46" xfId="0" applyFont="1" applyBorder="1" applyAlignment="1">
      <alignment vertical="center" wrapText="1"/>
    </xf>
    <xf numFmtId="0" fontId="1" fillId="0" borderId="47" xfId="0" applyFont="1" applyBorder="1" applyAlignment="1" applyProtection="1">
      <alignment horizontal="center" vertical="center" wrapText="1"/>
      <protection locked="0"/>
    </xf>
    <xf numFmtId="0" fontId="1" fillId="0" borderId="47" xfId="0" applyFont="1" applyBorder="1" applyAlignment="1" applyProtection="1">
      <alignment vertical="center" wrapText="1"/>
      <protection locked="0"/>
    </xf>
    <xf numFmtId="0" fontId="16" fillId="0" borderId="47" xfId="0" applyFont="1" applyBorder="1" applyAlignment="1" applyProtection="1">
      <alignment vertical="center" wrapText="1"/>
      <protection locked="0"/>
    </xf>
    <xf numFmtId="0" fontId="21" fillId="37" borderId="46" xfId="0" applyFont="1" applyFill="1" applyBorder="1" applyAlignment="1">
      <alignment vertical="center"/>
    </xf>
    <xf numFmtId="0" fontId="16" fillId="38" borderId="48" xfId="0" applyFont="1" applyFill="1" applyBorder="1" applyAlignment="1" applyProtection="1">
      <alignment vertical="center" wrapText="1"/>
      <protection locked="0"/>
    </xf>
    <xf numFmtId="0" fontId="56" fillId="0" borderId="49" xfId="0" applyFont="1" applyBorder="1" applyAlignment="1">
      <alignment horizontal="center" vertical="center" wrapText="1"/>
    </xf>
    <xf numFmtId="0" fontId="20" fillId="0" borderId="50" xfId="39" applyNumberFormat="1" applyFont="1" applyFill="1" applyBorder="1" applyAlignment="1" applyProtection="1">
      <alignment horizontal="center" vertical="center" wrapText="1"/>
    </xf>
    <xf numFmtId="0" fontId="6" fillId="0" borderId="49" xfId="39" applyNumberFormat="1" applyFont="1" applyFill="1" applyBorder="1" applyAlignment="1" applyProtection="1">
      <alignment horizontal="center" vertical="center" wrapText="1"/>
      <protection locked="0"/>
    </xf>
    <xf numFmtId="0" fontId="11" fillId="0" borderId="51" xfId="39" applyNumberFormat="1" applyFont="1" applyFill="1" applyBorder="1" applyAlignment="1" applyProtection="1">
      <alignment horizontal="center" vertical="center" wrapText="1"/>
      <protection locked="0"/>
    </xf>
    <xf numFmtId="0" fontId="6" fillId="0" borderId="49" xfId="0" applyFont="1" applyBorder="1" applyAlignment="1" applyProtection="1">
      <alignment horizontal="center" vertical="center" wrapText="1"/>
      <protection locked="0"/>
    </xf>
    <xf numFmtId="0" fontId="6" fillId="0" borderId="52" xfId="0" applyFont="1" applyBorder="1" applyAlignment="1" applyProtection="1">
      <alignment horizontal="center" vertical="center" wrapText="1"/>
      <protection locked="0"/>
    </xf>
    <xf numFmtId="0" fontId="59" fillId="0" borderId="53" xfId="0" applyFont="1" applyBorder="1" applyAlignment="1" applyProtection="1">
      <alignment horizontal="left" vertical="center" wrapText="1"/>
      <protection locked="0"/>
    </xf>
    <xf numFmtId="0" fontId="19" fillId="39" borderId="14" xfId="45" applyNumberFormat="1" applyFont="1" applyFill="1" applyBorder="1" applyAlignment="1" applyProtection="1">
      <alignment horizontal="center" vertical="center" wrapText="1"/>
      <protection locked="0"/>
    </xf>
    <xf numFmtId="0" fontId="59" fillId="0" borderId="14" xfId="0" applyFont="1" applyBorder="1" applyAlignment="1" applyProtection="1">
      <alignment horizontal="left" vertical="center" wrapText="1"/>
      <protection locked="0"/>
    </xf>
    <xf numFmtId="0" fontId="57" fillId="0" borderId="49" xfId="0" applyFont="1" applyBorder="1" applyAlignment="1" applyProtection="1">
      <alignment horizontal="center" vertical="center" wrapText="1"/>
      <protection locked="0"/>
    </xf>
    <xf numFmtId="0" fontId="58" fillId="0" borderId="49" xfId="0" applyFont="1" applyBorder="1" applyAlignment="1" applyProtection="1">
      <alignment horizontal="center" vertical="center" wrapText="1"/>
      <protection locked="0"/>
    </xf>
    <xf numFmtId="0" fontId="57" fillId="0" borderId="52" xfId="0" applyFont="1" applyBorder="1" applyAlignment="1" applyProtection="1">
      <alignment horizontal="center" vertical="center" wrapText="1"/>
      <protection locked="0"/>
    </xf>
    <xf numFmtId="0" fontId="23" fillId="0" borderId="50" xfId="39" applyNumberFormat="1" applyFont="1" applyFill="1" applyBorder="1" applyAlignment="1" applyProtection="1">
      <alignment horizontal="center" vertical="center" wrapText="1"/>
    </xf>
    <xf numFmtId="14" fontId="59" fillId="0" borderId="49" xfId="39" applyNumberFormat="1" applyFont="1" applyFill="1" applyBorder="1" applyAlignment="1" applyProtection="1">
      <alignment horizontal="center" vertical="center" wrapText="1"/>
      <protection locked="0"/>
    </xf>
    <xf numFmtId="0" fontId="59" fillId="0" borderId="49" xfId="39" applyNumberFormat="1" applyFont="1" applyFill="1" applyBorder="1" applyAlignment="1" applyProtection="1">
      <alignment horizontal="center" vertical="center" wrapText="1"/>
      <protection locked="0"/>
    </xf>
    <xf numFmtId="0" fontId="59" fillId="0" borderId="49" xfId="0" applyFont="1" applyBorder="1" applyAlignment="1" applyProtection="1">
      <alignment horizontal="center" vertical="center" wrapText="1"/>
      <protection locked="0"/>
    </xf>
    <xf numFmtId="0" fontId="60" fillId="0" borderId="49" xfId="0" applyFont="1" applyBorder="1" applyAlignment="1" applyProtection="1">
      <alignment horizontal="center" vertical="center"/>
      <protection locked="0"/>
    </xf>
    <xf numFmtId="0" fontId="24" fillId="0" borderId="49" xfId="39" applyNumberFormat="1" applyFont="1" applyFill="1" applyBorder="1" applyAlignment="1" applyProtection="1">
      <alignment horizontal="center" vertical="center" wrapText="1"/>
      <protection locked="0"/>
    </xf>
    <xf numFmtId="0" fontId="25" fillId="0" borderId="51" xfId="39" applyNumberFormat="1" applyFont="1" applyFill="1" applyBorder="1" applyAlignment="1" applyProtection="1">
      <alignment horizontal="center" vertical="center" wrapText="1"/>
      <protection locked="0"/>
    </xf>
    <xf numFmtId="0" fontId="24" fillId="0" borderId="49" xfId="0" applyFont="1" applyBorder="1" applyAlignment="1" applyProtection="1">
      <alignment horizontal="center" vertical="center" wrapText="1"/>
      <protection locked="0"/>
    </xf>
    <xf numFmtId="0" fontId="24" fillId="0" borderId="52" xfId="0" applyFont="1" applyBorder="1" applyAlignment="1" applyProtection="1">
      <alignment horizontal="center" vertical="center" wrapText="1"/>
      <protection locked="0"/>
    </xf>
    <xf numFmtId="0" fontId="11" fillId="0" borderId="14" xfId="39" applyNumberFormat="1" applyFont="1" applyFill="1" applyBorder="1" applyAlignment="1" applyProtection="1">
      <alignment horizontal="center" vertical="center" wrapText="1"/>
    </xf>
    <xf numFmtId="0" fontId="55" fillId="36" borderId="54" xfId="0" applyFont="1" applyFill="1" applyBorder="1" applyAlignment="1" applyProtection="1">
      <alignment horizontal="center" vertical="center" wrapText="1"/>
      <protection locked="0"/>
    </xf>
    <xf numFmtId="0" fontId="55" fillId="36" borderId="8" xfId="0" applyFont="1" applyFill="1" applyBorder="1" applyAlignment="1" applyProtection="1">
      <alignment horizontal="center" vertical="center" wrapText="1"/>
      <protection locked="0"/>
    </xf>
    <xf numFmtId="0" fontId="55" fillId="36" borderId="26" xfId="0" applyFont="1" applyFill="1" applyBorder="1" applyAlignment="1" applyProtection="1">
      <alignment horizontal="center" vertical="center" wrapText="1"/>
      <protection locked="0"/>
    </xf>
    <xf numFmtId="0" fontId="0" fillId="40" borderId="0" xfId="0" applyFill="1"/>
    <xf numFmtId="0" fontId="7" fillId="39" borderId="14" xfId="45" applyFill="1" applyBorder="1" applyAlignment="1" applyProtection="1">
      <alignment horizontal="center" vertical="center"/>
    </xf>
    <xf numFmtId="0" fontId="19" fillId="39" borderId="14" xfId="45" applyNumberFormat="1" applyFont="1" applyFill="1" applyBorder="1" applyAlignment="1" applyProtection="1">
      <alignment horizontal="center" vertical="center"/>
    </xf>
    <xf numFmtId="0" fontId="8" fillId="40" borderId="14" xfId="45" applyNumberFormat="1" applyFont="1" applyFill="1" applyBorder="1" applyAlignment="1" applyProtection="1">
      <alignment horizontal="center" vertical="center" wrapText="1"/>
      <protection locked="0"/>
    </xf>
    <xf numFmtId="0" fontId="22" fillId="40" borderId="49" xfId="45" applyNumberFormat="1" applyFont="1" applyFill="1" applyBorder="1" applyAlignment="1" applyProtection="1">
      <alignment horizontal="center" vertical="center" wrapText="1"/>
      <protection locked="0"/>
    </xf>
    <xf numFmtId="0" fontId="57" fillId="40" borderId="8" xfId="0" applyFont="1" applyFill="1" applyBorder="1" applyAlignment="1" applyProtection="1">
      <alignment horizontal="center" vertical="center" wrapText="1"/>
      <protection locked="0"/>
    </xf>
    <xf numFmtId="0" fontId="61" fillId="40" borderId="8" xfId="0" applyFont="1" applyFill="1" applyBorder="1" applyAlignment="1">
      <alignment horizontal="center" vertical="center" wrapText="1"/>
    </xf>
    <xf numFmtId="0" fontId="57" fillId="40" borderId="8" xfId="0" applyFont="1" applyFill="1" applyBorder="1" applyAlignment="1" applyProtection="1">
      <alignment horizontal="left" vertical="center"/>
      <protection locked="0"/>
    </xf>
    <xf numFmtId="0" fontId="58" fillId="40" borderId="8" xfId="0" applyFont="1" applyFill="1" applyBorder="1" applyAlignment="1" applyProtection="1">
      <alignment horizontal="center" vertical="center" wrapText="1"/>
      <protection locked="0"/>
    </xf>
    <xf numFmtId="0" fontId="57" fillId="40" borderId="49" xfId="45" applyNumberFormat="1" applyFont="1" applyFill="1" applyBorder="1" applyAlignment="1" applyProtection="1">
      <alignment horizontal="center" vertical="center" wrapText="1"/>
      <protection locked="0"/>
    </xf>
    <xf numFmtId="0" fontId="61" fillId="40" borderId="49" xfId="45" applyNumberFormat="1" applyFont="1" applyFill="1" applyBorder="1" applyAlignment="1" applyProtection="1">
      <alignment horizontal="center" vertical="center" wrapText="1"/>
      <protection locked="0"/>
    </xf>
    <xf numFmtId="0" fontId="57" fillId="40" borderId="49" xfId="0" applyFont="1" applyFill="1" applyBorder="1" applyAlignment="1" applyProtection="1">
      <alignment horizontal="center" vertical="center" wrapText="1"/>
      <protection locked="0"/>
    </xf>
    <xf numFmtId="0" fontId="57" fillId="40" borderId="49" xfId="0" applyFont="1" applyFill="1" applyBorder="1" applyAlignment="1" applyProtection="1">
      <alignment horizontal="left" vertical="center"/>
      <protection locked="0"/>
    </xf>
    <xf numFmtId="0" fontId="58" fillId="40" borderId="49" xfId="0" applyFont="1" applyFill="1" applyBorder="1" applyAlignment="1" applyProtection="1">
      <alignment horizontal="center" vertical="center" wrapText="1"/>
      <protection locked="0"/>
    </xf>
    <xf numFmtId="0" fontId="0" fillId="39" borderId="0" xfId="0" applyFill="1"/>
    <xf numFmtId="0" fontId="0" fillId="41" borderId="0" xfId="0" applyFill="1"/>
    <xf numFmtId="0" fontId="8" fillId="40" borderId="8" xfId="45" applyNumberFormat="1" applyFont="1" applyFill="1" applyBorder="1" applyAlignment="1" applyProtection="1">
      <alignment horizontal="center" vertical="center" wrapText="1"/>
      <protection locked="0"/>
    </xf>
    <xf numFmtId="0" fontId="57" fillId="40" borderId="8" xfId="0" applyFont="1" applyFill="1" applyBorder="1" applyAlignment="1" applyProtection="1">
      <alignment horizontal="left" vertical="center" wrapText="1"/>
      <protection locked="0"/>
    </xf>
    <xf numFmtId="0" fontId="0" fillId="42" borderId="0" xfId="0" applyFill="1"/>
    <xf numFmtId="0" fontId="0" fillId="43" borderId="0" xfId="0" applyFill="1"/>
    <xf numFmtId="0" fontId="18" fillId="44" borderId="0" xfId="0" applyFont="1" applyFill="1"/>
    <xf numFmtId="0" fontId="18" fillId="45" borderId="0" xfId="0" applyFont="1" applyFill="1"/>
    <xf numFmtId="0" fontId="62" fillId="46" borderId="55" xfId="39" applyNumberFormat="1" applyFont="1" applyFill="1" applyBorder="1" applyAlignment="1" applyProtection="1">
      <alignment horizontal="center" vertical="center" wrapText="1"/>
    </xf>
    <xf numFmtId="0" fontId="62" fillId="46" borderId="56" xfId="39" applyNumberFormat="1" applyFont="1" applyFill="1" applyBorder="1" applyAlignment="1" applyProtection="1">
      <alignment horizontal="center" vertical="center" wrapText="1"/>
    </xf>
    <xf numFmtId="0" fontId="62" fillId="46" borderId="54" xfId="0" applyFont="1" applyFill="1" applyBorder="1" applyAlignment="1" applyProtection="1">
      <alignment horizontal="center" vertical="center" wrapText="1"/>
      <protection locked="0"/>
    </xf>
    <xf numFmtId="0" fontId="62" fillId="46" borderId="8" xfId="0" applyFont="1" applyFill="1" applyBorder="1" applyAlignment="1" applyProtection="1">
      <alignment horizontal="center" vertical="center" wrapText="1"/>
      <protection locked="0"/>
    </xf>
    <xf numFmtId="0" fontId="62" fillId="46" borderId="57" xfId="0" applyFont="1" applyFill="1" applyBorder="1" applyAlignment="1" applyProtection="1">
      <alignment horizontal="center" vertical="center" wrapText="1"/>
      <protection locked="0"/>
    </xf>
    <xf numFmtId="0" fontId="62" fillId="46" borderId="58" xfId="0" applyFont="1" applyFill="1" applyBorder="1" applyAlignment="1" applyProtection="1">
      <alignment horizontal="center" vertical="center" wrapText="1"/>
      <protection locked="0"/>
    </xf>
    <xf numFmtId="0" fontId="62" fillId="46" borderId="49" xfId="0" applyFont="1" applyFill="1" applyBorder="1" applyAlignment="1" applyProtection="1">
      <alignment horizontal="center" vertical="center" wrapText="1"/>
      <protection locked="0"/>
    </xf>
    <xf numFmtId="0" fontId="62" fillId="46" borderId="53" xfId="0" applyFont="1" applyFill="1" applyBorder="1" applyAlignment="1" applyProtection="1">
      <alignment horizontal="center" vertical="center" wrapText="1"/>
      <protection locked="0"/>
    </xf>
    <xf numFmtId="0" fontId="62" fillId="46" borderId="59" xfId="0" applyFont="1" applyFill="1" applyBorder="1" applyAlignment="1" applyProtection="1">
      <alignment horizontal="center" vertical="center" wrapText="1"/>
      <protection locked="0"/>
    </xf>
    <xf numFmtId="0" fontId="62" fillId="46" borderId="14" xfId="0" applyFont="1" applyFill="1" applyBorder="1" applyAlignment="1" applyProtection="1">
      <alignment horizontal="center" vertical="center" wrapText="1"/>
      <protection locked="0"/>
    </xf>
    <xf numFmtId="0" fontId="62" fillId="46" borderId="60" xfId="39" applyNumberFormat="1" applyFont="1" applyFill="1" applyBorder="1" applyAlignment="1" applyProtection="1">
      <alignment horizontal="center" vertical="center" wrapText="1"/>
    </xf>
    <xf numFmtId="0" fontId="62" fillId="46" borderId="61" xfId="39" applyNumberFormat="1" applyFont="1" applyFill="1" applyBorder="1" applyAlignment="1" applyProtection="1">
      <alignment horizontal="center" vertical="center" wrapText="1"/>
    </xf>
    <xf numFmtId="0" fontId="63" fillId="0" borderId="0" xfId="0" quotePrefix="1" applyFont="1"/>
    <xf numFmtId="0" fontId="63" fillId="47" borderId="0" xfId="0" quotePrefix="1" applyFont="1" applyFill="1"/>
    <xf numFmtId="0" fontId="18" fillId="39" borderId="0" xfId="0" quotePrefix="1" applyFont="1" applyFill="1"/>
    <xf numFmtId="0" fontId="51" fillId="48" borderId="0" xfId="0" applyFont="1" applyFill="1" applyProtection="1">
      <protection locked="0"/>
    </xf>
    <xf numFmtId="0" fontId="0" fillId="49" borderId="0" xfId="0" quotePrefix="1" applyFill="1"/>
    <xf numFmtId="14" fontId="8" fillId="40" borderId="8" xfId="45" applyNumberFormat="1" applyFont="1" applyFill="1" applyBorder="1" applyAlignment="1" applyProtection="1">
      <alignment horizontal="center" vertical="center" wrapText="1"/>
      <protection locked="0"/>
    </xf>
    <xf numFmtId="14" fontId="8" fillId="40" borderId="14" xfId="45" applyNumberFormat="1" applyFont="1" applyFill="1" applyBorder="1" applyAlignment="1" applyProtection="1">
      <alignment horizontal="center" vertical="center" wrapText="1"/>
      <protection locked="0"/>
    </xf>
    <xf numFmtId="14" fontId="22" fillId="40" borderId="49" xfId="45" applyNumberFormat="1" applyFont="1" applyFill="1" applyBorder="1" applyAlignment="1" applyProtection="1">
      <alignment horizontal="center" vertical="center" wrapText="1"/>
      <protection locked="0"/>
    </xf>
    <xf numFmtId="0" fontId="64" fillId="44" borderId="55" xfId="39" applyNumberFormat="1" applyFont="1" applyFill="1" applyBorder="1" applyAlignment="1" applyProtection="1">
      <alignment horizontal="center" vertical="center" wrapText="1"/>
    </xf>
    <xf numFmtId="0" fontId="18" fillId="0" borderId="0" xfId="0" quotePrefix="1" applyFont="1"/>
    <xf numFmtId="0" fontId="65" fillId="0" borderId="49" xfId="39" applyNumberFormat="1" applyFont="1" applyFill="1" applyBorder="1" applyAlignment="1" applyProtection="1">
      <alignment horizontal="center" vertical="center" wrapText="1"/>
      <protection locked="0"/>
    </xf>
    <xf numFmtId="0" fontId="65" fillId="0" borderId="49" xfId="0" applyFont="1" applyBorder="1" applyAlignment="1" applyProtection="1">
      <alignment horizontal="center" vertical="center" wrapText="1"/>
      <protection locked="0"/>
    </xf>
    <xf numFmtId="0" fontId="0" fillId="50" borderId="0" xfId="0" applyFill="1"/>
    <xf numFmtId="0" fontId="51" fillId="50" borderId="0" xfId="0" applyFont="1" applyFill="1" applyProtection="1">
      <protection locked="0"/>
    </xf>
    <xf numFmtId="0" fontId="26" fillId="0" borderId="52" xfId="0" applyFont="1" applyBorder="1" applyAlignment="1" applyProtection="1">
      <alignment horizontal="center" vertical="center" wrapText="1"/>
      <protection locked="0"/>
    </xf>
    <xf numFmtId="0" fontId="65" fillId="0" borderId="14" xfId="0" applyFont="1" applyBorder="1" applyAlignment="1" applyProtection="1">
      <alignment horizontal="left" vertical="center" wrapText="1"/>
      <protection locked="0"/>
    </xf>
    <xf numFmtId="0" fontId="26" fillId="0" borderId="49" xfId="39" applyNumberFormat="1" applyFont="1" applyFill="1" applyBorder="1" applyAlignment="1" applyProtection="1">
      <alignment horizontal="center" vertical="center" wrapText="1"/>
      <protection locked="0"/>
    </xf>
    <xf numFmtId="0" fontId="26" fillId="0" borderId="51" xfId="39" applyNumberFormat="1" applyFont="1" applyFill="1" applyBorder="1" applyAlignment="1" applyProtection="1">
      <alignment horizontal="center" vertical="center" wrapText="1"/>
      <protection locked="0"/>
    </xf>
    <xf numFmtId="0" fontId="65" fillId="0" borderId="8" xfId="0" applyFont="1" applyBorder="1" applyAlignment="1" applyProtection="1">
      <alignment horizontal="center" vertical="center" wrapText="1"/>
      <protection locked="0"/>
    </xf>
    <xf numFmtId="0" fontId="26" fillId="0" borderId="49" xfId="0" applyFont="1" applyBorder="1" applyAlignment="1" applyProtection="1">
      <alignment horizontal="center" vertical="center" wrapText="1"/>
      <protection locked="0"/>
    </xf>
    <xf numFmtId="0" fontId="66" fillId="0" borderId="49" xfId="0" applyFont="1" applyBorder="1" applyAlignment="1" applyProtection="1">
      <alignment horizontal="center" vertical="center"/>
      <protection locked="0"/>
    </xf>
    <xf numFmtId="49" fontId="0" fillId="37" borderId="20" xfId="0" applyNumberFormat="1" applyFill="1" applyBorder="1" applyAlignment="1">
      <alignment horizontal="left" vertical="center" wrapText="1"/>
    </xf>
    <xf numFmtId="49" fontId="5" fillId="0" borderId="0" xfId="0" applyNumberFormat="1" applyFont="1" applyAlignment="1" applyProtection="1">
      <alignment horizontal="left" vertical="center"/>
      <protection locked="0"/>
    </xf>
    <xf numFmtId="49" fontId="52" fillId="35" borderId="41" xfId="0" applyNumberFormat="1" applyFont="1" applyFill="1" applyBorder="1" applyAlignment="1" applyProtection="1">
      <alignment horizontal="left" vertical="center"/>
      <protection locked="0"/>
    </xf>
    <xf numFmtId="49" fontId="52" fillId="35" borderId="14" xfId="0" applyNumberFormat="1" applyFont="1" applyFill="1" applyBorder="1" applyAlignment="1" applyProtection="1">
      <alignment horizontal="left" vertical="center"/>
      <protection locked="0"/>
    </xf>
    <xf numFmtId="0" fontId="67" fillId="0" borderId="49" xfId="0" applyFont="1" applyBorder="1" applyAlignment="1" applyProtection="1">
      <alignment horizontal="center" vertical="center"/>
      <protection locked="0"/>
    </xf>
    <xf numFmtId="0" fontId="68" fillId="0" borderId="49" xfId="39" applyNumberFormat="1" applyFont="1" applyFill="1" applyBorder="1" applyAlignment="1" applyProtection="1">
      <alignment horizontal="center" vertical="center" wrapText="1"/>
      <protection locked="0"/>
    </xf>
    <xf numFmtId="0" fontId="26" fillId="0" borderId="8" xfId="45" applyNumberFormat="1" applyFont="1" applyFill="1" applyBorder="1" applyAlignment="1" applyProtection="1">
      <alignment horizontal="center" vertical="center" wrapText="1"/>
      <protection locked="0"/>
    </xf>
    <xf numFmtId="0" fontId="67" fillId="0" borderId="8" xfId="0" applyFont="1" applyBorder="1" applyAlignment="1" applyProtection="1">
      <alignment horizontal="center" vertical="center"/>
      <protection locked="0"/>
    </xf>
    <xf numFmtId="14" fontId="29" fillId="0" borderId="0" xfId="0" applyNumberFormat="1" applyFont="1" applyAlignment="1">
      <alignment horizontal="center" vertical="center"/>
    </xf>
    <xf numFmtId="0" fontId="69" fillId="35" borderId="14" xfId="0" applyFont="1" applyFill="1" applyBorder="1" applyAlignment="1">
      <alignment horizontal="left" vertical="center"/>
    </xf>
    <xf numFmtId="0" fontId="56" fillId="50" borderId="8" xfId="0" applyFont="1" applyFill="1" applyBorder="1" applyAlignment="1">
      <alignment horizontal="center" vertical="center" wrapText="1"/>
    </xf>
    <xf numFmtId="14" fontId="8" fillId="50" borderId="8" xfId="45" applyNumberFormat="1" applyFont="1" applyFill="1" applyBorder="1" applyAlignment="1" applyProtection="1">
      <alignment horizontal="center" vertical="center" wrapText="1"/>
      <protection locked="0"/>
    </xf>
    <xf numFmtId="0" fontId="56" fillId="50" borderId="49" xfId="0" applyFont="1" applyFill="1" applyBorder="1" applyAlignment="1">
      <alignment horizontal="center" vertical="center" wrapText="1"/>
    </xf>
    <xf numFmtId="0" fontId="8" fillId="50" borderId="49" xfId="45" applyNumberFormat="1" applyFont="1" applyFill="1" applyBorder="1" applyAlignment="1" applyProtection="1">
      <alignment horizontal="center" vertical="center" wrapText="1"/>
      <protection locked="0"/>
    </xf>
    <xf numFmtId="0" fontId="55" fillId="35" borderId="28" xfId="0" applyFont="1" applyFill="1" applyBorder="1" applyAlignment="1" applyProtection="1">
      <alignment horizontal="center" vertical="center" textRotation="90" wrapText="1"/>
      <protection locked="0"/>
    </xf>
    <xf numFmtId="0" fontId="55" fillId="35" borderId="29" xfId="0" applyFont="1" applyFill="1" applyBorder="1" applyAlignment="1" applyProtection="1">
      <alignment horizontal="center" vertical="center" textRotation="90" wrapText="1"/>
      <protection locked="0"/>
    </xf>
    <xf numFmtId="14" fontId="59" fillId="50" borderId="8" xfId="39" applyNumberFormat="1" applyFont="1" applyFill="1" applyBorder="1" applyAlignment="1" applyProtection="1">
      <alignment horizontal="center" vertical="center" wrapText="1"/>
      <protection locked="0"/>
    </xf>
    <xf numFmtId="0" fontId="59" fillId="50" borderId="8" xfId="39" applyNumberFormat="1" applyFont="1" applyFill="1" applyBorder="1" applyAlignment="1" applyProtection="1">
      <alignment horizontal="center" vertical="center" wrapText="1"/>
      <protection locked="0"/>
    </xf>
    <xf numFmtId="0" fontId="59" fillId="50" borderId="8" xfId="0" applyFont="1" applyFill="1" applyBorder="1" applyAlignment="1" applyProtection="1">
      <alignment horizontal="center" vertical="center" wrapText="1"/>
      <protection locked="0"/>
    </xf>
    <xf numFmtId="0" fontId="60" fillId="50" borderId="49" xfId="0" applyFont="1" applyFill="1" applyBorder="1" applyAlignment="1" applyProtection="1">
      <alignment horizontal="center" vertical="center"/>
      <protection locked="0"/>
    </xf>
    <xf numFmtId="0" fontId="6" fillId="50" borderId="8" xfId="39" applyNumberFormat="1" applyFont="1" applyFill="1" applyBorder="1" applyAlignment="1" applyProtection="1">
      <alignment horizontal="center" vertical="center" wrapText="1"/>
      <protection locked="0"/>
    </xf>
    <xf numFmtId="0" fontId="11" fillId="50" borderId="24" xfId="39" applyNumberFormat="1" applyFont="1" applyFill="1" applyBorder="1" applyAlignment="1" applyProtection="1">
      <alignment horizontal="center" vertical="center" wrapText="1"/>
      <protection locked="0"/>
    </xf>
    <xf numFmtId="0" fontId="53" fillId="50" borderId="8" xfId="39" applyNumberFormat="1" applyFont="1" applyFill="1" applyBorder="1" applyAlignment="1" applyProtection="1">
      <alignment horizontal="center" vertical="center" wrapText="1"/>
      <protection locked="0"/>
    </xf>
    <xf numFmtId="0" fontId="11" fillId="50" borderId="14" xfId="39" applyNumberFormat="1" applyFont="1" applyFill="1" applyBorder="1" applyAlignment="1" applyProtection="1">
      <alignment horizontal="center" vertical="center" wrapText="1"/>
    </xf>
    <xf numFmtId="0" fontId="6" fillId="50" borderId="8" xfId="0" applyFont="1" applyFill="1" applyBorder="1" applyAlignment="1" applyProtection="1">
      <alignment horizontal="center" vertical="center" wrapText="1"/>
      <protection locked="0"/>
    </xf>
    <xf numFmtId="0" fontId="6" fillId="50" borderId="11" xfId="0" applyFont="1" applyFill="1" applyBorder="1" applyAlignment="1" applyProtection="1">
      <alignment horizontal="center" vertical="center" wrapText="1"/>
      <protection locked="0"/>
    </xf>
    <xf numFmtId="0" fontId="59" fillId="50" borderId="8" xfId="0" applyFont="1" applyFill="1" applyBorder="1" applyAlignment="1" applyProtection="1">
      <alignment horizontal="left" vertical="center" wrapText="1"/>
      <protection locked="0"/>
    </xf>
    <xf numFmtId="0" fontId="59" fillId="50" borderId="14" xfId="0" applyFont="1" applyFill="1" applyBorder="1" applyAlignment="1" applyProtection="1">
      <alignment horizontal="left" vertical="center" wrapText="1"/>
      <protection locked="0"/>
    </xf>
    <xf numFmtId="14" fontId="59" fillId="50" borderId="49" xfId="39" applyNumberFormat="1" applyFont="1" applyFill="1" applyBorder="1" applyAlignment="1" applyProtection="1">
      <alignment horizontal="center" vertical="center" wrapText="1"/>
      <protection locked="0"/>
    </xf>
    <xf numFmtId="0" fontId="59" fillId="50" borderId="49" xfId="39" applyNumberFormat="1" applyFont="1" applyFill="1" applyBorder="1" applyAlignment="1" applyProtection="1">
      <alignment horizontal="center" vertical="center" wrapText="1"/>
      <protection locked="0"/>
    </xf>
    <xf numFmtId="0" fontId="59" fillId="50" borderId="49" xfId="0" applyFont="1" applyFill="1" applyBorder="1" applyAlignment="1" applyProtection="1">
      <alignment horizontal="center" vertical="center" wrapText="1"/>
      <protection locked="0"/>
    </xf>
    <xf numFmtId="0" fontId="6" fillId="50" borderId="49" xfId="39" applyNumberFormat="1" applyFont="1" applyFill="1" applyBorder="1" applyAlignment="1" applyProtection="1">
      <alignment horizontal="center" vertical="center" wrapText="1"/>
      <protection locked="0"/>
    </xf>
    <xf numFmtId="0" fontId="11" fillId="50" borderId="51" xfId="39" applyNumberFormat="1" applyFont="1" applyFill="1" applyBorder="1" applyAlignment="1" applyProtection="1">
      <alignment horizontal="center" vertical="center" wrapText="1"/>
      <protection locked="0"/>
    </xf>
    <xf numFmtId="0" fontId="6" fillId="50" borderId="49" xfId="0" applyFont="1" applyFill="1" applyBorder="1" applyAlignment="1" applyProtection="1">
      <alignment horizontal="center" vertical="center" wrapText="1"/>
      <protection locked="0"/>
    </xf>
    <xf numFmtId="0" fontId="6" fillId="50" borderId="52" xfId="0" applyFont="1" applyFill="1" applyBorder="1" applyAlignment="1" applyProtection="1">
      <alignment horizontal="center" vertical="center" wrapText="1"/>
      <protection locked="0"/>
    </xf>
    <xf numFmtId="0" fontId="59" fillId="50" borderId="53" xfId="0" applyFont="1" applyFill="1" applyBorder="1" applyAlignment="1" applyProtection="1">
      <alignment horizontal="left" vertical="center" wrapText="1"/>
      <protection locked="0"/>
    </xf>
    <xf numFmtId="0" fontId="70" fillId="40" borderId="8" xfId="39" applyNumberFormat="1" applyFont="1" applyFill="1" applyBorder="1" applyAlignment="1" applyProtection="1">
      <alignment horizontal="center" vertical="center" wrapText="1"/>
      <protection locked="0"/>
    </xf>
    <xf numFmtId="0" fontId="64" fillId="44" borderId="56" xfId="39" applyNumberFormat="1" applyFont="1" applyFill="1" applyBorder="1" applyAlignment="1" applyProtection="1">
      <alignment horizontal="center" vertical="center" wrapText="1"/>
    </xf>
    <xf numFmtId="0" fontId="64" fillId="46" borderId="61" xfId="39" applyNumberFormat="1" applyFont="1" applyFill="1" applyBorder="1" applyAlignment="1" applyProtection="1">
      <alignment horizontal="center" vertical="center" wrapText="1"/>
    </xf>
    <xf numFmtId="0" fontId="70" fillId="40" borderId="49" xfId="39" applyNumberFormat="1" applyFont="1" applyFill="1" applyBorder="1" applyAlignment="1" applyProtection="1">
      <alignment horizontal="center" vertical="center" wrapText="1"/>
      <protection locked="0"/>
    </xf>
    <xf numFmtId="0" fontId="7" fillId="51" borderId="14" xfId="45" applyFill="1" applyBorder="1" applyAlignment="1" applyProtection="1">
      <alignment horizontal="center" vertical="center"/>
    </xf>
    <xf numFmtId="49" fontId="16" fillId="0" borderId="47" xfId="0" applyNumberFormat="1" applyFont="1" applyBorder="1" applyAlignment="1" applyProtection="1">
      <alignment vertical="center" wrapText="1"/>
      <protection locked="0"/>
    </xf>
    <xf numFmtId="49" fontId="16" fillId="38" borderId="48" xfId="0" applyNumberFormat="1" applyFont="1" applyFill="1" applyBorder="1" applyAlignment="1" applyProtection="1">
      <alignment vertical="center" wrapText="1"/>
      <protection locked="0"/>
    </xf>
    <xf numFmtId="49" fontId="21" fillId="37" borderId="46" xfId="0" applyNumberFormat="1" applyFont="1" applyFill="1" applyBorder="1" applyAlignment="1">
      <alignment horizontal="left" vertical="center"/>
    </xf>
    <xf numFmtId="49" fontId="0" fillId="37" borderId="25" xfId="0" applyNumberFormat="1" applyFill="1" applyBorder="1" applyAlignment="1">
      <alignment horizontal="center" vertical="center" wrapText="1"/>
    </xf>
    <xf numFmtId="49" fontId="5" fillId="0" borderId="25" xfId="0" applyNumberFormat="1" applyFont="1" applyBorder="1" applyAlignment="1">
      <alignment horizontal="left" vertical="center" wrapText="1"/>
    </xf>
    <xf numFmtId="49" fontId="21" fillId="0" borderId="0" xfId="0" applyNumberFormat="1" applyFont="1" applyAlignment="1" applyProtection="1">
      <alignment horizontal="center" vertical="center"/>
      <protection locked="0"/>
    </xf>
    <xf numFmtId="49" fontId="0" fillId="0" borderId="25" xfId="0" applyNumberFormat="1" applyBorder="1" applyAlignment="1">
      <alignment vertical="center" wrapText="1"/>
    </xf>
    <xf numFmtId="49" fontId="5" fillId="0" borderId="25" xfId="0" applyNumberFormat="1" applyFont="1" applyBorder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6" fillId="0" borderId="0" xfId="0" applyNumberFormat="1" applyFont="1" applyAlignment="1" applyProtection="1">
      <alignment horizontal="center" vertical="center"/>
      <protection locked="0"/>
    </xf>
    <xf numFmtId="49" fontId="7" fillId="0" borderId="0" xfId="45" applyNumberFormat="1" applyFill="1" applyBorder="1" applyAlignment="1" applyProtection="1">
      <alignment horizontal="center" vertical="center"/>
      <protection locked="0"/>
    </xf>
    <xf numFmtId="49" fontId="52" fillId="35" borderId="41" xfId="0" applyNumberFormat="1" applyFont="1" applyFill="1" applyBorder="1" applyAlignment="1" applyProtection="1">
      <alignment horizontal="center" vertical="center" wrapText="1"/>
      <protection locked="0"/>
    </xf>
    <xf numFmtId="49" fontId="52" fillId="35" borderId="41" xfId="0" applyNumberFormat="1" applyFont="1" applyFill="1" applyBorder="1" applyAlignment="1" applyProtection="1">
      <alignment horizontal="left" vertical="center" wrapText="1"/>
      <protection locked="0"/>
    </xf>
    <xf numFmtId="49" fontId="52" fillId="35" borderId="42" xfId="0" applyNumberFormat="1" applyFont="1" applyFill="1" applyBorder="1" applyAlignment="1" applyProtection="1">
      <alignment horizontal="center" vertical="center" wrapText="1"/>
      <protection locked="0"/>
    </xf>
    <xf numFmtId="49" fontId="52" fillId="35" borderId="14" xfId="0" applyNumberFormat="1" applyFont="1" applyFill="1" applyBorder="1" applyAlignment="1" applyProtection="1">
      <alignment horizontal="center" vertical="center" wrapText="1"/>
      <protection locked="0"/>
    </xf>
    <xf numFmtId="49" fontId="52" fillId="35" borderId="14" xfId="0" applyNumberFormat="1" applyFont="1" applyFill="1" applyBorder="1" applyAlignment="1" applyProtection="1">
      <alignment horizontal="left" vertical="center" wrapText="1"/>
      <protection locked="0"/>
    </xf>
    <xf numFmtId="49" fontId="52" fillId="35" borderId="21" xfId="0" applyNumberFormat="1" applyFont="1" applyFill="1" applyBorder="1" applyAlignment="1" applyProtection="1">
      <alignment horizontal="center" vertical="center" wrapText="1"/>
      <protection locked="0"/>
    </xf>
    <xf numFmtId="49" fontId="52" fillId="35" borderId="29" xfId="0" applyNumberFormat="1" applyFont="1" applyFill="1" applyBorder="1" applyAlignment="1" applyProtection="1">
      <alignment horizontal="center" vertical="center" wrapText="1"/>
      <protection locked="0"/>
    </xf>
    <xf numFmtId="49" fontId="52" fillId="35" borderId="29" xfId="0" applyNumberFormat="1" applyFont="1" applyFill="1" applyBorder="1" applyAlignment="1" applyProtection="1">
      <alignment horizontal="center" vertical="center"/>
      <protection locked="0"/>
    </xf>
    <xf numFmtId="49" fontId="52" fillId="35" borderId="30" xfId="0" applyNumberFormat="1" applyFont="1" applyFill="1" applyBorder="1" applyAlignment="1" applyProtection="1">
      <alignment horizontal="center" vertical="center" wrapText="1"/>
      <protection locked="0"/>
    </xf>
    <xf numFmtId="49" fontId="57" fillId="50" borderId="8" xfId="0" applyNumberFormat="1" applyFont="1" applyFill="1" applyBorder="1" applyAlignment="1" applyProtection="1">
      <alignment horizontal="center" vertical="center" wrapText="1"/>
      <protection locked="0"/>
    </xf>
    <xf numFmtId="49" fontId="61" fillId="50" borderId="8" xfId="0" applyNumberFormat="1" applyFont="1" applyFill="1" applyBorder="1" applyAlignment="1">
      <alignment horizontal="center" vertical="center" wrapText="1"/>
    </xf>
    <xf numFmtId="49" fontId="57" fillId="50" borderId="8" xfId="0" applyNumberFormat="1" applyFont="1" applyFill="1" applyBorder="1" applyAlignment="1" applyProtection="1">
      <alignment horizontal="left" vertical="center" wrapText="1"/>
      <protection locked="0"/>
    </xf>
    <xf numFmtId="49" fontId="58" fillId="50" borderId="8" xfId="0" applyNumberFormat="1" applyFont="1" applyFill="1" applyBorder="1" applyAlignment="1" applyProtection="1">
      <alignment horizontal="center" vertical="center" wrapText="1"/>
      <protection locked="0"/>
    </xf>
    <xf numFmtId="49" fontId="57" fillId="50" borderId="11" xfId="0" applyNumberFormat="1" applyFont="1" applyFill="1" applyBorder="1" applyAlignment="1" applyProtection="1">
      <alignment horizontal="center" vertical="center" wrapText="1"/>
      <protection locked="0"/>
    </xf>
    <xf numFmtId="49" fontId="57" fillId="50" borderId="8" xfId="0" applyNumberFormat="1" applyFont="1" applyFill="1" applyBorder="1" applyAlignment="1" applyProtection="1">
      <alignment horizontal="left" vertical="center"/>
      <protection locked="0"/>
    </xf>
    <xf numFmtId="49" fontId="57" fillId="50" borderId="49" xfId="45" applyNumberFormat="1" applyFont="1" applyFill="1" applyBorder="1" applyAlignment="1" applyProtection="1">
      <alignment horizontal="center" vertical="center" wrapText="1"/>
      <protection locked="0"/>
    </xf>
    <xf numFmtId="49" fontId="61" fillId="50" borderId="49" xfId="45" applyNumberFormat="1" applyFont="1" applyFill="1" applyBorder="1" applyAlignment="1" applyProtection="1">
      <alignment horizontal="center" vertical="center" wrapText="1"/>
      <protection locked="0"/>
    </xf>
    <xf numFmtId="49" fontId="57" fillId="50" borderId="49" xfId="0" applyNumberFormat="1" applyFont="1" applyFill="1" applyBorder="1" applyAlignment="1" applyProtection="1">
      <alignment horizontal="center" vertical="center" wrapText="1"/>
      <protection locked="0"/>
    </xf>
    <xf numFmtId="49" fontId="57" fillId="50" borderId="49" xfId="0" applyNumberFormat="1" applyFont="1" applyFill="1" applyBorder="1" applyAlignment="1" applyProtection="1">
      <alignment horizontal="left" vertical="center"/>
      <protection locked="0"/>
    </xf>
    <xf numFmtId="49" fontId="58" fillId="50" borderId="49" xfId="0" applyNumberFormat="1" applyFont="1" applyFill="1" applyBorder="1" applyAlignment="1" applyProtection="1">
      <alignment horizontal="center" vertical="center" wrapText="1"/>
      <protection locked="0"/>
    </xf>
    <xf numFmtId="49" fontId="57" fillId="50" borderId="52" xfId="0" applyNumberFormat="1" applyFont="1" applyFill="1" applyBorder="1" applyAlignment="1" applyProtection="1">
      <alignment horizontal="center" vertical="center" wrapText="1"/>
      <protection locked="0"/>
    </xf>
    <xf numFmtId="49" fontId="71" fillId="0" borderId="49" xfId="0" applyNumberFormat="1" applyFont="1" applyBorder="1" applyAlignment="1" applyProtection="1">
      <alignment horizontal="center" vertical="center" wrapText="1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0" fontId="8" fillId="0" borderId="8" xfId="45" applyNumberFormat="1" applyFont="1" applyFill="1" applyBorder="1" applyAlignment="1" applyProtection="1">
      <alignment horizontal="center" vertical="center" wrapText="1"/>
      <protection locked="0"/>
    </xf>
    <xf numFmtId="49" fontId="57" fillId="0" borderId="8" xfId="0" applyNumberFormat="1" applyFont="1" applyBorder="1" applyAlignment="1" applyProtection="1">
      <alignment horizontal="center" vertical="center" wrapText="1"/>
      <protection locked="0"/>
    </xf>
    <xf numFmtId="49" fontId="61" fillId="0" borderId="8" xfId="0" applyNumberFormat="1" applyFont="1" applyBorder="1" applyAlignment="1">
      <alignment horizontal="center" vertical="center" wrapText="1"/>
    </xf>
    <xf numFmtId="49" fontId="57" fillId="0" borderId="8" xfId="0" applyNumberFormat="1" applyFont="1" applyBorder="1" applyAlignment="1" applyProtection="1">
      <alignment horizontal="left" vertical="center" wrapText="1"/>
      <protection locked="0"/>
    </xf>
    <xf numFmtId="49" fontId="58" fillId="0" borderId="8" xfId="0" applyNumberFormat="1" applyFont="1" applyBorder="1" applyAlignment="1" applyProtection="1">
      <alignment horizontal="center" vertical="center" wrapText="1"/>
      <protection locked="0"/>
    </xf>
    <xf numFmtId="49" fontId="57" fillId="0" borderId="0" xfId="0" applyNumberFormat="1" applyFont="1" applyAlignment="1" applyProtection="1">
      <alignment horizontal="center" vertical="center"/>
      <protection locked="0"/>
    </xf>
    <xf numFmtId="0" fontId="64" fillId="45" borderId="49" xfId="0" applyFont="1" applyFill="1" applyBorder="1" applyAlignment="1" applyProtection="1">
      <alignment horizontal="center" vertical="center" wrapText="1"/>
      <protection locked="0"/>
    </xf>
    <xf numFmtId="14" fontId="32" fillId="0" borderId="0" xfId="0" applyNumberFormat="1" applyFont="1" applyAlignment="1">
      <alignment horizontal="center" vertical="center"/>
    </xf>
    <xf numFmtId="0" fontId="0" fillId="0" borderId="14" xfId="45" applyNumberFormat="1" applyFont="1" applyFill="1" applyBorder="1" applyAlignment="1" applyProtection="1">
      <alignment horizontal="center" vertical="center" wrapText="1"/>
      <protection locked="0"/>
    </xf>
    <xf numFmtId="0" fontId="0" fillId="0" borderId="8" xfId="45" applyNumberFormat="1" applyFont="1" applyFill="1" applyBorder="1" applyAlignment="1" applyProtection="1">
      <alignment horizontal="center" vertical="center" wrapText="1"/>
      <protection locked="0"/>
    </xf>
    <xf numFmtId="0" fontId="57" fillId="0" borderId="49" xfId="45" applyNumberFormat="1" applyFont="1" applyFill="1" applyBorder="1" applyAlignment="1" applyProtection="1">
      <alignment horizontal="center" vertical="center" wrapText="1"/>
      <protection locked="0"/>
    </xf>
    <xf numFmtId="0" fontId="61" fillId="0" borderId="49" xfId="45" applyNumberFormat="1" applyFont="1" applyFill="1" applyBorder="1" applyAlignment="1" applyProtection="1">
      <alignment horizontal="center" vertical="center" wrapText="1"/>
      <protection locked="0"/>
    </xf>
    <xf numFmtId="0" fontId="57" fillId="0" borderId="49" xfId="0" applyFont="1" applyBorder="1" applyAlignment="1" applyProtection="1">
      <alignment horizontal="left" vertical="center"/>
      <protection locked="0"/>
    </xf>
    <xf numFmtId="0" fontId="64" fillId="45" borderId="58" xfId="0" applyFont="1" applyFill="1" applyBorder="1" applyAlignment="1" applyProtection="1">
      <alignment horizontal="center" vertical="center" wrapText="1"/>
      <protection locked="0"/>
    </xf>
    <xf numFmtId="0" fontId="8" fillId="0" borderId="49" xfId="45" applyNumberFormat="1" applyFont="1" applyFill="1" applyBorder="1" applyAlignment="1" applyProtection="1">
      <alignment horizontal="center" vertical="center" wrapText="1"/>
      <protection locked="0"/>
    </xf>
    <xf numFmtId="49" fontId="57" fillId="50" borderId="8" xfId="0" applyNumberFormat="1" applyFont="1" applyFill="1" applyBorder="1" applyAlignment="1" applyProtection="1">
      <alignment horizontal="center" vertical="center"/>
      <protection locked="0"/>
    </xf>
    <xf numFmtId="0" fontId="58" fillId="50" borderId="49" xfId="0" applyFont="1" applyFill="1" applyBorder="1" applyAlignment="1" applyProtection="1">
      <alignment horizontal="center" vertical="center" wrapText="1"/>
      <protection locked="0"/>
    </xf>
    <xf numFmtId="14" fontId="8" fillId="0" borderId="49" xfId="45" applyNumberFormat="1" applyFont="1" applyFill="1" applyBorder="1" applyAlignment="1" applyProtection="1">
      <alignment horizontal="center" vertical="center" wrapText="1"/>
      <protection locked="0"/>
    </xf>
    <xf numFmtId="0" fontId="61" fillId="0" borderId="8" xfId="45" applyNumberFormat="1" applyFont="1" applyFill="1" applyBorder="1" applyAlignment="1" applyProtection="1">
      <alignment horizontal="center" vertical="center" wrapText="1"/>
      <protection locked="0"/>
    </xf>
    <xf numFmtId="14" fontId="72" fillId="0" borderId="52" xfId="39" applyNumberFormat="1" applyFont="1" applyFill="1" applyBorder="1" applyAlignment="1" applyProtection="1">
      <alignment horizontal="center" vertical="center" wrapText="1"/>
      <protection locked="0"/>
    </xf>
    <xf numFmtId="0" fontId="72" fillId="0" borderId="0" xfId="39" applyNumberFormat="1" applyFont="1" applyFill="1" applyBorder="1" applyAlignment="1" applyProtection="1">
      <alignment horizontal="center" vertical="center" wrapText="1"/>
      <protection locked="0"/>
    </xf>
    <xf numFmtId="0" fontId="73" fillId="0" borderId="0" xfId="0" applyFont="1" applyAlignment="1" applyProtection="1">
      <alignment horizontal="center" vertical="center"/>
      <protection locked="0"/>
    </xf>
    <xf numFmtId="0" fontId="28" fillId="0" borderId="0" xfId="39" applyNumberFormat="1" applyFont="1" applyFill="1" applyBorder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 wrapText="1"/>
      <protection locked="0"/>
    </xf>
    <xf numFmtId="0" fontId="72" fillId="0" borderId="62" xfId="0" applyFont="1" applyBorder="1" applyAlignment="1" applyProtection="1">
      <alignment horizontal="left" vertical="center" wrapText="1"/>
      <protection locked="0"/>
    </xf>
    <xf numFmtId="0" fontId="64" fillId="45" borderId="53" xfId="0" applyFont="1" applyFill="1" applyBorder="1" applyAlignment="1" applyProtection="1">
      <alignment horizontal="center" vertical="center" wrapText="1"/>
      <protection locked="0"/>
    </xf>
    <xf numFmtId="0" fontId="64" fillId="45" borderId="14" xfId="0" applyFont="1" applyFill="1" applyBorder="1" applyAlignment="1" applyProtection="1">
      <alignment horizontal="center" vertical="center" wrapText="1"/>
      <protection locked="0"/>
    </xf>
    <xf numFmtId="0" fontId="72" fillId="0" borderId="0" xfId="0" applyFont="1" applyAlignment="1" applyProtection="1">
      <alignment horizontal="center" vertical="center" wrapText="1"/>
      <protection locked="0"/>
    </xf>
    <xf numFmtId="0" fontId="72" fillId="0" borderId="63" xfId="0" applyFont="1" applyBorder="1" applyAlignment="1" applyProtection="1">
      <alignment horizontal="left" vertical="center" wrapText="1"/>
      <protection locked="0"/>
    </xf>
    <xf numFmtId="14" fontId="65" fillId="0" borderId="49" xfId="39" applyNumberFormat="1" applyFont="1" applyFill="1" applyBorder="1" applyAlignment="1" applyProtection="1">
      <alignment horizontal="center" vertical="center" wrapText="1"/>
      <protection locked="0"/>
    </xf>
    <xf numFmtId="14" fontId="32" fillId="50" borderId="0" xfId="0" applyNumberFormat="1" applyFont="1" applyFill="1" applyAlignment="1">
      <alignment horizontal="center" vertical="center"/>
    </xf>
    <xf numFmtId="49" fontId="57" fillId="50" borderId="49" xfId="45" applyNumberFormat="1" applyFont="1" applyFill="1" applyBorder="1" applyAlignment="1" applyProtection="1">
      <alignment horizontal="left" vertical="center" wrapText="1"/>
      <protection locked="0"/>
    </xf>
    <xf numFmtId="49" fontId="57" fillId="50" borderId="0" xfId="0" applyNumberFormat="1" applyFont="1" applyFill="1" applyAlignment="1" applyProtection="1">
      <alignment horizontal="center" vertical="center"/>
      <protection locked="0"/>
    </xf>
    <xf numFmtId="14" fontId="29" fillId="50" borderId="0" xfId="0" applyNumberFormat="1" applyFont="1" applyFill="1" applyAlignment="1">
      <alignment horizontal="center" vertical="center"/>
    </xf>
    <xf numFmtId="0" fontId="26" fillId="50" borderId="8" xfId="45" applyNumberFormat="1" applyFont="1" applyFill="1" applyBorder="1" applyAlignment="1" applyProtection="1">
      <alignment horizontal="center" vertical="center" wrapText="1"/>
      <protection locked="0"/>
    </xf>
    <xf numFmtId="0" fontId="65" fillId="50" borderId="8" xfId="0" applyFont="1" applyFill="1" applyBorder="1" applyAlignment="1" applyProtection="1">
      <alignment horizontal="center" vertical="center" wrapText="1"/>
      <protection locked="0"/>
    </xf>
    <xf numFmtId="0" fontId="67" fillId="50" borderId="8" xfId="0" applyFont="1" applyFill="1" applyBorder="1" applyAlignment="1" applyProtection="1">
      <alignment horizontal="center" vertical="center"/>
      <protection locked="0"/>
    </xf>
    <xf numFmtId="0" fontId="26" fillId="50" borderId="8" xfId="39" applyNumberFormat="1" applyFont="1" applyFill="1" applyBorder="1" applyAlignment="1" applyProtection="1">
      <alignment horizontal="center" vertical="center" wrapText="1"/>
      <protection locked="0"/>
    </xf>
    <xf numFmtId="0" fontId="26" fillId="50" borderId="24" xfId="39" applyNumberFormat="1" applyFont="1" applyFill="1" applyBorder="1" applyAlignment="1" applyProtection="1">
      <alignment horizontal="center" vertical="center" wrapText="1"/>
      <protection locked="0"/>
    </xf>
    <xf numFmtId="0" fontId="65" fillId="50" borderId="8" xfId="39" applyNumberFormat="1" applyFont="1" applyFill="1" applyBorder="1" applyAlignment="1" applyProtection="1">
      <alignment horizontal="center" vertical="center" wrapText="1"/>
      <protection locked="0"/>
    </xf>
    <xf numFmtId="0" fontId="26" fillId="50" borderId="8" xfId="0" applyFont="1" applyFill="1" applyBorder="1" applyAlignment="1" applyProtection="1">
      <alignment horizontal="center" vertical="center" wrapText="1"/>
      <protection locked="0"/>
    </xf>
    <xf numFmtId="0" fontId="26" fillId="50" borderId="11" xfId="0" applyFont="1" applyFill="1" applyBorder="1" applyAlignment="1" applyProtection="1">
      <alignment horizontal="center" vertical="center" wrapText="1"/>
      <protection locked="0"/>
    </xf>
    <xf numFmtId="0" fontId="65" fillId="50" borderId="14" xfId="0" applyFont="1" applyFill="1" applyBorder="1" applyAlignment="1" applyProtection="1">
      <alignment horizontal="left" vertical="center" wrapText="1"/>
      <protection locked="0"/>
    </xf>
    <xf numFmtId="0" fontId="74" fillId="50" borderId="8" xfId="0" applyFont="1" applyFill="1" applyBorder="1" applyAlignment="1">
      <alignment horizontal="center" vertical="center" wrapText="1"/>
    </xf>
    <xf numFmtId="14" fontId="65" fillId="50" borderId="49" xfId="39" applyNumberFormat="1" applyFont="1" applyFill="1" applyBorder="1" applyAlignment="1" applyProtection="1">
      <alignment horizontal="center" vertical="center" wrapText="1"/>
      <protection locked="0"/>
    </xf>
    <xf numFmtId="0" fontId="26" fillId="50" borderId="49" xfId="39" applyNumberFormat="1" applyFont="1" applyFill="1" applyBorder="1" applyAlignment="1" applyProtection="1">
      <alignment horizontal="center" vertical="center" wrapText="1"/>
      <protection locked="0"/>
    </xf>
    <xf numFmtId="0" fontId="26" fillId="50" borderId="51" xfId="39" applyNumberFormat="1" applyFont="1" applyFill="1" applyBorder="1" applyAlignment="1" applyProtection="1">
      <alignment horizontal="center" vertical="center" wrapText="1"/>
      <protection locked="0"/>
    </xf>
    <xf numFmtId="0" fontId="65" fillId="50" borderId="49" xfId="39" applyNumberFormat="1" applyFont="1" applyFill="1" applyBorder="1" applyAlignment="1" applyProtection="1">
      <alignment horizontal="center" vertical="center" wrapText="1"/>
      <protection locked="0"/>
    </xf>
    <xf numFmtId="0" fontId="26" fillId="50" borderId="49" xfId="0" applyFont="1" applyFill="1" applyBorder="1" applyAlignment="1" applyProtection="1">
      <alignment horizontal="center" vertical="center" wrapText="1"/>
      <protection locked="0"/>
    </xf>
    <xf numFmtId="0" fontId="26" fillId="50" borderId="52" xfId="0" applyFont="1" applyFill="1" applyBorder="1" applyAlignment="1" applyProtection="1">
      <alignment horizontal="center" vertical="center" wrapText="1"/>
      <protection locked="0"/>
    </xf>
    <xf numFmtId="0" fontId="68" fillId="40" borderId="49" xfId="39" applyNumberFormat="1" applyFont="1" applyFill="1" applyBorder="1" applyAlignment="1" applyProtection="1">
      <alignment horizontal="center" vertical="center" wrapText="1"/>
      <protection locked="0"/>
    </xf>
    <xf numFmtId="0" fontId="57" fillId="50" borderId="8" xfId="0" applyFont="1" applyFill="1" applyBorder="1" applyAlignment="1" applyProtection="1">
      <alignment horizontal="center" vertical="center" wrapText="1"/>
      <protection locked="0"/>
    </xf>
    <xf numFmtId="0" fontId="57" fillId="50" borderId="49" xfId="45" applyNumberFormat="1" applyFont="1" applyFill="1" applyBorder="1" applyAlignment="1" applyProtection="1">
      <alignment horizontal="center" vertical="center" wrapText="1"/>
      <protection locked="0"/>
    </xf>
    <xf numFmtId="0" fontId="61" fillId="50" borderId="49" xfId="45" applyNumberFormat="1" applyFont="1" applyFill="1" applyBorder="1" applyAlignment="1" applyProtection="1">
      <alignment horizontal="center" vertical="center" wrapText="1"/>
      <protection locked="0"/>
    </xf>
    <xf numFmtId="0" fontId="57" fillId="50" borderId="49" xfId="0" applyFont="1" applyFill="1" applyBorder="1" applyAlignment="1" applyProtection="1">
      <alignment horizontal="center" vertical="center" wrapText="1"/>
      <protection locked="0"/>
    </xf>
    <xf numFmtId="0" fontId="57" fillId="50" borderId="49" xfId="0" applyFont="1" applyFill="1" applyBorder="1" applyAlignment="1" applyProtection="1">
      <alignment horizontal="left" vertical="center"/>
      <protection locked="0"/>
    </xf>
    <xf numFmtId="0" fontId="57" fillId="50" borderId="52" xfId="0" applyFont="1" applyFill="1" applyBorder="1" applyAlignment="1" applyProtection="1">
      <alignment horizontal="center" vertical="center" wrapText="1"/>
      <protection locked="0"/>
    </xf>
    <xf numFmtId="0" fontId="66" fillId="50" borderId="49" xfId="0" applyFont="1" applyFill="1" applyBorder="1" applyAlignment="1" applyProtection="1">
      <alignment horizontal="center" vertical="center"/>
      <protection locked="0"/>
    </xf>
    <xf numFmtId="14" fontId="8" fillId="50" borderId="49" xfId="45" applyNumberFormat="1" applyFont="1" applyFill="1" applyBorder="1" applyAlignment="1" applyProtection="1">
      <alignment horizontal="center" vertical="center" wrapText="1"/>
      <protection locked="0"/>
    </xf>
    <xf numFmtId="0" fontId="29" fillId="50" borderId="0" xfId="0" applyFont="1" applyFill="1" applyAlignment="1">
      <alignment horizontal="center" vertical="center"/>
    </xf>
    <xf numFmtId="0" fontId="72" fillId="50" borderId="0" xfId="39" applyNumberFormat="1" applyFont="1" applyFill="1" applyBorder="1" applyAlignment="1" applyProtection="1">
      <alignment horizontal="center" vertical="center" wrapText="1"/>
      <protection locked="0"/>
    </xf>
    <xf numFmtId="0" fontId="28" fillId="50" borderId="0" xfId="39" applyNumberFormat="1" applyFont="1" applyFill="1" applyBorder="1" applyAlignment="1" applyProtection="1">
      <alignment horizontal="center" vertical="center" wrapText="1"/>
      <protection locked="0"/>
    </xf>
    <xf numFmtId="0" fontId="28" fillId="50" borderId="0" xfId="0" applyFont="1" applyFill="1" applyAlignment="1" applyProtection="1">
      <alignment horizontal="center" vertical="center" wrapText="1"/>
      <protection locked="0"/>
    </xf>
    <xf numFmtId="0" fontId="72" fillId="50" borderId="62" xfId="0" applyFont="1" applyFill="1" applyBorder="1" applyAlignment="1" applyProtection="1">
      <alignment horizontal="left" vertical="center" wrapText="1"/>
      <protection locked="0"/>
    </xf>
    <xf numFmtId="0" fontId="68" fillId="40" borderId="0" xfId="39" applyNumberFormat="1" applyFont="1" applyFill="1" applyBorder="1" applyAlignment="1" applyProtection="1">
      <alignment horizontal="center" vertical="center" wrapText="1"/>
      <protection locked="0"/>
    </xf>
    <xf numFmtId="0" fontId="7" fillId="52" borderId="14" xfId="45" applyFill="1" applyBorder="1" applyAlignment="1" applyProtection="1">
      <alignment horizontal="center" vertical="center"/>
    </xf>
    <xf numFmtId="49" fontId="71" fillId="0" borderId="0" xfId="0" applyNumberFormat="1" applyFont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 vertical="center" wrapText="1"/>
      <protection locked="0"/>
    </xf>
    <xf numFmtId="49" fontId="71" fillId="0" borderId="52" xfId="0" applyNumberFormat="1" applyFont="1" applyBorder="1" applyAlignment="1" applyProtection="1">
      <alignment horizontal="center" vertical="center" wrapText="1"/>
      <protection locked="0"/>
    </xf>
    <xf numFmtId="0" fontId="64" fillId="46" borderId="0" xfId="39" applyNumberFormat="1" applyFont="1" applyFill="1" applyBorder="1" applyAlignment="1" applyProtection="1">
      <alignment horizontal="center" vertical="center" wrapText="1"/>
    </xf>
    <xf numFmtId="0" fontId="7" fillId="0" borderId="14" xfId="45" applyFill="1" applyBorder="1" applyAlignment="1" applyProtection="1">
      <alignment horizontal="center" vertical="center"/>
    </xf>
    <xf numFmtId="49" fontId="75" fillId="50" borderId="49" xfId="0" applyNumberFormat="1" applyFont="1" applyFill="1" applyBorder="1" applyAlignment="1" applyProtection="1">
      <alignment horizontal="center" vertical="center" wrapText="1"/>
      <protection locked="0"/>
    </xf>
    <xf numFmtId="49" fontId="71" fillId="50" borderId="52" xfId="0" applyNumberFormat="1" applyFont="1" applyFill="1" applyBorder="1" applyAlignment="1" applyProtection="1">
      <alignment horizontal="center" vertical="center" wrapText="1"/>
      <protection locked="0"/>
    </xf>
    <xf numFmtId="49" fontId="71" fillId="50" borderId="0" xfId="0" applyNumberFormat="1" applyFont="1" applyFill="1" applyAlignment="1" applyProtection="1">
      <alignment horizontal="center" vertical="center"/>
      <protection locked="0"/>
    </xf>
    <xf numFmtId="14" fontId="72" fillId="50" borderId="52" xfId="39" applyNumberFormat="1" applyFont="1" applyFill="1" applyBorder="1" applyAlignment="1" applyProtection="1">
      <alignment horizontal="center" vertical="center" wrapText="1"/>
      <protection locked="0"/>
    </xf>
    <xf numFmtId="0" fontId="73" fillId="50" borderId="0" xfId="0" applyFont="1" applyFill="1" applyAlignment="1" applyProtection="1">
      <alignment horizontal="center" vertical="center"/>
      <protection locked="0"/>
    </xf>
    <xf numFmtId="0" fontId="33" fillId="50" borderId="0" xfId="0" applyFont="1" applyFill="1" applyAlignment="1" applyProtection="1">
      <alignment horizontal="center" vertical="center" wrapText="1"/>
      <protection locked="0"/>
    </xf>
    <xf numFmtId="0" fontId="76" fillId="50" borderId="0" xfId="0" applyFont="1" applyFill="1" applyAlignment="1">
      <alignment horizontal="center" vertical="center" wrapText="1"/>
    </xf>
    <xf numFmtId="49" fontId="71" fillId="50" borderId="49" xfId="45" applyNumberFormat="1" applyFont="1" applyFill="1" applyBorder="1" applyAlignment="1" applyProtection="1">
      <alignment horizontal="center" vertical="center" wrapText="1"/>
      <protection locked="0"/>
    </xf>
    <xf numFmtId="0" fontId="57" fillId="50" borderId="8" xfId="45" applyNumberFormat="1" applyFont="1" applyFill="1" applyBorder="1" applyAlignment="1" applyProtection="1">
      <alignment horizontal="center" vertical="center" wrapText="1"/>
      <protection locked="0"/>
    </xf>
    <xf numFmtId="0" fontId="61" fillId="50" borderId="8" xfId="45" applyNumberFormat="1" applyFont="1" applyFill="1" applyBorder="1" applyAlignment="1" applyProtection="1">
      <alignment horizontal="center" vertical="center" wrapText="1"/>
      <protection locked="0"/>
    </xf>
    <xf numFmtId="0" fontId="57" fillId="50" borderId="8" xfId="0" applyFont="1" applyFill="1" applyBorder="1" applyAlignment="1" applyProtection="1">
      <alignment horizontal="left" vertical="center"/>
      <protection locked="0"/>
    </xf>
    <xf numFmtId="0" fontId="58" fillId="50" borderId="8" xfId="0" applyFont="1" applyFill="1" applyBorder="1" applyAlignment="1" applyProtection="1">
      <alignment horizontal="center" vertical="center" wrapText="1"/>
      <protection locked="0"/>
    </xf>
    <xf numFmtId="0" fontId="72" fillId="50" borderId="0" xfId="0" applyFont="1" applyFill="1" applyAlignment="1" applyProtection="1">
      <alignment horizontal="center" vertical="center" wrapText="1"/>
      <protection locked="0"/>
    </xf>
    <xf numFmtId="0" fontId="72" fillId="50" borderId="63" xfId="0" applyFont="1" applyFill="1" applyBorder="1" applyAlignment="1" applyProtection="1">
      <alignment horizontal="left" vertical="center" wrapText="1"/>
      <protection locked="0"/>
    </xf>
    <xf numFmtId="49" fontId="71" fillId="50" borderId="49" xfId="0" applyNumberFormat="1" applyFont="1" applyFill="1" applyBorder="1" applyAlignment="1" applyProtection="1">
      <alignment horizontal="center" vertical="center" wrapText="1"/>
      <protection locked="0"/>
    </xf>
    <xf numFmtId="0" fontId="28" fillId="50" borderId="49" xfId="39" applyNumberFormat="1" applyFont="1" applyFill="1" applyBorder="1" applyAlignment="1" applyProtection="1">
      <alignment horizontal="center" vertical="center" wrapText="1"/>
      <protection locked="0"/>
    </xf>
    <xf numFmtId="0" fontId="28" fillId="50" borderId="51" xfId="39" applyNumberFormat="1" applyFont="1" applyFill="1" applyBorder="1" applyAlignment="1" applyProtection="1">
      <alignment horizontal="center" vertical="center" wrapText="1"/>
      <protection locked="0"/>
    </xf>
    <xf numFmtId="0" fontId="72" fillId="50" borderId="49" xfId="39" applyNumberFormat="1" applyFont="1" applyFill="1" applyBorder="1" applyAlignment="1" applyProtection="1">
      <alignment horizontal="center" vertical="center" wrapText="1"/>
      <protection locked="0"/>
    </xf>
    <xf numFmtId="0" fontId="65" fillId="50" borderId="0" xfId="39" applyNumberFormat="1" applyFont="1" applyFill="1" applyBorder="1" applyAlignment="1" applyProtection="1">
      <alignment horizontal="center" vertical="center" wrapText="1"/>
      <protection locked="0"/>
    </xf>
    <xf numFmtId="14" fontId="65" fillId="50" borderId="52" xfId="39" applyNumberFormat="1" applyFont="1" applyFill="1" applyBorder="1" applyAlignment="1" applyProtection="1">
      <alignment horizontal="center" vertical="center" wrapText="1"/>
      <protection locked="0"/>
    </xf>
    <xf numFmtId="14" fontId="65" fillId="50" borderId="0" xfId="39" applyNumberFormat="1" applyFont="1" applyFill="1" applyBorder="1" applyAlignment="1" applyProtection="1">
      <alignment horizontal="center" vertical="center" wrapText="1"/>
      <protection locked="0"/>
    </xf>
    <xf numFmtId="0" fontId="8" fillId="50" borderId="8" xfId="45" applyNumberFormat="1" applyFont="1" applyFill="1" applyBorder="1" applyAlignment="1" applyProtection="1">
      <alignment horizontal="center" vertical="center" wrapText="1"/>
      <protection locked="0"/>
    </xf>
    <xf numFmtId="0" fontId="66" fillId="50" borderId="0" xfId="0" applyFont="1" applyFill="1" applyAlignment="1" applyProtection="1">
      <alignment horizontal="center" vertical="center"/>
      <protection locked="0"/>
    </xf>
    <xf numFmtId="49" fontId="77" fillId="50" borderId="0" xfId="0" applyNumberFormat="1" applyFont="1" applyFill="1" applyAlignment="1" applyProtection="1">
      <alignment horizontal="center" vertical="center"/>
      <protection locked="0"/>
    </xf>
    <xf numFmtId="0" fontId="5" fillId="50" borderId="0" xfId="0" applyFont="1" applyFill="1" applyAlignment="1" applyProtection="1">
      <alignment horizontal="center" vertical="center"/>
      <protection locked="0"/>
    </xf>
    <xf numFmtId="0" fontId="3" fillId="50" borderId="0" xfId="0" applyFont="1" applyFill="1" applyAlignment="1" applyProtection="1">
      <alignment horizontal="center" vertical="center"/>
      <protection locked="0"/>
    </xf>
    <xf numFmtId="0" fontId="28" fillId="50" borderId="49" xfId="0" applyFont="1" applyFill="1" applyBorder="1" applyAlignment="1" applyProtection="1">
      <alignment horizontal="center" vertical="center" wrapText="1"/>
      <protection locked="0"/>
    </xf>
    <xf numFmtId="0" fontId="9" fillId="50" borderId="0" xfId="0" applyFont="1" applyFill="1" applyAlignment="1" applyProtection="1">
      <alignment horizontal="center" vertical="center"/>
      <protection locked="0"/>
    </xf>
    <xf numFmtId="0" fontId="28" fillId="50" borderId="52" xfId="0" applyFont="1" applyFill="1" applyBorder="1" applyAlignment="1" applyProtection="1">
      <alignment horizontal="center" vertical="center" wrapText="1"/>
      <protection locked="0"/>
    </xf>
    <xf numFmtId="0" fontId="8" fillId="50" borderId="0" xfId="0" applyFont="1" applyFill="1" applyAlignment="1" applyProtection="1">
      <alignment horizontal="center" vertical="center"/>
      <protection locked="0"/>
    </xf>
    <xf numFmtId="0" fontId="72" fillId="50" borderId="14" xfId="0" applyFont="1" applyFill="1" applyBorder="1" applyAlignment="1" applyProtection="1">
      <alignment horizontal="left" vertical="center" wrapText="1"/>
      <protection locked="0"/>
    </xf>
    <xf numFmtId="14" fontId="27" fillId="39" borderId="14" xfId="45" applyNumberFormat="1" applyFont="1" applyFill="1" applyBorder="1" applyAlignment="1" applyProtection="1">
      <alignment horizontal="center" vertical="center"/>
      <protection locked="0"/>
    </xf>
    <xf numFmtId="0" fontId="64" fillId="45" borderId="8" xfId="0" applyFont="1" applyFill="1" applyBorder="1" applyAlignment="1" applyProtection="1">
      <alignment horizontal="center" vertical="center" wrapText="1"/>
      <protection locked="0"/>
    </xf>
    <xf numFmtId="0" fontId="64" fillId="46" borderId="60" xfId="39" applyNumberFormat="1" applyFont="1" applyFill="1" applyBorder="1" applyAlignment="1" applyProtection="1">
      <alignment horizontal="center" vertical="center" wrapText="1"/>
    </xf>
    <xf numFmtId="0" fontId="68" fillId="40" borderId="8" xfId="39" applyNumberFormat="1" applyFont="1" applyFill="1" applyBorder="1" applyAlignment="1" applyProtection="1">
      <alignment horizontal="center" vertical="center" wrapText="1"/>
      <protection locked="0"/>
    </xf>
    <xf numFmtId="14" fontId="30" fillId="52" borderId="14" xfId="0" applyNumberFormat="1" applyFont="1" applyFill="1" applyBorder="1" applyAlignment="1">
      <alignment horizontal="center" vertical="center"/>
    </xf>
    <xf numFmtId="14" fontId="31" fillId="52" borderId="14" xfId="45" applyNumberFormat="1" applyFont="1" applyFill="1" applyBorder="1" applyAlignment="1" applyProtection="1">
      <alignment horizontal="center" vertical="center"/>
      <protection locked="0"/>
    </xf>
    <xf numFmtId="14" fontId="27" fillId="52" borderId="14" xfId="45" applyNumberFormat="1" applyFont="1" applyFill="1" applyBorder="1" applyAlignment="1" applyProtection="1">
      <alignment horizontal="center" vertical="center"/>
      <protection locked="0"/>
    </xf>
    <xf numFmtId="14" fontId="7" fillId="39" borderId="14" xfId="45" applyNumberFormat="1" applyFill="1" applyBorder="1" applyAlignment="1" applyProtection="1">
      <alignment horizontal="center" vertical="center"/>
      <protection locked="0"/>
    </xf>
    <xf numFmtId="14" fontId="68" fillId="40" borderId="49" xfId="39" applyNumberFormat="1" applyFont="1" applyFill="1" applyBorder="1" applyAlignment="1" applyProtection="1">
      <alignment horizontal="center" vertical="center" wrapText="1"/>
      <protection locked="0"/>
    </xf>
    <xf numFmtId="0" fontId="78" fillId="45" borderId="0" xfId="0" applyFont="1" applyFill="1" applyAlignment="1">
      <alignment horizontal="center" vertical="center" wrapText="1"/>
    </xf>
    <xf numFmtId="0" fontId="62" fillId="46" borderId="0" xfId="39" applyNumberFormat="1" applyFont="1" applyFill="1" applyBorder="1" applyAlignment="1" applyProtection="1">
      <alignment horizontal="center" vertical="center" wrapText="1"/>
    </xf>
    <xf numFmtId="0" fontId="64" fillId="39" borderId="56" xfId="39" applyNumberFormat="1" applyFont="1" applyFill="1" applyBorder="1" applyAlignment="1" applyProtection="1">
      <alignment horizontal="center" vertical="center" wrapText="1"/>
    </xf>
    <xf numFmtId="0" fontId="8" fillId="50" borderId="14" xfId="45" applyNumberFormat="1" applyFont="1" applyFill="1" applyBorder="1" applyAlignment="1" applyProtection="1">
      <alignment horizontal="center" vertical="center" wrapText="1"/>
      <protection locked="0"/>
    </xf>
    <xf numFmtId="0" fontId="72" fillId="50" borderId="8" xfId="39" applyNumberFormat="1" applyFont="1" applyFill="1" applyBorder="1" applyAlignment="1" applyProtection="1">
      <alignment horizontal="center" vertical="center" wrapText="1"/>
      <protection locked="0"/>
    </xf>
    <xf numFmtId="0" fontId="51" fillId="39" borderId="0" xfId="0" applyFont="1" applyFill="1" applyProtection="1">
      <protection locked="0"/>
    </xf>
    <xf numFmtId="0" fontId="7" fillId="50" borderId="14" xfId="45" applyFill="1" applyBorder="1" applyAlignment="1" applyProtection="1">
      <alignment horizontal="center" vertical="center"/>
    </xf>
    <xf numFmtId="0" fontId="64" fillId="50" borderId="0" xfId="39" applyNumberFormat="1" applyFont="1" applyFill="1" applyBorder="1" applyAlignment="1" applyProtection="1">
      <alignment horizontal="center" vertical="center" wrapText="1"/>
    </xf>
    <xf numFmtId="0" fontId="8" fillId="39" borderId="49" xfId="45" applyNumberFormat="1" applyFont="1" applyFill="1" applyBorder="1" applyAlignment="1" applyProtection="1">
      <alignment horizontal="center" vertical="center" wrapText="1"/>
      <protection locked="0"/>
    </xf>
    <xf numFmtId="14" fontId="8" fillId="39" borderId="49" xfId="45" applyNumberFormat="1" applyFont="1" applyFill="1" applyBorder="1" applyAlignment="1" applyProtection="1">
      <alignment horizontal="center" vertical="center" wrapText="1"/>
      <protection locked="0"/>
    </xf>
    <xf numFmtId="0" fontId="8" fillId="39" borderId="14" xfId="45" applyNumberFormat="1" applyFont="1" applyFill="1" applyBorder="1" applyAlignment="1" applyProtection="1">
      <alignment horizontal="center" vertical="center" wrapText="1"/>
      <protection locked="0"/>
    </xf>
    <xf numFmtId="0" fontId="57" fillId="39" borderId="49" xfId="45" applyNumberFormat="1" applyFont="1" applyFill="1" applyBorder="1" applyAlignment="1" applyProtection="1">
      <alignment horizontal="center" vertical="center" wrapText="1"/>
      <protection locked="0"/>
    </xf>
    <xf numFmtId="0" fontId="61" fillId="39" borderId="8" xfId="45" applyNumberFormat="1" applyFont="1" applyFill="1" applyBorder="1" applyAlignment="1" applyProtection="1">
      <alignment horizontal="center" vertical="center" wrapText="1"/>
      <protection locked="0"/>
    </xf>
    <xf numFmtId="0" fontId="57" fillId="39" borderId="49" xfId="0" applyFont="1" applyFill="1" applyBorder="1" applyAlignment="1" applyProtection="1">
      <alignment horizontal="center" vertical="center" wrapText="1"/>
      <protection locked="0"/>
    </xf>
    <xf numFmtId="0" fontId="57" fillId="39" borderId="49" xfId="0" applyFont="1" applyFill="1" applyBorder="1" applyAlignment="1" applyProtection="1">
      <alignment horizontal="left" vertical="center"/>
      <protection locked="0"/>
    </xf>
    <xf numFmtId="0" fontId="58" fillId="39" borderId="49" xfId="0" applyFont="1" applyFill="1" applyBorder="1" applyAlignment="1" applyProtection="1">
      <alignment horizontal="center" vertical="center" wrapText="1"/>
      <protection locked="0"/>
    </xf>
    <xf numFmtId="49" fontId="71" fillId="39" borderId="52" xfId="0" applyNumberFormat="1" applyFont="1" applyFill="1" applyBorder="1" applyAlignment="1" applyProtection="1">
      <alignment horizontal="center" vertical="center" wrapText="1"/>
      <protection locked="0"/>
    </xf>
    <xf numFmtId="0" fontId="62" fillId="39" borderId="0" xfId="39" applyNumberFormat="1" applyFont="1" applyFill="1" applyBorder="1" applyAlignment="1" applyProtection="1">
      <alignment horizontal="center" vertical="center" wrapText="1"/>
    </xf>
    <xf numFmtId="14" fontId="72" fillId="39" borderId="52" xfId="39" applyNumberFormat="1" applyFont="1" applyFill="1" applyBorder="1" applyAlignment="1" applyProtection="1">
      <alignment horizontal="center" vertical="center" wrapText="1"/>
      <protection locked="0"/>
    </xf>
    <xf numFmtId="0" fontId="72" fillId="39" borderId="0" xfId="39" applyNumberFormat="1" applyFont="1" applyFill="1" applyBorder="1" applyAlignment="1" applyProtection="1">
      <alignment horizontal="center" vertical="center" wrapText="1"/>
      <protection locked="0"/>
    </xf>
    <xf numFmtId="0" fontId="72" fillId="39" borderId="0" xfId="0" applyFont="1" applyFill="1" applyAlignment="1" applyProtection="1">
      <alignment horizontal="center" vertical="center" wrapText="1"/>
      <protection locked="0"/>
    </xf>
    <xf numFmtId="0" fontId="73" fillId="39" borderId="0" xfId="0" applyFont="1" applyFill="1" applyAlignment="1" applyProtection="1">
      <alignment horizontal="center" vertical="center"/>
      <protection locked="0"/>
    </xf>
    <xf numFmtId="0" fontId="28" fillId="39" borderId="0" xfId="39" applyNumberFormat="1" applyFont="1" applyFill="1" applyBorder="1" applyAlignment="1" applyProtection="1">
      <alignment horizontal="center" vertical="center" wrapText="1"/>
      <protection locked="0"/>
    </xf>
    <xf numFmtId="0" fontId="33" fillId="39" borderId="0" xfId="0" applyFont="1" applyFill="1" applyAlignment="1" applyProtection="1">
      <alignment horizontal="center" vertical="center" wrapText="1"/>
      <protection locked="0"/>
    </xf>
    <xf numFmtId="0" fontId="72" fillId="39" borderId="63" xfId="0" applyFont="1" applyFill="1" applyBorder="1" applyAlignment="1" applyProtection="1">
      <alignment horizontal="left" vertical="center" wrapText="1"/>
      <protection locked="0"/>
    </xf>
    <xf numFmtId="0" fontId="29" fillId="53" borderId="0" xfId="0" applyFont="1" applyFill="1" applyAlignment="1">
      <alignment horizontal="center" vertical="center"/>
    </xf>
    <xf numFmtId="0" fontId="79" fillId="54" borderId="64" xfId="0" applyFont="1" applyFill="1" applyBorder="1" applyAlignment="1" applyProtection="1">
      <alignment horizontal="center" vertical="center" shrinkToFit="1"/>
      <protection locked="0"/>
    </xf>
    <xf numFmtId="0" fontId="79" fillId="54" borderId="65" xfId="0" applyFont="1" applyFill="1" applyBorder="1" applyAlignment="1" applyProtection="1">
      <alignment horizontal="center" vertical="center" shrinkToFit="1"/>
      <protection locked="0"/>
    </xf>
    <xf numFmtId="0" fontId="10" fillId="55" borderId="66" xfId="0" applyFont="1" applyFill="1" applyBorder="1" applyAlignment="1" applyProtection="1">
      <alignment horizontal="center" vertical="center" wrapText="1"/>
      <protection locked="0"/>
    </xf>
    <xf numFmtId="0" fontId="10" fillId="55" borderId="67" xfId="0" applyFont="1" applyFill="1" applyBorder="1" applyAlignment="1" applyProtection="1">
      <alignment horizontal="center" vertical="center" wrapText="1"/>
      <protection locked="0"/>
    </xf>
    <xf numFmtId="0" fontId="10" fillId="55" borderId="68" xfId="0" applyFont="1" applyFill="1" applyBorder="1" applyAlignment="1" applyProtection="1">
      <alignment horizontal="center" vertical="center" wrapText="1"/>
      <protection locked="0"/>
    </xf>
    <xf numFmtId="0" fontId="10" fillId="55" borderId="69" xfId="0" applyFont="1" applyFill="1" applyBorder="1" applyAlignment="1" applyProtection="1">
      <alignment horizontal="center" vertical="center" wrapText="1"/>
      <protection locked="0"/>
    </xf>
    <xf numFmtId="0" fontId="10" fillId="55" borderId="70" xfId="0" applyFont="1" applyFill="1" applyBorder="1" applyAlignment="1" applyProtection="1">
      <alignment horizontal="center" vertical="center" wrapText="1"/>
      <protection locked="0"/>
    </xf>
    <xf numFmtId="0" fontId="10" fillId="55" borderId="71" xfId="0" applyFont="1" applyFill="1" applyBorder="1" applyAlignment="1" applyProtection="1">
      <alignment horizontal="center" vertical="center" wrapText="1"/>
      <protection locked="0"/>
    </xf>
    <xf numFmtId="0" fontId="12" fillId="56" borderId="66" xfId="0" applyFont="1" applyFill="1" applyBorder="1" applyAlignment="1" applyProtection="1">
      <alignment horizontal="center" vertical="center" wrapText="1"/>
      <protection locked="0"/>
    </xf>
    <xf numFmtId="0" fontId="12" fillId="56" borderId="67" xfId="0" applyFont="1" applyFill="1" applyBorder="1" applyAlignment="1" applyProtection="1">
      <alignment horizontal="center" vertical="center" wrapText="1"/>
      <protection locked="0"/>
    </xf>
    <xf numFmtId="0" fontId="12" fillId="56" borderId="68" xfId="0" applyFont="1" applyFill="1" applyBorder="1" applyAlignment="1" applyProtection="1">
      <alignment horizontal="center" vertical="center" wrapText="1"/>
      <protection locked="0"/>
    </xf>
    <xf numFmtId="0" fontId="12" fillId="56" borderId="69" xfId="0" applyFont="1" applyFill="1" applyBorder="1" applyAlignment="1" applyProtection="1">
      <alignment horizontal="center" vertical="center" wrapText="1"/>
      <protection locked="0"/>
    </xf>
    <xf numFmtId="0" fontId="12" fillId="56" borderId="70" xfId="0" applyFont="1" applyFill="1" applyBorder="1" applyAlignment="1" applyProtection="1">
      <alignment horizontal="center" vertical="center" wrapText="1"/>
      <protection locked="0"/>
    </xf>
    <xf numFmtId="0" fontId="12" fillId="56" borderId="71" xfId="0" applyFont="1" applyFill="1" applyBorder="1" applyAlignment="1" applyProtection="1">
      <alignment horizontal="center" vertical="center" wrapText="1"/>
      <protection locked="0"/>
    </xf>
    <xf numFmtId="0" fontId="79" fillId="54" borderId="66" xfId="0" applyFont="1" applyFill="1" applyBorder="1" applyAlignment="1" applyProtection="1">
      <alignment horizontal="center" vertical="center" shrinkToFit="1"/>
      <protection locked="0"/>
    </xf>
    <xf numFmtId="0" fontId="79" fillId="54" borderId="68" xfId="0" applyFont="1" applyFill="1" applyBorder="1" applyAlignment="1" applyProtection="1">
      <alignment horizontal="center" vertical="center" shrinkToFit="1"/>
      <protection locked="0"/>
    </xf>
    <xf numFmtId="0" fontId="79" fillId="54" borderId="69" xfId="0" applyFont="1" applyFill="1" applyBorder="1" applyAlignment="1" applyProtection="1">
      <alignment horizontal="center" vertical="center" shrinkToFit="1"/>
      <protection locked="0"/>
    </xf>
    <xf numFmtId="0" fontId="79" fillId="54" borderId="71" xfId="0" applyFont="1" applyFill="1" applyBorder="1" applyAlignment="1" applyProtection="1">
      <alignment horizontal="center" vertical="center" shrinkToFit="1"/>
      <protection locked="0"/>
    </xf>
    <xf numFmtId="0" fontId="15" fillId="0" borderId="66" xfId="0" applyFont="1" applyBorder="1" applyAlignment="1">
      <alignment horizontal="center" vertical="center" wrapText="1"/>
    </xf>
    <xf numFmtId="0" fontId="15" fillId="0" borderId="67" xfId="0" applyFont="1" applyBorder="1" applyAlignment="1">
      <alignment horizontal="center" vertical="center" wrapText="1"/>
    </xf>
    <xf numFmtId="0" fontId="15" fillId="0" borderId="68" xfId="0" applyFont="1" applyBorder="1" applyAlignment="1">
      <alignment horizontal="center" vertical="center" wrapText="1"/>
    </xf>
    <xf numFmtId="0" fontId="15" fillId="0" borderId="69" xfId="0" applyFont="1" applyBorder="1" applyAlignment="1">
      <alignment horizontal="center" vertical="center" wrapText="1"/>
    </xf>
    <xf numFmtId="0" fontId="15" fillId="0" borderId="70" xfId="0" applyFont="1" applyBorder="1" applyAlignment="1">
      <alignment horizontal="center" vertical="center" wrapText="1"/>
    </xf>
    <xf numFmtId="0" fontId="15" fillId="0" borderId="71" xfId="0" applyFont="1" applyBorder="1" applyAlignment="1">
      <alignment horizontal="center" vertical="center" wrapText="1"/>
    </xf>
  </cellXfs>
  <cellStyles count="62">
    <cellStyle name="20% - akcent 1" xfId="1" builtinId="30" customBuiltin="1"/>
    <cellStyle name="20% - akcent 2" xfId="2" builtinId="34" customBuiltin="1"/>
    <cellStyle name="20% - akcent 3" xfId="3" builtinId="38" customBuiltin="1"/>
    <cellStyle name="20% - akcent 4" xfId="4" builtinId="42" customBuiltin="1"/>
    <cellStyle name="20% - akcent 5" xfId="5" builtinId="46" customBuiltin="1"/>
    <cellStyle name="20% - akcent 6" xfId="6" builtinId="50" customBuiltin="1"/>
    <cellStyle name="40% - akcent 1" xfId="7" builtinId="31" customBuiltin="1"/>
    <cellStyle name="40% - akcent 2" xfId="8" builtinId="35" customBuiltin="1"/>
    <cellStyle name="40% - akcent 3" xfId="9" builtinId="39" customBuiltin="1"/>
    <cellStyle name="40% - akcent 4" xfId="10" builtinId="43" customBuiltin="1"/>
    <cellStyle name="40% - akcent 5" xfId="11" builtinId="47" customBuiltin="1"/>
    <cellStyle name="40% - akcent 6" xfId="12" builtinId="51" customBuiltin="1"/>
    <cellStyle name="60% - akcent 1" xfId="13" builtinId="32" customBuiltin="1"/>
    <cellStyle name="60% - akcent 2" xfId="14" builtinId="36" customBuiltin="1"/>
    <cellStyle name="60% - akcent 3" xfId="15" builtinId="40" customBuiltin="1"/>
    <cellStyle name="60% - akcent 4" xfId="16" builtinId="44" customBuiltin="1"/>
    <cellStyle name="60% - akcent 5" xfId="17" builtinId="48" customBuiltin="1"/>
    <cellStyle name="60% - akcent 6" xfId="18" builtinId="52" customBuiltin="1"/>
    <cellStyle name="Akcent 1" xfId="19" builtinId="29" customBuiltin="1"/>
    <cellStyle name="Akcent 2" xfId="20" builtinId="33" customBuiltin="1"/>
    <cellStyle name="Akcent 3" xfId="21" builtinId="37" customBuiltin="1"/>
    <cellStyle name="Akcent 4" xfId="22" builtinId="41" customBuiltin="1"/>
    <cellStyle name="Akcent 5" xfId="23" builtinId="45" customBuiltin="1"/>
    <cellStyle name="Akcent 6" xfId="24" builtinId="49" customBuiltin="1"/>
    <cellStyle name="ColStyle1" xfId="25"/>
    <cellStyle name="ColStyle1 2" xfId="26"/>
    <cellStyle name="ColStyle2" xfId="27"/>
    <cellStyle name="ColStyle2 2" xfId="28"/>
    <cellStyle name="ColStyle3" xfId="29"/>
    <cellStyle name="ColStyle3 2" xfId="30"/>
    <cellStyle name="ColStyle4" xfId="31"/>
    <cellStyle name="ColStyle4 2" xfId="32"/>
    <cellStyle name="ColStyle5" xfId="33"/>
    <cellStyle name="ColStyle5 2" xfId="34"/>
    <cellStyle name="ColStyle6" xfId="35"/>
    <cellStyle name="ColStyle6 2" xfId="36"/>
    <cellStyle name="Dane wejściowe" xfId="37" builtinId="20" customBuiltin="1"/>
    <cellStyle name="Dane wyjściowe" xfId="38" builtinId="21" customBuiltin="1"/>
    <cellStyle name="Dobre" xfId="39" builtinId="26" customBuiltin="1"/>
    <cellStyle name="Dziesiętny 2" xfId="40"/>
    <cellStyle name="Dziesiętny 3" xfId="41"/>
    <cellStyle name="Dziesiętny 3 2" xfId="42"/>
    <cellStyle name="Excel Built-in Normal" xfId="43"/>
    <cellStyle name="Excel_BuiltIn_Dane wejściowe 1" xfId="44"/>
    <cellStyle name="Hiperłącze" xfId="45" builtinId="8"/>
    <cellStyle name="Komórka połączona" xfId="46" builtinId="24" customBuiltin="1"/>
    <cellStyle name="Komórka zaznaczona" xfId="47" builtinId="23" customBuiltin="1"/>
    <cellStyle name="Nagłówek 1" xfId="48" builtinId="16" customBuiltin="1"/>
    <cellStyle name="Nagłówek 2" xfId="49" builtinId="17" customBuiltin="1"/>
    <cellStyle name="Nagłówek 3" xfId="50" builtinId="18" customBuiltin="1"/>
    <cellStyle name="Nagłówek 4" xfId="51" builtinId="19" customBuiltin="1"/>
    <cellStyle name="Neutralne" xfId="52" builtinId="28" customBuiltin="1"/>
    <cellStyle name="Normalny" xfId="0" builtinId="0"/>
    <cellStyle name="Normalny 2" xfId="53"/>
    <cellStyle name="Normalny 2 2" xfId="54"/>
    <cellStyle name="Obliczenia" xfId="55" builtinId="22" customBuiltin="1"/>
    <cellStyle name="Suma" xfId="56" builtinId="25" customBuiltin="1"/>
    <cellStyle name="Tekst objaśnienia" xfId="57" builtinId="53" customBuiltin="1"/>
    <cellStyle name="Tekst ostrzeżenia" xfId="58" builtinId="11" customBuiltin="1"/>
    <cellStyle name="Tytuł" xfId="59" builtinId="15" customBuiltin="1"/>
    <cellStyle name="Uwaga 2" xfId="60"/>
    <cellStyle name="Złe" xfId="61" builtinId="27" customBuiltin="1"/>
  </cellStyles>
  <dxfs count="2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medium">
          <color indexed="64"/>
        </left>
        <right style="thin">
          <color indexed="64"/>
        </right>
        <top/>
        <bottom style="thin">
          <color indexed="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/>
        <right style="medium">
          <color indexed="64"/>
        </right>
        <top style="thin">
          <color rgb="FF000000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/>
        <right style="medium">
          <color indexed="64"/>
        </right>
        <top/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rgb="FF000000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medium">
          <color indexed="64"/>
        </left>
        <right/>
        <top style="thin">
          <color rgb="FF000000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medium">
          <color indexed="64"/>
        </left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ck">
          <color indexed="64"/>
        </right>
        <top/>
        <bottom style="thin">
          <color indexed="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ck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.5"/>
        <color auto="1"/>
        <name val="Arial"/>
        <scheme val="none"/>
      </font>
      <fill>
        <patternFill patternType="solid">
          <fgColor indexed="64"/>
          <bgColor rgb="FFFF0000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strike val="0"/>
        <outline val="0"/>
        <shadow val="0"/>
        <u/>
        <vertAlign val="baseline"/>
        <sz val="11.5"/>
        <color auto="1"/>
      </font>
      <numFmt numFmtId="0" formatCode="General"/>
      <fill>
        <patternFill patternType="solid">
          <fgColor indexed="64"/>
          <bgColor rgb="FFFF0000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.5"/>
        <color auto="1"/>
        <name val="Arial"/>
        <scheme val="none"/>
      </font>
      <fill>
        <patternFill patternType="solid">
          <fgColor indexed="64"/>
          <bgColor rgb="FFFF0000"/>
        </patternFill>
      </fill>
      <alignment horizontal="general" vertical="bottom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1" hidden="0"/>
    </dxf>
    <dxf>
      <font>
        <strike val="0"/>
        <outline val="0"/>
        <shadow val="0"/>
        <vertAlign val="baseline"/>
        <color auto="1"/>
      </font>
      <numFmt numFmtId="0" formatCode="General"/>
      <fill>
        <patternFill patternType="solid">
          <fgColor indexed="64"/>
          <bgColor rgb="FFFF0000"/>
        </patternFill>
      </fill>
      <alignment horizontal="general" vertical="bottom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.5"/>
        <color auto="1"/>
        <name val="Arial"/>
        <scheme val="none"/>
      </font>
      <fill>
        <patternFill patternType="solid">
          <fgColor indexed="64"/>
          <bgColor rgb="FFFF0000"/>
        </patternFill>
      </fill>
      <alignment horizontal="general" vertical="bottom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1" hidden="0"/>
    </dxf>
    <dxf>
      <font>
        <strike val="0"/>
        <outline val="0"/>
        <shadow val="0"/>
        <vertAlign val="baseline"/>
        <color auto="1"/>
      </font>
      <numFmt numFmtId="0" formatCode="General"/>
      <fill>
        <patternFill patternType="solid">
          <fgColor indexed="64"/>
          <bgColor rgb="FFFF0000"/>
        </patternFill>
      </fill>
      <alignment horizontal="general" vertical="bottom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color theme="0" tint="-0.34998626667073579"/>
      </font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relativeIndent="255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1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/>
        <right style="medium">
          <color indexed="64"/>
        </right>
        <top style="thin">
          <color rgb="FF000000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rgb="FF000000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medium">
          <color indexed="64"/>
        </left>
        <right/>
        <top style="thin">
          <color rgb="FF000000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medium">
          <color indexed="64"/>
        </left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ck">
          <color indexed="64"/>
        </right>
        <top/>
        <bottom style="thin">
          <color indexed="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al"/>
        <scheme val="none"/>
      </font>
      <numFmt numFmtId="0" formatCode="General"/>
      <fill>
        <patternFill patternType="solid">
          <fgColor indexed="64"/>
          <bgColor rgb="FFFFFF66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ck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solid">
          <fgColor indexed="64"/>
          <bgColor rgb="FF92D050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solid">
          <fgColor indexed="64"/>
          <bgColor rgb="FF92D050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solid">
          <fgColor indexed="64"/>
          <bgColor rgb="FF92D050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solid">
          <fgColor indexed="64"/>
          <bgColor rgb="FF92D050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solid">
          <fgColor indexed="64"/>
          <bgColor rgb="FF92D050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solid">
          <fgColor indexed="64"/>
          <bgColor rgb="FF92D050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solid">
          <fgColor indexed="64"/>
          <bgColor rgb="FF92D050"/>
        </patternFill>
      </fill>
      <alignment horizontal="left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.5"/>
        <color auto="1"/>
        <name val="Arial"/>
        <scheme val="none"/>
      </font>
      <fill>
        <patternFill patternType="solid">
          <fgColor indexed="64"/>
          <bgColor rgb="FFFF0000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strike val="0"/>
        <outline val="0"/>
        <shadow val="0"/>
        <u/>
        <vertAlign val="baseline"/>
        <sz val="11"/>
        <color auto="1"/>
        <name val="Calibri"/>
        <scheme val="none"/>
      </font>
      <numFmt numFmtId="19" formatCode="dd/mm/yyyy"/>
      <fill>
        <patternFill patternType="solid">
          <fgColor indexed="64"/>
          <bgColor rgb="FFFF0000"/>
        </patternFill>
      </fill>
      <alignment horizontal="center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.5"/>
        <color auto="1"/>
        <name val="Arial"/>
        <scheme val="none"/>
      </font>
      <fill>
        <patternFill patternType="solid">
          <fgColor indexed="64"/>
          <bgColor rgb="FFFF0000"/>
        </patternFill>
      </fill>
      <alignment horizontal="general" vertical="bottom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1" hidden="0"/>
    </dxf>
    <dxf>
      <font>
        <b/>
        <strike val="0"/>
        <outline val="0"/>
        <shadow val="0"/>
        <vertAlign val="baseline"/>
        <sz val="11"/>
        <color auto="1"/>
        <name val="Calibri"/>
        <scheme val="none"/>
      </font>
      <numFmt numFmtId="19" formatCode="dd/mm/yyyy"/>
      <fill>
        <patternFill patternType="solid">
          <fgColor indexed="64"/>
          <bgColor rgb="FFFF0000"/>
        </patternFill>
      </fill>
      <alignment horizontal="center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vertAlign val="baseline"/>
        <sz val="11"/>
        <color auto="1"/>
        <name val="Calibri"/>
        <scheme val="none"/>
      </font>
      <numFmt numFmtId="19" formatCode="dd/mm/yyyy"/>
      <fill>
        <patternFill patternType="solid">
          <fgColor indexed="64"/>
          <bgColor rgb="FFFF0000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none"/>
      </font>
      <numFmt numFmtId="19" formatCode="dd/mm/yyyy"/>
      <fill>
        <patternFill patternType="solid">
          <fgColor indexed="64"/>
          <bgColor rgb="FF92D050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  <dxf>
      <font>
        <color theme="0" tint="-0.34998626667073579"/>
      </font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rgb="FFFF0000"/>
      </font>
      <fill>
        <patternFill>
          <bgColor rgb="FFFFFF00"/>
        </patternFill>
      </fill>
    </dxf>
    <dxf>
      <fill>
        <patternFill patternType="none">
          <bgColor indexed="6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6E6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1</xdr:row>
      <xdr:rowOff>2454</xdr:rowOff>
    </xdr:to>
    <xdr:sp macro="[0]!CzyJestX" textlink="">
      <xdr:nvSpPr>
        <xdr:cNvPr id="3" name="Prostokąt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0" y="0"/>
          <a:ext cx="5784273" cy="885681"/>
        </a:xfrm>
        <a:prstGeom prst="rect">
          <a:avLst/>
        </a:prstGeom>
        <a:solidFill>
          <a:schemeClr val="accent6">
            <a:lumMod val="75000"/>
          </a:schemeClr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l-PL" sz="2000" b="1">
              <a:solidFill>
                <a:srgbClr val="FF0000"/>
              </a:solidFill>
            </a:rPr>
            <a:t>ZWERYFIKUJ DANE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1</xdr:row>
      <xdr:rowOff>2454</xdr:rowOff>
    </xdr:to>
    <xdr:sp macro="[0]!CzyJestX" textlink="">
      <xdr:nvSpPr>
        <xdr:cNvPr id="2" name="Prostoką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0" y="0"/>
          <a:ext cx="5229225" cy="878754"/>
        </a:xfrm>
        <a:prstGeom prst="rect">
          <a:avLst/>
        </a:prstGeom>
        <a:solidFill>
          <a:schemeClr val="accent6">
            <a:lumMod val="75000"/>
          </a:schemeClr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l-PL" sz="2000" b="1">
              <a:solidFill>
                <a:srgbClr val="FF0000"/>
              </a:solidFill>
            </a:rPr>
            <a:t>ZWERYFIKUJ DANE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168275</xdr:colOff>
      <xdr:row>1</xdr:row>
      <xdr:rowOff>114300</xdr:rowOff>
    </xdr:from>
    <xdr:to>
      <xdr:col>21</xdr:col>
      <xdr:colOff>339725</xdr:colOff>
      <xdr:row>27</xdr:row>
      <xdr:rowOff>57150</xdr:rowOff>
    </xdr:to>
    <xdr:sp macro="" textlink="">
      <xdr:nvSpPr>
        <xdr:cNvPr id="3" name="pole tekstow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239000" y="285750"/>
          <a:ext cx="9315450" cy="4162425"/>
        </a:xfrm>
        <a:prstGeom prst="rect">
          <a:avLst/>
        </a:prstGeom>
        <a:solidFill>
          <a:schemeClr val="lt1"/>
        </a:solidFill>
        <a:ln w="25400"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Instrukcja:</a:t>
          </a:r>
        </a:p>
        <a:p>
          <a:r>
            <a:rPr lang="pl-PL" sz="1100"/>
            <a:t>Zakładka z</a:t>
          </a:r>
          <a:r>
            <a:rPr lang="pl-PL" sz="1100" baseline="0"/>
            <a:t> parametrami.</a:t>
          </a:r>
        </a:p>
        <a:p>
          <a:r>
            <a:rPr lang="pl-PL" sz="1100" baseline="0"/>
            <a:t>Kolumna A - nazwa kolumny z zakładki DETALE, nazwy pomagają w identyfikacji kolumnien.</a:t>
          </a:r>
        </a:p>
        <a:p>
          <a:r>
            <a:rPr lang="pl-PL" sz="1100" baseline="0"/>
            <a:t>Kolumna B - numer kolumny z zakładki DETALE, indeksy muszą odpowiadać kolejności kolumn.</a:t>
          </a:r>
        </a:p>
        <a:p>
          <a:r>
            <a:rPr lang="pl-PL" sz="1100" baseline="0"/>
            <a:t>Kolumna C-E - format komórki, który zostanie zastosowany do komórki z zakładki DETALE, jeśli zostaną spełnione warunki</a:t>
          </a:r>
        </a:p>
        <a:p>
          <a:endParaRPr lang="pl-PL" sz="1100" baseline="0"/>
        </a:p>
        <a:p>
          <a:r>
            <a:rPr lang="pl-PL" sz="1100" baseline="0"/>
            <a:t>Przykład:</a:t>
          </a:r>
        </a:p>
        <a:p>
          <a:r>
            <a:rPr lang="pl-PL" sz="1100" baseline="0"/>
            <a:t>jeśli w zakładce DETALE pole NAZWISKO będzie puste zostanie zakolorowane zgodnie z formatem komórki C2 z zakładki PARAMETRY</a:t>
          </a:r>
        </a:p>
        <a:p>
          <a:endParaRPr lang="pl-PL" sz="1100" baseline="0"/>
        </a:p>
        <a:p>
          <a:r>
            <a:rPr lang="pl-PL" sz="1100" baseline="0"/>
            <a:t>W zakładce PARAMETRY</a:t>
          </a:r>
        </a:p>
        <a:p>
          <a:r>
            <a:rPr lang="pl-PL" sz="1100" baseline="0"/>
            <a:t>Dozwolone jest:</a:t>
          </a:r>
        </a:p>
        <a:p>
          <a:r>
            <a:rPr lang="pl-PL" sz="1100" baseline="0"/>
            <a:t>-zmiana kolorów z kolumn C-E w komórkach z kolorem</a:t>
          </a:r>
        </a:p>
        <a:p>
          <a:r>
            <a:rPr lang="pl-PL" sz="1100" baseline="0"/>
            <a:t>Nie można:</a:t>
          </a:r>
        </a:p>
        <a:p>
          <a:r>
            <a:rPr lang="pl-PL" sz="1100" baseline="0"/>
            <a:t>-zmieniać kolejności wierszy</a:t>
          </a:r>
        </a:p>
        <a:p>
          <a:r>
            <a:rPr lang="pl-PL" sz="1100" baseline="0"/>
            <a:t>-usuwać/modyfikować danych</a:t>
          </a:r>
        </a:p>
        <a:p>
          <a:r>
            <a:rPr lang="pl-PL" sz="1100"/>
            <a:t>Nie ma sensu:</a:t>
          </a:r>
        </a:p>
        <a:p>
          <a:r>
            <a:rPr lang="pl-PL" sz="1100"/>
            <a:t>-zmiana zawartości z kolumn C-E,</a:t>
          </a:r>
          <a:r>
            <a:rPr lang="pl-PL" sz="1100" baseline="0"/>
            <a:t> ponieważ opisują zachowanie skryptu</a:t>
          </a:r>
        </a:p>
        <a:p>
          <a:r>
            <a:rPr lang="pl-PL" sz="1100"/>
            <a:t>-dodawać treści,</a:t>
          </a:r>
          <a:r>
            <a:rPr lang="pl-PL" sz="1100" baseline="0"/>
            <a:t> poniewać zaciemnią czytelność zakładki</a:t>
          </a:r>
        </a:p>
        <a:p>
          <a:r>
            <a:rPr lang="pl-PL" sz="1100" baseline="0"/>
            <a:t>-zmieniać kolory pól bez tła</a:t>
          </a:r>
        </a:p>
        <a:p>
          <a:r>
            <a:rPr lang="pl-PL" sz="1100" baseline="0"/>
            <a:t>-zmieniać nazwy kolumn</a:t>
          </a:r>
        </a:p>
        <a:p>
          <a:r>
            <a:rPr lang="pl-PL" sz="1100" baseline="0"/>
            <a:t>-cokolwiek zmieniać jeśli nie jesteś pewien zmian</a:t>
          </a:r>
          <a:endParaRPr lang="pl-PL" sz="1100"/>
        </a:p>
      </xdr:txBody>
    </xdr:sp>
    <xdr:clientData/>
  </xdr:twoCellAnchor>
  <xdr:oneCellAnchor>
    <xdr:from>
      <xdr:col>3</xdr:col>
      <xdr:colOff>917576</xdr:colOff>
      <xdr:row>8</xdr:row>
      <xdr:rowOff>79375</xdr:rowOff>
    </xdr:from>
    <xdr:ext cx="6194319" cy="3460855"/>
    <xdr:sp macro="" textlink="">
      <xdr:nvSpPr>
        <xdr:cNvPr id="2" name="Prostokąt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 rot="21055921">
          <a:off x="4591051" y="1362075"/>
          <a:ext cx="6525962" cy="34735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uprzejma prośba :-)</a:t>
          </a:r>
        </a:p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NIE ZMIENIAJ TEGO JESLI NIE WIESZ DO</a:t>
          </a:r>
          <a:r>
            <a:rPr lang="pl-PL" sz="5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CZEGO SŁUŻY </a:t>
          </a:r>
          <a:endParaRPr lang="pl-PL" sz="5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id="98" name="Tabela399" displayName="Tabela399" ref="A5:AZ499" headerRowDxfId="201" headerRowBorderDxfId="200" tableBorderDxfId="199" totalsRowBorderDxfId="198">
  <sortState ref="A6:AZ497">
    <sortCondition ref="A5:A497"/>
  </sortState>
  <tableColumns count="52">
    <tableColumn id="1" name="Lp" totalsRowLabel="Suma" dataDxfId="197"/>
    <tableColumn id="26" name="Data wpisania_x000a_dd-mm-yyyy" dataDxfId="196" dataCellStyle="Hiperłącze"/>
    <tableColumn id="63" name=".PDF" dataDxfId="195" dataCellStyle="Hiperłącze"/>
    <tableColumn id="64" name=".DXF" dataDxfId="194" totalsRowDxfId="193" dataCellStyle="Hiperłącze"/>
    <tableColumn id="65" name=".STEP" dataDxfId="192" totalsRowDxfId="191" dataCellStyle="Hiperłącze"/>
    <tableColumn id="8" name="Konstruktor" dataDxfId="190" totalsRowDxfId="189" dataCellStyle="Hiperłącze"/>
    <tableColumn id="117" name="ID. Części" dataDxfId="188" totalsRowDxfId="187" dataCellStyle="Hiperłącze"/>
    <tableColumn id="118" name="Rewizja" dataDxfId="186" totalsRowDxfId="185" dataCellStyle="Hiperłącze"/>
    <tableColumn id="73" name="Opis" dataDxfId="184"/>
    <tableColumn id="115" name="Nr. Części " dataDxfId="183" dataCellStyle="Hiperłącze"/>
    <tableColumn id="96" name="Nr. Kat." dataDxfId="182"/>
    <tableColumn id="4" name="Materiał" dataDxfId="181"/>
    <tableColumn id="5" name="Obróbka" dataDxfId="180"/>
    <tableColumn id="66" name="Obróbka cieplna" dataDxfId="179"/>
    <tableColumn id="67" name="Powłoka" dataDxfId="178"/>
    <tableColumn id="105" name="Komentarz" dataDxfId="177"/>
    <tableColumn id="28" name="Uwagi:" dataDxfId="176"/>
    <tableColumn id="119" name="1936-001-00 Layout" dataDxfId="175"/>
    <tableColumn id="90" name="1936-002-00 Paletka transportowa" dataDxfId="174"/>
    <tableColumn id="91" name=" 1936-003-00 Znakowarka laserowa" dataDxfId="173" totalsRowDxfId="172"/>
    <tableColumn id="110" name="1936-004-00 Stanowisko skręcania" dataDxfId="171" totalsRowDxfId="170"/>
    <tableColumn id="111" name="1936-004-01 Rozdzielacz śrub" dataDxfId="169" totalsRowDxfId="168"/>
    <tableColumn id="112" name="1936-005-00 Stanowisko pakowania" dataDxfId="167" totalsRowDxfId="166"/>
    <tableColumn id="107" name="1936-006-00 Regał" dataDxfId="165" totalsRowDxfId="164"/>
    <tableColumn id="108" name="1936-007-00 Spadnie inlet" dataDxfId="163" totalsRowDxfId="162"/>
    <tableColumn id="99" name="1936-008-00 Spadnie kartony" dataDxfId="161" totalsRowDxfId="160"/>
    <tableColumn id="130" name="1936-009-00 Wózek cover" dataDxfId="159" totalsRowDxfId="158"/>
    <tableColumn id="100" name="1936-010-00 Spadnia obudowy górne" dataDxfId="157" totalsRowDxfId="156"/>
    <tableColumn id="123" name="1936-011-00 Podajnik wibracyjny" dataDxfId="155" totalsRowDxfId="154"/>
    <tableColumn id="128" name="1936-012-00 Narzędzie naprawcze" dataDxfId="153" totalsRowDxfId="152"/>
    <tableColumn id="127" name="14" dataDxfId="151" totalsRowDxfId="150"/>
    <tableColumn id="126" name="15" dataDxfId="149" totalsRowDxfId="148"/>
    <tableColumn id="129" name="16" dataDxfId="147" totalsRowDxfId="146"/>
    <tableColumn id="125" name="17" dataDxfId="145" totalsRowDxfId="144"/>
    <tableColumn id="122" name="18" dataDxfId="143" totalsRowDxfId="142"/>
    <tableColumn id="101" name="19" dataDxfId="141" totalsRowDxfId="140"/>
    <tableColumn id="102" name="20" dataDxfId="139" totalsRowDxfId="138"/>
    <tableColumn id="16" name="ilość sztuk_x000a_SUMA" dataDxfId="137" totalsRowDxfId="136">
      <calculatedColumnFormula>SUM(R6:AK6)</calculatedColumnFormula>
    </tableColumn>
    <tableColumn id="103" name="MAGAZYN" dataDxfId="135" totalsRowDxfId="134"/>
    <tableColumn id="104" name="Do Zamówienia" dataDxfId="133" totalsRowDxfId="132">
      <calculatedColumnFormula>AL6-AM6</calculatedColumnFormula>
    </tableColumn>
    <tableColumn id="19" name="Data zamówienia:_x000a_yyyy-mm-dd" dataDxfId="131" totalsRowDxfId="130"/>
    <tableColumn id="20" name="Osoba kupująca" dataDxfId="129" totalsRowDxfId="128"/>
    <tableColumn id="21" name="Numer zamówienia" dataDxfId="127" totalsRowDxfId="126"/>
    <tableColumn id="58" name="DOSTAWCA" dataDxfId="125" totalsRowDxfId="124"/>
    <tableColumn id="22" name="Wymagana data dostawy _x000a_" dataDxfId="123" totalsRowDxfId="122"/>
    <tableColumn id="23" name="Uwagi do zamówienia" dataDxfId="121" totalsRowDxfId="120"/>
    <tableColumn id="24" name="Ilość dostarczona" dataDxfId="119" totalsRowDxfId="118"/>
    <tableColumn id="120" name="Braki" dataDxfId="117" totalsRowDxfId="116">
      <calculatedColumnFormula>AN6-AU6</calculatedColumnFormula>
    </tableColumn>
    <tableColumn id="25" name="Uwagi" dataDxfId="115"/>
    <tableColumn id="57" name="Data inspekcji" dataDxfId="114"/>
    <tableColumn id="74" name="Uwagi Inspektora" dataDxfId="113"/>
    <tableColumn id="121" name="Notatki" totalsRowFunction="count" dataDxfId="112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1564" name="Tabela3991565" displayName="Tabela3991565" ref="A5:AZ25" headerRowDxfId="103" headerRowBorderDxfId="102" tableBorderDxfId="101" totalsRowBorderDxfId="100">
  <autoFilter ref="A5:AZ25"/>
  <tableColumns count="52">
    <tableColumn id="1" name="Lp" totalsRowLabel="Suma" dataDxfId="99" totalsRowDxfId="98"/>
    <tableColumn id="26" name="Data wpisania_x000a_dd-mm-yyyy" dataDxfId="97" totalsRowDxfId="96" dataCellStyle="Hiperłącze"/>
    <tableColumn id="63" name=".PDF" dataDxfId="95" totalsRowDxfId="94" dataCellStyle="Hiperłącze"/>
    <tableColumn id="64" name=".DXF" dataDxfId="93" totalsRowDxfId="92" dataCellStyle="Hiperłącze"/>
    <tableColumn id="65" name=".STEP" dataDxfId="91" totalsRowDxfId="90" dataCellStyle="Hiperłącze"/>
    <tableColumn id="8" name="Konstruktor" dataDxfId="89" totalsRowDxfId="88" dataCellStyle="Hiperłącze"/>
    <tableColumn id="117" name="ID. Części" dataDxfId="87" totalsRowDxfId="86" dataCellStyle="Hiperłącze"/>
    <tableColumn id="118" name="Rewizja" dataDxfId="85" totalsRowDxfId="84" dataCellStyle="Hiperłącze"/>
    <tableColumn id="73" name="Opis" dataDxfId="83" totalsRowDxfId="82"/>
    <tableColumn id="115" name="Nr. Części " dataDxfId="81" totalsRowDxfId="80"/>
    <tableColumn id="96" name="Nr. Kat." dataDxfId="79" totalsRowDxfId="78"/>
    <tableColumn id="4" name="Materiał" dataDxfId="77" totalsRowDxfId="76"/>
    <tableColumn id="5" name="Obróbka" dataDxfId="75" totalsRowDxfId="74"/>
    <tableColumn id="66" name="Obróbka cieplna" dataDxfId="73" totalsRowDxfId="72"/>
    <tableColumn id="67" name="Powłoka" dataDxfId="71" totalsRowDxfId="70"/>
    <tableColumn id="105" name="Komentarz" dataDxfId="69" totalsRowDxfId="68"/>
    <tableColumn id="28" name="Uwagi:" dataDxfId="67" totalsRowDxfId="66"/>
    <tableColumn id="119" name="1" dataDxfId="65" totalsRowDxfId="64">
      <calculatedColumnFormula>0</calculatedColumnFormula>
    </tableColumn>
    <tableColumn id="90" name="2" dataDxfId="63" totalsRowDxfId="62">
      <calculatedColumnFormula>0</calculatedColumnFormula>
    </tableColumn>
    <tableColumn id="91" name="3" dataDxfId="61" totalsRowDxfId="60">
      <calculatedColumnFormula>0</calculatedColumnFormula>
    </tableColumn>
    <tableColumn id="110" name="4" dataDxfId="59" totalsRowDxfId="58">
      <calculatedColumnFormula>0</calculatedColumnFormula>
    </tableColumn>
    <tableColumn id="111" name="5" dataDxfId="57" totalsRowDxfId="56">
      <calculatedColumnFormula>0</calculatedColumnFormula>
    </tableColumn>
    <tableColumn id="112" name="6" dataDxfId="55" totalsRowDxfId="54">
      <calculatedColumnFormula>0</calculatedColumnFormula>
    </tableColumn>
    <tableColumn id="107" name="7" dataDxfId="53" totalsRowDxfId="52">
      <calculatedColumnFormula>0</calculatedColumnFormula>
    </tableColumn>
    <tableColumn id="108" name="8" dataDxfId="51" totalsRowDxfId="50">
      <calculatedColumnFormula>0</calculatedColumnFormula>
    </tableColumn>
    <tableColumn id="99" name="9" dataDxfId="49" totalsRowDxfId="48">
      <calculatedColumnFormula>0</calculatedColumnFormula>
    </tableColumn>
    <tableColumn id="100" name="10" dataDxfId="47" totalsRowDxfId="46">
      <calculatedColumnFormula>0</calculatedColumnFormula>
    </tableColumn>
    <tableColumn id="124" name="11" dataDxfId="45" totalsRowDxfId="44">
      <calculatedColumnFormula>0</calculatedColumnFormula>
    </tableColumn>
    <tableColumn id="123" name="12" dataDxfId="43" totalsRowDxfId="42">
      <calculatedColumnFormula>0</calculatedColumnFormula>
    </tableColumn>
    <tableColumn id="128" name="13" dataDxfId="41" totalsRowDxfId="40">
      <calculatedColumnFormula>0</calculatedColumnFormula>
    </tableColumn>
    <tableColumn id="127" name="14" dataDxfId="39" totalsRowDxfId="38">
      <calculatedColumnFormula>0</calculatedColumnFormula>
    </tableColumn>
    <tableColumn id="126" name="15" dataDxfId="37" totalsRowDxfId="36">
      <calculatedColumnFormula>0</calculatedColumnFormula>
    </tableColumn>
    <tableColumn id="129" name="16" dataDxfId="35" totalsRowDxfId="34">
      <calculatedColumnFormula>0</calculatedColumnFormula>
    </tableColumn>
    <tableColumn id="125" name="17" dataDxfId="33" totalsRowDxfId="32">
      <calculatedColumnFormula>0</calculatedColumnFormula>
    </tableColumn>
    <tableColumn id="122" name="18" dataDxfId="31" totalsRowDxfId="30">
      <calculatedColumnFormula>0</calculatedColumnFormula>
    </tableColumn>
    <tableColumn id="101" name="19" dataDxfId="29" totalsRowDxfId="28">
      <calculatedColumnFormula>0</calculatedColumnFormula>
    </tableColumn>
    <tableColumn id="102" name="20" dataDxfId="27" totalsRowDxfId="26">
      <calculatedColumnFormula>0</calculatedColumnFormula>
    </tableColumn>
    <tableColumn id="16" name="ilość sztuk_x000a_SUMA" dataDxfId="25" totalsRowDxfId="24">
      <calculatedColumnFormula>SUM(R6:AK6)</calculatedColumnFormula>
    </tableColumn>
    <tableColumn id="103" name="MAGAZYN" dataDxfId="23" totalsRowDxfId="22">
      <calculatedColumnFormula>0</calculatedColumnFormula>
    </tableColumn>
    <tableColumn id="104" name="Do Zamówienia" dataDxfId="21" totalsRowDxfId="20">
      <calculatedColumnFormula>AL6-AM6</calculatedColumnFormula>
    </tableColumn>
    <tableColumn id="19" name="Data zamówienia:_x000a_yyyy-mm-dd" dataDxfId="19" totalsRowDxfId="18"/>
    <tableColumn id="20" name="Osoba kupująca" dataDxfId="17" totalsRowDxfId="16"/>
    <tableColumn id="21" name="Numer zamówienia" dataDxfId="15" totalsRowDxfId="14"/>
    <tableColumn id="58" name="DOSTAWCA" dataDxfId="13" totalsRowDxfId="12"/>
    <tableColumn id="22" name="Wymagana data dostawy _x000a_" dataDxfId="11" totalsRowDxfId="10"/>
    <tableColumn id="23" name="Uwagi do zamówienia" dataDxfId="9" totalsRowDxfId="8"/>
    <tableColumn id="24" name="Ilość dostarczona" dataDxfId="7" totalsRowDxfId="6"/>
    <tableColumn id="120" name="Braki" dataDxfId="5" totalsRowDxfId="4">
      <calculatedColumnFormula>AN6-AU6</calculatedColumnFormula>
    </tableColumn>
    <tableColumn id="25" name="Uwagi" dataDxfId="3"/>
    <tableColumn id="57" name="Data inspekcji" dataDxfId="2"/>
    <tableColumn id="74" name="Uwagi Inspektora" dataDxfId="1"/>
    <tableColumn id="121" name="Notatki" totalsRowFunction="count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1%20-%20RYSUNKI/1936-005-PRT-A0065161-A-Blokada%20trzpienia%20szuflady.STEP" TargetMode="External"/><Relationship Id="rId671" Type="http://schemas.openxmlformats.org/officeDocument/2006/relationships/hyperlink" Target="1%20-%20RYSUNKI/1936-003-PRT-A0065524-A-&#379;ebro%202.DXF" TargetMode="External"/><Relationship Id="rId769" Type="http://schemas.openxmlformats.org/officeDocument/2006/relationships/hyperlink" Target="1%20-%20RYSUNKI/1936-003-PRT-A0065434-A-Blaszka%20kodowania.PDF" TargetMode="External"/><Relationship Id="rId976" Type="http://schemas.openxmlformats.org/officeDocument/2006/relationships/hyperlink" Target="1%20-%20RYSUNKI/1936-003-PRT-A0065493-A-Os&#322;ona%20przednia%202.DXF" TargetMode="External"/><Relationship Id="rId21" Type="http://schemas.openxmlformats.org/officeDocument/2006/relationships/hyperlink" Target="1%20-%20RYSUNKI/1881-04-PRT-A0030591-A-Mocowanie%20skanera.STEP" TargetMode="External"/><Relationship Id="rId324" Type="http://schemas.openxmlformats.org/officeDocument/2006/relationships/hyperlink" Target="1%20-%20RYSUNKI/1936-004-PRT-A0065366-A-Os&#322;ona%20bramki.STEP" TargetMode="External"/><Relationship Id="rId531" Type="http://schemas.openxmlformats.org/officeDocument/2006/relationships/hyperlink" Target="1%20-%20RYSUNKI/1936-004-PRT-A0065299-A-Kostka%20rozdzielajaca.STEP" TargetMode="External"/><Relationship Id="rId629" Type="http://schemas.openxmlformats.org/officeDocument/2006/relationships/hyperlink" Target="1%20-%20RYSUNKI/1936-001-PRT-A0065336-A-Os&#322;ona.DXF" TargetMode="External"/><Relationship Id="rId1161" Type="http://schemas.openxmlformats.org/officeDocument/2006/relationships/hyperlink" Target="1%20-%20RYSUNKI/1936-001-PRT-A0065370-A-Mocowanie%20OPTO.PDF" TargetMode="External"/><Relationship Id="rId1259" Type="http://schemas.openxmlformats.org/officeDocument/2006/relationships/hyperlink" Target="1%20-%20RYSUNKI/1936-004-PRT-A0065702-A-Wa&#322;ek%20.STEP" TargetMode="External"/><Relationship Id="rId170" Type="http://schemas.openxmlformats.org/officeDocument/2006/relationships/hyperlink" Target="1%20-%20RYSUNKI/1936-005-PRT-A0065195-C-Mocowanie%20Podno&#347;nika.DXF" TargetMode="External"/><Relationship Id="rId836" Type="http://schemas.openxmlformats.org/officeDocument/2006/relationships/hyperlink" Target="1%20-%20RYSUNKI/1936-003-PRT-A0065617-A-Zderzak.STEP" TargetMode="External"/><Relationship Id="rId1021" Type="http://schemas.openxmlformats.org/officeDocument/2006/relationships/hyperlink" Target="1%20-%20RYSUNKI/1936-003-PRT-A0065496-A-Os&#322;ona%20szafy%204.DXF" TargetMode="External"/><Relationship Id="rId1119" Type="http://schemas.openxmlformats.org/officeDocument/2006/relationships/hyperlink" Target="1%20-%20RYSUNKI/1936-003-PRT-A0065560-A-Ramka%20okienka.PDF" TargetMode="External"/><Relationship Id="rId268" Type="http://schemas.openxmlformats.org/officeDocument/2006/relationships/hyperlink" Target="1%20-%20RYSUNKI/1936-009-PRT-A0065732-A-Blacha%20Pude&#322;ka.PDF" TargetMode="External"/><Relationship Id="rId475" Type="http://schemas.openxmlformats.org/officeDocument/2006/relationships/hyperlink" Target="1%20-%20RYSUNKI/0000_Mocowanie_RFID_K&#261;townik-B.PDF" TargetMode="External"/><Relationship Id="rId682" Type="http://schemas.openxmlformats.org/officeDocument/2006/relationships/hyperlink" Target="1%20-%20RYSUNKI/1936-003-ASM-A0009804-A-Ramka%20skr&#281;cania.PDF" TargetMode="External"/><Relationship Id="rId903" Type="http://schemas.openxmlformats.org/officeDocument/2006/relationships/hyperlink" Target="1%20-%20RYSUNKI/1936-003-PRT-A0065540-A-P&#322;askownik.PDF" TargetMode="External"/><Relationship Id="rId1326" Type="http://schemas.openxmlformats.org/officeDocument/2006/relationships/hyperlink" Target="1%20-%20RYSUNKI/1936-004-PRT-A0065685-A-K&#261;townik%20wzmacniaj&#261;cy.PDF" TargetMode="External"/><Relationship Id="rId32" Type="http://schemas.openxmlformats.org/officeDocument/2006/relationships/hyperlink" Target="1%20-%20RYSUNKI/1881-04-PRT-A0030650-A-Mocowanie%20Gniazda.DXF" TargetMode="External"/><Relationship Id="rId128" Type="http://schemas.openxmlformats.org/officeDocument/2006/relationships/hyperlink" Target="1%20-%20RYSUNKI/1936-005-PRT-A0065201-A-Mocowanie.DXF" TargetMode="External"/><Relationship Id="rId335" Type="http://schemas.openxmlformats.org/officeDocument/2006/relationships/hyperlink" Target="1%20-%20RYSUNKI/1936-005-PRT-A0065258-A-Blacha%20Pude&#322;ka.DXF" TargetMode="External"/><Relationship Id="rId542" Type="http://schemas.openxmlformats.org/officeDocument/2006/relationships/hyperlink" Target="1%20-%20RYSUNKI/1936-004-PRT-A0065306-A-Os&#322;ona%20elektryki.DXF" TargetMode="External"/><Relationship Id="rId987" Type="http://schemas.openxmlformats.org/officeDocument/2006/relationships/hyperlink" Target="1%20-%20RYSUNKI/1936-003-PRT-A0065590-A-Os&#322;ona%20rury%202.PDF" TargetMode="External"/><Relationship Id="rId1172" Type="http://schemas.openxmlformats.org/officeDocument/2006/relationships/hyperlink" Target="1%20-%20RYSUNKI/1936-001-PRT-A0066534-A-Wzorzec%20ostateczny%20RFID.STEP" TargetMode="External"/><Relationship Id="rId181" Type="http://schemas.openxmlformats.org/officeDocument/2006/relationships/hyperlink" Target="1%20-%20RYSUNKI/1936-005-PRT-A0065122-C-Blacha%20Pod&#322;oga.PDF" TargetMode="External"/><Relationship Id="rId402" Type="http://schemas.openxmlformats.org/officeDocument/2006/relationships/hyperlink" Target="1%20-%20RYSUNKI/1936-001-PRT-A0065421-A-Mocowanie%20Transportera.STEP" TargetMode="External"/><Relationship Id="rId847" Type="http://schemas.openxmlformats.org/officeDocument/2006/relationships/hyperlink" Target="1%20-%20RYSUNKI/1936-003-PRT-A0065611-A-Tuleja%20dystansowa.DXF" TargetMode="External"/><Relationship Id="rId1032" Type="http://schemas.openxmlformats.org/officeDocument/2006/relationships/hyperlink" Target="1%20-%20RYSUNKI/1936-003-PRT-A0065498-A-Os&#322;ona%20szafy%203.PDF" TargetMode="External"/><Relationship Id="rId279" Type="http://schemas.openxmlformats.org/officeDocument/2006/relationships/hyperlink" Target="1%20-%20RYSUNKI/1936-010-PRT-A0065216-A-Oslona%20spadni%20w&#261;ska.STEP" TargetMode="External"/><Relationship Id="rId486" Type="http://schemas.openxmlformats.org/officeDocument/2006/relationships/hyperlink" Target="1%20-%20RYSUNKI/1936-001-PRT-A0065267-A-K&#261;townik%20przep&#322;ywomierza.STEP" TargetMode="External"/><Relationship Id="rId693" Type="http://schemas.openxmlformats.org/officeDocument/2006/relationships/hyperlink" Target="1%20-%20RYSUNKI/1936-003-ASM-A0009808-A-Ramka%20spawana.PDF" TargetMode="External"/><Relationship Id="rId707" Type="http://schemas.openxmlformats.org/officeDocument/2006/relationships/hyperlink" Target="1%20-%20RYSUNKI/1936-001-PRT-A0065364-A-Os&#322;ona.DXF" TargetMode="External"/><Relationship Id="rId914" Type="http://schemas.openxmlformats.org/officeDocument/2006/relationships/hyperlink" Target="1%20-%20RYSUNKI/1936-003-PRT-A0068977-A-Kostka%20amortyzatora.STEP" TargetMode="External"/><Relationship Id="rId1337" Type="http://schemas.openxmlformats.org/officeDocument/2006/relationships/hyperlink" Target="1%20-%20RYSUNKI/1936-004-PRT-A0065716-A-Dystans.STEP" TargetMode="External"/><Relationship Id="rId43" Type="http://schemas.openxmlformats.org/officeDocument/2006/relationships/hyperlink" Target="1%20-%20RYSUNKI/1881-04-PRT-A0030592-A-Mocowanie%20gniazda.PDF" TargetMode="External"/><Relationship Id="rId139" Type="http://schemas.openxmlformats.org/officeDocument/2006/relationships/hyperlink" Target="1%20-%20RYSUNKI/1936-005-PRT-A0065125-A-Mocowanie%20Rolki.PDF" TargetMode="External"/><Relationship Id="rId346" Type="http://schemas.openxmlformats.org/officeDocument/2006/relationships/hyperlink" Target="1%20-%20RYSUNKI/1936-012-PRT-A0065289-A-Gniazdo%20Narz&#281;dzia%20Naprawczego.PDF" TargetMode="External"/><Relationship Id="rId553" Type="http://schemas.openxmlformats.org/officeDocument/2006/relationships/hyperlink" Target="1%20-%20RYSUNKI/1936-004-PRT-A0065311-A-Ko&#322;nierz%20Przewodu%20rozdzielacza.PDF" TargetMode="External"/><Relationship Id="rId760" Type="http://schemas.openxmlformats.org/officeDocument/2006/relationships/hyperlink" Target="1%20-%20RYSUNKI/1936-003-PRT-A0065430-A-Dystans%201.PDF" TargetMode="External"/><Relationship Id="rId998" Type="http://schemas.openxmlformats.org/officeDocument/2006/relationships/hyperlink" Target="1%20-%20RYSUNKI/1936-003-PRT-A0065562-A-Os&#322;ona%20prz&#243;d.STEP" TargetMode="External"/><Relationship Id="rId1183" Type="http://schemas.openxmlformats.org/officeDocument/2006/relationships/hyperlink" Target="1%20-%20RYSUNKI/1936-004-PRT-A0065677-A-Gniazdo%20obudowy%20g&#243;rnej.DXF" TargetMode="External"/><Relationship Id="rId192" Type="http://schemas.openxmlformats.org/officeDocument/2006/relationships/hyperlink" Target="1%20-%20RYSUNKI/1936-005-PRT-A0065116-A-Os&#322;ona.STEP" TargetMode="External"/><Relationship Id="rId206" Type="http://schemas.openxmlformats.org/officeDocument/2006/relationships/hyperlink" Target="1%20-%20RYSUNKI/1936-005-PRT-A0065188-A-Os&#322;ona.DXF" TargetMode="External"/><Relationship Id="rId413" Type="http://schemas.openxmlformats.org/officeDocument/2006/relationships/hyperlink" Target="1%20-%20RYSUNKI/1936-012-PRT-A0065265-A-P&#322;ytka%20narz&#281;dzia%20naprawczego.DXF" TargetMode="External"/><Relationship Id="rId858" Type="http://schemas.openxmlformats.org/officeDocument/2006/relationships/hyperlink" Target="1%20-%20RYSUNKI/1936-003-PRT-A0065620-A-Oprawa%20&#322;o&#380;yska.PDF" TargetMode="External"/><Relationship Id="rId1043" Type="http://schemas.openxmlformats.org/officeDocument/2006/relationships/hyperlink" Target="1%20-%20RYSUNKI/1936-003-PRT-A0065579-A-Os&#322;ona%20prz&#243;d.STEP" TargetMode="External"/><Relationship Id="rId497" Type="http://schemas.openxmlformats.org/officeDocument/2006/relationships/hyperlink" Target="1%20-%20RYSUNKI/1936-001-PRT-A0065381-A-Kostka%20zabezpieczaj&#261;ca.DXF" TargetMode="External"/><Relationship Id="rId620" Type="http://schemas.openxmlformats.org/officeDocument/2006/relationships/hyperlink" Target="1%20-%20RYSUNKI/1936-001-PRT-A0065342-A-Os&#322;ona.DXF" TargetMode="External"/><Relationship Id="rId718" Type="http://schemas.openxmlformats.org/officeDocument/2006/relationships/hyperlink" Target="1%20-%20RYSUNKI/1936-001-PRT-A0065351-A-Os&#322;ona.PDF" TargetMode="External"/><Relationship Id="rId925" Type="http://schemas.openxmlformats.org/officeDocument/2006/relationships/hyperlink" Target="1%20-%20RYSUNKI/1936-003-PRT-A0069044-A-Os&#322;ona%20przednia%20g&#243;rna.DXF" TargetMode="External"/><Relationship Id="rId1250" Type="http://schemas.openxmlformats.org/officeDocument/2006/relationships/hyperlink" Target="1%20-%20RYSUNKI/1936-004-PRT-A0065705-A-Os&#322;ona%20w&#322;&#261;cznik&#243;w.STEP" TargetMode="External"/><Relationship Id="rId1348" Type="http://schemas.openxmlformats.org/officeDocument/2006/relationships/hyperlink" Target="1%20-%20RYSUNKI/1936-004-PRT-A0065725-A-Trzpie&#324;%20gwintowany%20mocuj&#261;cy.DXF" TargetMode="External"/><Relationship Id="rId357" Type="http://schemas.openxmlformats.org/officeDocument/2006/relationships/hyperlink" Target="1%20-%20RYSUNKI/1936-003-PRT-A0066059-A-Os&#322;ona%20boczna.STEP" TargetMode="External"/><Relationship Id="rId1110" Type="http://schemas.openxmlformats.org/officeDocument/2006/relationships/hyperlink" Target="1%20-%20RYSUNKI/1936-003-PRT-A0065483-A-P&#322;ytka.PDF" TargetMode="External"/><Relationship Id="rId1194" Type="http://schemas.openxmlformats.org/officeDocument/2006/relationships/hyperlink" Target="1%20-%20RYSUNKI\1936-004-PRT-A0065667-A-Mocowanie%20gniazda.PDF" TargetMode="External"/><Relationship Id="rId1208" Type="http://schemas.openxmlformats.org/officeDocument/2006/relationships/hyperlink" Target="1%20-%20RYSUNKI/1936-004-PRT-A0065652-A-Gniazdo%20obudowy%20g&#243;rnej.STEP" TargetMode="External"/><Relationship Id="rId54" Type="http://schemas.openxmlformats.org/officeDocument/2006/relationships/hyperlink" Target="1%20-%20RYSUNKI/1936-005-PRT-A0065141-B-Mocowanie%20Lampki.STEP" TargetMode="External"/><Relationship Id="rId217" Type="http://schemas.openxmlformats.org/officeDocument/2006/relationships/hyperlink" Target="1%20-%20RYSUNKI/1936-005-PRT-A0065184-A-Korpus%20skanera.PDF" TargetMode="External"/><Relationship Id="rId564" Type="http://schemas.openxmlformats.org/officeDocument/2006/relationships/hyperlink" Target="1%20-%20RYSUNKI/1936-004-PRT-A0065309-A-Ustnik.STEP" TargetMode="External"/><Relationship Id="rId771" Type="http://schemas.openxmlformats.org/officeDocument/2006/relationships/hyperlink" Target="1%20-%20RYSUNKI/1936-003-PRT-A0065434-A-Blaszka%20kodowania.STEP" TargetMode="External"/><Relationship Id="rId869" Type="http://schemas.openxmlformats.org/officeDocument/2006/relationships/hyperlink" Target="1%20-%20RYSUNKI/1936-003-PRT-A0065607-A-Blacha%20zamka%202.STEP" TargetMode="External"/><Relationship Id="rId424" Type="http://schemas.openxmlformats.org/officeDocument/2006/relationships/hyperlink" Target="1%20-%20RYSUNKI/1936-001-PRT-A0065262-A-Mocowanie%20Szafy.PDF" TargetMode="External"/><Relationship Id="rId631" Type="http://schemas.openxmlformats.org/officeDocument/2006/relationships/hyperlink" Target="1%20-%20RYSUNKI/1936-001-PRT-A0065334-A-Os&#322;ona.PDF" TargetMode="External"/><Relationship Id="rId729" Type="http://schemas.openxmlformats.org/officeDocument/2006/relationships/hyperlink" Target="1%20-%20RYSUNKI/1936-001-PRT-A0065396-A-Os&#322;ona.STEP" TargetMode="External"/><Relationship Id="rId1054" Type="http://schemas.openxmlformats.org/officeDocument/2006/relationships/hyperlink" Target="1%20-%20RYSUNKI/1936-003-PRT-A0065518-A-Blacha%20tylnia%202.DXF" TargetMode="External"/><Relationship Id="rId1261" Type="http://schemas.openxmlformats.org/officeDocument/2006/relationships/hyperlink" Target="1%20-%20RYSUNKI/1936-004-PRT-A0065697-A-Wa&#322;%20prowdz&#261;cy%20g&#322;&#243;wny.DXF" TargetMode="External"/><Relationship Id="rId1359" Type="http://schemas.openxmlformats.org/officeDocument/2006/relationships/hyperlink" Target="1%20-%20RYSUNKI/1936-003-PRT-A0065688-A-Mocowanie%20Amortyzatora.PDF" TargetMode="External"/><Relationship Id="rId270" Type="http://schemas.openxmlformats.org/officeDocument/2006/relationships/hyperlink" Target="1%20-%20RYSUNKI/1936-009-PRT-A0065732-A-Blacha%20Pude&#322;ka.STEP" TargetMode="External"/><Relationship Id="rId936" Type="http://schemas.openxmlformats.org/officeDocument/2006/relationships/hyperlink" Target="1%20-%20RYSUNKI/1936-003-PRT-A0065489-A-K&#261;townik%20skanera.PDF" TargetMode="External"/><Relationship Id="rId1121" Type="http://schemas.openxmlformats.org/officeDocument/2006/relationships/hyperlink" Target="1%20-%20RYSUNKI/1936-003-PRT-A0065560-A-Ramka%20okienka.STEP" TargetMode="External"/><Relationship Id="rId1219" Type="http://schemas.openxmlformats.org/officeDocument/2006/relationships/hyperlink" Target="1%20-%20RYSUNKI/1936-004-PRT-A0065653-A-Tabliczka.DXF" TargetMode="External"/><Relationship Id="rId65" Type="http://schemas.openxmlformats.org/officeDocument/2006/relationships/hyperlink" Target="1%20-%20RYSUNKI/1936-005-PRT-A0065136-B-Mocowanie%20Pick2Light.DXF" TargetMode="External"/><Relationship Id="rId130" Type="http://schemas.openxmlformats.org/officeDocument/2006/relationships/hyperlink" Target="1%20-%20RYSUNKI/1936-005-PRT-A0065185-A-Wa&#322;eczek.PDF" TargetMode="External"/><Relationship Id="rId368" Type="http://schemas.openxmlformats.org/officeDocument/2006/relationships/hyperlink" Target="1%20-%20RYSUNKI/1936-003-PRT-A0066066-A-Podstawa%20lasera.DXF" TargetMode="External"/><Relationship Id="rId575" Type="http://schemas.openxmlformats.org/officeDocument/2006/relationships/hyperlink" Target="1%20-%20RYSUNKI/1936-001-PRT-A0065098-A-Mocowanie%20klawiatury.DXF" TargetMode="External"/><Relationship Id="rId782" Type="http://schemas.openxmlformats.org/officeDocument/2006/relationships/hyperlink" Target="1%20-%20RYSUNKI/1936-003-PRT-A0065464-A-Os&#322;ona%201.DXF" TargetMode="External"/><Relationship Id="rId228" Type="http://schemas.openxmlformats.org/officeDocument/2006/relationships/hyperlink" Target="1%20-%20RYSUNKI/1936-005-PRT-A0065205-A-Mocowanie%20Przycisku.STEP" TargetMode="External"/><Relationship Id="rId435" Type="http://schemas.openxmlformats.org/officeDocument/2006/relationships/hyperlink" Target="1%20-%20RYSUNKI/1936-001-PRT-A0065418-A-Mocowanie%20tablicy%20warsztatowej.STEP" TargetMode="External"/><Relationship Id="rId642" Type="http://schemas.openxmlformats.org/officeDocument/2006/relationships/hyperlink" Target="1%20-%20RYSUNKI/2020-000-PRT-A0068985-A-Os&#322;ona%20Transformatora.STEP" TargetMode="External"/><Relationship Id="rId1065" Type="http://schemas.openxmlformats.org/officeDocument/2006/relationships/hyperlink" Target="1%20-%20RYSUNKI/1936-003-PRT-A0065510-A-Os&#322;ona%20przednia.PDF" TargetMode="External"/><Relationship Id="rId1272" Type="http://schemas.openxmlformats.org/officeDocument/2006/relationships/hyperlink" Target="1%20-%20RYSUNKI/1936-004-PRT-A0065712-A-K&#261;townik%20prowadnika.PDF" TargetMode="External"/><Relationship Id="rId281" Type="http://schemas.openxmlformats.org/officeDocument/2006/relationships/hyperlink" Target="1%20-%20RYSUNKI/1936-010-PRT-A0066450-A-P&#322;yta%20po&#347;rednia%20SR.DXF" TargetMode="External"/><Relationship Id="rId502" Type="http://schemas.openxmlformats.org/officeDocument/2006/relationships/hyperlink" Target="1%20-%20RYSUNKI/1936-011-PRT-A0065377-A-Mocowanie.PDF" TargetMode="External"/><Relationship Id="rId947" Type="http://schemas.openxmlformats.org/officeDocument/2006/relationships/hyperlink" Target="1%20-%20RYSUNKI/1936-003-PRT-A0065591-A-K&#261;townik%202.STEP" TargetMode="External"/><Relationship Id="rId1132" Type="http://schemas.openxmlformats.org/officeDocument/2006/relationships/hyperlink" Target="1%20-%20RYSUNKI/1936-005-PRT-A0068995-A-P&#322;yta%20k&#243;&#322;ka.DXF" TargetMode="External"/><Relationship Id="rId76" Type="http://schemas.openxmlformats.org/officeDocument/2006/relationships/hyperlink" Target="1%20-%20RYSUNKI/1936-005-PRT-A0065177-A-Mocowanie%20czujnika.PDF" TargetMode="External"/><Relationship Id="rId141" Type="http://schemas.openxmlformats.org/officeDocument/2006/relationships/hyperlink" Target="1%20-%20RYSUNKI/1936-005-PRT-A0065125-A-Mocowanie%20Rolki.STEP" TargetMode="External"/><Relationship Id="rId379" Type="http://schemas.openxmlformats.org/officeDocument/2006/relationships/hyperlink" Target="1%20-%20RYSUNKI/0000_Stanowiska_Uchwyt%20tariforld-B.PDF" TargetMode="External"/><Relationship Id="rId586" Type="http://schemas.openxmlformats.org/officeDocument/2006/relationships/hyperlink" Target="1%20-%20RYSUNKI/1936-001-PRT-A0068569-A-Mocowanie%20pude&#322;ka%202.PDF" TargetMode="External"/><Relationship Id="rId793" Type="http://schemas.openxmlformats.org/officeDocument/2006/relationships/hyperlink" Target="1%20-%20RYSUNKI/1936-003-PRT-A0065465-A-P&#322;ytka%20teowa.PDF" TargetMode="External"/><Relationship Id="rId807" Type="http://schemas.openxmlformats.org/officeDocument/2006/relationships/hyperlink" Target="1%20-%20RYSUNKI/1936-003-PRT-A0065610-A-Uchwyt%20przewodu.PDF" TargetMode="External"/><Relationship Id="rId7" Type="http://schemas.openxmlformats.org/officeDocument/2006/relationships/hyperlink" Target="1%20-%20RYSUNKI/1881-04-PRT-A0030601-A-Gniazdo%20obudowy%20g&#243;rnej.PDF" TargetMode="External"/><Relationship Id="rId239" Type="http://schemas.openxmlformats.org/officeDocument/2006/relationships/hyperlink" Target="1%20-%20RYSUNKI/1936-005-PRT-A0065198-A-Blacha%20Sto&#322;u.DXF" TargetMode="External"/><Relationship Id="rId446" Type="http://schemas.openxmlformats.org/officeDocument/2006/relationships/hyperlink" Target="1%20-%20RYSUNKI/1936-001-PRT-A0065394-A-Os&#322;ona.DXF" TargetMode="External"/><Relationship Id="rId653" Type="http://schemas.openxmlformats.org/officeDocument/2006/relationships/hyperlink" Target="1%20-%20RYSUNKI/1936-003-PRT-A0068986-A-Za&#347;lepka%201.DXF" TargetMode="External"/><Relationship Id="rId1076" Type="http://schemas.openxmlformats.org/officeDocument/2006/relationships/hyperlink" Target="1%20-%20RYSUNKI/1936-003-PRT-A0065567-A-Os&#322;ona%20lewa%201.STEP" TargetMode="External"/><Relationship Id="rId1283" Type="http://schemas.openxmlformats.org/officeDocument/2006/relationships/hyperlink" Target="1%20-%20RYSUNKI/1936-004-PRT-A0068388-A-K&#261;townik%20czujnika.STEP" TargetMode="External"/><Relationship Id="rId292" Type="http://schemas.openxmlformats.org/officeDocument/2006/relationships/hyperlink" Target="1%20-%20RYSUNKI/1936-010-PRT-A0066456-A-Trzpie&#324;%20mocuj&#261;cy.PDF" TargetMode="External"/><Relationship Id="rId306" Type="http://schemas.openxmlformats.org/officeDocument/2006/relationships/hyperlink" Target="1%20-%20RYSUNKI/1936-001-PRT-A0065414-A-&#346;lizg.STEP" TargetMode="External"/><Relationship Id="rId860" Type="http://schemas.openxmlformats.org/officeDocument/2006/relationships/hyperlink" Target="1%20-%20RYSUNKI/1936-003-PRT-A0065620-A-Oprawa%20&#322;o&#380;yska.STEP" TargetMode="External"/><Relationship Id="rId958" Type="http://schemas.openxmlformats.org/officeDocument/2006/relationships/hyperlink" Target="1%20-%20RYSUNKI/1936-003-PRT-A0065586-A-Blacha%20boczna%20%20prawa%20g&#243;rna.DXF" TargetMode="External"/><Relationship Id="rId1143" Type="http://schemas.openxmlformats.org/officeDocument/2006/relationships/hyperlink" Target="1%20-%20RYSUNKI/1936-002-PRT-A0065284-A-Os&#322;ona%20RFID.PDF" TargetMode="External"/><Relationship Id="rId87" Type="http://schemas.openxmlformats.org/officeDocument/2006/relationships/hyperlink" Target="1%20-%20RYSUNKI/1936-005-PRT-A0065179-A-Mocowanie%20gniazda%20.STEP" TargetMode="External"/><Relationship Id="rId513" Type="http://schemas.openxmlformats.org/officeDocument/2006/relationships/hyperlink" Target="1%20-%20RYSUNKI/1881-11-PRT-A0030517-A-Zacisk%20przewodu.STEP" TargetMode="External"/><Relationship Id="rId597" Type="http://schemas.openxmlformats.org/officeDocument/2006/relationships/hyperlink" Target="1%20-%20RYSUNKI/1936-004-PRT-A0068196-A-Ustalenie%20ustnik&#243;w.STEP" TargetMode="External"/><Relationship Id="rId720" Type="http://schemas.openxmlformats.org/officeDocument/2006/relationships/hyperlink" Target="1%20-%20RYSUNKI/1936-001-PRT-A0065351-A-Os&#322;ona.STEP" TargetMode="External"/><Relationship Id="rId818" Type="http://schemas.openxmlformats.org/officeDocument/2006/relationships/hyperlink" Target="1%20-%20RYSUNKI/1936-003-PRT-A0065616-A-Blaszka.STEP" TargetMode="External"/><Relationship Id="rId1350" Type="http://schemas.openxmlformats.org/officeDocument/2006/relationships/hyperlink" Target="1%20-%20RYSUNKI/1936-004-PRT-A0065719-A-Prowadzenie.PDF" TargetMode="External"/><Relationship Id="rId152" Type="http://schemas.openxmlformats.org/officeDocument/2006/relationships/hyperlink" Target="1%20-%20RYSUNKI/1936-005-PRT-A0066029-A-K&#261;townik.DXF" TargetMode="External"/><Relationship Id="rId457" Type="http://schemas.openxmlformats.org/officeDocument/2006/relationships/hyperlink" Target="1%20-%20RYSUNKI/1936-001-PRT-A0065356-A-Mocowanie%20Kontrolera.PDF" TargetMode="External"/><Relationship Id="rId1003" Type="http://schemas.openxmlformats.org/officeDocument/2006/relationships/hyperlink" Target="1%20-%20RYSUNKI/1936-003-PRT-A0065582-A-Os&#322;ona%20ramki%20skr&#281;cania%205.DXF" TargetMode="External"/><Relationship Id="rId1087" Type="http://schemas.openxmlformats.org/officeDocument/2006/relationships/hyperlink" Target="1%20-%20RYSUNKI/1936-003-PRT-A0065578-A-Blacha%20kolor.DXF" TargetMode="External"/><Relationship Id="rId1210" Type="http://schemas.openxmlformats.org/officeDocument/2006/relationships/hyperlink" Target="1%20-%20RYSUNKI/1936-004-PRT-A0065679-A-Dystans.DXF" TargetMode="External"/><Relationship Id="rId1294" Type="http://schemas.openxmlformats.org/officeDocument/2006/relationships/hyperlink" Target="1%20-%20RYSUNKI/1936-004-PRT-A0065723-A-Zastrza&#322;%20p&#322;yt%20wkr&#281;tarek.DXF" TargetMode="External"/><Relationship Id="rId1308" Type="http://schemas.openxmlformats.org/officeDocument/2006/relationships/hyperlink" Target="1%20-%20RYSUNKI\1936-004-PRT-A0065706-A-Mocowanie%20wa&#322;&#243;w%20g&#322;&#243;wnych.PDF" TargetMode="External"/><Relationship Id="rId664" Type="http://schemas.openxmlformats.org/officeDocument/2006/relationships/hyperlink" Target="1%20-%20RYSUNKI\1936-003-PRT-A0065527-A-P&#322;askownik.PDF" TargetMode="External"/><Relationship Id="rId871" Type="http://schemas.openxmlformats.org/officeDocument/2006/relationships/hyperlink" Target="1%20-%20RYSUNKI/1936-003-PRT-A0065606-A-Blaszka%203.DXF" TargetMode="External"/><Relationship Id="rId969" Type="http://schemas.openxmlformats.org/officeDocument/2006/relationships/hyperlink" Target="1%20-%20RYSUNKI/1936-003-PRT-A0065515-A-Uchwyt%20bramki%202.PDF" TargetMode="External"/><Relationship Id="rId14" Type="http://schemas.openxmlformats.org/officeDocument/2006/relationships/hyperlink" Target="1%20-%20RYSUNKI/1881-04-PRT-A0030599-A-Gniazdo%20obudowy%20g&#243;rnej.DXF" TargetMode="External"/><Relationship Id="rId317" Type="http://schemas.openxmlformats.org/officeDocument/2006/relationships/hyperlink" Target="1%20-%20RYSUNKI/1936-001-PRT-A0065420-A-Blacha.DXF" TargetMode="External"/><Relationship Id="rId524" Type="http://schemas.openxmlformats.org/officeDocument/2006/relationships/hyperlink" Target="1%20-%20RYSUNKI/1936-004-PRT-A0065304-A-Kostka%20si&#322;ownika.DXF" TargetMode="External"/><Relationship Id="rId731" Type="http://schemas.openxmlformats.org/officeDocument/2006/relationships/hyperlink" Target="1%20-%20RYSUNKI/1936-001-PRT-A0065393-A-Os&#322;ona.DXF" TargetMode="External"/><Relationship Id="rId1154" Type="http://schemas.openxmlformats.org/officeDocument/2006/relationships/hyperlink" Target="1%20-%20RYSUNKI/1936-002-PRT-A0065282-A-Mocowanie%20Przewodu.STEP" TargetMode="External"/><Relationship Id="rId1361" Type="http://schemas.openxmlformats.org/officeDocument/2006/relationships/hyperlink" Target="1%20-%20RYSUNKI/1936-003-PRT-A0065688-A-Mocowanie%20Amortyzatora.STEP" TargetMode="External"/><Relationship Id="rId98" Type="http://schemas.openxmlformats.org/officeDocument/2006/relationships/hyperlink" Target="1%20-%20RYSUNKI/1936-005-PRT-A0065171-A-Blacha%20Drukarki%20I.DXF" TargetMode="External"/><Relationship Id="rId163" Type="http://schemas.openxmlformats.org/officeDocument/2006/relationships/hyperlink" Target="1%20-%20RYSUNKI/1936-005-PRT-A0066022-A-Mocowanie%20IGUS.PDF" TargetMode="External"/><Relationship Id="rId370" Type="http://schemas.openxmlformats.org/officeDocument/2006/relationships/hyperlink" Target="1%20-%20RYSUNKI/1936-001-PRT-A0065367-A-Mocowanie%20czujnika.PDF" TargetMode="External"/><Relationship Id="rId829" Type="http://schemas.openxmlformats.org/officeDocument/2006/relationships/hyperlink" Target="1%20-%20RYSUNKI/1936-003-PRT-A0065632-A-Oprawa%20nakr&#281;tki.DXF" TargetMode="External"/><Relationship Id="rId1014" Type="http://schemas.openxmlformats.org/officeDocument/2006/relationships/hyperlink" Target="1%20-%20RYSUNKI/1936-003-PRT-A0065554-A-Os&#322;ona%20ramki%20skr&#281;cania%201.PDF" TargetMode="External"/><Relationship Id="rId1221" Type="http://schemas.openxmlformats.org/officeDocument/2006/relationships/hyperlink" Target="1%20-%20RYSUNKI\1936-004-PRT-A0065647-A-Ko&#322;nierz%20.PDF" TargetMode="External"/><Relationship Id="rId230" Type="http://schemas.openxmlformats.org/officeDocument/2006/relationships/hyperlink" Target="1%20-%20RYSUNKI/1936-001-PRT-A0065120-A-Mocowanie%20Ergoswiss%20AG.DXF" TargetMode="External"/><Relationship Id="rId468" Type="http://schemas.openxmlformats.org/officeDocument/2006/relationships/hyperlink" Target="1%20-%20RYSUNKI/1936-001-PRT-A0065322-A-Wzmocnienie%20pod%20szaf&#281;.STEP" TargetMode="External"/><Relationship Id="rId675" Type="http://schemas.openxmlformats.org/officeDocument/2006/relationships/hyperlink" Target="1%20-%20RYSUNKI/1936-003-PRT-A0065523-A-P&#322;askownik%202.STEP" TargetMode="External"/><Relationship Id="rId882" Type="http://schemas.openxmlformats.org/officeDocument/2006/relationships/hyperlink" Target="1%20-%20RYSUNKI/1936-003-PRT-A0065608-A-Blacha%20zamka%201.PDF" TargetMode="External"/><Relationship Id="rId1098" Type="http://schemas.openxmlformats.org/officeDocument/2006/relationships/hyperlink" Target="1%20-%20RYSUNKI/1936-003-PRT-A0065507-A-Blacha%20szczotki%202.PDF" TargetMode="External"/><Relationship Id="rId1319" Type="http://schemas.openxmlformats.org/officeDocument/2006/relationships/hyperlink" Target="1%20-%20RYSUNKI/1936-004-PRT-A0065694-A-Korpus%20wkr&#281;tarki.STEP" TargetMode="External"/><Relationship Id="rId25" Type="http://schemas.openxmlformats.org/officeDocument/2006/relationships/hyperlink" Target="1%20-%20RYSUNKI/1881-04-PRT-A0030652-A-Mocowanie%20RFID.PDF" TargetMode="External"/><Relationship Id="rId328" Type="http://schemas.openxmlformats.org/officeDocument/2006/relationships/hyperlink" Target="1%20-%20RYSUNKI/1936-005-PRT-A0065253-A-K&#261;townik%20dolny%20szuflady.PDF" TargetMode="External"/><Relationship Id="rId535" Type="http://schemas.openxmlformats.org/officeDocument/2006/relationships/hyperlink" Target="1%20-%20RYSUNKI\1936-004-PRT-A0065308-A-Kostka%20rozdzielajaca%20wej&#347;ciowa.PDF" TargetMode="External"/><Relationship Id="rId742" Type="http://schemas.openxmlformats.org/officeDocument/2006/relationships/hyperlink" Target="1%20-%20RYSUNKI/1936-003-PRT-A0065471-A-Szcz&#281;ka.PDF" TargetMode="External"/><Relationship Id="rId1165" Type="http://schemas.openxmlformats.org/officeDocument/2006/relationships/hyperlink" Target="1%20-%20RYSUNKI/1936-001-PRT-A0065371-A-Mocowanie%20OPTO.DXF" TargetMode="External"/><Relationship Id="rId1372" Type="http://schemas.openxmlformats.org/officeDocument/2006/relationships/hyperlink" Target="1%20-%20RYSUNKI/1936-002-PRT-A0065277-A-P&#322;ytka%20mocuj&#261;ca.DXF" TargetMode="External"/><Relationship Id="rId174" Type="http://schemas.openxmlformats.org/officeDocument/2006/relationships/hyperlink" Target="1%20-%20RYSUNKI/1936-005-PRT-A0065192-A-Mocowanie%20prowadnika.STEP" TargetMode="External"/><Relationship Id="rId381" Type="http://schemas.openxmlformats.org/officeDocument/2006/relationships/hyperlink" Target="1%20-%20RYSUNKI/0000_Stanowiska_Uchwyt%20tariforld-B.STEP" TargetMode="External"/><Relationship Id="rId602" Type="http://schemas.openxmlformats.org/officeDocument/2006/relationships/hyperlink" Target="1%20-%20RYSUNKI/1936-001-PRT-A0068987-A-Podstawa%20transformatora.DXF" TargetMode="External"/><Relationship Id="rId1025" Type="http://schemas.openxmlformats.org/officeDocument/2006/relationships/hyperlink" Target="1%20-%20RYSUNKI/1936-003-PRT-A0065580-A-Os&#322;ona%20przednia.STEP" TargetMode="External"/><Relationship Id="rId1232" Type="http://schemas.openxmlformats.org/officeDocument/2006/relationships/hyperlink" Target="1%20-%20RYSUNKI/1936-004-PRT-A0065638-A-Ustnik.STEP" TargetMode="External"/><Relationship Id="rId241" Type="http://schemas.openxmlformats.org/officeDocument/2006/relationships/hyperlink" Target="1%20-%20RYSUNKI/1936-008-PRT-A0065108-A-Os&#322;ona.PDF" TargetMode="External"/><Relationship Id="rId479" Type="http://schemas.openxmlformats.org/officeDocument/2006/relationships/hyperlink" Target="1%20-%20RYSUNKI/0000_Mocowanie_RFID_Os&#322;ona%20I-B.DXF" TargetMode="External"/><Relationship Id="rId686" Type="http://schemas.openxmlformats.org/officeDocument/2006/relationships/hyperlink" Target="1%20-%20RYSUNKI/1936-003-PRT-A0068622-A-Kostka%20gwintowana.STEP" TargetMode="External"/><Relationship Id="rId893" Type="http://schemas.openxmlformats.org/officeDocument/2006/relationships/hyperlink" Target="1%20-%20RYSUNKI/1936-003-PRT-A0065426-A-Mocowanie%20skanera%202.STEP" TargetMode="External"/><Relationship Id="rId907" Type="http://schemas.openxmlformats.org/officeDocument/2006/relationships/hyperlink" Target="1%20-%20RYSUNKI/1936-003-PRT-A0065537-A-Mocowanie%20ramki%20i%20w&#243;zk&#243;w.DXF" TargetMode="External"/><Relationship Id="rId36" Type="http://schemas.openxmlformats.org/officeDocument/2006/relationships/hyperlink" Target="1%20-%20RYSUNKI/1881-04-PRT-A0030648-A-Gniazdo%20obudowy%20g&#243;rnej.STEP" TargetMode="External"/><Relationship Id="rId339" Type="http://schemas.openxmlformats.org/officeDocument/2006/relationships/hyperlink" Target="1%20-%20RYSUNKI/1936-004-PRT-A0065386-A-Oslona.STEP" TargetMode="External"/><Relationship Id="rId546" Type="http://schemas.openxmlformats.org/officeDocument/2006/relationships/hyperlink" Target="1%20-%20RYSUNKI/1936-004-PRT-A0065315-A-P&#322;yta%20Pude&#322;ka.STEP" TargetMode="External"/><Relationship Id="rId753" Type="http://schemas.openxmlformats.org/officeDocument/2006/relationships/hyperlink" Target="1%20-%20RYSUNKI/1936-003-PRT-A0065468-A-P&#322;ytka%20obrotu.STEP" TargetMode="External"/><Relationship Id="rId1176" Type="http://schemas.openxmlformats.org/officeDocument/2006/relationships/hyperlink" Target="1%20-%20RYSUNKI/1936-004-PRT-A0065681-A-Mocowanie%20Gniazda.PDF" TargetMode="External"/><Relationship Id="rId101" Type="http://schemas.openxmlformats.org/officeDocument/2006/relationships/hyperlink" Target="1%20-%20RYSUNKI/1936-005-PRT-A0065126-A-Blacha%20Drukarki%20II.DXF" TargetMode="External"/><Relationship Id="rId185" Type="http://schemas.openxmlformats.org/officeDocument/2006/relationships/hyperlink" Target="1%20-%20RYSUNKI/0000_Stanowiska_Blaszka%20czujnika%20ruchu-C.DXF" TargetMode="External"/><Relationship Id="rId406" Type="http://schemas.openxmlformats.org/officeDocument/2006/relationships/hyperlink" Target="1%20-%20RYSUNKI/1936-001-PRT-A0065391-A-Mocowanie%20Tarifolda.PDF" TargetMode="External"/><Relationship Id="rId960" Type="http://schemas.openxmlformats.org/officeDocument/2006/relationships/hyperlink" Target="1%20-%20RYSUNKI/1936-003-PRT-A0065556-A-Blacha%20szczotki%201.PDF" TargetMode="External"/><Relationship Id="rId1036" Type="http://schemas.openxmlformats.org/officeDocument/2006/relationships/hyperlink" Target="1%20-%20RYSUNKI/1936-003-PRT-A0065490-A-Za&#347;lepka%20rury.DXF" TargetMode="External"/><Relationship Id="rId1243" Type="http://schemas.openxmlformats.org/officeDocument/2006/relationships/hyperlink" Target="1%20-%20RYSUNKI/1936-004-PRT-A0065644-A-Dociskacz.DXF" TargetMode="External"/><Relationship Id="rId392" Type="http://schemas.openxmlformats.org/officeDocument/2006/relationships/hyperlink" Target="1%20-%20RYSUNKI/1936-001-PRT-A0065354-A-Blokada%20Stopera.DXF" TargetMode="External"/><Relationship Id="rId613" Type="http://schemas.openxmlformats.org/officeDocument/2006/relationships/hyperlink" Target="1%20-%20RYSUNKI/1936-001-PRT-A0065344-A-Mocowanie%20szafy.PDF" TargetMode="External"/><Relationship Id="rId697" Type="http://schemas.openxmlformats.org/officeDocument/2006/relationships/hyperlink" Target="1%20-%20RYSUNKI/1936-003-PRT-A0065564-A-Rama%20dolna.STEP" TargetMode="External"/><Relationship Id="rId820" Type="http://schemas.openxmlformats.org/officeDocument/2006/relationships/hyperlink" Target="1%20-%20RYSUNKI/1936-003-PRT-A0065613-A-Oprawa%20nakr&#281;tki.DXF" TargetMode="External"/><Relationship Id="rId918" Type="http://schemas.openxmlformats.org/officeDocument/2006/relationships/hyperlink" Target="1%20-%20RYSUNKI\1936-003-PRT-A0068614-A-P&#322;askownik%20si&#322;ownika.PDF" TargetMode="External"/><Relationship Id="rId252" Type="http://schemas.openxmlformats.org/officeDocument/2006/relationships/hyperlink" Target="1%20-%20RYSUNKI/1936-008-PRT-A0065109-A-Os&#322;ona.STEP" TargetMode="External"/><Relationship Id="rId1103" Type="http://schemas.openxmlformats.org/officeDocument/2006/relationships/hyperlink" Target="1%20-%20RYSUNKI/1936-003-PRT-A0065492-A-Uchwyt%20bramki.STEP" TargetMode="External"/><Relationship Id="rId1187" Type="http://schemas.openxmlformats.org/officeDocument/2006/relationships/hyperlink" Target="1%20-%20RYSUNKI/1936-004-PRT-A0065676-A-Gniazdo%20obudowy%20g&#243;rnej.STEP" TargetMode="External"/><Relationship Id="rId1310" Type="http://schemas.openxmlformats.org/officeDocument/2006/relationships/hyperlink" Target="1%20-%20RYSUNKI/1936-004-PRT-A0065706-A-Mocowanie%20wa&#322;&#243;w%20g&#322;&#243;wnych.STEP" TargetMode="External"/><Relationship Id="rId47" Type="http://schemas.openxmlformats.org/officeDocument/2006/relationships/hyperlink" Target="1%20-%20RYSUNKI/1936-005-PRT-A0065137-B-Os&#322;ona%20Pick2Light.DXF" TargetMode="External"/><Relationship Id="rId112" Type="http://schemas.openxmlformats.org/officeDocument/2006/relationships/hyperlink" Target="1%20-%20RYSUNKI/1936-005-PRT-A0065156-A-Mocowanie%20Prowadnika%20Drukarki.PDF" TargetMode="External"/><Relationship Id="rId557" Type="http://schemas.openxmlformats.org/officeDocument/2006/relationships/hyperlink" Target="1%20-%20RYSUNKI/1936-004-PRT-A0065317-A-Mocowanie%20rozdzielacza.DXF" TargetMode="External"/><Relationship Id="rId764" Type="http://schemas.openxmlformats.org/officeDocument/2006/relationships/hyperlink" Target="1%20-%20RYSUNKI/1936-003-PRT-A0065431-A-Blacha%20os&#322;ony%20&#347;rodkowej.DXF" TargetMode="External"/><Relationship Id="rId971" Type="http://schemas.openxmlformats.org/officeDocument/2006/relationships/hyperlink" Target="1%20-%20RYSUNKI/1936-003-PRT-A0065515-A-Uchwyt%20bramki%202.STEP" TargetMode="External"/><Relationship Id="rId196" Type="http://schemas.openxmlformats.org/officeDocument/2006/relationships/hyperlink" Target="1%20-%20RYSUNKI/1936-005-PRT-A0065197-A-Os&#322;ona.PDF" TargetMode="External"/><Relationship Id="rId417" Type="http://schemas.openxmlformats.org/officeDocument/2006/relationships/hyperlink" Target="1%20-%20RYSUNKI/1936-001-PRT-A0065320-A-Mocowanie%20tablicy%20warsztatowej.STEP" TargetMode="External"/><Relationship Id="rId624" Type="http://schemas.openxmlformats.org/officeDocument/2006/relationships/hyperlink" Target="1%20-%20RYSUNKI/1936-001-PRT-A0065339-A-Os&#322;ona.STEP" TargetMode="External"/><Relationship Id="rId831" Type="http://schemas.openxmlformats.org/officeDocument/2006/relationships/hyperlink" Target="1%20-%20RYSUNKI/1936-003-PRT-A0065621-A-Pokrywka%20&#322;o&#380;yska.PDF" TargetMode="External"/><Relationship Id="rId1047" Type="http://schemas.openxmlformats.org/officeDocument/2006/relationships/hyperlink" Target="1%20-%20RYSUNKI/1936-003-PRT-A0065573-A-Blacha%20tylnia%203.PDF" TargetMode="External"/><Relationship Id="rId1254" Type="http://schemas.openxmlformats.org/officeDocument/2006/relationships/hyperlink" Target="1%20-%20RYSUNKI/1936-004-PRT-A0068389-A-Blaszka.PDF" TargetMode="External"/><Relationship Id="rId263" Type="http://schemas.openxmlformats.org/officeDocument/2006/relationships/hyperlink" Target="1%20-%20RYSUNKI/1936-005-PRT-A0065111-A-Banda%20pude&#322;ek.DXF" TargetMode="External"/><Relationship Id="rId470" Type="http://schemas.openxmlformats.org/officeDocument/2006/relationships/hyperlink" Target="1%20-%20RYSUNKI/1936-001-PRT-A0065295-A-Mocowanie%20zaworu.DXF" TargetMode="External"/><Relationship Id="rId929" Type="http://schemas.openxmlformats.org/officeDocument/2006/relationships/hyperlink" Target="1%20-%20RYSUNKI/1936-003-PRT-A0069043-A-Uchwyt%20do%20wie&#380;y%20&#347;wietlnej.STEP" TargetMode="External"/><Relationship Id="rId1114" Type="http://schemas.openxmlformats.org/officeDocument/2006/relationships/hyperlink" Target="1%20-%20RYSUNKI/1936-003-PRT-A0065519-A-Drzwi.DXF" TargetMode="External"/><Relationship Id="rId1321" Type="http://schemas.openxmlformats.org/officeDocument/2006/relationships/hyperlink" Target="1%20-%20RYSUNKI/1936-004-PRT-A0065691-A-Mocowanie%20uchwytu.DXF" TargetMode="External"/><Relationship Id="rId58" Type="http://schemas.openxmlformats.org/officeDocument/2006/relationships/hyperlink" Target="1%20-%20RYSUNKI/1936-005-PRT-A0065143-B-Odb&#322;y&#347;nik%20Pick2Light.PDF" TargetMode="External"/><Relationship Id="rId123" Type="http://schemas.openxmlformats.org/officeDocument/2006/relationships/hyperlink" Target="1%20-%20RYSUNKI/1936-005-PRT-A0065119-A-K&#261;townik%20stalowy%202.STEP" TargetMode="External"/><Relationship Id="rId330" Type="http://schemas.openxmlformats.org/officeDocument/2006/relationships/hyperlink" Target="1%20-%20RYSUNKI/1936-005-PRT-A0065253-A-K&#261;townik%20dolny%20szuflady.STEP" TargetMode="External"/><Relationship Id="rId568" Type="http://schemas.openxmlformats.org/officeDocument/2006/relationships/hyperlink" Target="1%20-%20RYSUNKI/1936-001-PRT-A0065097-A-Mocowanie%20Monitora.PDF" TargetMode="External"/><Relationship Id="rId775" Type="http://schemas.openxmlformats.org/officeDocument/2006/relationships/hyperlink" Target="1%20-%20RYSUNKI/1936-003-PRT-A0065478-A-Mocowanie%20czujnik&#243;w%20kodowania.PDF" TargetMode="External"/><Relationship Id="rId982" Type="http://schemas.openxmlformats.org/officeDocument/2006/relationships/hyperlink" Target="1%20-%20RYSUNKI/1936-003-PRT-A0065479-A-Blacha%20os&#322;ona.DXF" TargetMode="External"/><Relationship Id="rId1198" Type="http://schemas.openxmlformats.org/officeDocument/2006/relationships/hyperlink" Target="1%20-%20RYSUNKI/1936-004-PRT-A0065659-A-Gniazdo%20obudowy%20g&#243;rnej.DXF" TargetMode="External"/><Relationship Id="rId428" Type="http://schemas.openxmlformats.org/officeDocument/2006/relationships/hyperlink" Target="1%20-%20RYSUNKI/1936-005-PRT-A0066035-A-Mocowanie%20gniazd.DXF" TargetMode="External"/><Relationship Id="rId635" Type="http://schemas.openxmlformats.org/officeDocument/2006/relationships/hyperlink" Target="1%20-%20RYSUNKI/1936-001-PRT-A0065332-A-Os&#322;ona.DXF" TargetMode="External"/><Relationship Id="rId842" Type="http://schemas.openxmlformats.org/officeDocument/2006/relationships/hyperlink" Target="1%20-%20RYSUNKI/1936-003-PRT-A0065614-A-P&#322;yta.STEP" TargetMode="External"/><Relationship Id="rId1058" Type="http://schemas.openxmlformats.org/officeDocument/2006/relationships/hyperlink" Target="1%20-%20RYSUNKI/1936-003-PRT-A0065585-A-Os&#322;ona%20.STEP" TargetMode="External"/><Relationship Id="rId1265" Type="http://schemas.openxmlformats.org/officeDocument/2006/relationships/hyperlink" Target="1%20-%20RYSUNKI/1936-004-PRT-A0065695-A-Uchwyt%20.STEP" TargetMode="External"/><Relationship Id="rId274" Type="http://schemas.openxmlformats.org/officeDocument/2006/relationships/hyperlink" Target="1%20-%20RYSUNKI/1936-010-PRT-A0065218-A-Oslona%20spadni%20szeroka.PDF" TargetMode="External"/><Relationship Id="rId481" Type="http://schemas.openxmlformats.org/officeDocument/2006/relationships/hyperlink" Target="1%20-%20RYSUNKI/1936-001-PRT-A0065397-A-Mocowanie%20Transportera.PDF" TargetMode="External"/><Relationship Id="rId702" Type="http://schemas.openxmlformats.org/officeDocument/2006/relationships/hyperlink" Target="1%20-%20RYSUNKI/1936-003-ASM-A0009807-A-Rama%20dolna%20skr&#281;cania.DXF" TargetMode="External"/><Relationship Id="rId1125" Type="http://schemas.openxmlformats.org/officeDocument/2006/relationships/hyperlink" Target="1%20-%20RYSUNKI\1936-003-PRT-A0065501-A-P&#322;yta%20g&#322;&#243;wna.PDF" TargetMode="External"/><Relationship Id="rId1332" Type="http://schemas.openxmlformats.org/officeDocument/2006/relationships/hyperlink" Target="1%20-%20RYSUNKI/1936-004-PRT-A0069208-A-P&#322;ytka%20testowa.PDF" TargetMode="External"/><Relationship Id="rId69" Type="http://schemas.openxmlformats.org/officeDocument/2006/relationships/hyperlink" Target="1%20-%20RYSUNKI/1936-005-PRT-A0065138-A-Mocowanie%20SR-750.STEP" TargetMode="External"/><Relationship Id="rId134" Type="http://schemas.openxmlformats.org/officeDocument/2006/relationships/hyperlink" Target="1%20-%20RYSUNKI/1936-005-PRT-A0065183-A-Mocowanie%20.DXF" TargetMode="External"/><Relationship Id="rId579" Type="http://schemas.openxmlformats.org/officeDocument/2006/relationships/hyperlink" Target="1%20-%20RYSUNKI/1936-001-PRT-A0068566-A-Mocowanie%20pude&#322;ka%201.STEP" TargetMode="External"/><Relationship Id="rId786" Type="http://schemas.openxmlformats.org/officeDocument/2006/relationships/hyperlink" Target="1%20-%20RYSUNKI/1936-003-PRT-A0065428-A-Os&#322;ona%202.STEP" TargetMode="External"/><Relationship Id="rId993" Type="http://schemas.openxmlformats.org/officeDocument/2006/relationships/hyperlink" Target="1%20-%20RYSUNKI/1936-003-PRT-A0065561-A-Blacha%20uchwytu.PDF" TargetMode="External"/><Relationship Id="rId341" Type="http://schemas.openxmlformats.org/officeDocument/2006/relationships/hyperlink" Target="1%20-%20RYSUNKI/1936-001-PRT-A0065387-A-Adapter%20magnesu.DXF" TargetMode="External"/><Relationship Id="rId439" Type="http://schemas.openxmlformats.org/officeDocument/2006/relationships/hyperlink" Target="1%20-%20RYSUNKI/1936-001-PRT-A0065399-A-Mocowanie.PDF" TargetMode="External"/><Relationship Id="rId646" Type="http://schemas.openxmlformats.org/officeDocument/2006/relationships/hyperlink" Target="1%20-%20RYSUNKI/1936-001-PRT-A0065346-A-Mocowanie%20na%20zewn&#261;trz.PDF" TargetMode="External"/><Relationship Id="rId1069" Type="http://schemas.openxmlformats.org/officeDocument/2006/relationships/hyperlink" Target="1%20-%20RYSUNKI/1936-003-PRT-A0065593-A-Blacha%20dolna.DXF" TargetMode="External"/><Relationship Id="rId1276" Type="http://schemas.openxmlformats.org/officeDocument/2006/relationships/hyperlink" Target="1%20-%20RYSUNKI/1936-004-PRT-A0065648-A-Korpus%20g&#322;&#243;wny.DXF" TargetMode="External"/><Relationship Id="rId201" Type="http://schemas.openxmlformats.org/officeDocument/2006/relationships/hyperlink" Target="1%20-%20RYSUNKI/1936-005-PRT-A0065193-A-Os&#322;ona.STEP" TargetMode="External"/><Relationship Id="rId285" Type="http://schemas.openxmlformats.org/officeDocument/2006/relationships/hyperlink" Target="1%20-%20RYSUNKI/1936-010-PRT-A0066447-A-Mocowanie%20SR.STEP" TargetMode="External"/><Relationship Id="rId506" Type="http://schemas.openxmlformats.org/officeDocument/2006/relationships/hyperlink" Target="1%20-%20RYSUNKI/1936-011-PRT-A0065375-A-Blacha.DXF" TargetMode="External"/><Relationship Id="rId853" Type="http://schemas.openxmlformats.org/officeDocument/2006/relationships/hyperlink" Target="1%20-%20RYSUNKI/1936-003-PRT-A0065622-A-Wa&#322;ek.DXF" TargetMode="External"/><Relationship Id="rId1136" Type="http://schemas.openxmlformats.org/officeDocument/2006/relationships/hyperlink" Target="1%20-%20RYSUNKI/1936-002-PRT-A0065281-A-Mocowanie%20Gniazda.STEP" TargetMode="External"/><Relationship Id="rId492" Type="http://schemas.openxmlformats.org/officeDocument/2006/relationships/hyperlink" Target="1%20-%20RYSUNKI/1936-001-PRT-A0065266-A-Os&#322;ona.STEP" TargetMode="External"/><Relationship Id="rId713" Type="http://schemas.openxmlformats.org/officeDocument/2006/relationships/hyperlink" Target="1%20-%20RYSUNKI/1936-001-PRT-A0065319-A-Os&#322;ona.DXF" TargetMode="External"/><Relationship Id="rId797" Type="http://schemas.openxmlformats.org/officeDocument/2006/relationships/hyperlink" Target="1%20-%20RYSUNKI/1936-003-PRT-A0065466-A-P&#322;yta%20sto&#322;u.DXF" TargetMode="External"/><Relationship Id="rId920" Type="http://schemas.openxmlformats.org/officeDocument/2006/relationships/hyperlink" Target="1%20-%20RYSUNKI/1936-003-PRT-A0068614-A-P&#322;askownik%20si&#322;ownika.STEP" TargetMode="External"/><Relationship Id="rId1343" Type="http://schemas.openxmlformats.org/officeDocument/2006/relationships/hyperlink" Target="1%20-%20RYSUNKI/1936-004-PRT-A0068729-A-Dystans%20supportu.STEP" TargetMode="External"/><Relationship Id="rId145" Type="http://schemas.openxmlformats.org/officeDocument/2006/relationships/hyperlink" Target="1%20-%20RYSUNKI\1936-005-PRT-A0065123-A-Blacha%20Stanowisko%20Skr&#281;cania.PDF" TargetMode="External"/><Relationship Id="rId352" Type="http://schemas.openxmlformats.org/officeDocument/2006/relationships/hyperlink" Target="1%20-%20RYSUNKI/1936-001-PRT-A0065329-A-P&#322;yta%20SICK.PDF" TargetMode="External"/><Relationship Id="rId1203" Type="http://schemas.openxmlformats.org/officeDocument/2006/relationships/hyperlink" Target="1%20-%20RYSUNKI/1936-004-PRT-A0065654-A-Mocowanie%20skanera.PDF" TargetMode="External"/><Relationship Id="rId1287" Type="http://schemas.openxmlformats.org/officeDocument/2006/relationships/hyperlink" Target="1%20-%20RYSUNKI/1936-004-PRT-A0065729-A-K&#261;townik%20wzmacniaj&#261;cy.PDF" TargetMode="External"/><Relationship Id="rId212" Type="http://schemas.openxmlformats.org/officeDocument/2006/relationships/hyperlink" Target="1%20-%20RYSUNKI/1936-005-PRT-A0065121-A-Os&#322;ona.DXF" TargetMode="External"/><Relationship Id="rId657" Type="http://schemas.openxmlformats.org/officeDocument/2006/relationships/hyperlink" Target="1%20-%20RYSUNKI/1936-003-PRT-A0065532-A-P&#322;yta%20g&#322;&#243;wna.STEP" TargetMode="External"/><Relationship Id="rId864" Type="http://schemas.openxmlformats.org/officeDocument/2006/relationships/hyperlink" Target="1%20-%20RYSUNKI/1936-003-PRT-A0065619-A-Korpus%20przek&#322;adni.PDF" TargetMode="External"/><Relationship Id="rId296" Type="http://schemas.openxmlformats.org/officeDocument/2006/relationships/hyperlink" Target="1%20-%20RYSUNKI/1936-010-PRT-A0065219-A-Podajnik%20pude&#322;ek.DXF" TargetMode="External"/><Relationship Id="rId517" Type="http://schemas.openxmlformats.org/officeDocument/2006/relationships/hyperlink" Target="1%20-%20RYSUNKI\1936-004-PRT-A0065298-A-Trzpie&#324;%20za&#347;lepczy.PDF" TargetMode="External"/><Relationship Id="rId724" Type="http://schemas.openxmlformats.org/officeDocument/2006/relationships/hyperlink" Target="1%20-%20RYSUNKI/1936-001-PRT-A0065403-A-Os&#322;ona.PDF" TargetMode="External"/><Relationship Id="rId931" Type="http://schemas.openxmlformats.org/officeDocument/2006/relationships/hyperlink" Target="1%20-%20RYSUNKI/1936-003-PRT-A0065599-A-P&#322;yta%20Zebry.DXF" TargetMode="External"/><Relationship Id="rId1147" Type="http://schemas.openxmlformats.org/officeDocument/2006/relationships/hyperlink" Target="1%20-%20RYSUNKI/1936-002-PRT-A0065283-A-P&#322;yta%20paletki.DXF" TargetMode="External"/><Relationship Id="rId1354" Type="http://schemas.openxmlformats.org/officeDocument/2006/relationships/hyperlink" Target="1%20-%20RYSUNKI/1936-003-PRT-A0065709-A-Mocowanie%20Amortyzatora.DXF" TargetMode="External"/><Relationship Id="rId60" Type="http://schemas.openxmlformats.org/officeDocument/2006/relationships/hyperlink" Target="1%20-%20RYSUNKI/1936-005-PRT-A0065143-B-Odb&#322;y&#347;nik%20Pick2Light.STEP" TargetMode="External"/><Relationship Id="rId156" Type="http://schemas.openxmlformats.org/officeDocument/2006/relationships/hyperlink" Target="1%20-%20RYSUNKI/1936-005-PRT-A0066027-A-Mocowanie%20gniazda.STEP" TargetMode="External"/><Relationship Id="rId363" Type="http://schemas.openxmlformats.org/officeDocument/2006/relationships/hyperlink" Target="1%20-%20RYSUNKI/1936-003-PRT-A0066057-A-Uchwyt%20kontrolera%20lasera.STEP" TargetMode="External"/><Relationship Id="rId570" Type="http://schemas.openxmlformats.org/officeDocument/2006/relationships/hyperlink" Target="1%20-%20RYSUNKI/1936-001-PRT-A0065097-A-Mocowanie%20Monitora.STEP" TargetMode="External"/><Relationship Id="rId1007" Type="http://schemas.openxmlformats.org/officeDocument/2006/relationships/hyperlink" Target="1%20-%20RYSUNKI/1936-003-PRT-A0065563-A-Os&#322;ona%20ramki%20skr&#281;cania%204.STEP" TargetMode="External"/><Relationship Id="rId1214" Type="http://schemas.openxmlformats.org/officeDocument/2006/relationships/hyperlink" Target="1%20-%20RYSUNKI/1936-004-PRT-A0065682-A-Mocowanie%20RFID.STEP" TargetMode="External"/><Relationship Id="rId223" Type="http://schemas.openxmlformats.org/officeDocument/2006/relationships/hyperlink" Target="1%20-%20RYSUNKI/1936-005-PRT-A0065112-A-Mocowanie.PDF" TargetMode="External"/><Relationship Id="rId430" Type="http://schemas.openxmlformats.org/officeDocument/2006/relationships/hyperlink" Target="1%20-%20RYSUNKI\1936-005-PRT-A0066027-A-Mocowanie%20gniazda.PDF" TargetMode="External"/><Relationship Id="rId668" Type="http://schemas.openxmlformats.org/officeDocument/2006/relationships/hyperlink" Target="1%20-%20RYSUNKI/1936-003-PRT-A0065525-A-Ramka%20pod%20skr&#281;canie.DXF" TargetMode="External"/><Relationship Id="rId875" Type="http://schemas.openxmlformats.org/officeDocument/2006/relationships/hyperlink" Target="1%20-%20RYSUNKI/1936-003-PRT-A0065603-A-Blaszka%202.STEP" TargetMode="External"/><Relationship Id="rId1060" Type="http://schemas.openxmlformats.org/officeDocument/2006/relationships/hyperlink" Target="1%20-%20RYSUNKI/1936-003-PRT-A0065592-A-Uchwyt%20prowadnicy.DXF" TargetMode="External"/><Relationship Id="rId1298" Type="http://schemas.openxmlformats.org/officeDocument/2006/relationships/hyperlink" Target="1%20-%20RYSUNKI/1936-004-PRT-A0065715-A-Podpora%20os&#322;ony.STEP" TargetMode="External"/><Relationship Id="rId18" Type="http://schemas.openxmlformats.org/officeDocument/2006/relationships/hyperlink" Target="1%20-%20RYSUNKI/1881-04-PRT-A0030586-A-Tabliczka.STEP" TargetMode="External"/><Relationship Id="rId528" Type="http://schemas.openxmlformats.org/officeDocument/2006/relationships/hyperlink" Target="1%20-%20RYSUNKI/1936-004-PRT-A0065300-A-Kostka%20w&#243;zka.STEP" TargetMode="External"/><Relationship Id="rId735" Type="http://schemas.openxmlformats.org/officeDocument/2006/relationships/hyperlink" Target="1%20-%20RYSUNKI/1936-001-PRT-A0065392-A-Os&#322;ona.STEP" TargetMode="External"/><Relationship Id="rId942" Type="http://schemas.openxmlformats.org/officeDocument/2006/relationships/hyperlink" Target="1%20-%20RYSUNKI/1936-003-PRT-A0065595-A-P&#322;ytka%20zawiasu.PDF" TargetMode="External"/><Relationship Id="rId1158" Type="http://schemas.openxmlformats.org/officeDocument/2006/relationships/hyperlink" Target="1%20-%20RYSUNKI/1936-001-PRT-A0065368-A-Mocowanie%20OPTO.PDF" TargetMode="External"/><Relationship Id="rId1365" Type="http://schemas.openxmlformats.org/officeDocument/2006/relationships/hyperlink" Target="1%20-%20RYSUNKI/1936-004-PRT-A0069183-A-Zderzak.PDF" TargetMode="External"/><Relationship Id="rId167" Type="http://schemas.openxmlformats.org/officeDocument/2006/relationships/hyperlink" Target="1%20-%20RYSUNKI/1936-005-PRT-A0065209-A-K&#261;townik.DXF" TargetMode="External"/><Relationship Id="rId374" Type="http://schemas.openxmlformats.org/officeDocument/2006/relationships/hyperlink" Target="1%20-%20RYSUNKI/1936-001-PRT-A0065407-A-Os&#322;ona%20czujnika.DXF" TargetMode="External"/><Relationship Id="rId581" Type="http://schemas.openxmlformats.org/officeDocument/2006/relationships/hyperlink" Target="1%20-%20RYSUNKI/1936-001-PRT-A0068567-A-Mocowanie%20pude&#322;ka%203.DXF" TargetMode="External"/><Relationship Id="rId1018" Type="http://schemas.openxmlformats.org/officeDocument/2006/relationships/hyperlink" Target="1%20-%20RYSUNKI/1936-003-PRT-A0065555-A-Os&#322;ona%20szafy%205.DXF" TargetMode="External"/><Relationship Id="rId1225" Type="http://schemas.openxmlformats.org/officeDocument/2006/relationships/hyperlink" Target="1%20-%20RYSUNKI/1936-004-PRT-A0065641-A-Blokada%20bita.DXF" TargetMode="External"/><Relationship Id="rId71" Type="http://schemas.openxmlformats.org/officeDocument/2006/relationships/hyperlink" Target="1%20-%20RYSUNKI/1936-005-PRT-A0065134-A-Mocowanie%20czujnika.DXF" TargetMode="External"/><Relationship Id="rId234" Type="http://schemas.openxmlformats.org/officeDocument/2006/relationships/hyperlink" Target="1%20-%20RYSUNKI/0000_Stanowiska_P&#322;yta%20ko&#324;cowa%20k&#243;&#322;ka-D.STEP" TargetMode="External"/><Relationship Id="rId679" Type="http://schemas.openxmlformats.org/officeDocument/2006/relationships/hyperlink" Target="1%20-%20RYSUNKI\1936-003-PRT-A0065521-A-Wa&#322;ek.PDF" TargetMode="External"/><Relationship Id="rId802" Type="http://schemas.openxmlformats.org/officeDocument/2006/relationships/hyperlink" Target="1%20-%20RYSUNKI/1936-003-PRT-A0065633-A-Ko&#322;o%20sto&#380;kowe%202.DXF" TargetMode="External"/><Relationship Id="rId886" Type="http://schemas.openxmlformats.org/officeDocument/2006/relationships/hyperlink" Target="1%20-%20RYSUNKI/1936-003-PRT-A0065609-A-Blacha%20regulacji.DXF" TargetMode="External"/><Relationship Id="rId2" Type="http://schemas.openxmlformats.org/officeDocument/2006/relationships/hyperlink" Target="1%20-%20RYSUNKI/1881-04-PRT-A0030649-A-Gniazdo%20obudowy%20g&#243;rnej.DXF" TargetMode="External"/><Relationship Id="rId29" Type="http://schemas.openxmlformats.org/officeDocument/2006/relationships/hyperlink" Target="1%20-%20RYSUNKI/1881-04-PRT-A0030651-A-Mocowanie%20Gniazda.DXF" TargetMode="External"/><Relationship Id="rId441" Type="http://schemas.openxmlformats.org/officeDocument/2006/relationships/hyperlink" Target="1%20-%20RYSUNKI/1936-001-PRT-A0065399-A-Mocowanie.STEP" TargetMode="External"/><Relationship Id="rId539" Type="http://schemas.openxmlformats.org/officeDocument/2006/relationships/hyperlink" Target="1%20-%20RYSUNKI/1936-004-PRT-A0068073-A-Dystans.DXF" TargetMode="External"/><Relationship Id="rId746" Type="http://schemas.openxmlformats.org/officeDocument/2006/relationships/hyperlink" Target="1%20-%20RYSUNKI/1936-003-PRT-A0065474-A-K&#261;townik%20gniazda.DXF" TargetMode="External"/><Relationship Id="rId1071" Type="http://schemas.openxmlformats.org/officeDocument/2006/relationships/hyperlink" Target="1%20-%20RYSUNKI/1936-003-PRT-A0065594-A-Os&#322;ona%20dolna.PDF" TargetMode="External"/><Relationship Id="rId1169" Type="http://schemas.openxmlformats.org/officeDocument/2006/relationships/hyperlink" Target="1%20-%20RYSUNKI/1936-001-PRT-A0066533-A-Wzorzec%20g&#322;owicy%20RFID%201.STEP" TargetMode="External"/><Relationship Id="rId1376" Type="http://schemas.openxmlformats.org/officeDocument/2006/relationships/hyperlink" Target="1%20-%20RYSUNKI/1936-004-PRT-A0069832-A-Zacisk%20przewodu.STEP" TargetMode="External"/><Relationship Id="rId178" Type="http://schemas.openxmlformats.org/officeDocument/2006/relationships/hyperlink" Target="1%20-%20RYSUNKI/1936-005-PRT-A0065151-A-Uchwyt%20wentylatora%20I.PDF" TargetMode="External"/><Relationship Id="rId301" Type="http://schemas.openxmlformats.org/officeDocument/2006/relationships/hyperlink" Target="1%20-%20RYSUNKI/1936-001-PRT-A0065416-A-&#346;lizg.PDF" TargetMode="External"/><Relationship Id="rId953" Type="http://schemas.openxmlformats.org/officeDocument/2006/relationships/hyperlink" Target="1%20-%20RYSUNKI/1936-003-PRT-A0065481-A-Dystans.STEP" TargetMode="External"/><Relationship Id="rId1029" Type="http://schemas.openxmlformats.org/officeDocument/2006/relationships/hyperlink" Target="1%20-%20RYSUNKI/1936-003-PRT-A0065511-A-Os&#322;ona%20szafy%204.PDF" TargetMode="External"/><Relationship Id="rId1236" Type="http://schemas.openxmlformats.org/officeDocument/2006/relationships/hyperlink" Target="1%20-%20RYSUNKI\1936-004-PRT-A0065642-A-Korpus%20bita.PDF" TargetMode="External"/><Relationship Id="rId82" Type="http://schemas.openxmlformats.org/officeDocument/2006/relationships/hyperlink" Target="1%20-%20RYSUNKI/1936-005-PRT-A0065175-A-Gniazdo%20Obudowy%20G&#243;rnej.PDF" TargetMode="External"/><Relationship Id="rId385" Type="http://schemas.openxmlformats.org/officeDocument/2006/relationships/hyperlink" Target="1%20-%20RYSUNKI/1936-001-PRT-A0065323-A-Pojemnik.PDF" TargetMode="External"/><Relationship Id="rId592" Type="http://schemas.openxmlformats.org/officeDocument/2006/relationships/hyperlink" Target="1%20-%20RYSUNKI\1936-004-PRT-A0065638-A-Ustnik.PDF" TargetMode="External"/><Relationship Id="rId606" Type="http://schemas.openxmlformats.org/officeDocument/2006/relationships/hyperlink" Target="1%20-%20RYSUNKI/1936-001-PRT-A0068980-A-Mocowanie%20Spectra.STEP" TargetMode="External"/><Relationship Id="rId813" Type="http://schemas.openxmlformats.org/officeDocument/2006/relationships/hyperlink" Target="1%20-%20RYSUNKI/1936-003-PRT-A0065618-A-Suport.PDF" TargetMode="External"/><Relationship Id="rId245" Type="http://schemas.openxmlformats.org/officeDocument/2006/relationships/hyperlink" Target="1%20-%20RYSUNKI/1936-008-PRT-A0065107-A-Os&#322;ona.DXF" TargetMode="External"/><Relationship Id="rId452" Type="http://schemas.openxmlformats.org/officeDocument/2006/relationships/hyperlink" Target="1%20-%20RYSUNKI/1936-001-PRT-A0065361-A-Mocownaie%20korytka.DXF" TargetMode="External"/><Relationship Id="rId897" Type="http://schemas.openxmlformats.org/officeDocument/2006/relationships/hyperlink" Target="1%20-%20RYSUNKI/1936-003-PRT-A0065534-A-Mocowanie%20prowadnika.PDF" TargetMode="External"/><Relationship Id="rId1082" Type="http://schemas.openxmlformats.org/officeDocument/2006/relationships/hyperlink" Target="1%20-%20RYSUNKI/1936-003-PRT-A0065581-A-Blacha%20g&#243;rna.STEP" TargetMode="External"/><Relationship Id="rId1303" Type="http://schemas.openxmlformats.org/officeDocument/2006/relationships/hyperlink" Target="1%20-%20RYSUNKI/1936-004-PRT-A0065710-A-Mocowanie%20wa&#322;&#243;w%20g&#322;&#243;wnych.DXF" TargetMode="External"/><Relationship Id="rId105" Type="http://schemas.openxmlformats.org/officeDocument/2006/relationships/hyperlink" Target="1%20-%20RYSUNKI/1936-005-PRT-A0065114-A-Blacha%20Drukarki%20III.STEP" TargetMode="External"/><Relationship Id="rId312" Type="http://schemas.openxmlformats.org/officeDocument/2006/relationships/hyperlink" Target="1%20-%20RYSUNKI/0000_Stanowiska_Wspornik%20III-G.STEP" TargetMode="External"/><Relationship Id="rId757" Type="http://schemas.openxmlformats.org/officeDocument/2006/relationships/hyperlink" Target="1%20-%20RYSUNKI/1936-003-PRT-A0065429-A-P&#322;yta%20&#347;rodkowa.PDF" TargetMode="External"/><Relationship Id="rId964" Type="http://schemas.openxmlformats.org/officeDocument/2006/relationships/hyperlink" Target="1%20-%20RYSUNKI/1936-003-PRT-A0065432-A-Os&#322;ona%20laser.DXF" TargetMode="External"/><Relationship Id="rId93" Type="http://schemas.openxmlformats.org/officeDocument/2006/relationships/hyperlink" Target="1%20-%20RYSUNKI/1936-005-PRT-A0065147-A-K&#261;townik%20g&#243;rny%20szuflady.STEP" TargetMode="External"/><Relationship Id="rId189" Type="http://schemas.openxmlformats.org/officeDocument/2006/relationships/hyperlink" Target="1%20-%20RYSUNKI/1936-005-PRT-A0065127-A-Os&#322;ona.STEP" TargetMode="External"/><Relationship Id="rId396" Type="http://schemas.openxmlformats.org/officeDocument/2006/relationships/hyperlink" Target="1%20-%20RYSUNKI/1936-001-PRT-A0065321-A-Kostka%20mocowanie%20blokady.STEP" TargetMode="External"/><Relationship Id="rId617" Type="http://schemas.openxmlformats.org/officeDocument/2006/relationships/hyperlink" Target="1%20-%20RYSUNKI/1936-001-PRT-A0065343-A-Os&#322;ona.DXF" TargetMode="External"/><Relationship Id="rId824" Type="http://schemas.openxmlformats.org/officeDocument/2006/relationships/hyperlink" Target="1%20-%20RYSUNKI/1936-003-PRT-A0065626-A-Suport%202.STEP" TargetMode="External"/><Relationship Id="rId1247" Type="http://schemas.openxmlformats.org/officeDocument/2006/relationships/hyperlink" Target="1%20-%20RYSUNKI/1936-004-PRT-A0065639-A-Adapter%20przewodu%20wkr&#281;tarki.STEP" TargetMode="External"/><Relationship Id="rId256" Type="http://schemas.openxmlformats.org/officeDocument/2006/relationships/hyperlink" Target="1%20-%20RYSUNKI/1936-007-PRT-A0065102-A-Mocowanie%20Spadni.PDF" TargetMode="External"/><Relationship Id="rId463" Type="http://schemas.openxmlformats.org/officeDocument/2006/relationships/hyperlink" Target="1%20-%20RYSUNKI/1936-001-PRT-A0065330-A-Os&#322;ona.PDF" TargetMode="External"/><Relationship Id="rId670" Type="http://schemas.openxmlformats.org/officeDocument/2006/relationships/hyperlink" Target="1%20-%20RYSUNKI/1936-003-PRT-A0065524-A-&#379;ebro%202.PDF" TargetMode="External"/><Relationship Id="rId1093" Type="http://schemas.openxmlformats.org/officeDocument/2006/relationships/hyperlink" Target="1%20-%20RYSUNKI/1936-003-PRT-A0065513-A-Os&#322;ona%20przednia%20g&#243;rna.DXF" TargetMode="External"/><Relationship Id="rId1107" Type="http://schemas.openxmlformats.org/officeDocument/2006/relationships/hyperlink" Target="1%20-%20RYSUNKI/1936-003-PRT-A0065485-A-Kostka%20pod%20os&#322;on&#281;.PDF" TargetMode="External"/><Relationship Id="rId1314" Type="http://schemas.openxmlformats.org/officeDocument/2006/relationships/hyperlink" Target="1%20-%20RYSUNKI/1936-004-PRT-A0065696-A-P&#322;yta%20wkr&#281;tarek.PDF" TargetMode="External"/><Relationship Id="rId116" Type="http://schemas.openxmlformats.org/officeDocument/2006/relationships/hyperlink" Target="1%20-%20RYSUNKI/1936-005-PRT-A0065161-A-Blokada%20trzpienia%20szuflady.DXF" TargetMode="External"/><Relationship Id="rId323" Type="http://schemas.openxmlformats.org/officeDocument/2006/relationships/hyperlink" Target="1%20-%20RYSUNKI/1936-004-PRT-A0065366-A-Os&#322;ona%20bramki.DXF" TargetMode="External"/><Relationship Id="rId530" Type="http://schemas.openxmlformats.org/officeDocument/2006/relationships/hyperlink" Target="1%20-%20RYSUNKI/1936-004-PRT-A0065299-A-Kostka%20rozdzielajaca.DXF" TargetMode="External"/><Relationship Id="rId768" Type="http://schemas.openxmlformats.org/officeDocument/2006/relationships/hyperlink" Target="1%20-%20RYSUNKI/1936-003-PRT-A0065432-A-Os&#322;ona%20laser.STEP" TargetMode="External"/><Relationship Id="rId975" Type="http://schemas.openxmlformats.org/officeDocument/2006/relationships/hyperlink" Target="1%20-%20RYSUNKI/1936-003-PRT-A0065493-A-Os&#322;ona%20przednia%202.PDF" TargetMode="External"/><Relationship Id="rId1160" Type="http://schemas.openxmlformats.org/officeDocument/2006/relationships/hyperlink" Target="1%20-%20RYSUNKI/1936-001-PRT-A0065368-A-Mocowanie%20OPTO.STEP" TargetMode="External"/><Relationship Id="rId20" Type="http://schemas.openxmlformats.org/officeDocument/2006/relationships/hyperlink" Target="1%20-%20RYSUNKI/1881-04-PRT-A0030591-A-Mocowanie%20skanera.DXF" TargetMode="External"/><Relationship Id="rId628" Type="http://schemas.openxmlformats.org/officeDocument/2006/relationships/hyperlink" Target="1%20-%20RYSUNKI/1936-001-PRT-A0065336-A-Os&#322;ona.PDF" TargetMode="External"/><Relationship Id="rId835" Type="http://schemas.openxmlformats.org/officeDocument/2006/relationships/hyperlink" Target="1%20-%20RYSUNKI/1936-003-PRT-A0065617-A-Zderzak.DXF" TargetMode="External"/><Relationship Id="rId1258" Type="http://schemas.openxmlformats.org/officeDocument/2006/relationships/hyperlink" Target="1%20-%20RYSUNKI/1936-004-PRT-A0065702-A-Wa&#322;ek%20.DXF" TargetMode="External"/><Relationship Id="rId267" Type="http://schemas.openxmlformats.org/officeDocument/2006/relationships/hyperlink" Target="1%20-%20RYSUNKI/1936-006-PRT-A0065424-A-P&#243;&#322;ka.STEP" TargetMode="External"/><Relationship Id="rId474" Type="http://schemas.openxmlformats.org/officeDocument/2006/relationships/hyperlink" Target="1%20-%20RYSUNKI/1936-001-PRT-A0068096-A-Tuleja%20magnesu.STEP" TargetMode="External"/><Relationship Id="rId1020" Type="http://schemas.openxmlformats.org/officeDocument/2006/relationships/hyperlink" Target="1%20-%20RYSUNKI/1936-003-PRT-A0065496-A-Os&#322;ona%20szafy%204.PDF" TargetMode="External"/><Relationship Id="rId1118" Type="http://schemas.openxmlformats.org/officeDocument/2006/relationships/hyperlink" Target="1%20-%20RYSUNKI/1936-003-PRT-A0065517-A-K&#261;townik%201.STEP" TargetMode="External"/><Relationship Id="rId1325" Type="http://schemas.openxmlformats.org/officeDocument/2006/relationships/hyperlink" Target="1%20-%20RYSUNKI/1936-004-PRT-A0065686-A-P&#322;yta%20pionowa%20wkr&#281;tarek.STEP" TargetMode="External"/><Relationship Id="rId127" Type="http://schemas.openxmlformats.org/officeDocument/2006/relationships/hyperlink" Target="1%20-%20RYSUNKI/1936-005-PRT-A0065201-A-Mocowanie.PDF" TargetMode="External"/><Relationship Id="rId681" Type="http://schemas.openxmlformats.org/officeDocument/2006/relationships/hyperlink" Target="1%20-%20RYSUNKI/1936-003-PRT-A0065521-A-Wa&#322;ek.STEP" TargetMode="External"/><Relationship Id="rId779" Type="http://schemas.openxmlformats.org/officeDocument/2006/relationships/hyperlink" Target="1%20-%20RYSUNKI/1936-003-PRT-A0065433-A-Mocowanie%20os&#322;ony%20&#347;rodkowej.DXF" TargetMode="External"/><Relationship Id="rId902" Type="http://schemas.openxmlformats.org/officeDocument/2006/relationships/hyperlink" Target="1%20-%20RYSUNKI/1936-003-PRT-A0065546-A-Os&#322;ona.STEP" TargetMode="External"/><Relationship Id="rId986" Type="http://schemas.openxmlformats.org/officeDocument/2006/relationships/hyperlink" Target="1%20-%20RYSUNKI/1936-003-PRT-A0065553-A-K&#261;townik.STEP" TargetMode="External"/><Relationship Id="rId31" Type="http://schemas.openxmlformats.org/officeDocument/2006/relationships/hyperlink" Target="1%20-%20RYSUNKI/1881-04-PRT-A0030650-A-Mocowanie%20Gniazda.PDF" TargetMode="External"/><Relationship Id="rId334" Type="http://schemas.openxmlformats.org/officeDocument/2006/relationships/hyperlink" Target="1%20-%20RYSUNKI\1936-005-PRT-A0065258-A-Blacha%20Pude&#322;ka.PDF" TargetMode="External"/><Relationship Id="rId541" Type="http://schemas.openxmlformats.org/officeDocument/2006/relationships/hyperlink" Target="1%20-%20RYSUNKI/1936-004-PRT-A0065306-A-Os&#322;ona%20elektryki.PDF" TargetMode="External"/><Relationship Id="rId639" Type="http://schemas.openxmlformats.org/officeDocument/2006/relationships/hyperlink" Target="1%20-%20RYSUNKI/1936-001-PRT-A0065331-A-Mocowanie.STEP" TargetMode="External"/><Relationship Id="rId1171" Type="http://schemas.openxmlformats.org/officeDocument/2006/relationships/hyperlink" Target="1%20-%20RYSUNKI/1936-001-PRT-A0066534-A-Wzorzec%20ostateczny%20RFID.DXF" TargetMode="External"/><Relationship Id="rId1269" Type="http://schemas.openxmlformats.org/officeDocument/2006/relationships/hyperlink" Target="1%20-%20RYSUNKI/1936-004-PRT-A0065698-A-Oslona.PDF" TargetMode="External"/><Relationship Id="rId180" Type="http://schemas.openxmlformats.org/officeDocument/2006/relationships/hyperlink" Target="1%20-%20RYSUNKI/1936-005-PRT-A0065151-A-Uchwyt%20wentylatora%20I.STEP" TargetMode="External"/><Relationship Id="rId278" Type="http://schemas.openxmlformats.org/officeDocument/2006/relationships/hyperlink" Target="1%20-%20RYSUNKI/1936-010-PRT-A0065216-A-Oslona%20spadni%20w&#261;ska.DXF" TargetMode="External"/><Relationship Id="rId401" Type="http://schemas.openxmlformats.org/officeDocument/2006/relationships/hyperlink" Target="1%20-%20RYSUNKI/1936-001-PRT-A0065421-A-Mocowanie%20Transportera.DXF" TargetMode="External"/><Relationship Id="rId846" Type="http://schemas.openxmlformats.org/officeDocument/2006/relationships/hyperlink" Target="1%20-%20RYSUNKI/1936-003-PRT-A0065611-A-Tuleja%20dystansowa.PDF" TargetMode="External"/><Relationship Id="rId1031" Type="http://schemas.openxmlformats.org/officeDocument/2006/relationships/hyperlink" Target="1%20-%20RYSUNKI/1936-003-PRT-A0065511-A-Os&#322;ona%20szafy%204.STEP" TargetMode="External"/><Relationship Id="rId1129" Type="http://schemas.openxmlformats.org/officeDocument/2006/relationships/hyperlink" Target="1%20-%20RYSUNKI/1936-005-PRT-A0068994-A-Mocowanie%20ASK%20drukarki.DXF" TargetMode="External"/><Relationship Id="rId485" Type="http://schemas.openxmlformats.org/officeDocument/2006/relationships/hyperlink" Target="1%20-%20RYSUNKI/1936-001-PRT-A0065267-A-K&#261;townik%20przep&#322;ywomierza.DXF" TargetMode="External"/><Relationship Id="rId692" Type="http://schemas.openxmlformats.org/officeDocument/2006/relationships/hyperlink" Target="1%20-%20RYSUNKI/1936-003-PRT-A0065566-A-P&#322;ytka%20stopki.STEP" TargetMode="External"/><Relationship Id="rId706" Type="http://schemas.openxmlformats.org/officeDocument/2006/relationships/hyperlink" Target="1%20-%20RYSUNKI/1936-001-PRT-A0065364-A-Os&#322;ona.PDF" TargetMode="External"/><Relationship Id="rId913" Type="http://schemas.openxmlformats.org/officeDocument/2006/relationships/hyperlink" Target="1%20-%20RYSUNKI/1936-003-PRT-A0068977-A-Kostka%20amortyzatora.DXF" TargetMode="External"/><Relationship Id="rId1336" Type="http://schemas.openxmlformats.org/officeDocument/2006/relationships/hyperlink" Target="1%20-%20RYSUNKI/1936-004-PRT-A0065716-A-Dystans.DXF" TargetMode="External"/><Relationship Id="rId42" Type="http://schemas.openxmlformats.org/officeDocument/2006/relationships/hyperlink" Target="1%20-%20RYSUNKI/1881-04-PRT-A0030654-A-Dystans.STEP" TargetMode="External"/><Relationship Id="rId138" Type="http://schemas.openxmlformats.org/officeDocument/2006/relationships/hyperlink" Target="1%20-%20RYSUNKI/1936-005-PRT-A0066016-A-Mocowanie%20os&#322;ony.STEP" TargetMode="External"/><Relationship Id="rId345" Type="http://schemas.openxmlformats.org/officeDocument/2006/relationships/hyperlink" Target="1%20-%20RYSUNKI/1936-001-PRT-A0065388-A-Odb&#243;j%20magnesu.STEP" TargetMode="External"/><Relationship Id="rId552" Type="http://schemas.openxmlformats.org/officeDocument/2006/relationships/hyperlink" Target="1%20-%20RYSUNKI/1936-004-PRT-A0065313-A-Ko&#322;nierz%20Przewodu%20rozdzielacza.STEP" TargetMode="External"/><Relationship Id="rId997" Type="http://schemas.openxmlformats.org/officeDocument/2006/relationships/hyperlink" Target="1%20-%20RYSUNKI/1936-003-PRT-A0065562-A-Os&#322;ona%20prz&#243;d.DXF" TargetMode="External"/><Relationship Id="rId1182" Type="http://schemas.openxmlformats.org/officeDocument/2006/relationships/hyperlink" Target="1%20-%20RYSUNKI/1936-004-PRT-A0065677-A-Gniazdo%20obudowy%20g&#243;rnej.PDF" TargetMode="External"/><Relationship Id="rId191" Type="http://schemas.openxmlformats.org/officeDocument/2006/relationships/hyperlink" Target="1%20-%20RYSUNKI/1936-005-PRT-A0065116-A-Os&#322;ona.DXF" TargetMode="External"/><Relationship Id="rId205" Type="http://schemas.openxmlformats.org/officeDocument/2006/relationships/hyperlink" Target="1%20-%20RYSUNKI/1936-005-PRT-A0065188-A-Os&#322;ona.PDF" TargetMode="External"/><Relationship Id="rId412" Type="http://schemas.openxmlformats.org/officeDocument/2006/relationships/hyperlink" Target="1%20-%20RYSUNKI/1936-012-PRT-A0065265-A-P&#322;ytka%20narz&#281;dzia%20naprawczego.PDF" TargetMode="External"/><Relationship Id="rId857" Type="http://schemas.openxmlformats.org/officeDocument/2006/relationships/hyperlink" Target="1%20-%20RYSUNKI/1936-003-PRT-A0065628-A-Pokrywa.STEP" TargetMode="External"/><Relationship Id="rId1042" Type="http://schemas.openxmlformats.org/officeDocument/2006/relationships/hyperlink" Target="1%20-%20RYSUNKI/1936-003-PRT-A0065579-A-Os&#322;ona%20prz&#243;d.DXF" TargetMode="External"/><Relationship Id="rId289" Type="http://schemas.openxmlformats.org/officeDocument/2006/relationships/hyperlink" Target="1%20-%20RYSUNKI/1936-010-PRT-A0065212-A-Mocowanie%20czujnika.PDF" TargetMode="External"/><Relationship Id="rId496" Type="http://schemas.openxmlformats.org/officeDocument/2006/relationships/hyperlink" Target="1%20-%20RYSUNKI/1936-001-PRT-A0065381-A-Kostka%20zabezpieczaj&#261;ca.PDF" TargetMode="External"/><Relationship Id="rId717" Type="http://schemas.openxmlformats.org/officeDocument/2006/relationships/hyperlink" Target="1%20-%20RYSUNKI/1936-001-PRT-A0065395-A-Os&#322;ona.STEP" TargetMode="External"/><Relationship Id="rId924" Type="http://schemas.openxmlformats.org/officeDocument/2006/relationships/hyperlink" Target="1%20-%20RYSUNKI/1936-003-PRT-A0069044-A-Os&#322;ona%20przednia%20g&#243;rna.PDF" TargetMode="External"/><Relationship Id="rId1347" Type="http://schemas.openxmlformats.org/officeDocument/2006/relationships/hyperlink" Target="1%20-%20RYSUNKI/1936-004-PRT-A0065725-A-Trzpie&#324;%20gwintowany%20mocuj&#261;cy.PDF" TargetMode="External"/><Relationship Id="rId53" Type="http://schemas.openxmlformats.org/officeDocument/2006/relationships/hyperlink" Target="1%20-%20RYSUNKI/1936-005-PRT-A0065141-B-Mocowanie%20Lampki.DXF" TargetMode="External"/><Relationship Id="rId149" Type="http://schemas.openxmlformats.org/officeDocument/2006/relationships/hyperlink" Target="1%20-%20RYSUNKI/0000_Stanowiska_Wspornik%20I-D.DXF" TargetMode="External"/><Relationship Id="rId356" Type="http://schemas.openxmlformats.org/officeDocument/2006/relationships/hyperlink" Target="1%20-%20RYSUNKI/1936-003-PRT-A0066059-A-Os&#322;ona%20boczna.DXF" TargetMode="External"/><Relationship Id="rId563" Type="http://schemas.openxmlformats.org/officeDocument/2006/relationships/hyperlink" Target="1%20-%20RYSUNKI/1936-004-PRT-A0065309-A-Ustnik.DXF" TargetMode="External"/><Relationship Id="rId770" Type="http://schemas.openxmlformats.org/officeDocument/2006/relationships/hyperlink" Target="1%20-%20RYSUNKI/1936-003-PRT-A0065434-A-Blaszka%20kodowania.DXF" TargetMode="External"/><Relationship Id="rId1193" Type="http://schemas.openxmlformats.org/officeDocument/2006/relationships/hyperlink" Target="1%20-%20RYSUNKI/1936-004-PRT-A0065669-A-Gniazdo%20obudowy%20g&#243;rnej.STEP" TargetMode="External"/><Relationship Id="rId1207" Type="http://schemas.openxmlformats.org/officeDocument/2006/relationships/hyperlink" Target="1%20-%20RYSUNKI/1936-004-PRT-A0065652-A-Gniazdo%20obudowy%20g&#243;rnej.DXF" TargetMode="External"/><Relationship Id="rId216" Type="http://schemas.openxmlformats.org/officeDocument/2006/relationships/hyperlink" Target="1%20-%20RYSUNKI/1936-005-PRT-A0065206-A-Mocowanie%20Pilota.STEP" TargetMode="External"/><Relationship Id="rId423" Type="http://schemas.openxmlformats.org/officeDocument/2006/relationships/hyperlink" Target="1%20-%20RYSUNKI/1936-001-PRT-A0065264-A-Blacha.STEP" TargetMode="External"/><Relationship Id="rId868" Type="http://schemas.openxmlformats.org/officeDocument/2006/relationships/hyperlink" Target="1%20-%20RYSUNKI/1936-003-PRT-A0065607-A-Blacha%20zamka%202.DXF" TargetMode="External"/><Relationship Id="rId1053" Type="http://schemas.openxmlformats.org/officeDocument/2006/relationships/hyperlink" Target="1%20-%20RYSUNKI/1936-003-PRT-A0065518-A-Blacha%20tylnia%202.PDF" TargetMode="External"/><Relationship Id="rId1260" Type="http://schemas.openxmlformats.org/officeDocument/2006/relationships/hyperlink" Target="1%20-%20RYSUNKI\1936-004-PRT-A0065697-A-Wa&#322;%20prowdz&#261;cy%20g&#322;&#243;wny.PDF" TargetMode="External"/><Relationship Id="rId630" Type="http://schemas.openxmlformats.org/officeDocument/2006/relationships/hyperlink" Target="1%20-%20RYSUNKI/1936-001-PRT-A0065336-A-Os&#322;ona.STEP" TargetMode="External"/><Relationship Id="rId728" Type="http://schemas.openxmlformats.org/officeDocument/2006/relationships/hyperlink" Target="1%20-%20RYSUNKI/1936-001-PRT-A0065396-A-Os&#322;ona.DXF" TargetMode="External"/><Relationship Id="rId935" Type="http://schemas.openxmlformats.org/officeDocument/2006/relationships/hyperlink" Target="1%20-%20RYSUNKI/1936-001-PRT-A0065499-A-Mocowanie%20w&#322;&#261;cznik&#243;w.STEP" TargetMode="External"/><Relationship Id="rId1358" Type="http://schemas.openxmlformats.org/officeDocument/2006/relationships/hyperlink" Target="1%20-%20RYSUNKI/1936-003-PRT-A0065703-A-Zderzak.STEP" TargetMode="External"/><Relationship Id="rId64" Type="http://schemas.openxmlformats.org/officeDocument/2006/relationships/hyperlink" Target="1%20-%20RYSUNKI/1936-005-PRT-A0065136-B-Mocowanie%20Pick2Light.PDF" TargetMode="External"/><Relationship Id="rId367" Type="http://schemas.openxmlformats.org/officeDocument/2006/relationships/hyperlink" Target="1%20-%20RYSUNKI/1936-003-PRT-A0066066-A-Podstawa%20lasera.PDF" TargetMode="External"/><Relationship Id="rId574" Type="http://schemas.openxmlformats.org/officeDocument/2006/relationships/hyperlink" Target="1%20-%20RYSUNKI/1936-001-PRT-A0065098-A-Mocowanie%20klawiatury.PDF" TargetMode="External"/><Relationship Id="rId1120" Type="http://schemas.openxmlformats.org/officeDocument/2006/relationships/hyperlink" Target="1%20-%20RYSUNKI/1936-003-PRT-A0065560-A-Ramka%20okienka.DXF" TargetMode="External"/><Relationship Id="rId1218" Type="http://schemas.openxmlformats.org/officeDocument/2006/relationships/hyperlink" Target="1%20-%20RYSUNKI\1936-004-PRT-A0065653-A-Tabliczka.PDF" TargetMode="External"/><Relationship Id="rId227" Type="http://schemas.openxmlformats.org/officeDocument/2006/relationships/hyperlink" Target="1%20-%20RYSUNKI/1936-005-PRT-A0065205-A-Mocowanie%20Przycisku.DXF" TargetMode="External"/><Relationship Id="rId781" Type="http://schemas.openxmlformats.org/officeDocument/2006/relationships/hyperlink" Target="1%20-%20RYSUNKI/1936-003-PRT-A0065464-A-Os&#322;ona%201.PDF" TargetMode="External"/><Relationship Id="rId879" Type="http://schemas.openxmlformats.org/officeDocument/2006/relationships/hyperlink" Target="1%20-%20RYSUNKI/1936-003-PRT-A0065605-A-Mocowanie%20prowadnika.PDF" TargetMode="External"/><Relationship Id="rId434" Type="http://schemas.openxmlformats.org/officeDocument/2006/relationships/hyperlink" Target="1%20-%20RYSUNKI/1936-001-PRT-A0065418-A-Mocowanie%20tablicy%20warsztatowej.DXF" TargetMode="External"/><Relationship Id="rId641" Type="http://schemas.openxmlformats.org/officeDocument/2006/relationships/hyperlink" Target="1%20-%20RYSUNKI/2020-000-PRT-A0068985-A-Os&#322;ona%20Transformatora.DXF" TargetMode="External"/><Relationship Id="rId739" Type="http://schemas.openxmlformats.org/officeDocument/2006/relationships/hyperlink" Target="1%20-%20RYSUNKI/1936-001-PRT-A0069025-A-Os&#322;ona%20g&#243;rna.PDF" TargetMode="External"/><Relationship Id="rId1064" Type="http://schemas.openxmlformats.org/officeDocument/2006/relationships/hyperlink" Target="1%20-%20RYSUNKI/1936-003-PRT-A0065568-A-Os&#322;ona%20prawa%20g&#243;rna.STEP" TargetMode="External"/><Relationship Id="rId1271" Type="http://schemas.openxmlformats.org/officeDocument/2006/relationships/hyperlink" Target="1%20-%20RYSUNKI/1936-004-PRT-A0065698-A-Oslona.STEP" TargetMode="External"/><Relationship Id="rId1369" Type="http://schemas.openxmlformats.org/officeDocument/2006/relationships/hyperlink" Target="1%20-%20RYSUNKI/1936-004-PRT-A0065726-A-Blacha%20skr&#281;cania.DXF" TargetMode="External"/><Relationship Id="rId280" Type="http://schemas.openxmlformats.org/officeDocument/2006/relationships/hyperlink" Target="1%20-%20RYSUNKI/1936-010-PRT-A0066450-A-P&#322;yta%20po&#347;rednia%20SR.PDF" TargetMode="External"/><Relationship Id="rId501" Type="http://schemas.openxmlformats.org/officeDocument/2006/relationships/hyperlink" Target="1%20-%20RYSUNKI/1936-011-PRT-A0065378-A-Blacha.STEP" TargetMode="External"/><Relationship Id="rId946" Type="http://schemas.openxmlformats.org/officeDocument/2006/relationships/hyperlink" Target="1%20-%20RYSUNKI/1936-003-PRT-A0065591-A-K&#261;townik%202.DXF" TargetMode="External"/><Relationship Id="rId1131" Type="http://schemas.openxmlformats.org/officeDocument/2006/relationships/hyperlink" Target="1%20-%20RYSUNKI/1936-005-PRT-A0068995-A-P&#322;yta%20k&#243;&#322;ka.PDF" TargetMode="External"/><Relationship Id="rId1229" Type="http://schemas.openxmlformats.org/officeDocument/2006/relationships/hyperlink" Target="1%20-%20RYSUNKI/1936-004-PRT-A0065636-A-Blokada.STEP" TargetMode="External"/><Relationship Id="rId75" Type="http://schemas.openxmlformats.org/officeDocument/2006/relationships/hyperlink" Target="1%20-%20RYSUNKI/1936-005-PRT-A0066511-A-P&#322;ytka%20Pick2Light.STEP" TargetMode="External"/><Relationship Id="rId140" Type="http://schemas.openxmlformats.org/officeDocument/2006/relationships/hyperlink" Target="1%20-%20RYSUNKI/1936-005-PRT-A0065125-A-Mocowanie%20Rolki.DXF" TargetMode="External"/><Relationship Id="rId378" Type="http://schemas.openxmlformats.org/officeDocument/2006/relationships/hyperlink" Target="1%20-%20RYSUNKI/1936-001-PRT-A0065252-A-Mocowanie%20przycisku%20bezpiecze&#324;stwa.STEP" TargetMode="External"/><Relationship Id="rId585" Type="http://schemas.openxmlformats.org/officeDocument/2006/relationships/hyperlink" Target="1%20-%20RYSUNKI/1936-001-PRT-A0068568-A-Mocowanie%20pude&#322;ka%204.STEP" TargetMode="External"/><Relationship Id="rId792" Type="http://schemas.openxmlformats.org/officeDocument/2006/relationships/hyperlink" Target="1%20-%20RYSUNKI/1936-003-PRT-A0065463-A-Kostka.STEP" TargetMode="External"/><Relationship Id="rId806" Type="http://schemas.openxmlformats.org/officeDocument/2006/relationships/hyperlink" Target="1%20-%20RYSUNKI/1936-003-PRT-A0065629-A-Dystans.STEP" TargetMode="External"/><Relationship Id="rId6" Type="http://schemas.openxmlformats.org/officeDocument/2006/relationships/hyperlink" Target="1%20-%20RYSUNKI/1881-04-PRT-A0030603-A-Gniazdo%20obudowy%20g&#243;rnej.STEP" TargetMode="External"/><Relationship Id="rId238" Type="http://schemas.openxmlformats.org/officeDocument/2006/relationships/hyperlink" Target="1%20-%20RYSUNKI/1936-005-PRT-A0065198-A-Blacha%20Sto&#322;u.PDF" TargetMode="External"/><Relationship Id="rId445" Type="http://schemas.openxmlformats.org/officeDocument/2006/relationships/hyperlink" Target="1%20-%20RYSUNKI/1936-001-PRT-A0065394-A-Os&#322;ona.PDF" TargetMode="External"/><Relationship Id="rId652" Type="http://schemas.openxmlformats.org/officeDocument/2006/relationships/hyperlink" Target="1%20-%20RYSUNKI\1936-003-PRT-A0068986-A-Za&#347;lepka%201.PDF" TargetMode="External"/><Relationship Id="rId1075" Type="http://schemas.openxmlformats.org/officeDocument/2006/relationships/hyperlink" Target="1%20-%20RYSUNKI/1936-003-PRT-A0065567-A-Os&#322;ona%20lewa%201.DXF" TargetMode="External"/><Relationship Id="rId1282" Type="http://schemas.openxmlformats.org/officeDocument/2006/relationships/hyperlink" Target="1%20-%20RYSUNKI/1936-004-PRT-A0068388-A-K&#261;townik%20czujnika.DXF" TargetMode="External"/><Relationship Id="rId291" Type="http://schemas.openxmlformats.org/officeDocument/2006/relationships/hyperlink" Target="1%20-%20RYSUNKI/1936-010-PRT-A0065212-A-Mocowanie%20czujnika.STEP" TargetMode="External"/><Relationship Id="rId305" Type="http://schemas.openxmlformats.org/officeDocument/2006/relationships/hyperlink" Target="1%20-%20RYSUNKI/1936-001-PRT-A0065414-A-&#346;lizg.DXF" TargetMode="External"/><Relationship Id="rId512" Type="http://schemas.openxmlformats.org/officeDocument/2006/relationships/hyperlink" Target="1%20-%20RYSUNKI/1881-11-PRT-A0030517-A-Zacisk%20przewodu.DXF" TargetMode="External"/><Relationship Id="rId957" Type="http://schemas.openxmlformats.org/officeDocument/2006/relationships/hyperlink" Target="1%20-%20RYSUNKI/1936-003-PRT-A0065586-A-Blacha%20boczna%20%20prawa%20g&#243;rna.PDF" TargetMode="External"/><Relationship Id="rId1142" Type="http://schemas.openxmlformats.org/officeDocument/2006/relationships/hyperlink" Target="1%20-%20RYSUNKI/1936-002-PRT-A0065279-A-Gniazdo%20Obudowy%20G&#243;rnej.STEP" TargetMode="External"/><Relationship Id="rId86" Type="http://schemas.openxmlformats.org/officeDocument/2006/relationships/hyperlink" Target="1%20-%20RYSUNKI/1936-005-PRT-A0065179-A-Mocowanie%20gniazda%20.DXF" TargetMode="External"/><Relationship Id="rId151" Type="http://schemas.openxmlformats.org/officeDocument/2006/relationships/hyperlink" Target="1%20-%20RYSUNKI/1936-005-PRT-A0066029-A-K&#261;townik.PDF" TargetMode="External"/><Relationship Id="rId389" Type="http://schemas.openxmlformats.org/officeDocument/2006/relationships/hyperlink" Target="1%20-%20RYSUNKI/1936-001-PRT-A0065363-A-Mocowanie%20Transportera.DXF" TargetMode="External"/><Relationship Id="rId596" Type="http://schemas.openxmlformats.org/officeDocument/2006/relationships/hyperlink" Target="1%20-%20RYSUNKI/1936-004-PRT-A0068196-A-Ustalenie%20ustnik&#243;w.DXF" TargetMode="External"/><Relationship Id="rId817" Type="http://schemas.openxmlformats.org/officeDocument/2006/relationships/hyperlink" Target="1%20-%20RYSUNKI/1936-003-PRT-A0065616-A-Blaszka.DXF" TargetMode="External"/><Relationship Id="rId1002" Type="http://schemas.openxmlformats.org/officeDocument/2006/relationships/hyperlink" Target="1%20-%20RYSUNKI/1936-003-PRT-A0065582-A-Os&#322;ona%20ramki%20skr&#281;cania%205.PDF" TargetMode="External"/><Relationship Id="rId249" Type="http://schemas.openxmlformats.org/officeDocument/2006/relationships/hyperlink" Target="1%20-%20RYSUNKI/1936-008-PRT-A0065106-A-Os&#322;ona.STEP" TargetMode="External"/><Relationship Id="rId456" Type="http://schemas.openxmlformats.org/officeDocument/2006/relationships/hyperlink" Target="1%20-%20RYSUNKI/1936-001-PRT-A0065359-A-Mocowanie%20czujnika.STEP" TargetMode="External"/><Relationship Id="rId663" Type="http://schemas.openxmlformats.org/officeDocument/2006/relationships/hyperlink" Target="1%20-%20RYSUNKI/1936-003-PRT-A0065529-A-&#379;ebro%203.STEP" TargetMode="External"/><Relationship Id="rId870" Type="http://schemas.openxmlformats.org/officeDocument/2006/relationships/hyperlink" Target="1%20-%20RYSUNKI/1936-003-PRT-A0065606-A-Blaszka%203.PDF" TargetMode="External"/><Relationship Id="rId1086" Type="http://schemas.openxmlformats.org/officeDocument/2006/relationships/hyperlink" Target="1%20-%20RYSUNKI\1936-003-PRT-A0065578-A-Blacha%20kolor.PDF" TargetMode="External"/><Relationship Id="rId1293" Type="http://schemas.openxmlformats.org/officeDocument/2006/relationships/hyperlink" Target="1%20-%20RYSUNKI\1936-004-PRT-A0065723-A-Zastrza&#322;%20p&#322;yt%20wkr&#281;tarek.PDF" TargetMode="External"/><Relationship Id="rId1307" Type="http://schemas.openxmlformats.org/officeDocument/2006/relationships/hyperlink" Target="1%20-%20RYSUNKI/1936-004-PRT-A0065708-A-P&#322;yta%20Skr&#281;cania.STEP" TargetMode="External"/><Relationship Id="rId13" Type="http://schemas.openxmlformats.org/officeDocument/2006/relationships/hyperlink" Target="1%20-%20RYSUNKI/1881-04-PRT-A0030599-A-Gniazdo%20obudowy%20g&#243;rnej.PDF" TargetMode="External"/><Relationship Id="rId109" Type="http://schemas.openxmlformats.org/officeDocument/2006/relationships/hyperlink" Target="1%20-%20RYSUNKI/1936-005-PRT-A0065160-A-Mocowanie%20prowadnika.PDF" TargetMode="External"/><Relationship Id="rId316" Type="http://schemas.openxmlformats.org/officeDocument/2006/relationships/hyperlink" Target="1%20-%20RYSUNKI/1936-001-PRT-A0065420-A-Blacha.PDF" TargetMode="External"/><Relationship Id="rId523" Type="http://schemas.openxmlformats.org/officeDocument/2006/relationships/hyperlink" Target="1%20-%20RYSUNKI/1936-004-PRT-A0065304-A-Kostka%20si&#322;ownika.PDF" TargetMode="External"/><Relationship Id="rId968" Type="http://schemas.openxmlformats.org/officeDocument/2006/relationships/hyperlink" Target="1%20-%20RYSUNKI/1936-003-PRT-A0065508-A-Blaszka%20bramki.STEP" TargetMode="External"/><Relationship Id="rId1153" Type="http://schemas.openxmlformats.org/officeDocument/2006/relationships/hyperlink" Target="1%20-%20RYSUNKI/1936-002-PRT-A0065282-A-Mocowanie%20Przewodu.DXF" TargetMode="External"/><Relationship Id="rId97" Type="http://schemas.openxmlformats.org/officeDocument/2006/relationships/hyperlink" Target="1%20-%20RYSUNKI/1936-005-PRT-A0065171-A-Blacha%20Drukarki%20I.PDF" TargetMode="External"/><Relationship Id="rId730" Type="http://schemas.openxmlformats.org/officeDocument/2006/relationships/hyperlink" Target="1%20-%20RYSUNKI/1936-001-PRT-A0065393-A-Os&#322;ona.PDF" TargetMode="External"/><Relationship Id="rId828" Type="http://schemas.openxmlformats.org/officeDocument/2006/relationships/hyperlink" Target="1%20-%20RYSUNKI/1936-003-PRT-A0065632-A-Oprawa%20nakr&#281;tki.PDF" TargetMode="External"/><Relationship Id="rId1013" Type="http://schemas.openxmlformats.org/officeDocument/2006/relationships/hyperlink" Target="1%20-%20RYSUNKI/1936-003-PRT-A0065583-A-Os&#322;ona%20ramki%20skr&#281;cania%202.STEP" TargetMode="External"/><Relationship Id="rId1360" Type="http://schemas.openxmlformats.org/officeDocument/2006/relationships/hyperlink" Target="1%20-%20RYSUNKI/1936-003-PRT-A0065688-A-Mocowanie%20Amortyzatora.DXF" TargetMode="External"/><Relationship Id="rId162" Type="http://schemas.openxmlformats.org/officeDocument/2006/relationships/hyperlink" Target="1%20-%20RYSUNKI/1936-005-PRT-A0066023-A-Mocowanie%20IGUS%202.STEP" TargetMode="External"/><Relationship Id="rId467" Type="http://schemas.openxmlformats.org/officeDocument/2006/relationships/hyperlink" Target="1%20-%20RYSUNKI/1936-001-PRT-A0065322-A-Wzmocnienie%20pod%20szaf&#281;.DXF" TargetMode="External"/><Relationship Id="rId1097" Type="http://schemas.openxmlformats.org/officeDocument/2006/relationships/hyperlink" Target="1%20-%20RYSUNKI/1936-003-PRT-A0065514-A-Os&#322;ona%20przednia%20g&#243;rna.STEP" TargetMode="External"/><Relationship Id="rId1220" Type="http://schemas.openxmlformats.org/officeDocument/2006/relationships/hyperlink" Target="1%20-%20RYSUNKI/1936-004-PRT-A0065653-A-Tabliczka.STEP" TargetMode="External"/><Relationship Id="rId1318" Type="http://schemas.openxmlformats.org/officeDocument/2006/relationships/hyperlink" Target="1%20-%20RYSUNKI/1936-004-PRT-A0065694-A-Korpus%20wkr&#281;tarki.DXF" TargetMode="External"/><Relationship Id="rId674" Type="http://schemas.openxmlformats.org/officeDocument/2006/relationships/hyperlink" Target="1%20-%20RYSUNKI/1936-003-PRT-A0065523-A-P&#322;askownik%202.DXF" TargetMode="External"/><Relationship Id="rId881" Type="http://schemas.openxmlformats.org/officeDocument/2006/relationships/hyperlink" Target="1%20-%20RYSUNKI/1936-003-PRT-A0065605-A-Mocowanie%20prowadnika.STEP" TargetMode="External"/><Relationship Id="rId979" Type="http://schemas.openxmlformats.org/officeDocument/2006/relationships/hyperlink" Target="1%20-%20RYSUNKI/1936-003-PRT-A0065482-A-Mocowanie%20bramki%203.DXF" TargetMode="External"/><Relationship Id="rId24" Type="http://schemas.openxmlformats.org/officeDocument/2006/relationships/hyperlink" Target="1%20-%20RYSUNKI/1881-04-PRT-A0030653-A-Gniazdo%20obudowy%20g&#243;rnej.STEP" TargetMode="External"/><Relationship Id="rId327" Type="http://schemas.openxmlformats.org/officeDocument/2006/relationships/hyperlink" Target="1%20-%20RYSUNKI/1936-001-PRT-A0065373-A-Mocowanie%20&#321;o&#380;yska.STEP" TargetMode="External"/><Relationship Id="rId534" Type="http://schemas.openxmlformats.org/officeDocument/2006/relationships/hyperlink" Target="1%20-%20RYSUNKI/1936-004-PRT-A0065307-A-Kostka%20przewod&#243;w%20wej&#347;ciowa.STEP" TargetMode="External"/><Relationship Id="rId741" Type="http://schemas.openxmlformats.org/officeDocument/2006/relationships/hyperlink" Target="1%20-%20RYSUNKI/1936-001-PRT-A0069025-A-Os&#322;ona%20g&#243;rna.STEP" TargetMode="External"/><Relationship Id="rId839" Type="http://schemas.openxmlformats.org/officeDocument/2006/relationships/hyperlink" Target="1%20-%20RYSUNKI/1936-003-PRT-A0065615-A-Pokrywka.STEP" TargetMode="External"/><Relationship Id="rId1164" Type="http://schemas.openxmlformats.org/officeDocument/2006/relationships/hyperlink" Target="1%20-%20RYSUNKI/1936-001-PRT-A0065371-A-Mocowanie%20OPTO.PDF" TargetMode="External"/><Relationship Id="rId1371" Type="http://schemas.openxmlformats.org/officeDocument/2006/relationships/hyperlink" Target="1%20-%20RYSUNKI\1936-002-PRT-A0065277-A-P&#322;ytka%20mocuj&#261;ca.PDF" TargetMode="External"/><Relationship Id="rId173" Type="http://schemas.openxmlformats.org/officeDocument/2006/relationships/hyperlink" Target="1%20-%20RYSUNKI/1936-005-PRT-A0065192-A-Mocowanie%20prowadnika.DXF" TargetMode="External"/><Relationship Id="rId380" Type="http://schemas.openxmlformats.org/officeDocument/2006/relationships/hyperlink" Target="1%20-%20RYSUNKI/0000_Stanowiska_Uchwyt%20tariforld-B.DXF" TargetMode="External"/><Relationship Id="rId601" Type="http://schemas.openxmlformats.org/officeDocument/2006/relationships/hyperlink" Target="1%20-%20RYSUNKI/1936-001-PRT-A0068987-A-Podstawa%20transformatora.PDF" TargetMode="External"/><Relationship Id="rId1024" Type="http://schemas.openxmlformats.org/officeDocument/2006/relationships/hyperlink" Target="1%20-%20RYSUNKI/1936-003-PRT-A0065580-A-Os&#322;ona%20przednia.DXF" TargetMode="External"/><Relationship Id="rId1231" Type="http://schemas.openxmlformats.org/officeDocument/2006/relationships/hyperlink" Target="1%20-%20RYSUNKI/1936-004-PRT-A0065638-A-Ustnik.DXF" TargetMode="External"/><Relationship Id="rId240" Type="http://schemas.openxmlformats.org/officeDocument/2006/relationships/hyperlink" Target="1%20-%20RYSUNKI/1936-005-PRT-A0065198-A-Blacha%20Sto&#322;u.STEP" TargetMode="External"/><Relationship Id="rId478" Type="http://schemas.openxmlformats.org/officeDocument/2006/relationships/hyperlink" Target="1%20-%20RYSUNKI/0000_Mocowanie_RFID_Os&#322;ona%20I-B.PDF" TargetMode="External"/><Relationship Id="rId685" Type="http://schemas.openxmlformats.org/officeDocument/2006/relationships/hyperlink" Target="1%20-%20RYSUNKI/1936-003-PRT-A0068622-A-Kostka%20gwintowana.DXF" TargetMode="External"/><Relationship Id="rId892" Type="http://schemas.openxmlformats.org/officeDocument/2006/relationships/hyperlink" Target="1%20-%20RYSUNKI/1936-003-PRT-A0065426-A-Mocowanie%20skanera%202.DXF" TargetMode="External"/><Relationship Id="rId906" Type="http://schemas.openxmlformats.org/officeDocument/2006/relationships/hyperlink" Target="1%20-%20RYSUNKI/1936-003-PRT-A0065537-A-Mocowanie%20ramki%20i%20w&#243;zk&#243;w.PDF" TargetMode="External"/><Relationship Id="rId1329" Type="http://schemas.openxmlformats.org/officeDocument/2006/relationships/hyperlink" Target="1%20-%20RYSUNKI/1936-004-PRT-A0065684-A-Mocowanie%20czujnik&#243;w.PDF" TargetMode="External"/><Relationship Id="rId35" Type="http://schemas.openxmlformats.org/officeDocument/2006/relationships/hyperlink" Target="1%20-%20RYSUNKI/1881-04-PRT-A0030648-A-Gniazdo%20obudowy%20g&#243;rnej.DXF" TargetMode="External"/><Relationship Id="rId100" Type="http://schemas.openxmlformats.org/officeDocument/2006/relationships/hyperlink" Target="1%20-%20RYSUNKI/1936-005-PRT-A0065126-A-Blacha%20Drukarki%20II.PDF" TargetMode="External"/><Relationship Id="rId338" Type="http://schemas.openxmlformats.org/officeDocument/2006/relationships/hyperlink" Target="1%20-%20RYSUNKI/1936-004-PRT-A0065386-A-Oslona.DXF" TargetMode="External"/><Relationship Id="rId545" Type="http://schemas.openxmlformats.org/officeDocument/2006/relationships/hyperlink" Target="1%20-%20RYSUNKI/1936-004-PRT-A0065315-A-P&#322;yta%20Pude&#322;ka.DXF" TargetMode="External"/><Relationship Id="rId752" Type="http://schemas.openxmlformats.org/officeDocument/2006/relationships/hyperlink" Target="1%20-%20RYSUNKI/1936-003-PRT-A0065468-A-P&#322;ytka%20obrotu.DXF" TargetMode="External"/><Relationship Id="rId1175" Type="http://schemas.openxmlformats.org/officeDocument/2006/relationships/hyperlink" Target="1%20-%20RYSUNKI/1936-001-PRT-A0069199-A-Mocowanie%20przycisku%20startu.STEP" TargetMode="External"/><Relationship Id="rId1382" Type="http://schemas.openxmlformats.org/officeDocument/2006/relationships/table" Target="../tables/table1.xml"/><Relationship Id="rId184" Type="http://schemas.openxmlformats.org/officeDocument/2006/relationships/hyperlink" Target="1%20-%20RYSUNKI\0000_Stanowiska_Blaszka%20czujnika%20ruchu-C.PDF" TargetMode="External"/><Relationship Id="rId391" Type="http://schemas.openxmlformats.org/officeDocument/2006/relationships/hyperlink" Target="1%20-%20RYSUNKI/1936-001-PRT-A0065354-A-Blokada%20Stopera.PDF" TargetMode="External"/><Relationship Id="rId405" Type="http://schemas.openxmlformats.org/officeDocument/2006/relationships/hyperlink" Target="1%20-%20RYSUNKI/1936-001-PRT-A0066499-A-K&#261;townik%20p&#243;&#322;ki.STEP" TargetMode="External"/><Relationship Id="rId612" Type="http://schemas.openxmlformats.org/officeDocument/2006/relationships/hyperlink" Target="1%20-%20RYSUNKI/1936-001-PRT-A0065349-A-Os&#322;ona.STEP" TargetMode="External"/><Relationship Id="rId1035" Type="http://schemas.openxmlformats.org/officeDocument/2006/relationships/hyperlink" Target="1%20-%20RYSUNKI/1936-003-PRT-A0065490-A-Za&#347;lepka%20rury.PDF" TargetMode="External"/><Relationship Id="rId1242" Type="http://schemas.openxmlformats.org/officeDocument/2006/relationships/hyperlink" Target="1%20-%20RYSUNKI/1936-004-PRT-A0065644-A-Dociskacz.PDF" TargetMode="External"/><Relationship Id="rId251" Type="http://schemas.openxmlformats.org/officeDocument/2006/relationships/hyperlink" Target="1%20-%20RYSUNKI/1936-008-PRT-A0065109-A-Os&#322;ona.DXF" TargetMode="External"/><Relationship Id="rId489" Type="http://schemas.openxmlformats.org/officeDocument/2006/relationships/hyperlink" Target="1%20-%20RYSUNKI/1936-001-PRT-A0065268-A-Szafa%20Pneumatyki.STEP" TargetMode="External"/><Relationship Id="rId696" Type="http://schemas.openxmlformats.org/officeDocument/2006/relationships/hyperlink" Target="1%20-%20RYSUNKI/1936-003-PRT-A0065564-A-Rama%20dolna.DXF" TargetMode="External"/><Relationship Id="rId917" Type="http://schemas.openxmlformats.org/officeDocument/2006/relationships/hyperlink" Target="1%20-%20RYSUNKI/1936-003-PRT-A0068623-A-K&#261;townik.STEP" TargetMode="External"/><Relationship Id="rId1102" Type="http://schemas.openxmlformats.org/officeDocument/2006/relationships/hyperlink" Target="1%20-%20RYSUNKI/1936-003-PRT-A0065492-A-Uchwyt%20bramki.DXF" TargetMode="External"/><Relationship Id="rId46" Type="http://schemas.openxmlformats.org/officeDocument/2006/relationships/hyperlink" Target="1%20-%20RYSUNKI/1936-005-PRT-A0065137-B-Os&#322;ona%20Pick2Light.PDF" TargetMode="External"/><Relationship Id="rId349" Type="http://schemas.openxmlformats.org/officeDocument/2006/relationships/hyperlink" Target="1%20-%20RYSUNKI/1936-012-PRT-A0065290-A-Mocowanie%20OPTO.PDF" TargetMode="External"/><Relationship Id="rId556" Type="http://schemas.openxmlformats.org/officeDocument/2006/relationships/hyperlink" Target="1%20-%20RYSUNKI/1936-004-PRT-A0065317-A-Mocowanie%20rozdzielacza.PDF" TargetMode="External"/><Relationship Id="rId763" Type="http://schemas.openxmlformats.org/officeDocument/2006/relationships/hyperlink" Target="1%20-%20RYSUNKI/1936-003-PRT-A0065431-A-Blacha%20os&#322;ony%20&#347;rodkowej.PDF" TargetMode="External"/><Relationship Id="rId1186" Type="http://schemas.openxmlformats.org/officeDocument/2006/relationships/hyperlink" Target="1%20-%20RYSUNKI/1936-004-PRT-A0065676-A-Gniazdo%20obudowy%20g&#243;rnej.DXF" TargetMode="External"/><Relationship Id="rId111" Type="http://schemas.openxmlformats.org/officeDocument/2006/relationships/hyperlink" Target="1%20-%20RYSUNKI/1936-005-PRT-A0065160-A-Mocowanie%20prowadnika.STEP" TargetMode="External"/><Relationship Id="rId195" Type="http://schemas.openxmlformats.org/officeDocument/2006/relationships/hyperlink" Target="1%20-%20RYSUNKI/1936-005-PRT-A0065203-A-Os&#322;ona.STEP" TargetMode="External"/><Relationship Id="rId209" Type="http://schemas.openxmlformats.org/officeDocument/2006/relationships/hyperlink" Target="1%20-%20RYSUNKI/1936-005-PRT-A0065182-A-Os&#322;ona.DXF" TargetMode="External"/><Relationship Id="rId416" Type="http://schemas.openxmlformats.org/officeDocument/2006/relationships/hyperlink" Target="1%20-%20RYSUNKI/1936-001-PRT-A0065320-A-Mocowanie%20tablicy%20warsztatowej.DXF" TargetMode="External"/><Relationship Id="rId970" Type="http://schemas.openxmlformats.org/officeDocument/2006/relationships/hyperlink" Target="1%20-%20RYSUNKI/1936-003-PRT-A0065515-A-Uchwyt%20bramki%202.DXF" TargetMode="External"/><Relationship Id="rId1046" Type="http://schemas.openxmlformats.org/officeDocument/2006/relationships/hyperlink" Target="1%20-%20RYSUNKI/1936-003-PRT-A0065572-A-Os&#322;ona%20przewodu.STEP" TargetMode="External"/><Relationship Id="rId1253" Type="http://schemas.openxmlformats.org/officeDocument/2006/relationships/hyperlink" Target="1%20-%20RYSUNKI/1936-004-PRT-A0065693-A-Mocowanie%20si&#322;ownika%20wkr&#281;tarek.STEP" TargetMode="External"/><Relationship Id="rId623" Type="http://schemas.openxmlformats.org/officeDocument/2006/relationships/hyperlink" Target="1%20-%20RYSUNKI/1936-001-PRT-A0065339-A-Os&#322;ona.DXF" TargetMode="External"/><Relationship Id="rId830" Type="http://schemas.openxmlformats.org/officeDocument/2006/relationships/hyperlink" Target="1%20-%20RYSUNKI/1936-003-PRT-A0065632-A-Oprawa%20nakr&#281;tki.STEP" TargetMode="External"/><Relationship Id="rId928" Type="http://schemas.openxmlformats.org/officeDocument/2006/relationships/hyperlink" Target="1%20-%20RYSUNKI/1936-003-PRT-A0069043-A-Uchwyt%20do%20wie&#380;y%20&#347;wietlnej.DXF" TargetMode="External"/><Relationship Id="rId57" Type="http://schemas.openxmlformats.org/officeDocument/2006/relationships/hyperlink" Target="1%20-%20RYSUNKI/1936-005-PRT-A0065132-A-Prowadzenie%20Pude&#322;ek%202.STEP" TargetMode="External"/><Relationship Id="rId262" Type="http://schemas.openxmlformats.org/officeDocument/2006/relationships/hyperlink" Target="1%20-%20RYSUNKI/1936-005-PRT-A0065111-A-Banda%20pude&#322;ek.PDF" TargetMode="External"/><Relationship Id="rId567" Type="http://schemas.openxmlformats.org/officeDocument/2006/relationships/hyperlink" Target="1%20-%20RYSUNKI/1936-005-PRT-A0065099-A-Mocowanie%20Monitora.STEP" TargetMode="External"/><Relationship Id="rId1113" Type="http://schemas.openxmlformats.org/officeDocument/2006/relationships/hyperlink" Target="1%20-%20RYSUNKI/1936-003-PRT-A0065519-A-Drzwi.PDF" TargetMode="External"/><Relationship Id="rId1197" Type="http://schemas.openxmlformats.org/officeDocument/2006/relationships/hyperlink" Target="1%20-%20RYSUNKI/1936-004-PRT-A0065659-A-Gniazdo%20obudowy%20g&#243;rnej.PDF" TargetMode="External"/><Relationship Id="rId1320" Type="http://schemas.openxmlformats.org/officeDocument/2006/relationships/hyperlink" Target="1%20-%20RYSUNKI/1936-004-PRT-A0065691-A-Mocowanie%20uchwytu.PDF" TargetMode="External"/><Relationship Id="rId122" Type="http://schemas.openxmlformats.org/officeDocument/2006/relationships/hyperlink" Target="1%20-%20RYSUNKI/1936-005-PRT-A0065119-A-K&#261;townik%20stalowy%202.DXF" TargetMode="External"/><Relationship Id="rId774" Type="http://schemas.openxmlformats.org/officeDocument/2006/relationships/hyperlink" Target="1%20-%20RYSUNKI/1936-003-PRT-A0065435-A-Os&#322;ona%203.STEP" TargetMode="External"/><Relationship Id="rId981" Type="http://schemas.openxmlformats.org/officeDocument/2006/relationships/hyperlink" Target="1%20-%20RYSUNKI/1936-003-PRT-A0065479-A-Blacha%20os&#322;ona.PDF" TargetMode="External"/><Relationship Id="rId1057" Type="http://schemas.openxmlformats.org/officeDocument/2006/relationships/hyperlink" Target="1%20-%20RYSUNKI/1936-003-PRT-A0065585-A-Os&#322;ona%20.DXF" TargetMode="External"/><Relationship Id="rId427" Type="http://schemas.openxmlformats.org/officeDocument/2006/relationships/hyperlink" Target="1%20-%20RYSUNKI/1936-005-PRT-A0066035-A-Mocowanie%20gniazd.PDF" TargetMode="External"/><Relationship Id="rId634" Type="http://schemas.openxmlformats.org/officeDocument/2006/relationships/hyperlink" Target="1%20-%20RYSUNKI/1936-001-PRT-A0065332-A-Os&#322;ona.PDF" TargetMode="External"/><Relationship Id="rId841" Type="http://schemas.openxmlformats.org/officeDocument/2006/relationships/hyperlink" Target="1%20-%20RYSUNKI/1936-003-PRT-A0065614-A-P&#322;yta.DXF" TargetMode="External"/><Relationship Id="rId1264" Type="http://schemas.openxmlformats.org/officeDocument/2006/relationships/hyperlink" Target="1%20-%20RYSUNKI/1936-004-PRT-A0065695-A-Uchwyt%20.DXF" TargetMode="External"/><Relationship Id="rId273" Type="http://schemas.openxmlformats.org/officeDocument/2006/relationships/hyperlink" Target="1%20-%20RYSUNKI/1936-010-PRT-A0066453-A-Oslona%20SR750.STEP" TargetMode="External"/><Relationship Id="rId480" Type="http://schemas.openxmlformats.org/officeDocument/2006/relationships/hyperlink" Target="1%20-%20RYSUNKI/0000_Mocowanie_RFID_Os&#322;ona%20I-B.STEP" TargetMode="External"/><Relationship Id="rId701" Type="http://schemas.openxmlformats.org/officeDocument/2006/relationships/hyperlink" Target="1%20-%20RYSUNKI/1936-003-ASM-A0009807-A-Rama%20dolna%20skr&#281;cania.PDF" TargetMode="External"/><Relationship Id="rId939" Type="http://schemas.openxmlformats.org/officeDocument/2006/relationships/hyperlink" Target="1%20-%20RYSUNKI/1936-003-PRT-A0069040-A-Blaszka%20bramki.PDF" TargetMode="External"/><Relationship Id="rId1124" Type="http://schemas.openxmlformats.org/officeDocument/2006/relationships/hyperlink" Target="1%20-%20RYSUNKI/1936-003-PRT-A0065577-A-Kostka%20regulacji%202.STEP" TargetMode="External"/><Relationship Id="rId1331" Type="http://schemas.openxmlformats.org/officeDocument/2006/relationships/hyperlink" Target="1%20-%20RYSUNKI/1936-004-PRT-A0065684-A-Mocowanie%20czujnik&#243;w.STEP" TargetMode="External"/><Relationship Id="rId68" Type="http://schemas.openxmlformats.org/officeDocument/2006/relationships/hyperlink" Target="1%20-%20RYSUNKI/1936-005-PRT-A0065138-A-Mocowanie%20SR-750.DXF" TargetMode="External"/><Relationship Id="rId133" Type="http://schemas.openxmlformats.org/officeDocument/2006/relationships/hyperlink" Target="1%20-%20RYSUNKI\1936-005-PRT-A0065183-A-Mocowanie%20.PDF" TargetMode="External"/><Relationship Id="rId340" Type="http://schemas.openxmlformats.org/officeDocument/2006/relationships/hyperlink" Target="1%20-%20RYSUNKI/1936-001-PRT-A0065387-A-Adapter%20magnesu.PDF" TargetMode="External"/><Relationship Id="rId578" Type="http://schemas.openxmlformats.org/officeDocument/2006/relationships/hyperlink" Target="1%20-%20RYSUNKI/1936-001-PRT-A0068566-A-Mocowanie%20pude&#322;ka%201.DXF" TargetMode="External"/><Relationship Id="rId785" Type="http://schemas.openxmlformats.org/officeDocument/2006/relationships/hyperlink" Target="1%20-%20RYSUNKI/1936-003-PRT-A0065428-A-Os&#322;ona%202.DXF" TargetMode="External"/><Relationship Id="rId992" Type="http://schemas.openxmlformats.org/officeDocument/2006/relationships/hyperlink" Target="1%20-%20RYSUNKI/1936-003-PRT-A0065575-A-Os&#322;ona%20przednia.STEP" TargetMode="External"/><Relationship Id="rId200" Type="http://schemas.openxmlformats.org/officeDocument/2006/relationships/hyperlink" Target="1%20-%20RYSUNKI/1936-005-PRT-A0065193-A-Os&#322;ona.DXF" TargetMode="External"/><Relationship Id="rId438" Type="http://schemas.openxmlformats.org/officeDocument/2006/relationships/hyperlink" Target="1%20-%20RYSUNKI/1936-001-PRT-A0065400-A-Pole%20odk&#322;adcze.STEP" TargetMode="External"/><Relationship Id="rId645" Type="http://schemas.openxmlformats.org/officeDocument/2006/relationships/hyperlink" Target="1%20-%20RYSUNKI/1936-001-PRT-A0065333-A-Dystans%20szafa-ramka.STEP" TargetMode="External"/><Relationship Id="rId852" Type="http://schemas.openxmlformats.org/officeDocument/2006/relationships/hyperlink" Target="1%20-%20RYSUNKI/1936-003-PRT-A0065622-A-Wa&#322;ek.PDF" TargetMode="External"/><Relationship Id="rId1068" Type="http://schemas.openxmlformats.org/officeDocument/2006/relationships/hyperlink" Target="1%20-%20RYSUNKI/1936-003-PRT-A0065593-A-Blacha%20dolna.PDF" TargetMode="External"/><Relationship Id="rId1275" Type="http://schemas.openxmlformats.org/officeDocument/2006/relationships/hyperlink" Target="1%20-%20RYSUNKI/1936-004-PRT-A0065648-A-Korpus%20g&#322;&#243;wny.PDF" TargetMode="External"/><Relationship Id="rId284" Type="http://schemas.openxmlformats.org/officeDocument/2006/relationships/hyperlink" Target="1%20-%20RYSUNKI/1936-010-PRT-A0066447-A-Mocowanie%20SR.DXF" TargetMode="External"/><Relationship Id="rId491" Type="http://schemas.openxmlformats.org/officeDocument/2006/relationships/hyperlink" Target="1%20-%20RYSUNKI/1936-001-PRT-A0065266-A-Os&#322;ona.DXF" TargetMode="External"/><Relationship Id="rId505" Type="http://schemas.openxmlformats.org/officeDocument/2006/relationships/hyperlink" Target="1%20-%20RYSUNKI/1936-011-PRT-A0065375-A-Blacha.PDF" TargetMode="External"/><Relationship Id="rId712" Type="http://schemas.openxmlformats.org/officeDocument/2006/relationships/hyperlink" Target="1%20-%20RYSUNKI/1936-001-PRT-A0065319-A-Os&#322;ona.PDF" TargetMode="External"/><Relationship Id="rId1135" Type="http://schemas.openxmlformats.org/officeDocument/2006/relationships/hyperlink" Target="1%20-%20RYSUNKI/1936-002-PRT-A0065281-A-Mocowanie%20Gniazda.DXF" TargetMode="External"/><Relationship Id="rId1342" Type="http://schemas.openxmlformats.org/officeDocument/2006/relationships/hyperlink" Target="1%20-%20RYSUNKI/1936-004-PRT-A0068729-A-Dystans%20supportu.DXF" TargetMode="External"/><Relationship Id="rId79" Type="http://schemas.openxmlformats.org/officeDocument/2006/relationships/hyperlink" Target="1%20-%20RYSUNKI/1936-005-PRT-A0065178-A-Os&#322;ona.PDF" TargetMode="External"/><Relationship Id="rId144" Type="http://schemas.openxmlformats.org/officeDocument/2006/relationships/hyperlink" Target="1%20-%20RYSUNKI/1936-005-PRT-A0065115-A-Os&#322;ona%20Etykiet.STEP" TargetMode="External"/><Relationship Id="rId589" Type="http://schemas.openxmlformats.org/officeDocument/2006/relationships/hyperlink" Target="1%20-%20RYSUNKI\1936-001-PRT-A0068561-A-Mocowanie%20pude&#322;ka.PDF" TargetMode="External"/><Relationship Id="rId796" Type="http://schemas.openxmlformats.org/officeDocument/2006/relationships/hyperlink" Target="1%20-%20RYSUNKI/1936-003-PRT-A0065466-A-P&#322;yta%20sto&#322;u.PDF" TargetMode="External"/><Relationship Id="rId1202" Type="http://schemas.openxmlformats.org/officeDocument/2006/relationships/hyperlink" Target="1%20-%20RYSUNKI/1936-004-PRT-A0065655-A-Mocowanie%20gniazda.STEP" TargetMode="External"/><Relationship Id="rId351" Type="http://schemas.openxmlformats.org/officeDocument/2006/relationships/hyperlink" Target="1%20-%20RYSUNKI/1936-012-PRT-A0065290-A-Mocowanie%20OPTO.STEP" TargetMode="External"/><Relationship Id="rId449" Type="http://schemas.openxmlformats.org/officeDocument/2006/relationships/hyperlink" Target="1%20-%20RYSUNKI/1936-001-PRT-A0065384-A-Os&#322;ona.DXF" TargetMode="External"/><Relationship Id="rId656" Type="http://schemas.openxmlformats.org/officeDocument/2006/relationships/hyperlink" Target="1%20-%20RYSUNKI/1936-003-PRT-A0065532-A-P&#322;yta%20g&#322;&#243;wna.DXF" TargetMode="External"/><Relationship Id="rId863" Type="http://schemas.openxmlformats.org/officeDocument/2006/relationships/hyperlink" Target="1%20-%20RYSUNKI/1936-003-PRT-A0065625-A-Podk&#322;adka.STEP" TargetMode="External"/><Relationship Id="rId1079" Type="http://schemas.openxmlformats.org/officeDocument/2006/relationships/hyperlink" Target="1%20-%20RYSUNKI/1936-003-PRT-A0065491-A-Os&#322;ona%20ty&#322;%201.STEP" TargetMode="External"/><Relationship Id="rId1286" Type="http://schemas.openxmlformats.org/officeDocument/2006/relationships/hyperlink" Target="1%20-%20RYSUNKI/1936-004-PRT-A0068196-A-Ustalenie%20ustnik&#243;w.STEP" TargetMode="External"/><Relationship Id="rId211" Type="http://schemas.openxmlformats.org/officeDocument/2006/relationships/hyperlink" Target="1%20-%20RYSUNKI/1936-005-PRT-A0065121-A-Os&#322;ona.PDF" TargetMode="External"/><Relationship Id="rId295" Type="http://schemas.openxmlformats.org/officeDocument/2006/relationships/hyperlink" Target="1%20-%20RYSUNKI/1936-010-PRT-A0065219-A-Podajnik%20pude&#322;ek.PDF" TargetMode="External"/><Relationship Id="rId309" Type="http://schemas.openxmlformats.org/officeDocument/2006/relationships/hyperlink" Target="1%20-%20RYSUNKI/1936-004-PRT-A0065417-A-Pole%20odk&#322;adcze.STEP" TargetMode="External"/><Relationship Id="rId516" Type="http://schemas.openxmlformats.org/officeDocument/2006/relationships/hyperlink" Target="1%20-%20RYSUNKI/1936-004-PRT-A0065842-A-Tulejka%20dystansuj&#261;ca%20.STEP" TargetMode="External"/><Relationship Id="rId1146" Type="http://schemas.openxmlformats.org/officeDocument/2006/relationships/hyperlink" Target="1%20-%20RYSUNKI\1936-002-PRT-A0065283-A-P&#322;yta%20paletki.PDF" TargetMode="External"/><Relationship Id="rId48" Type="http://schemas.openxmlformats.org/officeDocument/2006/relationships/hyperlink" Target="1%20-%20RYSUNKI/1936-005-PRT-A0065137-B-Os&#322;ona%20Pick2Light.STEP" TargetMode="External"/><Relationship Id="rId113" Type="http://schemas.openxmlformats.org/officeDocument/2006/relationships/hyperlink" Target="1%20-%20RYSUNKI/1936-005-PRT-A0065156-A-Mocowanie%20Prowadnika%20Drukarki.DXF" TargetMode="External"/><Relationship Id="rId320" Type="http://schemas.openxmlformats.org/officeDocument/2006/relationships/hyperlink" Target="1%20-%20RYSUNKI/1936-001-PRT-A0065419-A-Blacha.DXF" TargetMode="External"/><Relationship Id="rId558" Type="http://schemas.openxmlformats.org/officeDocument/2006/relationships/hyperlink" Target="1%20-%20RYSUNKI/1936-004-PRT-A0065317-A-Mocowanie%20rozdzielacza.STEP" TargetMode="External"/><Relationship Id="rId723" Type="http://schemas.openxmlformats.org/officeDocument/2006/relationships/hyperlink" Target="1%20-%20RYSUNKI/1936-001-PRT-A0065405-A-Os&#322;ona.STEP" TargetMode="External"/><Relationship Id="rId765" Type="http://schemas.openxmlformats.org/officeDocument/2006/relationships/hyperlink" Target="1%20-%20RYSUNKI/1936-003-PRT-A0065431-A-Blacha%20os&#322;ony%20&#347;rodkowej.STEP" TargetMode="External"/><Relationship Id="rId930" Type="http://schemas.openxmlformats.org/officeDocument/2006/relationships/hyperlink" Target="1%20-%20RYSUNKI/1936-003-PRT-A0065599-A-P&#322;yta%20Zebry.PDF" TargetMode="External"/><Relationship Id="rId972" Type="http://schemas.openxmlformats.org/officeDocument/2006/relationships/hyperlink" Target="1%20-%20RYSUNKI/1936-003-PRT-A0065487-A-Os&#322;ona%20p&#322;yty%20sto&#322;u.PDF" TargetMode="External"/><Relationship Id="rId1006" Type="http://schemas.openxmlformats.org/officeDocument/2006/relationships/hyperlink" Target="1%20-%20RYSUNKI/1936-003-PRT-A0065563-A-Os&#322;ona%20ramki%20skr&#281;cania%204.DXF" TargetMode="External"/><Relationship Id="rId1188" Type="http://schemas.openxmlformats.org/officeDocument/2006/relationships/hyperlink" Target="1%20-%20RYSUNKI/1936-004-PRT-A0065671-A-Gniazdo%20obudowy%20g&#243;rnej.PDF" TargetMode="External"/><Relationship Id="rId1353" Type="http://schemas.openxmlformats.org/officeDocument/2006/relationships/hyperlink" Target="1%20-%20RYSUNKI/1936-003-PRT-A0065709-A-Mocowanie%20Amortyzatora.PDF" TargetMode="External"/><Relationship Id="rId155" Type="http://schemas.openxmlformats.org/officeDocument/2006/relationships/hyperlink" Target="1%20-%20RYSUNKI/1936-005-PRT-A0066027-A-Mocowanie%20gniazda.DXF" TargetMode="External"/><Relationship Id="rId197" Type="http://schemas.openxmlformats.org/officeDocument/2006/relationships/hyperlink" Target="1%20-%20RYSUNKI/1936-005-PRT-A0065197-A-Os&#322;ona.DXF" TargetMode="External"/><Relationship Id="rId362" Type="http://schemas.openxmlformats.org/officeDocument/2006/relationships/hyperlink" Target="1%20-%20RYSUNKI/1936-003-PRT-A0066057-A-Uchwyt%20kontrolera%20lasera.DXF" TargetMode="External"/><Relationship Id="rId418" Type="http://schemas.openxmlformats.org/officeDocument/2006/relationships/hyperlink" Target="1%20-%20RYSUNKI/1936-001-PRT-A0065292-A-Os&#322;ona.PDF" TargetMode="External"/><Relationship Id="rId625" Type="http://schemas.openxmlformats.org/officeDocument/2006/relationships/hyperlink" Target="1%20-%20RYSUNKI/1936-001-PRT-A0065338-A-Os&#322;ona.PDF" TargetMode="External"/><Relationship Id="rId832" Type="http://schemas.openxmlformats.org/officeDocument/2006/relationships/hyperlink" Target="1%20-%20RYSUNKI/1936-003-PRT-A0065621-A-Pokrywka%20&#322;o&#380;yska.DXF" TargetMode="External"/><Relationship Id="rId1048" Type="http://schemas.openxmlformats.org/officeDocument/2006/relationships/hyperlink" Target="1%20-%20RYSUNKI/1936-003-PRT-A0065573-A-Blacha%20tylnia%203.DXF" TargetMode="External"/><Relationship Id="rId1213" Type="http://schemas.openxmlformats.org/officeDocument/2006/relationships/hyperlink" Target="1%20-%20RYSUNKI/1936-004-PRT-A0065682-A-Mocowanie%20RFID.DXF" TargetMode="External"/><Relationship Id="rId1255" Type="http://schemas.openxmlformats.org/officeDocument/2006/relationships/hyperlink" Target="1%20-%20RYSUNKI/1936-004-PRT-A0068389-A-Blaszka.DXF" TargetMode="External"/><Relationship Id="rId1297" Type="http://schemas.openxmlformats.org/officeDocument/2006/relationships/hyperlink" Target="1%20-%20RYSUNKI/1936-004-PRT-A0065715-A-Podpora%20os&#322;ony.DXF" TargetMode="External"/><Relationship Id="rId222" Type="http://schemas.openxmlformats.org/officeDocument/2006/relationships/hyperlink" Target="1%20-%20RYSUNKI/1936-005-PRT-A0065152-A-Mocowanie%20czujnika%20wizyjnego.STEP" TargetMode="External"/><Relationship Id="rId264" Type="http://schemas.openxmlformats.org/officeDocument/2006/relationships/hyperlink" Target="1%20-%20RYSUNKI/1936-005-PRT-A0065111-A-Banda%20pude&#322;ek.STEP" TargetMode="External"/><Relationship Id="rId471" Type="http://schemas.openxmlformats.org/officeDocument/2006/relationships/hyperlink" Target="1%20-%20RYSUNKI/1936-001-PRT-A0065295-A-Mocowanie%20zaworu.STEP" TargetMode="External"/><Relationship Id="rId667" Type="http://schemas.openxmlformats.org/officeDocument/2006/relationships/hyperlink" Target="1%20-%20RYSUNKI\1936-003-PRT-A0065525-A-Ramka%20pod%20skr&#281;canie.PDF" TargetMode="External"/><Relationship Id="rId874" Type="http://schemas.openxmlformats.org/officeDocument/2006/relationships/hyperlink" Target="1%20-%20RYSUNKI/1936-003-PRT-A0065603-A-Blaszka%202.DXF" TargetMode="External"/><Relationship Id="rId1115" Type="http://schemas.openxmlformats.org/officeDocument/2006/relationships/hyperlink" Target="1%20-%20RYSUNKI/1936-003-PRT-A0065519-A-Drzwi.STEP" TargetMode="External"/><Relationship Id="rId1322" Type="http://schemas.openxmlformats.org/officeDocument/2006/relationships/hyperlink" Target="1%20-%20RYSUNKI/1936-004-PRT-A0065691-A-Mocowanie%20uchwytu.STEP" TargetMode="External"/><Relationship Id="rId17" Type="http://schemas.openxmlformats.org/officeDocument/2006/relationships/hyperlink" Target="1%20-%20RYSUNKI/1881-04-PRT-A0030586-A-Tabliczka.DXF" TargetMode="External"/><Relationship Id="rId59" Type="http://schemas.openxmlformats.org/officeDocument/2006/relationships/hyperlink" Target="1%20-%20RYSUNKI/1936-005-PRT-A0065143-B-Odb&#322;y&#347;nik%20Pick2Light.DXF" TargetMode="External"/><Relationship Id="rId124" Type="http://schemas.openxmlformats.org/officeDocument/2006/relationships/hyperlink" Target="1%20-%20RYSUNKI/1936-005-PRT-A0065202-A-Wzmocnienie%20tr&#243;jk&#261;tne.PDF" TargetMode="External"/><Relationship Id="rId527" Type="http://schemas.openxmlformats.org/officeDocument/2006/relationships/hyperlink" Target="1%20-%20RYSUNKI/1936-004-PRT-A0065300-A-Kostka%20w&#243;zka.DXF" TargetMode="External"/><Relationship Id="rId569" Type="http://schemas.openxmlformats.org/officeDocument/2006/relationships/hyperlink" Target="1%20-%20RYSUNKI/1936-001-PRT-A0065097-A-Mocowanie%20Monitora.DXF" TargetMode="External"/><Relationship Id="rId734" Type="http://schemas.openxmlformats.org/officeDocument/2006/relationships/hyperlink" Target="1%20-%20RYSUNKI/1936-001-PRT-A0065392-A-Os&#322;ona.DXF" TargetMode="External"/><Relationship Id="rId776" Type="http://schemas.openxmlformats.org/officeDocument/2006/relationships/hyperlink" Target="1%20-%20RYSUNKI/1936-003-PRT-A0065478-A-Mocowanie%20czujnik&#243;w%20kodowania.DXF" TargetMode="External"/><Relationship Id="rId941" Type="http://schemas.openxmlformats.org/officeDocument/2006/relationships/hyperlink" Target="1%20-%20RYSUNKI/1936-003-PRT-A0069040-A-Blaszka%20bramki.STEP" TargetMode="External"/><Relationship Id="rId983" Type="http://schemas.openxmlformats.org/officeDocument/2006/relationships/hyperlink" Target="1%20-%20RYSUNKI/1936-003-PRT-A0065479-A-Blacha%20os&#322;ona.STEP" TargetMode="External"/><Relationship Id="rId1157" Type="http://schemas.openxmlformats.org/officeDocument/2006/relationships/hyperlink" Target="1%20-%20RYSUNKI/1936-002-PRT-A0065285-A-Ociekacz.STEP" TargetMode="External"/><Relationship Id="rId1199" Type="http://schemas.openxmlformats.org/officeDocument/2006/relationships/hyperlink" Target="1%20-%20RYSUNKI/1936-004-PRT-A0065659-A-Gniazdo%20obudowy%20g&#243;rnej.STEP" TargetMode="External"/><Relationship Id="rId1364" Type="http://schemas.openxmlformats.org/officeDocument/2006/relationships/hyperlink" Target="1%20-%20RYSUNKI/1936-004-PRT-A0065718-A-Podk&#322;adka.STEP" TargetMode="External"/><Relationship Id="rId70" Type="http://schemas.openxmlformats.org/officeDocument/2006/relationships/hyperlink" Target="1%20-%20RYSUNKI\1936-005-PRT-A0065134-A-Mocowanie%20czujnika.PDF" TargetMode="External"/><Relationship Id="rId166" Type="http://schemas.openxmlformats.org/officeDocument/2006/relationships/hyperlink" Target="1%20-%20RYSUNKI/1936-005-PRT-A0065209-A-K&#261;townik.PDF" TargetMode="External"/><Relationship Id="rId331" Type="http://schemas.openxmlformats.org/officeDocument/2006/relationships/hyperlink" Target="1%20-%20RYSUNKI/1936-005-PRT-A0065257-A-K&#261;townik%20g&#243;rny%20szuflady.PDF" TargetMode="External"/><Relationship Id="rId373" Type="http://schemas.openxmlformats.org/officeDocument/2006/relationships/hyperlink" Target="1%20-%20RYSUNKI/1936-001-PRT-A0065407-A-Os&#322;ona%20czujnika.PDF" TargetMode="External"/><Relationship Id="rId429" Type="http://schemas.openxmlformats.org/officeDocument/2006/relationships/hyperlink" Target="1%20-%20RYSUNKI/1936-005-PRT-A0066035-A-Mocowanie%20gniazd.STEP" TargetMode="External"/><Relationship Id="rId580" Type="http://schemas.openxmlformats.org/officeDocument/2006/relationships/hyperlink" Target="1%20-%20RYSUNKI/1936-001-PRT-A0068567-A-Mocowanie%20pude&#322;ka%203.PDF" TargetMode="External"/><Relationship Id="rId636" Type="http://schemas.openxmlformats.org/officeDocument/2006/relationships/hyperlink" Target="1%20-%20RYSUNKI/1936-001-PRT-A0065332-A-Os&#322;ona.STEP" TargetMode="External"/><Relationship Id="rId801" Type="http://schemas.openxmlformats.org/officeDocument/2006/relationships/hyperlink" Target="1%20-%20RYSUNKI\1936-003-PRT-A0065633-A-Ko&#322;o%20sto&#380;kowe%202.PDF" TargetMode="External"/><Relationship Id="rId1017" Type="http://schemas.openxmlformats.org/officeDocument/2006/relationships/hyperlink" Target="1%20-%20RYSUNKI/1936-003-PRT-A0065555-A-Os&#322;ona%20szafy%205.PDF" TargetMode="External"/><Relationship Id="rId1059" Type="http://schemas.openxmlformats.org/officeDocument/2006/relationships/hyperlink" Target="1%20-%20RYSUNKI/1936-003-PRT-A0065592-A-Uchwyt%20prowadnicy.PDF" TargetMode="External"/><Relationship Id="rId1224" Type="http://schemas.openxmlformats.org/officeDocument/2006/relationships/hyperlink" Target="1%20-%20RYSUNKI/1936-004-PRT-A0065641-A-Blokada%20bita.PDF" TargetMode="External"/><Relationship Id="rId1266" Type="http://schemas.openxmlformats.org/officeDocument/2006/relationships/hyperlink" Target="1%20-%20RYSUNKI/1936-004-PRT-A0065722-A-Oslona.PDF" TargetMode="External"/><Relationship Id="rId1" Type="http://schemas.openxmlformats.org/officeDocument/2006/relationships/hyperlink" Target="1%20-%20RYSUNKI/1881-04-PRT-A0030649-A-Gniazdo%20obudowy%20g&#243;rnej.PDF" TargetMode="External"/><Relationship Id="rId233" Type="http://schemas.openxmlformats.org/officeDocument/2006/relationships/hyperlink" Target="1%20-%20RYSUNKI/0000_Stanowiska_P&#322;yta%20ko&#324;cowa%20k&#243;&#322;ka-D.DXF" TargetMode="External"/><Relationship Id="rId440" Type="http://schemas.openxmlformats.org/officeDocument/2006/relationships/hyperlink" Target="1%20-%20RYSUNKI/1936-001-PRT-A0065399-A-Mocowanie.DXF" TargetMode="External"/><Relationship Id="rId678" Type="http://schemas.openxmlformats.org/officeDocument/2006/relationships/hyperlink" Target="1%20-%20RYSUNKI/1936-003-PRT-A0065522-A-Za&#347;lepka%201.STEP" TargetMode="External"/><Relationship Id="rId843" Type="http://schemas.openxmlformats.org/officeDocument/2006/relationships/hyperlink" Target="1%20-%20RYSUNKI/1936-003-PRT-A0065627-A-&#346;ruba%20trapezowa%20TR28x5%20lewa.PDF" TargetMode="External"/><Relationship Id="rId885" Type="http://schemas.openxmlformats.org/officeDocument/2006/relationships/hyperlink" Target="1%20-%20RYSUNKI/1936-003-PRT-A0065609-A-Blacha%20regulacji.PDF" TargetMode="External"/><Relationship Id="rId1070" Type="http://schemas.openxmlformats.org/officeDocument/2006/relationships/hyperlink" Target="1%20-%20RYSUNKI/1936-003-PRT-A0065593-A-Blacha%20dolna.STEP" TargetMode="External"/><Relationship Id="rId1126" Type="http://schemas.openxmlformats.org/officeDocument/2006/relationships/hyperlink" Target="1%20-%20RYSUNKI/1936-003-PRT-A0065501-A-P&#322;yta%20g&#322;&#243;wna.DXF" TargetMode="External"/><Relationship Id="rId28" Type="http://schemas.openxmlformats.org/officeDocument/2006/relationships/hyperlink" Target="1%20-%20RYSUNKI/1881-04-PRT-A0030651-A-Mocowanie%20Gniazda.PDF" TargetMode="External"/><Relationship Id="rId275" Type="http://schemas.openxmlformats.org/officeDocument/2006/relationships/hyperlink" Target="1%20-%20RYSUNKI/1936-010-PRT-A0065218-A-Oslona%20spadni%20szeroka.DXF" TargetMode="External"/><Relationship Id="rId300" Type="http://schemas.openxmlformats.org/officeDocument/2006/relationships/hyperlink" Target="1%20-%20RYSUNKI/1936-001-PRT-A0065413-A-Mocownanie%20Slizgu.STEP" TargetMode="External"/><Relationship Id="rId482" Type="http://schemas.openxmlformats.org/officeDocument/2006/relationships/hyperlink" Target="1%20-%20RYSUNKI/1936-001-PRT-A0065397-A-Mocowanie%20Transportera.DXF" TargetMode="External"/><Relationship Id="rId538" Type="http://schemas.openxmlformats.org/officeDocument/2006/relationships/hyperlink" Target="1%20-%20RYSUNKI/1936-004-PRT-A0068073-A-Dystans.PDF" TargetMode="External"/><Relationship Id="rId703" Type="http://schemas.openxmlformats.org/officeDocument/2006/relationships/hyperlink" Target="1%20-%20RYSUNKI/1936-005-PRT-A0065159-A-Mocowanie%20gniazdka.PDF" TargetMode="External"/><Relationship Id="rId745" Type="http://schemas.openxmlformats.org/officeDocument/2006/relationships/hyperlink" Target="1%20-%20RYSUNKI/1936-003-PRT-A0065474-A-K&#261;townik%20gniazda.PDF" TargetMode="External"/><Relationship Id="rId910" Type="http://schemas.openxmlformats.org/officeDocument/2006/relationships/hyperlink" Target="1%20-%20RYSUNKI/1936-003-PRT-A0068979-A-Zderzak.DXF" TargetMode="External"/><Relationship Id="rId952" Type="http://schemas.openxmlformats.org/officeDocument/2006/relationships/hyperlink" Target="1%20-%20RYSUNKI/1936-003-PRT-A0065481-A-Dystans.DXF" TargetMode="External"/><Relationship Id="rId1168" Type="http://schemas.openxmlformats.org/officeDocument/2006/relationships/hyperlink" Target="1%20-%20RYSUNKI/1936-001-PRT-A0066533-A-Wzorzec%20g&#322;owicy%20RFID%201.DXF" TargetMode="External"/><Relationship Id="rId1333" Type="http://schemas.openxmlformats.org/officeDocument/2006/relationships/hyperlink" Target="1%20-%20RYSUNKI/1936-004-PRT-A0069208-A-P&#322;ytka%20testowa.DXF" TargetMode="External"/><Relationship Id="rId1375" Type="http://schemas.openxmlformats.org/officeDocument/2006/relationships/hyperlink" Target="1%20-%20RYSUNKI/1936-004-PRT-A0069832-A-Zacisk%20przewodu.DXF" TargetMode="External"/><Relationship Id="rId81" Type="http://schemas.openxmlformats.org/officeDocument/2006/relationships/hyperlink" Target="1%20-%20RYSUNKI/1936-005-PRT-A0065178-A-Os&#322;ona.STEP" TargetMode="External"/><Relationship Id="rId135" Type="http://schemas.openxmlformats.org/officeDocument/2006/relationships/hyperlink" Target="1%20-%20RYSUNKI/1936-005-PRT-A0065183-A-Mocowanie%20.STEP" TargetMode="External"/><Relationship Id="rId177" Type="http://schemas.openxmlformats.org/officeDocument/2006/relationships/hyperlink" Target="1%20-%20RYSUNKI/1936-005-PRT-A0065174-A-Mocowanie%20Prowadnika.STEP" TargetMode="External"/><Relationship Id="rId342" Type="http://schemas.openxmlformats.org/officeDocument/2006/relationships/hyperlink" Target="1%20-%20RYSUNKI/1936-001-PRT-A0065387-A-Adapter%20magnesu.STEP" TargetMode="External"/><Relationship Id="rId384" Type="http://schemas.openxmlformats.org/officeDocument/2006/relationships/hyperlink" Target="1%20-%20RYSUNKI/1936-012-PRT-A0065288-A-Gniazdo%20na%20narz&#281;dzie%20naprawcze.STEP" TargetMode="External"/><Relationship Id="rId591" Type="http://schemas.openxmlformats.org/officeDocument/2006/relationships/hyperlink" Target="1%20-%20RYSUNKI/1936-001-PRT-A0068561-A-Mocowanie%20pude&#322;ka.STEP" TargetMode="External"/><Relationship Id="rId605" Type="http://schemas.openxmlformats.org/officeDocument/2006/relationships/hyperlink" Target="1%20-%20RYSUNKI/1936-001-PRT-A0068980-A-Mocowanie%20Spectra.DXF" TargetMode="External"/><Relationship Id="rId787" Type="http://schemas.openxmlformats.org/officeDocument/2006/relationships/hyperlink" Target="1%20-%20RYSUNKI/1936-003-PRT-A0065462-A-Kostka%20pneumatyczna.PDF" TargetMode="External"/><Relationship Id="rId812" Type="http://schemas.openxmlformats.org/officeDocument/2006/relationships/hyperlink" Target="1%20-%20RYSUNKI/1936-003-PRT-A0065631-A-P&#322;yta.STEP" TargetMode="External"/><Relationship Id="rId994" Type="http://schemas.openxmlformats.org/officeDocument/2006/relationships/hyperlink" Target="1%20-%20RYSUNKI/1936-003-PRT-A0065561-A-Blacha%20uchwytu.DXF" TargetMode="External"/><Relationship Id="rId1028" Type="http://schemas.openxmlformats.org/officeDocument/2006/relationships/hyperlink" Target="1%20-%20RYSUNKI/1936-003-PRT-A0065497-A-Os&#322;ona%20szafy%205.STEP" TargetMode="External"/><Relationship Id="rId1235" Type="http://schemas.openxmlformats.org/officeDocument/2006/relationships/hyperlink" Target="1%20-%20RYSUNKI/1936-004-PRT-A0065645-A-Korpus%20wkr&#281;t&#243;w.STEP" TargetMode="External"/><Relationship Id="rId202" Type="http://schemas.openxmlformats.org/officeDocument/2006/relationships/hyperlink" Target="1%20-%20RYSUNKI/1936-005-PRT-A0065191-A-Wpustka%20czujnika.PDF" TargetMode="External"/><Relationship Id="rId244" Type="http://schemas.openxmlformats.org/officeDocument/2006/relationships/hyperlink" Target="1%20-%20RYSUNKI/1936-008-PRT-A0065107-A-Os&#322;ona.PDF" TargetMode="External"/><Relationship Id="rId647" Type="http://schemas.openxmlformats.org/officeDocument/2006/relationships/hyperlink" Target="1%20-%20RYSUNKI/1936-001-PRT-A0065346-A-Mocowanie%20na%20zewn&#261;trz.DXF" TargetMode="External"/><Relationship Id="rId689" Type="http://schemas.openxmlformats.org/officeDocument/2006/relationships/hyperlink" Target="1%20-%20RYSUNKI/1936-003-PRT-A0065584-A-Rama%20dolna.STEP" TargetMode="External"/><Relationship Id="rId854" Type="http://schemas.openxmlformats.org/officeDocument/2006/relationships/hyperlink" Target="1%20-%20RYSUNKI/1936-003-PRT-A0065622-A-Wa&#322;ek.STEP" TargetMode="External"/><Relationship Id="rId896" Type="http://schemas.openxmlformats.org/officeDocument/2006/relationships/hyperlink" Target="1%20-%20RYSUNKI/1936-003-PRT-A0069009-A-Uchwyt%20czujnika.STEP" TargetMode="External"/><Relationship Id="rId1081" Type="http://schemas.openxmlformats.org/officeDocument/2006/relationships/hyperlink" Target="1%20-%20RYSUNKI/1936-003-PRT-A0065581-A-Blacha%20g&#243;rna.DXF" TargetMode="External"/><Relationship Id="rId1277" Type="http://schemas.openxmlformats.org/officeDocument/2006/relationships/hyperlink" Target="1%20-%20RYSUNKI/1936-004-PRT-A0065648-A-Korpus%20g&#322;&#243;wny.STEP" TargetMode="External"/><Relationship Id="rId1302" Type="http://schemas.openxmlformats.org/officeDocument/2006/relationships/hyperlink" Target="1%20-%20RYSUNKI/1936-004-PRT-A0065710-A-Mocowanie%20wa&#322;&#243;w%20g&#322;&#243;wnych.PDF" TargetMode="External"/><Relationship Id="rId39" Type="http://schemas.openxmlformats.org/officeDocument/2006/relationships/hyperlink" Target="1%20-%20RYSUNKI/1881-04-PRT-A0030589-A-Mocowanie%20gniazda.STEP" TargetMode="External"/><Relationship Id="rId286" Type="http://schemas.openxmlformats.org/officeDocument/2006/relationships/hyperlink" Target="1%20-%20RYSUNKI/1936-010-PRT-A0065233-A-Mocowanie.PDF" TargetMode="External"/><Relationship Id="rId451" Type="http://schemas.openxmlformats.org/officeDocument/2006/relationships/hyperlink" Target="1%20-%20RYSUNKI/1936-001-PRT-A0065361-A-Mocownaie%20korytka.PDF" TargetMode="External"/><Relationship Id="rId493" Type="http://schemas.openxmlformats.org/officeDocument/2006/relationships/hyperlink" Target="1%20-%20RYSUNKI/1936-011-PRT-A0065376-A-Mocowanie%20zawor&#243;w.PDF" TargetMode="External"/><Relationship Id="rId507" Type="http://schemas.openxmlformats.org/officeDocument/2006/relationships/hyperlink" Target="1%20-%20RYSUNKI/1936-011-PRT-A0065375-A-Blacha.STEP" TargetMode="External"/><Relationship Id="rId549" Type="http://schemas.openxmlformats.org/officeDocument/2006/relationships/hyperlink" Target="1%20-%20RYSUNKI/1936-004-PRT-A0065314-A-Dystans%20magnesu.STEP" TargetMode="External"/><Relationship Id="rId714" Type="http://schemas.openxmlformats.org/officeDocument/2006/relationships/hyperlink" Target="1%20-%20RYSUNKI/1936-001-PRT-A0065319-A-Os&#322;ona.STEP" TargetMode="External"/><Relationship Id="rId756" Type="http://schemas.openxmlformats.org/officeDocument/2006/relationships/hyperlink" Target="1%20-%20RYSUNKI/1936-003-PRT-A0065467-A-Gniazdo.STEP" TargetMode="External"/><Relationship Id="rId921" Type="http://schemas.openxmlformats.org/officeDocument/2006/relationships/hyperlink" Target="1%20-%20RYSUNKI/1936-003-PRT-A0065535-A-Blacha%20prowadnika.PDF" TargetMode="External"/><Relationship Id="rId1137" Type="http://schemas.openxmlformats.org/officeDocument/2006/relationships/hyperlink" Target="1%20-%20RYSUNKI\1936-002-PRT-A0065280-A-Trzpie&#324;%20Bazuj&#261;cy.PDF" TargetMode="External"/><Relationship Id="rId1179" Type="http://schemas.openxmlformats.org/officeDocument/2006/relationships/hyperlink" Target="1%20-%20RYSUNKI/1936-004-PRT-A0065680-A-Mocowanie%20Gniazda.PDF" TargetMode="External"/><Relationship Id="rId1344" Type="http://schemas.openxmlformats.org/officeDocument/2006/relationships/hyperlink" Target="1%20-%20RYSUNKI/1936-004-PRT-A0065728-A-Mocowanie%20zespo&#322;u.PDF" TargetMode="External"/><Relationship Id="rId50" Type="http://schemas.openxmlformats.org/officeDocument/2006/relationships/hyperlink" Target="1%20-%20RYSUNKI/1936-005-PRT-A0065140-A-Blacha%20.DXF" TargetMode="External"/><Relationship Id="rId104" Type="http://schemas.openxmlformats.org/officeDocument/2006/relationships/hyperlink" Target="1%20-%20RYSUNKI/1936-005-PRT-A0065114-A-Blacha%20Drukarki%20III.DXF" TargetMode="External"/><Relationship Id="rId146" Type="http://schemas.openxmlformats.org/officeDocument/2006/relationships/hyperlink" Target="1%20-%20RYSUNKI/1936-005-PRT-A0065123-A-Blacha%20Stanowisko%20Skr&#281;cania.DXF" TargetMode="External"/><Relationship Id="rId188" Type="http://schemas.openxmlformats.org/officeDocument/2006/relationships/hyperlink" Target="1%20-%20RYSUNKI/1936-005-PRT-A0065127-A-Os&#322;ona.DXF" TargetMode="External"/><Relationship Id="rId311" Type="http://schemas.openxmlformats.org/officeDocument/2006/relationships/hyperlink" Target="1%20-%20RYSUNKI/0000_Stanowiska_Wspornik%20III-G.DXF" TargetMode="External"/><Relationship Id="rId353" Type="http://schemas.openxmlformats.org/officeDocument/2006/relationships/hyperlink" Target="1%20-%20RYSUNKI/1936-001-PRT-A0065329-A-P&#322;yta%20SICK.DXF" TargetMode="External"/><Relationship Id="rId395" Type="http://schemas.openxmlformats.org/officeDocument/2006/relationships/hyperlink" Target="1%20-%20RYSUNKI/1936-001-PRT-A0065321-A-Kostka%20mocowanie%20blokady.DXF" TargetMode="External"/><Relationship Id="rId409" Type="http://schemas.openxmlformats.org/officeDocument/2006/relationships/hyperlink" Target="1%20-%20RYSUNKI/1936-001-PRT-A0065389-A-Mocowanie%20odbojnika.PDF" TargetMode="External"/><Relationship Id="rId560" Type="http://schemas.openxmlformats.org/officeDocument/2006/relationships/hyperlink" Target="1%20-%20RYSUNKI/1936-004-PRT-A0065316-A-Mocowanie%20rozdzielacza.DXF" TargetMode="External"/><Relationship Id="rId798" Type="http://schemas.openxmlformats.org/officeDocument/2006/relationships/hyperlink" Target="1%20-%20RYSUNKI/1936-003-PRT-A0065466-A-P&#322;yta%20sto&#322;u.STEP" TargetMode="External"/><Relationship Id="rId963" Type="http://schemas.openxmlformats.org/officeDocument/2006/relationships/hyperlink" Target="1%20-%20RYSUNKI\1936-003-PRT-A0065432-A-Os&#322;ona%20laser.PDF" TargetMode="External"/><Relationship Id="rId1039" Type="http://schemas.openxmlformats.org/officeDocument/2006/relationships/hyperlink" Target="1%20-%20RYSUNKI/1936-003-PRT-A0065576-A-Os&#322;ona%20lewa%20dolna.DXF" TargetMode="External"/><Relationship Id="rId1190" Type="http://schemas.openxmlformats.org/officeDocument/2006/relationships/hyperlink" Target="1%20-%20RYSUNKI/1936-004-PRT-A0065671-A-Gniazdo%20obudowy%20g&#243;rnej.STEP" TargetMode="External"/><Relationship Id="rId1204" Type="http://schemas.openxmlformats.org/officeDocument/2006/relationships/hyperlink" Target="1%20-%20RYSUNKI/1936-004-PRT-A0065654-A-Mocowanie%20skanera.DXF" TargetMode="External"/><Relationship Id="rId1246" Type="http://schemas.openxmlformats.org/officeDocument/2006/relationships/hyperlink" Target="1%20-%20RYSUNKI/1936-004-PRT-A0065639-A-Adapter%20przewodu%20wkr&#281;tarki.DXF" TargetMode="External"/><Relationship Id="rId92" Type="http://schemas.openxmlformats.org/officeDocument/2006/relationships/hyperlink" Target="1%20-%20RYSUNKI/1936-005-PRT-A0065147-A-K&#261;townik%20g&#243;rny%20szuflady.DXF" TargetMode="External"/><Relationship Id="rId213" Type="http://schemas.openxmlformats.org/officeDocument/2006/relationships/hyperlink" Target="1%20-%20RYSUNKI/1936-005-PRT-A0065121-A-Os&#322;ona.STEP" TargetMode="External"/><Relationship Id="rId420" Type="http://schemas.openxmlformats.org/officeDocument/2006/relationships/hyperlink" Target="1%20-%20RYSUNKI/1936-001-PRT-A0065292-A-Os&#322;ona.STEP" TargetMode="External"/><Relationship Id="rId616" Type="http://schemas.openxmlformats.org/officeDocument/2006/relationships/hyperlink" Target="1%20-%20RYSUNKI/1936-001-PRT-A0065343-A-Os&#322;ona.PDF" TargetMode="External"/><Relationship Id="rId658" Type="http://schemas.openxmlformats.org/officeDocument/2006/relationships/hyperlink" Target="1%20-%20RYSUNKI/1936-003-PRT-A0065530-A-&#379;ebro%201.PDF" TargetMode="External"/><Relationship Id="rId823" Type="http://schemas.openxmlformats.org/officeDocument/2006/relationships/hyperlink" Target="1%20-%20RYSUNKI/1936-003-PRT-A0065626-A-Suport%202.DXF" TargetMode="External"/><Relationship Id="rId865" Type="http://schemas.openxmlformats.org/officeDocument/2006/relationships/hyperlink" Target="1%20-%20RYSUNKI/1936-003-PRT-A0065619-A-Korpus%20przek&#322;adni.DXF" TargetMode="External"/><Relationship Id="rId1050" Type="http://schemas.openxmlformats.org/officeDocument/2006/relationships/hyperlink" Target="1%20-%20RYSUNKI/1936-003-PRT-A0065480-A-Blacha%20tylnia%201.PDF" TargetMode="External"/><Relationship Id="rId1288" Type="http://schemas.openxmlformats.org/officeDocument/2006/relationships/hyperlink" Target="1%20-%20RYSUNKI/1936-004-PRT-A0065729-A-K&#261;townik%20wzmacniaj&#261;cy.DXF" TargetMode="External"/><Relationship Id="rId255" Type="http://schemas.openxmlformats.org/officeDocument/2006/relationships/hyperlink" Target="1%20-%20RYSUNKI/0002_Spadnie_Tuleja%20k&#243;&#322;kostopki-E.STEP" TargetMode="External"/><Relationship Id="rId297" Type="http://schemas.openxmlformats.org/officeDocument/2006/relationships/hyperlink" Target="1%20-%20RYSUNKI/1936-010-PRT-A0065219-A-Podajnik%20pude&#322;ek.STEP" TargetMode="External"/><Relationship Id="rId462" Type="http://schemas.openxmlformats.org/officeDocument/2006/relationships/hyperlink" Target="1%20-%20RYSUNKI/1936-001-PRT-A0065353-A-Wspornik%20III.STEP" TargetMode="External"/><Relationship Id="rId518" Type="http://schemas.openxmlformats.org/officeDocument/2006/relationships/hyperlink" Target="1%20-%20RYSUNKI/1936-004-PRT-A0065298-A-Trzpie&#324;%20za&#347;lepczy.DXF" TargetMode="External"/><Relationship Id="rId725" Type="http://schemas.openxmlformats.org/officeDocument/2006/relationships/hyperlink" Target="1%20-%20RYSUNKI/1936-001-PRT-A0065403-A-Os&#322;ona.DXF" TargetMode="External"/><Relationship Id="rId932" Type="http://schemas.openxmlformats.org/officeDocument/2006/relationships/hyperlink" Target="1%20-%20RYSUNKI/1936-003-PRT-A0065599-A-P&#322;yta%20Zebry.STEP" TargetMode="External"/><Relationship Id="rId1092" Type="http://schemas.openxmlformats.org/officeDocument/2006/relationships/hyperlink" Target="1%20-%20RYSUNKI/1936-003-PRT-A0065513-A-Os&#322;ona%20przednia%20g&#243;rna.PDF" TargetMode="External"/><Relationship Id="rId1106" Type="http://schemas.openxmlformats.org/officeDocument/2006/relationships/hyperlink" Target="1%20-%20RYSUNKI/1936-003-PRT-A0065589-A-Os&#322;ona%20przednia.STEP" TargetMode="External"/><Relationship Id="rId1148" Type="http://schemas.openxmlformats.org/officeDocument/2006/relationships/hyperlink" Target="1%20-%20RYSUNKI/1936-002-PRT-A0065283-A-P&#322;yta%20paletki.STEP" TargetMode="External"/><Relationship Id="rId1313" Type="http://schemas.openxmlformats.org/officeDocument/2006/relationships/hyperlink" Target="1%20-%20RYSUNKI/1936-004-PRT-A0065701-A-Podpora%20os&#322;ony.STEP" TargetMode="External"/><Relationship Id="rId1355" Type="http://schemas.openxmlformats.org/officeDocument/2006/relationships/hyperlink" Target="1%20-%20RYSUNKI/1936-003-PRT-A0065709-A-Mocowanie%20Amortyzatora.STEP" TargetMode="External"/><Relationship Id="rId115" Type="http://schemas.openxmlformats.org/officeDocument/2006/relationships/hyperlink" Target="1%20-%20RYSUNKI/1936-005-PRT-A0065161-A-Blokada%20trzpienia%20szuflady.PDF" TargetMode="External"/><Relationship Id="rId157" Type="http://schemas.openxmlformats.org/officeDocument/2006/relationships/hyperlink" Target="1%20-%20RYSUNKI/1936-005-PRT-A0066025-A-Mocowanie%20prowadnika.PDF" TargetMode="External"/><Relationship Id="rId322" Type="http://schemas.openxmlformats.org/officeDocument/2006/relationships/hyperlink" Target="1%20-%20RYSUNKI/1936-004-PRT-A0065366-A-Os&#322;ona%20bramki.PDF" TargetMode="External"/><Relationship Id="rId364" Type="http://schemas.openxmlformats.org/officeDocument/2006/relationships/hyperlink" Target="1%20-%20RYSUNKI/1936-003-PRT-A0066055-A-Uchwyt%20kontrolera%20lasera.PDF" TargetMode="External"/><Relationship Id="rId767" Type="http://schemas.openxmlformats.org/officeDocument/2006/relationships/hyperlink" Target="1%20-%20RYSUNKI/1936-003-PRT-A0065432-A-Os&#322;ona%20laser.DXF" TargetMode="External"/><Relationship Id="rId974" Type="http://schemas.openxmlformats.org/officeDocument/2006/relationships/hyperlink" Target="1%20-%20RYSUNKI/1936-003-PRT-A0065487-A-Os&#322;ona%20p&#322;yty%20sto&#322;u.STEP" TargetMode="External"/><Relationship Id="rId1008" Type="http://schemas.openxmlformats.org/officeDocument/2006/relationships/hyperlink" Target="1%20-%20RYSUNKI/1936-003-PRT-A0065500-A-Os&#322;ona%20ramki%20skr&#281;cania%203.PDF" TargetMode="External"/><Relationship Id="rId1215" Type="http://schemas.openxmlformats.org/officeDocument/2006/relationships/hyperlink" Target="1%20-%20RYSUNKI/1936-004-PRT-A0065678-A-Gniazdo%20obudowy%20g&#243;rnej.PDF" TargetMode="External"/><Relationship Id="rId61" Type="http://schemas.openxmlformats.org/officeDocument/2006/relationships/hyperlink" Target="1%20-%20RYSUNKI/1936-005-PRT-A0065144-A-Prowadzenie%20Pude&#322;ek.PDF" TargetMode="External"/><Relationship Id="rId199" Type="http://schemas.openxmlformats.org/officeDocument/2006/relationships/hyperlink" Target="1%20-%20RYSUNKI/1936-005-PRT-A0065193-A-Os&#322;ona.PDF" TargetMode="External"/><Relationship Id="rId571" Type="http://schemas.openxmlformats.org/officeDocument/2006/relationships/hyperlink" Target="1%20-%20RYSUNKI/1936-001-PRT-A0065100-A-Adapter%20uchwytu%20NOVUS.PDF" TargetMode="External"/><Relationship Id="rId627" Type="http://schemas.openxmlformats.org/officeDocument/2006/relationships/hyperlink" Target="1%20-%20RYSUNKI/1936-001-PRT-A0065338-A-Os&#322;ona.STEP" TargetMode="External"/><Relationship Id="rId669" Type="http://schemas.openxmlformats.org/officeDocument/2006/relationships/hyperlink" Target="1%20-%20RYSUNKI/1936-003-PRT-A0065525-A-Ramka%20pod%20skr&#281;canie.STEP" TargetMode="External"/><Relationship Id="rId834" Type="http://schemas.openxmlformats.org/officeDocument/2006/relationships/hyperlink" Target="1%20-%20RYSUNKI/1936-003-PRT-A0065617-A-Zderzak.PDF" TargetMode="External"/><Relationship Id="rId876" Type="http://schemas.openxmlformats.org/officeDocument/2006/relationships/hyperlink" Target="1%20-%20RYSUNKI/1936-003-PRT-A0065601-A-Blaszka%201.PDF" TargetMode="External"/><Relationship Id="rId1257" Type="http://schemas.openxmlformats.org/officeDocument/2006/relationships/hyperlink" Target="1%20-%20RYSUNKI\1936-004-PRT-A0065702-A-Wa&#322;ek%20.PDF" TargetMode="External"/><Relationship Id="rId1299" Type="http://schemas.openxmlformats.org/officeDocument/2006/relationships/hyperlink" Target="1%20-%20RYSUNKI\1936-004-PRT-A0065713-A-Podstawa%20gniazda%20skr&#281;cania.PDF" TargetMode="External"/><Relationship Id="rId19" Type="http://schemas.openxmlformats.org/officeDocument/2006/relationships/hyperlink" Target="1%20-%20RYSUNKI/1881-04-PRT-A0030591-A-Mocowanie%20skanera.PDF" TargetMode="External"/><Relationship Id="rId224" Type="http://schemas.openxmlformats.org/officeDocument/2006/relationships/hyperlink" Target="1%20-%20RYSUNKI/1936-005-PRT-A0065112-A-Mocowanie.DXF" TargetMode="External"/><Relationship Id="rId266" Type="http://schemas.openxmlformats.org/officeDocument/2006/relationships/hyperlink" Target="1%20-%20RYSUNKI/1936-006-PRT-A0065424-A-P&#243;&#322;ka.DXF" TargetMode="External"/><Relationship Id="rId431" Type="http://schemas.openxmlformats.org/officeDocument/2006/relationships/hyperlink" Target="1%20-%20RYSUNKI/1936-005-PRT-A0066027-A-Mocowanie%20gniazda.DXF" TargetMode="External"/><Relationship Id="rId473" Type="http://schemas.openxmlformats.org/officeDocument/2006/relationships/hyperlink" Target="1%20-%20RYSUNKI/1936-001-PRT-A0068096-A-Tuleja%20magnesu.DXF" TargetMode="External"/><Relationship Id="rId529" Type="http://schemas.openxmlformats.org/officeDocument/2006/relationships/hyperlink" Target="1%20-%20RYSUNKI\1936-004-PRT-A0065299-A-Kostka%20rozdzielajaca.PDF" TargetMode="External"/><Relationship Id="rId680" Type="http://schemas.openxmlformats.org/officeDocument/2006/relationships/hyperlink" Target="1%20-%20RYSUNKI/1936-003-PRT-A0065521-A-Wa&#322;ek.DXF" TargetMode="External"/><Relationship Id="rId736" Type="http://schemas.openxmlformats.org/officeDocument/2006/relationships/hyperlink" Target="1%20-%20RYSUNKI/1936-001-PRT-A0065383-A-Os&#322;ona.PDF" TargetMode="External"/><Relationship Id="rId901" Type="http://schemas.openxmlformats.org/officeDocument/2006/relationships/hyperlink" Target="1%20-%20RYSUNKI/1936-003-PRT-A0065546-A-Os&#322;ona.DXF" TargetMode="External"/><Relationship Id="rId1061" Type="http://schemas.openxmlformats.org/officeDocument/2006/relationships/hyperlink" Target="1%20-%20RYSUNKI/1936-003-PRT-A0065592-A-Uchwyt%20prowadnicy.STEP" TargetMode="External"/><Relationship Id="rId1117" Type="http://schemas.openxmlformats.org/officeDocument/2006/relationships/hyperlink" Target="1%20-%20RYSUNKI/1936-003-PRT-A0065517-A-K&#261;townik%201.DXF" TargetMode="External"/><Relationship Id="rId1159" Type="http://schemas.openxmlformats.org/officeDocument/2006/relationships/hyperlink" Target="1%20-%20RYSUNKI/1936-001-PRT-A0065368-A-Mocowanie%20OPTO.DXF" TargetMode="External"/><Relationship Id="rId1324" Type="http://schemas.openxmlformats.org/officeDocument/2006/relationships/hyperlink" Target="1%20-%20RYSUNKI/1936-004-PRT-A0065686-A-P&#322;yta%20pionowa%20wkr&#281;tarek.DXF" TargetMode="External"/><Relationship Id="rId1366" Type="http://schemas.openxmlformats.org/officeDocument/2006/relationships/hyperlink" Target="1%20-%20RYSUNKI/1936-004-PRT-A0069183-A-Zderzak.DXF" TargetMode="External"/><Relationship Id="rId30" Type="http://schemas.openxmlformats.org/officeDocument/2006/relationships/hyperlink" Target="1%20-%20RYSUNKI/1881-04-PRT-A0030651-A-Mocowanie%20Gniazda.STEP" TargetMode="External"/><Relationship Id="rId126" Type="http://schemas.openxmlformats.org/officeDocument/2006/relationships/hyperlink" Target="1%20-%20RYSUNKI/1936-005-PRT-A0065202-A-Wzmocnienie%20tr&#243;jk&#261;tne.STEP" TargetMode="External"/><Relationship Id="rId168" Type="http://schemas.openxmlformats.org/officeDocument/2006/relationships/hyperlink" Target="1%20-%20RYSUNKI/1936-005-PRT-A0065209-A-K&#261;townik.STEP" TargetMode="External"/><Relationship Id="rId333" Type="http://schemas.openxmlformats.org/officeDocument/2006/relationships/hyperlink" Target="1%20-%20RYSUNKI/1936-005-PRT-A0065257-A-K&#261;townik%20g&#243;rny%20szuflady.STEP" TargetMode="External"/><Relationship Id="rId540" Type="http://schemas.openxmlformats.org/officeDocument/2006/relationships/hyperlink" Target="1%20-%20RYSUNKI/1936-004-PRT-A0068073-A-Dystans.STEP" TargetMode="External"/><Relationship Id="rId778" Type="http://schemas.openxmlformats.org/officeDocument/2006/relationships/hyperlink" Target="1%20-%20RYSUNKI/1936-003-PRT-A0065433-A-Mocowanie%20os&#322;ony%20&#347;rodkowej.PDF" TargetMode="External"/><Relationship Id="rId943" Type="http://schemas.openxmlformats.org/officeDocument/2006/relationships/hyperlink" Target="1%20-%20RYSUNKI/1936-003-PRT-A0065595-A-P&#322;ytka%20zawiasu.DXF" TargetMode="External"/><Relationship Id="rId985" Type="http://schemas.openxmlformats.org/officeDocument/2006/relationships/hyperlink" Target="1%20-%20RYSUNKI/1936-003-PRT-A0065553-A-K&#261;townik.DXF" TargetMode="External"/><Relationship Id="rId1019" Type="http://schemas.openxmlformats.org/officeDocument/2006/relationships/hyperlink" Target="1%20-%20RYSUNKI/1936-003-PRT-A0065555-A-Os&#322;ona%20szafy%205.STEP" TargetMode="External"/><Relationship Id="rId1170" Type="http://schemas.openxmlformats.org/officeDocument/2006/relationships/hyperlink" Target="1%20-%20RYSUNKI/1936-001-PRT-A0066534-A-Wzorzec%20ostateczny%20RFID.PDF" TargetMode="External"/><Relationship Id="rId72" Type="http://schemas.openxmlformats.org/officeDocument/2006/relationships/hyperlink" Target="1%20-%20RYSUNKI/1936-005-PRT-A0065134-A-Mocowanie%20czujnika.STEP" TargetMode="External"/><Relationship Id="rId375" Type="http://schemas.openxmlformats.org/officeDocument/2006/relationships/hyperlink" Target="1%20-%20RYSUNKI/1936-001-PRT-A0065407-A-Os&#322;ona%20czujnika.STEP" TargetMode="External"/><Relationship Id="rId582" Type="http://schemas.openxmlformats.org/officeDocument/2006/relationships/hyperlink" Target="1%20-%20RYSUNKI/1936-001-PRT-A0068567-A-Mocowanie%20pude&#322;ka%203.STEP" TargetMode="External"/><Relationship Id="rId638" Type="http://schemas.openxmlformats.org/officeDocument/2006/relationships/hyperlink" Target="1%20-%20RYSUNKI/1936-001-PRT-A0065331-A-Mocowanie.DXF" TargetMode="External"/><Relationship Id="rId803" Type="http://schemas.openxmlformats.org/officeDocument/2006/relationships/hyperlink" Target="1%20-%20RYSUNKI/1936-003-PRT-A0065633-A-Ko&#322;o%20sto&#380;kowe%202.STEP" TargetMode="External"/><Relationship Id="rId845" Type="http://schemas.openxmlformats.org/officeDocument/2006/relationships/hyperlink" Target="1%20-%20RYSUNKI/1936-003-PRT-A0065627-A-&#346;ruba%20trapezowa%20TR28x5%20lewa.STEP" TargetMode="External"/><Relationship Id="rId1030" Type="http://schemas.openxmlformats.org/officeDocument/2006/relationships/hyperlink" Target="1%20-%20RYSUNKI/1936-003-PRT-A0065511-A-Os&#322;ona%20szafy%204.DXF" TargetMode="External"/><Relationship Id="rId1226" Type="http://schemas.openxmlformats.org/officeDocument/2006/relationships/hyperlink" Target="1%20-%20RYSUNKI/1936-004-PRT-A0065641-A-Blokada%20bita.STEP" TargetMode="External"/><Relationship Id="rId1268" Type="http://schemas.openxmlformats.org/officeDocument/2006/relationships/hyperlink" Target="1%20-%20RYSUNKI/1936-004-PRT-A0065722-A-Oslona.STEP" TargetMode="External"/><Relationship Id="rId3" Type="http://schemas.openxmlformats.org/officeDocument/2006/relationships/hyperlink" Target="1%20-%20RYSUNKI/1881-04-PRT-A0030649-A-Gniazdo%20obudowy%20g&#243;rnej.STEP" TargetMode="External"/><Relationship Id="rId235" Type="http://schemas.openxmlformats.org/officeDocument/2006/relationships/hyperlink" Target="1%20-%20RYSUNKI/1936-005-PRT-A0065208-C-Mocowanie%20Supportu.PDF" TargetMode="External"/><Relationship Id="rId277" Type="http://schemas.openxmlformats.org/officeDocument/2006/relationships/hyperlink" Target="1%20-%20RYSUNKI/1936-010-PRT-A0065216-A-Oslona%20spadni%20w&#261;ska.PDF" TargetMode="External"/><Relationship Id="rId400" Type="http://schemas.openxmlformats.org/officeDocument/2006/relationships/hyperlink" Target="1%20-%20RYSUNKI/1936-001-PRT-A0065421-A-Mocowanie%20Transportera.PDF" TargetMode="External"/><Relationship Id="rId442" Type="http://schemas.openxmlformats.org/officeDocument/2006/relationships/hyperlink" Target="1%20-%20RYSUNKI/1936-001-PRT-A0065398-A-Blacha.PDF" TargetMode="External"/><Relationship Id="rId484" Type="http://schemas.openxmlformats.org/officeDocument/2006/relationships/hyperlink" Target="1%20-%20RYSUNKI/1936-001-PRT-A0065267-A-K&#261;townik%20przep&#322;ywomierza.PDF" TargetMode="External"/><Relationship Id="rId705" Type="http://schemas.openxmlformats.org/officeDocument/2006/relationships/hyperlink" Target="1%20-%20RYSUNKI/1936-005-PRT-A0065159-A-Mocowanie%20gniazdka.STEP" TargetMode="External"/><Relationship Id="rId887" Type="http://schemas.openxmlformats.org/officeDocument/2006/relationships/hyperlink" Target="1%20-%20RYSUNKI/1936-003-PRT-A0065609-A-Blacha%20regulacji.STEP" TargetMode="External"/><Relationship Id="rId1072" Type="http://schemas.openxmlformats.org/officeDocument/2006/relationships/hyperlink" Target="1%20-%20RYSUNKI/1936-003-PRT-A0065594-A-Os&#322;ona%20dolna.DXF" TargetMode="External"/><Relationship Id="rId1128" Type="http://schemas.openxmlformats.org/officeDocument/2006/relationships/hyperlink" Target="1%20-%20RYSUNKI/1936-005-PRT-A0068994-A-Mocowanie%20ASK%20drukarki.PDF" TargetMode="External"/><Relationship Id="rId1335" Type="http://schemas.openxmlformats.org/officeDocument/2006/relationships/hyperlink" Target="1%20-%20RYSUNKI/1936-004-PRT-A0065716-A-Dystans.PDF" TargetMode="External"/><Relationship Id="rId137" Type="http://schemas.openxmlformats.org/officeDocument/2006/relationships/hyperlink" Target="1%20-%20RYSUNKI/1936-005-PRT-A0066016-A-Mocowanie%20os&#322;ony.DXF" TargetMode="External"/><Relationship Id="rId302" Type="http://schemas.openxmlformats.org/officeDocument/2006/relationships/hyperlink" Target="1%20-%20RYSUNKI/1936-001-PRT-A0065416-A-&#346;lizg.DXF" TargetMode="External"/><Relationship Id="rId344" Type="http://schemas.openxmlformats.org/officeDocument/2006/relationships/hyperlink" Target="1%20-%20RYSUNKI/1936-001-PRT-A0065388-A-Odb&#243;j%20magnesu.DXF" TargetMode="External"/><Relationship Id="rId691" Type="http://schemas.openxmlformats.org/officeDocument/2006/relationships/hyperlink" Target="1%20-%20RYSUNKI/1936-003-PRT-A0065566-A-P&#322;ytka%20stopki.DXF" TargetMode="External"/><Relationship Id="rId747" Type="http://schemas.openxmlformats.org/officeDocument/2006/relationships/hyperlink" Target="1%20-%20RYSUNKI/1936-003-PRT-A0065474-A-K&#261;townik%20gniazda.STEP" TargetMode="External"/><Relationship Id="rId789" Type="http://schemas.openxmlformats.org/officeDocument/2006/relationships/hyperlink" Target="1%20-%20RYSUNKI/1936-003-PRT-A0065462-A-Kostka%20pneumatyczna.STEP" TargetMode="External"/><Relationship Id="rId912" Type="http://schemas.openxmlformats.org/officeDocument/2006/relationships/hyperlink" Target="1%20-%20RYSUNKI/1936-003-PRT-A0068977-A-Kostka%20amortyzatora.PDF" TargetMode="External"/><Relationship Id="rId954" Type="http://schemas.openxmlformats.org/officeDocument/2006/relationships/hyperlink" Target="1%20-%20RYSUNKI/1936-003-PRT-A0065571-A-Kotwa.PDF" TargetMode="External"/><Relationship Id="rId996" Type="http://schemas.openxmlformats.org/officeDocument/2006/relationships/hyperlink" Target="1%20-%20RYSUNKI/1936-003-PRT-A0065562-A-Os&#322;ona%20prz&#243;d.PDF" TargetMode="External"/><Relationship Id="rId1377" Type="http://schemas.openxmlformats.org/officeDocument/2006/relationships/hyperlink" Target="1%20-%20RYSUNKI/1936-005-PRT-A0070044-A-Mocowanie%20Lampki.PDF" TargetMode="External"/><Relationship Id="rId41" Type="http://schemas.openxmlformats.org/officeDocument/2006/relationships/hyperlink" Target="1%20-%20RYSUNKI/1881-04-PRT-A0030654-A-Dystans.DXF" TargetMode="External"/><Relationship Id="rId83" Type="http://schemas.openxmlformats.org/officeDocument/2006/relationships/hyperlink" Target="1%20-%20RYSUNKI/1936-005-PRT-A0065175-A-Gniazdo%20Obudowy%20G&#243;rnej.DXF" TargetMode="External"/><Relationship Id="rId179" Type="http://schemas.openxmlformats.org/officeDocument/2006/relationships/hyperlink" Target="1%20-%20RYSUNKI/1936-005-PRT-A0065151-A-Uchwyt%20wentylatora%20I.DXF" TargetMode="External"/><Relationship Id="rId386" Type="http://schemas.openxmlformats.org/officeDocument/2006/relationships/hyperlink" Target="1%20-%20RYSUNKI/1936-001-PRT-A0065323-A-Pojemnik.DXF" TargetMode="External"/><Relationship Id="rId551" Type="http://schemas.openxmlformats.org/officeDocument/2006/relationships/hyperlink" Target="1%20-%20RYSUNKI/1936-004-PRT-A0065313-A-Ko&#322;nierz%20Przewodu%20rozdzielacza.DXF" TargetMode="External"/><Relationship Id="rId593" Type="http://schemas.openxmlformats.org/officeDocument/2006/relationships/hyperlink" Target="1%20-%20RYSUNKI/1936-004-PRT-A0065638-A-Ustnik.DXF" TargetMode="External"/><Relationship Id="rId607" Type="http://schemas.openxmlformats.org/officeDocument/2006/relationships/hyperlink" Target="1%20-%20RYSUNKI/1936-001-PRT-A0065350-A-Os&#322;ona.PDF" TargetMode="External"/><Relationship Id="rId649" Type="http://schemas.openxmlformats.org/officeDocument/2006/relationships/hyperlink" Target="1%20-%20RYSUNKI/1936-001-PRT-A0065345-A-Mocowanie%20do%20wewn&#261;trz.PDF" TargetMode="External"/><Relationship Id="rId814" Type="http://schemas.openxmlformats.org/officeDocument/2006/relationships/hyperlink" Target="1%20-%20RYSUNKI/1936-003-PRT-A0065618-A-Suport.DXF" TargetMode="External"/><Relationship Id="rId856" Type="http://schemas.openxmlformats.org/officeDocument/2006/relationships/hyperlink" Target="1%20-%20RYSUNKI/1936-003-PRT-A0065628-A-Pokrywa.DXF" TargetMode="External"/><Relationship Id="rId1181" Type="http://schemas.openxmlformats.org/officeDocument/2006/relationships/hyperlink" Target="1%20-%20RYSUNKI/1936-004-PRT-A0065680-A-Mocowanie%20Gniazda.STEP" TargetMode="External"/><Relationship Id="rId1237" Type="http://schemas.openxmlformats.org/officeDocument/2006/relationships/hyperlink" Target="1%20-%20RYSUNKI/1936-004-PRT-A0065642-A-Korpus%20bita.DXF" TargetMode="External"/><Relationship Id="rId1279" Type="http://schemas.openxmlformats.org/officeDocument/2006/relationships/hyperlink" Target="1%20-%20RYSUNKI/1936-004-PRT-A0068972-B-Dystans%20skr&#281;cania.DXF" TargetMode="External"/><Relationship Id="rId190" Type="http://schemas.openxmlformats.org/officeDocument/2006/relationships/hyperlink" Target="1%20-%20RYSUNKI/1936-005-PRT-A0065116-A-Os&#322;ona.PDF" TargetMode="External"/><Relationship Id="rId204" Type="http://schemas.openxmlformats.org/officeDocument/2006/relationships/hyperlink" Target="1%20-%20RYSUNKI/1936-005-PRT-A0065191-A-Wpustka%20czujnika.STEP" TargetMode="External"/><Relationship Id="rId246" Type="http://schemas.openxmlformats.org/officeDocument/2006/relationships/hyperlink" Target="1%20-%20RYSUNKI/1936-008-PRT-A0065107-A-Os&#322;ona.STEP" TargetMode="External"/><Relationship Id="rId288" Type="http://schemas.openxmlformats.org/officeDocument/2006/relationships/hyperlink" Target="1%20-%20RYSUNKI/1936-010-PRT-A0065233-A-Mocowanie.STEP" TargetMode="External"/><Relationship Id="rId411" Type="http://schemas.openxmlformats.org/officeDocument/2006/relationships/hyperlink" Target="1%20-%20RYSUNKI/1936-001-PRT-A0065389-A-Mocowanie%20odbojnika.STEP" TargetMode="External"/><Relationship Id="rId453" Type="http://schemas.openxmlformats.org/officeDocument/2006/relationships/hyperlink" Target="1%20-%20RYSUNKI/1936-001-PRT-A0065361-A-Mocownaie%20korytka.STEP" TargetMode="External"/><Relationship Id="rId509" Type="http://schemas.openxmlformats.org/officeDocument/2006/relationships/hyperlink" Target="1%20-%20RYSUNKI/1936-011-PRT-A0065848-A-Kostka%20zabezpieczaj&#261;ca.DXF" TargetMode="External"/><Relationship Id="rId660" Type="http://schemas.openxmlformats.org/officeDocument/2006/relationships/hyperlink" Target="1%20-%20RYSUNKI/1936-003-PRT-A0065530-A-&#379;ebro%201.STEP" TargetMode="External"/><Relationship Id="rId898" Type="http://schemas.openxmlformats.org/officeDocument/2006/relationships/hyperlink" Target="1%20-%20RYSUNKI/1936-003-PRT-A0065534-A-Mocowanie%20prowadnika.DXF" TargetMode="External"/><Relationship Id="rId1041" Type="http://schemas.openxmlformats.org/officeDocument/2006/relationships/hyperlink" Target="1%20-%20RYSUNKI/1936-003-PRT-A0065579-A-Os&#322;ona%20prz&#243;d.PDF" TargetMode="External"/><Relationship Id="rId1083" Type="http://schemas.openxmlformats.org/officeDocument/2006/relationships/hyperlink" Target="1%20-%20RYSUNKI/1936-003-PRT-A0065484-A-Blacha%20Promatik.PDF" TargetMode="External"/><Relationship Id="rId1139" Type="http://schemas.openxmlformats.org/officeDocument/2006/relationships/hyperlink" Target="1%20-%20RYSUNKI/1936-002-PRT-A0065280-A-Trzpie&#324;%20Bazuj&#261;cy.STEP" TargetMode="External"/><Relationship Id="rId1290" Type="http://schemas.openxmlformats.org/officeDocument/2006/relationships/hyperlink" Target="1%20-%20RYSUNKI\1936-004-PRT-A0065727-A-Mocowanie%20odboju%20.PDF" TargetMode="External"/><Relationship Id="rId1304" Type="http://schemas.openxmlformats.org/officeDocument/2006/relationships/hyperlink" Target="1%20-%20RYSUNKI/1936-004-PRT-A0065710-A-Mocowanie%20wa&#322;&#243;w%20g&#322;&#243;wnych.STEP" TargetMode="External"/><Relationship Id="rId1346" Type="http://schemas.openxmlformats.org/officeDocument/2006/relationships/hyperlink" Target="1%20-%20RYSUNKI/1936-004-PRT-A0065728-A-Mocowanie%20zespo&#322;u.STEP" TargetMode="External"/><Relationship Id="rId106" Type="http://schemas.openxmlformats.org/officeDocument/2006/relationships/hyperlink" Target="1%20-%20RYSUNKI/1936-005-PRT-A0065165-A-Blacha%20Drukarki%20IV.PDF" TargetMode="External"/><Relationship Id="rId313" Type="http://schemas.openxmlformats.org/officeDocument/2006/relationships/hyperlink" Target="1%20-%20RYSUNKI/1936-001-PRT-A0065362-A-Blacha%20Pojemnika.PDF" TargetMode="External"/><Relationship Id="rId495" Type="http://schemas.openxmlformats.org/officeDocument/2006/relationships/hyperlink" Target="1%20-%20RYSUNKI/1936-011-PRT-A0065376-A-Mocowanie%20zawor&#243;w.STEP" TargetMode="External"/><Relationship Id="rId716" Type="http://schemas.openxmlformats.org/officeDocument/2006/relationships/hyperlink" Target="1%20-%20RYSUNKI/1936-001-PRT-A0065395-A-Os&#322;ona.DXF" TargetMode="External"/><Relationship Id="rId758" Type="http://schemas.openxmlformats.org/officeDocument/2006/relationships/hyperlink" Target="1%20-%20RYSUNKI/1936-003-PRT-A0065429-A-P&#322;yta%20&#347;rodkowa.DXF" TargetMode="External"/><Relationship Id="rId923" Type="http://schemas.openxmlformats.org/officeDocument/2006/relationships/hyperlink" Target="1%20-%20RYSUNKI/1936-003-PRT-A0065535-A-Blacha%20prowadnika.STEP" TargetMode="External"/><Relationship Id="rId965" Type="http://schemas.openxmlformats.org/officeDocument/2006/relationships/hyperlink" Target="1%20-%20RYSUNKI/1936-003-PRT-A0065432-A-Os&#322;ona%20laser.STEP" TargetMode="External"/><Relationship Id="rId1150" Type="http://schemas.openxmlformats.org/officeDocument/2006/relationships/hyperlink" Target="1%20-%20RYSUNKI/1936-002-PRT-A0065274-A-Pojemnik%20na%20przew&#243;d.DXF" TargetMode="External"/><Relationship Id="rId10" Type="http://schemas.openxmlformats.org/officeDocument/2006/relationships/hyperlink" Target="1%20-%20RYSUNKI/1881-04-PRT-A0030600-A-Gniazdo%20obudowy%20g&#243;rnej.PDF" TargetMode="External"/><Relationship Id="rId52" Type="http://schemas.openxmlformats.org/officeDocument/2006/relationships/hyperlink" Target="1%20-%20RYSUNKI/1936-005-PRT-A0065141-B-Mocowanie%20Lampki.PDF" TargetMode="External"/><Relationship Id="rId94" Type="http://schemas.openxmlformats.org/officeDocument/2006/relationships/hyperlink" Target="1%20-%20RYSUNKI\1936-005-PRT-A0065145-A-Blacha%20Pude&#322;ka%20II.PDF" TargetMode="External"/><Relationship Id="rId148" Type="http://schemas.openxmlformats.org/officeDocument/2006/relationships/hyperlink" Target="1%20-%20RYSUNKI\0000_Stanowiska_Wspornik%20I-D.PDF" TargetMode="External"/><Relationship Id="rId355" Type="http://schemas.openxmlformats.org/officeDocument/2006/relationships/hyperlink" Target="1%20-%20RYSUNKI/1936-003-PRT-A0066059-A-Os&#322;ona%20boczna.PDF" TargetMode="External"/><Relationship Id="rId397" Type="http://schemas.openxmlformats.org/officeDocument/2006/relationships/hyperlink" Target="1%20-%20RYSUNKI/1936-001-PRT-A0065293-A-Blokada%20Stopera%20kolizyjnego.PDF" TargetMode="External"/><Relationship Id="rId520" Type="http://schemas.openxmlformats.org/officeDocument/2006/relationships/hyperlink" Target="1%20-%20RYSUNKI\1936-004-PRT-A0065296-A-Kostka%20przewod&#243;w.PDF" TargetMode="External"/><Relationship Id="rId562" Type="http://schemas.openxmlformats.org/officeDocument/2006/relationships/hyperlink" Target="1%20-%20RYSUNKI\1936-004-PRT-A0065309-A-Ustnik.PDF" TargetMode="External"/><Relationship Id="rId618" Type="http://schemas.openxmlformats.org/officeDocument/2006/relationships/hyperlink" Target="1%20-%20RYSUNKI/1936-001-PRT-A0065343-A-Os&#322;ona.STEP" TargetMode="External"/><Relationship Id="rId825" Type="http://schemas.openxmlformats.org/officeDocument/2006/relationships/hyperlink" Target="1%20-%20RYSUNKI/1936-003-PRT-A0065623-A-&#379;ebro.PDF" TargetMode="External"/><Relationship Id="rId1192" Type="http://schemas.openxmlformats.org/officeDocument/2006/relationships/hyperlink" Target="1%20-%20RYSUNKI/1936-004-PRT-A0065669-A-Gniazdo%20obudowy%20g&#243;rnej.DXF" TargetMode="External"/><Relationship Id="rId1206" Type="http://schemas.openxmlformats.org/officeDocument/2006/relationships/hyperlink" Target="1%20-%20RYSUNKI/1936-004-PRT-A0065652-A-Gniazdo%20obudowy%20g&#243;rnej.PDF" TargetMode="External"/><Relationship Id="rId1248" Type="http://schemas.openxmlformats.org/officeDocument/2006/relationships/hyperlink" Target="1%20-%20RYSUNKI/1936-004-PRT-A0065705-A-Os&#322;ona%20w&#322;&#261;cznik&#243;w.PDF" TargetMode="External"/><Relationship Id="rId215" Type="http://schemas.openxmlformats.org/officeDocument/2006/relationships/hyperlink" Target="1%20-%20RYSUNKI/1936-005-PRT-A0065206-A-Mocowanie%20Pilota.DXF" TargetMode="External"/><Relationship Id="rId257" Type="http://schemas.openxmlformats.org/officeDocument/2006/relationships/hyperlink" Target="1%20-%20RYSUNKI/1936-007-PRT-A0065102-A-Mocowanie%20Spadni.DXF" TargetMode="External"/><Relationship Id="rId422" Type="http://schemas.openxmlformats.org/officeDocument/2006/relationships/hyperlink" Target="1%20-%20RYSUNKI/1936-001-PRT-A0065264-A-Blacha.DXF" TargetMode="External"/><Relationship Id="rId464" Type="http://schemas.openxmlformats.org/officeDocument/2006/relationships/hyperlink" Target="1%20-%20RYSUNKI/1936-001-PRT-A0065330-A-Os&#322;ona.DXF" TargetMode="External"/><Relationship Id="rId867" Type="http://schemas.openxmlformats.org/officeDocument/2006/relationships/hyperlink" Target="1%20-%20RYSUNKI/1936-003-PRT-A0065607-A-Blacha%20zamka%202.PDF" TargetMode="External"/><Relationship Id="rId1010" Type="http://schemas.openxmlformats.org/officeDocument/2006/relationships/hyperlink" Target="1%20-%20RYSUNKI/1936-003-PRT-A0065500-A-Os&#322;ona%20ramki%20skr&#281;cania%203.STEP" TargetMode="External"/><Relationship Id="rId1052" Type="http://schemas.openxmlformats.org/officeDocument/2006/relationships/hyperlink" Target="1%20-%20RYSUNKI/1936-003-PRT-A0065480-A-Blacha%20tylnia%201.STEP" TargetMode="External"/><Relationship Id="rId1094" Type="http://schemas.openxmlformats.org/officeDocument/2006/relationships/hyperlink" Target="1%20-%20RYSUNKI/1936-003-PRT-A0065513-A-Os&#322;ona%20przednia%20g&#243;rna.STEP" TargetMode="External"/><Relationship Id="rId1108" Type="http://schemas.openxmlformats.org/officeDocument/2006/relationships/hyperlink" Target="1%20-%20RYSUNKI/1936-003-PRT-A0065485-A-Kostka%20pod%20os&#322;on&#281;.DXF" TargetMode="External"/><Relationship Id="rId1315" Type="http://schemas.openxmlformats.org/officeDocument/2006/relationships/hyperlink" Target="1%20-%20RYSUNKI/1936-004-PRT-A0065696-A-P&#322;yta%20wkr&#281;tarek.DXF" TargetMode="External"/><Relationship Id="rId299" Type="http://schemas.openxmlformats.org/officeDocument/2006/relationships/hyperlink" Target="1%20-%20RYSUNKI/1936-001-PRT-A0065413-A-Mocownanie%20Slizgu.DXF" TargetMode="External"/><Relationship Id="rId727" Type="http://schemas.openxmlformats.org/officeDocument/2006/relationships/hyperlink" Target="1%20-%20RYSUNKI/1936-001-PRT-A0065396-A-Os&#322;ona.PDF" TargetMode="External"/><Relationship Id="rId934" Type="http://schemas.openxmlformats.org/officeDocument/2006/relationships/hyperlink" Target="1%20-%20RYSUNKI/1936-001-PRT-A0065499-A-Mocowanie%20w&#322;&#261;cznik&#243;w.DXF" TargetMode="External"/><Relationship Id="rId1357" Type="http://schemas.openxmlformats.org/officeDocument/2006/relationships/hyperlink" Target="1%20-%20RYSUNKI/1936-003-PRT-A0065703-A-Zderzak.DXF" TargetMode="External"/><Relationship Id="rId63" Type="http://schemas.openxmlformats.org/officeDocument/2006/relationships/hyperlink" Target="1%20-%20RYSUNKI/1936-005-PRT-A0065144-A-Prowadzenie%20Pude&#322;ek.STEP" TargetMode="External"/><Relationship Id="rId159" Type="http://schemas.openxmlformats.org/officeDocument/2006/relationships/hyperlink" Target="1%20-%20RYSUNKI/1936-005-PRT-A0066025-A-Mocowanie%20prowadnika.STEP" TargetMode="External"/><Relationship Id="rId366" Type="http://schemas.openxmlformats.org/officeDocument/2006/relationships/hyperlink" Target="1%20-%20RYSUNKI/1936-003-PRT-A0066055-A-Uchwyt%20kontrolera%20lasera.STEP" TargetMode="External"/><Relationship Id="rId573" Type="http://schemas.openxmlformats.org/officeDocument/2006/relationships/hyperlink" Target="1%20-%20RYSUNKI/1936-001-PRT-A0065100-A-Adapter%20uchwytu%20NOVUS.STEP" TargetMode="External"/><Relationship Id="rId780" Type="http://schemas.openxmlformats.org/officeDocument/2006/relationships/hyperlink" Target="1%20-%20RYSUNKI/1936-003-PRT-A0065433-A-Mocowanie%20os&#322;ony%20&#347;rodkowej.STEP" TargetMode="External"/><Relationship Id="rId1217" Type="http://schemas.openxmlformats.org/officeDocument/2006/relationships/hyperlink" Target="1%20-%20RYSUNKI/1936-004-PRT-A0065678-A-Gniazdo%20obudowy%20g&#243;rnej.STEP" TargetMode="External"/><Relationship Id="rId226" Type="http://schemas.openxmlformats.org/officeDocument/2006/relationships/hyperlink" Target="1%20-%20RYSUNKI/1936-005-PRT-A0065205-A-Mocowanie%20Przycisku.PDF" TargetMode="External"/><Relationship Id="rId433" Type="http://schemas.openxmlformats.org/officeDocument/2006/relationships/hyperlink" Target="1%20-%20RYSUNKI/1936-001-PRT-A0065418-A-Mocowanie%20tablicy%20warsztatowej.PDF" TargetMode="External"/><Relationship Id="rId878" Type="http://schemas.openxmlformats.org/officeDocument/2006/relationships/hyperlink" Target="1%20-%20RYSUNKI/1936-003-PRT-A0065601-A-Blaszka%201.STEP" TargetMode="External"/><Relationship Id="rId1063" Type="http://schemas.openxmlformats.org/officeDocument/2006/relationships/hyperlink" Target="1%20-%20RYSUNKI/1936-003-PRT-A0065568-A-Os&#322;ona%20prawa%20g&#243;rna.DXF" TargetMode="External"/><Relationship Id="rId1270" Type="http://schemas.openxmlformats.org/officeDocument/2006/relationships/hyperlink" Target="1%20-%20RYSUNKI/1936-004-PRT-A0065698-A-Oslona.DXF" TargetMode="External"/><Relationship Id="rId640" Type="http://schemas.openxmlformats.org/officeDocument/2006/relationships/hyperlink" Target="1%20-%20RYSUNKI/2020-000-PRT-A0068985-A-Os&#322;ona%20Transformatora.PDF" TargetMode="External"/><Relationship Id="rId738" Type="http://schemas.openxmlformats.org/officeDocument/2006/relationships/hyperlink" Target="1%20-%20RYSUNKI/1936-001-PRT-A0065383-A-Os&#322;ona.STEP" TargetMode="External"/><Relationship Id="rId945" Type="http://schemas.openxmlformats.org/officeDocument/2006/relationships/hyperlink" Target="1%20-%20RYSUNKI/1936-003-PRT-A0065591-A-K&#261;townik%202.PDF" TargetMode="External"/><Relationship Id="rId1368" Type="http://schemas.openxmlformats.org/officeDocument/2006/relationships/hyperlink" Target="1%20-%20RYSUNKI/1936-004-PRT-A0065726-A-Blacha%20skr&#281;cania.PDF" TargetMode="External"/><Relationship Id="rId74" Type="http://schemas.openxmlformats.org/officeDocument/2006/relationships/hyperlink" Target="1%20-%20RYSUNKI/1936-005-PRT-A0066511-A-P&#322;ytka%20Pick2Light.DXF" TargetMode="External"/><Relationship Id="rId377" Type="http://schemas.openxmlformats.org/officeDocument/2006/relationships/hyperlink" Target="1%20-%20RYSUNKI/1936-001-PRT-A0065252-A-Mocowanie%20przycisku%20bezpiecze&#324;stwa.DXF" TargetMode="External"/><Relationship Id="rId500" Type="http://schemas.openxmlformats.org/officeDocument/2006/relationships/hyperlink" Target="1%20-%20RYSUNKI/1936-011-PRT-A0065378-A-Blacha.DXF" TargetMode="External"/><Relationship Id="rId584" Type="http://schemas.openxmlformats.org/officeDocument/2006/relationships/hyperlink" Target="1%20-%20RYSUNKI/1936-001-PRT-A0068568-A-Mocowanie%20pude&#322;ka%204.DXF" TargetMode="External"/><Relationship Id="rId805" Type="http://schemas.openxmlformats.org/officeDocument/2006/relationships/hyperlink" Target="1%20-%20RYSUNKI/1936-003-PRT-A0065629-A-Dystans.DXF" TargetMode="External"/><Relationship Id="rId1130" Type="http://schemas.openxmlformats.org/officeDocument/2006/relationships/hyperlink" Target="1%20-%20RYSUNKI/1936-005-PRT-A0068994-A-Mocowanie%20ASK%20drukarki.STEP" TargetMode="External"/><Relationship Id="rId1228" Type="http://schemas.openxmlformats.org/officeDocument/2006/relationships/hyperlink" Target="1%20-%20RYSUNKI/1936-004-PRT-A0065636-A-Blokada.DXF" TargetMode="External"/><Relationship Id="rId5" Type="http://schemas.openxmlformats.org/officeDocument/2006/relationships/hyperlink" Target="1%20-%20RYSUNKI/1881-04-PRT-A0030603-A-Gniazdo%20obudowy%20g&#243;rnej.DXF" TargetMode="External"/><Relationship Id="rId237" Type="http://schemas.openxmlformats.org/officeDocument/2006/relationships/hyperlink" Target="1%20-%20RYSUNKI/1936-005-PRT-A0065208-C-Mocowanie%20Supportu.STEP" TargetMode="External"/><Relationship Id="rId791" Type="http://schemas.openxmlformats.org/officeDocument/2006/relationships/hyperlink" Target="1%20-%20RYSUNKI/1936-003-PRT-A0065463-A-Kostka.DXF" TargetMode="External"/><Relationship Id="rId889" Type="http://schemas.openxmlformats.org/officeDocument/2006/relationships/hyperlink" Target="1%20-%20RYSUNKI/1936-003-PRT-A0065427-A-Mocowanie%20skanera%201.DXF" TargetMode="External"/><Relationship Id="rId1074" Type="http://schemas.openxmlformats.org/officeDocument/2006/relationships/hyperlink" Target="1%20-%20RYSUNKI/1936-003-PRT-A0065567-A-Os&#322;ona%20lewa%201.PDF" TargetMode="External"/><Relationship Id="rId444" Type="http://schemas.openxmlformats.org/officeDocument/2006/relationships/hyperlink" Target="1%20-%20RYSUNKI/1936-001-PRT-A0065398-A-Blacha.STEP" TargetMode="External"/><Relationship Id="rId651" Type="http://schemas.openxmlformats.org/officeDocument/2006/relationships/hyperlink" Target="1%20-%20RYSUNKI/1936-001-PRT-A0065345-A-Mocowanie%20do%20wewn&#261;trz.STEP" TargetMode="External"/><Relationship Id="rId749" Type="http://schemas.openxmlformats.org/officeDocument/2006/relationships/hyperlink" Target="1%20-%20RYSUNKI/1936-003-PRT-A0065472-A-Podpora%20gniazda.DXF" TargetMode="External"/><Relationship Id="rId1281" Type="http://schemas.openxmlformats.org/officeDocument/2006/relationships/hyperlink" Target="1%20-%20RYSUNKI/1936-004-PRT-A0068388-A-K&#261;townik%20czujnika.PDF" TargetMode="External"/><Relationship Id="rId1379" Type="http://schemas.openxmlformats.org/officeDocument/2006/relationships/hyperlink" Target="1%20-%20RYSUNKI/1936-005-PRT-A0070044-A-Mocowanie%20Lampki.STEP" TargetMode="External"/><Relationship Id="rId290" Type="http://schemas.openxmlformats.org/officeDocument/2006/relationships/hyperlink" Target="1%20-%20RYSUNKI/1936-010-PRT-A0065212-A-Mocowanie%20czujnika.DXF" TargetMode="External"/><Relationship Id="rId304" Type="http://schemas.openxmlformats.org/officeDocument/2006/relationships/hyperlink" Target="1%20-%20RYSUNKI/1936-001-PRT-A0065414-A-&#346;lizg.PDF" TargetMode="External"/><Relationship Id="rId388" Type="http://schemas.openxmlformats.org/officeDocument/2006/relationships/hyperlink" Target="1%20-%20RYSUNKI/1936-001-PRT-A0065363-A-Mocowanie%20Transportera.PDF" TargetMode="External"/><Relationship Id="rId511" Type="http://schemas.openxmlformats.org/officeDocument/2006/relationships/hyperlink" Target="1%20-%20RYSUNKI\1881-11-PRT-A0030517-A-Zacisk%20przewodu.PDF" TargetMode="External"/><Relationship Id="rId609" Type="http://schemas.openxmlformats.org/officeDocument/2006/relationships/hyperlink" Target="1%20-%20RYSUNKI/1936-001-PRT-A0065350-A-Os&#322;ona.STEP" TargetMode="External"/><Relationship Id="rId956" Type="http://schemas.openxmlformats.org/officeDocument/2006/relationships/hyperlink" Target="1%20-%20RYSUNKI/1936-003-PRT-A0065571-A-Kotwa.STEP" TargetMode="External"/><Relationship Id="rId1141" Type="http://schemas.openxmlformats.org/officeDocument/2006/relationships/hyperlink" Target="1%20-%20RYSUNKI/1936-002-PRT-A0065279-A-Gniazdo%20Obudowy%20G&#243;rnej.DXF" TargetMode="External"/><Relationship Id="rId1239" Type="http://schemas.openxmlformats.org/officeDocument/2006/relationships/hyperlink" Target="1%20-%20RYSUNKI\1936-004-PRT-A0065637-A-Z&#322;&#261;cze%20.PDF" TargetMode="External"/><Relationship Id="rId85" Type="http://schemas.openxmlformats.org/officeDocument/2006/relationships/hyperlink" Target="1%20-%20RYSUNKI/1936-005-PRT-A0065179-A-Mocowanie%20gniazda%20.PDF" TargetMode="External"/><Relationship Id="rId150" Type="http://schemas.openxmlformats.org/officeDocument/2006/relationships/hyperlink" Target="1%20-%20RYSUNKI/0000_Stanowiska_Wspornik%20I-D.STEP" TargetMode="External"/><Relationship Id="rId595" Type="http://schemas.openxmlformats.org/officeDocument/2006/relationships/hyperlink" Target="1%20-%20RYSUNKI\1936-004-PRT-A0068196-A-Ustalenie%20ustnik&#243;w.PDF" TargetMode="External"/><Relationship Id="rId816" Type="http://schemas.openxmlformats.org/officeDocument/2006/relationships/hyperlink" Target="1%20-%20RYSUNKI/1936-003-PRT-A0065616-A-Blaszka.PDF" TargetMode="External"/><Relationship Id="rId1001" Type="http://schemas.openxmlformats.org/officeDocument/2006/relationships/hyperlink" Target="1%20-%20RYSUNKI/1936-003-PRT-A0065509-A-Os&#322;ona%20ramki%20skr&#281;cania%206.STEP" TargetMode="External"/><Relationship Id="rId248" Type="http://schemas.openxmlformats.org/officeDocument/2006/relationships/hyperlink" Target="1%20-%20RYSUNKI/1936-008-PRT-A0065106-A-Os&#322;ona.DXF" TargetMode="External"/><Relationship Id="rId455" Type="http://schemas.openxmlformats.org/officeDocument/2006/relationships/hyperlink" Target="1%20-%20RYSUNKI/1936-001-PRT-A0065359-A-Mocowanie%20czujnika.DXF" TargetMode="External"/><Relationship Id="rId662" Type="http://schemas.openxmlformats.org/officeDocument/2006/relationships/hyperlink" Target="1%20-%20RYSUNKI/1936-003-PRT-A0065529-A-&#379;ebro%203.DXF" TargetMode="External"/><Relationship Id="rId1085" Type="http://schemas.openxmlformats.org/officeDocument/2006/relationships/hyperlink" Target="1%20-%20RYSUNKI/1936-003-PRT-A0065484-A-Blacha%20Promatik.STEP" TargetMode="External"/><Relationship Id="rId1292" Type="http://schemas.openxmlformats.org/officeDocument/2006/relationships/hyperlink" Target="1%20-%20RYSUNKI/1936-004-PRT-A0065727-A-Mocowanie%20odboju%20.STEP" TargetMode="External"/><Relationship Id="rId1306" Type="http://schemas.openxmlformats.org/officeDocument/2006/relationships/hyperlink" Target="1%20-%20RYSUNKI/1936-004-PRT-A0065708-A-P&#322;yta%20Skr&#281;cania.DXF" TargetMode="External"/><Relationship Id="rId12" Type="http://schemas.openxmlformats.org/officeDocument/2006/relationships/hyperlink" Target="1%20-%20RYSUNKI/1881-04-PRT-A0030600-A-Gniazdo%20obudowy%20g&#243;rnej.STEP" TargetMode="External"/><Relationship Id="rId108" Type="http://schemas.openxmlformats.org/officeDocument/2006/relationships/hyperlink" Target="1%20-%20RYSUNKI/1936-005-PRT-A0065165-A-Blacha%20Drukarki%20IV.STEP" TargetMode="External"/><Relationship Id="rId315" Type="http://schemas.openxmlformats.org/officeDocument/2006/relationships/hyperlink" Target="1%20-%20RYSUNKI/1936-001-PRT-A0065362-A-Blacha%20Pojemnika.STEP" TargetMode="External"/><Relationship Id="rId522" Type="http://schemas.openxmlformats.org/officeDocument/2006/relationships/hyperlink" Target="1%20-%20RYSUNKI/1936-004-PRT-A0065296-A-Kostka%20przewod&#243;w.STEP" TargetMode="External"/><Relationship Id="rId967" Type="http://schemas.openxmlformats.org/officeDocument/2006/relationships/hyperlink" Target="1%20-%20RYSUNKI/1936-003-PRT-A0065508-A-Blaszka%20bramki.DXF" TargetMode="External"/><Relationship Id="rId1152" Type="http://schemas.openxmlformats.org/officeDocument/2006/relationships/hyperlink" Target="1%20-%20RYSUNKI\1936-002-PRT-A0065282-A-Mocowanie%20Przewodu.PDF" TargetMode="External"/><Relationship Id="rId96" Type="http://schemas.openxmlformats.org/officeDocument/2006/relationships/hyperlink" Target="1%20-%20RYSUNKI/1936-005-PRT-A0065145-A-Blacha%20Pude&#322;ka%20II.STEP" TargetMode="External"/><Relationship Id="rId161" Type="http://schemas.openxmlformats.org/officeDocument/2006/relationships/hyperlink" Target="1%20-%20RYSUNKI/1936-005-PRT-A0066023-A-Mocowanie%20IGUS%202.DXF" TargetMode="External"/><Relationship Id="rId399" Type="http://schemas.openxmlformats.org/officeDocument/2006/relationships/hyperlink" Target="1%20-%20RYSUNKI/1936-001-PRT-A0065293-A-Blokada%20Stopera%20kolizyjnego.STEP" TargetMode="External"/><Relationship Id="rId827" Type="http://schemas.openxmlformats.org/officeDocument/2006/relationships/hyperlink" Target="1%20-%20RYSUNKI/1936-003-PRT-A0065623-A-&#379;ebro.STEP" TargetMode="External"/><Relationship Id="rId1012" Type="http://schemas.openxmlformats.org/officeDocument/2006/relationships/hyperlink" Target="1%20-%20RYSUNKI/1936-003-PRT-A0065583-A-Os&#322;ona%20ramki%20skr&#281;cania%202.DXF" TargetMode="External"/><Relationship Id="rId259" Type="http://schemas.openxmlformats.org/officeDocument/2006/relationships/hyperlink" Target="1%20-%20RYSUNKI/0002_Spadnie_Tuleja%20k&#243;&#322;kostopki-E.PDF" TargetMode="External"/><Relationship Id="rId466" Type="http://schemas.openxmlformats.org/officeDocument/2006/relationships/hyperlink" Target="1%20-%20RYSUNKI/1936-001-PRT-A0065322-A-Wzmocnienie%20pod%20szaf&#281;.PDF" TargetMode="External"/><Relationship Id="rId673" Type="http://schemas.openxmlformats.org/officeDocument/2006/relationships/hyperlink" Target="1%20-%20RYSUNKI\1936-003-PRT-A0065523-A-P&#322;askownik%202.PDF" TargetMode="External"/><Relationship Id="rId880" Type="http://schemas.openxmlformats.org/officeDocument/2006/relationships/hyperlink" Target="1%20-%20RYSUNKI/1936-003-PRT-A0065605-A-Mocowanie%20prowadnika.DXF" TargetMode="External"/><Relationship Id="rId1096" Type="http://schemas.openxmlformats.org/officeDocument/2006/relationships/hyperlink" Target="1%20-%20RYSUNKI/1936-003-PRT-A0065514-A-Os&#322;ona%20przednia%20g&#243;rna.DXF" TargetMode="External"/><Relationship Id="rId1317" Type="http://schemas.openxmlformats.org/officeDocument/2006/relationships/hyperlink" Target="1%20-%20RYSUNKI\1936-004-PRT-A0065694-A-Korpus%20wkr&#281;tarki.PDF" TargetMode="External"/><Relationship Id="rId23" Type="http://schemas.openxmlformats.org/officeDocument/2006/relationships/hyperlink" Target="1%20-%20RYSUNKI/1881-04-PRT-A0030653-A-Gniazdo%20obudowy%20g&#243;rnej.DXF" TargetMode="External"/><Relationship Id="rId119" Type="http://schemas.openxmlformats.org/officeDocument/2006/relationships/hyperlink" Target="1%20-%20RYSUNKI/1936-005-PRT-A0065155-A-K&#261;townik%20stalowy%201.DXF" TargetMode="External"/><Relationship Id="rId326" Type="http://schemas.openxmlformats.org/officeDocument/2006/relationships/hyperlink" Target="1%20-%20RYSUNKI/1936-001-PRT-A0065373-A-Mocowanie%20&#321;o&#380;yska.DXF" TargetMode="External"/><Relationship Id="rId533" Type="http://schemas.openxmlformats.org/officeDocument/2006/relationships/hyperlink" Target="1%20-%20RYSUNKI/1936-004-PRT-A0065307-A-Kostka%20przewod&#243;w%20wej&#347;ciowa.DXF" TargetMode="External"/><Relationship Id="rId978" Type="http://schemas.openxmlformats.org/officeDocument/2006/relationships/hyperlink" Target="1%20-%20RYSUNKI/1936-003-PRT-A0065482-A-Mocowanie%20bramki%203.PDF" TargetMode="External"/><Relationship Id="rId1163" Type="http://schemas.openxmlformats.org/officeDocument/2006/relationships/hyperlink" Target="1%20-%20RYSUNKI/1936-001-PRT-A0065370-A-Mocowanie%20OPTO.STEP" TargetMode="External"/><Relationship Id="rId1370" Type="http://schemas.openxmlformats.org/officeDocument/2006/relationships/hyperlink" Target="1%20-%20RYSUNKI/1936-004-PRT-A0065726-A-Blacha%20skr&#281;cania.STEP" TargetMode="External"/><Relationship Id="rId740" Type="http://schemas.openxmlformats.org/officeDocument/2006/relationships/hyperlink" Target="1%20-%20RYSUNKI/1936-001-PRT-A0069025-A-Os&#322;ona%20g&#243;rna.DXF" TargetMode="External"/><Relationship Id="rId838" Type="http://schemas.openxmlformats.org/officeDocument/2006/relationships/hyperlink" Target="1%20-%20RYSUNKI/1936-003-PRT-A0065615-A-Pokrywka.DXF" TargetMode="External"/><Relationship Id="rId1023" Type="http://schemas.openxmlformats.org/officeDocument/2006/relationships/hyperlink" Target="1%20-%20RYSUNKI/1936-003-PRT-A0065580-A-Os&#322;ona%20przednia.PDF" TargetMode="External"/><Relationship Id="rId172" Type="http://schemas.openxmlformats.org/officeDocument/2006/relationships/hyperlink" Target="1%20-%20RYSUNKI/1936-005-PRT-A0065192-A-Mocowanie%20prowadnika.PDF" TargetMode="External"/><Relationship Id="rId477" Type="http://schemas.openxmlformats.org/officeDocument/2006/relationships/hyperlink" Target="1%20-%20RYSUNKI/0000_Mocowanie_RFID_K&#261;townik-B.STEP" TargetMode="External"/><Relationship Id="rId600" Type="http://schemas.openxmlformats.org/officeDocument/2006/relationships/hyperlink" Target="1%20-%20RYSUNKI/1936-001-PRT-A0068868-A-K&#261;townik%20przep&#322;ywomierza.STEP" TargetMode="External"/><Relationship Id="rId684" Type="http://schemas.openxmlformats.org/officeDocument/2006/relationships/hyperlink" Target="1%20-%20RYSUNKI\1936-003-PRT-A0068622-A-Kostka%20gwintowana.PDF" TargetMode="External"/><Relationship Id="rId1230" Type="http://schemas.openxmlformats.org/officeDocument/2006/relationships/hyperlink" Target="1%20-%20RYSUNKI\1936-004-PRT-A0065638-A-Ustnik.PDF" TargetMode="External"/><Relationship Id="rId1328" Type="http://schemas.openxmlformats.org/officeDocument/2006/relationships/hyperlink" Target="1%20-%20RYSUNKI/1936-004-PRT-A0065685-A-K&#261;townik%20wzmacniaj&#261;cy.STEP" TargetMode="External"/><Relationship Id="rId337" Type="http://schemas.openxmlformats.org/officeDocument/2006/relationships/hyperlink" Target="1%20-%20RYSUNKI/1936-004-PRT-A0065386-A-Oslona.PDF" TargetMode="External"/><Relationship Id="rId891" Type="http://schemas.openxmlformats.org/officeDocument/2006/relationships/hyperlink" Target="1%20-%20RYSUNKI/1936-003-PRT-A0065426-A-Mocowanie%20skanera%202.PDF" TargetMode="External"/><Relationship Id="rId905" Type="http://schemas.openxmlformats.org/officeDocument/2006/relationships/hyperlink" Target="1%20-%20RYSUNKI/1936-003-PRT-A0065540-A-P&#322;askownik.STEP" TargetMode="External"/><Relationship Id="rId989" Type="http://schemas.openxmlformats.org/officeDocument/2006/relationships/hyperlink" Target="1%20-%20RYSUNKI/1936-003-PRT-A0065590-A-Os&#322;ona%20rury%202.STEP" TargetMode="External"/><Relationship Id="rId34" Type="http://schemas.openxmlformats.org/officeDocument/2006/relationships/hyperlink" Target="1%20-%20RYSUNKI/1881-04-PRT-A0030648-A-Gniazdo%20obudowy%20g&#243;rnej.PDF" TargetMode="External"/><Relationship Id="rId544" Type="http://schemas.openxmlformats.org/officeDocument/2006/relationships/hyperlink" Target="1%20-%20RYSUNKI/1936-004-PRT-A0065315-A-P&#322;yta%20Pude&#322;ka.PDF" TargetMode="External"/><Relationship Id="rId751" Type="http://schemas.openxmlformats.org/officeDocument/2006/relationships/hyperlink" Target="1%20-%20RYSUNKI/1936-003-PRT-A0065468-A-P&#322;ytka%20obrotu.PDF" TargetMode="External"/><Relationship Id="rId849" Type="http://schemas.openxmlformats.org/officeDocument/2006/relationships/hyperlink" Target="1%20-%20RYSUNKI/1936-003-PRT-A0065612-A-Tulejka%20dystansowa.PDF" TargetMode="External"/><Relationship Id="rId1174" Type="http://schemas.openxmlformats.org/officeDocument/2006/relationships/hyperlink" Target="1%20-%20RYSUNKI/1936-001-PRT-A0069199-A-Mocowanie%20przycisku%20startu.DXF" TargetMode="External"/><Relationship Id="rId1381" Type="http://schemas.openxmlformats.org/officeDocument/2006/relationships/drawing" Target="../drawings/drawing1.xml"/><Relationship Id="rId183" Type="http://schemas.openxmlformats.org/officeDocument/2006/relationships/hyperlink" Target="1%20-%20RYSUNKI/1936-005-PRT-A0065122-C-Blacha%20Pod&#322;oga.STEP" TargetMode="External"/><Relationship Id="rId390" Type="http://schemas.openxmlformats.org/officeDocument/2006/relationships/hyperlink" Target="1%20-%20RYSUNKI/1936-001-PRT-A0065363-A-Mocowanie%20Transportera.STEP" TargetMode="External"/><Relationship Id="rId404" Type="http://schemas.openxmlformats.org/officeDocument/2006/relationships/hyperlink" Target="1%20-%20RYSUNKI/1936-001-PRT-A0066499-A-K&#261;townik%20p&#243;&#322;ki.DXF" TargetMode="External"/><Relationship Id="rId611" Type="http://schemas.openxmlformats.org/officeDocument/2006/relationships/hyperlink" Target="1%20-%20RYSUNKI/1936-001-PRT-A0065349-A-Os&#322;ona.DXF" TargetMode="External"/><Relationship Id="rId1034" Type="http://schemas.openxmlformats.org/officeDocument/2006/relationships/hyperlink" Target="1%20-%20RYSUNKI/1936-003-PRT-A0065498-A-Os&#322;ona%20szafy%203.STEP" TargetMode="External"/><Relationship Id="rId1241" Type="http://schemas.openxmlformats.org/officeDocument/2006/relationships/hyperlink" Target="1%20-%20RYSUNKI/1936-004-PRT-A0065637-A-Z&#322;&#261;cze%20.STEP" TargetMode="External"/><Relationship Id="rId1339" Type="http://schemas.openxmlformats.org/officeDocument/2006/relationships/hyperlink" Target="1%20-%20RYSUNKI/1936-004-PRT-A0065649-A-P&#322;ytka%20ustnik&#243;w.DXF" TargetMode="External"/><Relationship Id="rId250" Type="http://schemas.openxmlformats.org/officeDocument/2006/relationships/hyperlink" Target="1%20-%20RYSUNKI/1936-008-PRT-A0065109-A-Os&#322;ona.PDF" TargetMode="External"/><Relationship Id="rId488" Type="http://schemas.openxmlformats.org/officeDocument/2006/relationships/hyperlink" Target="1%20-%20RYSUNKI/1936-001-PRT-A0065268-A-Szafa%20Pneumatyki.DXF" TargetMode="External"/><Relationship Id="rId695" Type="http://schemas.openxmlformats.org/officeDocument/2006/relationships/hyperlink" Target="1%20-%20RYSUNKI/1936-003-PRT-A0065564-A-Rama%20dolna.PDF" TargetMode="External"/><Relationship Id="rId709" Type="http://schemas.openxmlformats.org/officeDocument/2006/relationships/hyperlink" Target="1%20-%20RYSUNKI/1936-001-PRT-A0065324-A-Os&#322;ona.PDF" TargetMode="External"/><Relationship Id="rId916" Type="http://schemas.openxmlformats.org/officeDocument/2006/relationships/hyperlink" Target="1%20-%20RYSUNKI/1936-003-PRT-A0068623-A-K&#261;townik.DXF" TargetMode="External"/><Relationship Id="rId1101" Type="http://schemas.openxmlformats.org/officeDocument/2006/relationships/hyperlink" Target="1%20-%20RYSUNKI\1936-003-PRT-A0065492-A-Uchwyt%20bramki.PDF" TargetMode="External"/><Relationship Id="rId45" Type="http://schemas.openxmlformats.org/officeDocument/2006/relationships/hyperlink" Target="1%20-%20RYSUNKI/1881-04-PRT-A0030592-A-Mocowanie%20gniazda.STEP" TargetMode="External"/><Relationship Id="rId110" Type="http://schemas.openxmlformats.org/officeDocument/2006/relationships/hyperlink" Target="1%20-%20RYSUNKI/1936-005-PRT-A0065160-A-Mocowanie%20prowadnika.DXF" TargetMode="External"/><Relationship Id="rId348" Type="http://schemas.openxmlformats.org/officeDocument/2006/relationships/hyperlink" Target="1%20-%20RYSUNKI/1936-012-PRT-A0065289-A-Gniazdo%20Narz&#281;dzia%20Naprawczego.STEP" TargetMode="External"/><Relationship Id="rId555" Type="http://schemas.openxmlformats.org/officeDocument/2006/relationships/hyperlink" Target="1%20-%20RYSUNKI/1936-004-PRT-A0065311-A-Ko&#322;nierz%20Przewodu%20rozdzielacza.STEP" TargetMode="External"/><Relationship Id="rId762" Type="http://schemas.openxmlformats.org/officeDocument/2006/relationships/hyperlink" Target="1%20-%20RYSUNKI/1936-003-PRT-A0065430-A-Dystans%201.STEP" TargetMode="External"/><Relationship Id="rId1185" Type="http://schemas.openxmlformats.org/officeDocument/2006/relationships/hyperlink" Target="1%20-%20RYSUNKI/1936-004-PRT-A0065676-A-Gniazdo%20obudowy%20g&#243;rnej.PDF" TargetMode="External"/><Relationship Id="rId194" Type="http://schemas.openxmlformats.org/officeDocument/2006/relationships/hyperlink" Target="1%20-%20RYSUNKI/1936-005-PRT-A0065203-A-Os&#322;ona.DXF" TargetMode="External"/><Relationship Id="rId208" Type="http://schemas.openxmlformats.org/officeDocument/2006/relationships/hyperlink" Target="1%20-%20RYSUNKI/1936-005-PRT-A0065182-A-Os&#322;ona.PDF" TargetMode="External"/><Relationship Id="rId415" Type="http://schemas.openxmlformats.org/officeDocument/2006/relationships/hyperlink" Target="1%20-%20RYSUNKI/1936-001-PRT-A0065320-A-Mocowanie%20tablicy%20warsztatowej.PDF" TargetMode="External"/><Relationship Id="rId622" Type="http://schemas.openxmlformats.org/officeDocument/2006/relationships/hyperlink" Target="1%20-%20RYSUNKI/1936-001-PRT-A0065339-A-Os&#322;ona.PDF" TargetMode="External"/><Relationship Id="rId1045" Type="http://schemas.openxmlformats.org/officeDocument/2006/relationships/hyperlink" Target="1%20-%20RYSUNKI/1936-003-PRT-A0065572-A-Os&#322;ona%20przewodu.DXF" TargetMode="External"/><Relationship Id="rId1252" Type="http://schemas.openxmlformats.org/officeDocument/2006/relationships/hyperlink" Target="1%20-%20RYSUNKI/1936-004-PRT-A0065693-A-Mocowanie%20si&#322;ownika%20wkr&#281;tarek.DXF" TargetMode="External"/><Relationship Id="rId261" Type="http://schemas.openxmlformats.org/officeDocument/2006/relationships/hyperlink" Target="1%20-%20RYSUNKI/0002_Spadnie_Tuleja%20k&#243;&#322;kostopki-E.STEP" TargetMode="External"/><Relationship Id="rId499" Type="http://schemas.openxmlformats.org/officeDocument/2006/relationships/hyperlink" Target="1%20-%20RYSUNKI/1936-011-PRT-A0065378-A-Blacha.PDF" TargetMode="External"/><Relationship Id="rId927" Type="http://schemas.openxmlformats.org/officeDocument/2006/relationships/hyperlink" Target="1%20-%20RYSUNKI/1936-003-PRT-A0069043-A-Uchwyt%20do%20wie&#380;y%20&#347;wietlnej.PDF" TargetMode="External"/><Relationship Id="rId1112" Type="http://schemas.openxmlformats.org/officeDocument/2006/relationships/hyperlink" Target="1%20-%20RYSUNKI/1936-003-PRT-A0065483-A-P&#322;ytka.STEP" TargetMode="External"/><Relationship Id="rId56" Type="http://schemas.openxmlformats.org/officeDocument/2006/relationships/hyperlink" Target="1%20-%20RYSUNKI/1936-005-PRT-A0065132-A-Prowadzenie%20Pude&#322;ek%202.DXF" TargetMode="External"/><Relationship Id="rId359" Type="http://schemas.openxmlformats.org/officeDocument/2006/relationships/hyperlink" Target="1%20-%20RYSUNKI/1936-003-PRT-A0066058-A-Os&#322;ona%20boczna.DXF" TargetMode="External"/><Relationship Id="rId566" Type="http://schemas.openxmlformats.org/officeDocument/2006/relationships/hyperlink" Target="1%20-%20RYSUNKI/1936-005-PRT-A0065099-A-Mocowanie%20Monitora.DXF" TargetMode="External"/><Relationship Id="rId773" Type="http://schemas.openxmlformats.org/officeDocument/2006/relationships/hyperlink" Target="1%20-%20RYSUNKI/1936-003-PRT-A0065435-A-Os&#322;ona%203.DXF" TargetMode="External"/><Relationship Id="rId1196" Type="http://schemas.openxmlformats.org/officeDocument/2006/relationships/hyperlink" Target="1%20-%20RYSUNKI/1936-004-PRT-A0065667-A-Mocowanie%20gniazda.STEP" TargetMode="External"/><Relationship Id="rId121" Type="http://schemas.openxmlformats.org/officeDocument/2006/relationships/hyperlink" Target="1%20-%20RYSUNKI/1936-005-PRT-A0065119-A-K&#261;townik%20stalowy%202.PDF" TargetMode="External"/><Relationship Id="rId219" Type="http://schemas.openxmlformats.org/officeDocument/2006/relationships/hyperlink" Target="1%20-%20RYSUNKI/1936-005-PRT-A0065184-A-Korpus%20skanera.STEP" TargetMode="External"/><Relationship Id="rId426" Type="http://schemas.openxmlformats.org/officeDocument/2006/relationships/hyperlink" Target="1%20-%20RYSUNKI/1936-001-PRT-A0065262-A-Mocowanie%20Szafy.STEP" TargetMode="External"/><Relationship Id="rId633" Type="http://schemas.openxmlformats.org/officeDocument/2006/relationships/hyperlink" Target="1%20-%20RYSUNKI/1936-001-PRT-A0065334-A-Os&#322;ona.STEP" TargetMode="External"/><Relationship Id="rId980" Type="http://schemas.openxmlformats.org/officeDocument/2006/relationships/hyperlink" Target="1%20-%20RYSUNKI/1936-003-PRT-A0065482-A-Mocowanie%20bramki%203.STEP" TargetMode="External"/><Relationship Id="rId1056" Type="http://schemas.openxmlformats.org/officeDocument/2006/relationships/hyperlink" Target="1%20-%20RYSUNKI/1936-003-PRT-A0065585-A-Os&#322;ona%20.PDF" TargetMode="External"/><Relationship Id="rId1263" Type="http://schemas.openxmlformats.org/officeDocument/2006/relationships/hyperlink" Target="1%20-%20RYSUNKI/1936-004-PRT-A0065695-A-Uchwyt%20.PDF" TargetMode="External"/><Relationship Id="rId840" Type="http://schemas.openxmlformats.org/officeDocument/2006/relationships/hyperlink" Target="1%20-%20RYSUNKI/1936-003-PRT-A0065614-A-P&#322;yta.PDF" TargetMode="External"/><Relationship Id="rId938" Type="http://schemas.openxmlformats.org/officeDocument/2006/relationships/hyperlink" Target="1%20-%20RYSUNKI/1936-003-PRT-A0065489-A-K&#261;townik%20skanera.STEP" TargetMode="External"/><Relationship Id="rId67" Type="http://schemas.openxmlformats.org/officeDocument/2006/relationships/hyperlink" Target="1%20-%20RYSUNKI/1936-005-PRT-A0065138-A-Mocowanie%20SR-750.PDF" TargetMode="External"/><Relationship Id="rId272" Type="http://schemas.openxmlformats.org/officeDocument/2006/relationships/hyperlink" Target="1%20-%20RYSUNKI/1936-010-PRT-A0066453-A-Oslona%20SR750.DXF" TargetMode="External"/><Relationship Id="rId577" Type="http://schemas.openxmlformats.org/officeDocument/2006/relationships/hyperlink" Target="1%20-%20RYSUNKI/1936-001-PRT-A0068566-A-Mocowanie%20pude&#322;ka%201.PDF" TargetMode="External"/><Relationship Id="rId700" Type="http://schemas.openxmlformats.org/officeDocument/2006/relationships/hyperlink" Target="1%20-%20RYSUNKI/1936-003-PRT-A0065565-A-Za&#347;lepka.STEP" TargetMode="External"/><Relationship Id="rId1123" Type="http://schemas.openxmlformats.org/officeDocument/2006/relationships/hyperlink" Target="1%20-%20RYSUNKI/1936-003-PRT-A0065577-A-Kostka%20regulacji%202.DXF" TargetMode="External"/><Relationship Id="rId1330" Type="http://schemas.openxmlformats.org/officeDocument/2006/relationships/hyperlink" Target="1%20-%20RYSUNKI/1936-004-PRT-A0065684-A-Mocowanie%20czujnik&#243;w.DXF" TargetMode="External"/><Relationship Id="rId132" Type="http://schemas.openxmlformats.org/officeDocument/2006/relationships/hyperlink" Target="1%20-%20RYSUNKI/1936-005-PRT-A0065185-A-Wa&#322;eczek.STEP" TargetMode="External"/><Relationship Id="rId784" Type="http://schemas.openxmlformats.org/officeDocument/2006/relationships/hyperlink" Target="1%20-%20RYSUNKI/1936-003-PRT-A0065428-A-Os&#322;ona%202.PDF" TargetMode="External"/><Relationship Id="rId991" Type="http://schemas.openxmlformats.org/officeDocument/2006/relationships/hyperlink" Target="1%20-%20RYSUNKI/1936-003-PRT-A0065575-A-Os&#322;ona%20przednia.DXF" TargetMode="External"/><Relationship Id="rId1067" Type="http://schemas.openxmlformats.org/officeDocument/2006/relationships/hyperlink" Target="1%20-%20RYSUNKI/1936-003-PRT-A0065510-A-Os&#322;ona%20przednia.STEP" TargetMode="External"/><Relationship Id="rId437" Type="http://schemas.openxmlformats.org/officeDocument/2006/relationships/hyperlink" Target="1%20-%20RYSUNKI/1936-001-PRT-A0065400-A-Pole%20odk&#322;adcze.DXF" TargetMode="External"/><Relationship Id="rId644" Type="http://schemas.openxmlformats.org/officeDocument/2006/relationships/hyperlink" Target="1%20-%20RYSUNKI/1936-001-PRT-A0065333-A-Dystans%20szafa-ramka.DXF" TargetMode="External"/><Relationship Id="rId851" Type="http://schemas.openxmlformats.org/officeDocument/2006/relationships/hyperlink" Target="1%20-%20RYSUNKI/1936-003-PRT-A0065612-A-Tulejka%20dystansowa.STEP" TargetMode="External"/><Relationship Id="rId1274" Type="http://schemas.openxmlformats.org/officeDocument/2006/relationships/hyperlink" Target="1%20-%20RYSUNKI/1936-004-PRT-A0065712-A-K&#261;townik%20prowadnika.STEP" TargetMode="External"/><Relationship Id="rId283" Type="http://schemas.openxmlformats.org/officeDocument/2006/relationships/hyperlink" Target="1%20-%20RYSUNKI/1936-010-PRT-A0066447-A-Mocowanie%20SR.PDF" TargetMode="External"/><Relationship Id="rId490" Type="http://schemas.openxmlformats.org/officeDocument/2006/relationships/hyperlink" Target="1%20-%20RYSUNKI/1936-001-PRT-A0065266-A-Os&#322;ona.PDF" TargetMode="External"/><Relationship Id="rId504" Type="http://schemas.openxmlformats.org/officeDocument/2006/relationships/hyperlink" Target="1%20-%20RYSUNKI/1936-011-PRT-A0065377-A-Mocowanie.STEP" TargetMode="External"/><Relationship Id="rId711" Type="http://schemas.openxmlformats.org/officeDocument/2006/relationships/hyperlink" Target="1%20-%20RYSUNKI/1936-001-PRT-A0065324-A-Os&#322;ona.STEP" TargetMode="External"/><Relationship Id="rId949" Type="http://schemas.openxmlformats.org/officeDocument/2006/relationships/hyperlink" Target="1%20-%20RYSUNKI/1936-003-PRT-A0065559-A-Kostka%20regulacji.DXF" TargetMode="External"/><Relationship Id="rId1134" Type="http://schemas.openxmlformats.org/officeDocument/2006/relationships/hyperlink" Target="1%20-%20RYSUNKI/1936-002-PRT-A0065281-A-Mocowanie%20Gniazda.PDF" TargetMode="External"/><Relationship Id="rId1341" Type="http://schemas.openxmlformats.org/officeDocument/2006/relationships/hyperlink" Target="1%20-%20RYSUNKI/1936-004-PRT-A0068729-A-Dystans%20supportu.PDF" TargetMode="External"/><Relationship Id="rId78" Type="http://schemas.openxmlformats.org/officeDocument/2006/relationships/hyperlink" Target="1%20-%20RYSUNKI/1936-005-PRT-A0065177-A-Mocowanie%20czujnika.STEP" TargetMode="External"/><Relationship Id="rId143" Type="http://schemas.openxmlformats.org/officeDocument/2006/relationships/hyperlink" Target="1%20-%20RYSUNKI/1936-005-PRT-A0065115-A-Os&#322;ona%20Etykiet.DXF" TargetMode="External"/><Relationship Id="rId350" Type="http://schemas.openxmlformats.org/officeDocument/2006/relationships/hyperlink" Target="1%20-%20RYSUNKI/1936-012-PRT-A0065290-A-Mocowanie%20OPTO.DXF" TargetMode="External"/><Relationship Id="rId588" Type="http://schemas.openxmlformats.org/officeDocument/2006/relationships/hyperlink" Target="1%20-%20RYSUNKI/1936-001-PRT-A0068569-A-Mocowanie%20pude&#322;ka%202.STEP" TargetMode="External"/><Relationship Id="rId795" Type="http://schemas.openxmlformats.org/officeDocument/2006/relationships/hyperlink" Target="1%20-%20RYSUNKI/1936-003-PRT-A0065465-A-P&#322;ytka%20teowa.STEP" TargetMode="External"/><Relationship Id="rId809" Type="http://schemas.openxmlformats.org/officeDocument/2006/relationships/hyperlink" Target="1%20-%20RYSUNKI/1936-003-PRT-A0065610-A-Uchwyt%20przewodu.STEP" TargetMode="External"/><Relationship Id="rId1201" Type="http://schemas.openxmlformats.org/officeDocument/2006/relationships/hyperlink" Target="1%20-%20RYSUNKI/1936-004-PRT-A0065655-A-Mocowanie%20gniazda.DXF" TargetMode="External"/><Relationship Id="rId9" Type="http://schemas.openxmlformats.org/officeDocument/2006/relationships/hyperlink" Target="1%20-%20RYSUNKI/1881-04-PRT-A0030601-A-Gniazdo%20obudowy%20g&#243;rnej.STEP" TargetMode="External"/><Relationship Id="rId210" Type="http://schemas.openxmlformats.org/officeDocument/2006/relationships/hyperlink" Target="1%20-%20RYSUNKI/1936-005-PRT-A0065182-A-Os&#322;ona.STEP" TargetMode="External"/><Relationship Id="rId448" Type="http://schemas.openxmlformats.org/officeDocument/2006/relationships/hyperlink" Target="1%20-%20RYSUNKI/1936-001-PRT-A0065384-A-Os&#322;ona.PDF" TargetMode="External"/><Relationship Id="rId655" Type="http://schemas.openxmlformats.org/officeDocument/2006/relationships/hyperlink" Target="1%20-%20RYSUNKI/1936-003-PRT-A0065532-A-P&#322;yta%20g&#322;&#243;wna.PDF" TargetMode="External"/><Relationship Id="rId862" Type="http://schemas.openxmlformats.org/officeDocument/2006/relationships/hyperlink" Target="1%20-%20RYSUNKI/1936-003-PRT-A0065625-A-Podk&#322;adka.DXF" TargetMode="External"/><Relationship Id="rId1078" Type="http://schemas.openxmlformats.org/officeDocument/2006/relationships/hyperlink" Target="1%20-%20RYSUNKI/1936-003-PRT-A0065491-A-Os&#322;ona%20ty&#322;%201.DXF" TargetMode="External"/><Relationship Id="rId1285" Type="http://schemas.openxmlformats.org/officeDocument/2006/relationships/hyperlink" Target="1%20-%20RYSUNKI/1936-004-PRT-A0068196-A-Ustalenie%20ustnik&#243;w.DXF" TargetMode="External"/><Relationship Id="rId294" Type="http://schemas.openxmlformats.org/officeDocument/2006/relationships/hyperlink" Target="1%20-%20RYSUNKI/1936-010-PRT-A0066456-A-Trzpie&#324;%20mocuj&#261;cy.STEP" TargetMode="External"/><Relationship Id="rId308" Type="http://schemas.openxmlformats.org/officeDocument/2006/relationships/hyperlink" Target="1%20-%20RYSUNKI/1936-004-PRT-A0065417-A-Pole%20odk&#322;adcze.DXF" TargetMode="External"/><Relationship Id="rId515" Type="http://schemas.openxmlformats.org/officeDocument/2006/relationships/hyperlink" Target="1%20-%20RYSUNKI/1936-004-PRT-A0065842-A-Tulejka%20dystansuj&#261;ca%20.DXF" TargetMode="External"/><Relationship Id="rId722" Type="http://schemas.openxmlformats.org/officeDocument/2006/relationships/hyperlink" Target="1%20-%20RYSUNKI/1936-001-PRT-A0065405-A-Os&#322;ona.DXF" TargetMode="External"/><Relationship Id="rId1145" Type="http://schemas.openxmlformats.org/officeDocument/2006/relationships/hyperlink" Target="1%20-%20RYSUNKI/1936-002-PRT-A0065284-A-Os&#322;ona%20RFID.STEP" TargetMode="External"/><Relationship Id="rId1352" Type="http://schemas.openxmlformats.org/officeDocument/2006/relationships/hyperlink" Target="1%20-%20RYSUNKI/1936-004-PRT-A0065719-A-Prowadzenie.STEP" TargetMode="External"/><Relationship Id="rId89" Type="http://schemas.openxmlformats.org/officeDocument/2006/relationships/hyperlink" Target="1%20-%20RYSUNKI/1936-005-PRT-A0065149-A-K&#261;townik%20dolny%20szuflady.DXF" TargetMode="External"/><Relationship Id="rId154" Type="http://schemas.openxmlformats.org/officeDocument/2006/relationships/hyperlink" Target="1%20-%20RYSUNKI\1936-005-PRT-A0066027-A-Mocowanie%20gniazda.PDF" TargetMode="External"/><Relationship Id="rId361" Type="http://schemas.openxmlformats.org/officeDocument/2006/relationships/hyperlink" Target="1%20-%20RYSUNKI/1936-003-PRT-A0066057-A-Uchwyt%20kontrolera%20lasera.PDF" TargetMode="External"/><Relationship Id="rId599" Type="http://schemas.openxmlformats.org/officeDocument/2006/relationships/hyperlink" Target="1%20-%20RYSUNKI/1936-001-PRT-A0068868-A-K&#261;townik%20przep&#322;ywomierza.DXF" TargetMode="External"/><Relationship Id="rId1005" Type="http://schemas.openxmlformats.org/officeDocument/2006/relationships/hyperlink" Target="1%20-%20RYSUNKI/1936-003-PRT-A0065563-A-Os&#322;ona%20ramki%20skr&#281;cania%204.PDF" TargetMode="External"/><Relationship Id="rId1212" Type="http://schemas.openxmlformats.org/officeDocument/2006/relationships/hyperlink" Target="1%20-%20RYSUNKI/1936-004-PRT-A0065682-A-Mocowanie%20RFID.PDF" TargetMode="External"/><Relationship Id="rId459" Type="http://schemas.openxmlformats.org/officeDocument/2006/relationships/hyperlink" Target="1%20-%20RYSUNKI/1936-001-PRT-A0065356-A-Mocowanie%20Kontrolera.STEP" TargetMode="External"/><Relationship Id="rId666" Type="http://schemas.openxmlformats.org/officeDocument/2006/relationships/hyperlink" Target="1%20-%20RYSUNKI/1936-003-PRT-A0065527-A-P&#322;askownik.STEP" TargetMode="External"/><Relationship Id="rId873" Type="http://schemas.openxmlformats.org/officeDocument/2006/relationships/hyperlink" Target="1%20-%20RYSUNKI/1936-003-PRT-A0065603-A-Blaszka%202.PDF" TargetMode="External"/><Relationship Id="rId1089" Type="http://schemas.openxmlformats.org/officeDocument/2006/relationships/hyperlink" Target="1%20-%20RYSUNKI/1936-003-PRT-A0065558-A-Uchwyt%20kurtyny.PDF" TargetMode="External"/><Relationship Id="rId1296" Type="http://schemas.openxmlformats.org/officeDocument/2006/relationships/hyperlink" Target="1%20-%20RYSUNKI/1936-004-PRT-A0065715-A-Podpora%20os&#322;ony.PDF" TargetMode="External"/><Relationship Id="rId16" Type="http://schemas.openxmlformats.org/officeDocument/2006/relationships/hyperlink" Target="1%20-%20RYSUNKI/1881-04-PRT-A0030586-A-Tabliczka.PDF" TargetMode="External"/><Relationship Id="rId221" Type="http://schemas.openxmlformats.org/officeDocument/2006/relationships/hyperlink" Target="1%20-%20RYSUNKI/1936-005-PRT-A0065152-A-Mocowanie%20czujnika%20wizyjnego.DXF" TargetMode="External"/><Relationship Id="rId319" Type="http://schemas.openxmlformats.org/officeDocument/2006/relationships/hyperlink" Target="1%20-%20RYSUNKI/1936-001-PRT-A0065419-A-Blacha.PDF" TargetMode="External"/><Relationship Id="rId526" Type="http://schemas.openxmlformats.org/officeDocument/2006/relationships/hyperlink" Target="1%20-%20RYSUNKI/1936-004-PRT-A0065300-A-Kostka%20w&#243;zka.PDF" TargetMode="External"/><Relationship Id="rId1156" Type="http://schemas.openxmlformats.org/officeDocument/2006/relationships/hyperlink" Target="1%20-%20RYSUNKI/1936-002-PRT-A0065285-A-Ociekacz.DXF" TargetMode="External"/><Relationship Id="rId1363" Type="http://schemas.openxmlformats.org/officeDocument/2006/relationships/hyperlink" Target="1%20-%20RYSUNKI/1936-004-PRT-A0065718-A-Podk&#322;adka.DXF" TargetMode="External"/><Relationship Id="rId733" Type="http://schemas.openxmlformats.org/officeDocument/2006/relationships/hyperlink" Target="1%20-%20RYSUNKI/1936-001-PRT-A0065392-A-Os&#322;ona.PDF" TargetMode="External"/><Relationship Id="rId940" Type="http://schemas.openxmlformats.org/officeDocument/2006/relationships/hyperlink" Target="1%20-%20RYSUNKI/1936-003-PRT-A0069040-A-Blaszka%20bramki.DXF" TargetMode="External"/><Relationship Id="rId1016" Type="http://schemas.openxmlformats.org/officeDocument/2006/relationships/hyperlink" Target="1%20-%20RYSUNKI/1936-003-PRT-A0065554-A-Os&#322;ona%20ramki%20skr&#281;cania%201.STEP" TargetMode="External"/><Relationship Id="rId165" Type="http://schemas.openxmlformats.org/officeDocument/2006/relationships/hyperlink" Target="1%20-%20RYSUNKI/1936-005-PRT-A0066022-A-Mocowanie%20IGUS.STEP" TargetMode="External"/><Relationship Id="rId372" Type="http://schemas.openxmlformats.org/officeDocument/2006/relationships/hyperlink" Target="1%20-%20RYSUNKI/1936-001-PRT-A0065367-A-Mocowanie%20czujnika.STEP" TargetMode="External"/><Relationship Id="rId677" Type="http://schemas.openxmlformats.org/officeDocument/2006/relationships/hyperlink" Target="1%20-%20RYSUNKI/1936-003-PRT-A0065522-A-Za&#347;lepka%201.DXF" TargetMode="External"/><Relationship Id="rId800" Type="http://schemas.openxmlformats.org/officeDocument/2006/relationships/hyperlink" Target="1%20-%20RYSUNKI/1936-003-PRT-A0065634-A-Ko&#322;o%20sto&#380;kowe%201.STEP" TargetMode="External"/><Relationship Id="rId1223" Type="http://schemas.openxmlformats.org/officeDocument/2006/relationships/hyperlink" Target="1%20-%20RYSUNKI/1936-004-PRT-A0065647-A-Ko&#322;nierz%20.STEP" TargetMode="External"/><Relationship Id="rId232" Type="http://schemas.openxmlformats.org/officeDocument/2006/relationships/hyperlink" Target="1%20-%20RYSUNKI/0000_Stanowiska_P&#322;yta%20ko&#324;cowa%20k&#243;&#322;ka-D.PDF" TargetMode="External"/><Relationship Id="rId884" Type="http://schemas.openxmlformats.org/officeDocument/2006/relationships/hyperlink" Target="1%20-%20RYSUNKI/1936-003-PRT-A0065608-A-Blacha%20zamka%201.STEP" TargetMode="External"/><Relationship Id="rId27" Type="http://schemas.openxmlformats.org/officeDocument/2006/relationships/hyperlink" Target="1%20-%20RYSUNKI/1881-04-PRT-A0030652-A-Mocowanie%20RFID.STEP" TargetMode="External"/><Relationship Id="rId537" Type="http://schemas.openxmlformats.org/officeDocument/2006/relationships/hyperlink" Target="1%20-%20RYSUNKI/1936-004-PRT-A0065308-A-Kostka%20rozdzielajaca%20wej&#347;ciowa.STEP" TargetMode="External"/><Relationship Id="rId744" Type="http://schemas.openxmlformats.org/officeDocument/2006/relationships/hyperlink" Target="1%20-%20RYSUNKI/1936-003-PRT-A0065471-A-Szcz&#281;ka.STEP" TargetMode="External"/><Relationship Id="rId951" Type="http://schemas.openxmlformats.org/officeDocument/2006/relationships/hyperlink" Target="1%20-%20RYSUNKI/1936-003-PRT-A0065481-A-Dystans.PDF" TargetMode="External"/><Relationship Id="rId1167" Type="http://schemas.openxmlformats.org/officeDocument/2006/relationships/hyperlink" Target="1%20-%20RYSUNKI\1936-001-PRT-A0066533-A-Wzorzec%20g&#322;owicy%20RFID%201.PDF" TargetMode="External"/><Relationship Id="rId1374" Type="http://schemas.openxmlformats.org/officeDocument/2006/relationships/hyperlink" Target="1%20-%20RYSUNKI/1936-004-PRT-A0069832-A-Zacisk%20przewodu.PDF" TargetMode="External"/><Relationship Id="rId80" Type="http://schemas.openxmlformats.org/officeDocument/2006/relationships/hyperlink" Target="1%20-%20RYSUNKI/1936-005-PRT-A0065178-A-Os&#322;ona.DXF" TargetMode="External"/><Relationship Id="rId176" Type="http://schemas.openxmlformats.org/officeDocument/2006/relationships/hyperlink" Target="1%20-%20RYSUNKI/1936-005-PRT-A0065174-A-Mocowanie%20Prowadnika.DXF" TargetMode="External"/><Relationship Id="rId383" Type="http://schemas.openxmlformats.org/officeDocument/2006/relationships/hyperlink" Target="1%20-%20RYSUNKI/1936-012-PRT-A0065288-A-Gniazdo%20na%20narz&#281;dzie%20naprawcze.DXF" TargetMode="External"/><Relationship Id="rId590" Type="http://schemas.openxmlformats.org/officeDocument/2006/relationships/hyperlink" Target="1%20-%20RYSUNKI/1936-001-PRT-A0068561-A-Mocowanie%20pude&#322;ka.DXF" TargetMode="External"/><Relationship Id="rId604" Type="http://schemas.openxmlformats.org/officeDocument/2006/relationships/hyperlink" Target="1%20-%20RYSUNKI/1936-001-PRT-A0068980-A-Mocowanie%20Spectra.PDF" TargetMode="External"/><Relationship Id="rId811" Type="http://schemas.openxmlformats.org/officeDocument/2006/relationships/hyperlink" Target="1%20-%20RYSUNKI/1936-003-PRT-A0065631-A-P&#322;yta.DXF" TargetMode="External"/><Relationship Id="rId1027" Type="http://schemas.openxmlformats.org/officeDocument/2006/relationships/hyperlink" Target="1%20-%20RYSUNKI/1936-003-PRT-A0065497-A-Os&#322;ona%20szafy%205.DXF" TargetMode="External"/><Relationship Id="rId1234" Type="http://schemas.openxmlformats.org/officeDocument/2006/relationships/hyperlink" Target="1%20-%20RYSUNKI/1936-004-PRT-A0065645-A-Korpus%20wkr&#281;t&#243;w.DXF" TargetMode="External"/><Relationship Id="rId243" Type="http://schemas.openxmlformats.org/officeDocument/2006/relationships/hyperlink" Target="1%20-%20RYSUNKI/1936-008-PRT-A0065108-A-Os&#322;ona.STEP" TargetMode="External"/><Relationship Id="rId450" Type="http://schemas.openxmlformats.org/officeDocument/2006/relationships/hyperlink" Target="1%20-%20RYSUNKI/1936-001-PRT-A0065384-A-Os&#322;ona.STEP" TargetMode="External"/><Relationship Id="rId688" Type="http://schemas.openxmlformats.org/officeDocument/2006/relationships/hyperlink" Target="1%20-%20RYSUNKI/1936-003-PRT-A0065584-A-Rama%20dolna.DXF" TargetMode="External"/><Relationship Id="rId895" Type="http://schemas.openxmlformats.org/officeDocument/2006/relationships/hyperlink" Target="1%20-%20RYSUNKI/1936-003-PRT-A0069009-A-Uchwyt%20czujnika.DXF" TargetMode="External"/><Relationship Id="rId909" Type="http://schemas.openxmlformats.org/officeDocument/2006/relationships/hyperlink" Target="1%20-%20RYSUNKI\1936-003-PRT-A0068979-A-Zderzak.PDF" TargetMode="External"/><Relationship Id="rId1080" Type="http://schemas.openxmlformats.org/officeDocument/2006/relationships/hyperlink" Target="1%20-%20RYSUNKI/1936-003-PRT-A0065581-A-Blacha%20g&#243;rna.PDF" TargetMode="External"/><Relationship Id="rId1301" Type="http://schemas.openxmlformats.org/officeDocument/2006/relationships/hyperlink" Target="1%20-%20RYSUNKI/1936-004-PRT-A0065713-A-Podstawa%20gniazda%20skr&#281;cania.STEP" TargetMode="External"/><Relationship Id="rId38" Type="http://schemas.openxmlformats.org/officeDocument/2006/relationships/hyperlink" Target="1%20-%20RYSUNKI/1881-04-PRT-A0030589-A-Mocowanie%20gniazda.DXF" TargetMode="External"/><Relationship Id="rId103" Type="http://schemas.openxmlformats.org/officeDocument/2006/relationships/hyperlink" Target="1%20-%20RYSUNKI/1936-005-PRT-A0065114-A-Blacha%20Drukarki%20III.PDF" TargetMode="External"/><Relationship Id="rId310" Type="http://schemas.openxmlformats.org/officeDocument/2006/relationships/hyperlink" Target="1%20-%20RYSUNKI/0000_Stanowiska_Wspornik%20III-G.PDF" TargetMode="External"/><Relationship Id="rId548" Type="http://schemas.openxmlformats.org/officeDocument/2006/relationships/hyperlink" Target="1%20-%20RYSUNKI/1936-004-PRT-A0065314-A-Dystans%20magnesu.DXF" TargetMode="External"/><Relationship Id="rId755" Type="http://schemas.openxmlformats.org/officeDocument/2006/relationships/hyperlink" Target="1%20-%20RYSUNKI/1936-003-PRT-A0065467-A-Gniazdo.DXF" TargetMode="External"/><Relationship Id="rId962" Type="http://schemas.openxmlformats.org/officeDocument/2006/relationships/hyperlink" Target="1%20-%20RYSUNKI/1936-003-PRT-A0065556-A-Blacha%20szczotki%201.STEP" TargetMode="External"/><Relationship Id="rId1178" Type="http://schemas.openxmlformats.org/officeDocument/2006/relationships/hyperlink" Target="1%20-%20RYSUNKI/1936-004-PRT-A0065681-A-Mocowanie%20Gniazda.STEP" TargetMode="External"/><Relationship Id="rId91" Type="http://schemas.openxmlformats.org/officeDocument/2006/relationships/hyperlink" Target="1%20-%20RYSUNKI/1936-005-PRT-A0065147-A-K&#261;townik%20g&#243;rny%20szuflady.PDF" TargetMode="External"/><Relationship Id="rId187" Type="http://schemas.openxmlformats.org/officeDocument/2006/relationships/hyperlink" Target="1%20-%20RYSUNKI/1936-005-PRT-A0065127-A-Os&#322;ona.PDF" TargetMode="External"/><Relationship Id="rId394" Type="http://schemas.openxmlformats.org/officeDocument/2006/relationships/hyperlink" Target="1%20-%20RYSUNKI/1936-001-PRT-A0065321-A-Kostka%20mocowanie%20blokady.PDF" TargetMode="External"/><Relationship Id="rId408" Type="http://schemas.openxmlformats.org/officeDocument/2006/relationships/hyperlink" Target="1%20-%20RYSUNKI/1936-001-PRT-A0065391-A-Mocowanie%20Tarifolda.STEP" TargetMode="External"/><Relationship Id="rId615" Type="http://schemas.openxmlformats.org/officeDocument/2006/relationships/hyperlink" Target="1%20-%20RYSUNKI/1936-001-PRT-A0065344-A-Mocowanie%20szafy.STEP" TargetMode="External"/><Relationship Id="rId822" Type="http://schemas.openxmlformats.org/officeDocument/2006/relationships/hyperlink" Target="1%20-%20RYSUNKI/1936-003-PRT-A0065626-A-Suport%202.PDF" TargetMode="External"/><Relationship Id="rId1038" Type="http://schemas.openxmlformats.org/officeDocument/2006/relationships/hyperlink" Target="1%20-%20RYSUNKI/1936-003-PRT-A0065576-A-Os&#322;ona%20lewa%20dolna.PDF" TargetMode="External"/><Relationship Id="rId1245" Type="http://schemas.openxmlformats.org/officeDocument/2006/relationships/hyperlink" Target="1%20-%20RYSUNKI/1936-004-PRT-A0065639-A-Adapter%20przewodu%20wkr&#281;tarki.PDF" TargetMode="External"/><Relationship Id="rId254" Type="http://schemas.openxmlformats.org/officeDocument/2006/relationships/hyperlink" Target="1%20-%20RYSUNKI/0002_Spadnie_Tuleja%20k&#243;&#322;kostopki-E.DXF" TargetMode="External"/><Relationship Id="rId699" Type="http://schemas.openxmlformats.org/officeDocument/2006/relationships/hyperlink" Target="1%20-%20RYSUNKI/1936-003-PRT-A0065565-A-Za&#347;lepka.DXF" TargetMode="External"/><Relationship Id="rId1091" Type="http://schemas.openxmlformats.org/officeDocument/2006/relationships/hyperlink" Target="1%20-%20RYSUNKI/1936-003-PRT-A0065558-A-Uchwyt%20kurtyny.STEP" TargetMode="External"/><Relationship Id="rId1105" Type="http://schemas.openxmlformats.org/officeDocument/2006/relationships/hyperlink" Target="1%20-%20RYSUNKI/1936-003-PRT-A0065589-A-Os&#322;ona%20przednia.DXF" TargetMode="External"/><Relationship Id="rId1312" Type="http://schemas.openxmlformats.org/officeDocument/2006/relationships/hyperlink" Target="1%20-%20RYSUNKI/1936-004-PRT-A0065701-A-Podpora%20os&#322;ony.DXF" TargetMode="External"/><Relationship Id="rId49" Type="http://schemas.openxmlformats.org/officeDocument/2006/relationships/hyperlink" Target="1%20-%20RYSUNKI/1936-005-PRT-A0065140-A-Blacha%20.PDF" TargetMode="External"/><Relationship Id="rId114" Type="http://schemas.openxmlformats.org/officeDocument/2006/relationships/hyperlink" Target="1%20-%20RYSUNKI/1936-005-PRT-A0065156-A-Mocowanie%20Prowadnika%20Drukarki.STEP" TargetMode="External"/><Relationship Id="rId461" Type="http://schemas.openxmlformats.org/officeDocument/2006/relationships/hyperlink" Target="1%20-%20RYSUNKI/1936-001-PRT-A0065353-A-Wspornik%20III.DXF" TargetMode="External"/><Relationship Id="rId559" Type="http://schemas.openxmlformats.org/officeDocument/2006/relationships/hyperlink" Target="1%20-%20RYSUNKI/1936-004-PRT-A0065316-A-Mocowanie%20rozdzielacza.PDF" TargetMode="External"/><Relationship Id="rId766" Type="http://schemas.openxmlformats.org/officeDocument/2006/relationships/hyperlink" Target="1%20-%20RYSUNKI/1936-003-PRT-A0065432-A-Os&#322;ona%20laser.PDF" TargetMode="External"/><Relationship Id="rId1189" Type="http://schemas.openxmlformats.org/officeDocument/2006/relationships/hyperlink" Target="1%20-%20RYSUNKI/1936-004-PRT-A0065671-A-Gniazdo%20obudowy%20g&#243;rnej.DXF" TargetMode="External"/><Relationship Id="rId198" Type="http://schemas.openxmlformats.org/officeDocument/2006/relationships/hyperlink" Target="1%20-%20RYSUNKI/1936-005-PRT-A0065197-A-Os&#322;ona.STEP" TargetMode="External"/><Relationship Id="rId321" Type="http://schemas.openxmlformats.org/officeDocument/2006/relationships/hyperlink" Target="1%20-%20RYSUNKI/1936-001-PRT-A0065419-A-Blacha.STEP" TargetMode="External"/><Relationship Id="rId419" Type="http://schemas.openxmlformats.org/officeDocument/2006/relationships/hyperlink" Target="1%20-%20RYSUNKI/1936-001-PRT-A0065292-A-Os&#322;ona.DXF" TargetMode="External"/><Relationship Id="rId626" Type="http://schemas.openxmlformats.org/officeDocument/2006/relationships/hyperlink" Target="1%20-%20RYSUNKI/1936-001-PRT-A0065338-A-Os&#322;ona.DXF" TargetMode="External"/><Relationship Id="rId973" Type="http://schemas.openxmlformats.org/officeDocument/2006/relationships/hyperlink" Target="1%20-%20RYSUNKI/1936-003-PRT-A0065487-A-Os&#322;ona%20p&#322;yty%20sto&#322;u.DXF" TargetMode="External"/><Relationship Id="rId1049" Type="http://schemas.openxmlformats.org/officeDocument/2006/relationships/hyperlink" Target="1%20-%20RYSUNKI/1936-003-PRT-A0065573-A-Blacha%20tylnia%203.STEP" TargetMode="External"/><Relationship Id="rId1256" Type="http://schemas.openxmlformats.org/officeDocument/2006/relationships/hyperlink" Target="1%20-%20RYSUNKI/1936-004-PRT-A0068389-A-Blaszka.STEP" TargetMode="External"/><Relationship Id="rId833" Type="http://schemas.openxmlformats.org/officeDocument/2006/relationships/hyperlink" Target="1%20-%20RYSUNKI/1936-003-PRT-A0065621-A-Pokrywka%20&#322;o&#380;yska.STEP" TargetMode="External"/><Relationship Id="rId1116" Type="http://schemas.openxmlformats.org/officeDocument/2006/relationships/hyperlink" Target="1%20-%20RYSUNKI\1936-003-PRT-A0065517-A-K&#261;townik%201.PDF" TargetMode="External"/><Relationship Id="rId265" Type="http://schemas.openxmlformats.org/officeDocument/2006/relationships/hyperlink" Target="1%20-%20RYSUNKI/1936-006-PRT-A0065424-A-P&#243;&#322;ka.PDF" TargetMode="External"/><Relationship Id="rId472" Type="http://schemas.openxmlformats.org/officeDocument/2006/relationships/hyperlink" Target="1%20-%20RYSUNKI/1936-001-PRT-A0068096-A-Tuleja%20magnesu.PDF" TargetMode="External"/><Relationship Id="rId900" Type="http://schemas.openxmlformats.org/officeDocument/2006/relationships/hyperlink" Target="1%20-%20RYSUNKI/1936-003-PRT-A0065546-A-Os&#322;ona.PDF" TargetMode="External"/><Relationship Id="rId1323" Type="http://schemas.openxmlformats.org/officeDocument/2006/relationships/hyperlink" Target="1%20-%20RYSUNKI/1936-004-PRT-A0065686-A-P&#322;yta%20pionowa%20wkr&#281;tarek.PDF" TargetMode="External"/><Relationship Id="rId125" Type="http://schemas.openxmlformats.org/officeDocument/2006/relationships/hyperlink" Target="1%20-%20RYSUNKI/1936-005-PRT-A0065202-A-Wzmocnienie%20tr&#243;jk&#261;tne.DXF" TargetMode="External"/><Relationship Id="rId332" Type="http://schemas.openxmlformats.org/officeDocument/2006/relationships/hyperlink" Target="1%20-%20RYSUNKI/1936-005-PRT-A0065257-A-K&#261;townik%20g&#243;rny%20szuflady.DXF" TargetMode="External"/><Relationship Id="rId777" Type="http://schemas.openxmlformats.org/officeDocument/2006/relationships/hyperlink" Target="1%20-%20RYSUNKI/1936-003-PRT-A0065478-A-Mocowanie%20czujnik&#243;w%20kodowania.STEP" TargetMode="External"/><Relationship Id="rId984" Type="http://schemas.openxmlformats.org/officeDocument/2006/relationships/hyperlink" Target="1%20-%20RYSUNKI/1936-003-PRT-A0065553-A-K&#261;townik.PDF" TargetMode="External"/><Relationship Id="rId637" Type="http://schemas.openxmlformats.org/officeDocument/2006/relationships/hyperlink" Target="1%20-%20RYSUNKI/1936-001-PRT-A0065331-A-Mocowanie.PDF" TargetMode="External"/><Relationship Id="rId844" Type="http://schemas.openxmlformats.org/officeDocument/2006/relationships/hyperlink" Target="1%20-%20RYSUNKI/1936-003-PRT-A0065627-A-&#346;ruba%20trapezowa%20TR28x5%20lewa.DXF" TargetMode="External"/><Relationship Id="rId1267" Type="http://schemas.openxmlformats.org/officeDocument/2006/relationships/hyperlink" Target="1%20-%20RYSUNKI/1936-004-PRT-A0065722-A-Oslona.DXF" TargetMode="External"/><Relationship Id="rId276" Type="http://schemas.openxmlformats.org/officeDocument/2006/relationships/hyperlink" Target="1%20-%20RYSUNKI/1936-010-PRT-A0065218-A-Oslona%20spadni%20szeroka.STEP" TargetMode="External"/><Relationship Id="rId483" Type="http://schemas.openxmlformats.org/officeDocument/2006/relationships/hyperlink" Target="1%20-%20RYSUNKI/1936-001-PRT-A0065397-A-Mocowanie%20Transportera.STEP" TargetMode="External"/><Relationship Id="rId690" Type="http://schemas.openxmlformats.org/officeDocument/2006/relationships/hyperlink" Target="1%20-%20RYSUNKI/1936-003-PRT-A0065566-A-P&#322;ytka%20stopki.PDF" TargetMode="External"/><Relationship Id="rId704" Type="http://schemas.openxmlformats.org/officeDocument/2006/relationships/hyperlink" Target="1%20-%20RYSUNKI/1936-005-PRT-A0065159-A-Mocowanie%20gniazdka.DXF" TargetMode="External"/><Relationship Id="rId911" Type="http://schemas.openxmlformats.org/officeDocument/2006/relationships/hyperlink" Target="1%20-%20RYSUNKI/1936-003-PRT-A0068979-A-Zderzak.STEP" TargetMode="External"/><Relationship Id="rId1127" Type="http://schemas.openxmlformats.org/officeDocument/2006/relationships/hyperlink" Target="1%20-%20RYSUNKI/1936-003-PRT-A0065501-A-P&#322;yta%20g&#322;&#243;wna.STEP" TargetMode="External"/><Relationship Id="rId1334" Type="http://schemas.openxmlformats.org/officeDocument/2006/relationships/hyperlink" Target="1%20-%20RYSUNKI/1936-004-PRT-A0069208-A-P&#322;ytka%20testowa.STEP" TargetMode="External"/><Relationship Id="rId40" Type="http://schemas.openxmlformats.org/officeDocument/2006/relationships/hyperlink" Target="1%20-%20RYSUNKI/1881-04-PRT-A0030654-A-Dystans.PDF" TargetMode="External"/><Relationship Id="rId136" Type="http://schemas.openxmlformats.org/officeDocument/2006/relationships/hyperlink" Target="1%20-%20RYSUNKI/1936-005-PRT-A0066016-A-Mocowanie%20os&#322;ony.PDF" TargetMode="External"/><Relationship Id="rId343" Type="http://schemas.openxmlformats.org/officeDocument/2006/relationships/hyperlink" Target="1%20-%20RYSUNKI\1936-001-PRT-A0065388-A-Odb&#243;j%20magnesu.PDF" TargetMode="External"/><Relationship Id="rId550" Type="http://schemas.openxmlformats.org/officeDocument/2006/relationships/hyperlink" Target="1%20-%20RYSUNKI/1936-004-PRT-A0065313-A-Ko&#322;nierz%20Przewodu%20rozdzielacza.PDF" TargetMode="External"/><Relationship Id="rId788" Type="http://schemas.openxmlformats.org/officeDocument/2006/relationships/hyperlink" Target="1%20-%20RYSUNKI/1936-003-PRT-A0065462-A-Kostka%20pneumatyczna.DXF" TargetMode="External"/><Relationship Id="rId995" Type="http://schemas.openxmlformats.org/officeDocument/2006/relationships/hyperlink" Target="1%20-%20RYSUNKI/1936-003-PRT-A0065561-A-Blacha%20uchwytu.STEP" TargetMode="External"/><Relationship Id="rId1180" Type="http://schemas.openxmlformats.org/officeDocument/2006/relationships/hyperlink" Target="1%20-%20RYSUNKI/1936-004-PRT-A0065680-A-Mocowanie%20Gniazda.DXF" TargetMode="External"/><Relationship Id="rId203" Type="http://schemas.openxmlformats.org/officeDocument/2006/relationships/hyperlink" Target="1%20-%20RYSUNKI/1936-005-PRT-A0065191-A-Wpustka%20czujnika.DXF" TargetMode="External"/><Relationship Id="rId648" Type="http://schemas.openxmlformats.org/officeDocument/2006/relationships/hyperlink" Target="1%20-%20RYSUNKI/1936-001-PRT-A0065346-A-Mocowanie%20na%20zewn&#261;trz.STEP" TargetMode="External"/><Relationship Id="rId855" Type="http://schemas.openxmlformats.org/officeDocument/2006/relationships/hyperlink" Target="1%20-%20RYSUNKI/1936-003-PRT-A0065628-A-Pokrywa.PDF" TargetMode="External"/><Relationship Id="rId1040" Type="http://schemas.openxmlformats.org/officeDocument/2006/relationships/hyperlink" Target="1%20-%20RYSUNKI/1936-003-PRT-A0065576-A-Os&#322;ona%20lewa%20dolna.STEP" TargetMode="External"/><Relationship Id="rId1278" Type="http://schemas.openxmlformats.org/officeDocument/2006/relationships/hyperlink" Target="1%20-%20RYSUNKI/1936-004-PRT-A0068972-B-Dystans%20skr&#281;cania.PDF" TargetMode="External"/><Relationship Id="rId287" Type="http://schemas.openxmlformats.org/officeDocument/2006/relationships/hyperlink" Target="1%20-%20RYSUNKI/1936-010-PRT-A0065233-A-Mocowanie.DXF" TargetMode="External"/><Relationship Id="rId410" Type="http://schemas.openxmlformats.org/officeDocument/2006/relationships/hyperlink" Target="1%20-%20RYSUNKI/1936-001-PRT-A0065389-A-Mocowanie%20odbojnika.DXF" TargetMode="External"/><Relationship Id="rId494" Type="http://schemas.openxmlformats.org/officeDocument/2006/relationships/hyperlink" Target="1%20-%20RYSUNKI/1936-011-PRT-A0065376-A-Mocowanie%20zawor&#243;w.DXF" TargetMode="External"/><Relationship Id="rId508" Type="http://schemas.openxmlformats.org/officeDocument/2006/relationships/hyperlink" Target="1%20-%20RYSUNKI/1936-011-PRT-A0065848-A-Kostka%20zabezpieczaj&#261;ca.PDF" TargetMode="External"/><Relationship Id="rId715" Type="http://schemas.openxmlformats.org/officeDocument/2006/relationships/hyperlink" Target="1%20-%20RYSUNKI/1936-001-PRT-A0065395-A-Os&#322;ona.PDF" TargetMode="External"/><Relationship Id="rId922" Type="http://schemas.openxmlformats.org/officeDocument/2006/relationships/hyperlink" Target="1%20-%20RYSUNKI/1936-003-PRT-A0065535-A-Blacha%20prowadnika.DXF" TargetMode="External"/><Relationship Id="rId1138" Type="http://schemas.openxmlformats.org/officeDocument/2006/relationships/hyperlink" Target="1%20-%20RYSUNKI/1936-002-PRT-A0065280-A-Trzpie&#324;%20Bazuj&#261;cy.DXF" TargetMode="External"/><Relationship Id="rId1345" Type="http://schemas.openxmlformats.org/officeDocument/2006/relationships/hyperlink" Target="1%20-%20RYSUNKI/1936-004-PRT-A0065728-A-Mocowanie%20zespo&#322;u.DXF" TargetMode="External"/><Relationship Id="rId147" Type="http://schemas.openxmlformats.org/officeDocument/2006/relationships/hyperlink" Target="1%20-%20RYSUNKI/1936-005-PRT-A0065123-A-Blacha%20Stanowisko%20Skr&#281;cania.STEP" TargetMode="External"/><Relationship Id="rId354" Type="http://schemas.openxmlformats.org/officeDocument/2006/relationships/hyperlink" Target="1%20-%20RYSUNKI/1936-001-PRT-A0065329-A-P&#322;yta%20SICK.STEP" TargetMode="External"/><Relationship Id="rId799" Type="http://schemas.openxmlformats.org/officeDocument/2006/relationships/hyperlink" Target="1%20-%20RYSUNKI/1936-003-PRT-A0065634-A-Ko&#322;o%20sto&#380;kowe%201.PDF" TargetMode="External"/><Relationship Id="rId1191" Type="http://schemas.openxmlformats.org/officeDocument/2006/relationships/hyperlink" Target="1%20-%20RYSUNKI/1936-004-PRT-A0065669-A-Gniazdo%20obudowy%20g&#243;rnej.PDF" TargetMode="External"/><Relationship Id="rId1205" Type="http://schemas.openxmlformats.org/officeDocument/2006/relationships/hyperlink" Target="1%20-%20RYSUNKI/1936-004-PRT-A0065654-A-Mocowanie%20skanera.STEP" TargetMode="External"/><Relationship Id="rId51" Type="http://schemas.openxmlformats.org/officeDocument/2006/relationships/hyperlink" Target="1%20-%20RYSUNKI/1936-005-PRT-A0065140-A-Blacha%20.STEP" TargetMode="External"/><Relationship Id="rId561" Type="http://schemas.openxmlformats.org/officeDocument/2006/relationships/hyperlink" Target="1%20-%20RYSUNKI/1936-004-PRT-A0065316-A-Mocowanie%20rozdzielacza.STEP" TargetMode="External"/><Relationship Id="rId659" Type="http://schemas.openxmlformats.org/officeDocument/2006/relationships/hyperlink" Target="1%20-%20RYSUNKI/1936-003-PRT-A0065530-A-&#379;ebro%201.DXF" TargetMode="External"/><Relationship Id="rId866" Type="http://schemas.openxmlformats.org/officeDocument/2006/relationships/hyperlink" Target="1%20-%20RYSUNKI/1936-003-PRT-A0065619-A-Korpus%20przek&#322;adni.STEP" TargetMode="External"/><Relationship Id="rId1289" Type="http://schemas.openxmlformats.org/officeDocument/2006/relationships/hyperlink" Target="1%20-%20RYSUNKI/1936-004-PRT-A0065729-A-K&#261;townik%20wzmacniaj&#261;cy.STEP" TargetMode="External"/><Relationship Id="rId214" Type="http://schemas.openxmlformats.org/officeDocument/2006/relationships/hyperlink" Target="1%20-%20RYSUNKI/1936-005-PRT-A0065206-A-Mocowanie%20Pilota.PDF" TargetMode="External"/><Relationship Id="rId298" Type="http://schemas.openxmlformats.org/officeDocument/2006/relationships/hyperlink" Target="1%20-%20RYSUNKI/1936-001-PRT-A0065413-A-Mocownanie%20Slizgu.PDF" TargetMode="External"/><Relationship Id="rId421" Type="http://schemas.openxmlformats.org/officeDocument/2006/relationships/hyperlink" Target="1%20-%20RYSUNKI/1936-001-PRT-A0065264-A-Blacha.PDF" TargetMode="External"/><Relationship Id="rId519" Type="http://schemas.openxmlformats.org/officeDocument/2006/relationships/hyperlink" Target="1%20-%20RYSUNKI/1936-004-PRT-A0065298-A-Trzpie&#324;%20za&#347;lepczy.STEP" TargetMode="External"/><Relationship Id="rId1051" Type="http://schemas.openxmlformats.org/officeDocument/2006/relationships/hyperlink" Target="1%20-%20RYSUNKI/1936-003-PRT-A0065480-A-Blacha%20tylnia%201.DXF" TargetMode="External"/><Relationship Id="rId1149" Type="http://schemas.openxmlformats.org/officeDocument/2006/relationships/hyperlink" Target="1%20-%20RYSUNKI/1936-002-PRT-A0065274-A-Pojemnik%20na%20przew&#243;d.PDF" TargetMode="External"/><Relationship Id="rId1356" Type="http://schemas.openxmlformats.org/officeDocument/2006/relationships/hyperlink" Target="1%20-%20RYSUNKI/1936-003-PRT-A0065703-A-Zderzak.PDF" TargetMode="External"/><Relationship Id="rId158" Type="http://schemas.openxmlformats.org/officeDocument/2006/relationships/hyperlink" Target="1%20-%20RYSUNKI/1936-005-PRT-A0066025-A-Mocowanie%20prowadnika.DXF" TargetMode="External"/><Relationship Id="rId726" Type="http://schemas.openxmlformats.org/officeDocument/2006/relationships/hyperlink" Target="1%20-%20RYSUNKI/1936-001-PRT-A0065403-A-Os&#322;ona.STEP" TargetMode="External"/><Relationship Id="rId933" Type="http://schemas.openxmlformats.org/officeDocument/2006/relationships/hyperlink" Target="1%20-%20RYSUNKI/1936-001-PRT-A0065499-A-Mocowanie%20w&#322;&#261;cznik&#243;w.PDF" TargetMode="External"/><Relationship Id="rId1009" Type="http://schemas.openxmlformats.org/officeDocument/2006/relationships/hyperlink" Target="1%20-%20RYSUNKI/1936-003-PRT-A0065500-A-Os&#322;ona%20ramki%20skr&#281;cania%203.DXF" TargetMode="External"/><Relationship Id="rId62" Type="http://schemas.openxmlformats.org/officeDocument/2006/relationships/hyperlink" Target="1%20-%20RYSUNKI/1936-005-PRT-A0065144-A-Prowadzenie%20Pude&#322;ek.DXF" TargetMode="External"/><Relationship Id="rId365" Type="http://schemas.openxmlformats.org/officeDocument/2006/relationships/hyperlink" Target="1%20-%20RYSUNKI/1936-003-PRT-A0066055-A-Uchwyt%20kontrolera%20lasera.DXF" TargetMode="External"/><Relationship Id="rId572" Type="http://schemas.openxmlformats.org/officeDocument/2006/relationships/hyperlink" Target="1%20-%20RYSUNKI/1936-001-PRT-A0065100-A-Adapter%20uchwytu%20NOVUS.DXF" TargetMode="External"/><Relationship Id="rId1216" Type="http://schemas.openxmlformats.org/officeDocument/2006/relationships/hyperlink" Target="1%20-%20RYSUNKI/1936-004-PRT-A0065678-A-Gniazdo%20obudowy%20g&#243;rnej.DXF" TargetMode="External"/><Relationship Id="rId225" Type="http://schemas.openxmlformats.org/officeDocument/2006/relationships/hyperlink" Target="1%20-%20RYSUNKI/1936-005-PRT-A0065112-A-Mocowanie.STEP" TargetMode="External"/><Relationship Id="rId432" Type="http://schemas.openxmlformats.org/officeDocument/2006/relationships/hyperlink" Target="1%20-%20RYSUNKI/1936-005-PRT-A0066027-A-Mocowanie%20gniazda.STEP" TargetMode="External"/><Relationship Id="rId877" Type="http://schemas.openxmlformats.org/officeDocument/2006/relationships/hyperlink" Target="1%20-%20RYSUNKI/1936-003-PRT-A0065601-A-Blaszka%201.DXF" TargetMode="External"/><Relationship Id="rId1062" Type="http://schemas.openxmlformats.org/officeDocument/2006/relationships/hyperlink" Target="1%20-%20RYSUNKI/1936-003-PRT-A0065568-A-Os&#322;ona%20prawa%20g&#243;rna.PDF" TargetMode="External"/><Relationship Id="rId737" Type="http://schemas.openxmlformats.org/officeDocument/2006/relationships/hyperlink" Target="1%20-%20RYSUNKI/1936-001-PRT-A0065383-A-Os&#322;ona.DXF" TargetMode="External"/><Relationship Id="rId944" Type="http://schemas.openxmlformats.org/officeDocument/2006/relationships/hyperlink" Target="1%20-%20RYSUNKI/1936-003-PRT-A0065595-A-P&#322;ytka%20zawiasu.STEP" TargetMode="External"/><Relationship Id="rId1367" Type="http://schemas.openxmlformats.org/officeDocument/2006/relationships/hyperlink" Target="1%20-%20RYSUNKI/1936-004-PRT-A0069183-A-Zderzak.STEP" TargetMode="External"/><Relationship Id="rId73" Type="http://schemas.openxmlformats.org/officeDocument/2006/relationships/hyperlink" Target="1%20-%20RYSUNKI/1936-005-PRT-A0066511-A-P&#322;ytka%20Pick2Light.PDF" TargetMode="External"/><Relationship Id="rId169" Type="http://schemas.openxmlformats.org/officeDocument/2006/relationships/hyperlink" Target="1%20-%20RYSUNKI/1936-005-PRT-A0065195-C-Mocowanie%20Podno&#347;nika.PDF" TargetMode="External"/><Relationship Id="rId376" Type="http://schemas.openxmlformats.org/officeDocument/2006/relationships/hyperlink" Target="1%20-%20RYSUNKI/1936-001-PRT-A0065252-A-Mocowanie%20przycisku%20bezpiecze&#324;stwa.PDF" TargetMode="External"/><Relationship Id="rId583" Type="http://schemas.openxmlformats.org/officeDocument/2006/relationships/hyperlink" Target="1%20-%20RYSUNKI/1936-001-PRT-A0068568-A-Mocowanie%20pude&#322;ka%204.PDF" TargetMode="External"/><Relationship Id="rId790" Type="http://schemas.openxmlformats.org/officeDocument/2006/relationships/hyperlink" Target="1%20-%20RYSUNKI/1936-003-PRT-A0065463-A-Kostka.PDF" TargetMode="External"/><Relationship Id="rId804" Type="http://schemas.openxmlformats.org/officeDocument/2006/relationships/hyperlink" Target="1%20-%20RYSUNKI/1936-003-PRT-A0065629-A-Dystans.PDF" TargetMode="External"/><Relationship Id="rId1227" Type="http://schemas.openxmlformats.org/officeDocument/2006/relationships/hyperlink" Target="1%20-%20RYSUNKI\1936-004-PRT-A0065636-A-Blokada.PDF" TargetMode="External"/><Relationship Id="rId4" Type="http://schemas.openxmlformats.org/officeDocument/2006/relationships/hyperlink" Target="1%20-%20RYSUNKI/1881-04-PRT-A0030603-A-Gniazdo%20obudowy%20g&#243;rnej.PDF" TargetMode="External"/><Relationship Id="rId236" Type="http://schemas.openxmlformats.org/officeDocument/2006/relationships/hyperlink" Target="1%20-%20RYSUNKI/1936-005-PRT-A0065208-C-Mocowanie%20Supportu.DXF" TargetMode="External"/><Relationship Id="rId443" Type="http://schemas.openxmlformats.org/officeDocument/2006/relationships/hyperlink" Target="1%20-%20RYSUNKI/1936-001-PRT-A0065398-A-Blacha.DXF" TargetMode="External"/><Relationship Id="rId650" Type="http://schemas.openxmlformats.org/officeDocument/2006/relationships/hyperlink" Target="1%20-%20RYSUNKI/1936-001-PRT-A0065345-A-Mocowanie%20do%20wewn&#261;trz.DXF" TargetMode="External"/><Relationship Id="rId888" Type="http://schemas.openxmlformats.org/officeDocument/2006/relationships/hyperlink" Target="1%20-%20RYSUNKI/1936-003-PRT-A0065427-A-Mocowanie%20skanera%201.PDF" TargetMode="External"/><Relationship Id="rId1073" Type="http://schemas.openxmlformats.org/officeDocument/2006/relationships/hyperlink" Target="1%20-%20RYSUNKI/1936-003-PRT-A0065594-A-Os&#322;ona%20dolna.STEP" TargetMode="External"/><Relationship Id="rId1280" Type="http://schemas.openxmlformats.org/officeDocument/2006/relationships/hyperlink" Target="1%20-%20RYSUNKI/1936-004-PRT-A0068972-B-Dystans%20skr&#281;cania.STEP" TargetMode="External"/><Relationship Id="rId303" Type="http://schemas.openxmlformats.org/officeDocument/2006/relationships/hyperlink" Target="1%20-%20RYSUNKI/1936-001-PRT-A0065416-A-&#346;lizg.STEP" TargetMode="External"/><Relationship Id="rId748" Type="http://schemas.openxmlformats.org/officeDocument/2006/relationships/hyperlink" Target="1%20-%20RYSUNKI/1936-003-PRT-A0065472-A-Podpora%20gniazda.PDF" TargetMode="External"/><Relationship Id="rId955" Type="http://schemas.openxmlformats.org/officeDocument/2006/relationships/hyperlink" Target="1%20-%20RYSUNKI/1936-003-PRT-A0065571-A-Kotwa.DXF" TargetMode="External"/><Relationship Id="rId1140" Type="http://schemas.openxmlformats.org/officeDocument/2006/relationships/hyperlink" Target="1%20-%20RYSUNKI\1936-002-PRT-A0065279-A-Gniazdo%20Obudowy%20G&#243;rnej.PDF" TargetMode="External"/><Relationship Id="rId1378" Type="http://schemas.openxmlformats.org/officeDocument/2006/relationships/hyperlink" Target="1%20-%20RYSUNKI/1936-005-PRT-A0070044-A-Mocowanie%20Lampki.DXF" TargetMode="External"/><Relationship Id="rId84" Type="http://schemas.openxmlformats.org/officeDocument/2006/relationships/hyperlink" Target="1%20-%20RYSUNKI/1936-005-PRT-A0065175-A-Gniazdo%20Obudowy%20G&#243;rnej.STEP" TargetMode="External"/><Relationship Id="rId387" Type="http://schemas.openxmlformats.org/officeDocument/2006/relationships/hyperlink" Target="1%20-%20RYSUNKI/1936-001-PRT-A0065323-A-Pojemnik.STEP" TargetMode="External"/><Relationship Id="rId510" Type="http://schemas.openxmlformats.org/officeDocument/2006/relationships/hyperlink" Target="1%20-%20RYSUNKI/1936-011-PRT-A0065848-A-Kostka%20zabezpieczaj&#261;ca.STEP" TargetMode="External"/><Relationship Id="rId594" Type="http://schemas.openxmlformats.org/officeDocument/2006/relationships/hyperlink" Target="1%20-%20RYSUNKI/1936-004-PRT-A0065638-A-Ustnik.STEP" TargetMode="External"/><Relationship Id="rId608" Type="http://schemas.openxmlformats.org/officeDocument/2006/relationships/hyperlink" Target="1%20-%20RYSUNKI/1936-001-PRT-A0065350-A-Os&#322;ona.DXF" TargetMode="External"/><Relationship Id="rId815" Type="http://schemas.openxmlformats.org/officeDocument/2006/relationships/hyperlink" Target="1%20-%20RYSUNKI/1936-003-PRT-A0065618-A-Suport.STEP" TargetMode="External"/><Relationship Id="rId1238" Type="http://schemas.openxmlformats.org/officeDocument/2006/relationships/hyperlink" Target="1%20-%20RYSUNKI/1936-004-PRT-A0065642-A-Korpus%20bita.STEP" TargetMode="External"/><Relationship Id="rId247" Type="http://schemas.openxmlformats.org/officeDocument/2006/relationships/hyperlink" Target="1%20-%20RYSUNKI/1936-008-PRT-A0065106-A-Os&#322;ona.PDF" TargetMode="External"/><Relationship Id="rId899" Type="http://schemas.openxmlformats.org/officeDocument/2006/relationships/hyperlink" Target="1%20-%20RYSUNKI/1936-003-PRT-A0065534-A-Mocowanie%20prowadnika.STEP" TargetMode="External"/><Relationship Id="rId1000" Type="http://schemas.openxmlformats.org/officeDocument/2006/relationships/hyperlink" Target="1%20-%20RYSUNKI/1936-003-PRT-A0065509-A-Os&#322;ona%20ramki%20skr&#281;cania%206.DXF" TargetMode="External"/><Relationship Id="rId1084" Type="http://schemas.openxmlformats.org/officeDocument/2006/relationships/hyperlink" Target="1%20-%20RYSUNKI/1936-003-PRT-A0065484-A-Blacha%20Promatik.DXF" TargetMode="External"/><Relationship Id="rId1305" Type="http://schemas.openxmlformats.org/officeDocument/2006/relationships/hyperlink" Target="1%20-%20RYSUNKI/1936-004-PRT-A0065708-A-P&#322;yta%20Skr&#281;cania.PDF" TargetMode="External"/><Relationship Id="rId107" Type="http://schemas.openxmlformats.org/officeDocument/2006/relationships/hyperlink" Target="1%20-%20RYSUNKI/1936-005-PRT-A0065165-A-Blacha%20Drukarki%20IV.DXF" TargetMode="External"/><Relationship Id="rId454" Type="http://schemas.openxmlformats.org/officeDocument/2006/relationships/hyperlink" Target="1%20-%20RYSUNKI/1936-001-PRT-A0065359-A-Mocowanie%20czujnika.PDF" TargetMode="External"/><Relationship Id="rId661" Type="http://schemas.openxmlformats.org/officeDocument/2006/relationships/hyperlink" Target="1%20-%20RYSUNKI/1936-003-PRT-A0065529-A-&#379;ebro%203.PDF" TargetMode="External"/><Relationship Id="rId759" Type="http://schemas.openxmlformats.org/officeDocument/2006/relationships/hyperlink" Target="1%20-%20RYSUNKI/1936-003-PRT-A0065429-A-P&#322;yta%20&#347;rodkowa.STEP" TargetMode="External"/><Relationship Id="rId966" Type="http://schemas.openxmlformats.org/officeDocument/2006/relationships/hyperlink" Target="1%20-%20RYSUNKI/1936-003-PRT-A0065508-A-Blaszka%20bramki.PDF" TargetMode="External"/><Relationship Id="rId1291" Type="http://schemas.openxmlformats.org/officeDocument/2006/relationships/hyperlink" Target="1%20-%20RYSUNKI/1936-004-PRT-A0065727-A-Mocowanie%20odboju%20.DXF" TargetMode="External"/><Relationship Id="rId11" Type="http://schemas.openxmlformats.org/officeDocument/2006/relationships/hyperlink" Target="1%20-%20RYSUNKI/1881-04-PRT-A0030600-A-Gniazdo%20obudowy%20g&#243;rnej.DXF" TargetMode="External"/><Relationship Id="rId314" Type="http://schemas.openxmlformats.org/officeDocument/2006/relationships/hyperlink" Target="1%20-%20RYSUNKI/1936-001-PRT-A0065362-A-Blacha%20Pojemnika.DXF" TargetMode="External"/><Relationship Id="rId398" Type="http://schemas.openxmlformats.org/officeDocument/2006/relationships/hyperlink" Target="1%20-%20RYSUNKI/1936-001-PRT-A0065293-A-Blokada%20Stopera%20kolizyjnego.DXF" TargetMode="External"/><Relationship Id="rId521" Type="http://schemas.openxmlformats.org/officeDocument/2006/relationships/hyperlink" Target="1%20-%20RYSUNKI/1936-004-PRT-A0065296-A-Kostka%20przewod&#243;w.DXF" TargetMode="External"/><Relationship Id="rId619" Type="http://schemas.openxmlformats.org/officeDocument/2006/relationships/hyperlink" Target="1%20-%20RYSUNKI/1936-001-PRT-A0065342-A-Os&#322;ona.PDF" TargetMode="External"/><Relationship Id="rId1151" Type="http://schemas.openxmlformats.org/officeDocument/2006/relationships/hyperlink" Target="1%20-%20RYSUNKI/1936-002-PRT-A0065274-A-Pojemnik%20na%20przew&#243;d.STEP" TargetMode="External"/><Relationship Id="rId1249" Type="http://schemas.openxmlformats.org/officeDocument/2006/relationships/hyperlink" Target="1%20-%20RYSUNKI/1936-004-PRT-A0065705-A-Os&#322;ona%20w&#322;&#261;cznik&#243;w.DXF" TargetMode="External"/><Relationship Id="rId95" Type="http://schemas.openxmlformats.org/officeDocument/2006/relationships/hyperlink" Target="1%20-%20RYSUNKI/1936-005-PRT-A0065145-A-Blacha%20Pude&#322;ka%20II.DXF" TargetMode="External"/><Relationship Id="rId160" Type="http://schemas.openxmlformats.org/officeDocument/2006/relationships/hyperlink" Target="1%20-%20RYSUNKI/1936-005-PRT-A0066023-A-Mocowanie%20IGUS%202.PDF" TargetMode="External"/><Relationship Id="rId826" Type="http://schemas.openxmlformats.org/officeDocument/2006/relationships/hyperlink" Target="1%20-%20RYSUNKI/1936-003-PRT-A0065623-A-&#379;ebro.DXF" TargetMode="External"/><Relationship Id="rId1011" Type="http://schemas.openxmlformats.org/officeDocument/2006/relationships/hyperlink" Target="1%20-%20RYSUNKI/1936-003-PRT-A0065583-A-Os&#322;ona%20ramki%20skr&#281;cania%202.PDF" TargetMode="External"/><Relationship Id="rId1109" Type="http://schemas.openxmlformats.org/officeDocument/2006/relationships/hyperlink" Target="1%20-%20RYSUNKI/1936-003-PRT-A0065485-A-Kostka%20pod%20os&#322;on&#281;.STEP" TargetMode="External"/><Relationship Id="rId258" Type="http://schemas.openxmlformats.org/officeDocument/2006/relationships/hyperlink" Target="1%20-%20RYSUNKI/1936-007-PRT-A0065102-A-Mocowanie%20Spadni.STEP" TargetMode="External"/><Relationship Id="rId465" Type="http://schemas.openxmlformats.org/officeDocument/2006/relationships/hyperlink" Target="1%20-%20RYSUNKI/1936-001-PRT-A0065330-A-Os&#322;ona.STEP" TargetMode="External"/><Relationship Id="rId672" Type="http://schemas.openxmlformats.org/officeDocument/2006/relationships/hyperlink" Target="1%20-%20RYSUNKI/1936-003-PRT-A0065524-A-&#379;ebro%202.STEP" TargetMode="External"/><Relationship Id="rId1095" Type="http://schemas.openxmlformats.org/officeDocument/2006/relationships/hyperlink" Target="1%20-%20RYSUNKI/1936-003-PRT-A0065514-A-Os&#322;ona%20przednia%20g&#243;rna.PDF" TargetMode="External"/><Relationship Id="rId1316" Type="http://schemas.openxmlformats.org/officeDocument/2006/relationships/hyperlink" Target="1%20-%20RYSUNKI/1936-004-PRT-A0065696-A-P&#322;yta%20wkr&#281;tarek.STEP" TargetMode="External"/><Relationship Id="rId22" Type="http://schemas.openxmlformats.org/officeDocument/2006/relationships/hyperlink" Target="1%20-%20RYSUNKI/1881-04-PRT-A0030653-A-Gniazdo%20obudowy%20g&#243;rnej.PDF" TargetMode="External"/><Relationship Id="rId118" Type="http://schemas.openxmlformats.org/officeDocument/2006/relationships/hyperlink" Target="1%20-%20RYSUNKI/1936-005-PRT-A0065155-A-K&#261;townik%20stalowy%201.PDF" TargetMode="External"/><Relationship Id="rId325" Type="http://schemas.openxmlformats.org/officeDocument/2006/relationships/hyperlink" Target="1%20-%20RYSUNKI/1936-001-PRT-A0065373-A-Mocowanie%20&#321;o&#380;yska.PDF" TargetMode="External"/><Relationship Id="rId532" Type="http://schemas.openxmlformats.org/officeDocument/2006/relationships/hyperlink" Target="1%20-%20RYSUNKI\1936-004-PRT-A0065307-A-Kostka%20przewod&#243;w%20wej&#347;ciowa.PDF" TargetMode="External"/><Relationship Id="rId977" Type="http://schemas.openxmlformats.org/officeDocument/2006/relationships/hyperlink" Target="1%20-%20RYSUNKI/1936-003-PRT-A0065493-A-Os&#322;ona%20przednia%202.STEP" TargetMode="External"/><Relationship Id="rId1162" Type="http://schemas.openxmlformats.org/officeDocument/2006/relationships/hyperlink" Target="1%20-%20RYSUNKI/1936-001-PRT-A0065370-A-Mocowanie%20OPTO.DXF" TargetMode="External"/><Relationship Id="rId171" Type="http://schemas.openxmlformats.org/officeDocument/2006/relationships/hyperlink" Target="1%20-%20RYSUNKI/1936-005-PRT-A0065195-C-Mocowanie%20Podno&#347;nika.STEP" TargetMode="External"/><Relationship Id="rId837" Type="http://schemas.openxmlformats.org/officeDocument/2006/relationships/hyperlink" Target="1%20-%20RYSUNKI/1936-003-PRT-A0065615-A-Pokrywka.PDF" TargetMode="External"/><Relationship Id="rId1022" Type="http://schemas.openxmlformats.org/officeDocument/2006/relationships/hyperlink" Target="1%20-%20RYSUNKI/1936-003-PRT-A0065496-A-Os&#322;ona%20szafy%204.STEP" TargetMode="External"/><Relationship Id="rId269" Type="http://schemas.openxmlformats.org/officeDocument/2006/relationships/hyperlink" Target="1%20-%20RYSUNKI/1936-009-PRT-A0065732-A-Blacha%20Pude&#322;ka.DXF" TargetMode="External"/><Relationship Id="rId476" Type="http://schemas.openxmlformats.org/officeDocument/2006/relationships/hyperlink" Target="1%20-%20RYSUNKI/0000_Mocowanie_RFID_K&#261;townik-B.DXF" TargetMode="External"/><Relationship Id="rId683" Type="http://schemas.openxmlformats.org/officeDocument/2006/relationships/hyperlink" Target="1%20-%20RYSUNKI/1936-003-ASM-A0009804-A-Ramka%20skr&#281;cania.DXF" TargetMode="External"/><Relationship Id="rId890" Type="http://schemas.openxmlformats.org/officeDocument/2006/relationships/hyperlink" Target="1%20-%20RYSUNKI/1936-003-PRT-A0065427-A-Mocowanie%20skanera%201.STEP" TargetMode="External"/><Relationship Id="rId904" Type="http://schemas.openxmlformats.org/officeDocument/2006/relationships/hyperlink" Target="1%20-%20RYSUNKI/1936-003-PRT-A0065540-A-P&#322;askownik.DXF" TargetMode="External"/><Relationship Id="rId1327" Type="http://schemas.openxmlformats.org/officeDocument/2006/relationships/hyperlink" Target="1%20-%20RYSUNKI/1936-004-PRT-A0065685-A-K&#261;townik%20wzmacniaj&#261;cy.DXF" TargetMode="External"/><Relationship Id="rId33" Type="http://schemas.openxmlformats.org/officeDocument/2006/relationships/hyperlink" Target="1%20-%20RYSUNKI/1881-04-PRT-A0030650-A-Mocowanie%20Gniazda.STEP" TargetMode="External"/><Relationship Id="rId129" Type="http://schemas.openxmlformats.org/officeDocument/2006/relationships/hyperlink" Target="1%20-%20RYSUNKI/1936-005-PRT-A0065201-A-Mocowanie.STEP" TargetMode="External"/><Relationship Id="rId336" Type="http://schemas.openxmlformats.org/officeDocument/2006/relationships/hyperlink" Target="1%20-%20RYSUNKI/1936-005-PRT-A0065258-A-Blacha%20Pude&#322;ka.STEP" TargetMode="External"/><Relationship Id="rId543" Type="http://schemas.openxmlformats.org/officeDocument/2006/relationships/hyperlink" Target="1%20-%20RYSUNKI/1936-004-PRT-A0065306-A-Os&#322;ona%20elektryki.STEP" TargetMode="External"/><Relationship Id="rId988" Type="http://schemas.openxmlformats.org/officeDocument/2006/relationships/hyperlink" Target="1%20-%20RYSUNKI/1936-003-PRT-A0065590-A-Os&#322;ona%20rury%202.DXF" TargetMode="External"/><Relationship Id="rId1173" Type="http://schemas.openxmlformats.org/officeDocument/2006/relationships/hyperlink" Target="1%20-%20RYSUNKI/1936-001-PRT-A0069199-A-Mocowanie%20przycisku%20startu.PDF" TargetMode="External"/><Relationship Id="rId1380" Type="http://schemas.openxmlformats.org/officeDocument/2006/relationships/printerSettings" Target="../printerSettings/printerSettings2.bin"/><Relationship Id="rId182" Type="http://schemas.openxmlformats.org/officeDocument/2006/relationships/hyperlink" Target="1%20-%20RYSUNKI/1936-005-PRT-A0065122-C-Blacha%20Pod&#322;oga.DXF" TargetMode="External"/><Relationship Id="rId403" Type="http://schemas.openxmlformats.org/officeDocument/2006/relationships/hyperlink" Target="1%20-%20RYSUNKI/1936-001-PRT-A0066499-A-K&#261;townik%20p&#243;&#322;ki.PDF" TargetMode="External"/><Relationship Id="rId750" Type="http://schemas.openxmlformats.org/officeDocument/2006/relationships/hyperlink" Target="1%20-%20RYSUNKI/1936-003-PRT-A0065472-A-Podpora%20gniazda.STEP" TargetMode="External"/><Relationship Id="rId848" Type="http://schemas.openxmlformats.org/officeDocument/2006/relationships/hyperlink" Target="1%20-%20RYSUNKI/1936-003-PRT-A0065611-A-Tuleja%20dystansowa.STEP" TargetMode="External"/><Relationship Id="rId1033" Type="http://schemas.openxmlformats.org/officeDocument/2006/relationships/hyperlink" Target="1%20-%20RYSUNKI/1936-003-PRT-A0065498-A-Os&#322;ona%20szafy%203.DXF" TargetMode="External"/><Relationship Id="rId487" Type="http://schemas.openxmlformats.org/officeDocument/2006/relationships/hyperlink" Target="1%20-%20RYSUNKI/1936-001-PRT-A0065268-A-Szafa%20Pneumatyki.PDF" TargetMode="External"/><Relationship Id="rId610" Type="http://schemas.openxmlformats.org/officeDocument/2006/relationships/hyperlink" Target="1%20-%20RYSUNKI/1936-001-PRT-A0065349-A-Os&#322;ona.PDF" TargetMode="External"/><Relationship Id="rId694" Type="http://schemas.openxmlformats.org/officeDocument/2006/relationships/hyperlink" Target="1%20-%20RYSUNKI/1936-003-ASM-A0009808-A-Ramka%20spawana.DXF" TargetMode="External"/><Relationship Id="rId708" Type="http://schemas.openxmlformats.org/officeDocument/2006/relationships/hyperlink" Target="1%20-%20RYSUNKI/1936-001-PRT-A0065364-A-Os&#322;ona.STEP" TargetMode="External"/><Relationship Id="rId915" Type="http://schemas.openxmlformats.org/officeDocument/2006/relationships/hyperlink" Target="1%20-%20RYSUNKI/1936-003-PRT-A0068623-A-K&#261;townik.PDF" TargetMode="External"/><Relationship Id="rId1240" Type="http://schemas.openxmlformats.org/officeDocument/2006/relationships/hyperlink" Target="1%20-%20RYSUNKI/1936-004-PRT-A0065637-A-Z&#322;&#261;cze%20.DXF" TargetMode="External"/><Relationship Id="rId1338" Type="http://schemas.openxmlformats.org/officeDocument/2006/relationships/hyperlink" Target="1%20-%20RYSUNKI/1936-004-PRT-A0065649-A-P&#322;ytka%20ustnik&#243;w.PDF" TargetMode="External"/><Relationship Id="rId347" Type="http://schemas.openxmlformats.org/officeDocument/2006/relationships/hyperlink" Target="1%20-%20RYSUNKI/1936-012-PRT-A0065289-A-Gniazdo%20Narz&#281;dzia%20Naprawczego.DXF" TargetMode="External"/><Relationship Id="rId999" Type="http://schemas.openxmlformats.org/officeDocument/2006/relationships/hyperlink" Target="1%20-%20RYSUNKI/1936-003-PRT-A0065509-A-Os&#322;ona%20ramki%20skr&#281;cania%206.PDF" TargetMode="External"/><Relationship Id="rId1100" Type="http://schemas.openxmlformats.org/officeDocument/2006/relationships/hyperlink" Target="1%20-%20RYSUNKI/1936-003-PRT-A0065507-A-Blacha%20szczotki%202.STEP" TargetMode="External"/><Relationship Id="rId1184" Type="http://schemas.openxmlformats.org/officeDocument/2006/relationships/hyperlink" Target="1%20-%20RYSUNKI/1936-004-PRT-A0065677-A-Gniazdo%20obudowy%20g&#243;rnej.STEP" TargetMode="External"/><Relationship Id="rId44" Type="http://schemas.openxmlformats.org/officeDocument/2006/relationships/hyperlink" Target="1%20-%20RYSUNKI/1881-04-PRT-A0030592-A-Mocowanie%20gniazda.DXF" TargetMode="External"/><Relationship Id="rId554" Type="http://schemas.openxmlformats.org/officeDocument/2006/relationships/hyperlink" Target="1%20-%20RYSUNKI/1936-004-PRT-A0065311-A-Ko&#322;nierz%20Przewodu%20rozdzielacza.DXF" TargetMode="External"/><Relationship Id="rId761" Type="http://schemas.openxmlformats.org/officeDocument/2006/relationships/hyperlink" Target="1%20-%20RYSUNKI/1936-003-PRT-A0065430-A-Dystans%201.DXF" TargetMode="External"/><Relationship Id="rId859" Type="http://schemas.openxmlformats.org/officeDocument/2006/relationships/hyperlink" Target="1%20-%20RYSUNKI/1936-003-PRT-A0065620-A-Oprawa%20&#322;o&#380;yska.DXF" TargetMode="External"/><Relationship Id="rId193" Type="http://schemas.openxmlformats.org/officeDocument/2006/relationships/hyperlink" Target="1%20-%20RYSUNKI/1936-005-PRT-A0065203-A-Os&#322;ona.PDF" TargetMode="External"/><Relationship Id="rId207" Type="http://schemas.openxmlformats.org/officeDocument/2006/relationships/hyperlink" Target="1%20-%20RYSUNKI/1936-005-PRT-A0065188-A-Os&#322;ona.STEP" TargetMode="External"/><Relationship Id="rId414" Type="http://schemas.openxmlformats.org/officeDocument/2006/relationships/hyperlink" Target="1%20-%20RYSUNKI/1936-012-PRT-A0065265-A-P&#322;ytka%20narz&#281;dzia%20naprawczego.STEP" TargetMode="External"/><Relationship Id="rId498" Type="http://schemas.openxmlformats.org/officeDocument/2006/relationships/hyperlink" Target="1%20-%20RYSUNKI/1936-001-PRT-A0065381-A-Kostka%20zabezpieczaj&#261;ca.STEP" TargetMode="External"/><Relationship Id="rId621" Type="http://schemas.openxmlformats.org/officeDocument/2006/relationships/hyperlink" Target="1%20-%20RYSUNKI/1936-001-PRT-A0065342-A-Os&#322;ona.STEP" TargetMode="External"/><Relationship Id="rId1044" Type="http://schemas.openxmlformats.org/officeDocument/2006/relationships/hyperlink" Target="1%20-%20RYSUNKI/1936-003-PRT-A0065572-A-Os&#322;ona%20przewodu.PDF" TargetMode="External"/><Relationship Id="rId1251" Type="http://schemas.openxmlformats.org/officeDocument/2006/relationships/hyperlink" Target="1%20-%20RYSUNKI\1936-004-PRT-A0065693-A-Mocowanie%20si&#322;ownika%20wkr&#281;tarek.PDF" TargetMode="External"/><Relationship Id="rId1349" Type="http://schemas.openxmlformats.org/officeDocument/2006/relationships/hyperlink" Target="1%20-%20RYSUNKI/1936-004-PRT-A0065725-A-Trzpie&#324;%20gwintowany%20mocuj&#261;cy.STEP" TargetMode="External"/><Relationship Id="rId260" Type="http://schemas.openxmlformats.org/officeDocument/2006/relationships/hyperlink" Target="1%20-%20RYSUNKI/0002_Spadnie_Tuleja%20k&#243;&#322;kostopki-E.DXF" TargetMode="External"/><Relationship Id="rId719" Type="http://schemas.openxmlformats.org/officeDocument/2006/relationships/hyperlink" Target="1%20-%20RYSUNKI/1936-001-PRT-A0065351-A-Os&#322;ona.DXF" TargetMode="External"/><Relationship Id="rId926" Type="http://schemas.openxmlformats.org/officeDocument/2006/relationships/hyperlink" Target="1%20-%20RYSUNKI/1936-003-PRT-A0069044-A-Os&#322;ona%20przednia%20g&#243;rna.STEP" TargetMode="External"/><Relationship Id="rId1111" Type="http://schemas.openxmlformats.org/officeDocument/2006/relationships/hyperlink" Target="1%20-%20RYSUNKI/1936-003-PRT-A0065483-A-P&#322;ytka.DXF" TargetMode="External"/><Relationship Id="rId55" Type="http://schemas.openxmlformats.org/officeDocument/2006/relationships/hyperlink" Target="1%20-%20RYSUNKI/1936-005-PRT-A0065132-A-Prowadzenie%20Pude&#322;ek%202.PDF" TargetMode="External"/><Relationship Id="rId120" Type="http://schemas.openxmlformats.org/officeDocument/2006/relationships/hyperlink" Target="1%20-%20RYSUNKI/1936-005-PRT-A0065155-A-K&#261;townik%20stalowy%201.STEP" TargetMode="External"/><Relationship Id="rId358" Type="http://schemas.openxmlformats.org/officeDocument/2006/relationships/hyperlink" Target="1%20-%20RYSUNKI/1936-003-PRT-A0066058-A-Os&#322;ona%20boczna.PDF" TargetMode="External"/><Relationship Id="rId565" Type="http://schemas.openxmlformats.org/officeDocument/2006/relationships/hyperlink" Target="1%20-%20RYSUNKI/1936-005-PRT-A0065099-A-Mocowanie%20Monitora.PDF" TargetMode="External"/><Relationship Id="rId772" Type="http://schemas.openxmlformats.org/officeDocument/2006/relationships/hyperlink" Target="1%20-%20RYSUNKI/1936-003-PRT-A0065435-A-Os&#322;ona%203.PDF" TargetMode="External"/><Relationship Id="rId1195" Type="http://schemas.openxmlformats.org/officeDocument/2006/relationships/hyperlink" Target="1%20-%20RYSUNKI/1936-004-PRT-A0065667-A-Mocowanie%20gniazda.DXF" TargetMode="External"/><Relationship Id="rId1209" Type="http://schemas.openxmlformats.org/officeDocument/2006/relationships/hyperlink" Target="1%20-%20RYSUNKI/1936-004-PRT-A0065679-A-Dystans.PDF" TargetMode="External"/><Relationship Id="rId218" Type="http://schemas.openxmlformats.org/officeDocument/2006/relationships/hyperlink" Target="1%20-%20RYSUNKI/1936-005-PRT-A0065184-A-Korpus%20skanera.DXF" TargetMode="External"/><Relationship Id="rId425" Type="http://schemas.openxmlformats.org/officeDocument/2006/relationships/hyperlink" Target="1%20-%20RYSUNKI/1936-001-PRT-A0065262-A-Mocowanie%20Szafy.DXF" TargetMode="External"/><Relationship Id="rId632" Type="http://schemas.openxmlformats.org/officeDocument/2006/relationships/hyperlink" Target="1%20-%20RYSUNKI/1936-001-PRT-A0065334-A-Os&#322;ona.DXF" TargetMode="External"/><Relationship Id="rId1055" Type="http://schemas.openxmlformats.org/officeDocument/2006/relationships/hyperlink" Target="1%20-%20RYSUNKI/1936-003-PRT-A0065518-A-Blacha%20tylnia%202.STEP" TargetMode="External"/><Relationship Id="rId1262" Type="http://schemas.openxmlformats.org/officeDocument/2006/relationships/hyperlink" Target="1%20-%20RYSUNKI/1936-004-PRT-A0065697-A-Wa&#322;%20prowdz&#261;cy%20g&#322;&#243;wny.STEP" TargetMode="External"/><Relationship Id="rId271" Type="http://schemas.openxmlformats.org/officeDocument/2006/relationships/hyperlink" Target="1%20-%20RYSUNKI/1936-010-PRT-A0066453-A-Oslona%20SR750.PDF" TargetMode="External"/><Relationship Id="rId937" Type="http://schemas.openxmlformats.org/officeDocument/2006/relationships/hyperlink" Target="1%20-%20RYSUNKI/1936-003-PRT-A0065489-A-K&#261;townik%20skanera.DXF" TargetMode="External"/><Relationship Id="rId1122" Type="http://schemas.openxmlformats.org/officeDocument/2006/relationships/hyperlink" Target="1%20-%20RYSUNKI/1936-003-PRT-A0065577-A-Kostka%20regulacji%202.PDF" TargetMode="External"/><Relationship Id="rId66" Type="http://schemas.openxmlformats.org/officeDocument/2006/relationships/hyperlink" Target="1%20-%20RYSUNKI/1936-005-PRT-A0065136-B-Mocowanie%20Pick2Light.STEP" TargetMode="External"/><Relationship Id="rId131" Type="http://schemas.openxmlformats.org/officeDocument/2006/relationships/hyperlink" Target="1%20-%20RYSUNKI/1936-005-PRT-A0065185-A-Wa&#322;eczek.DXF" TargetMode="External"/><Relationship Id="rId369" Type="http://schemas.openxmlformats.org/officeDocument/2006/relationships/hyperlink" Target="1%20-%20RYSUNKI/1936-003-PRT-A0066066-A-Podstawa%20lasera.STEP" TargetMode="External"/><Relationship Id="rId576" Type="http://schemas.openxmlformats.org/officeDocument/2006/relationships/hyperlink" Target="1%20-%20RYSUNKI/1936-001-PRT-A0065098-A-Mocowanie%20klawiatury.STEP" TargetMode="External"/><Relationship Id="rId783" Type="http://schemas.openxmlformats.org/officeDocument/2006/relationships/hyperlink" Target="1%20-%20RYSUNKI/1936-003-PRT-A0065464-A-Os&#322;ona%201.STEP" TargetMode="External"/><Relationship Id="rId990" Type="http://schemas.openxmlformats.org/officeDocument/2006/relationships/hyperlink" Target="1%20-%20RYSUNKI/1936-003-PRT-A0065575-A-Os&#322;ona%20przednia.PDF" TargetMode="External"/><Relationship Id="rId229" Type="http://schemas.openxmlformats.org/officeDocument/2006/relationships/hyperlink" Target="1%20-%20RYSUNKI/1936-001-PRT-A0065120-A-Mocowanie%20Ergoswiss%20AG.PDF" TargetMode="External"/><Relationship Id="rId436" Type="http://schemas.openxmlformats.org/officeDocument/2006/relationships/hyperlink" Target="1%20-%20RYSUNKI/1936-001-PRT-A0065400-A-Pole%20odk&#322;adcze.PDF" TargetMode="External"/><Relationship Id="rId643" Type="http://schemas.openxmlformats.org/officeDocument/2006/relationships/hyperlink" Target="1%20-%20RYSUNKI\1936-001-PRT-A0065333-A-Dystans%20szafa-ramka.PDF" TargetMode="External"/><Relationship Id="rId1066" Type="http://schemas.openxmlformats.org/officeDocument/2006/relationships/hyperlink" Target="1%20-%20RYSUNKI/1936-003-PRT-A0065510-A-Os&#322;ona%20przednia.DXF" TargetMode="External"/><Relationship Id="rId1273" Type="http://schemas.openxmlformats.org/officeDocument/2006/relationships/hyperlink" Target="1%20-%20RYSUNKI/1936-004-PRT-A0065712-A-K&#261;townik%20prowadnika.DXF" TargetMode="External"/><Relationship Id="rId850" Type="http://schemas.openxmlformats.org/officeDocument/2006/relationships/hyperlink" Target="1%20-%20RYSUNKI/1936-003-PRT-A0065612-A-Tulejka%20dystansowa.DXF" TargetMode="External"/><Relationship Id="rId948" Type="http://schemas.openxmlformats.org/officeDocument/2006/relationships/hyperlink" Target="1%20-%20RYSUNKI\1936-003-PRT-A0065559-A-Kostka%20regulacji.PDF" TargetMode="External"/><Relationship Id="rId1133" Type="http://schemas.openxmlformats.org/officeDocument/2006/relationships/hyperlink" Target="1%20-%20RYSUNKI/1936-005-PRT-A0068995-A-P&#322;yta%20k&#243;&#322;ka.STEP" TargetMode="External"/><Relationship Id="rId77" Type="http://schemas.openxmlformats.org/officeDocument/2006/relationships/hyperlink" Target="1%20-%20RYSUNKI/1936-005-PRT-A0065177-A-Mocowanie%20czujnika.DXF" TargetMode="External"/><Relationship Id="rId282" Type="http://schemas.openxmlformats.org/officeDocument/2006/relationships/hyperlink" Target="1%20-%20RYSUNKI/1936-010-PRT-A0066450-A-P&#322;yta%20po&#347;rednia%20SR.STEP" TargetMode="External"/><Relationship Id="rId503" Type="http://schemas.openxmlformats.org/officeDocument/2006/relationships/hyperlink" Target="1%20-%20RYSUNKI/1936-011-PRT-A0065377-A-Mocowanie.DXF" TargetMode="External"/><Relationship Id="rId587" Type="http://schemas.openxmlformats.org/officeDocument/2006/relationships/hyperlink" Target="1%20-%20RYSUNKI/1936-001-PRT-A0068569-A-Mocowanie%20pude&#322;ka%202.DXF" TargetMode="External"/><Relationship Id="rId710" Type="http://schemas.openxmlformats.org/officeDocument/2006/relationships/hyperlink" Target="1%20-%20RYSUNKI/1936-001-PRT-A0065324-A-Os&#322;ona.DXF" TargetMode="External"/><Relationship Id="rId808" Type="http://schemas.openxmlformats.org/officeDocument/2006/relationships/hyperlink" Target="1%20-%20RYSUNKI/1936-003-PRT-A0065610-A-Uchwyt%20przewodu.DXF" TargetMode="External"/><Relationship Id="rId1340" Type="http://schemas.openxmlformats.org/officeDocument/2006/relationships/hyperlink" Target="1%20-%20RYSUNKI/1936-004-PRT-A0065649-A-P&#322;ytka%20ustnik&#243;w.STEP" TargetMode="External"/><Relationship Id="rId8" Type="http://schemas.openxmlformats.org/officeDocument/2006/relationships/hyperlink" Target="1%20-%20RYSUNKI/1881-04-PRT-A0030601-A-Gniazdo%20obudowy%20g&#243;rnej.DXF" TargetMode="External"/><Relationship Id="rId142" Type="http://schemas.openxmlformats.org/officeDocument/2006/relationships/hyperlink" Target="1%20-%20RYSUNKI/1936-005-PRT-A0065115-A-Os&#322;ona%20Etykiet.PDF" TargetMode="External"/><Relationship Id="rId447" Type="http://schemas.openxmlformats.org/officeDocument/2006/relationships/hyperlink" Target="1%20-%20RYSUNKI/1936-001-PRT-A0065394-A-Os&#322;ona.STEP" TargetMode="External"/><Relationship Id="rId794" Type="http://schemas.openxmlformats.org/officeDocument/2006/relationships/hyperlink" Target="1%20-%20RYSUNKI/1936-003-PRT-A0065465-A-P&#322;ytka%20teowa.DXF" TargetMode="External"/><Relationship Id="rId1077" Type="http://schemas.openxmlformats.org/officeDocument/2006/relationships/hyperlink" Target="1%20-%20RYSUNKI/1936-003-PRT-A0065491-A-Os&#322;ona%20ty&#322;%201.PDF" TargetMode="External"/><Relationship Id="rId1200" Type="http://schemas.openxmlformats.org/officeDocument/2006/relationships/hyperlink" Target="1%20-%20RYSUNKI\1936-004-PRT-A0065655-A-Mocowanie%20gniazda.PDF" TargetMode="External"/><Relationship Id="rId654" Type="http://schemas.openxmlformats.org/officeDocument/2006/relationships/hyperlink" Target="1%20-%20RYSUNKI/1936-003-PRT-A0068986-A-Za&#347;lepka%201.STEP" TargetMode="External"/><Relationship Id="rId861" Type="http://schemas.openxmlformats.org/officeDocument/2006/relationships/hyperlink" Target="1%20-%20RYSUNKI/1936-003-PRT-A0065625-A-Podk&#322;adka.PDF" TargetMode="External"/><Relationship Id="rId959" Type="http://schemas.openxmlformats.org/officeDocument/2006/relationships/hyperlink" Target="1%20-%20RYSUNKI/1936-003-PRT-A0065586-A-Blacha%20boczna%20%20prawa%20g&#243;rna.STEP" TargetMode="External"/><Relationship Id="rId1284" Type="http://schemas.openxmlformats.org/officeDocument/2006/relationships/hyperlink" Target="1%20-%20RYSUNKI\1936-004-PRT-A0068196-A-Ustalenie%20ustnik&#243;w.PDF" TargetMode="External"/><Relationship Id="rId293" Type="http://schemas.openxmlformats.org/officeDocument/2006/relationships/hyperlink" Target="1%20-%20RYSUNKI/1936-010-PRT-A0066456-A-Trzpie&#324;%20mocuj&#261;cy.DXF" TargetMode="External"/><Relationship Id="rId307" Type="http://schemas.openxmlformats.org/officeDocument/2006/relationships/hyperlink" Target="1%20-%20RYSUNKI/1936-004-PRT-A0065417-A-Pole%20odk&#322;adcze.PDF" TargetMode="External"/><Relationship Id="rId514" Type="http://schemas.openxmlformats.org/officeDocument/2006/relationships/hyperlink" Target="1%20-%20RYSUNKI/1936-004-PRT-A0065842-A-Tulejka%20dystansuj&#261;ca%20.PDF" TargetMode="External"/><Relationship Id="rId721" Type="http://schemas.openxmlformats.org/officeDocument/2006/relationships/hyperlink" Target="1%20-%20RYSUNKI/1936-001-PRT-A0065405-A-Os&#322;ona.PDF" TargetMode="External"/><Relationship Id="rId1144" Type="http://schemas.openxmlformats.org/officeDocument/2006/relationships/hyperlink" Target="1%20-%20RYSUNKI/1936-002-PRT-A0065284-A-Os&#322;ona%20RFID.DXF" TargetMode="External"/><Relationship Id="rId1351" Type="http://schemas.openxmlformats.org/officeDocument/2006/relationships/hyperlink" Target="1%20-%20RYSUNKI/1936-004-PRT-A0065719-A-Prowadzenie.DXF" TargetMode="External"/><Relationship Id="rId88" Type="http://schemas.openxmlformats.org/officeDocument/2006/relationships/hyperlink" Target="1%20-%20RYSUNKI/1936-005-PRT-A0065149-A-K&#261;townik%20dolny%20szuflady.PDF" TargetMode="External"/><Relationship Id="rId153" Type="http://schemas.openxmlformats.org/officeDocument/2006/relationships/hyperlink" Target="1%20-%20RYSUNKI/1936-005-PRT-A0066029-A-K&#261;townik.STEP" TargetMode="External"/><Relationship Id="rId360" Type="http://schemas.openxmlformats.org/officeDocument/2006/relationships/hyperlink" Target="1%20-%20RYSUNKI/1936-003-PRT-A0066058-A-Os&#322;ona%20boczna.STEP" TargetMode="External"/><Relationship Id="rId598" Type="http://schemas.openxmlformats.org/officeDocument/2006/relationships/hyperlink" Target="1%20-%20RYSUNKI/1936-001-PRT-A0068868-A-K&#261;townik%20przep&#322;ywomierza.PDF" TargetMode="External"/><Relationship Id="rId819" Type="http://schemas.openxmlformats.org/officeDocument/2006/relationships/hyperlink" Target="1%20-%20RYSUNKI\1936-003-PRT-A0065613-A-Oprawa%20nakr&#281;tki.PDF" TargetMode="External"/><Relationship Id="rId1004" Type="http://schemas.openxmlformats.org/officeDocument/2006/relationships/hyperlink" Target="1%20-%20RYSUNKI/1936-003-PRT-A0065582-A-Os&#322;ona%20ramki%20skr&#281;cania%205.STEP" TargetMode="External"/><Relationship Id="rId1211" Type="http://schemas.openxmlformats.org/officeDocument/2006/relationships/hyperlink" Target="1%20-%20RYSUNKI/1936-004-PRT-A0065679-A-Dystans.STEP" TargetMode="External"/><Relationship Id="rId220" Type="http://schemas.openxmlformats.org/officeDocument/2006/relationships/hyperlink" Target="1%20-%20RYSUNKI/1936-005-PRT-A0065152-A-Mocowanie%20czujnika%20wizyjnego.PDF" TargetMode="External"/><Relationship Id="rId458" Type="http://schemas.openxmlformats.org/officeDocument/2006/relationships/hyperlink" Target="1%20-%20RYSUNKI/1936-001-PRT-A0065356-A-Mocowanie%20Kontrolera.DXF" TargetMode="External"/><Relationship Id="rId665" Type="http://schemas.openxmlformats.org/officeDocument/2006/relationships/hyperlink" Target="1%20-%20RYSUNKI/1936-003-PRT-A0065527-A-P&#322;askownik.DXF" TargetMode="External"/><Relationship Id="rId872" Type="http://schemas.openxmlformats.org/officeDocument/2006/relationships/hyperlink" Target="1%20-%20RYSUNKI/1936-003-PRT-A0065606-A-Blaszka%203.STEP" TargetMode="External"/><Relationship Id="rId1088" Type="http://schemas.openxmlformats.org/officeDocument/2006/relationships/hyperlink" Target="1%20-%20RYSUNKI/1936-003-PRT-A0065578-A-Blacha%20kolor.STEP" TargetMode="External"/><Relationship Id="rId1295" Type="http://schemas.openxmlformats.org/officeDocument/2006/relationships/hyperlink" Target="1%20-%20RYSUNKI/1936-004-PRT-A0065723-A-Zastrza&#322;%20p&#322;yt%20wkr&#281;tarek.STEP" TargetMode="External"/><Relationship Id="rId1309" Type="http://schemas.openxmlformats.org/officeDocument/2006/relationships/hyperlink" Target="1%20-%20RYSUNKI/1936-004-PRT-A0065706-A-Mocowanie%20wa&#322;&#243;w%20g&#322;&#243;wnych.DXF" TargetMode="External"/><Relationship Id="rId15" Type="http://schemas.openxmlformats.org/officeDocument/2006/relationships/hyperlink" Target="1%20-%20RYSUNKI/1881-04-PRT-A0030599-A-Gniazdo%20obudowy%20g&#243;rnej.STEP" TargetMode="External"/><Relationship Id="rId318" Type="http://schemas.openxmlformats.org/officeDocument/2006/relationships/hyperlink" Target="1%20-%20RYSUNKI/1936-001-PRT-A0065420-A-Blacha.STEP" TargetMode="External"/><Relationship Id="rId525" Type="http://schemas.openxmlformats.org/officeDocument/2006/relationships/hyperlink" Target="1%20-%20RYSUNKI/1936-004-PRT-A0065304-A-Kostka%20si&#322;ownika.STEP" TargetMode="External"/><Relationship Id="rId732" Type="http://schemas.openxmlformats.org/officeDocument/2006/relationships/hyperlink" Target="1%20-%20RYSUNKI/1936-001-PRT-A0065393-A-Os&#322;ona.STEP" TargetMode="External"/><Relationship Id="rId1155" Type="http://schemas.openxmlformats.org/officeDocument/2006/relationships/hyperlink" Target="1%20-%20RYSUNKI\1936-002-PRT-A0065285-A-Ociekacz.PDF" TargetMode="External"/><Relationship Id="rId1362" Type="http://schemas.openxmlformats.org/officeDocument/2006/relationships/hyperlink" Target="1%20-%20RYSUNKI/1936-004-PRT-A0065718-A-Podk&#322;adka.PDF" TargetMode="External"/><Relationship Id="rId99" Type="http://schemas.openxmlformats.org/officeDocument/2006/relationships/hyperlink" Target="1%20-%20RYSUNKI/1936-005-PRT-A0065171-A-Blacha%20Drukarki%20I.STEP" TargetMode="External"/><Relationship Id="rId164" Type="http://schemas.openxmlformats.org/officeDocument/2006/relationships/hyperlink" Target="1%20-%20RYSUNKI/1936-005-PRT-A0066022-A-Mocowanie%20IGUS.DXF" TargetMode="External"/><Relationship Id="rId371" Type="http://schemas.openxmlformats.org/officeDocument/2006/relationships/hyperlink" Target="1%20-%20RYSUNKI/1936-001-PRT-A0065367-A-Mocowanie%20czujnika.DXF" TargetMode="External"/><Relationship Id="rId1015" Type="http://schemas.openxmlformats.org/officeDocument/2006/relationships/hyperlink" Target="1%20-%20RYSUNKI/1936-003-PRT-A0065554-A-Os&#322;ona%20ramki%20skr&#281;cania%201.DXF" TargetMode="External"/><Relationship Id="rId1222" Type="http://schemas.openxmlformats.org/officeDocument/2006/relationships/hyperlink" Target="1%20-%20RYSUNKI/1936-004-PRT-A0065647-A-Ko&#322;nierz%20.DXF" TargetMode="External"/><Relationship Id="rId469" Type="http://schemas.openxmlformats.org/officeDocument/2006/relationships/hyperlink" Target="1%20-%20RYSUNKI/1936-001-PRT-A0065295-A-Mocowanie%20zaworu.PDF" TargetMode="External"/><Relationship Id="rId676" Type="http://schemas.openxmlformats.org/officeDocument/2006/relationships/hyperlink" Target="1%20-%20RYSUNKI/1936-003-PRT-A0065522-A-Za&#347;lepka%201.PDF" TargetMode="External"/><Relationship Id="rId883" Type="http://schemas.openxmlformats.org/officeDocument/2006/relationships/hyperlink" Target="1%20-%20RYSUNKI/1936-003-PRT-A0065608-A-Blacha%20zamka%201.DXF" TargetMode="External"/><Relationship Id="rId1099" Type="http://schemas.openxmlformats.org/officeDocument/2006/relationships/hyperlink" Target="1%20-%20RYSUNKI/1936-003-PRT-A0065507-A-Blacha%20szczotki%202.DXF" TargetMode="External"/><Relationship Id="rId26" Type="http://schemas.openxmlformats.org/officeDocument/2006/relationships/hyperlink" Target="1%20-%20RYSUNKI/1881-04-PRT-A0030652-A-Mocowanie%20RFID.DXF" TargetMode="External"/><Relationship Id="rId231" Type="http://schemas.openxmlformats.org/officeDocument/2006/relationships/hyperlink" Target="1%20-%20RYSUNKI/1936-001-PRT-A0065120-A-Mocowanie%20Ergoswiss%20AG.STEP" TargetMode="External"/><Relationship Id="rId329" Type="http://schemas.openxmlformats.org/officeDocument/2006/relationships/hyperlink" Target="1%20-%20RYSUNKI/1936-005-PRT-A0065253-A-K&#261;townik%20dolny%20szuflady.DXF" TargetMode="External"/><Relationship Id="rId536" Type="http://schemas.openxmlformats.org/officeDocument/2006/relationships/hyperlink" Target="1%20-%20RYSUNKI/1936-004-PRT-A0065308-A-Kostka%20rozdzielajaca%20wej&#347;ciowa.DXF" TargetMode="External"/><Relationship Id="rId1166" Type="http://schemas.openxmlformats.org/officeDocument/2006/relationships/hyperlink" Target="1%20-%20RYSUNKI/1936-001-PRT-A0065371-A-Mocowanie%20OPTO.STEP" TargetMode="External"/><Relationship Id="rId1373" Type="http://schemas.openxmlformats.org/officeDocument/2006/relationships/hyperlink" Target="1%20-%20RYSUNKI/1936-002-PRT-A0065277-A-P&#322;ytka%20mocuj&#261;ca.STEP" TargetMode="External"/><Relationship Id="rId175" Type="http://schemas.openxmlformats.org/officeDocument/2006/relationships/hyperlink" Target="1%20-%20RYSUNKI/1936-005-PRT-A0065174-A-Mocowanie%20Prowadnika.PDF" TargetMode="External"/><Relationship Id="rId743" Type="http://schemas.openxmlformats.org/officeDocument/2006/relationships/hyperlink" Target="1%20-%20RYSUNKI/1936-003-PRT-A0065471-A-Szcz&#281;ka.DXF" TargetMode="External"/><Relationship Id="rId950" Type="http://schemas.openxmlformats.org/officeDocument/2006/relationships/hyperlink" Target="1%20-%20RYSUNKI/1936-003-PRT-A0065559-A-Kostka%20regulacji.STEP" TargetMode="External"/><Relationship Id="rId1026" Type="http://schemas.openxmlformats.org/officeDocument/2006/relationships/hyperlink" Target="1%20-%20RYSUNKI/1936-003-PRT-A0065497-A-Os&#322;ona%20szafy%205.PDF" TargetMode="External"/><Relationship Id="rId382" Type="http://schemas.openxmlformats.org/officeDocument/2006/relationships/hyperlink" Target="1%20-%20RYSUNKI/1936-012-PRT-A0065288-A-Gniazdo%20na%20narz&#281;dzie%20naprawcze.PDF" TargetMode="External"/><Relationship Id="rId603" Type="http://schemas.openxmlformats.org/officeDocument/2006/relationships/hyperlink" Target="1%20-%20RYSUNKI/1936-001-PRT-A0068987-A-Podstawa%20transformatora.STEP" TargetMode="External"/><Relationship Id="rId687" Type="http://schemas.openxmlformats.org/officeDocument/2006/relationships/hyperlink" Target="1%20-%20RYSUNKI/1936-003-PRT-A0065584-A-Rama%20dolna.PDF" TargetMode="External"/><Relationship Id="rId810" Type="http://schemas.openxmlformats.org/officeDocument/2006/relationships/hyperlink" Target="1%20-%20RYSUNKI/1936-003-PRT-A0065631-A-P&#322;yta.PDF" TargetMode="External"/><Relationship Id="rId908" Type="http://schemas.openxmlformats.org/officeDocument/2006/relationships/hyperlink" Target="1%20-%20RYSUNKI/1936-003-PRT-A0065537-A-Mocowanie%20ramki%20i%20w&#243;zk&#243;w.STEP" TargetMode="External"/><Relationship Id="rId1233" Type="http://schemas.openxmlformats.org/officeDocument/2006/relationships/hyperlink" Target="1%20-%20RYSUNKI\1936-004-PRT-A0065645-A-Korpus%20wkr&#281;t&#243;w.PDF" TargetMode="External"/><Relationship Id="rId242" Type="http://schemas.openxmlformats.org/officeDocument/2006/relationships/hyperlink" Target="1%20-%20RYSUNKI/1936-008-PRT-A0065108-A-Os&#322;ona.DXF" TargetMode="External"/><Relationship Id="rId894" Type="http://schemas.openxmlformats.org/officeDocument/2006/relationships/hyperlink" Target="1%20-%20RYSUNKI/1936-003-PRT-A0069009-A-Uchwyt%20czujnika.PDF" TargetMode="External"/><Relationship Id="rId1177" Type="http://schemas.openxmlformats.org/officeDocument/2006/relationships/hyperlink" Target="1%20-%20RYSUNKI/1936-004-PRT-A0065681-A-Mocowanie%20Gniazda.DXF" TargetMode="External"/><Relationship Id="rId1300" Type="http://schemas.openxmlformats.org/officeDocument/2006/relationships/hyperlink" Target="1%20-%20RYSUNKI/1936-004-PRT-A0065713-A-Podstawa%20gniazda%20skr&#281;cania.DXF" TargetMode="External"/><Relationship Id="rId37" Type="http://schemas.openxmlformats.org/officeDocument/2006/relationships/hyperlink" Target="1%20-%20RYSUNKI/1881-04-PRT-A0030589-A-Mocowanie%20gniazda.PDF" TargetMode="External"/><Relationship Id="rId102" Type="http://schemas.openxmlformats.org/officeDocument/2006/relationships/hyperlink" Target="1%20-%20RYSUNKI/1936-005-PRT-A0065126-A-Blacha%20Drukarki%20II.STEP" TargetMode="External"/><Relationship Id="rId547" Type="http://schemas.openxmlformats.org/officeDocument/2006/relationships/hyperlink" Target="1%20-%20RYSUNKI/1936-004-PRT-A0065314-A-Dystans%20magnesu.PDF" TargetMode="External"/><Relationship Id="rId754" Type="http://schemas.openxmlformats.org/officeDocument/2006/relationships/hyperlink" Target="1%20-%20RYSUNKI/1936-003-PRT-A0065467-A-Gniazdo.PDF" TargetMode="External"/><Relationship Id="rId961" Type="http://schemas.openxmlformats.org/officeDocument/2006/relationships/hyperlink" Target="1%20-%20RYSUNKI/1936-003-PRT-A0065556-A-Blacha%20szczotki%201.DXF" TargetMode="External"/><Relationship Id="rId90" Type="http://schemas.openxmlformats.org/officeDocument/2006/relationships/hyperlink" Target="1%20-%20RYSUNKI/1936-005-PRT-A0065149-A-K&#261;townik%20dolny%20szuflady.STEP" TargetMode="External"/><Relationship Id="rId186" Type="http://schemas.openxmlformats.org/officeDocument/2006/relationships/hyperlink" Target="1%20-%20RYSUNKI/0000_Stanowiska_Blaszka%20czujnika%20ruchu-C.STEP" TargetMode="External"/><Relationship Id="rId393" Type="http://schemas.openxmlformats.org/officeDocument/2006/relationships/hyperlink" Target="1%20-%20RYSUNKI/1936-001-PRT-A0065354-A-Blokada%20Stopera.STEP" TargetMode="External"/><Relationship Id="rId407" Type="http://schemas.openxmlformats.org/officeDocument/2006/relationships/hyperlink" Target="1%20-%20RYSUNKI/1936-001-PRT-A0065391-A-Mocowanie%20Tarifolda.DXF" TargetMode="External"/><Relationship Id="rId614" Type="http://schemas.openxmlformats.org/officeDocument/2006/relationships/hyperlink" Target="1%20-%20RYSUNKI/1936-001-PRT-A0065344-A-Mocowanie%20szafy.DXF" TargetMode="External"/><Relationship Id="rId821" Type="http://schemas.openxmlformats.org/officeDocument/2006/relationships/hyperlink" Target="1%20-%20RYSUNKI/1936-003-PRT-A0065613-A-Oprawa%20nakr&#281;tki.STEP" TargetMode="External"/><Relationship Id="rId1037" Type="http://schemas.openxmlformats.org/officeDocument/2006/relationships/hyperlink" Target="1%20-%20RYSUNKI/1936-003-PRT-A0065490-A-Za&#347;lepka%20rury.STEP" TargetMode="External"/><Relationship Id="rId1244" Type="http://schemas.openxmlformats.org/officeDocument/2006/relationships/hyperlink" Target="1%20-%20RYSUNKI/1936-004-PRT-A0065644-A-Dociskacz.STEP" TargetMode="External"/><Relationship Id="rId253" Type="http://schemas.openxmlformats.org/officeDocument/2006/relationships/hyperlink" Target="1%20-%20RYSUNKI/0002_Spadnie_Tuleja%20k&#243;&#322;kostopki-E.PDF" TargetMode="External"/><Relationship Id="rId460" Type="http://schemas.openxmlformats.org/officeDocument/2006/relationships/hyperlink" Target="1%20-%20RYSUNKI/1936-001-PRT-A0065353-A-Wspornik%20III.PDF" TargetMode="External"/><Relationship Id="rId698" Type="http://schemas.openxmlformats.org/officeDocument/2006/relationships/hyperlink" Target="1%20-%20RYSUNKI/1936-003-PRT-A0065565-A-Za&#347;lepka.PDF" TargetMode="External"/><Relationship Id="rId919" Type="http://schemas.openxmlformats.org/officeDocument/2006/relationships/hyperlink" Target="1%20-%20RYSUNKI/1936-003-PRT-A0068614-A-P&#322;askownik%20si&#322;ownika.DXF" TargetMode="External"/><Relationship Id="rId1090" Type="http://schemas.openxmlformats.org/officeDocument/2006/relationships/hyperlink" Target="1%20-%20RYSUNKI/1936-003-PRT-A0065558-A-Uchwyt%20kurtyny.DXF" TargetMode="External"/><Relationship Id="rId1104" Type="http://schemas.openxmlformats.org/officeDocument/2006/relationships/hyperlink" Target="1%20-%20RYSUNKI/1936-003-PRT-A0065589-A-Os&#322;ona%20przednia.PDF" TargetMode="External"/><Relationship Id="rId1311" Type="http://schemas.openxmlformats.org/officeDocument/2006/relationships/hyperlink" Target="1%20-%20RYSUNKI/1936-004-PRT-A0065701-A-Podpora%20os&#322;ony.PDF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2:B49"/>
  <sheetViews>
    <sheetView zoomScale="130" zoomScaleNormal="130" workbookViewId="0">
      <selection activeCell="B52" sqref="B52"/>
    </sheetView>
  </sheetViews>
  <sheetFormatPr defaultRowHeight="12.5"/>
  <cols>
    <col min="1" max="1" width="4.54296875" customWidth="1"/>
    <col min="2" max="2" width="106.1796875" customWidth="1"/>
  </cols>
  <sheetData>
    <row r="2" spans="2:2">
      <c r="B2" s="1" t="s">
        <v>0</v>
      </c>
    </row>
    <row r="3" spans="2:2" ht="25">
      <c r="B3" s="2" t="s">
        <v>46</v>
      </c>
    </row>
    <row r="5" spans="2:2">
      <c r="B5" s="1" t="s">
        <v>1</v>
      </c>
    </row>
    <row r="6" spans="2:2" ht="25">
      <c r="B6" s="2" t="s">
        <v>46</v>
      </c>
    </row>
    <row r="8" spans="2:2">
      <c r="B8" s="1" t="s">
        <v>2</v>
      </c>
    </row>
    <row r="9" spans="2:2" ht="25">
      <c r="B9" s="3" t="s">
        <v>46</v>
      </c>
    </row>
    <row r="16" spans="2:2" ht="14">
      <c r="B16" s="9" t="s">
        <v>3</v>
      </c>
    </row>
    <row r="17" spans="2:2">
      <c r="B17" s="6"/>
    </row>
    <row r="18" spans="2:2">
      <c r="B18" s="4"/>
    </row>
    <row r="19" spans="2:2">
      <c r="B19" s="5" t="s">
        <v>4</v>
      </c>
    </row>
    <row r="20" spans="2:2">
      <c r="B20" s="6" t="s">
        <v>25</v>
      </c>
    </row>
    <row r="21" spans="2:2">
      <c r="B21" s="4" t="s">
        <v>24</v>
      </c>
    </row>
    <row r="22" spans="2:2">
      <c r="B22" s="4" t="s">
        <v>26</v>
      </c>
    </row>
    <row r="23" spans="2:2">
      <c r="B23" s="4"/>
    </row>
    <row r="24" spans="2:2">
      <c r="B24" s="5" t="s">
        <v>30</v>
      </c>
    </row>
    <row r="25" spans="2:2">
      <c r="B25" s="6" t="s">
        <v>31</v>
      </c>
    </row>
    <row r="26" spans="2:2">
      <c r="B26" s="4" t="s">
        <v>32</v>
      </c>
    </row>
    <row r="27" spans="2:2">
      <c r="B27" s="4"/>
    </row>
    <row r="28" spans="2:2">
      <c r="B28" s="5" t="s">
        <v>5</v>
      </c>
    </row>
    <row r="29" spans="2:2">
      <c r="B29" s="6" t="s">
        <v>6</v>
      </c>
    </row>
    <row r="30" spans="2:2">
      <c r="B30" s="8" t="s">
        <v>27</v>
      </c>
    </row>
    <row r="31" spans="2:2">
      <c r="B31" s="4"/>
    </row>
    <row r="32" spans="2:2">
      <c r="B32" s="4" t="s">
        <v>7</v>
      </c>
    </row>
    <row r="33" spans="1:2">
      <c r="B33" s="4" t="s">
        <v>29</v>
      </c>
    </row>
    <row r="34" spans="1:2">
      <c r="B34" s="4" t="s">
        <v>28</v>
      </c>
    </row>
    <row r="35" spans="1:2">
      <c r="B35" s="7"/>
    </row>
    <row r="36" spans="1:2">
      <c r="B36" s="5" t="s">
        <v>8</v>
      </c>
    </row>
    <row r="37" spans="1:2">
      <c r="B37" s="6" t="s">
        <v>9</v>
      </c>
    </row>
    <row r="38" spans="1:2">
      <c r="B38" s="6" t="s">
        <v>10</v>
      </c>
    </row>
    <row r="40" spans="1:2">
      <c r="B40" s="5" t="s">
        <v>11</v>
      </c>
    </row>
    <row r="41" spans="1:2">
      <c r="B41" s="6" t="s">
        <v>12</v>
      </c>
    </row>
    <row r="45" spans="1:2">
      <c r="B45" t="s">
        <v>81</v>
      </c>
    </row>
    <row r="46" spans="1:2">
      <c r="A46" t="s">
        <v>86</v>
      </c>
      <c r="B46" t="s">
        <v>82</v>
      </c>
    </row>
    <row r="47" spans="1:2">
      <c r="A47" t="s">
        <v>87</v>
      </c>
      <c r="B47" t="s">
        <v>83</v>
      </c>
    </row>
    <row r="48" spans="1:2">
      <c r="A48" t="s">
        <v>88</v>
      </c>
      <c r="B48" t="s">
        <v>84</v>
      </c>
    </row>
    <row r="49" spans="1:2">
      <c r="A49" t="s">
        <v>89</v>
      </c>
      <c r="B49" t="s">
        <v>85</v>
      </c>
    </row>
  </sheetData>
  <phoneticPr fontId="3" type="noConversion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FFF00"/>
    <pageSetUpPr fitToPage="1"/>
  </sheetPr>
  <dimension ref="A1:IV499"/>
  <sheetViews>
    <sheetView tabSelected="1" zoomScale="55" zoomScaleNormal="5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P9" sqref="AP9"/>
    </sheetView>
  </sheetViews>
  <sheetFormatPr defaultColWidth="9.1796875" defaultRowHeight="28" customHeight="1"/>
  <cols>
    <col min="1" max="1" width="6.7265625" style="30" customWidth="1"/>
    <col min="2" max="2" width="18.7265625" style="29" customWidth="1"/>
    <col min="3" max="3" width="5.7265625" style="17" customWidth="1"/>
    <col min="4" max="5" width="5.7265625" style="16" customWidth="1"/>
    <col min="6" max="6" width="17.1796875" style="16" customWidth="1"/>
    <col min="7" max="7" width="27.26953125" style="256" customWidth="1"/>
    <col min="8" max="8" width="14.26953125" style="256" customWidth="1"/>
    <col min="9" max="9" width="40.26953125" style="183" customWidth="1"/>
    <col min="10" max="10" width="71.26953125" style="183" customWidth="1"/>
    <col min="11" max="11" width="28.81640625" style="256" hidden="1" customWidth="1"/>
    <col min="12" max="12" width="34.1796875" style="256" hidden="1" customWidth="1"/>
    <col min="13" max="13" width="24.81640625" style="231" hidden="1" customWidth="1"/>
    <col min="14" max="14" width="22.7265625" style="183" hidden="1" customWidth="1"/>
    <col min="15" max="15" width="25" style="183" hidden="1" customWidth="1"/>
    <col min="16" max="16" width="25" style="256" customWidth="1"/>
    <col min="17" max="17" width="28" style="256" hidden="1" customWidth="1"/>
    <col min="18" max="37" width="6" style="16" hidden="1" customWidth="1"/>
    <col min="38" max="38" width="9.7265625" style="19" hidden="1" customWidth="1"/>
    <col min="39" max="39" width="11.54296875" style="19" hidden="1" customWidth="1"/>
    <col min="40" max="40" width="16.26953125" style="19" customWidth="1"/>
    <col min="41" max="41" width="21.453125" style="19" customWidth="1"/>
    <col min="42" max="42" width="16.81640625" style="20" bestFit="1" customWidth="1"/>
    <col min="43" max="43" width="49.26953125" style="16" bestFit="1" customWidth="1"/>
    <col min="44" max="44" width="28.7265625" style="17" customWidth="1"/>
    <col min="45" max="45" width="24.81640625" style="16" customWidth="1"/>
    <col min="46" max="46" width="13.453125" style="16" customWidth="1"/>
    <col min="47" max="48" width="13.453125" style="17" customWidth="1"/>
    <col min="49" max="49" width="36.81640625" style="17" customWidth="1"/>
    <col min="50" max="50" width="10" style="21" customWidth="1"/>
    <col min="51" max="51" width="45" style="22" bestFit="1" customWidth="1"/>
    <col min="52" max="52" width="27" style="10" customWidth="1"/>
    <col min="53" max="16384" width="9.1796875" style="10"/>
  </cols>
  <sheetData>
    <row r="1" spans="1:56" ht="69" customHeight="1" thickTop="1" thickBot="1">
      <c r="A1" s="96"/>
      <c r="B1" s="97"/>
      <c r="C1" s="98"/>
      <c r="D1" s="98"/>
      <c r="E1" s="98"/>
      <c r="F1" s="99"/>
      <c r="G1" s="223"/>
      <c r="H1" s="224" t="s">
        <v>45</v>
      </c>
      <c r="I1" s="225" t="s">
        <v>257</v>
      </c>
      <c r="J1" s="182"/>
      <c r="K1" s="226"/>
      <c r="L1" s="227" t="s">
        <v>110</v>
      </c>
      <c r="M1" s="228">
        <v>2</v>
      </c>
      <c r="N1" s="228">
        <v>0</v>
      </c>
      <c r="P1" s="229"/>
      <c r="Q1" s="230"/>
      <c r="R1" s="412" t="s">
        <v>80</v>
      </c>
      <c r="S1" s="413"/>
      <c r="T1" s="413"/>
      <c r="U1" s="413"/>
      <c r="V1" s="413"/>
      <c r="W1" s="413"/>
      <c r="X1" s="413"/>
      <c r="Y1" s="413"/>
      <c r="Z1" s="413"/>
      <c r="AA1" s="413"/>
      <c r="AB1" s="413"/>
      <c r="AC1" s="413"/>
      <c r="AD1" s="413"/>
      <c r="AE1" s="413"/>
      <c r="AF1" s="413"/>
      <c r="AG1" s="413"/>
      <c r="AH1" s="413"/>
      <c r="AI1" s="413"/>
      <c r="AJ1" s="413"/>
      <c r="AK1" s="414"/>
      <c r="AL1" s="63"/>
      <c r="AM1" s="63"/>
      <c r="AN1" s="63"/>
      <c r="AO1" s="396" t="s">
        <v>13</v>
      </c>
      <c r="AP1" s="397"/>
      <c r="AQ1" s="397"/>
      <c r="AR1" s="397"/>
      <c r="AS1" s="397"/>
      <c r="AT1" s="398"/>
      <c r="AU1" s="402" t="s">
        <v>23</v>
      </c>
      <c r="AV1" s="403"/>
      <c r="AW1" s="404"/>
      <c r="AX1" s="408" t="s">
        <v>35</v>
      </c>
      <c r="AY1" s="409"/>
      <c r="AZ1" s="394" t="s">
        <v>69</v>
      </c>
    </row>
    <row r="2" spans="1:56" ht="23.25" customHeight="1" thickBot="1">
      <c r="A2" s="86" t="str">
        <f>"Lista materiałów handlowych do "&amp;POMOC!B3&amp;", sporządził: "&amp;POMOC!B6</f>
        <v>Lista materiałów handlowych do xxx, sporządził: xxx</v>
      </c>
      <c r="B2" s="26"/>
      <c r="C2" s="26"/>
      <c r="D2" s="26"/>
      <c r="E2" s="26"/>
      <c r="F2" s="17"/>
      <c r="G2" s="231"/>
      <c r="H2" s="231"/>
      <c r="K2" s="232"/>
      <c r="L2" s="233"/>
      <c r="M2" s="232"/>
      <c r="N2" s="232"/>
      <c r="O2" s="232"/>
      <c r="P2" s="232"/>
      <c r="Q2" s="232"/>
      <c r="R2" s="415"/>
      <c r="S2" s="416"/>
      <c r="T2" s="416"/>
      <c r="U2" s="416"/>
      <c r="V2" s="416"/>
      <c r="W2" s="416"/>
      <c r="X2" s="416"/>
      <c r="Y2" s="416"/>
      <c r="Z2" s="416"/>
      <c r="AA2" s="416"/>
      <c r="AB2" s="416"/>
      <c r="AC2" s="416"/>
      <c r="AD2" s="416"/>
      <c r="AE2" s="416"/>
      <c r="AF2" s="416"/>
      <c r="AG2" s="416"/>
      <c r="AH2" s="416"/>
      <c r="AI2" s="416"/>
      <c r="AJ2" s="416"/>
      <c r="AK2" s="417"/>
      <c r="AL2" s="27"/>
      <c r="AM2" s="27"/>
      <c r="AN2" s="27"/>
      <c r="AO2" s="399"/>
      <c r="AP2" s="400"/>
      <c r="AQ2" s="400"/>
      <c r="AR2" s="400"/>
      <c r="AS2" s="400"/>
      <c r="AT2" s="401"/>
      <c r="AU2" s="405"/>
      <c r="AV2" s="406"/>
      <c r="AW2" s="407"/>
      <c r="AX2" s="410"/>
      <c r="AY2" s="411"/>
      <c r="AZ2" s="395"/>
    </row>
    <row r="3" spans="1:56" ht="28" customHeight="1" thickTop="1">
      <c r="A3" s="87"/>
      <c r="B3" s="88"/>
      <c r="C3" s="89"/>
      <c r="D3" s="89"/>
      <c r="E3" s="89"/>
      <c r="F3" s="89"/>
      <c r="G3" s="234"/>
      <c r="H3" s="234"/>
      <c r="I3" s="235"/>
      <c r="J3" s="184"/>
      <c r="K3" s="234"/>
      <c r="L3" s="234"/>
      <c r="M3" s="234"/>
      <c r="N3" s="234"/>
      <c r="O3" s="234"/>
      <c r="P3" s="234"/>
      <c r="Q3" s="236"/>
      <c r="R3" s="124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6"/>
      <c r="AL3" s="92"/>
      <c r="AM3" s="93"/>
      <c r="AN3" s="93"/>
      <c r="AO3" s="33"/>
      <c r="AP3" s="23"/>
      <c r="AQ3" s="23"/>
      <c r="AR3" s="23"/>
      <c r="AS3" s="23"/>
      <c r="AT3" s="31"/>
      <c r="AU3" s="85"/>
      <c r="AV3" s="41"/>
      <c r="AW3" s="24"/>
      <c r="AX3" s="25"/>
      <c r="AY3" s="24"/>
      <c r="AZ3" s="65"/>
    </row>
    <row r="4" spans="1:56" ht="28" customHeight="1" thickBot="1">
      <c r="A4" s="64"/>
      <c r="B4" s="38"/>
      <c r="C4" s="39"/>
      <c r="D4" s="39"/>
      <c r="E4" s="39"/>
      <c r="F4" s="39"/>
      <c r="G4" s="237"/>
      <c r="H4" s="237"/>
      <c r="I4" s="238"/>
      <c r="J4" s="185"/>
      <c r="K4" s="237"/>
      <c r="L4" s="237"/>
      <c r="M4" s="237"/>
      <c r="N4" s="237"/>
      <c r="O4" s="237"/>
      <c r="P4" s="237"/>
      <c r="Q4" s="239"/>
      <c r="R4" s="49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7"/>
      <c r="AL4" s="36"/>
      <c r="AM4" s="35"/>
      <c r="AN4" s="35"/>
      <c r="AO4" s="14"/>
      <c r="AP4" s="12"/>
      <c r="AQ4" s="12"/>
      <c r="AR4" s="12"/>
      <c r="AS4" s="12"/>
      <c r="AT4" s="32"/>
      <c r="AU4" s="15"/>
      <c r="AV4" s="42"/>
      <c r="AW4" s="13"/>
      <c r="AX4" s="11"/>
      <c r="AY4" s="13"/>
      <c r="AZ4" s="66"/>
    </row>
    <row r="5" spans="1:56" s="28" customFormat="1" ht="104.25" customHeight="1" thickBot="1">
      <c r="A5" s="67" t="s">
        <v>14</v>
      </c>
      <c r="B5" s="68" t="s">
        <v>71</v>
      </c>
      <c r="C5" s="69" t="s">
        <v>37</v>
      </c>
      <c r="D5" s="69" t="s">
        <v>38</v>
      </c>
      <c r="E5" s="69" t="s">
        <v>39</v>
      </c>
      <c r="F5" s="69" t="s">
        <v>22</v>
      </c>
      <c r="G5" s="240" t="s">
        <v>65</v>
      </c>
      <c r="H5" s="240" t="s">
        <v>66</v>
      </c>
      <c r="I5" s="240" t="s">
        <v>44</v>
      </c>
      <c r="J5" s="241" t="s">
        <v>64</v>
      </c>
      <c r="K5" s="240" t="s">
        <v>49</v>
      </c>
      <c r="L5" s="240" t="s">
        <v>33</v>
      </c>
      <c r="M5" s="240" t="s">
        <v>40</v>
      </c>
      <c r="N5" s="240" t="s">
        <v>41</v>
      </c>
      <c r="O5" s="240" t="s">
        <v>42</v>
      </c>
      <c r="P5" s="240" t="s">
        <v>67</v>
      </c>
      <c r="Q5" s="242" t="s">
        <v>34</v>
      </c>
      <c r="R5" s="196" t="s">
        <v>179</v>
      </c>
      <c r="S5" s="197" t="s">
        <v>180</v>
      </c>
      <c r="T5" s="197" t="s">
        <v>181</v>
      </c>
      <c r="U5" s="197" t="s">
        <v>182</v>
      </c>
      <c r="V5" s="197" t="s">
        <v>183</v>
      </c>
      <c r="W5" s="197" t="s">
        <v>184</v>
      </c>
      <c r="X5" s="197" t="s">
        <v>185</v>
      </c>
      <c r="Y5" s="197" t="s">
        <v>186</v>
      </c>
      <c r="Z5" s="197" t="s">
        <v>187</v>
      </c>
      <c r="AA5" s="197" t="s">
        <v>188</v>
      </c>
      <c r="AB5" s="197" t="s">
        <v>189</v>
      </c>
      <c r="AC5" s="197" t="s">
        <v>190</v>
      </c>
      <c r="AD5" s="197" t="s">
        <v>191</v>
      </c>
      <c r="AE5" s="72" t="s">
        <v>73</v>
      </c>
      <c r="AF5" s="72" t="s">
        <v>74</v>
      </c>
      <c r="AG5" s="72" t="s">
        <v>75</v>
      </c>
      <c r="AH5" s="72" t="s">
        <v>76</v>
      </c>
      <c r="AI5" s="72" t="s">
        <v>77</v>
      </c>
      <c r="AJ5" s="72" t="s">
        <v>78</v>
      </c>
      <c r="AK5" s="73" t="s">
        <v>79</v>
      </c>
      <c r="AL5" s="74" t="s">
        <v>15</v>
      </c>
      <c r="AM5" s="75" t="s">
        <v>50</v>
      </c>
      <c r="AN5" s="75" t="s">
        <v>51</v>
      </c>
      <c r="AO5" s="76" t="s">
        <v>18</v>
      </c>
      <c r="AP5" s="77" t="s">
        <v>16</v>
      </c>
      <c r="AQ5" s="77" t="s">
        <v>17</v>
      </c>
      <c r="AR5" s="77" t="s">
        <v>36</v>
      </c>
      <c r="AS5" s="77" t="s">
        <v>43</v>
      </c>
      <c r="AT5" s="78" t="s">
        <v>20</v>
      </c>
      <c r="AU5" s="79" t="s">
        <v>21</v>
      </c>
      <c r="AV5" s="80" t="s">
        <v>68</v>
      </c>
      <c r="AW5" s="81" t="s">
        <v>19</v>
      </c>
      <c r="AX5" s="82" t="s">
        <v>48</v>
      </c>
      <c r="AY5" s="81" t="s">
        <v>47</v>
      </c>
      <c r="AZ5" s="94" t="s">
        <v>69</v>
      </c>
    </row>
    <row r="6" spans="1:56" ht="28" customHeight="1" thickTop="1">
      <c r="A6" s="192">
        <v>1</v>
      </c>
      <c r="B6" s="193">
        <v>44957</v>
      </c>
      <c r="C6" s="222" t="s">
        <v>198</v>
      </c>
      <c r="D6" s="222" t="s">
        <v>199</v>
      </c>
      <c r="E6" s="222" t="s">
        <v>200</v>
      </c>
      <c r="F6" s="349" t="s">
        <v>123</v>
      </c>
      <c r="G6" s="243" t="s">
        <v>128</v>
      </c>
      <c r="H6" s="244" t="s">
        <v>129</v>
      </c>
      <c r="I6" s="243" t="s">
        <v>144</v>
      </c>
      <c r="J6" s="245" t="s">
        <v>145</v>
      </c>
      <c r="K6" s="246" t="s">
        <v>97</v>
      </c>
      <c r="L6" s="246" t="s">
        <v>146</v>
      </c>
      <c r="M6" s="243" t="s">
        <v>147</v>
      </c>
      <c r="N6" s="243" t="s">
        <v>97</v>
      </c>
      <c r="O6" s="243" t="s">
        <v>148</v>
      </c>
      <c r="P6" s="243"/>
      <c r="Q6" s="247" t="s">
        <v>124</v>
      </c>
      <c r="R6" s="151">
        <f>0</f>
        <v>0</v>
      </c>
      <c r="S6" s="152">
        <f>0</f>
        <v>0</v>
      </c>
      <c r="T6" s="152">
        <f>0</f>
        <v>0</v>
      </c>
      <c r="U6" s="360">
        <v>1</v>
      </c>
      <c r="V6" s="152">
        <f>0</f>
        <v>0</v>
      </c>
      <c r="W6" s="152">
        <f>0</f>
        <v>0</v>
      </c>
      <c r="X6" s="152">
        <f>0</f>
        <v>0</v>
      </c>
      <c r="Y6" s="152">
        <f>0</f>
        <v>0</v>
      </c>
      <c r="Z6" s="152">
        <f>0</f>
        <v>0</v>
      </c>
      <c r="AA6" s="152">
        <f>0</f>
        <v>0</v>
      </c>
      <c r="AB6" s="152">
        <f>0</f>
        <v>0</v>
      </c>
      <c r="AC6" s="152">
        <f>0</f>
        <v>0</v>
      </c>
      <c r="AD6" s="152">
        <f>0</f>
        <v>0</v>
      </c>
      <c r="AE6" s="152">
        <f>0</f>
        <v>0</v>
      </c>
      <c r="AF6" s="152">
        <f>0</f>
        <v>0</v>
      </c>
      <c r="AG6" s="152">
        <f>0</f>
        <v>0</v>
      </c>
      <c r="AH6" s="152">
        <f>0</f>
        <v>0</v>
      </c>
      <c r="AI6" s="152">
        <f>0</f>
        <v>0</v>
      </c>
      <c r="AJ6" s="152">
        <f>0</f>
        <v>0</v>
      </c>
      <c r="AK6" s="152">
        <f>0</f>
        <v>0</v>
      </c>
      <c r="AL6" s="169">
        <f t="shared" ref="AL6:AL69" si="0">SUM(R6:AK6)</f>
        <v>1</v>
      </c>
      <c r="AM6" s="51">
        <f>0</f>
        <v>0</v>
      </c>
      <c r="AN6" s="361">
        <f t="shared" ref="AN6:AN69" si="1">AL6-AM6</f>
        <v>1</v>
      </c>
      <c r="AO6" s="198">
        <v>44958</v>
      </c>
      <c r="AP6" s="199" t="s">
        <v>192</v>
      </c>
      <c r="AQ6" s="200" t="s">
        <v>193</v>
      </c>
      <c r="AR6" s="201" t="s">
        <v>194</v>
      </c>
      <c r="AS6" s="218"/>
      <c r="AT6" s="202"/>
      <c r="AU6" s="203">
        <v>1</v>
      </c>
      <c r="AV6" s="204">
        <f t="shared" ref="AV6:AV37" si="2">AN6-AU6</f>
        <v>0</v>
      </c>
      <c r="AW6" s="205" t="s">
        <v>195</v>
      </c>
      <c r="AX6" s="206"/>
      <c r="AY6" s="207"/>
      <c r="AZ6" s="208"/>
      <c r="BA6" s="174"/>
      <c r="BB6" s="174"/>
      <c r="BC6" s="174"/>
    </row>
    <row r="7" spans="1:56" ht="28" customHeight="1">
      <c r="A7" s="192">
        <v>2</v>
      </c>
      <c r="B7" s="193">
        <v>44957</v>
      </c>
      <c r="C7" s="222" t="s">
        <v>198</v>
      </c>
      <c r="D7" s="222" t="s">
        <v>199</v>
      </c>
      <c r="E7" s="222" t="s">
        <v>200</v>
      </c>
      <c r="F7" s="371" t="s">
        <v>123</v>
      </c>
      <c r="G7" s="243" t="s">
        <v>130</v>
      </c>
      <c r="H7" s="244" t="s">
        <v>129</v>
      </c>
      <c r="I7" s="243" t="s">
        <v>144</v>
      </c>
      <c r="J7" s="248" t="s">
        <v>149</v>
      </c>
      <c r="K7" s="246" t="s">
        <v>97</v>
      </c>
      <c r="L7" s="246" t="s">
        <v>146</v>
      </c>
      <c r="M7" s="243" t="s">
        <v>147</v>
      </c>
      <c r="N7" s="243" t="s">
        <v>97</v>
      </c>
      <c r="O7" s="243" t="s">
        <v>148</v>
      </c>
      <c r="P7" s="243"/>
      <c r="Q7" s="247" t="s">
        <v>124</v>
      </c>
      <c r="R7" s="151">
        <f>0</f>
        <v>0</v>
      </c>
      <c r="S7" s="152">
        <f>0</f>
        <v>0</v>
      </c>
      <c r="T7" s="152">
        <f>0</f>
        <v>0</v>
      </c>
      <c r="U7" s="360">
        <v>1</v>
      </c>
      <c r="V7" s="152">
        <f>0</f>
        <v>0</v>
      </c>
      <c r="W7" s="152">
        <f>0</f>
        <v>0</v>
      </c>
      <c r="X7" s="152">
        <f>0</f>
        <v>0</v>
      </c>
      <c r="Y7" s="152">
        <f>0</f>
        <v>0</v>
      </c>
      <c r="Z7" s="152">
        <f>0</f>
        <v>0</v>
      </c>
      <c r="AA7" s="152">
        <f>0</f>
        <v>0</v>
      </c>
      <c r="AB7" s="152">
        <f>0</f>
        <v>0</v>
      </c>
      <c r="AC7" s="152">
        <f>0</f>
        <v>0</v>
      </c>
      <c r="AD7" s="152">
        <f>0</f>
        <v>0</v>
      </c>
      <c r="AE7" s="152">
        <f>0</f>
        <v>0</v>
      </c>
      <c r="AF7" s="152">
        <f>0</f>
        <v>0</v>
      </c>
      <c r="AG7" s="152">
        <f>0</f>
        <v>0</v>
      </c>
      <c r="AH7" s="152">
        <f>0</f>
        <v>0</v>
      </c>
      <c r="AI7" s="152">
        <f>0</f>
        <v>0</v>
      </c>
      <c r="AJ7" s="152">
        <f>0</f>
        <v>0</v>
      </c>
      <c r="AK7" s="152">
        <f>0</f>
        <v>0</v>
      </c>
      <c r="AL7" s="169">
        <f t="shared" si="0"/>
        <v>1</v>
      </c>
      <c r="AM7" s="51">
        <f>0</f>
        <v>0</v>
      </c>
      <c r="AN7" s="361">
        <f t="shared" si="1"/>
        <v>1</v>
      </c>
      <c r="AO7" s="198">
        <v>44958</v>
      </c>
      <c r="AP7" s="199" t="s">
        <v>192</v>
      </c>
      <c r="AQ7" s="200" t="s">
        <v>193</v>
      </c>
      <c r="AR7" s="201" t="s">
        <v>194</v>
      </c>
      <c r="AS7" s="218"/>
      <c r="AT7" s="202"/>
      <c r="AU7" s="203">
        <v>1</v>
      </c>
      <c r="AV7" s="204">
        <f t="shared" si="2"/>
        <v>0</v>
      </c>
      <c r="AW7" s="202" t="s">
        <v>195</v>
      </c>
      <c r="AX7" s="206"/>
      <c r="AY7" s="207"/>
      <c r="AZ7" s="209"/>
      <c r="BA7" s="174"/>
      <c r="BB7" s="174"/>
      <c r="BC7" s="174"/>
      <c r="BD7" s="164"/>
    </row>
    <row r="8" spans="1:56" ht="28" customHeight="1">
      <c r="A8" s="192">
        <v>3</v>
      </c>
      <c r="B8" s="193">
        <v>44957</v>
      </c>
      <c r="C8" s="222" t="s">
        <v>198</v>
      </c>
      <c r="D8" s="222" t="s">
        <v>199</v>
      </c>
      <c r="E8" s="222" t="s">
        <v>200</v>
      </c>
      <c r="F8" s="371" t="s">
        <v>123</v>
      </c>
      <c r="G8" s="243" t="s">
        <v>131</v>
      </c>
      <c r="H8" s="244" t="s">
        <v>129</v>
      </c>
      <c r="I8" s="243" t="s">
        <v>144</v>
      </c>
      <c r="J8" s="248" t="s">
        <v>150</v>
      </c>
      <c r="K8" s="246" t="s">
        <v>97</v>
      </c>
      <c r="L8" s="246" t="s">
        <v>146</v>
      </c>
      <c r="M8" s="243" t="s">
        <v>147</v>
      </c>
      <c r="N8" s="243" t="s">
        <v>97</v>
      </c>
      <c r="O8" s="243" t="s">
        <v>148</v>
      </c>
      <c r="P8" s="243"/>
      <c r="Q8" s="247" t="s">
        <v>124</v>
      </c>
      <c r="R8" s="151">
        <f>0</f>
        <v>0</v>
      </c>
      <c r="S8" s="152">
        <f>0</f>
        <v>0</v>
      </c>
      <c r="T8" s="152">
        <f>0</f>
        <v>0</v>
      </c>
      <c r="U8" s="360">
        <v>1</v>
      </c>
      <c r="V8" s="152">
        <f>0</f>
        <v>0</v>
      </c>
      <c r="W8" s="152">
        <f>0</f>
        <v>0</v>
      </c>
      <c r="X8" s="152">
        <f>0</f>
        <v>0</v>
      </c>
      <c r="Y8" s="152">
        <f>0</f>
        <v>0</v>
      </c>
      <c r="Z8" s="152">
        <f>0</f>
        <v>0</v>
      </c>
      <c r="AA8" s="152">
        <f>0</f>
        <v>0</v>
      </c>
      <c r="AB8" s="152">
        <f>0</f>
        <v>0</v>
      </c>
      <c r="AC8" s="152">
        <f>0</f>
        <v>0</v>
      </c>
      <c r="AD8" s="152">
        <f>0</f>
        <v>0</v>
      </c>
      <c r="AE8" s="152">
        <f>0</f>
        <v>0</v>
      </c>
      <c r="AF8" s="152">
        <f>0</f>
        <v>0</v>
      </c>
      <c r="AG8" s="152">
        <f>0</f>
        <v>0</v>
      </c>
      <c r="AH8" s="152">
        <f>0</f>
        <v>0</v>
      </c>
      <c r="AI8" s="152">
        <f>0</f>
        <v>0</v>
      </c>
      <c r="AJ8" s="152">
        <f>0</f>
        <v>0</v>
      </c>
      <c r="AK8" s="152">
        <f>0</f>
        <v>0</v>
      </c>
      <c r="AL8" s="169">
        <f t="shared" si="0"/>
        <v>1</v>
      </c>
      <c r="AM8" s="51">
        <f>0</f>
        <v>0</v>
      </c>
      <c r="AN8" s="361">
        <f t="shared" si="1"/>
        <v>1</v>
      </c>
      <c r="AO8" s="198">
        <v>44958</v>
      </c>
      <c r="AP8" s="199" t="s">
        <v>192</v>
      </c>
      <c r="AQ8" s="200" t="s">
        <v>193</v>
      </c>
      <c r="AR8" s="201" t="s">
        <v>194</v>
      </c>
      <c r="AS8" s="218"/>
      <c r="AT8" s="202"/>
      <c r="AU8" s="203">
        <v>1</v>
      </c>
      <c r="AV8" s="204">
        <f t="shared" si="2"/>
        <v>0</v>
      </c>
      <c r="AW8" s="202" t="s">
        <v>195</v>
      </c>
      <c r="AX8" s="206"/>
      <c r="AY8" s="207"/>
      <c r="AZ8" s="209"/>
      <c r="BA8" s="174"/>
      <c r="BB8" s="174"/>
      <c r="BC8" s="174"/>
    </row>
    <row r="9" spans="1:56" ht="28" customHeight="1">
      <c r="A9" s="192">
        <v>4</v>
      </c>
      <c r="B9" s="193">
        <v>44957</v>
      </c>
      <c r="C9" s="222" t="s">
        <v>198</v>
      </c>
      <c r="D9" s="222" t="s">
        <v>199</v>
      </c>
      <c r="E9" s="222" t="s">
        <v>200</v>
      </c>
      <c r="F9" s="371" t="s">
        <v>123</v>
      </c>
      <c r="G9" s="243" t="s">
        <v>132</v>
      </c>
      <c r="H9" s="244" t="s">
        <v>129</v>
      </c>
      <c r="I9" s="243" t="s">
        <v>144</v>
      </c>
      <c r="J9" s="248" t="s">
        <v>151</v>
      </c>
      <c r="K9" s="246" t="s">
        <v>97</v>
      </c>
      <c r="L9" s="246" t="s">
        <v>146</v>
      </c>
      <c r="M9" s="243" t="s">
        <v>147</v>
      </c>
      <c r="N9" s="243" t="s">
        <v>97</v>
      </c>
      <c r="O9" s="243" t="s">
        <v>148</v>
      </c>
      <c r="P9" s="243"/>
      <c r="Q9" s="247" t="s">
        <v>124</v>
      </c>
      <c r="R9" s="151">
        <f>0</f>
        <v>0</v>
      </c>
      <c r="S9" s="152">
        <f>0</f>
        <v>0</v>
      </c>
      <c r="T9" s="152">
        <f>0</f>
        <v>0</v>
      </c>
      <c r="U9" s="360">
        <v>1</v>
      </c>
      <c r="V9" s="152">
        <f>0</f>
        <v>0</v>
      </c>
      <c r="W9" s="152">
        <f>0</f>
        <v>0</v>
      </c>
      <c r="X9" s="152">
        <f>0</f>
        <v>0</v>
      </c>
      <c r="Y9" s="152">
        <f>0</f>
        <v>0</v>
      </c>
      <c r="Z9" s="152">
        <f>0</f>
        <v>0</v>
      </c>
      <c r="AA9" s="152">
        <f>0</f>
        <v>0</v>
      </c>
      <c r="AB9" s="152">
        <f>0</f>
        <v>0</v>
      </c>
      <c r="AC9" s="152">
        <f>0</f>
        <v>0</v>
      </c>
      <c r="AD9" s="152">
        <f>0</f>
        <v>0</v>
      </c>
      <c r="AE9" s="152">
        <f>0</f>
        <v>0</v>
      </c>
      <c r="AF9" s="152">
        <f>0</f>
        <v>0</v>
      </c>
      <c r="AG9" s="152">
        <f>0</f>
        <v>0</v>
      </c>
      <c r="AH9" s="152">
        <f>0</f>
        <v>0</v>
      </c>
      <c r="AI9" s="152">
        <f>0</f>
        <v>0</v>
      </c>
      <c r="AJ9" s="152">
        <f>0</f>
        <v>0</v>
      </c>
      <c r="AK9" s="152">
        <f>0</f>
        <v>0</v>
      </c>
      <c r="AL9" s="169">
        <f t="shared" si="0"/>
        <v>1</v>
      </c>
      <c r="AM9" s="51">
        <f>0</f>
        <v>0</v>
      </c>
      <c r="AN9" s="361">
        <f t="shared" si="1"/>
        <v>1</v>
      </c>
      <c r="AO9" s="198">
        <v>44958</v>
      </c>
      <c r="AP9" s="199" t="s">
        <v>192</v>
      </c>
      <c r="AQ9" s="200" t="s">
        <v>193</v>
      </c>
      <c r="AR9" s="201" t="s">
        <v>194</v>
      </c>
      <c r="AS9" s="218"/>
      <c r="AT9" s="202"/>
      <c r="AU9" s="203"/>
      <c r="AV9" s="204">
        <f t="shared" si="2"/>
        <v>1</v>
      </c>
      <c r="AW9" s="202" t="s">
        <v>195</v>
      </c>
      <c r="AX9" s="206"/>
      <c r="AY9" s="207"/>
      <c r="AZ9" s="209"/>
      <c r="BA9" s="174"/>
      <c r="BB9" s="174"/>
      <c r="BC9" s="174"/>
    </row>
    <row r="10" spans="1:56" ht="28" customHeight="1">
      <c r="A10" s="192">
        <v>5</v>
      </c>
      <c r="B10" s="193">
        <v>44957</v>
      </c>
      <c r="C10" s="222" t="s">
        <v>198</v>
      </c>
      <c r="D10" s="222" t="s">
        <v>199</v>
      </c>
      <c r="E10" s="222" t="s">
        <v>200</v>
      </c>
      <c r="F10" s="371" t="s">
        <v>123</v>
      </c>
      <c r="G10" s="243" t="s">
        <v>133</v>
      </c>
      <c r="H10" s="244" t="s">
        <v>129</v>
      </c>
      <c r="I10" s="243" t="s">
        <v>144</v>
      </c>
      <c r="J10" s="248" t="s">
        <v>152</v>
      </c>
      <c r="K10" s="246" t="s">
        <v>97</v>
      </c>
      <c r="L10" s="246" t="s">
        <v>146</v>
      </c>
      <c r="M10" s="243" t="s">
        <v>147</v>
      </c>
      <c r="N10" s="243" t="s">
        <v>97</v>
      </c>
      <c r="O10" s="243" t="s">
        <v>148</v>
      </c>
      <c r="P10" s="243"/>
      <c r="Q10" s="247" t="s">
        <v>124</v>
      </c>
      <c r="R10" s="151">
        <f>0</f>
        <v>0</v>
      </c>
      <c r="S10" s="152">
        <f>0</f>
        <v>0</v>
      </c>
      <c r="T10" s="152">
        <f>0</f>
        <v>0</v>
      </c>
      <c r="U10" s="360">
        <v>1</v>
      </c>
      <c r="V10" s="152">
        <f>0</f>
        <v>0</v>
      </c>
      <c r="W10" s="152">
        <f>0</f>
        <v>0</v>
      </c>
      <c r="X10" s="152">
        <f>0</f>
        <v>0</v>
      </c>
      <c r="Y10" s="152">
        <f>0</f>
        <v>0</v>
      </c>
      <c r="Z10" s="152">
        <f>0</f>
        <v>0</v>
      </c>
      <c r="AA10" s="152">
        <f>0</f>
        <v>0</v>
      </c>
      <c r="AB10" s="152">
        <f>0</f>
        <v>0</v>
      </c>
      <c r="AC10" s="152">
        <f>0</f>
        <v>0</v>
      </c>
      <c r="AD10" s="152">
        <f>0</f>
        <v>0</v>
      </c>
      <c r="AE10" s="152">
        <f>0</f>
        <v>0</v>
      </c>
      <c r="AF10" s="152">
        <f>0</f>
        <v>0</v>
      </c>
      <c r="AG10" s="152">
        <f>0</f>
        <v>0</v>
      </c>
      <c r="AH10" s="152">
        <f>0</f>
        <v>0</v>
      </c>
      <c r="AI10" s="152">
        <f>0</f>
        <v>0</v>
      </c>
      <c r="AJ10" s="152">
        <f>0</f>
        <v>0</v>
      </c>
      <c r="AK10" s="152">
        <f>0</f>
        <v>0</v>
      </c>
      <c r="AL10" s="169">
        <f t="shared" si="0"/>
        <v>1</v>
      </c>
      <c r="AM10" s="51">
        <f>0</f>
        <v>0</v>
      </c>
      <c r="AN10" s="361">
        <f t="shared" si="1"/>
        <v>1</v>
      </c>
      <c r="AO10" s="198">
        <v>44958</v>
      </c>
      <c r="AP10" s="199" t="s">
        <v>192</v>
      </c>
      <c r="AQ10" s="200" t="s">
        <v>193</v>
      </c>
      <c r="AR10" s="201" t="s">
        <v>194</v>
      </c>
      <c r="AS10" s="218"/>
      <c r="AT10" s="202"/>
      <c r="AU10" s="203"/>
      <c r="AV10" s="204">
        <f t="shared" si="2"/>
        <v>1</v>
      </c>
      <c r="AW10" s="202" t="s">
        <v>195</v>
      </c>
      <c r="AX10" s="206"/>
      <c r="AY10" s="207"/>
      <c r="AZ10" s="209"/>
      <c r="BA10" s="174"/>
      <c r="BB10" s="174"/>
      <c r="BC10" s="174"/>
    </row>
    <row r="11" spans="1:56" ht="28" customHeight="1">
      <c r="A11" s="194">
        <v>6</v>
      </c>
      <c r="B11" s="193">
        <v>44957</v>
      </c>
      <c r="C11" s="222" t="s">
        <v>198</v>
      </c>
      <c r="D11" s="222" t="s">
        <v>199</v>
      </c>
      <c r="E11" s="222" t="s">
        <v>200</v>
      </c>
      <c r="F11" s="371" t="s">
        <v>123</v>
      </c>
      <c r="G11" s="249" t="s">
        <v>134</v>
      </c>
      <c r="H11" s="250" t="s">
        <v>129</v>
      </c>
      <c r="I11" s="251" t="s">
        <v>153</v>
      </c>
      <c r="J11" s="252" t="s">
        <v>154</v>
      </c>
      <c r="K11" s="253" t="s">
        <v>97</v>
      </c>
      <c r="L11" s="253" t="s">
        <v>155</v>
      </c>
      <c r="M11" s="251" t="s">
        <v>156</v>
      </c>
      <c r="N11" s="251" t="s">
        <v>97</v>
      </c>
      <c r="O11" s="251" t="s">
        <v>97</v>
      </c>
      <c r="P11" s="251"/>
      <c r="Q11" s="254" t="s">
        <v>124</v>
      </c>
      <c r="R11" s="154">
        <f>0</f>
        <v>0</v>
      </c>
      <c r="S11" s="155">
        <f>0</f>
        <v>0</v>
      </c>
      <c r="T11" s="155">
        <f>0</f>
        <v>0</v>
      </c>
      <c r="U11" s="360">
        <v>1</v>
      </c>
      <c r="V11" s="156">
        <f>0</f>
        <v>0</v>
      </c>
      <c r="W11" s="155">
        <f>0</f>
        <v>0</v>
      </c>
      <c r="X11" s="155">
        <f>0</f>
        <v>0</v>
      </c>
      <c r="Y11" s="155">
        <f>0</f>
        <v>0</v>
      </c>
      <c r="Z11" s="155">
        <f>0</f>
        <v>0</v>
      </c>
      <c r="AA11" s="155">
        <f>0</f>
        <v>0</v>
      </c>
      <c r="AB11" s="155">
        <f>0</f>
        <v>0</v>
      </c>
      <c r="AC11" s="155">
        <f>0</f>
        <v>0</v>
      </c>
      <c r="AD11" s="155">
        <f>0</f>
        <v>0</v>
      </c>
      <c r="AE11" s="155">
        <f>0</f>
        <v>0</v>
      </c>
      <c r="AF11" s="155">
        <f>0</f>
        <v>0</v>
      </c>
      <c r="AG11" s="155">
        <f>0</f>
        <v>0</v>
      </c>
      <c r="AH11" s="155">
        <f>0</f>
        <v>0</v>
      </c>
      <c r="AI11" s="155">
        <f>0</f>
        <v>0</v>
      </c>
      <c r="AJ11" s="155">
        <f>0</f>
        <v>0</v>
      </c>
      <c r="AK11" s="155">
        <f>0</f>
        <v>0</v>
      </c>
      <c r="AL11" s="219">
        <f t="shared" si="0"/>
        <v>1</v>
      </c>
      <c r="AM11" s="51">
        <f>0</f>
        <v>0</v>
      </c>
      <c r="AN11" s="220">
        <f t="shared" si="1"/>
        <v>1</v>
      </c>
      <c r="AO11" s="210">
        <v>44958</v>
      </c>
      <c r="AP11" s="211" t="s">
        <v>192</v>
      </c>
      <c r="AQ11" s="212" t="s">
        <v>196</v>
      </c>
      <c r="AR11" s="201" t="s">
        <v>197</v>
      </c>
      <c r="AS11" s="221"/>
      <c r="AT11" s="213"/>
      <c r="AU11" s="214">
        <v>1</v>
      </c>
      <c r="AV11" s="204">
        <f t="shared" si="2"/>
        <v>0</v>
      </c>
      <c r="AW11" s="213" t="s">
        <v>195</v>
      </c>
      <c r="AX11" s="215"/>
      <c r="AY11" s="216"/>
      <c r="AZ11" s="217"/>
      <c r="BA11" s="174"/>
      <c r="BB11" s="174"/>
      <c r="BC11" s="174"/>
      <c r="BD11" s="164"/>
    </row>
    <row r="12" spans="1:56" ht="28" customHeight="1">
      <c r="A12" s="192">
        <v>7</v>
      </c>
      <c r="B12" s="193">
        <v>44957</v>
      </c>
      <c r="C12" s="222" t="s">
        <v>198</v>
      </c>
      <c r="D12" s="222" t="s">
        <v>199</v>
      </c>
      <c r="E12" s="222" t="s">
        <v>200</v>
      </c>
      <c r="F12" s="371" t="s">
        <v>123</v>
      </c>
      <c r="G12" s="249" t="s">
        <v>135</v>
      </c>
      <c r="H12" s="250" t="s">
        <v>129</v>
      </c>
      <c r="I12" s="251" t="s">
        <v>157</v>
      </c>
      <c r="J12" s="252" t="s">
        <v>158</v>
      </c>
      <c r="K12" s="253" t="s">
        <v>97</v>
      </c>
      <c r="L12" s="253" t="s">
        <v>159</v>
      </c>
      <c r="M12" s="251" t="s">
        <v>156</v>
      </c>
      <c r="N12" s="251" t="s">
        <v>97</v>
      </c>
      <c r="O12" s="251" t="s">
        <v>160</v>
      </c>
      <c r="P12" s="251"/>
      <c r="Q12" s="254" t="s">
        <v>124</v>
      </c>
      <c r="R12" s="154">
        <f>0</f>
        <v>0</v>
      </c>
      <c r="S12" s="155">
        <f>0</f>
        <v>0</v>
      </c>
      <c r="T12" s="155">
        <f>0</f>
        <v>0</v>
      </c>
      <c r="U12" s="360">
        <v>1</v>
      </c>
      <c r="V12" s="158">
        <f>0</f>
        <v>0</v>
      </c>
      <c r="W12" s="155">
        <f>0</f>
        <v>0</v>
      </c>
      <c r="X12" s="155">
        <f>0</f>
        <v>0</v>
      </c>
      <c r="Y12" s="155">
        <f>0</f>
        <v>0</v>
      </c>
      <c r="Z12" s="155">
        <f>0</f>
        <v>0</v>
      </c>
      <c r="AA12" s="155">
        <f>0</f>
        <v>0</v>
      </c>
      <c r="AB12" s="155">
        <f>0</f>
        <v>0</v>
      </c>
      <c r="AC12" s="155">
        <f>0</f>
        <v>0</v>
      </c>
      <c r="AD12" s="155">
        <f>0</f>
        <v>0</v>
      </c>
      <c r="AE12" s="155">
        <f>0</f>
        <v>0</v>
      </c>
      <c r="AF12" s="155">
        <f>0</f>
        <v>0</v>
      </c>
      <c r="AG12" s="155">
        <f>0</f>
        <v>0</v>
      </c>
      <c r="AH12" s="155">
        <f>0</f>
        <v>0</v>
      </c>
      <c r="AI12" s="155">
        <f>0</f>
        <v>0</v>
      </c>
      <c r="AJ12" s="155">
        <f>0</f>
        <v>0</v>
      </c>
      <c r="AK12" s="155">
        <f>0</f>
        <v>0</v>
      </c>
      <c r="AL12" s="219">
        <f t="shared" si="0"/>
        <v>1</v>
      </c>
      <c r="AM12" s="103">
        <f>0</f>
        <v>0</v>
      </c>
      <c r="AN12" s="220">
        <f t="shared" si="1"/>
        <v>1</v>
      </c>
      <c r="AO12" s="210">
        <v>44958</v>
      </c>
      <c r="AP12" s="211" t="s">
        <v>192</v>
      </c>
      <c r="AQ12" s="212" t="s">
        <v>196</v>
      </c>
      <c r="AR12" s="201" t="s">
        <v>197</v>
      </c>
      <c r="AS12" s="221"/>
      <c r="AT12" s="213"/>
      <c r="AU12" s="214">
        <v>1</v>
      </c>
      <c r="AV12" s="204">
        <f t="shared" si="2"/>
        <v>0</v>
      </c>
      <c r="AW12" s="213" t="s">
        <v>195</v>
      </c>
      <c r="AX12" s="215"/>
      <c r="AY12" s="216"/>
      <c r="AZ12" s="209"/>
      <c r="BA12" s="174"/>
      <c r="BB12" s="174"/>
      <c r="BC12" s="174"/>
    </row>
    <row r="13" spans="1:56" ht="28" customHeight="1">
      <c r="A13" s="192">
        <v>8</v>
      </c>
      <c r="B13" s="193">
        <v>44957</v>
      </c>
      <c r="C13" s="222" t="s">
        <v>198</v>
      </c>
      <c r="D13" s="222" t="s">
        <v>199</v>
      </c>
      <c r="E13" s="222" t="s">
        <v>200</v>
      </c>
      <c r="F13" s="371" t="s">
        <v>123</v>
      </c>
      <c r="G13" s="249" t="s">
        <v>136</v>
      </c>
      <c r="H13" s="250" t="s">
        <v>129</v>
      </c>
      <c r="I13" s="251" t="s">
        <v>144</v>
      </c>
      <c r="J13" s="252" t="s">
        <v>161</v>
      </c>
      <c r="K13" s="253" t="s">
        <v>97</v>
      </c>
      <c r="L13" s="253" t="s">
        <v>162</v>
      </c>
      <c r="M13" s="251" t="s">
        <v>147</v>
      </c>
      <c r="N13" s="251" t="s">
        <v>97</v>
      </c>
      <c r="O13" s="251" t="s">
        <v>97</v>
      </c>
      <c r="P13" s="251"/>
      <c r="Q13" s="254" t="s">
        <v>124</v>
      </c>
      <c r="R13" s="154">
        <f>0</f>
        <v>0</v>
      </c>
      <c r="S13" s="155">
        <f>0</f>
        <v>0</v>
      </c>
      <c r="T13" s="155">
        <f>0</f>
        <v>0</v>
      </c>
      <c r="U13" s="360">
        <v>1</v>
      </c>
      <c r="V13" s="158">
        <f>0</f>
        <v>0</v>
      </c>
      <c r="W13" s="155">
        <f>0</f>
        <v>0</v>
      </c>
      <c r="X13" s="155">
        <f>0</f>
        <v>0</v>
      </c>
      <c r="Y13" s="155">
        <f>0</f>
        <v>0</v>
      </c>
      <c r="Z13" s="155">
        <f>0</f>
        <v>0</v>
      </c>
      <c r="AA13" s="155">
        <f>0</f>
        <v>0</v>
      </c>
      <c r="AB13" s="155">
        <f>0</f>
        <v>0</v>
      </c>
      <c r="AC13" s="155">
        <f>0</f>
        <v>0</v>
      </c>
      <c r="AD13" s="155">
        <f>0</f>
        <v>0</v>
      </c>
      <c r="AE13" s="155">
        <f>0</f>
        <v>0</v>
      </c>
      <c r="AF13" s="155">
        <f>0</f>
        <v>0</v>
      </c>
      <c r="AG13" s="155">
        <f>0</f>
        <v>0</v>
      </c>
      <c r="AH13" s="155">
        <f>0</f>
        <v>0</v>
      </c>
      <c r="AI13" s="155">
        <f>0</f>
        <v>0</v>
      </c>
      <c r="AJ13" s="155">
        <f>0</f>
        <v>0</v>
      </c>
      <c r="AK13" s="155">
        <f>0</f>
        <v>0</v>
      </c>
      <c r="AL13" s="219">
        <f t="shared" si="0"/>
        <v>1</v>
      </c>
      <c r="AM13" s="103">
        <f>0</f>
        <v>0</v>
      </c>
      <c r="AN13" s="220">
        <f t="shared" si="1"/>
        <v>1</v>
      </c>
      <c r="AO13" s="198">
        <v>44958</v>
      </c>
      <c r="AP13" s="199" t="s">
        <v>192</v>
      </c>
      <c r="AQ13" s="200" t="s">
        <v>193</v>
      </c>
      <c r="AR13" s="201" t="s">
        <v>194</v>
      </c>
      <c r="AS13" s="221"/>
      <c r="AT13" s="213"/>
      <c r="AU13" s="214">
        <v>1</v>
      </c>
      <c r="AV13" s="204">
        <f t="shared" si="2"/>
        <v>0</v>
      </c>
      <c r="AW13" s="213" t="s">
        <v>195</v>
      </c>
      <c r="AX13" s="215"/>
      <c r="AY13" s="216"/>
      <c r="AZ13" s="209"/>
      <c r="BA13" s="174"/>
      <c r="BB13" s="174"/>
      <c r="BC13" s="174"/>
    </row>
    <row r="14" spans="1:56" ht="28" customHeight="1">
      <c r="A14" s="192">
        <v>9</v>
      </c>
      <c r="B14" s="193">
        <v>44957</v>
      </c>
      <c r="C14" s="222" t="s">
        <v>198</v>
      </c>
      <c r="D14" s="222" t="s">
        <v>199</v>
      </c>
      <c r="E14" s="222" t="s">
        <v>200</v>
      </c>
      <c r="F14" s="371" t="s">
        <v>123</v>
      </c>
      <c r="G14" s="249" t="s">
        <v>137</v>
      </c>
      <c r="H14" s="250" t="s">
        <v>129</v>
      </c>
      <c r="I14" s="251" t="s">
        <v>163</v>
      </c>
      <c r="J14" s="252" t="s">
        <v>164</v>
      </c>
      <c r="K14" s="253" t="s">
        <v>97</v>
      </c>
      <c r="L14" s="253" t="s">
        <v>165</v>
      </c>
      <c r="M14" s="251" t="s">
        <v>97</v>
      </c>
      <c r="N14" s="251" t="s">
        <v>97</v>
      </c>
      <c r="O14" s="251" t="s">
        <v>97</v>
      </c>
      <c r="P14" s="251"/>
      <c r="Q14" s="254" t="s">
        <v>124</v>
      </c>
      <c r="R14" s="154">
        <f>0</f>
        <v>0</v>
      </c>
      <c r="S14" s="155">
        <f>0</f>
        <v>0</v>
      </c>
      <c r="T14" s="155">
        <f>0</f>
        <v>0</v>
      </c>
      <c r="U14" s="360">
        <v>1</v>
      </c>
      <c r="V14" s="158">
        <f>0</f>
        <v>0</v>
      </c>
      <c r="W14" s="155">
        <f>0</f>
        <v>0</v>
      </c>
      <c r="X14" s="155">
        <f>0</f>
        <v>0</v>
      </c>
      <c r="Y14" s="155">
        <f>0</f>
        <v>0</v>
      </c>
      <c r="Z14" s="155">
        <f>0</f>
        <v>0</v>
      </c>
      <c r="AA14" s="155">
        <f>0</f>
        <v>0</v>
      </c>
      <c r="AB14" s="155">
        <f>0</f>
        <v>0</v>
      </c>
      <c r="AC14" s="155">
        <f>0</f>
        <v>0</v>
      </c>
      <c r="AD14" s="155">
        <f>0</f>
        <v>0</v>
      </c>
      <c r="AE14" s="155">
        <f>0</f>
        <v>0</v>
      </c>
      <c r="AF14" s="155">
        <f>0</f>
        <v>0</v>
      </c>
      <c r="AG14" s="155">
        <f>0</f>
        <v>0</v>
      </c>
      <c r="AH14" s="155">
        <f>0</f>
        <v>0</v>
      </c>
      <c r="AI14" s="155">
        <f>0</f>
        <v>0</v>
      </c>
      <c r="AJ14" s="155">
        <f>0</f>
        <v>0</v>
      </c>
      <c r="AK14" s="155">
        <f>0</f>
        <v>0</v>
      </c>
      <c r="AL14" s="219">
        <f t="shared" si="0"/>
        <v>1</v>
      </c>
      <c r="AM14" s="103">
        <f>0</f>
        <v>0</v>
      </c>
      <c r="AN14" s="220">
        <f t="shared" si="1"/>
        <v>1</v>
      </c>
      <c r="AO14" s="198">
        <v>44958</v>
      </c>
      <c r="AP14" s="199" t="s">
        <v>192</v>
      </c>
      <c r="AQ14" s="200" t="s">
        <v>193</v>
      </c>
      <c r="AR14" s="201" t="s">
        <v>194</v>
      </c>
      <c r="AS14" s="221"/>
      <c r="AT14" s="213"/>
      <c r="AU14" s="214">
        <v>1</v>
      </c>
      <c r="AV14" s="204">
        <f t="shared" si="2"/>
        <v>0</v>
      </c>
      <c r="AW14" s="213" t="s">
        <v>195</v>
      </c>
      <c r="AX14" s="215"/>
      <c r="AY14" s="216"/>
      <c r="AZ14" s="209"/>
      <c r="BA14" s="174"/>
      <c r="BB14" s="174"/>
      <c r="BC14" s="174"/>
    </row>
    <row r="15" spans="1:56" ht="28" customHeight="1">
      <c r="A15" s="192">
        <v>10</v>
      </c>
      <c r="B15" s="193">
        <v>44957</v>
      </c>
      <c r="C15" s="222" t="s">
        <v>198</v>
      </c>
      <c r="D15" s="222" t="s">
        <v>199</v>
      </c>
      <c r="E15" s="222" t="s">
        <v>200</v>
      </c>
      <c r="F15" s="195" t="s">
        <v>123</v>
      </c>
      <c r="G15" s="249" t="s">
        <v>138</v>
      </c>
      <c r="H15" s="250" t="s">
        <v>129</v>
      </c>
      <c r="I15" s="251" t="s">
        <v>166</v>
      </c>
      <c r="J15" s="252" t="s">
        <v>167</v>
      </c>
      <c r="K15" s="253" t="s">
        <v>97</v>
      </c>
      <c r="L15" s="253" t="s">
        <v>168</v>
      </c>
      <c r="M15" s="251" t="s">
        <v>147</v>
      </c>
      <c r="N15" s="251" t="s">
        <v>97</v>
      </c>
      <c r="O15" s="251" t="s">
        <v>169</v>
      </c>
      <c r="P15" s="251"/>
      <c r="Q15" s="254" t="s">
        <v>124</v>
      </c>
      <c r="R15" s="154">
        <f>0</f>
        <v>0</v>
      </c>
      <c r="S15" s="155">
        <f>0</f>
        <v>0</v>
      </c>
      <c r="T15" s="155">
        <f>0</f>
        <v>0</v>
      </c>
      <c r="U15" s="360">
        <v>1</v>
      </c>
      <c r="V15" s="158">
        <f>0</f>
        <v>0</v>
      </c>
      <c r="W15" s="155">
        <f>0</f>
        <v>0</v>
      </c>
      <c r="X15" s="155">
        <f>0</f>
        <v>0</v>
      </c>
      <c r="Y15" s="155">
        <f>0</f>
        <v>0</v>
      </c>
      <c r="Z15" s="155">
        <f>0</f>
        <v>0</v>
      </c>
      <c r="AA15" s="155">
        <f>0</f>
        <v>0</v>
      </c>
      <c r="AB15" s="155">
        <f>0</f>
        <v>0</v>
      </c>
      <c r="AC15" s="155">
        <f>0</f>
        <v>0</v>
      </c>
      <c r="AD15" s="155">
        <f>0</f>
        <v>0</v>
      </c>
      <c r="AE15" s="155">
        <f>0</f>
        <v>0</v>
      </c>
      <c r="AF15" s="155">
        <f>0</f>
        <v>0</v>
      </c>
      <c r="AG15" s="155">
        <f>0</f>
        <v>0</v>
      </c>
      <c r="AH15" s="155">
        <f>0</f>
        <v>0</v>
      </c>
      <c r="AI15" s="155">
        <f>0</f>
        <v>0</v>
      </c>
      <c r="AJ15" s="155">
        <f>0</f>
        <v>0</v>
      </c>
      <c r="AK15" s="155">
        <f>0</f>
        <v>0</v>
      </c>
      <c r="AL15" s="219">
        <f t="shared" si="0"/>
        <v>1</v>
      </c>
      <c r="AM15" s="103">
        <f>0</f>
        <v>0</v>
      </c>
      <c r="AN15" s="220">
        <f t="shared" si="1"/>
        <v>1</v>
      </c>
      <c r="AO15" s="198">
        <v>44958</v>
      </c>
      <c r="AP15" s="199" t="s">
        <v>192</v>
      </c>
      <c r="AQ15" s="200" t="s">
        <v>193</v>
      </c>
      <c r="AR15" s="201" t="s">
        <v>194</v>
      </c>
      <c r="AS15" s="221"/>
      <c r="AT15" s="213"/>
      <c r="AU15" s="214"/>
      <c r="AV15" s="204">
        <f t="shared" si="2"/>
        <v>1</v>
      </c>
      <c r="AW15" s="213" t="s">
        <v>195</v>
      </c>
      <c r="AX15" s="215"/>
      <c r="AY15" s="216"/>
      <c r="AZ15" s="209"/>
      <c r="BA15" s="174"/>
      <c r="BB15" s="174"/>
      <c r="BC15" s="174"/>
    </row>
    <row r="16" spans="1:56" ht="28" customHeight="1">
      <c r="A16" s="192">
        <v>11</v>
      </c>
      <c r="B16" s="193">
        <v>44957</v>
      </c>
      <c r="C16" s="222" t="s">
        <v>198</v>
      </c>
      <c r="D16" s="222" t="s">
        <v>199</v>
      </c>
      <c r="E16" s="222" t="s">
        <v>200</v>
      </c>
      <c r="F16" s="195" t="s">
        <v>123</v>
      </c>
      <c r="G16" s="249" t="s">
        <v>139</v>
      </c>
      <c r="H16" s="250" t="s">
        <v>129</v>
      </c>
      <c r="I16" s="251" t="s">
        <v>166</v>
      </c>
      <c r="J16" s="252" t="s">
        <v>170</v>
      </c>
      <c r="K16" s="253" t="s">
        <v>97</v>
      </c>
      <c r="L16" s="253" t="s">
        <v>168</v>
      </c>
      <c r="M16" s="251" t="s">
        <v>147</v>
      </c>
      <c r="N16" s="251" t="s">
        <v>97</v>
      </c>
      <c r="O16" s="251" t="s">
        <v>169</v>
      </c>
      <c r="P16" s="251"/>
      <c r="Q16" s="254" t="s">
        <v>124</v>
      </c>
      <c r="R16" s="154">
        <f>0</f>
        <v>0</v>
      </c>
      <c r="S16" s="155">
        <f>0</f>
        <v>0</v>
      </c>
      <c r="T16" s="155">
        <f>0</f>
        <v>0</v>
      </c>
      <c r="U16" s="360">
        <v>1</v>
      </c>
      <c r="V16" s="158">
        <f>0</f>
        <v>0</v>
      </c>
      <c r="W16" s="155">
        <f>0</f>
        <v>0</v>
      </c>
      <c r="X16" s="155">
        <f>0</f>
        <v>0</v>
      </c>
      <c r="Y16" s="155">
        <f>0</f>
        <v>0</v>
      </c>
      <c r="Z16" s="155">
        <f>0</f>
        <v>0</v>
      </c>
      <c r="AA16" s="155">
        <f>0</f>
        <v>0</v>
      </c>
      <c r="AB16" s="155">
        <f>0</f>
        <v>0</v>
      </c>
      <c r="AC16" s="155">
        <f>0</f>
        <v>0</v>
      </c>
      <c r="AD16" s="155">
        <f>0</f>
        <v>0</v>
      </c>
      <c r="AE16" s="155">
        <f>0</f>
        <v>0</v>
      </c>
      <c r="AF16" s="155">
        <f>0</f>
        <v>0</v>
      </c>
      <c r="AG16" s="155">
        <f>0</f>
        <v>0</v>
      </c>
      <c r="AH16" s="155">
        <f>0</f>
        <v>0</v>
      </c>
      <c r="AI16" s="155">
        <f>0</f>
        <v>0</v>
      </c>
      <c r="AJ16" s="155">
        <f>0</f>
        <v>0</v>
      </c>
      <c r="AK16" s="155">
        <f>0</f>
        <v>0</v>
      </c>
      <c r="AL16" s="219">
        <f t="shared" si="0"/>
        <v>1</v>
      </c>
      <c r="AM16" s="103">
        <f>0</f>
        <v>0</v>
      </c>
      <c r="AN16" s="220">
        <f t="shared" si="1"/>
        <v>1</v>
      </c>
      <c r="AO16" s="198">
        <v>44958</v>
      </c>
      <c r="AP16" s="199" t="s">
        <v>192</v>
      </c>
      <c r="AQ16" s="200" t="s">
        <v>193</v>
      </c>
      <c r="AR16" s="201" t="s">
        <v>194</v>
      </c>
      <c r="AS16" s="221"/>
      <c r="AT16" s="213"/>
      <c r="AU16" s="214"/>
      <c r="AV16" s="204">
        <f t="shared" si="2"/>
        <v>1</v>
      </c>
      <c r="AW16" s="213" t="s">
        <v>195</v>
      </c>
      <c r="AX16" s="215"/>
      <c r="AY16" s="216"/>
      <c r="AZ16" s="209"/>
      <c r="BA16" s="174"/>
      <c r="BB16" s="174"/>
      <c r="BC16" s="174"/>
    </row>
    <row r="17" spans="1:55" ht="28" customHeight="1">
      <c r="A17" s="192">
        <v>12</v>
      </c>
      <c r="B17" s="193">
        <v>44957</v>
      </c>
      <c r="C17" s="222" t="s">
        <v>198</v>
      </c>
      <c r="D17" s="222" t="s">
        <v>199</v>
      </c>
      <c r="E17" s="222" t="s">
        <v>200</v>
      </c>
      <c r="F17" s="195" t="s">
        <v>123</v>
      </c>
      <c r="G17" s="249" t="s">
        <v>140</v>
      </c>
      <c r="H17" s="250" t="s">
        <v>129</v>
      </c>
      <c r="I17" s="251" t="s">
        <v>144</v>
      </c>
      <c r="J17" s="252" t="s">
        <v>171</v>
      </c>
      <c r="K17" s="253" t="s">
        <v>97</v>
      </c>
      <c r="L17" s="253" t="s">
        <v>168</v>
      </c>
      <c r="M17" s="251" t="s">
        <v>147</v>
      </c>
      <c r="N17" s="251" t="s">
        <v>97</v>
      </c>
      <c r="O17" s="251" t="s">
        <v>169</v>
      </c>
      <c r="P17" s="251"/>
      <c r="Q17" s="254" t="s">
        <v>124</v>
      </c>
      <c r="R17" s="154">
        <f>0</f>
        <v>0</v>
      </c>
      <c r="S17" s="155">
        <f>0</f>
        <v>0</v>
      </c>
      <c r="T17" s="155">
        <f>0</f>
        <v>0</v>
      </c>
      <c r="U17" s="360">
        <v>1</v>
      </c>
      <c r="V17" s="158">
        <f>0</f>
        <v>0</v>
      </c>
      <c r="W17" s="155">
        <f>0</f>
        <v>0</v>
      </c>
      <c r="X17" s="155">
        <f>0</f>
        <v>0</v>
      </c>
      <c r="Y17" s="155">
        <f>0</f>
        <v>0</v>
      </c>
      <c r="Z17" s="155">
        <f>0</f>
        <v>0</v>
      </c>
      <c r="AA17" s="155">
        <f>0</f>
        <v>0</v>
      </c>
      <c r="AB17" s="155">
        <f>0</f>
        <v>0</v>
      </c>
      <c r="AC17" s="155">
        <f>0</f>
        <v>0</v>
      </c>
      <c r="AD17" s="155">
        <f>0</f>
        <v>0</v>
      </c>
      <c r="AE17" s="155">
        <f>0</f>
        <v>0</v>
      </c>
      <c r="AF17" s="155">
        <f>0</f>
        <v>0</v>
      </c>
      <c r="AG17" s="155">
        <f>0</f>
        <v>0</v>
      </c>
      <c r="AH17" s="155">
        <f>0</f>
        <v>0</v>
      </c>
      <c r="AI17" s="155">
        <f>0</f>
        <v>0</v>
      </c>
      <c r="AJ17" s="155">
        <f>0</f>
        <v>0</v>
      </c>
      <c r="AK17" s="155">
        <f>0</f>
        <v>0</v>
      </c>
      <c r="AL17" s="219">
        <f t="shared" si="0"/>
        <v>1</v>
      </c>
      <c r="AM17" s="103">
        <f>0</f>
        <v>0</v>
      </c>
      <c r="AN17" s="220">
        <f t="shared" si="1"/>
        <v>1</v>
      </c>
      <c r="AO17" s="198">
        <v>44958</v>
      </c>
      <c r="AP17" s="199" t="s">
        <v>192</v>
      </c>
      <c r="AQ17" s="200" t="s">
        <v>193</v>
      </c>
      <c r="AR17" s="201" t="s">
        <v>194</v>
      </c>
      <c r="AS17" s="221"/>
      <c r="AT17" s="213"/>
      <c r="AU17" s="214"/>
      <c r="AV17" s="204">
        <f t="shared" si="2"/>
        <v>1</v>
      </c>
      <c r="AW17" s="213" t="s">
        <v>195</v>
      </c>
      <c r="AX17" s="215"/>
      <c r="AY17" s="216"/>
      <c r="AZ17" s="209"/>
      <c r="BA17" s="174"/>
      <c r="BB17" s="174"/>
      <c r="BC17" s="174"/>
    </row>
    <row r="18" spans="1:55" ht="28" customHeight="1">
      <c r="A18" s="192">
        <v>13</v>
      </c>
      <c r="B18" s="193">
        <v>44957</v>
      </c>
      <c r="C18" s="222" t="s">
        <v>198</v>
      </c>
      <c r="D18" s="222" t="s">
        <v>199</v>
      </c>
      <c r="E18" s="222" t="s">
        <v>200</v>
      </c>
      <c r="F18" s="195" t="s">
        <v>123</v>
      </c>
      <c r="G18" s="249" t="s">
        <v>141</v>
      </c>
      <c r="H18" s="250" t="s">
        <v>129</v>
      </c>
      <c r="I18" s="251" t="s">
        <v>172</v>
      </c>
      <c r="J18" s="252" t="s">
        <v>173</v>
      </c>
      <c r="K18" s="253" t="s">
        <v>97</v>
      </c>
      <c r="L18" s="253" t="s">
        <v>168</v>
      </c>
      <c r="M18" s="251" t="s">
        <v>147</v>
      </c>
      <c r="N18" s="251" t="s">
        <v>97</v>
      </c>
      <c r="O18" s="251" t="s">
        <v>169</v>
      </c>
      <c r="P18" s="251"/>
      <c r="Q18" s="254" t="s">
        <v>124</v>
      </c>
      <c r="R18" s="154">
        <f>0</f>
        <v>0</v>
      </c>
      <c r="S18" s="155">
        <f>0</f>
        <v>0</v>
      </c>
      <c r="T18" s="155">
        <f>0</f>
        <v>0</v>
      </c>
      <c r="U18" s="360">
        <v>1</v>
      </c>
      <c r="V18" s="158">
        <f>0</f>
        <v>0</v>
      </c>
      <c r="W18" s="155">
        <f>0</f>
        <v>0</v>
      </c>
      <c r="X18" s="155">
        <f>0</f>
        <v>0</v>
      </c>
      <c r="Y18" s="155">
        <f>0</f>
        <v>0</v>
      </c>
      <c r="Z18" s="155">
        <f>0</f>
        <v>0</v>
      </c>
      <c r="AA18" s="155">
        <f>0</f>
        <v>0</v>
      </c>
      <c r="AB18" s="155">
        <f>0</f>
        <v>0</v>
      </c>
      <c r="AC18" s="155">
        <f>0</f>
        <v>0</v>
      </c>
      <c r="AD18" s="155">
        <f>0</f>
        <v>0</v>
      </c>
      <c r="AE18" s="155">
        <f>0</f>
        <v>0</v>
      </c>
      <c r="AF18" s="155">
        <f>0</f>
        <v>0</v>
      </c>
      <c r="AG18" s="155">
        <f>0</f>
        <v>0</v>
      </c>
      <c r="AH18" s="155">
        <f>0</f>
        <v>0</v>
      </c>
      <c r="AI18" s="155">
        <f>0</f>
        <v>0</v>
      </c>
      <c r="AJ18" s="155">
        <f>0</f>
        <v>0</v>
      </c>
      <c r="AK18" s="155">
        <f>0</f>
        <v>0</v>
      </c>
      <c r="AL18" s="219">
        <f t="shared" si="0"/>
        <v>1</v>
      </c>
      <c r="AM18" s="103">
        <f>0</f>
        <v>0</v>
      </c>
      <c r="AN18" s="220">
        <f t="shared" si="1"/>
        <v>1</v>
      </c>
      <c r="AO18" s="198">
        <v>44958</v>
      </c>
      <c r="AP18" s="199" t="s">
        <v>192</v>
      </c>
      <c r="AQ18" s="200" t="s">
        <v>193</v>
      </c>
      <c r="AR18" s="201" t="s">
        <v>194</v>
      </c>
      <c r="AS18" s="221"/>
      <c r="AT18" s="213"/>
      <c r="AU18" s="214"/>
      <c r="AV18" s="204">
        <f t="shared" si="2"/>
        <v>1</v>
      </c>
      <c r="AW18" s="213" t="s">
        <v>195</v>
      </c>
      <c r="AX18" s="215"/>
      <c r="AY18" s="216"/>
      <c r="AZ18" s="209"/>
      <c r="BA18" s="174"/>
      <c r="BB18" s="174"/>
      <c r="BC18" s="174"/>
    </row>
    <row r="19" spans="1:55" ht="28" customHeight="1">
      <c r="A19" s="194">
        <v>14</v>
      </c>
      <c r="B19" s="193">
        <v>44957</v>
      </c>
      <c r="C19" s="222" t="s">
        <v>198</v>
      </c>
      <c r="D19" s="222" t="s">
        <v>199</v>
      </c>
      <c r="E19" s="222" t="s">
        <v>200</v>
      </c>
      <c r="F19" s="195" t="s">
        <v>123</v>
      </c>
      <c r="G19" s="249" t="s">
        <v>142</v>
      </c>
      <c r="H19" s="250" t="s">
        <v>129</v>
      </c>
      <c r="I19" s="251" t="s">
        <v>174</v>
      </c>
      <c r="J19" s="252" t="s">
        <v>175</v>
      </c>
      <c r="K19" s="253" t="s">
        <v>97</v>
      </c>
      <c r="L19" s="253" t="s">
        <v>176</v>
      </c>
      <c r="M19" s="251" t="s">
        <v>147</v>
      </c>
      <c r="N19" s="251" t="s">
        <v>97</v>
      </c>
      <c r="O19" s="251" t="s">
        <v>177</v>
      </c>
      <c r="P19" s="251"/>
      <c r="Q19" s="254" t="s">
        <v>124</v>
      </c>
      <c r="R19" s="154">
        <f>0</f>
        <v>0</v>
      </c>
      <c r="S19" s="155">
        <f>0</f>
        <v>0</v>
      </c>
      <c r="T19" s="155">
        <f>0</f>
        <v>0</v>
      </c>
      <c r="U19" s="360">
        <v>1</v>
      </c>
      <c r="V19" s="158">
        <f>0</f>
        <v>0</v>
      </c>
      <c r="W19" s="155">
        <f>0</f>
        <v>0</v>
      </c>
      <c r="X19" s="155">
        <f>0</f>
        <v>0</v>
      </c>
      <c r="Y19" s="155">
        <f>0</f>
        <v>0</v>
      </c>
      <c r="Z19" s="155">
        <f>0</f>
        <v>0</v>
      </c>
      <c r="AA19" s="155">
        <f>0</f>
        <v>0</v>
      </c>
      <c r="AB19" s="155">
        <f>0</f>
        <v>0</v>
      </c>
      <c r="AC19" s="155">
        <f>0</f>
        <v>0</v>
      </c>
      <c r="AD19" s="155">
        <f>0</f>
        <v>0</v>
      </c>
      <c r="AE19" s="155">
        <f>0</f>
        <v>0</v>
      </c>
      <c r="AF19" s="155">
        <f>0</f>
        <v>0</v>
      </c>
      <c r="AG19" s="155">
        <f>0</f>
        <v>0</v>
      </c>
      <c r="AH19" s="155">
        <f>0</f>
        <v>0</v>
      </c>
      <c r="AI19" s="155">
        <f>0</f>
        <v>0</v>
      </c>
      <c r="AJ19" s="155">
        <f>0</f>
        <v>0</v>
      </c>
      <c r="AK19" s="155">
        <f>0</f>
        <v>0</v>
      </c>
      <c r="AL19" s="219">
        <f t="shared" si="0"/>
        <v>1</v>
      </c>
      <c r="AM19" s="103">
        <f>0</f>
        <v>0</v>
      </c>
      <c r="AN19" s="220">
        <f t="shared" si="1"/>
        <v>1</v>
      </c>
      <c r="AO19" s="198">
        <v>44958</v>
      </c>
      <c r="AP19" s="199" t="s">
        <v>192</v>
      </c>
      <c r="AQ19" s="200" t="s">
        <v>193</v>
      </c>
      <c r="AR19" s="201" t="s">
        <v>194</v>
      </c>
      <c r="AS19" s="221"/>
      <c r="AT19" s="213"/>
      <c r="AU19" s="214"/>
      <c r="AV19" s="204">
        <f t="shared" si="2"/>
        <v>1</v>
      </c>
      <c r="AW19" s="213" t="s">
        <v>195</v>
      </c>
      <c r="AX19" s="215"/>
      <c r="AY19" s="216"/>
      <c r="AZ19" s="209"/>
      <c r="BA19" s="174"/>
      <c r="BB19" s="174"/>
      <c r="BC19" s="174"/>
    </row>
    <row r="20" spans="1:55" ht="28" customHeight="1">
      <c r="A20" s="192">
        <v>15</v>
      </c>
      <c r="B20" s="193">
        <v>44957</v>
      </c>
      <c r="C20" s="222" t="s">
        <v>198</v>
      </c>
      <c r="D20" s="222" t="s">
        <v>199</v>
      </c>
      <c r="E20" s="222" t="s">
        <v>200</v>
      </c>
      <c r="F20" s="195" t="s">
        <v>123</v>
      </c>
      <c r="G20" s="249" t="s">
        <v>143</v>
      </c>
      <c r="H20" s="250" t="s">
        <v>129</v>
      </c>
      <c r="I20" s="251" t="s">
        <v>172</v>
      </c>
      <c r="J20" s="252" t="s">
        <v>178</v>
      </c>
      <c r="K20" s="253" t="s">
        <v>97</v>
      </c>
      <c r="L20" s="253" t="s">
        <v>168</v>
      </c>
      <c r="M20" s="251" t="s">
        <v>147</v>
      </c>
      <c r="N20" s="251" t="s">
        <v>97</v>
      </c>
      <c r="O20" s="251" t="s">
        <v>169</v>
      </c>
      <c r="P20" s="251"/>
      <c r="Q20" s="254" t="s">
        <v>124</v>
      </c>
      <c r="R20" s="154">
        <f>0</f>
        <v>0</v>
      </c>
      <c r="S20" s="155">
        <f>0</f>
        <v>0</v>
      </c>
      <c r="T20" s="155">
        <f>0</f>
        <v>0</v>
      </c>
      <c r="U20" s="360">
        <v>1</v>
      </c>
      <c r="V20" s="158">
        <f>0</f>
        <v>0</v>
      </c>
      <c r="W20" s="155">
        <f>0</f>
        <v>0</v>
      </c>
      <c r="X20" s="155">
        <f>0</f>
        <v>0</v>
      </c>
      <c r="Y20" s="155">
        <f>0</f>
        <v>0</v>
      </c>
      <c r="Z20" s="155">
        <f>0</f>
        <v>0</v>
      </c>
      <c r="AA20" s="155">
        <f>0</f>
        <v>0</v>
      </c>
      <c r="AB20" s="155">
        <f>0</f>
        <v>0</v>
      </c>
      <c r="AC20" s="155">
        <f>0</f>
        <v>0</v>
      </c>
      <c r="AD20" s="155">
        <f>0</f>
        <v>0</v>
      </c>
      <c r="AE20" s="155">
        <f>0</f>
        <v>0</v>
      </c>
      <c r="AF20" s="155">
        <f>0</f>
        <v>0</v>
      </c>
      <c r="AG20" s="155">
        <f>0</f>
        <v>0</v>
      </c>
      <c r="AH20" s="155">
        <f>0</f>
        <v>0</v>
      </c>
      <c r="AI20" s="155">
        <f>0</f>
        <v>0</v>
      </c>
      <c r="AJ20" s="155">
        <f>0</f>
        <v>0</v>
      </c>
      <c r="AK20" s="155">
        <f>0</f>
        <v>0</v>
      </c>
      <c r="AL20" s="219">
        <f t="shared" si="0"/>
        <v>1</v>
      </c>
      <c r="AM20" s="103">
        <f>0</f>
        <v>0</v>
      </c>
      <c r="AN20" s="220">
        <f t="shared" si="1"/>
        <v>1</v>
      </c>
      <c r="AO20" s="198">
        <v>44958</v>
      </c>
      <c r="AP20" s="199" t="s">
        <v>192</v>
      </c>
      <c r="AQ20" s="200" t="s">
        <v>193</v>
      </c>
      <c r="AR20" s="201" t="s">
        <v>194</v>
      </c>
      <c r="AS20" s="221"/>
      <c r="AT20" s="213"/>
      <c r="AU20" s="214"/>
      <c r="AV20" s="204">
        <f t="shared" si="2"/>
        <v>1</v>
      </c>
      <c r="AW20" s="213" t="s">
        <v>195</v>
      </c>
      <c r="AX20" s="215"/>
      <c r="AY20" s="216"/>
      <c r="AZ20" s="209"/>
      <c r="BA20" s="174"/>
      <c r="BB20" s="174"/>
      <c r="BC20" s="174"/>
    </row>
    <row r="21" spans="1:55" ht="28" customHeight="1">
      <c r="A21" s="192">
        <v>16</v>
      </c>
      <c r="B21" s="287">
        <v>45016</v>
      </c>
      <c r="C21" s="222" t="s">
        <v>198</v>
      </c>
      <c r="D21" s="222" t="s">
        <v>199</v>
      </c>
      <c r="E21" s="222" t="s">
        <v>200</v>
      </c>
      <c r="F21" s="349" t="s">
        <v>123</v>
      </c>
      <c r="G21" s="249" t="s">
        <v>202</v>
      </c>
      <c r="H21" s="244" t="s">
        <v>556</v>
      </c>
      <c r="I21" s="243" t="s">
        <v>203</v>
      </c>
      <c r="J21" s="288" t="s">
        <v>1282</v>
      </c>
      <c r="K21" s="272" t="s">
        <v>97</v>
      </c>
      <c r="L21" s="246" t="s">
        <v>159</v>
      </c>
      <c r="M21" s="243" t="s">
        <v>156</v>
      </c>
      <c r="N21" s="243" t="s">
        <v>97</v>
      </c>
      <c r="O21" s="243" t="s">
        <v>204</v>
      </c>
      <c r="P21" s="247"/>
      <c r="Q21" s="289" t="s">
        <v>289</v>
      </c>
      <c r="R21" s="154">
        <f>0</f>
        <v>0</v>
      </c>
      <c r="S21" s="155">
        <f>0</f>
        <v>0</v>
      </c>
      <c r="T21" s="155">
        <f>0</f>
        <v>0</v>
      </c>
      <c r="U21" s="158">
        <f>0</f>
        <v>0</v>
      </c>
      <c r="V21" s="158">
        <f>0</f>
        <v>0</v>
      </c>
      <c r="W21" s="263">
        <v>3</v>
      </c>
      <c r="X21" s="155">
        <f>0</f>
        <v>0</v>
      </c>
      <c r="Y21" s="155">
        <f>0</f>
        <v>0</v>
      </c>
      <c r="Z21" s="155">
        <f>0</f>
        <v>0</v>
      </c>
      <c r="AA21" s="155">
        <f>0</f>
        <v>0</v>
      </c>
      <c r="AB21" s="155">
        <f>0</f>
        <v>0</v>
      </c>
      <c r="AC21" s="155">
        <f>0</f>
        <v>0</v>
      </c>
      <c r="AD21" s="155">
        <f>0</f>
        <v>0</v>
      </c>
      <c r="AE21" s="155">
        <f>0</f>
        <v>0</v>
      </c>
      <c r="AF21" s="155">
        <f>0</f>
        <v>0</v>
      </c>
      <c r="AG21" s="155">
        <f>0</f>
        <v>0</v>
      </c>
      <c r="AH21" s="155">
        <f>0</f>
        <v>0</v>
      </c>
      <c r="AI21" s="155">
        <f>0</f>
        <v>0</v>
      </c>
      <c r="AJ21" s="155">
        <f>0</f>
        <v>0</v>
      </c>
      <c r="AK21" s="155">
        <f>0</f>
        <v>0</v>
      </c>
      <c r="AL21" s="219">
        <f t="shared" si="0"/>
        <v>3</v>
      </c>
      <c r="AM21" s="103">
        <f>0</f>
        <v>0</v>
      </c>
      <c r="AN21" s="220">
        <f t="shared" si="1"/>
        <v>3</v>
      </c>
      <c r="AO21" s="290">
        <v>45034</v>
      </c>
      <c r="AP21" s="291" t="s">
        <v>192</v>
      </c>
      <c r="AQ21" s="292" t="s">
        <v>1520</v>
      </c>
      <c r="AR21" s="293" t="s">
        <v>197</v>
      </c>
      <c r="AS21" s="362"/>
      <c r="AT21" s="294"/>
      <c r="AU21" s="295">
        <v>3</v>
      </c>
      <c r="AV21" s="296">
        <f t="shared" si="2"/>
        <v>0</v>
      </c>
      <c r="AW21" s="294" t="s">
        <v>195</v>
      </c>
      <c r="AX21" s="297"/>
      <c r="AY21" s="298"/>
      <c r="AZ21" s="299"/>
      <c r="BA21" s="174"/>
      <c r="BB21" s="174"/>
      <c r="BC21" s="174"/>
    </row>
    <row r="22" spans="1:55" ht="28" customHeight="1">
      <c r="A22" s="192">
        <v>17</v>
      </c>
      <c r="B22" s="287">
        <v>45016</v>
      </c>
      <c r="C22" s="222" t="s">
        <v>198</v>
      </c>
      <c r="D22" s="222" t="s">
        <v>199</v>
      </c>
      <c r="E22" s="222" t="s">
        <v>200</v>
      </c>
      <c r="F22" s="349" t="s">
        <v>123</v>
      </c>
      <c r="G22" s="249" t="s">
        <v>205</v>
      </c>
      <c r="H22" s="244" t="s">
        <v>129</v>
      </c>
      <c r="I22" s="243" t="s">
        <v>206</v>
      </c>
      <c r="J22" s="288" t="s">
        <v>207</v>
      </c>
      <c r="K22" s="272" t="s">
        <v>97</v>
      </c>
      <c r="L22" s="246" t="s">
        <v>159</v>
      </c>
      <c r="M22" s="243" t="s">
        <v>156</v>
      </c>
      <c r="N22" s="243" t="s">
        <v>97</v>
      </c>
      <c r="O22" s="243" t="s">
        <v>204</v>
      </c>
      <c r="P22" s="247"/>
      <c r="Q22" s="289" t="s">
        <v>289</v>
      </c>
      <c r="R22" s="154">
        <f>0</f>
        <v>0</v>
      </c>
      <c r="S22" s="155">
        <f>0</f>
        <v>0</v>
      </c>
      <c r="T22" s="155">
        <f>0</f>
        <v>0</v>
      </c>
      <c r="U22" s="158">
        <f>0</f>
        <v>0</v>
      </c>
      <c r="V22" s="158">
        <f>0</f>
        <v>0</v>
      </c>
      <c r="W22" s="263">
        <v>1</v>
      </c>
      <c r="X22" s="155">
        <f>0</f>
        <v>0</v>
      </c>
      <c r="Y22" s="155">
        <f>0</f>
        <v>0</v>
      </c>
      <c r="Z22" s="155">
        <f>0</f>
        <v>0</v>
      </c>
      <c r="AA22" s="155">
        <f>0</f>
        <v>0</v>
      </c>
      <c r="AB22" s="155">
        <f>0</f>
        <v>0</v>
      </c>
      <c r="AC22" s="155">
        <f>0</f>
        <v>0</v>
      </c>
      <c r="AD22" s="155">
        <f>0</f>
        <v>0</v>
      </c>
      <c r="AE22" s="155">
        <f>0</f>
        <v>0</v>
      </c>
      <c r="AF22" s="155">
        <f>0</f>
        <v>0</v>
      </c>
      <c r="AG22" s="155">
        <f>0</f>
        <v>0</v>
      </c>
      <c r="AH22" s="155">
        <f>0</f>
        <v>0</v>
      </c>
      <c r="AI22" s="155">
        <f>0</f>
        <v>0</v>
      </c>
      <c r="AJ22" s="155">
        <f>0</f>
        <v>0</v>
      </c>
      <c r="AK22" s="155">
        <f>0</f>
        <v>0</v>
      </c>
      <c r="AL22" s="219">
        <f t="shared" si="0"/>
        <v>1</v>
      </c>
      <c r="AM22" s="103">
        <f>0</f>
        <v>0</v>
      </c>
      <c r="AN22" s="220">
        <f t="shared" si="1"/>
        <v>1</v>
      </c>
      <c r="AO22" s="290">
        <v>45034</v>
      </c>
      <c r="AP22" s="291" t="s">
        <v>192</v>
      </c>
      <c r="AQ22" s="292" t="s">
        <v>1520</v>
      </c>
      <c r="AR22" s="293" t="s">
        <v>197</v>
      </c>
      <c r="AS22" s="362"/>
      <c r="AT22" s="294"/>
      <c r="AU22" s="295">
        <v>1</v>
      </c>
      <c r="AV22" s="296">
        <f t="shared" si="2"/>
        <v>0</v>
      </c>
      <c r="AW22" s="294" t="s">
        <v>195</v>
      </c>
      <c r="AX22" s="297"/>
      <c r="AY22" s="298"/>
      <c r="AZ22" s="299"/>
      <c r="BA22" s="174"/>
      <c r="BB22" s="174"/>
      <c r="BC22" s="174"/>
    </row>
    <row r="23" spans="1:55" ht="28" customHeight="1">
      <c r="A23" s="300">
        <v>18</v>
      </c>
      <c r="B23" s="287">
        <v>45016</v>
      </c>
      <c r="C23" s="222" t="s">
        <v>198</v>
      </c>
      <c r="D23" s="222" t="s">
        <v>199</v>
      </c>
      <c r="E23" s="222" t="s">
        <v>200</v>
      </c>
      <c r="F23" s="349" t="s">
        <v>123</v>
      </c>
      <c r="G23" s="249" t="s">
        <v>208</v>
      </c>
      <c r="H23" s="244" t="s">
        <v>556</v>
      </c>
      <c r="I23" s="243" t="s">
        <v>209</v>
      </c>
      <c r="J23" s="288" t="s">
        <v>1284</v>
      </c>
      <c r="K23" s="272" t="s">
        <v>97</v>
      </c>
      <c r="L23" s="246" t="s">
        <v>159</v>
      </c>
      <c r="M23" s="243" t="s">
        <v>156</v>
      </c>
      <c r="N23" s="243" t="s">
        <v>97</v>
      </c>
      <c r="O23" s="243" t="s">
        <v>204</v>
      </c>
      <c r="P23" s="247"/>
      <c r="Q23" s="289" t="s">
        <v>289</v>
      </c>
      <c r="R23" s="154">
        <f>0</f>
        <v>0</v>
      </c>
      <c r="S23" s="155">
        <f>0</f>
        <v>0</v>
      </c>
      <c r="T23" s="155">
        <f>0</f>
        <v>0</v>
      </c>
      <c r="U23" s="158">
        <f>0</f>
        <v>0</v>
      </c>
      <c r="V23" s="158">
        <f>0</f>
        <v>0</v>
      </c>
      <c r="W23" s="263">
        <v>4</v>
      </c>
      <c r="X23" s="155">
        <f>0</f>
        <v>0</v>
      </c>
      <c r="Y23" s="155">
        <f>0</f>
        <v>0</v>
      </c>
      <c r="Z23" s="155">
        <f>0</f>
        <v>0</v>
      </c>
      <c r="AA23" s="155">
        <f>0</f>
        <v>0</v>
      </c>
      <c r="AB23" s="155">
        <f>0</f>
        <v>0</v>
      </c>
      <c r="AC23" s="155">
        <f>0</f>
        <v>0</v>
      </c>
      <c r="AD23" s="155">
        <f>0</f>
        <v>0</v>
      </c>
      <c r="AE23" s="155">
        <f>0</f>
        <v>0</v>
      </c>
      <c r="AF23" s="155">
        <f>0</f>
        <v>0</v>
      </c>
      <c r="AG23" s="155">
        <f>0</f>
        <v>0</v>
      </c>
      <c r="AH23" s="155">
        <f>0</f>
        <v>0</v>
      </c>
      <c r="AI23" s="155">
        <f>0</f>
        <v>0</v>
      </c>
      <c r="AJ23" s="155">
        <f>0</f>
        <v>0</v>
      </c>
      <c r="AK23" s="155">
        <f>0</f>
        <v>0</v>
      </c>
      <c r="AL23" s="219">
        <f t="shared" si="0"/>
        <v>4</v>
      </c>
      <c r="AM23" s="103">
        <f>0</f>
        <v>0</v>
      </c>
      <c r="AN23" s="220">
        <f t="shared" si="1"/>
        <v>4</v>
      </c>
      <c r="AO23" s="290">
        <v>45034</v>
      </c>
      <c r="AP23" s="291" t="s">
        <v>192</v>
      </c>
      <c r="AQ23" s="292" t="s">
        <v>1520</v>
      </c>
      <c r="AR23" s="293" t="s">
        <v>197</v>
      </c>
      <c r="AS23" s="362"/>
      <c r="AT23" s="294"/>
      <c r="AU23" s="295">
        <v>4</v>
      </c>
      <c r="AV23" s="296">
        <f t="shared" si="2"/>
        <v>0</v>
      </c>
      <c r="AW23" s="294" t="s">
        <v>195</v>
      </c>
      <c r="AX23" s="297"/>
      <c r="AY23" s="298"/>
      <c r="AZ23" s="299"/>
      <c r="BA23" s="174"/>
      <c r="BB23" s="174"/>
      <c r="BC23" s="174"/>
    </row>
    <row r="24" spans="1:55" ht="28" customHeight="1">
      <c r="A24" s="300">
        <v>19</v>
      </c>
      <c r="B24" s="287">
        <v>45016</v>
      </c>
      <c r="C24" s="363"/>
      <c r="D24" s="363"/>
      <c r="E24" s="363"/>
      <c r="F24" s="349" t="s">
        <v>123</v>
      </c>
      <c r="G24" s="249" t="s">
        <v>210</v>
      </c>
      <c r="H24" s="244" t="s">
        <v>129</v>
      </c>
      <c r="I24" s="243" t="s">
        <v>211</v>
      </c>
      <c r="J24" s="288" t="s">
        <v>212</v>
      </c>
      <c r="K24" s="272" t="s">
        <v>97</v>
      </c>
      <c r="L24" s="246" t="s">
        <v>159</v>
      </c>
      <c r="M24" s="243" t="s">
        <v>156</v>
      </c>
      <c r="N24" s="243" t="s">
        <v>97</v>
      </c>
      <c r="O24" s="243" t="s">
        <v>204</v>
      </c>
      <c r="P24" s="247"/>
      <c r="Q24" s="289" t="s">
        <v>289</v>
      </c>
      <c r="R24" s="154">
        <f>0</f>
        <v>0</v>
      </c>
      <c r="S24" s="155">
        <f>0</f>
        <v>0</v>
      </c>
      <c r="T24" s="155">
        <f>0</f>
        <v>0</v>
      </c>
      <c r="U24" s="158">
        <f>0</f>
        <v>0</v>
      </c>
      <c r="V24" s="158">
        <f>0</f>
        <v>0</v>
      </c>
      <c r="W24" s="263">
        <v>1</v>
      </c>
      <c r="X24" s="155">
        <f>0</f>
        <v>0</v>
      </c>
      <c r="Y24" s="155">
        <f>0</f>
        <v>0</v>
      </c>
      <c r="Z24" s="155">
        <f>0</f>
        <v>0</v>
      </c>
      <c r="AA24" s="155">
        <f>0</f>
        <v>0</v>
      </c>
      <c r="AB24" s="155">
        <f>0</f>
        <v>0</v>
      </c>
      <c r="AC24" s="155">
        <f>0</f>
        <v>0</v>
      </c>
      <c r="AD24" s="155">
        <f>0</f>
        <v>0</v>
      </c>
      <c r="AE24" s="155">
        <f>0</f>
        <v>0</v>
      </c>
      <c r="AF24" s="155">
        <f>0</f>
        <v>0</v>
      </c>
      <c r="AG24" s="155">
        <f>0</f>
        <v>0</v>
      </c>
      <c r="AH24" s="155">
        <f>0</f>
        <v>0</v>
      </c>
      <c r="AI24" s="155">
        <f>0</f>
        <v>0</v>
      </c>
      <c r="AJ24" s="155">
        <f>0</f>
        <v>0</v>
      </c>
      <c r="AK24" s="155">
        <f>0</f>
        <v>0</v>
      </c>
      <c r="AL24" s="219">
        <f t="shared" si="0"/>
        <v>1</v>
      </c>
      <c r="AM24" s="103">
        <f>0</f>
        <v>0</v>
      </c>
      <c r="AN24" s="220">
        <f t="shared" si="1"/>
        <v>1</v>
      </c>
      <c r="AO24" s="290">
        <v>45034</v>
      </c>
      <c r="AP24" s="291" t="s">
        <v>192</v>
      </c>
      <c r="AQ24" s="292" t="s">
        <v>1520</v>
      </c>
      <c r="AR24" s="293" t="s">
        <v>197</v>
      </c>
      <c r="AS24" s="362"/>
      <c r="AT24" s="294"/>
      <c r="AU24" s="295">
        <v>1</v>
      </c>
      <c r="AV24" s="296">
        <f t="shared" si="2"/>
        <v>0</v>
      </c>
      <c r="AW24" s="294" t="s">
        <v>195</v>
      </c>
      <c r="AX24" s="297"/>
      <c r="AY24" s="298"/>
      <c r="AZ24" s="299"/>
      <c r="BA24" s="174"/>
      <c r="BB24" s="174"/>
      <c r="BC24" s="174"/>
    </row>
    <row r="25" spans="1:55" ht="27.75" customHeight="1">
      <c r="A25" s="300">
        <v>20</v>
      </c>
      <c r="B25" s="287">
        <v>45016</v>
      </c>
      <c r="C25" s="222" t="s">
        <v>198</v>
      </c>
      <c r="D25" s="222" t="s">
        <v>199</v>
      </c>
      <c r="E25" s="222" t="s">
        <v>200</v>
      </c>
      <c r="F25" s="349" t="s">
        <v>123</v>
      </c>
      <c r="G25" s="249" t="s">
        <v>210</v>
      </c>
      <c r="H25" s="244" t="s">
        <v>129</v>
      </c>
      <c r="I25" s="243" t="s">
        <v>211</v>
      </c>
      <c r="J25" s="288" t="s">
        <v>213</v>
      </c>
      <c r="K25" s="272" t="s">
        <v>97</v>
      </c>
      <c r="L25" s="246" t="s">
        <v>159</v>
      </c>
      <c r="M25" s="243" t="s">
        <v>156</v>
      </c>
      <c r="N25" s="243" t="s">
        <v>97</v>
      </c>
      <c r="O25" s="243" t="s">
        <v>204</v>
      </c>
      <c r="P25" s="247"/>
      <c r="Q25" s="289" t="s">
        <v>289</v>
      </c>
      <c r="R25" s="154">
        <f>0</f>
        <v>0</v>
      </c>
      <c r="S25" s="155">
        <f>0</f>
        <v>0</v>
      </c>
      <c r="T25" s="155">
        <f>0</f>
        <v>0</v>
      </c>
      <c r="U25" s="158">
        <f>0</f>
        <v>0</v>
      </c>
      <c r="V25" s="158">
        <f>0</f>
        <v>0</v>
      </c>
      <c r="W25" s="263">
        <v>1</v>
      </c>
      <c r="X25" s="155">
        <f>0</f>
        <v>0</v>
      </c>
      <c r="Y25" s="155">
        <f>0</f>
        <v>0</v>
      </c>
      <c r="Z25" s="155">
        <f>0</f>
        <v>0</v>
      </c>
      <c r="AA25" s="155">
        <f>0</f>
        <v>0</v>
      </c>
      <c r="AB25" s="155">
        <f>0</f>
        <v>0</v>
      </c>
      <c r="AC25" s="155">
        <f>0</f>
        <v>0</v>
      </c>
      <c r="AD25" s="155">
        <f>0</f>
        <v>0</v>
      </c>
      <c r="AE25" s="155">
        <f>0</f>
        <v>0</v>
      </c>
      <c r="AF25" s="155">
        <f>0</f>
        <v>0</v>
      </c>
      <c r="AG25" s="155">
        <f>0</f>
        <v>0</v>
      </c>
      <c r="AH25" s="155">
        <f>0</f>
        <v>0</v>
      </c>
      <c r="AI25" s="155">
        <f>0</f>
        <v>0</v>
      </c>
      <c r="AJ25" s="155">
        <f>0</f>
        <v>0</v>
      </c>
      <c r="AK25" s="155">
        <f>0</f>
        <v>0</v>
      </c>
      <c r="AL25" s="219">
        <f t="shared" si="0"/>
        <v>1</v>
      </c>
      <c r="AM25" s="103">
        <f>0</f>
        <v>0</v>
      </c>
      <c r="AN25" s="220">
        <f t="shared" si="1"/>
        <v>1</v>
      </c>
      <c r="AO25" s="290">
        <v>45034</v>
      </c>
      <c r="AP25" s="291" t="s">
        <v>192</v>
      </c>
      <c r="AQ25" s="292" t="s">
        <v>1520</v>
      </c>
      <c r="AR25" s="293" t="s">
        <v>197</v>
      </c>
      <c r="AS25" s="362"/>
      <c r="AT25" s="294"/>
      <c r="AU25" s="295">
        <v>1</v>
      </c>
      <c r="AV25" s="296">
        <f t="shared" si="2"/>
        <v>0</v>
      </c>
      <c r="AW25" s="294" t="s">
        <v>195</v>
      </c>
      <c r="AX25" s="297"/>
      <c r="AY25" s="298"/>
      <c r="AZ25" s="299"/>
      <c r="BA25" s="174"/>
      <c r="BB25" s="174"/>
      <c r="BC25" s="174"/>
    </row>
    <row r="26" spans="1:55" ht="28" customHeight="1">
      <c r="A26" s="300">
        <v>21</v>
      </c>
      <c r="B26" s="287">
        <v>45016</v>
      </c>
      <c r="C26" s="222" t="s">
        <v>198</v>
      </c>
      <c r="D26" s="222" t="s">
        <v>199</v>
      </c>
      <c r="E26" s="222" t="s">
        <v>200</v>
      </c>
      <c r="F26" s="349" t="s">
        <v>123</v>
      </c>
      <c r="G26" s="249" t="s">
        <v>214</v>
      </c>
      <c r="H26" s="244" t="s">
        <v>556</v>
      </c>
      <c r="I26" s="243" t="s">
        <v>215</v>
      </c>
      <c r="J26" s="288" t="s">
        <v>1280</v>
      </c>
      <c r="K26" s="272" t="s">
        <v>97</v>
      </c>
      <c r="L26" s="246" t="s">
        <v>159</v>
      </c>
      <c r="M26" s="243" t="s">
        <v>156</v>
      </c>
      <c r="N26" s="243" t="s">
        <v>97</v>
      </c>
      <c r="O26" s="243" t="s">
        <v>204</v>
      </c>
      <c r="P26" s="247"/>
      <c r="Q26" s="289" t="s">
        <v>289</v>
      </c>
      <c r="R26" s="154">
        <f>0</f>
        <v>0</v>
      </c>
      <c r="S26" s="155">
        <f>0</f>
        <v>0</v>
      </c>
      <c r="T26" s="155">
        <f>0</f>
        <v>0</v>
      </c>
      <c r="U26" s="158">
        <f>0</f>
        <v>0</v>
      </c>
      <c r="V26" s="158">
        <f>0</f>
        <v>0</v>
      </c>
      <c r="W26" s="263">
        <v>1</v>
      </c>
      <c r="X26" s="155">
        <f>0</f>
        <v>0</v>
      </c>
      <c r="Y26" s="155">
        <f>0</f>
        <v>0</v>
      </c>
      <c r="Z26" s="155">
        <f>0</f>
        <v>0</v>
      </c>
      <c r="AA26" s="155">
        <f>0</f>
        <v>0</v>
      </c>
      <c r="AB26" s="155">
        <f>0</f>
        <v>0</v>
      </c>
      <c r="AC26" s="155">
        <f>0</f>
        <v>0</v>
      </c>
      <c r="AD26" s="155">
        <f>0</f>
        <v>0</v>
      </c>
      <c r="AE26" s="155">
        <f>0</f>
        <v>0</v>
      </c>
      <c r="AF26" s="155">
        <f>0</f>
        <v>0</v>
      </c>
      <c r="AG26" s="155">
        <f>0</f>
        <v>0</v>
      </c>
      <c r="AH26" s="155">
        <f>0</f>
        <v>0</v>
      </c>
      <c r="AI26" s="155">
        <f>0</f>
        <v>0</v>
      </c>
      <c r="AJ26" s="155">
        <f>0</f>
        <v>0</v>
      </c>
      <c r="AK26" s="155">
        <f>0</f>
        <v>0</v>
      </c>
      <c r="AL26" s="219">
        <f t="shared" si="0"/>
        <v>1</v>
      </c>
      <c r="AM26" s="103">
        <f>0</f>
        <v>0</v>
      </c>
      <c r="AN26" s="220">
        <f t="shared" si="1"/>
        <v>1</v>
      </c>
      <c r="AO26" s="290">
        <v>45034</v>
      </c>
      <c r="AP26" s="291" t="s">
        <v>192</v>
      </c>
      <c r="AQ26" s="292" t="s">
        <v>1520</v>
      </c>
      <c r="AR26" s="293" t="s">
        <v>197</v>
      </c>
      <c r="AS26" s="362"/>
      <c r="AT26" s="294"/>
      <c r="AU26" s="295">
        <v>1</v>
      </c>
      <c r="AV26" s="296">
        <f t="shared" si="2"/>
        <v>0</v>
      </c>
      <c r="AW26" s="294" t="s">
        <v>195</v>
      </c>
      <c r="AX26" s="297"/>
      <c r="AY26" s="298"/>
      <c r="AZ26" s="299"/>
      <c r="BA26" s="174"/>
      <c r="BB26" s="174"/>
      <c r="BC26" s="174"/>
    </row>
    <row r="27" spans="1:55" ht="28" customHeight="1">
      <c r="A27" s="300">
        <v>22</v>
      </c>
      <c r="B27" s="287">
        <v>45016</v>
      </c>
      <c r="C27" s="222" t="s">
        <v>198</v>
      </c>
      <c r="D27" s="222" t="s">
        <v>199</v>
      </c>
      <c r="E27" s="222" t="s">
        <v>200</v>
      </c>
      <c r="F27" s="349" t="s">
        <v>123</v>
      </c>
      <c r="G27" s="249" t="s">
        <v>216</v>
      </c>
      <c r="H27" s="244" t="s">
        <v>129</v>
      </c>
      <c r="I27" s="243" t="s">
        <v>217</v>
      </c>
      <c r="J27" s="288" t="s">
        <v>218</v>
      </c>
      <c r="K27" s="272" t="s">
        <v>97</v>
      </c>
      <c r="L27" s="246" t="s">
        <v>159</v>
      </c>
      <c r="M27" s="243" t="s">
        <v>156</v>
      </c>
      <c r="N27" s="243" t="s">
        <v>97</v>
      </c>
      <c r="O27" s="243" t="s">
        <v>204</v>
      </c>
      <c r="P27" s="247"/>
      <c r="Q27" s="289" t="s">
        <v>289</v>
      </c>
      <c r="R27" s="154">
        <f>0</f>
        <v>0</v>
      </c>
      <c r="S27" s="155">
        <f>0</f>
        <v>0</v>
      </c>
      <c r="T27" s="155">
        <f>0</f>
        <v>0</v>
      </c>
      <c r="U27" s="158">
        <f>0</f>
        <v>0</v>
      </c>
      <c r="V27" s="158">
        <f>0</f>
        <v>0</v>
      </c>
      <c r="W27" s="263">
        <v>3</v>
      </c>
      <c r="X27" s="155">
        <f>0</f>
        <v>0</v>
      </c>
      <c r="Y27" s="155">
        <f>0</f>
        <v>0</v>
      </c>
      <c r="Z27" s="155">
        <f>0</f>
        <v>0</v>
      </c>
      <c r="AA27" s="155">
        <f>0</f>
        <v>0</v>
      </c>
      <c r="AB27" s="155">
        <f>0</f>
        <v>0</v>
      </c>
      <c r="AC27" s="155">
        <f>0</f>
        <v>0</v>
      </c>
      <c r="AD27" s="155">
        <f>0</f>
        <v>0</v>
      </c>
      <c r="AE27" s="155">
        <f>0</f>
        <v>0</v>
      </c>
      <c r="AF27" s="155">
        <f>0</f>
        <v>0</v>
      </c>
      <c r="AG27" s="155">
        <f>0</f>
        <v>0</v>
      </c>
      <c r="AH27" s="155">
        <f>0</f>
        <v>0</v>
      </c>
      <c r="AI27" s="155">
        <f>0</f>
        <v>0</v>
      </c>
      <c r="AJ27" s="155">
        <f>0</f>
        <v>0</v>
      </c>
      <c r="AK27" s="155">
        <f>0</f>
        <v>0</v>
      </c>
      <c r="AL27" s="219">
        <f t="shared" si="0"/>
        <v>3</v>
      </c>
      <c r="AM27" s="103">
        <f>0</f>
        <v>0</v>
      </c>
      <c r="AN27" s="220">
        <f t="shared" si="1"/>
        <v>3</v>
      </c>
      <c r="AO27" s="290">
        <v>45034</v>
      </c>
      <c r="AP27" s="291" t="s">
        <v>192</v>
      </c>
      <c r="AQ27" s="292" t="s">
        <v>1520</v>
      </c>
      <c r="AR27" s="293" t="s">
        <v>197</v>
      </c>
      <c r="AS27" s="362"/>
      <c r="AT27" s="294"/>
      <c r="AU27" s="295">
        <v>3</v>
      </c>
      <c r="AV27" s="296">
        <f t="shared" si="2"/>
        <v>0</v>
      </c>
      <c r="AW27" s="294" t="s">
        <v>195</v>
      </c>
      <c r="AX27" s="297"/>
      <c r="AY27" s="298"/>
      <c r="AZ27" s="299"/>
      <c r="BA27" s="174"/>
      <c r="BB27" s="174"/>
      <c r="BC27" s="174"/>
    </row>
    <row r="28" spans="1:55" ht="28" customHeight="1">
      <c r="A28" s="300">
        <v>23</v>
      </c>
      <c r="B28" s="287">
        <v>45016</v>
      </c>
      <c r="C28" s="222" t="s">
        <v>198</v>
      </c>
      <c r="D28" s="222" t="s">
        <v>199</v>
      </c>
      <c r="E28" s="222" t="s">
        <v>200</v>
      </c>
      <c r="F28" s="349" t="s">
        <v>123</v>
      </c>
      <c r="G28" s="249" t="s">
        <v>219</v>
      </c>
      <c r="H28" s="244" t="s">
        <v>556</v>
      </c>
      <c r="I28" s="243" t="s">
        <v>220</v>
      </c>
      <c r="J28" s="288" t="s">
        <v>1283</v>
      </c>
      <c r="K28" s="272" t="s">
        <v>97</v>
      </c>
      <c r="L28" s="246" t="s">
        <v>176</v>
      </c>
      <c r="M28" s="243" t="s">
        <v>147</v>
      </c>
      <c r="N28" s="243" t="s">
        <v>97</v>
      </c>
      <c r="O28" s="243" t="s">
        <v>177</v>
      </c>
      <c r="P28" s="247"/>
      <c r="Q28" s="289" t="s">
        <v>289</v>
      </c>
      <c r="R28" s="154">
        <f>0</f>
        <v>0</v>
      </c>
      <c r="S28" s="155">
        <f>0</f>
        <v>0</v>
      </c>
      <c r="T28" s="155">
        <f>0</f>
        <v>0</v>
      </c>
      <c r="U28" s="158">
        <f>0</f>
        <v>0</v>
      </c>
      <c r="V28" s="158">
        <f>0</f>
        <v>0</v>
      </c>
      <c r="W28" s="263">
        <v>5</v>
      </c>
      <c r="X28" s="155">
        <f>0</f>
        <v>0</v>
      </c>
      <c r="Y28" s="155">
        <f>0</f>
        <v>0</v>
      </c>
      <c r="Z28" s="155">
        <f>0</f>
        <v>0</v>
      </c>
      <c r="AA28" s="155">
        <f>0</f>
        <v>0</v>
      </c>
      <c r="AB28" s="155">
        <f>0</f>
        <v>0</v>
      </c>
      <c r="AC28" s="155">
        <f>0</f>
        <v>0</v>
      </c>
      <c r="AD28" s="155">
        <f>0</f>
        <v>0</v>
      </c>
      <c r="AE28" s="155">
        <f>0</f>
        <v>0</v>
      </c>
      <c r="AF28" s="155">
        <f>0</f>
        <v>0</v>
      </c>
      <c r="AG28" s="155">
        <f>0</f>
        <v>0</v>
      </c>
      <c r="AH28" s="155">
        <f>0</f>
        <v>0</v>
      </c>
      <c r="AI28" s="155">
        <f>0</f>
        <v>0</v>
      </c>
      <c r="AJ28" s="155">
        <f>0</f>
        <v>0</v>
      </c>
      <c r="AK28" s="155">
        <f>0</f>
        <v>0</v>
      </c>
      <c r="AL28" s="219">
        <f t="shared" si="0"/>
        <v>5</v>
      </c>
      <c r="AM28" s="103">
        <f>0</f>
        <v>0</v>
      </c>
      <c r="AN28" s="220">
        <f t="shared" si="1"/>
        <v>5</v>
      </c>
      <c r="AO28" s="348">
        <v>45034</v>
      </c>
      <c r="AP28" s="296" t="s">
        <v>192</v>
      </c>
      <c r="AQ28" s="292" t="s">
        <v>1522</v>
      </c>
      <c r="AR28" s="293" t="s">
        <v>194</v>
      </c>
      <c r="AS28" s="301">
        <v>45078</v>
      </c>
      <c r="AT28" s="294"/>
      <c r="AU28" s="295">
        <v>5</v>
      </c>
      <c r="AV28" s="296">
        <f t="shared" si="2"/>
        <v>0</v>
      </c>
      <c r="AW28" s="294" t="s">
        <v>195</v>
      </c>
      <c r="AX28" s="297"/>
      <c r="AY28" s="298"/>
      <c r="AZ28" s="299"/>
      <c r="BA28" s="174"/>
      <c r="BB28" s="174"/>
      <c r="BC28" s="174"/>
    </row>
    <row r="29" spans="1:55" ht="28" customHeight="1">
      <c r="A29" s="300">
        <v>24</v>
      </c>
      <c r="B29" s="287">
        <v>45016</v>
      </c>
      <c r="C29" s="222" t="s">
        <v>198</v>
      </c>
      <c r="D29" s="222" t="s">
        <v>199</v>
      </c>
      <c r="E29" s="222" t="s">
        <v>200</v>
      </c>
      <c r="F29" s="349" t="s">
        <v>123</v>
      </c>
      <c r="G29" s="249" t="s">
        <v>221</v>
      </c>
      <c r="H29" s="244" t="s">
        <v>129</v>
      </c>
      <c r="I29" s="243" t="s">
        <v>222</v>
      </c>
      <c r="J29" s="288" t="s">
        <v>223</v>
      </c>
      <c r="K29" s="272" t="s">
        <v>97</v>
      </c>
      <c r="L29" s="272" t="s">
        <v>165</v>
      </c>
      <c r="M29" s="243" t="s">
        <v>147</v>
      </c>
      <c r="N29" s="243" t="s">
        <v>97</v>
      </c>
      <c r="O29" s="243" t="s">
        <v>224</v>
      </c>
      <c r="P29" s="247"/>
      <c r="Q29" s="289" t="s">
        <v>289</v>
      </c>
      <c r="R29" s="154">
        <f>0</f>
        <v>0</v>
      </c>
      <c r="S29" s="155">
        <f>0</f>
        <v>0</v>
      </c>
      <c r="T29" s="155">
        <f>0</f>
        <v>0</v>
      </c>
      <c r="U29" s="158">
        <f>0</f>
        <v>0</v>
      </c>
      <c r="V29" s="158">
        <f>0</f>
        <v>0</v>
      </c>
      <c r="W29" s="263">
        <v>4</v>
      </c>
      <c r="X29" s="155">
        <f>0</f>
        <v>0</v>
      </c>
      <c r="Y29" s="155">
        <f>0</f>
        <v>0</v>
      </c>
      <c r="Z29" s="155">
        <f>0</f>
        <v>0</v>
      </c>
      <c r="AA29" s="155">
        <f>0</f>
        <v>0</v>
      </c>
      <c r="AB29" s="155">
        <f>0</f>
        <v>0</v>
      </c>
      <c r="AC29" s="155">
        <f>0</f>
        <v>0</v>
      </c>
      <c r="AD29" s="155">
        <f>0</f>
        <v>0</v>
      </c>
      <c r="AE29" s="155">
        <f>0</f>
        <v>0</v>
      </c>
      <c r="AF29" s="155">
        <f>0</f>
        <v>0</v>
      </c>
      <c r="AG29" s="155">
        <f>0</f>
        <v>0</v>
      </c>
      <c r="AH29" s="155">
        <f>0</f>
        <v>0</v>
      </c>
      <c r="AI29" s="155">
        <f>0</f>
        <v>0</v>
      </c>
      <c r="AJ29" s="155">
        <f>0</f>
        <v>0</v>
      </c>
      <c r="AK29" s="155">
        <f>0</f>
        <v>0</v>
      </c>
      <c r="AL29" s="219">
        <f t="shared" si="0"/>
        <v>4</v>
      </c>
      <c r="AM29" s="103">
        <f>0</f>
        <v>0</v>
      </c>
      <c r="AN29" s="220">
        <f t="shared" si="1"/>
        <v>4</v>
      </c>
      <c r="AO29" s="348">
        <v>45034</v>
      </c>
      <c r="AP29" s="296" t="s">
        <v>192</v>
      </c>
      <c r="AQ29" s="292" t="s">
        <v>1522</v>
      </c>
      <c r="AR29" s="293" t="s">
        <v>194</v>
      </c>
      <c r="AS29" s="301">
        <v>45078</v>
      </c>
      <c r="AT29" s="294"/>
      <c r="AU29" s="295">
        <v>4</v>
      </c>
      <c r="AV29" s="296">
        <f t="shared" si="2"/>
        <v>0</v>
      </c>
      <c r="AW29" s="294" t="s">
        <v>195</v>
      </c>
      <c r="AX29" s="297"/>
      <c r="AY29" s="298"/>
      <c r="AZ29" s="299"/>
      <c r="BA29" s="174"/>
      <c r="BB29" s="174"/>
      <c r="BC29" s="174"/>
    </row>
    <row r="30" spans="1:55" ht="28" customHeight="1">
      <c r="A30" s="300">
        <v>25</v>
      </c>
      <c r="B30" s="287">
        <v>45016</v>
      </c>
      <c r="C30" s="222" t="s">
        <v>198</v>
      </c>
      <c r="D30" s="222" t="s">
        <v>199</v>
      </c>
      <c r="E30" s="222" t="s">
        <v>200</v>
      </c>
      <c r="F30" s="349" t="s">
        <v>123</v>
      </c>
      <c r="G30" s="249" t="s">
        <v>225</v>
      </c>
      <c r="H30" s="244" t="s">
        <v>129</v>
      </c>
      <c r="I30" s="243" t="s">
        <v>226</v>
      </c>
      <c r="J30" s="288" t="s">
        <v>227</v>
      </c>
      <c r="K30" s="272" t="s">
        <v>97</v>
      </c>
      <c r="L30" s="246" t="s">
        <v>168</v>
      </c>
      <c r="M30" s="243" t="s">
        <v>147</v>
      </c>
      <c r="N30" s="243" t="s">
        <v>97</v>
      </c>
      <c r="O30" s="243" t="s">
        <v>169</v>
      </c>
      <c r="P30" s="247"/>
      <c r="Q30" s="289" t="s">
        <v>289</v>
      </c>
      <c r="R30" s="154">
        <f>0</f>
        <v>0</v>
      </c>
      <c r="S30" s="155">
        <f>0</f>
        <v>0</v>
      </c>
      <c r="T30" s="155">
        <f>0</f>
        <v>0</v>
      </c>
      <c r="U30" s="158">
        <f>0</f>
        <v>0</v>
      </c>
      <c r="V30" s="158">
        <f>0</f>
        <v>0</v>
      </c>
      <c r="W30" s="263">
        <v>4</v>
      </c>
      <c r="X30" s="155">
        <f>0</f>
        <v>0</v>
      </c>
      <c r="Y30" s="155">
        <f>0</f>
        <v>0</v>
      </c>
      <c r="Z30" s="155">
        <f>0</f>
        <v>0</v>
      </c>
      <c r="AA30" s="155">
        <f>0</f>
        <v>0</v>
      </c>
      <c r="AB30" s="155">
        <f>0</f>
        <v>0</v>
      </c>
      <c r="AC30" s="155">
        <f>0</f>
        <v>0</v>
      </c>
      <c r="AD30" s="155">
        <f>0</f>
        <v>0</v>
      </c>
      <c r="AE30" s="155">
        <f>0</f>
        <v>0</v>
      </c>
      <c r="AF30" s="155">
        <f>0</f>
        <v>0</v>
      </c>
      <c r="AG30" s="155">
        <f>0</f>
        <v>0</v>
      </c>
      <c r="AH30" s="155">
        <f>0</f>
        <v>0</v>
      </c>
      <c r="AI30" s="155">
        <f>0</f>
        <v>0</v>
      </c>
      <c r="AJ30" s="155">
        <f>0</f>
        <v>0</v>
      </c>
      <c r="AK30" s="155">
        <f>0</f>
        <v>0</v>
      </c>
      <c r="AL30" s="219">
        <f t="shared" si="0"/>
        <v>4</v>
      </c>
      <c r="AM30" s="103">
        <f>0</f>
        <v>0</v>
      </c>
      <c r="AN30" s="220">
        <f t="shared" si="1"/>
        <v>4</v>
      </c>
      <c r="AO30" s="348">
        <v>45034</v>
      </c>
      <c r="AP30" s="296" t="s">
        <v>192</v>
      </c>
      <c r="AQ30" s="292" t="s">
        <v>1522</v>
      </c>
      <c r="AR30" s="293" t="s">
        <v>194</v>
      </c>
      <c r="AS30" s="301">
        <v>45078</v>
      </c>
      <c r="AT30" s="294"/>
      <c r="AU30" s="295">
        <v>4</v>
      </c>
      <c r="AV30" s="296">
        <f t="shared" si="2"/>
        <v>0</v>
      </c>
      <c r="AW30" s="294" t="s">
        <v>195</v>
      </c>
      <c r="AX30" s="297"/>
      <c r="AY30" s="298"/>
      <c r="AZ30" s="299"/>
      <c r="BA30" s="174"/>
      <c r="BB30" s="174"/>
      <c r="BC30" s="174"/>
    </row>
    <row r="31" spans="1:55" ht="28" customHeight="1">
      <c r="A31" s="300">
        <v>26</v>
      </c>
      <c r="B31" s="287">
        <v>45016</v>
      </c>
      <c r="C31" s="222" t="s">
        <v>198</v>
      </c>
      <c r="D31" s="222" t="s">
        <v>199</v>
      </c>
      <c r="E31" s="222" t="s">
        <v>200</v>
      </c>
      <c r="F31" s="349" t="s">
        <v>123</v>
      </c>
      <c r="G31" s="249" t="s">
        <v>228</v>
      </c>
      <c r="H31" s="244" t="s">
        <v>129</v>
      </c>
      <c r="I31" s="243" t="s">
        <v>229</v>
      </c>
      <c r="J31" s="288" t="s">
        <v>230</v>
      </c>
      <c r="K31" s="243" t="s">
        <v>97</v>
      </c>
      <c r="L31" s="272" t="s">
        <v>231</v>
      </c>
      <c r="M31" s="243" t="s">
        <v>156</v>
      </c>
      <c r="N31" s="243" t="s">
        <v>97</v>
      </c>
      <c r="O31" s="243" t="s">
        <v>204</v>
      </c>
      <c r="P31" s="247"/>
      <c r="Q31" s="289" t="s">
        <v>289</v>
      </c>
      <c r="R31" s="154">
        <f>0</f>
        <v>0</v>
      </c>
      <c r="S31" s="155">
        <f>0</f>
        <v>0</v>
      </c>
      <c r="T31" s="155">
        <f>0</f>
        <v>0</v>
      </c>
      <c r="U31" s="158">
        <f>0</f>
        <v>0</v>
      </c>
      <c r="V31" s="158">
        <f>0</f>
        <v>0</v>
      </c>
      <c r="W31" s="263">
        <v>4</v>
      </c>
      <c r="X31" s="155">
        <f>0</f>
        <v>0</v>
      </c>
      <c r="Y31" s="155">
        <f>0</f>
        <v>0</v>
      </c>
      <c r="Z31" s="155">
        <f>0</f>
        <v>0</v>
      </c>
      <c r="AA31" s="155">
        <f>0</f>
        <v>0</v>
      </c>
      <c r="AB31" s="155">
        <f>0</f>
        <v>0</v>
      </c>
      <c r="AC31" s="155">
        <f>0</f>
        <v>0</v>
      </c>
      <c r="AD31" s="155">
        <f>0</f>
        <v>0</v>
      </c>
      <c r="AE31" s="155">
        <f>0</f>
        <v>0</v>
      </c>
      <c r="AF31" s="155">
        <f>0</f>
        <v>0</v>
      </c>
      <c r="AG31" s="155">
        <f>0</f>
        <v>0</v>
      </c>
      <c r="AH31" s="155">
        <f>0</f>
        <v>0</v>
      </c>
      <c r="AI31" s="155">
        <f>0</f>
        <v>0</v>
      </c>
      <c r="AJ31" s="155">
        <f>0</f>
        <v>0</v>
      </c>
      <c r="AK31" s="155">
        <f>0</f>
        <v>0</v>
      </c>
      <c r="AL31" s="219">
        <f t="shared" si="0"/>
        <v>4</v>
      </c>
      <c r="AM31" s="103">
        <f>0</f>
        <v>0</v>
      </c>
      <c r="AN31" s="220">
        <f t="shared" si="1"/>
        <v>4</v>
      </c>
      <c r="AO31" s="290">
        <v>45034</v>
      </c>
      <c r="AP31" s="291" t="s">
        <v>192</v>
      </c>
      <c r="AQ31" s="292" t="s">
        <v>1520</v>
      </c>
      <c r="AR31" s="293" t="s">
        <v>197</v>
      </c>
      <c r="AS31" s="362"/>
      <c r="AT31" s="294"/>
      <c r="AU31" s="295">
        <v>4</v>
      </c>
      <c r="AV31" s="296">
        <f t="shared" si="2"/>
        <v>0</v>
      </c>
      <c r="AW31" s="294" t="s">
        <v>195</v>
      </c>
      <c r="AX31" s="297"/>
      <c r="AY31" s="298"/>
      <c r="AZ31" s="299"/>
      <c r="BA31" s="174"/>
      <c r="BB31" s="174"/>
      <c r="BC31" s="174"/>
    </row>
    <row r="32" spans="1:55" ht="28" customHeight="1">
      <c r="A32" s="300">
        <v>27</v>
      </c>
      <c r="B32" s="287">
        <v>45016</v>
      </c>
      <c r="C32" s="222" t="s">
        <v>198</v>
      </c>
      <c r="D32" s="222" t="s">
        <v>199</v>
      </c>
      <c r="E32" s="222" t="s">
        <v>200</v>
      </c>
      <c r="F32" s="349" t="s">
        <v>123</v>
      </c>
      <c r="G32" s="249" t="s">
        <v>232</v>
      </c>
      <c r="H32" s="244" t="s">
        <v>129</v>
      </c>
      <c r="I32" s="243" t="s">
        <v>226</v>
      </c>
      <c r="J32" s="288" t="s">
        <v>233</v>
      </c>
      <c r="K32" s="243" t="s">
        <v>97</v>
      </c>
      <c r="L32" s="272" t="s">
        <v>234</v>
      </c>
      <c r="M32" s="243" t="s">
        <v>156</v>
      </c>
      <c r="N32" s="243" t="s">
        <v>97</v>
      </c>
      <c r="O32" s="243" t="s">
        <v>292</v>
      </c>
      <c r="P32" s="247"/>
      <c r="Q32" s="289" t="s">
        <v>290</v>
      </c>
      <c r="R32" s="154">
        <f>0</f>
        <v>0</v>
      </c>
      <c r="S32" s="155">
        <f>0</f>
        <v>0</v>
      </c>
      <c r="T32" s="155">
        <f>0</f>
        <v>0</v>
      </c>
      <c r="U32" s="158">
        <f>0</f>
        <v>0</v>
      </c>
      <c r="V32" s="158">
        <f>0</f>
        <v>0</v>
      </c>
      <c r="W32" s="263">
        <v>1</v>
      </c>
      <c r="X32" s="155">
        <f>0</f>
        <v>0</v>
      </c>
      <c r="Y32" s="155">
        <f>0</f>
        <v>0</v>
      </c>
      <c r="Z32" s="155">
        <f>0</f>
        <v>0</v>
      </c>
      <c r="AA32" s="155">
        <f>0</f>
        <v>0</v>
      </c>
      <c r="AB32" s="155">
        <f>0</f>
        <v>0</v>
      </c>
      <c r="AC32" s="155">
        <f>0</f>
        <v>0</v>
      </c>
      <c r="AD32" s="155">
        <f>0</f>
        <v>0</v>
      </c>
      <c r="AE32" s="155">
        <f>0</f>
        <v>0</v>
      </c>
      <c r="AF32" s="155">
        <f>0</f>
        <v>0</v>
      </c>
      <c r="AG32" s="155">
        <f>0</f>
        <v>0</v>
      </c>
      <c r="AH32" s="155">
        <f>0</f>
        <v>0</v>
      </c>
      <c r="AI32" s="155">
        <f>0</f>
        <v>0</v>
      </c>
      <c r="AJ32" s="155">
        <f>0</f>
        <v>0</v>
      </c>
      <c r="AK32" s="155">
        <f>0</f>
        <v>0</v>
      </c>
      <c r="AL32" s="219">
        <f t="shared" si="0"/>
        <v>1</v>
      </c>
      <c r="AM32" s="103">
        <f>0</f>
        <v>0</v>
      </c>
      <c r="AN32" s="220">
        <f t="shared" si="1"/>
        <v>1</v>
      </c>
      <c r="AO32" s="290">
        <v>45034</v>
      </c>
      <c r="AP32" s="291" t="s">
        <v>192</v>
      </c>
      <c r="AQ32" s="292" t="s">
        <v>1520</v>
      </c>
      <c r="AR32" s="293" t="s">
        <v>197</v>
      </c>
      <c r="AS32" s="362"/>
      <c r="AT32" s="294"/>
      <c r="AU32" s="295">
        <v>1</v>
      </c>
      <c r="AV32" s="296">
        <f t="shared" si="2"/>
        <v>0</v>
      </c>
      <c r="AW32" s="294" t="s">
        <v>195</v>
      </c>
      <c r="AX32" s="297"/>
      <c r="AY32" s="298"/>
      <c r="AZ32" s="299"/>
      <c r="BA32" s="174"/>
      <c r="BB32" s="174"/>
      <c r="BC32" s="174"/>
    </row>
    <row r="33" spans="1:55" ht="28" customHeight="1">
      <c r="A33" s="300">
        <v>28</v>
      </c>
      <c r="B33" s="287">
        <v>45016</v>
      </c>
      <c r="C33" s="363"/>
      <c r="D33" s="363"/>
      <c r="E33" s="363"/>
      <c r="F33" s="349" t="s">
        <v>123</v>
      </c>
      <c r="G33" s="249" t="s">
        <v>232</v>
      </c>
      <c r="H33" s="244" t="s">
        <v>129</v>
      </c>
      <c r="I33" s="243" t="s">
        <v>226</v>
      </c>
      <c r="J33" s="288" t="s">
        <v>235</v>
      </c>
      <c r="K33" s="243" t="s">
        <v>97</v>
      </c>
      <c r="L33" s="272" t="s">
        <v>234</v>
      </c>
      <c r="M33" s="243" t="s">
        <v>156</v>
      </c>
      <c r="N33" s="243" t="s">
        <v>97</v>
      </c>
      <c r="O33" s="243" t="s">
        <v>292</v>
      </c>
      <c r="P33" s="247"/>
      <c r="Q33" s="289" t="s">
        <v>290</v>
      </c>
      <c r="R33" s="154">
        <f>0</f>
        <v>0</v>
      </c>
      <c r="S33" s="155">
        <f>0</f>
        <v>0</v>
      </c>
      <c r="T33" s="155">
        <f>0</f>
        <v>0</v>
      </c>
      <c r="U33" s="158">
        <f>0</f>
        <v>0</v>
      </c>
      <c r="V33" s="158">
        <f>0</f>
        <v>0</v>
      </c>
      <c r="W33" s="263">
        <v>1</v>
      </c>
      <c r="X33" s="155">
        <f>0</f>
        <v>0</v>
      </c>
      <c r="Y33" s="155">
        <f>0</f>
        <v>0</v>
      </c>
      <c r="Z33" s="155">
        <f>0</f>
        <v>0</v>
      </c>
      <c r="AA33" s="155">
        <f>0</f>
        <v>0</v>
      </c>
      <c r="AB33" s="155">
        <f>0</f>
        <v>0</v>
      </c>
      <c r="AC33" s="155">
        <f>0</f>
        <v>0</v>
      </c>
      <c r="AD33" s="155">
        <f>0</f>
        <v>0</v>
      </c>
      <c r="AE33" s="155">
        <f>0</f>
        <v>0</v>
      </c>
      <c r="AF33" s="155">
        <f>0</f>
        <v>0</v>
      </c>
      <c r="AG33" s="155">
        <f>0</f>
        <v>0</v>
      </c>
      <c r="AH33" s="155">
        <f>0</f>
        <v>0</v>
      </c>
      <c r="AI33" s="155">
        <f>0</f>
        <v>0</v>
      </c>
      <c r="AJ33" s="155">
        <f>0</f>
        <v>0</v>
      </c>
      <c r="AK33" s="155">
        <f>0</f>
        <v>0</v>
      </c>
      <c r="AL33" s="219">
        <f t="shared" si="0"/>
        <v>1</v>
      </c>
      <c r="AM33" s="103">
        <f>0</f>
        <v>0</v>
      </c>
      <c r="AN33" s="220">
        <f t="shared" si="1"/>
        <v>1</v>
      </c>
      <c r="AO33" s="290">
        <v>45034</v>
      </c>
      <c r="AP33" s="291" t="s">
        <v>192</v>
      </c>
      <c r="AQ33" s="292" t="s">
        <v>1520</v>
      </c>
      <c r="AR33" s="293" t="s">
        <v>197</v>
      </c>
      <c r="AS33" s="362"/>
      <c r="AT33" s="294"/>
      <c r="AU33" s="295">
        <v>1</v>
      </c>
      <c r="AV33" s="296">
        <f t="shared" si="2"/>
        <v>0</v>
      </c>
      <c r="AW33" s="294" t="s">
        <v>195</v>
      </c>
      <c r="AX33" s="297"/>
      <c r="AY33" s="298"/>
      <c r="AZ33" s="299"/>
      <c r="BA33" s="174"/>
      <c r="BB33" s="174"/>
      <c r="BC33" s="174"/>
    </row>
    <row r="34" spans="1:55" ht="28" customHeight="1">
      <c r="A34" s="300">
        <v>29</v>
      </c>
      <c r="B34" s="287">
        <v>45016</v>
      </c>
      <c r="C34" s="222" t="s">
        <v>198</v>
      </c>
      <c r="D34" s="222" t="s">
        <v>199</v>
      </c>
      <c r="E34" s="222" t="s">
        <v>200</v>
      </c>
      <c r="F34" s="349" t="s">
        <v>123</v>
      </c>
      <c r="G34" s="249" t="s">
        <v>236</v>
      </c>
      <c r="H34" s="244" t="s">
        <v>129</v>
      </c>
      <c r="I34" s="243" t="s">
        <v>237</v>
      </c>
      <c r="J34" s="288" t="s">
        <v>238</v>
      </c>
      <c r="K34" s="249" t="s">
        <v>97</v>
      </c>
      <c r="L34" s="272" t="s">
        <v>146</v>
      </c>
      <c r="M34" s="251" t="s">
        <v>147</v>
      </c>
      <c r="N34" s="251" t="s">
        <v>97</v>
      </c>
      <c r="O34" s="251" t="s">
        <v>148</v>
      </c>
      <c r="P34" s="254"/>
      <c r="Q34" s="289" t="s">
        <v>290</v>
      </c>
      <c r="R34" s="154">
        <f>0</f>
        <v>0</v>
      </c>
      <c r="S34" s="155">
        <f>0</f>
        <v>0</v>
      </c>
      <c r="T34" s="155">
        <f>0</f>
        <v>0</v>
      </c>
      <c r="U34" s="158">
        <f>0</f>
        <v>0</v>
      </c>
      <c r="V34" s="158">
        <f>0</f>
        <v>0</v>
      </c>
      <c r="W34" s="263">
        <v>1</v>
      </c>
      <c r="X34" s="155">
        <f>0</f>
        <v>0</v>
      </c>
      <c r="Y34" s="155">
        <f>0</f>
        <v>0</v>
      </c>
      <c r="Z34" s="155">
        <f>0</f>
        <v>0</v>
      </c>
      <c r="AA34" s="155">
        <f>0</f>
        <v>0</v>
      </c>
      <c r="AB34" s="155">
        <f>0</f>
        <v>0</v>
      </c>
      <c r="AC34" s="155">
        <f>0</f>
        <v>0</v>
      </c>
      <c r="AD34" s="155">
        <f>0</f>
        <v>0</v>
      </c>
      <c r="AE34" s="155">
        <f>0</f>
        <v>0</v>
      </c>
      <c r="AF34" s="155">
        <f>0</f>
        <v>0</v>
      </c>
      <c r="AG34" s="155">
        <f>0</f>
        <v>0</v>
      </c>
      <c r="AH34" s="155">
        <f>0</f>
        <v>0</v>
      </c>
      <c r="AI34" s="155">
        <f>0</f>
        <v>0</v>
      </c>
      <c r="AJ34" s="155">
        <f>0</f>
        <v>0</v>
      </c>
      <c r="AK34" s="155">
        <f>0</f>
        <v>0</v>
      </c>
      <c r="AL34" s="219">
        <f t="shared" si="0"/>
        <v>1</v>
      </c>
      <c r="AM34" s="103">
        <f>0</f>
        <v>0</v>
      </c>
      <c r="AN34" s="220">
        <f t="shared" si="1"/>
        <v>1</v>
      </c>
      <c r="AO34" s="348">
        <v>45034</v>
      </c>
      <c r="AP34" s="296" t="s">
        <v>192</v>
      </c>
      <c r="AQ34" s="292" t="s">
        <v>1522</v>
      </c>
      <c r="AR34" s="293" t="s">
        <v>194</v>
      </c>
      <c r="AS34" s="301">
        <v>45078</v>
      </c>
      <c r="AT34" s="302"/>
      <c r="AU34" s="303">
        <v>1</v>
      </c>
      <c r="AV34" s="304">
        <f t="shared" si="2"/>
        <v>0</v>
      </c>
      <c r="AW34" s="302" t="s">
        <v>195</v>
      </c>
      <c r="AX34" s="305"/>
      <c r="AY34" s="306"/>
      <c r="AZ34" s="299"/>
      <c r="BA34" s="174"/>
      <c r="BB34" s="174"/>
      <c r="BC34" s="174"/>
    </row>
    <row r="35" spans="1:55" ht="28" customHeight="1">
      <c r="A35" s="300">
        <v>31</v>
      </c>
      <c r="B35" s="287">
        <v>45016</v>
      </c>
      <c r="C35" s="222" t="s">
        <v>198</v>
      </c>
      <c r="D35" s="222" t="s">
        <v>199</v>
      </c>
      <c r="E35" s="222" t="s">
        <v>200</v>
      </c>
      <c r="F35" s="349" t="s">
        <v>123</v>
      </c>
      <c r="G35" s="249" t="s">
        <v>239</v>
      </c>
      <c r="H35" s="244" t="s">
        <v>129</v>
      </c>
      <c r="I35" s="243" t="s">
        <v>240</v>
      </c>
      <c r="J35" s="288" t="s">
        <v>241</v>
      </c>
      <c r="K35" s="249" t="s">
        <v>97</v>
      </c>
      <c r="L35" s="272" t="s">
        <v>146</v>
      </c>
      <c r="M35" s="251" t="s">
        <v>147</v>
      </c>
      <c r="N35" s="251" t="s">
        <v>97</v>
      </c>
      <c r="O35" s="251" t="s">
        <v>148</v>
      </c>
      <c r="P35" s="254"/>
      <c r="Q35" s="289" t="s">
        <v>290</v>
      </c>
      <c r="R35" s="154">
        <f>0</f>
        <v>0</v>
      </c>
      <c r="S35" s="155">
        <f>0</f>
        <v>0</v>
      </c>
      <c r="T35" s="155">
        <f>0</f>
        <v>0</v>
      </c>
      <c r="U35" s="158">
        <f>0</f>
        <v>0</v>
      </c>
      <c r="V35" s="158">
        <f>0</f>
        <v>0</v>
      </c>
      <c r="W35" s="263">
        <v>1</v>
      </c>
      <c r="X35" s="155">
        <f>0</f>
        <v>0</v>
      </c>
      <c r="Y35" s="155">
        <f>0</f>
        <v>0</v>
      </c>
      <c r="Z35" s="155">
        <f>0</f>
        <v>0</v>
      </c>
      <c r="AA35" s="155">
        <f>0</f>
        <v>0</v>
      </c>
      <c r="AB35" s="155">
        <f>0</f>
        <v>0</v>
      </c>
      <c r="AC35" s="155">
        <f>0</f>
        <v>0</v>
      </c>
      <c r="AD35" s="155">
        <f>0</f>
        <v>0</v>
      </c>
      <c r="AE35" s="155">
        <f>0</f>
        <v>0</v>
      </c>
      <c r="AF35" s="155">
        <f>0</f>
        <v>0</v>
      </c>
      <c r="AG35" s="155">
        <f>0</f>
        <v>0</v>
      </c>
      <c r="AH35" s="155">
        <f>0</f>
        <v>0</v>
      </c>
      <c r="AI35" s="155">
        <f>0</f>
        <v>0</v>
      </c>
      <c r="AJ35" s="155">
        <f>0</f>
        <v>0</v>
      </c>
      <c r="AK35" s="155">
        <f>0</f>
        <v>0</v>
      </c>
      <c r="AL35" s="219">
        <f t="shared" si="0"/>
        <v>1</v>
      </c>
      <c r="AM35" s="103">
        <f>0</f>
        <v>0</v>
      </c>
      <c r="AN35" s="220">
        <f t="shared" si="1"/>
        <v>1</v>
      </c>
      <c r="AO35" s="348">
        <v>45034</v>
      </c>
      <c r="AP35" s="296" t="s">
        <v>192</v>
      </c>
      <c r="AQ35" s="292" t="s">
        <v>1522</v>
      </c>
      <c r="AR35" s="293" t="s">
        <v>194</v>
      </c>
      <c r="AS35" s="301">
        <v>45078</v>
      </c>
      <c r="AT35" s="302"/>
      <c r="AU35" s="303">
        <v>1</v>
      </c>
      <c r="AV35" s="304">
        <f t="shared" si="2"/>
        <v>0</v>
      </c>
      <c r="AW35" s="302" t="s">
        <v>195</v>
      </c>
      <c r="AX35" s="305"/>
      <c r="AY35" s="306"/>
      <c r="AZ35" s="299"/>
      <c r="BA35" s="174"/>
      <c r="BB35" s="174"/>
      <c r="BC35" s="174"/>
    </row>
    <row r="36" spans="1:55" ht="28" customHeight="1">
      <c r="A36" s="300">
        <v>32</v>
      </c>
      <c r="B36" s="287">
        <v>45016</v>
      </c>
      <c r="C36" s="222" t="s">
        <v>198</v>
      </c>
      <c r="D36" s="222" t="s">
        <v>199</v>
      </c>
      <c r="E36" s="222" t="s">
        <v>200</v>
      </c>
      <c r="F36" s="349" t="s">
        <v>123</v>
      </c>
      <c r="G36" s="249" t="s">
        <v>242</v>
      </c>
      <c r="H36" s="244" t="s">
        <v>129</v>
      </c>
      <c r="I36" s="243" t="s">
        <v>243</v>
      </c>
      <c r="J36" s="288" t="s">
        <v>244</v>
      </c>
      <c r="K36" s="249" t="s">
        <v>97</v>
      </c>
      <c r="L36" s="272" t="s">
        <v>165</v>
      </c>
      <c r="M36" s="251" t="s">
        <v>147</v>
      </c>
      <c r="N36" s="251" t="s">
        <v>97</v>
      </c>
      <c r="O36" s="251" t="s">
        <v>177</v>
      </c>
      <c r="P36" s="254"/>
      <c r="Q36" s="289" t="s">
        <v>290</v>
      </c>
      <c r="R36" s="154">
        <f>0</f>
        <v>0</v>
      </c>
      <c r="S36" s="155">
        <f>0</f>
        <v>0</v>
      </c>
      <c r="T36" s="155">
        <f>0</f>
        <v>0</v>
      </c>
      <c r="U36" s="158">
        <f>0</f>
        <v>0</v>
      </c>
      <c r="V36" s="158">
        <f>0</f>
        <v>0</v>
      </c>
      <c r="W36" s="263">
        <v>1</v>
      </c>
      <c r="X36" s="155">
        <f>0</f>
        <v>0</v>
      </c>
      <c r="Y36" s="155">
        <f>0</f>
        <v>0</v>
      </c>
      <c r="Z36" s="155">
        <f>0</f>
        <v>0</v>
      </c>
      <c r="AA36" s="155">
        <f>0</f>
        <v>0</v>
      </c>
      <c r="AB36" s="155">
        <f>0</f>
        <v>0</v>
      </c>
      <c r="AC36" s="155">
        <f>0</f>
        <v>0</v>
      </c>
      <c r="AD36" s="155">
        <f>0</f>
        <v>0</v>
      </c>
      <c r="AE36" s="155">
        <f>0</f>
        <v>0</v>
      </c>
      <c r="AF36" s="155">
        <f>0</f>
        <v>0</v>
      </c>
      <c r="AG36" s="155">
        <f>0</f>
        <v>0</v>
      </c>
      <c r="AH36" s="155">
        <f>0</f>
        <v>0</v>
      </c>
      <c r="AI36" s="155">
        <f>0</f>
        <v>0</v>
      </c>
      <c r="AJ36" s="155">
        <f>0</f>
        <v>0</v>
      </c>
      <c r="AK36" s="155">
        <f>0</f>
        <v>0</v>
      </c>
      <c r="AL36" s="219">
        <f t="shared" si="0"/>
        <v>1</v>
      </c>
      <c r="AM36" s="103">
        <f>0</f>
        <v>0</v>
      </c>
      <c r="AN36" s="220">
        <f t="shared" si="1"/>
        <v>1</v>
      </c>
      <c r="AO36" s="348">
        <v>45034</v>
      </c>
      <c r="AP36" s="296" t="s">
        <v>192</v>
      </c>
      <c r="AQ36" s="292" t="s">
        <v>1522</v>
      </c>
      <c r="AR36" s="293" t="s">
        <v>194</v>
      </c>
      <c r="AS36" s="301">
        <v>45078</v>
      </c>
      <c r="AT36" s="302"/>
      <c r="AU36" s="303">
        <v>1</v>
      </c>
      <c r="AV36" s="304">
        <f t="shared" si="2"/>
        <v>0</v>
      </c>
      <c r="AW36" s="302" t="s">
        <v>195</v>
      </c>
      <c r="AX36" s="305"/>
      <c r="AY36" s="306"/>
      <c r="AZ36" s="299"/>
      <c r="BA36" s="174"/>
      <c r="BB36" s="174"/>
      <c r="BC36" s="174"/>
    </row>
    <row r="37" spans="1:55" ht="28" customHeight="1">
      <c r="A37" s="300">
        <v>33</v>
      </c>
      <c r="B37" s="287">
        <v>45016</v>
      </c>
      <c r="C37" s="222" t="s">
        <v>198</v>
      </c>
      <c r="D37" s="222" t="s">
        <v>199</v>
      </c>
      <c r="E37" s="222" t="s">
        <v>200</v>
      </c>
      <c r="F37" s="349" t="s">
        <v>123</v>
      </c>
      <c r="G37" s="249" t="s">
        <v>245</v>
      </c>
      <c r="H37" s="244" t="s">
        <v>129</v>
      </c>
      <c r="I37" s="243" t="s">
        <v>246</v>
      </c>
      <c r="J37" s="288" t="s">
        <v>247</v>
      </c>
      <c r="K37" s="249" t="s">
        <v>97</v>
      </c>
      <c r="L37" s="272" t="s">
        <v>159</v>
      </c>
      <c r="M37" s="251" t="s">
        <v>156</v>
      </c>
      <c r="N37" s="251" t="s">
        <v>97</v>
      </c>
      <c r="O37" s="251" t="s">
        <v>204</v>
      </c>
      <c r="P37" s="254"/>
      <c r="Q37" s="289" t="s">
        <v>291</v>
      </c>
      <c r="R37" s="154">
        <f>0</f>
        <v>0</v>
      </c>
      <c r="S37" s="155">
        <f>0</f>
        <v>0</v>
      </c>
      <c r="T37" s="155">
        <f>0</f>
        <v>0</v>
      </c>
      <c r="U37" s="158">
        <f>0</f>
        <v>0</v>
      </c>
      <c r="V37" s="158">
        <f>0</f>
        <v>0</v>
      </c>
      <c r="W37" s="263">
        <v>1</v>
      </c>
      <c r="X37" s="155">
        <f>0</f>
        <v>0</v>
      </c>
      <c r="Y37" s="155">
        <f>0</f>
        <v>0</v>
      </c>
      <c r="Z37" s="155">
        <f>0</f>
        <v>0</v>
      </c>
      <c r="AA37" s="155">
        <f>0</f>
        <v>0</v>
      </c>
      <c r="AB37" s="155">
        <f>0</f>
        <v>0</v>
      </c>
      <c r="AC37" s="155">
        <f>0</f>
        <v>0</v>
      </c>
      <c r="AD37" s="155">
        <f>0</f>
        <v>0</v>
      </c>
      <c r="AE37" s="155">
        <f>0</f>
        <v>0</v>
      </c>
      <c r="AF37" s="155">
        <f>0</f>
        <v>0</v>
      </c>
      <c r="AG37" s="155">
        <f>0</f>
        <v>0</v>
      </c>
      <c r="AH37" s="155">
        <f>0</f>
        <v>0</v>
      </c>
      <c r="AI37" s="155">
        <f>0</f>
        <v>0</v>
      </c>
      <c r="AJ37" s="155">
        <f>0</f>
        <v>0</v>
      </c>
      <c r="AK37" s="155">
        <f>0</f>
        <v>0</v>
      </c>
      <c r="AL37" s="219">
        <f t="shared" si="0"/>
        <v>1</v>
      </c>
      <c r="AM37" s="103">
        <f>0</f>
        <v>0</v>
      </c>
      <c r="AN37" s="220">
        <f t="shared" si="1"/>
        <v>1</v>
      </c>
      <c r="AO37" s="290">
        <v>45034</v>
      </c>
      <c r="AP37" s="291" t="s">
        <v>192</v>
      </c>
      <c r="AQ37" s="292" t="s">
        <v>1520</v>
      </c>
      <c r="AR37" s="293" t="s">
        <v>197</v>
      </c>
      <c r="AS37" s="307"/>
      <c r="AT37" s="302"/>
      <c r="AU37" s="303">
        <v>1</v>
      </c>
      <c r="AV37" s="304">
        <f t="shared" si="2"/>
        <v>0</v>
      </c>
      <c r="AW37" s="302" t="s">
        <v>195</v>
      </c>
      <c r="AX37" s="305"/>
      <c r="AY37" s="306"/>
      <c r="AZ37" s="299"/>
      <c r="BA37" s="174"/>
      <c r="BB37" s="174"/>
      <c r="BC37" s="174"/>
    </row>
    <row r="38" spans="1:55" ht="28" customHeight="1">
      <c r="A38" s="308">
        <v>34</v>
      </c>
      <c r="B38" s="287">
        <v>45016</v>
      </c>
      <c r="C38" s="364"/>
      <c r="D38" s="364"/>
      <c r="E38" s="364"/>
      <c r="F38" s="349" t="s">
        <v>123</v>
      </c>
      <c r="G38" s="243" t="s">
        <v>245</v>
      </c>
      <c r="H38" s="244" t="s">
        <v>129</v>
      </c>
      <c r="I38" s="243" t="s">
        <v>246</v>
      </c>
      <c r="J38" s="245" t="s">
        <v>248</v>
      </c>
      <c r="K38" s="246" t="s">
        <v>97</v>
      </c>
      <c r="L38" s="246" t="s">
        <v>159</v>
      </c>
      <c r="M38" s="243" t="s">
        <v>156</v>
      </c>
      <c r="N38" s="243" t="s">
        <v>97</v>
      </c>
      <c r="O38" s="243" t="s">
        <v>204</v>
      </c>
      <c r="P38" s="247"/>
      <c r="Q38" s="289" t="s">
        <v>291</v>
      </c>
      <c r="R38" s="154">
        <f>0</f>
        <v>0</v>
      </c>
      <c r="S38" s="155">
        <f>0</f>
        <v>0</v>
      </c>
      <c r="T38" s="155">
        <f>0</f>
        <v>0</v>
      </c>
      <c r="U38" s="158">
        <f>0</f>
        <v>0</v>
      </c>
      <c r="V38" s="158">
        <f>0</f>
        <v>0</v>
      </c>
      <c r="W38" s="263">
        <v>1</v>
      </c>
      <c r="X38" s="155">
        <f>0</f>
        <v>0</v>
      </c>
      <c r="Y38" s="155">
        <f>0</f>
        <v>0</v>
      </c>
      <c r="Z38" s="155">
        <f>0</f>
        <v>0</v>
      </c>
      <c r="AA38" s="155">
        <f>0</f>
        <v>0</v>
      </c>
      <c r="AB38" s="155">
        <f>0</f>
        <v>0</v>
      </c>
      <c r="AC38" s="155">
        <f>0</f>
        <v>0</v>
      </c>
      <c r="AD38" s="155">
        <f>0</f>
        <v>0</v>
      </c>
      <c r="AE38" s="155">
        <f>0</f>
        <v>0</v>
      </c>
      <c r="AF38" s="155">
        <f>0</f>
        <v>0</v>
      </c>
      <c r="AG38" s="155">
        <f>0</f>
        <v>0</v>
      </c>
      <c r="AH38" s="155">
        <f>0</f>
        <v>0</v>
      </c>
      <c r="AI38" s="155">
        <f>0</f>
        <v>0</v>
      </c>
      <c r="AJ38" s="155">
        <f>0</f>
        <v>0</v>
      </c>
      <c r="AK38" s="155">
        <f>0</f>
        <v>0</v>
      </c>
      <c r="AL38" s="219">
        <f t="shared" si="0"/>
        <v>1</v>
      </c>
      <c r="AM38" s="103">
        <f>0</f>
        <v>0</v>
      </c>
      <c r="AN38" s="220">
        <f t="shared" si="1"/>
        <v>1</v>
      </c>
      <c r="AO38" s="290">
        <v>45034</v>
      </c>
      <c r="AP38" s="291" t="s">
        <v>192</v>
      </c>
      <c r="AQ38" s="292" t="s">
        <v>1520</v>
      </c>
      <c r="AR38" s="293" t="s">
        <v>197</v>
      </c>
      <c r="AS38" s="307"/>
      <c r="AT38" s="302"/>
      <c r="AU38" s="303">
        <v>1</v>
      </c>
      <c r="AV38" s="304">
        <f t="shared" ref="AV38:AV69" si="3">AN38-AU38</f>
        <v>0</v>
      </c>
      <c r="AW38" s="302" t="s">
        <v>195</v>
      </c>
      <c r="AX38" s="305"/>
      <c r="AY38" s="306"/>
      <c r="AZ38" s="299"/>
      <c r="BA38" s="174"/>
      <c r="BB38" s="174"/>
      <c r="BC38" s="174"/>
    </row>
    <row r="39" spans="1:55" ht="28" customHeight="1">
      <c r="A39" s="308">
        <v>35</v>
      </c>
      <c r="B39" s="287">
        <v>45016</v>
      </c>
      <c r="C39" s="222" t="s">
        <v>198</v>
      </c>
      <c r="D39" s="222" t="s">
        <v>199</v>
      </c>
      <c r="E39" s="222" t="s">
        <v>200</v>
      </c>
      <c r="F39" s="349" t="s">
        <v>123</v>
      </c>
      <c r="G39" s="243" t="s">
        <v>249</v>
      </c>
      <c r="H39" s="244" t="s">
        <v>129</v>
      </c>
      <c r="I39" s="243" t="s">
        <v>250</v>
      </c>
      <c r="J39" s="245" t="s">
        <v>251</v>
      </c>
      <c r="K39" s="246" t="s">
        <v>97</v>
      </c>
      <c r="L39" s="246" t="s">
        <v>159</v>
      </c>
      <c r="M39" s="243" t="s">
        <v>156</v>
      </c>
      <c r="N39" s="243" t="s">
        <v>97</v>
      </c>
      <c r="O39" s="243" t="s">
        <v>204</v>
      </c>
      <c r="P39" s="247"/>
      <c r="Q39" s="289" t="s">
        <v>291</v>
      </c>
      <c r="R39" s="154">
        <f>0</f>
        <v>0</v>
      </c>
      <c r="S39" s="155">
        <f>0</f>
        <v>0</v>
      </c>
      <c r="T39" s="155">
        <f>0</f>
        <v>0</v>
      </c>
      <c r="U39" s="158">
        <f>0</f>
        <v>0</v>
      </c>
      <c r="V39" s="158">
        <f>0</f>
        <v>0</v>
      </c>
      <c r="W39" s="263">
        <v>1</v>
      </c>
      <c r="X39" s="155">
        <f>0</f>
        <v>0</v>
      </c>
      <c r="Y39" s="155">
        <f>0</f>
        <v>0</v>
      </c>
      <c r="Z39" s="155">
        <f>0</f>
        <v>0</v>
      </c>
      <c r="AA39" s="155">
        <f>0</f>
        <v>0</v>
      </c>
      <c r="AB39" s="155">
        <f>0</f>
        <v>0</v>
      </c>
      <c r="AC39" s="155">
        <f>0</f>
        <v>0</v>
      </c>
      <c r="AD39" s="155">
        <f>0</f>
        <v>0</v>
      </c>
      <c r="AE39" s="155">
        <f>0</f>
        <v>0</v>
      </c>
      <c r="AF39" s="155">
        <f>0</f>
        <v>0</v>
      </c>
      <c r="AG39" s="155">
        <f>0</f>
        <v>0</v>
      </c>
      <c r="AH39" s="155">
        <f>0</f>
        <v>0</v>
      </c>
      <c r="AI39" s="155">
        <f>0</f>
        <v>0</v>
      </c>
      <c r="AJ39" s="155">
        <f>0</f>
        <v>0</v>
      </c>
      <c r="AK39" s="155">
        <f>0</f>
        <v>0</v>
      </c>
      <c r="AL39" s="219">
        <f t="shared" si="0"/>
        <v>1</v>
      </c>
      <c r="AM39" s="103">
        <f>0</f>
        <v>0</v>
      </c>
      <c r="AN39" s="220">
        <f t="shared" si="1"/>
        <v>1</v>
      </c>
      <c r="AO39" s="290">
        <v>45034</v>
      </c>
      <c r="AP39" s="291" t="s">
        <v>192</v>
      </c>
      <c r="AQ39" s="292" t="s">
        <v>1520</v>
      </c>
      <c r="AR39" s="293" t="s">
        <v>197</v>
      </c>
      <c r="AS39" s="307"/>
      <c r="AT39" s="302"/>
      <c r="AU39" s="303">
        <v>1</v>
      </c>
      <c r="AV39" s="304">
        <f t="shared" si="3"/>
        <v>0</v>
      </c>
      <c r="AW39" s="302" t="s">
        <v>195</v>
      </c>
      <c r="AX39" s="305"/>
      <c r="AY39" s="306"/>
      <c r="AZ39" s="299"/>
      <c r="BA39" s="174"/>
      <c r="BB39" s="174"/>
      <c r="BC39" s="174"/>
    </row>
    <row r="40" spans="1:55" ht="28" customHeight="1">
      <c r="A40" s="308">
        <v>36</v>
      </c>
      <c r="B40" s="287">
        <v>45016</v>
      </c>
      <c r="C40" s="364"/>
      <c r="D40" s="364"/>
      <c r="E40" s="364"/>
      <c r="F40" s="349" t="s">
        <v>123</v>
      </c>
      <c r="G40" s="243" t="s">
        <v>249</v>
      </c>
      <c r="H40" s="244" t="s">
        <v>129</v>
      </c>
      <c r="I40" s="243" t="s">
        <v>250</v>
      </c>
      <c r="J40" s="245" t="s">
        <v>252</v>
      </c>
      <c r="K40" s="246" t="s">
        <v>97</v>
      </c>
      <c r="L40" s="246" t="s">
        <v>159</v>
      </c>
      <c r="M40" s="243" t="s">
        <v>156</v>
      </c>
      <c r="N40" s="243" t="s">
        <v>97</v>
      </c>
      <c r="O40" s="243" t="s">
        <v>204</v>
      </c>
      <c r="P40" s="247"/>
      <c r="Q40" s="289" t="s">
        <v>291</v>
      </c>
      <c r="R40" s="154">
        <f>0</f>
        <v>0</v>
      </c>
      <c r="S40" s="155">
        <f>0</f>
        <v>0</v>
      </c>
      <c r="T40" s="155">
        <f>0</f>
        <v>0</v>
      </c>
      <c r="U40" s="158">
        <f>0</f>
        <v>0</v>
      </c>
      <c r="V40" s="158">
        <f>0</f>
        <v>0</v>
      </c>
      <c r="W40" s="263">
        <v>1</v>
      </c>
      <c r="X40" s="155">
        <f>0</f>
        <v>0</v>
      </c>
      <c r="Y40" s="155">
        <f>0</f>
        <v>0</v>
      </c>
      <c r="Z40" s="155">
        <f>0</f>
        <v>0</v>
      </c>
      <c r="AA40" s="155">
        <f>0</f>
        <v>0</v>
      </c>
      <c r="AB40" s="155">
        <f>0</f>
        <v>0</v>
      </c>
      <c r="AC40" s="155">
        <f>0</f>
        <v>0</v>
      </c>
      <c r="AD40" s="155">
        <f>0</f>
        <v>0</v>
      </c>
      <c r="AE40" s="155">
        <f>0</f>
        <v>0</v>
      </c>
      <c r="AF40" s="155">
        <f>0</f>
        <v>0</v>
      </c>
      <c r="AG40" s="155">
        <f>0</f>
        <v>0</v>
      </c>
      <c r="AH40" s="155">
        <f>0</f>
        <v>0</v>
      </c>
      <c r="AI40" s="155">
        <f>0</f>
        <v>0</v>
      </c>
      <c r="AJ40" s="155">
        <f>0</f>
        <v>0</v>
      </c>
      <c r="AK40" s="155">
        <f>0</f>
        <v>0</v>
      </c>
      <c r="AL40" s="219">
        <f t="shared" si="0"/>
        <v>1</v>
      </c>
      <c r="AM40" s="103">
        <f>0</f>
        <v>0</v>
      </c>
      <c r="AN40" s="220">
        <f t="shared" si="1"/>
        <v>1</v>
      </c>
      <c r="AO40" s="290">
        <v>45034</v>
      </c>
      <c r="AP40" s="291" t="s">
        <v>192</v>
      </c>
      <c r="AQ40" s="292" t="s">
        <v>1520</v>
      </c>
      <c r="AR40" s="293" t="s">
        <v>197</v>
      </c>
      <c r="AS40" s="307"/>
      <c r="AT40" s="302"/>
      <c r="AU40" s="303">
        <v>1</v>
      </c>
      <c r="AV40" s="304">
        <f t="shared" si="3"/>
        <v>0</v>
      </c>
      <c r="AW40" s="302" t="s">
        <v>195</v>
      </c>
      <c r="AX40" s="305"/>
      <c r="AY40" s="306"/>
      <c r="AZ40" s="299"/>
      <c r="BA40" s="174"/>
      <c r="BB40" s="174"/>
      <c r="BC40" s="174"/>
    </row>
    <row r="41" spans="1:55" ht="28" customHeight="1">
      <c r="A41" s="308">
        <v>37</v>
      </c>
      <c r="B41" s="287">
        <v>45016</v>
      </c>
      <c r="C41" s="222" t="s">
        <v>198</v>
      </c>
      <c r="D41" s="222" t="s">
        <v>199</v>
      </c>
      <c r="E41" s="222" t="s">
        <v>200</v>
      </c>
      <c r="F41" s="349" t="s">
        <v>123</v>
      </c>
      <c r="G41" s="243" t="s">
        <v>253</v>
      </c>
      <c r="H41" s="244" t="s">
        <v>129</v>
      </c>
      <c r="I41" s="243" t="s">
        <v>254</v>
      </c>
      <c r="J41" s="245" t="s">
        <v>255</v>
      </c>
      <c r="K41" s="246" t="s">
        <v>97</v>
      </c>
      <c r="L41" s="246" t="s">
        <v>159</v>
      </c>
      <c r="M41" s="243" t="s">
        <v>156</v>
      </c>
      <c r="N41" s="243" t="s">
        <v>97</v>
      </c>
      <c r="O41" s="243" t="s">
        <v>256</v>
      </c>
      <c r="P41" s="247"/>
      <c r="Q41" s="289" t="s">
        <v>291</v>
      </c>
      <c r="R41" s="154">
        <f>0</f>
        <v>0</v>
      </c>
      <c r="S41" s="155">
        <f>0</f>
        <v>0</v>
      </c>
      <c r="T41" s="155">
        <f>0</f>
        <v>0</v>
      </c>
      <c r="U41" s="158">
        <f>0</f>
        <v>0</v>
      </c>
      <c r="V41" s="158">
        <f>0</f>
        <v>0</v>
      </c>
      <c r="W41" s="263">
        <v>1</v>
      </c>
      <c r="X41" s="155">
        <f>0</f>
        <v>0</v>
      </c>
      <c r="Y41" s="155">
        <f>0</f>
        <v>0</v>
      </c>
      <c r="Z41" s="155">
        <f>0</f>
        <v>0</v>
      </c>
      <c r="AA41" s="155">
        <f>0</f>
        <v>0</v>
      </c>
      <c r="AB41" s="155">
        <f>0</f>
        <v>0</v>
      </c>
      <c r="AC41" s="155">
        <f>0</f>
        <v>0</v>
      </c>
      <c r="AD41" s="155">
        <f>0</f>
        <v>0</v>
      </c>
      <c r="AE41" s="155">
        <f>0</f>
        <v>0</v>
      </c>
      <c r="AF41" s="155">
        <f>0</f>
        <v>0</v>
      </c>
      <c r="AG41" s="155">
        <f>0</f>
        <v>0</v>
      </c>
      <c r="AH41" s="155">
        <f>0</f>
        <v>0</v>
      </c>
      <c r="AI41" s="155">
        <f>0</f>
        <v>0</v>
      </c>
      <c r="AJ41" s="155">
        <f>0</f>
        <v>0</v>
      </c>
      <c r="AK41" s="155">
        <f>0</f>
        <v>0</v>
      </c>
      <c r="AL41" s="219">
        <f t="shared" si="0"/>
        <v>1</v>
      </c>
      <c r="AM41" s="103">
        <f>0</f>
        <v>0</v>
      </c>
      <c r="AN41" s="220">
        <f t="shared" si="1"/>
        <v>1</v>
      </c>
      <c r="AO41" s="290">
        <v>45034</v>
      </c>
      <c r="AP41" s="291" t="s">
        <v>192</v>
      </c>
      <c r="AQ41" s="292" t="s">
        <v>1520</v>
      </c>
      <c r="AR41" s="293" t="s">
        <v>197</v>
      </c>
      <c r="AS41" s="307"/>
      <c r="AT41" s="302"/>
      <c r="AU41" s="303">
        <v>1</v>
      </c>
      <c r="AV41" s="304">
        <f t="shared" si="3"/>
        <v>0</v>
      </c>
      <c r="AW41" s="302" t="s">
        <v>195</v>
      </c>
      <c r="AX41" s="305"/>
      <c r="AY41" s="306"/>
      <c r="AZ41" s="299"/>
      <c r="BA41" s="174"/>
      <c r="BB41" s="174"/>
      <c r="BC41" s="174"/>
    </row>
    <row r="42" spans="1:55" ht="28" customHeight="1">
      <c r="A42" s="308">
        <v>38</v>
      </c>
      <c r="B42" s="287">
        <v>45016</v>
      </c>
      <c r="C42" s="222" t="s">
        <v>198</v>
      </c>
      <c r="D42" s="222" t="s">
        <v>199</v>
      </c>
      <c r="E42" s="222" t="s">
        <v>200</v>
      </c>
      <c r="F42" s="349" t="s">
        <v>123</v>
      </c>
      <c r="G42" s="243" t="s">
        <v>258</v>
      </c>
      <c r="H42" s="244" t="s">
        <v>129</v>
      </c>
      <c r="I42" s="243" t="s">
        <v>259</v>
      </c>
      <c r="J42" s="245" t="s">
        <v>260</v>
      </c>
      <c r="K42" s="246" t="s">
        <v>97</v>
      </c>
      <c r="L42" s="246" t="s">
        <v>159</v>
      </c>
      <c r="M42" s="243" t="s">
        <v>156</v>
      </c>
      <c r="N42" s="243" t="s">
        <v>97</v>
      </c>
      <c r="O42" s="243" t="s">
        <v>204</v>
      </c>
      <c r="P42" s="289"/>
      <c r="Q42" s="289" t="s">
        <v>288</v>
      </c>
      <c r="R42" s="154">
        <f>0</f>
        <v>0</v>
      </c>
      <c r="S42" s="155">
        <f>0</f>
        <v>0</v>
      </c>
      <c r="T42" s="155">
        <f>0</f>
        <v>0</v>
      </c>
      <c r="U42" s="158">
        <f>0</f>
        <v>0</v>
      </c>
      <c r="V42" s="158">
        <f>0</f>
        <v>0</v>
      </c>
      <c r="W42" s="263">
        <v>1</v>
      </c>
      <c r="X42" s="155">
        <f>0</f>
        <v>0</v>
      </c>
      <c r="Y42" s="155">
        <f>0</f>
        <v>0</v>
      </c>
      <c r="Z42" s="155">
        <f>0</f>
        <v>0</v>
      </c>
      <c r="AA42" s="155">
        <f>0</f>
        <v>0</v>
      </c>
      <c r="AB42" s="155">
        <f>0</f>
        <v>0</v>
      </c>
      <c r="AC42" s="155">
        <f>0</f>
        <v>0</v>
      </c>
      <c r="AD42" s="155">
        <f>0</f>
        <v>0</v>
      </c>
      <c r="AE42" s="155">
        <f>0</f>
        <v>0</v>
      </c>
      <c r="AF42" s="155">
        <f>0</f>
        <v>0</v>
      </c>
      <c r="AG42" s="155">
        <f>0</f>
        <v>0</v>
      </c>
      <c r="AH42" s="155">
        <f>0</f>
        <v>0</v>
      </c>
      <c r="AI42" s="155">
        <f>0</f>
        <v>0</v>
      </c>
      <c r="AJ42" s="155">
        <f>0</f>
        <v>0</v>
      </c>
      <c r="AK42" s="155">
        <f>0</f>
        <v>0</v>
      </c>
      <c r="AL42" s="219">
        <f t="shared" si="0"/>
        <v>1</v>
      </c>
      <c r="AM42" s="103">
        <f>0</f>
        <v>0</v>
      </c>
      <c r="AN42" s="220">
        <f t="shared" si="1"/>
        <v>1</v>
      </c>
      <c r="AO42" s="290">
        <v>45034</v>
      </c>
      <c r="AP42" s="291" t="s">
        <v>192</v>
      </c>
      <c r="AQ42" s="292" t="s">
        <v>1520</v>
      </c>
      <c r="AR42" s="293" t="s">
        <v>197</v>
      </c>
      <c r="AS42" s="307"/>
      <c r="AT42" s="302"/>
      <c r="AU42" s="303">
        <v>1</v>
      </c>
      <c r="AV42" s="304">
        <f t="shared" si="3"/>
        <v>0</v>
      </c>
      <c r="AW42" s="302" t="s">
        <v>195</v>
      </c>
      <c r="AX42" s="305"/>
      <c r="AY42" s="306"/>
      <c r="AZ42" s="299"/>
      <c r="BA42" s="174"/>
      <c r="BB42" s="174"/>
      <c r="BC42" s="174"/>
    </row>
    <row r="43" spans="1:55" ht="28" customHeight="1">
      <c r="A43" s="308">
        <v>39</v>
      </c>
      <c r="B43" s="287">
        <v>45016</v>
      </c>
      <c r="C43" s="222" t="s">
        <v>198</v>
      </c>
      <c r="D43" s="222" t="s">
        <v>199</v>
      </c>
      <c r="E43" s="222" t="s">
        <v>200</v>
      </c>
      <c r="F43" s="349" t="s">
        <v>123</v>
      </c>
      <c r="G43" s="243" t="s">
        <v>261</v>
      </c>
      <c r="H43" s="244" t="s">
        <v>129</v>
      </c>
      <c r="I43" s="243" t="s">
        <v>262</v>
      </c>
      <c r="J43" s="245" t="s">
        <v>263</v>
      </c>
      <c r="K43" s="246" t="s">
        <v>97</v>
      </c>
      <c r="L43" s="246" t="s">
        <v>159</v>
      </c>
      <c r="M43" s="243" t="s">
        <v>156</v>
      </c>
      <c r="N43" s="243" t="s">
        <v>97</v>
      </c>
      <c r="O43" s="243" t="s">
        <v>204</v>
      </c>
      <c r="P43" s="289"/>
      <c r="Q43" s="289" t="s">
        <v>288</v>
      </c>
      <c r="R43" s="154">
        <f>0</f>
        <v>0</v>
      </c>
      <c r="S43" s="155">
        <f>0</f>
        <v>0</v>
      </c>
      <c r="T43" s="155">
        <f>0</f>
        <v>0</v>
      </c>
      <c r="U43" s="158">
        <f>0</f>
        <v>0</v>
      </c>
      <c r="V43" s="158">
        <f>0</f>
        <v>0</v>
      </c>
      <c r="W43" s="263">
        <v>1</v>
      </c>
      <c r="X43" s="155">
        <f>0</f>
        <v>0</v>
      </c>
      <c r="Y43" s="155">
        <f>0</f>
        <v>0</v>
      </c>
      <c r="Z43" s="155">
        <f>0</f>
        <v>0</v>
      </c>
      <c r="AA43" s="155">
        <f>0</f>
        <v>0</v>
      </c>
      <c r="AB43" s="155">
        <f>0</f>
        <v>0</v>
      </c>
      <c r="AC43" s="155">
        <f>0</f>
        <v>0</v>
      </c>
      <c r="AD43" s="155">
        <f>0</f>
        <v>0</v>
      </c>
      <c r="AE43" s="155">
        <f>0</f>
        <v>0</v>
      </c>
      <c r="AF43" s="155">
        <f>0</f>
        <v>0</v>
      </c>
      <c r="AG43" s="155">
        <f>0</f>
        <v>0</v>
      </c>
      <c r="AH43" s="155">
        <f>0</f>
        <v>0</v>
      </c>
      <c r="AI43" s="155">
        <f>0</f>
        <v>0</v>
      </c>
      <c r="AJ43" s="155">
        <f>0</f>
        <v>0</v>
      </c>
      <c r="AK43" s="155">
        <f>0</f>
        <v>0</v>
      </c>
      <c r="AL43" s="219">
        <f t="shared" si="0"/>
        <v>1</v>
      </c>
      <c r="AM43" s="103">
        <f>0</f>
        <v>0</v>
      </c>
      <c r="AN43" s="220">
        <f t="shared" si="1"/>
        <v>1</v>
      </c>
      <c r="AO43" s="290">
        <v>45034</v>
      </c>
      <c r="AP43" s="291" t="s">
        <v>192</v>
      </c>
      <c r="AQ43" s="292" t="s">
        <v>1520</v>
      </c>
      <c r="AR43" s="293" t="s">
        <v>197</v>
      </c>
      <c r="AS43" s="307"/>
      <c r="AT43" s="302"/>
      <c r="AU43" s="303">
        <v>1</v>
      </c>
      <c r="AV43" s="304">
        <f t="shared" si="3"/>
        <v>0</v>
      </c>
      <c r="AW43" s="302" t="s">
        <v>195</v>
      </c>
      <c r="AX43" s="305"/>
      <c r="AY43" s="306"/>
      <c r="AZ43" s="299"/>
      <c r="BA43" s="174"/>
      <c r="BB43" s="174"/>
      <c r="BC43" s="174"/>
    </row>
    <row r="44" spans="1:55" ht="28" customHeight="1">
      <c r="A44" s="308">
        <v>40</v>
      </c>
      <c r="B44" s="287">
        <v>45016</v>
      </c>
      <c r="C44" s="222" t="s">
        <v>198</v>
      </c>
      <c r="D44" s="222" t="s">
        <v>199</v>
      </c>
      <c r="E44" s="222" t="s">
        <v>200</v>
      </c>
      <c r="F44" s="349" t="s">
        <v>123</v>
      </c>
      <c r="G44" s="243" t="s">
        <v>264</v>
      </c>
      <c r="H44" s="244" t="s">
        <v>129</v>
      </c>
      <c r="I44" s="243" t="s">
        <v>265</v>
      </c>
      <c r="J44" s="245" t="s">
        <v>266</v>
      </c>
      <c r="K44" s="246" t="s">
        <v>97</v>
      </c>
      <c r="L44" s="246" t="s">
        <v>159</v>
      </c>
      <c r="M44" s="243" t="s">
        <v>156</v>
      </c>
      <c r="N44" s="243" t="s">
        <v>97</v>
      </c>
      <c r="O44" s="243" t="s">
        <v>204</v>
      </c>
      <c r="P44" s="289"/>
      <c r="Q44" s="289" t="s">
        <v>288</v>
      </c>
      <c r="R44" s="154">
        <f>0</f>
        <v>0</v>
      </c>
      <c r="S44" s="155">
        <f>0</f>
        <v>0</v>
      </c>
      <c r="T44" s="155">
        <f>0</f>
        <v>0</v>
      </c>
      <c r="U44" s="158">
        <f>0</f>
        <v>0</v>
      </c>
      <c r="V44" s="158">
        <f>0</f>
        <v>0</v>
      </c>
      <c r="W44" s="263">
        <v>1</v>
      </c>
      <c r="X44" s="155">
        <f>0</f>
        <v>0</v>
      </c>
      <c r="Y44" s="155">
        <f>0</f>
        <v>0</v>
      </c>
      <c r="Z44" s="155">
        <f>0</f>
        <v>0</v>
      </c>
      <c r="AA44" s="155">
        <f>0</f>
        <v>0</v>
      </c>
      <c r="AB44" s="155">
        <f>0</f>
        <v>0</v>
      </c>
      <c r="AC44" s="155">
        <f>0</f>
        <v>0</v>
      </c>
      <c r="AD44" s="155">
        <f>0</f>
        <v>0</v>
      </c>
      <c r="AE44" s="155">
        <f>0</f>
        <v>0</v>
      </c>
      <c r="AF44" s="155">
        <f>0</f>
        <v>0</v>
      </c>
      <c r="AG44" s="155">
        <f>0</f>
        <v>0</v>
      </c>
      <c r="AH44" s="155">
        <f>0</f>
        <v>0</v>
      </c>
      <c r="AI44" s="155">
        <f>0</f>
        <v>0</v>
      </c>
      <c r="AJ44" s="155">
        <f>0</f>
        <v>0</v>
      </c>
      <c r="AK44" s="155">
        <f>0</f>
        <v>0</v>
      </c>
      <c r="AL44" s="219">
        <f t="shared" si="0"/>
        <v>1</v>
      </c>
      <c r="AM44" s="103">
        <f>0</f>
        <v>0</v>
      </c>
      <c r="AN44" s="220">
        <f t="shared" si="1"/>
        <v>1</v>
      </c>
      <c r="AO44" s="290">
        <v>45034</v>
      </c>
      <c r="AP44" s="291" t="s">
        <v>192</v>
      </c>
      <c r="AQ44" s="292" t="s">
        <v>1520</v>
      </c>
      <c r="AR44" s="293" t="s">
        <v>197</v>
      </c>
      <c r="AS44" s="362"/>
      <c r="AT44" s="294"/>
      <c r="AU44" s="295">
        <v>1</v>
      </c>
      <c r="AV44" s="296">
        <f t="shared" si="3"/>
        <v>0</v>
      </c>
      <c r="AW44" s="294" t="s">
        <v>195</v>
      </c>
      <c r="AX44" s="297"/>
      <c r="AY44" s="298"/>
      <c r="AZ44" s="299"/>
      <c r="BA44" s="174"/>
      <c r="BB44" s="174"/>
      <c r="BC44" s="174"/>
    </row>
    <row r="45" spans="1:55" ht="28" customHeight="1">
      <c r="A45" s="308">
        <v>41</v>
      </c>
      <c r="B45" s="287">
        <v>45016</v>
      </c>
      <c r="C45" s="222" t="s">
        <v>198</v>
      </c>
      <c r="D45" s="222" t="s">
        <v>199</v>
      </c>
      <c r="E45" s="222" t="s">
        <v>200</v>
      </c>
      <c r="F45" s="349" t="s">
        <v>123</v>
      </c>
      <c r="G45" s="243" t="s">
        <v>267</v>
      </c>
      <c r="H45" s="244" t="s">
        <v>129</v>
      </c>
      <c r="I45" s="243" t="s">
        <v>268</v>
      </c>
      <c r="J45" s="245" t="s">
        <v>269</v>
      </c>
      <c r="K45" s="246" t="s">
        <v>97</v>
      </c>
      <c r="L45" s="246" t="s">
        <v>159</v>
      </c>
      <c r="M45" s="243" t="s">
        <v>156</v>
      </c>
      <c r="N45" s="243" t="s">
        <v>97</v>
      </c>
      <c r="O45" s="243" t="s">
        <v>204</v>
      </c>
      <c r="P45" s="289"/>
      <c r="Q45" s="289" t="s">
        <v>288</v>
      </c>
      <c r="R45" s="154">
        <f>0</f>
        <v>0</v>
      </c>
      <c r="S45" s="155">
        <f>0</f>
        <v>0</v>
      </c>
      <c r="T45" s="155">
        <f>0</f>
        <v>0</v>
      </c>
      <c r="U45" s="158">
        <f>0</f>
        <v>0</v>
      </c>
      <c r="V45" s="158">
        <f>0</f>
        <v>0</v>
      </c>
      <c r="W45" s="263">
        <v>1</v>
      </c>
      <c r="X45" s="155">
        <f>0</f>
        <v>0</v>
      </c>
      <c r="Y45" s="155">
        <f>0</f>
        <v>0</v>
      </c>
      <c r="Z45" s="155">
        <f>0</f>
        <v>0</v>
      </c>
      <c r="AA45" s="155">
        <f>0</f>
        <v>0</v>
      </c>
      <c r="AB45" s="155">
        <f>0</f>
        <v>0</v>
      </c>
      <c r="AC45" s="155">
        <f>0</f>
        <v>0</v>
      </c>
      <c r="AD45" s="155">
        <f>0</f>
        <v>0</v>
      </c>
      <c r="AE45" s="155">
        <f>0</f>
        <v>0</v>
      </c>
      <c r="AF45" s="155">
        <f>0</f>
        <v>0</v>
      </c>
      <c r="AG45" s="155">
        <f>0</f>
        <v>0</v>
      </c>
      <c r="AH45" s="155">
        <f>0</f>
        <v>0</v>
      </c>
      <c r="AI45" s="155">
        <f>0</f>
        <v>0</v>
      </c>
      <c r="AJ45" s="155">
        <f>0</f>
        <v>0</v>
      </c>
      <c r="AK45" s="155">
        <f>0</f>
        <v>0</v>
      </c>
      <c r="AL45" s="219">
        <f t="shared" si="0"/>
        <v>1</v>
      </c>
      <c r="AM45" s="103">
        <f>0</f>
        <v>0</v>
      </c>
      <c r="AN45" s="220">
        <f t="shared" si="1"/>
        <v>1</v>
      </c>
      <c r="AO45" s="290">
        <v>45034</v>
      </c>
      <c r="AP45" s="291" t="s">
        <v>192</v>
      </c>
      <c r="AQ45" s="292" t="s">
        <v>1520</v>
      </c>
      <c r="AR45" s="293" t="s">
        <v>197</v>
      </c>
      <c r="AS45" s="307"/>
      <c r="AT45" s="302"/>
      <c r="AU45" s="303">
        <v>1</v>
      </c>
      <c r="AV45" s="304">
        <f t="shared" si="3"/>
        <v>0</v>
      </c>
      <c r="AW45" s="302" t="s">
        <v>195</v>
      </c>
      <c r="AX45" s="305"/>
      <c r="AY45" s="306"/>
      <c r="AZ45" s="299"/>
      <c r="BA45" s="174"/>
      <c r="BB45" s="174"/>
      <c r="BC45" s="174"/>
    </row>
    <row r="46" spans="1:55" ht="28" customHeight="1">
      <c r="A46" s="308">
        <v>42</v>
      </c>
      <c r="B46" s="287">
        <v>45016</v>
      </c>
      <c r="C46" s="222" t="s">
        <v>198</v>
      </c>
      <c r="D46" s="222" t="s">
        <v>199</v>
      </c>
      <c r="E46" s="222" t="s">
        <v>200</v>
      </c>
      <c r="F46" s="349" t="s">
        <v>123</v>
      </c>
      <c r="G46" s="243" t="s">
        <v>270</v>
      </c>
      <c r="H46" s="244" t="s">
        <v>129</v>
      </c>
      <c r="I46" s="243" t="s">
        <v>271</v>
      </c>
      <c r="J46" s="245" t="s">
        <v>272</v>
      </c>
      <c r="K46" s="246" t="s">
        <v>97</v>
      </c>
      <c r="L46" s="246" t="s">
        <v>159</v>
      </c>
      <c r="M46" s="243" t="s">
        <v>156</v>
      </c>
      <c r="N46" s="243" t="s">
        <v>97</v>
      </c>
      <c r="O46" s="243" t="s">
        <v>204</v>
      </c>
      <c r="P46" s="289"/>
      <c r="Q46" s="289" t="s">
        <v>288</v>
      </c>
      <c r="R46" s="154">
        <f>0</f>
        <v>0</v>
      </c>
      <c r="S46" s="155">
        <f>0</f>
        <v>0</v>
      </c>
      <c r="T46" s="155">
        <f>0</f>
        <v>0</v>
      </c>
      <c r="U46" s="158">
        <f>0</f>
        <v>0</v>
      </c>
      <c r="V46" s="158">
        <f>0</f>
        <v>0</v>
      </c>
      <c r="W46" s="263">
        <v>4</v>
      </c>
      <c r="X46" s="155">
        <f>0</f>
        <v>0</v>
      </c>
      <c r="Y46" s="155">
        <f>0</f>
        <v>0</v>
      </c>
      <c r="Z46" s="155">
        <f>0</f>
        <v>0</v>
      </c>
      <c r="AA46" s="155">
        <f>0</f>
        <v>0</v>
      </c>
      <c r="AB46" s="155">
        <f>0</f>
        <v>0</v>
      </c>
      <c r="AC46" s="155">
        <f>0</f>
        <v>0</v>
      </c>
      <c r="AD46" s="155">
        <f>0</f>
        <v>0</v>
      </c>
      <c r="AE46" s="155">
        <f>0</f>
        <v>0</v>
      </c>
      <c r="AF46" s="155">
        <f>0</f>
        <v>0</v>
      </c>
      <c r="AG46" s="155">
        <f>0</f>
        <v>0</v>
      </c>
      <c r="AH46" s="155">
        <f>0</f>
        <v>0</v>
      </c>
      <c r="AI46" s="155">
        <f>0</f>
        <v>0</v>
      </c>
      <c r="AJ46" s="155">
        <f>0</f>
        <v>0</v>
      </c>
      <c r="AK46" s="155">
        <f>0</f>
        <v>0</v>
      </c>
      <c r="AL46" s="219">
        <f t="shared" si="0"/>
        <v>4</v>
      </c>
      <c r="AM46" s="103">
        <f>0</f>
        <v>0</v>
      </c>
      <c r="AN46" s="220">
        <f t="shared" si="1"/>
        <v>4</v>
      </c>
      <c r="AO46" s="290">
        <v>45034</v>
      </c>
      <c r="AP46" s="291" t="s">
        <v>192</v>
      </c>
      <c r="AQ46" s="292" t="s">
        <v>1520</v>
      </c>
      <c r="AR46" s="293" t="s">
        <v>197</v>
      </c>
      <c r="AS46" s="307"/>
      <c r="AT46" s="302"/>
      <c r="AU46" s="303">
        <v>4</v>
      </c>
      <c r="AV46" s="304">
        <f t="shared" si="3"/>
        <v>0</v>
      </c>
      <c r="AW46" s="302" t="s">
        <v>195</v>
      </c>
      <c r="AX46" s="305"/>
      <c r="AY46" s="306"/>
      <c r="AZ46" s="299"/>
      <c r="BA46" s="174"/>
      <c r="BB46" s="174"/>
      <c r="BC46" s="174"/>
    </row>
    <row r="47" spans="1:55" ht="28" customHeight="1">
      <c r="A47" s="308">
        <v>43</v>
      </c>
      <c r="B47" s="287">
        <v>45016</v>
      </c>
      <c r="C47" s="222" t="s">
        <v>198</v>
      </c>
      <c r="D47" s="222" t="s">
        <v>199</v>
      </c>
      <c r="E47" s="222" t="s">
        <v>200</v>
      </c>
      <c r="F47" s="349" t="s">
        <v>123</v>
      </c>
      <c r="G47" s="243" t="s">
        <v>273</v>
      </c>
      <c r="H47" s="244" t="s">
        <v>129</v>
      </c>
      <c r="I47" s="243" t="s">
        <v>274</v>
      </c>
      <c r="J47" s="245" t="s">
        <v>275</v>
      </c>
      <c r="K47" s="246" t="s">
        <v>97</v>
      </c>
      <c r="L47" s="246" t="s">
        <v>159</v>
      </c>
      <c r="M47" s="243" t="s">
        <v>156</v>
      </c>
      <c r="N47" s="243" t="s">
        <v>97</v>
      </c>
      <c r="O47" s="243" t="s">
        <v>204</v>
      </c>
      <c r="P47" s="289"/>
      <c r="Q47" s="289" t="s">
        <v>288</v>
      </c>
      <c r="R47" s="154">
        <f>0</f>
        <v>0</v>
      </c>
      <c r="S47" s="155">
        <f>0</f>
        <v>0</v>
      </c>
      <c r="T47" s="155">
        <f>0</f>
        <v>0</v>
      </c>
      <c r="U47" s="158">
        <f>0</f>
        <v>0</v>
      </c>
      <c r="V47" s="158">
        <f>0</f>
        <v>0</v>
      </c>
      <c r="W47" s="263">
        <v>4</v>
      </c>
      <c r="X47" s="155">
        <f>0</f>
        <v>0</v>
      </c>
      <c r="Y47" s="155">
        <f>0</f>
        <v>0</v>
      </c>
      <c r="Z47" s="155">
        <f>0</f>
        <v>0</v>
      </c>
      <c r="AA47" s="155">
        <f>0</f>
        <v>0</v>
      </c>
      <c r="AB47" s="155">
        <f>0</f>
        <v>0</v>
      </c>
      <c r="AC47" s="155">
        <f>0</f>
        <v>0</v>
      </c>
      <c r="AD47" s="155">
        <f>0</f>
        <v>0</v>
      </c>
      <c r="AE47" s="155">
        <f>0</f>
        <v>0</v>
      </c>
      <c r="AF47" s="155">
        <f>0</f>
        <v>0</v>
      </c>
      <c r="AG47" s="155">
        <f>0</f>
        <v>0</v>
      </c>
      <c r="AH47" s="155">
        <f>0</f>
        <v>0</v>
      </c>
      <c r="AI47" s="155">
        <f>0</f>
        <v>0</v>
      </c>
      <c r="AJ47" s="155">
        <f>0</f>
        <v>0</v>
      </c>
      <c r="AK47" s="155">
        <f>0</f>
        <v>0</v>
      </c>
      <c r="AL47" s="219">
        <f t="shared" si="0"/>
        <v>4</v>
      </c>
      <c r="AM47" s="103">
        <f>0</f>
        <v>0</v>
      </c>
      <c r="AN47" s="220">
        <f t="shared" si="1"/>
        <v>4</v>
      </c>
      <c r="AO47" s="290">
        <v>45034</v>
      </c>
      <c r="AP47" s="291" t="s">
        <v>192</v>
      </c>
      <c r="AQ47" s="292" t="s">
        <v>1520</v>
      </c>
      <c r="AR47" s="293" t="s">
        <v>197</v>
      </c>
      <c r="AS47" s="307"/>
      <c r="AT47" s="302"/>
      <c r="AU47" s="303">
        <v>4</v>
      </c>
      <c r="AV47" s="304">
        <f t="shared" si="3"/>
        <v>0</v>
      </c>
      <c r="AW47" s="302" t="s">
        <v>195</v>
      </c>
      <c r="AX47" s="305"/>
      <c r="AY47" s="306"/>
      <c r="AZ47" s="299"/>
      <c r="BA47" s="174"/>
      <c r="BB47" s="174"/>
      <c r="BC47" s="174"/>
    </row>
    <row r="48" spans="1:55" ht="28" customHeight="1">
      <c r="A48" s="308">
        <v>44</v>
      </c>
      <c r="B48" s="287">
        <v>45016</v>
      </c>
      <c r="C48" s="222" t="s">
        <v>198</v>
      </c>
      <c r="D48" s="222" t="s">
        <v>199</v>
      </c>
      <c r="E48" s="222" t="s">
        <v>200</v>
      </c>
      <c r="F48" s="349" t="s">
        <v>123</v>
      </c>
      <c r="G48" s="243" t="s">
        <v>276</v>
      </c>
      <c r="H48" s="244" t="s">
        <v>129</v>
      </c>
      <c r="I48" s="243" t="s">
        <v>277</v>
      </c>
      <c r="J48" s="245" t="s">
        <v>278</v>
      </c>
      <c r="K48" s="246" t="s">
        <v>97</v>
      </c>
      <c r="L48" s="246" t="s">
        <v>168</v>
      </c>
      <c r="M48" s="243" t="s">
        <v>279</v>
      </c>
      <c r="N48" s="243" t="s">
        <v>97</v>
      </c>
      <c r="O48" s="243" t="s">
        <v>169</v>
      </c>
      <c r="P48" s="289"/>
      <c r="Q48" s="289" t="s">
        <v>288</v>
      </c>
      <c r="R48" s="154">
        <f>0</f>
        <v>0</v>
      </c>
      <c r="S48" s="155">
        <f>0</f>
        <v>0</v>
      </c>
      <c r="T48" s="155">
        <f>0</f>
        <v>0</v>
      </c>
      <c r="U48" s="158">
        <f>0</f>
        <v>0</v>
      </c>
      <c r="V48" s="158">
        <f>0</f>
        <v>0</v>
      </c>
      <c r="W48" s="263">
        <v>4</v>
      </c>
      <c r="X48" s="155">
        <f>0</f>
        <v>0</v>
      </c>
      <c r="Y48" s="155">
        <f>0</f>
        <v>0</v>
      </c>
      <c r="Z48" s="155">
        <f>0</f>
        <v>0</v>
      </c>
      <c r="AA48" s="155">
        <f>0</f>
        <v>0</v>
      </c>
      <c r="AB48" s="155">
        <f>0</f>
        <v>0</v>
      </c>
      <c r="AC48" s="155">
        <f>0</f>
        <v>0</v>
      </c>
      <c r="AD48" s="155">
        <f>0</f>
        <v>0</v>
      </c>
      <c r="AE48" s="155">
        <f>0</f>
        <v>0</v>
      </c>
      <c r="AF48" s="155">
        <f>0</f>
        <v>0</v>
      </c>
      <c r="AG48" s="155">
        <f>0</f>
        <v>0</v>
      </c>
      <c r="AH48" s="155">
        <f>0</f>
        <v>0</v>
      </c>
      <c r="AI48" s="155">
        <f>0</f>
        <v>0</v>
      </c>
      <c r="AJ48" s="155">
        <f>0</f>
        <v>0</v>
      </c>
      <c r="AK48" s="155">
        <f>0</f>
        <v>0</v>
      </c>
      <c r="AL48" s="219">
        <f t="shared" si="0"/>
        <v>4</v>
      </c>
      <c r="AM48" s="103">
        <f>0</f>
        <v>0</v>
      </c>
      <c r="AN48" s="220">
        <f t="shared" si="1"/>
        <v>4</v>
      </c>
      <c r="AO48" s="348">
        <v>45034</v>
      </c>
      <c r="AP48" s="296" t="s">
        <v>192</v>
      </c>
      <c r="AQ48" s="292" t="s">
        <v>1522</v>
      </c>
      <c r="AR48" s="293" t="s">
        <v>194</v>
      </c>
      <c r="AS48" s="301">
        <v>45078</v>
      </c>
      <c r="AT48" s="302"/>
      <c r="AU48" s="303">
        <v>4</v>
      </c>
      <c r="AV48" s="304">
        <f t="shared" si="3"/>
        <v>0</v>
      </c>
      <c r="AW48" s="302" t="s">
        <v>195</v>
      </c>
      <c r="AX48" s="305"/>
      <c r="AY48" s="306"/>
      <c r="AZ48" s="299"/>
      <c r="BA48" s="174"/>
      <c r="BB48" s="174"/>
      <c r="BC48" s="174"/>
    </row>
    <row r="49" spans="1:55" ht="28" customHeight="1">
      <c r="A49" s="308">
        <v>45</v>
      </c>
      <c r="B49" s="287">
        <v>45016</v>
      </c>
      <c r="C49" s="222" t="s">
        <v>198</v>
      </c>
      <c r="D49" s="222" t="s">
        <v>199</v>
      </c>
      <c r="E49" s="222" t="s">
        <v>200</v>
      </c>
      <c r="F49" s="349" t="s">
        <v>123</v>
      </c>
      <c r="G49" s="243" t="s">
        <v>280</v>
      </c>
      <c r="H49" s="244" t="s">
        <v>129</v>
      </c>
      <c r="I49" s="243" t="s">
        <v>281</v>
      </c>
      <c r="J49" s="245" t="s">
        <v>282</v>
      </c>
      <c r="K49" s="246" t="s">
        <v>97</v>
      </c>
      <c r="L49" s="246" t="s">
        <v>159</v>
      </c>
      <c r="M49" s="243" t="s">
        <v>156</v>
      </c>
      <c r="N49" s="243" t="s">
        <v>97</v>
      </c>
      <c r="O49" s="243" t="s">
        <v>204</v>
      </c>
      <c r="P49" s="289"/>
      <c r="Q49" s="289" t="s">
        <v>288</v>
      </c>
      <c r="R49" s="154">
        <f>0</f>
        <v>0</v>
      </c>
      <c r="S49" s="155">
        <f>0</f>
        <v>0</v>
      </c>
      <c r="T49" s="155">
        <f>0</f>
        <v>0</v>
      </c>
      <c r="U49" s="158">
        <f>0</f>
        <v>0</v>
      </c>
      <c r="V49" s="158">
        <f>0</f>
        <v>0</v>
      </c>
      <c r="W49" s="263">
        <v>4</v>
      </c>
      <c r="X49" s="155">
        <f>0</f>
        <v>0</v>
      </c>
      <c r="Y49" s="155">
        <f>0</f>
        <v>0</v>
      </c>
      <c r="Z49" s="155">
        <f>0</f>
        <v>0</v>
      </c>
      <c r="AA49" s="155">
        <f>0</f>
        <v>0</v>
      </c>
      <c r="AB49" s="155">
        <f>0</f>
        <v>0</v>
      </c>
      <c r="AC49" s="155">
        <f>0</f>
        <v>0</v>
      </c>
      <c r="AD49" s="155">
        <f>0</f>
        <v>0</v>
      </c>
      <c r="AE49" s="155">
        <f>0</f>
        <v>0</v>
      </c>
      <c r="AF49" s="155">
        <f>0</f>
        <v>0</v>
      </c>
      <c r="AG49" s="155">
        <f>0</f>
        <v>0</v>
      </c>
      <c r="AH49" s="155">
        <f>0</f>
        <v>0</v>
      </c>
      <c r="AI49" s="155">
        <f>0</f>
        <v>0</v>
      </c>
      <c r="AJ49" s="155">
        <f>0</f>
        <v>0</v>
      </c>
      <c r="AK49" s="155">
        <f>0</f>
        <v>0</v>
      </c>
      <c r="AL49" s="219">
        <f t="shared" si="0"/>
        <v>4</v>
      </c>
      <c r="AM49" s="103">
        <f>0</f>
        <v>0</v>
      </c>
      <c r="AN49" s="220">
        <f t="shared" si="1"/>
        <v>4</v>
      </c>
      <c r="AO49" s="290">
        <v>45034</v>
      </c>
      <c r="AP49" s="291" t="s">
        <v>192</v>
      </c>
      <c r="AQ49" s="292" t="s">
        <v>1520</v>
      </c>
      <c r="AR49" s="293" t="s">
        <v>197</v>
      </c>
      <c r="AS49" s="307"/>
      <c r="AT49" s="302"/>
      <c r="AU49" s="303">
        <v>4</v>
      </c>
      <c r="AV49" s="304">
        <f t="shared" si="3"/>
        <v>0</v>
      </c>
      <c r="AW49" s="302" t="s">
        <v>195</v>
      </c>
      <c r="AX49" s="305"/>
      <c r="AY49" s="306"/>
      <c r="AZ49" s="299"/>
      <c r="BA49" s="174"/>
      <c r="BB49" s="174"/>
      <c r="BC49" s="174"/>
    </row>
    <row r="50" spans="1:55" ht="28" customHeight="1">
      <c r="A50" s="308">
        <v>46</v>
      </c>
      <c r="B50" s="287">
        <v>45016</v>
      </c>
      <c r="C50" s="365"/>
      <c r="D50" s="365"/>
      <c r="E50" s="365"/>
      <c r="F50" s="349" t="s">
        <v>123</v>
      </c>
      <c r="G50" s="243" t="s">
        <v>280</v>
      </c>
      <c r="H50" s="244" t="s">
        <v>129</v>
      </c>
      <c r="I50" s="243" t="s">
        <v>281</v>
      </c>
      <c r="J50" s="245" t="s">
        <v>283</v>
      </c>
      <c r="K50" s="246" t="s">
        <v>97</v>
      </c>
      <c r="L50" s="246" t="s">
        <v>159</v>
      </c>
      <c r="M50" s="243" t="s">
        <v>156</v>
      </c>
      <c r="N50" s="243" t="s">
        <v>97</v>
      </c>
      <c r="O50" s="243" t="s">
        <v>204</v>
      </c>
      <c r="P50" s="289"/>
      <c r="Q50" s="289" t="s">
        <v>288</v>
      </c>
      <c r="R50" s="154">
        <f>0</f>
        <v>0</v>
      </c>
      <c r="S50" s="155">
        <f>0</f>
        <v>0</v>
      </c>
      <c r="T50" s="155">
        <f>0</f>
        <v>0</v>
      </c>
      <c r="U50" s="158">
        <f>0</f>
        <v>0</v>
      </c>
      <c r="V50" s="158">
        <f>0</f>
        <v>0</v>
      </c>
      <c r="W50" s="263">
        <v>4</v>
      </c>
      <c r="X50" s="155">
        <f>0</f>
        <v>0</v>
      </c>
      <c r="Y50" s="155">
        <f>0</f>
        <v>0</v>
      </c>
      <c r="Z50" s="155">
        <f>0</f>
        <v>0</v>
      </c>
      <c r="AA50" s="155">
        <f>0</f>
        <v>0</v>
      </c>
      <c r="AB50" s="155">
        <f>0</f>
        <v>0</v>
      </c>
      <c r="AC50" s="155">
        <f>0</f>
        <v>0</v>
      </c>
      <c r="AD50" s="155">
        <f>0</f>
        <v>0</v>
      </c>
      <c r="AE50" s="155">
        <f>0</f>
        <v>0</v>
      </c>
      <c r="AF50" s="155">
        <f>0</f>
        <v>0</v>
      </c>
      <c r="AG50" s="155">
        <f>0</f>
        <v>0</v>
      </c>
      <c r="AH50" s="155">
        <f>0</f>
        <v>0</v>
      </c>
      <c r="AI50" s="155">
        <f>0</f>
        <v>0</v>
      </c>
      <c r="AJ50" s="155">
        <f>0</f>
        <v>0</v>
      </c>
      <c r="AK50" s="155">
        <f>0</f>
        <v>0</v>
      </c>
      <c r="AL50" s="219">
        <f t="shared" si="0"/>
        <v>4</v>
      </c>
      <c r="AM50" s="103">
        <f>0</f>
        <v>0</v>
      </c>
      <c r="AN50" s="220">
        <f t="shared" si="1"/>
        <v>4</v>
      </c>
      <c r="AO50" s="290">
        <v>45034</v>
      </c>
      <c r="AP50" s="291" t="s">
        <v>192</v>
      </c>
      <c r="AQ50" s="292" t="s">
        <v>1520</v>
      </c>
      <c r="AR50" s="293" t="s">
        <v>197</v>
      </c>
      <c r="AS50" s="307"/>
      <c r="AT50" s="302"/>
      <c r="AU50" s="303">
        <v>4</v>
      </c>
      <c r="AV50" s="304">
        <f t="shared" si="3"/>
        <v>0</v>
      </c>
      <c r="AW50" s="302" t="s">
        <v>195</v>
      </c>
      <c r="AX50" s="305"/>
      <c r="AY50" s="306"/>
      <c r="AZ50" s="299"/>
      <c r="BA50" s="174"/>
      <c r="BB50" s="174"/>
      <c r="BC50" s="174"/>
    </row>
    <row r="51" spans="1:55" ht="28" customHeight="1">
      <c r="A51" s="308">
        <v>47</v>
      </c>
      <c r="B51" s="287">
        <v>45016</v>
      </c>
      <c r="C51" s="222" t="s">
        <v>198</v>
      </c>
      <c r="D51" s="222" t="s">
        <v>199</v>
      </c>
      <c r="E51" s="222" t="s">
        <v>200</v>
      </c>
      <c r="F51" s="349" t="s">
        <v>123</v>
      </c>
      <c r="G51" s="243" t="s">
        <v>284</v>
      </c>
      <c r="H51" s="244" t="s">
        <v>129</v>
      </c>
      <c r="I51" s="243" t="s">
        <v>285</v>
      </c>
      <c r="J51" s="245" t="s">
        <v>286</v>
      </c>
      <c r="K51" s="246" t="s">
        <v>97</v>
      </c>
      <c r="L51" s="246" t="s">
        <v>159</v>
      </c>
      <c r="M51" s="243" t="s">
        <v>156</v>
      </c>
      <c r="N51" s="243" t="s">
        <v>97</v>
      </c>
      <c r="O51" s="243" t="s">
        <v>204</v>
      </c>
      <c r="P51" s="289"/>
      <c r="Q51" s="289" t="s">
        <v>288</v>
      </c>
      <c r="R51" s="154">
        <f>0</f>
        <v>0</v>
      </c>
      <c r="S51" s="155">
        <f>0</f>
        <v>0</v>
      </c>
      <c r="T51" s="155">
        <f>0</f>
        <v>0</v>
      </c>
      <c r="U51" s="158">
        <f>0</f>
        <v>0</v>
      </c>
      <c r="V51" s="158">
        <f>0</f>
        <v>0</v>
      </c>
      <c r="W51" s="263">
        <v>4</v>
      </c>
      <c r="X51" s="155">
        <f>0</f>
        <v>0</v>
      </c>
      <c r="Y51" s="155">
        <f>0</f>
        <v>0</v>
      </c>
      <c r="Z51" s="155">
        <f>0</f>
        <v>0</v>
      </c>
      <c r="AA51" s="155">
        <f>0</f>
        <v>0</v>
      </c>
      <c r="AB51" s="155">
        <f>0</f>
        <v>0</v>
      </c>
      <c r="AC51" s="155">
        <f>0</f>
        <v>0</v>
      </c>
      <c r="AD51" s="155">
        <f>0</f>
        <v>0</v>
      </c>
      <c r="AE51" s="155">
        <f>0</f>
        <v>0</v>
      </c>
      <c r="AF51" s="155">
        <f>0</f>
        <v>0</v>
      </c>
      <c r="AG51" s="155">
        <f>0</f>
        <v>0</v>
      </c>
      <c r="AH51" s="155">
        <f>0</f>
        <v>0</v>
      </c>
      <c r="AI51" s="155">
        <f>0</f>
        <v>0</v>
      </c>
      <c r="AJ51" s="155">
        <f>0</f>
        <v>0</v>
      </c>
      <c r="AK51" s="155">
        <f>0</f>
        <v>0</v>
      </c>
      <c r="AL51" s="219">
        <f t="shared" si="0"/>
        <v>4</v>
      </c>
      <c r="AM51" s="103">
        <f>0</f>
        <v>0</v>
      </c>
      <c r="AN51" s="220">
        <f t="shared" si="1"/>
        <v>4</v>
      </c>
      <c r="AO51" s="290">
        <v>45034</v>
      </c>
      <c r="AP51" s="291" t="s">
        <v>192</v>
      </c>
      <c r="AQ51" s="292" t="s">
        <v>1520</v>
      </c>
      <c r="AR51" s="293" t="s">
        <v>197</v>
      </c>
      <c r="AS51" s="307"/>
      <c r="AT51" s="302"/>
      <c r="AU51" s="303">
        <v>4</v>
      </c>
      <c r="AV51" s="304">
        <f t="shared" si="3"/>
        <v>0</v>
      </c>
      <c r="AW51" s="302" t="s">
        <v>195</v>
      </c>
      <c r="AX51" s="305"/>
      <c r="AY51" s="306"/>
      <c r="AZ51" s="299"/>
      <c r="BA51" s="174"/>
      <c r="BB51" s="174"/>
      <c r="BC51" s="174"/>
    </row>
    <row r="52" spans="1:55" ht="28" customHeight="1">
      <c r="A52" s="308">
        <v>48</v>
      </c>
      <c r="B52" s="287">
        <v>45016</v>
      </c>
      <c r="C52" s="365"/>
      <c r="D52" s="365"/>
      <c r="E52" s="365"/>
      <c r="F52" s="349" t="s">
        <v>123</v>
      </c>
      <c r="G52" s="243" t="s">
        <v>284</v>
      </c>
      <c r="H52" s="244" t="s">
        <v>129</v>
      </c>
      <c r="I52" s="243" t="s">
        <v>285</v>
      </c>
      <c r="J52" s="245" t="s">
        <v>287</v>
      </c>
      <c r="K52" s="246" t="s">
        <v>97</v>
      </c>
      <c r="L52" s="246" t="s">
        <v>159</v>
      </c>
      <c r="M52" s="243" t="s">
        <v>156</v>
      </c>
      <c r="N52" s="243" t="s">
        <v>97</v>
      </c>
      <c r="O52" s="243" t="s">
        <v>204</v>
      </c>
      <c r="P52" s="289"/>
      <c r="Q52" s="289" t="s">
        <v>288</v>
      </c>
      <c r="R52" s="154">
        <f>0</f>
        <v>0</v>
      </c>
      <c r="S52" s="155">
        <f>0</f>
        <v>0</v>
      </c>
      <c r="T52" s="155">
        <f>0</f>
        <v>0</v>
      </c>
      <c r="U52" s="158">
        <f>0</f>
        <v>0</v>
      </c>
      <c r="V52" s="158">
        <f>0</f>
        <v>0</v>
      </c>
      <c r="W52" s="263">
        <v>4</v>
      </c>
      <c r="X52" s="155">
        <f>0</f>
        <v>0</v>
      </c>
      <c r="Y52" s="155">
        <f>0</f>
        <v>0</v>
      </c>
      <c r="Z52" s="155">
        <f>0</f>
        <v>0</v>
      </c>
      <c r="AA52" s="155">
        <f>0</f>
        <v>0</v>
      </c>
      <c r="AB52" s="155">
        <f>0</f>
        <v>0</v>
      </c>
      <c r="AC52" s="155">
        <f>0</f>
        <v>0</v>
      </c>
      <c r="AD52" s="155">
        <f>0</f>
        <v>0</v>
      </c>
      <c r="AE52" s="155">
        <f>0</f>
        <v>0</v>
      </c>
      <c r="AF52" s="155">
        <f>0</f>
        <v>0</v>
      </c>
      <c r="AG52" s="155">
        <f>0</f>
        <v>0</v>
      </c>
      <c r="AH52" s="155">
        <f>0</f>
        <v>0</v>
      </c>
      <c r="AI52" s="155">
        <f>0</f>
        <v>0</v>
      </c>
      <c r="AJ52" s="155">
        <f>0</f>
        <v>0</v>
      </c>
      <c r="AK52" s="155">
        <f>0</f>
        <v>0</v>
      </c>
      <c r="AL52" s="219">
        <f t="shared" si="0"/>
        <v>4</v>
      </c>
      <c r="AM52" s="103">
        <f>0</f>
        <v>0</v>
      </c>
      <c r="AN52" s="220">
        <f t="shared" si="1"/>
        <v>4</v>
      </c>
      <c r="AO52" s="290">
        <v>45034</v>
      </c>
      <c r="AP52" s="291" t="s">
        <v>192</v>
      </c>
      <c r="AQ52" s="292" t="s">
        <v>1520</v>
      </c>
      <c r="AR52" s="293" t="s">
        <v>197</v>
      </c>
      <c r="AS52" s="307"/>
      <c r="AT52" s="302"/>
      <c r="AU52" s="303">
        <v>4</v>
      </c>
      <c r="AV52" s="304">
        <f t="shared" si="3"/>
        <v>0</v>
      </c>
      <c r="AW52" s="302" t="s">
        <v>195</v>
      </c>
      <c r="AX52" s="305"/>
      <c r="AY52" s="306"/>
      <c r="AZ52" s="299"/>
      <c r="BA52" s="174"/>
      <c r="BB52" s="174"/>
      <c r="BC52" s="174"/>
    </row>
    <row r="53" spans="1:55" ht="28" customHeight="1">
      <c r="A53" s="308">
        <v>49</v>
      </c>
      <c r="B53" s="287">
        <v>45016</v>
      </c>
      <c r="C53" s="222" t="s">
        <v>198</v>
      </c>
      <c r="D53" s="222" t="s">
        <v>199</v>
      </c>
      <c r="E53" s="222" t="s">
        <v>200</v>
      </c>
      <c r="F53" s="349" t="s">
        <v>123</v>
      </c>
      <c r="G53" s="243" t="s">
        <v>293</v>
      </c>
      <c r="H53" s="244" t="s">
        <v>129</v>
      </c>
      <c r="I53" s="243" t="s">
        <v>294</v>
      </c>
      <c r="J53" s="245" t="s">
        <v>295</v>
      </c>
      <c r="K53" s="246" t="s">
        <v>97</v>
      </c>
      <c r="L53" s="246" t="s">
        <v>165</v>
      </c>
      <c r="M53" s="243" t="s">
        <v>279</v>
      </c>
      <c r="N53" s="243" t="s">
        <v>97</v>
      </c>
      <c r="O53" s="243" t="s">
        <v>296</v>
      </c>
      <c r="P53" s="289"/>
      <c r="Q53" s="289" t="s">
        <v>297</v>
      </c>
      <c r="R53" s="154">
        <f>0</f>
        <v>0</v>
      </c>
      <c r="S53" s="155">
        <f>0</f>
        <v>0</v>
      </c>
      <c r="T53" s="155">
        <f>0</f>
        <v>0</v>
      </c>
      <c r="U53" s="158">
        <f>0</f>
        <v>0</v>
      </c>
      <c r="V53" s="158">
        <f>0</f>
        <v>0</v>
      </c>
      <c r="W53" s="263">
        <v>1</v>
      </c>
      <c r="X53" s="155">
        <f>0</f>
        <v>0</v>
      </c>
      <c r="Y53" s="155">
        <f>0</f>
        <v>0</v>
      </c>
      <c r="Z53" s="155">
        <f>0</f>
        <v>0</v>
      </c>
      <c r="AA53" s="155">
        <f>0</f>
        <v>0</v>
      </c>
      <c r="AB53" s="155">
        <f>0</f>
        <v>0</v>
      </c>
      <c r="AC53" s="155">
        <f>0</f>
        <v>0</v>
      </c>
      <c r="AD53" s="155">
        <f>0</f>
        <v>0</v>
      </c>
      <c r="AE53" s="155">
        <f>0</f>
        <v>0</v>
      </c>
      <c r="AF53" s="155">
        <f>0</f>
        <v>0</v>
      </c>
      <c r="AG53" s="155">
        <f>0</f>
        <v>0</v>
      </c>
      <c r="AH53" s="155">
        <f>0</f>
        <v>0</v>
      </c>
      <c r="AI53" s="155">
        <f>0</f>
        <v>0</v>
      </c>
      <c r="AJ53" s="155">
        <f>0</f>
        <v>0</v>
      </c>
      <c r="AK53" s="155">
        <f>0</f>
        <v>0</v>
      </c>
      <c r="AL53" s="219">
        <f t="shared" si="0"/>
        <v>1</v>
      </c>
      <c r="AM53" s="103">
        <f>0</f>
        <v>0</v>
      </c>
      <c r="AN53" s="220">
        <f t="shared" si="1"/>
        <v>1</v>
      </c>
      <c r="AO53" s="348">
        <v>45034</v>
      </c>
      <c r="AP53" s="296" t="s">
        <v>192</v>
      </c>
      <c r="AQ53" s="292" t="s">
        <v>1522</v>
      </c>
      <c r="AR53" s="293" t="s">
        <v>194</v>
      </c>
      <c r="AS53" s="301">
        <v>45078</v>
      </c>
      <c r="AT53" s="302"/>
      <c r="AU53" s="303">
        <v>1</v>
      </c>
      <c r="AV53" s="304">
        <f t="shared" si="3"/>
        <v>0</v>
      </c>
      <c r="AW53" s="302" t="s">
        <v>195</v>
      </c>
      <c r="AX53" s="305"/>
      <c r="AY53" s="306"/>
      <c r="AZ53" s="299"/>
      <c r="BA53" s="174"/>
      <c r="BB53" s="174"/>
      <c r="BC53" s="174"/>
    </row>
    <row r="54" spans="1:55" ht="28" customHeight="1">
      <c r="A54" s="308">
        <v>50</v>
      </c>
      <c r="B54" s="287">
        <v>45016</v>
      </c>
      <c r="C54" s="222" t="s">
        <v>198</v>
      </c>
      <c r="D54" s="222" t="s">
        <v>199</v>
      </c>
      <c r="E54" s="222" t="s">
        <v>200</v>
      </c>
      <c r="F54" s="349" t="s">
        <v>123</v>
      </c>
      <c r="G54" s="243" t="s">
        <v>298</v>
      </c>
      <c r="H54" s="244" t="s">
        <v>129</v>
      </c>
      <c r="I54" s="243" t="s">
        <v>299</v>
      </c>
      <c r="J54" s="245" t="s">
        <v>300</v>
      </c>
      <c r="K54" s="246" t="s">
        <v>97</v>
      </c>
      <c r="L54" s="246" t="s">
        <v>165</v>
      </c>
      <c r="M54" s="243" t="s">
        <v>279</v>
      </c>
      <c r="N54" s="243" t="s">
        <v>97</v>
      </c>
      <c r="O54" s="243" t="s">
        <v>296</v>
      </c>
      <c r="P54" s="289"/>
      <c r="Q54" s="289" t="s">
        <v>297</v>
      </c>
      <c r="R54" s="154">
        <f>0</f>
        <v>0</v>
      </c>
      <c r="S54" s="155">
        <f>0</f>
        <v>0</v>
      </c>
      <c r="T54" s="155">
        <f>0</f>
        <v>0</v>
      </c>
      <c r="U54" s="158">
        <f>0</f>
        <v>0</v>
      </c>
      <c r="V54" s="158">
        <f>0</f>
        <v>0</v>
      </c>
      <c r="W54" s="263">
        <v>2</v>
      </c>
      <c r="X54" s="155">
        <f>0</f>
        <v>0</v>
      </c>
      <c r="Y54" s="155">
        <f>0</f>
        <v>0</v>
      </c>
      <c r="Z54" s="155">
        <f>0</f>
        <v>0</v>
      </c>
      <c r="AA54" s="155">
        <f>0</f>
        <v>0</v>
      </c>
      <c r="AB54" s="155">
        <f>0</f>
        <v>0</v>
      </c>
      <c r="AC54" s="155">
        <f>0</f>
        <v>0</v>
      </c>
      <c r="AD54" s="155">
        <f>0</f>
        <v>0</v>
      </c>
      <c r="AE54" s="155">
        <f>0</f>
        <v>0</v>
      </c>
      <c r="AF54" s="155">
        <f>0</f>
        <v>0</v>
      </c>
      <c r="AG54" s="155">
        <f>0</f>
        <v>0</v>
      </c>
      <c r="AH54" s="155">
        <f>0</f>
        <v>0</v>
      </c>
      <c r="AI54" s="155">
        <f>0</f>
        <v>0</v>
      </c>
      <c r="AJ54" s="155">
        <f>0</f>
        <v>0</v>
      </c>
      <c r="AK54" s="155">
        <f>0</f>
        <v>0</v>
      </c>
      <c r="AL54" s="219">
        <f t="shared" si="0"/>
        <v>2</v>
      </c>
      <c r="AM54" s="103">
        <f>0</f>
        <v>0</v>
      </c>
      <c r="AN54" s="220">
        <f t="shared" si="1"/>
        <v>2</v>
      </c>
      <c r="AO54" s="348">
        <v>45034</v>
      </c>
      <c r="AP54" s="296" t="s">
        <v>192</v>
      </c>
      <c r="AQ54" s="292" t="s">
        <v>1522</v>
      </c>
      <c r="AR54" s="293" t="s">
        <v>194</v>
      </c>
      <c r="AS54" s="301">
        <v>45078</v>
      </c>
      <c r="AT54" s="302"/>
      <c r="AU54" s="303">
        <v>2</v>
      </c>
      <c r="AV54" s="304">
        <f t="shared" si="3"/>
        <v>0</v>
      </c>
      <c r="AW54" s="302" t="s">
        <v>195</v>
      </c>
      <c r="AX54" s="305"/>
      <c r="AY54" s="306"/>
      <c r="AZ54" s="299"/>
      <c r="BA54" s="174"/>
      <c r="BB54" s="174"/>
      <c r="BC54" s="174"/>
    </row>
    <row r="55" spans="1:55" ht="28" customHeight="1">
      <c r="A55" s="308">
        <v>51</v>
      </c>
      <c r="B55" s="287">
        <v>45016</v>
      </c>
      <c r="C55" s="222" t="s">
        <v>198</v>
      </c>
      <c r="D55" s="222" t="s">
        <v>199</v>
      </c>
      <c r="E55" s="222" t="s">
        <v>200</v>
      </c>
      <c r="F55" s="349" t="s">
        <v>123</v>
      </c>
      <c r="G55" s="243" t="s">
        <v>301</v>
      </c>
      <c r="H55" s="244" t="s">
        <v>129</v>
      </c>
      <c r="I55" s="243" t="s">
        <v>302</v>
      </c>
      <c r="J55" s="245" t="s">
        <v>303</v>
      </c>
      <c r="K55" s="246" t="s">
        <v>97</v>
      </c>
      <c r="L55" s="246" t="s">
        <v>165</v>
      </c>
      <c r="M55" s="243" t="s">
        <v>147</v>
      </c>
      <c r="N55" s="243" t="s">
        <v>97</v>
      </c>
      <c r="O55" s="243" t="s">
        <v>177</v>
      </c>
      <c r="P55" s="289"/>
      <c r="Q55" s="289" t="s">
        <v>304</v>
      </c>
      <c r="R55" s="154">
        <f>0</f>
        <v>0</v>
      </c>
      <c r="S55" s="155">
        <f>0</f>
        <v>0</v>
      </c>
      <c r="T55" s="155">
        <f>0</f>
        <v>0</v>
      </c>
      <c r="U55" s="158">
        <f>0</f>
        <v>0</v>
      </c>
      <c r="V55" s="158">
        <f>0</f>
        <v>0</v>
      </c>
      <c r="W55" s="263">
        <v>2</v>
      </c>
      <c r="X55" s="155">
        <f>0</f>
        <v>0</v>
      </c>
      <c r="Y55" s="155">
        <f>0</f>
        <v>0</v>
      </c>
      <c r="Z55" s="155">
        <f>0</f>
        <v>0</v>
      </c>
      <c r="AA55" s="155">
        <f>0</f>
        <v>0</v>
      </c>
      <c r="AB55" s="155">
        <f>0</f>
        <v>0</v>
      </c>
      <c r="AC55" s="155">
        <f>0</f>
        <v>0</v>
      </c>
      <c r="AD55" s="155">
        <f>0</f>
        <v>0</v>
      </c>
      <c r="AE55" s="155">
        <f>0</f>
        <v>0</v>
      </c>
      <c r="AF55" s="155">
        <f>0</f>
        <v>0</v>
      </c>
      <c r="AG55" s="155">
        <f>0</f>
        <v>0</v>
      </c>
      <c r="AH55" s="155">
        <f>0</f>
        <v>0</v>
      </c>
      <c r="AI55" s="155">
        <f>0</f>
        <v>0</v>
      </c>
      <c r="AJ55" s="155">
        <f>0</f>
        <v>0</v>
      </c>
      <c r="AK55" s="155">
        <f>0</f>
        <v>0</v>
      </c>
      <c r="AL55" s="219">
        <f t="shared" si="0"/>
        <v>2</v>
      </c>
      <c r="AM55" s="103">
        <f>0</f>
        <v>0</v>
      </c>
      <c r="AN55" s="220">
        <f t="shared" si="1"/>
        <v>2</v>
      </c>
      <c r="AO55" s="348">
        <v>45034</v>
      </c>
      <c r="AP55" s="296" t="s">
        <v>192</v>
      </c>
      <c r="AQ55" s="292" t="s">
        <v>1522</v>
      </c>
      <c r="AR55" s="293" t="s">
        <v>194</v>
      </c>
      <c r="AS55" s="301">
        <v>45078</v>
      </c>
      <c r="AT55" s="302"/>
      <c r="AU55" s="303">
        <v>2</v>
      </c>
      <c r="AV55" s="304">
        <f t="shared" si="3"/>
        <v>0</v>
      </c>
      <c r="AW55" s="302" t="s">
        <v>195</v>
      </c>
      <c r="AX55" s="305"/>
      <c r="AY55" s="306"/>
      <c r="AZ55" s="299"/>
      <c r="BA55" s="174"/>
      <c r="BB55" s="174"/>
      <c r="BC55" s="174"/>
    </row>
    <row r="56" spans="1:55" ht="28" customHeight="1">
      <c r="A56" s="308">
        <v>52</v>
      </c>
      <c r="B56" s="287">
        <v>45016</v>
      </c>
      <c r="C56" s="222" t="s">
        <v>198</v>
      </c>
      <c r="D56" s="222" t="s">
        <v>199</v>
      </c>
      <c r="E56" s="222" t="s">
        <v>200</v>
      </c>
      <c r="F56" s="349" t="s">
        <v>123</v>
      </c>
      <c r="G56" s="243" t="s">
        <v>305</v>
      </c>
      <c r="H56" s="244" t="s">
        <v>129</v>
      </c>
      <c r="I56" s="243" t="s">
        <v>306</v>
      </c>
      <c r="J56" s="245" t="s">
        <v>307</v>
      </c>
      <c r="K56" s="246" t="s">
        <v>97</v>
      </c>
      <c r="L56" s="246" t="s">
        <v>308</v>
      </c>
      <c r="M56" s="243" t="s">
        <v>147</v>
      </c>
      <c r="N56" s="243" t="s">
        <v>97</v>
      </c>
      <c r="O56" s="243" t="s">
        <v>292</v>
      </c>
      <c r="P56" s="289"/>
      <c r="Q56" s="289" t="s">
        <v>304</v>
      </c>
      <c r="R56" s="154">
        <f>0</f>
        <v>0</v>
      </c>
      <c r="S56" s="155">
        <f>0</f>
        <v>0</v>
      </c>
      <c r="T56" s="155">
        <f>0</f>
        <v>0</v>
      </c>
      <c r="U56" s="158">
        <f>0</f>
        <v>0</v>
      </c>
      <c r="V56" s="158">
        <f>0</f>
        <v>0</v>
      </c>
      <c r="W56" s="263">
        <v>2</v>
      </c>
      <c r="X56" s="155">
        <f>0</f>
        <v>0</v>
      </c>
      <c r="Y56" s="155">
        <f>0</f>
        <v>0</v>
      </c>
      <c r="Z56" s="155">
        <f>0</f>
        <v>0</v>
      </c>
      <c r="AA56" s="155">
        <f>0</f>
        <v>0</v>
      </c>
      <c r="AB56" s="155">
        <f>0</f>
        <v>0</v>
      </c>
      <c r="AC56" s="155">
        <f>0</f>
        <v>0</v>
      </c>
      <c r="AD56" s="155">
        <f>0</f>
        <v>0</v>
      </c>
      <c r="AE56" s="155">
        <f>0</f>
        <v>0</v>
      </c>
      <c r="AF56" s="155">
        <f>0</f>
        <v>0</v>
      </c>
      <c r="AG56" s="155">
        <f>0</f>
        <v>0</v>
      </c>
      <c r="AH56" s="155">
        <f>0</f>
        <v>0</v>
      </c>
      <c r="AI56" s="155">
        <f>0</f>
        <v>0</v>
      </c>
      <c r="AJ56" s="155">
        <f>0</f>
        <v>0</v>
      </c>
      <c r="AK56" s="155">
        <f>0</f>
        <v>0</v>
      </c>
      <c r="AL56" s="219">
        <f t="shared" si="0"/>
        <v>2</v>
      </c>
      <c r="AM56" s="103">
        <f>0</f>
        <v>0</v>
      </c>
      <c r="AN56" s="220">
        <f t="shared" si="1"/>
        <v>2</v>
      </c>
      <c r="AO56" s="348">
        <v>45034</v>
      </c>
      <c r="AP56" s="296" t="s">
        <v>192</v>
      </c>
      <c r="AQ56" s="292" t="s">
        <v>1522</v>
      </c>
      <c r="AR56" s="293" t="s">
        <v>194</v>
      </c>
      <c r="AS56" s="301">
        <v>45078</v>
      </c>
      <c r="AT56" s="302"/>
      <c r="AU56" s="303"/>
      <c r="AV56" s="304">
        <f t="shared" si="3"/>
        <v>2</v>
      </c>
      <c r="AW56" s="302" t="s">
        <v>195</v>
      </c>
      <c r="AX56" s="305"/>
      <c r="AY56" s="306"/>
      <c r="AZ56" s="299"/>
      <c r="BA56" s="174"/>
      <c r="BB56" s="174"/>
      <c r="BC56" s="174"/>
    </row>
    <row r="57" spans="1:55" ht="28" customHeight="1">
      <c r="A57" s="308">
        <v>53</v>
      </c>
      <c r="B57" s="287">
        <v>45016</v>
      </c>
      <c r="C57" s="222" t="s">
        <v>198</v>
      </c>
      <c r="D57" s="222" t="s">
        <v>199</v>
      </c>
      <c r="E57" s="222" t="s">
        <v>200</v>
      </c>
      <c r="F57" s="349" t="s">
        <v>123</v>
      </c>
      <c r="G57" s="243" t="s">
        <v>309</v>
      </c>
      <c r="H57" s="244" t="s">
        <v>129</v>
      </c>
      <c r="I57" s="243" t="s">
        <v>310</v>
      </c>
      <c r="J57" s="245" t="s">
        <v>311</v>
      </c>
      <c r="K57" s="246" t="s">
        <v>97</v>
      </c>
      <c r="L57" s="246" t="s">
        <v>234</v>
      </c>
      <c r="M57" s="243" t="s">
        <v>156</v>
      </c>
      <c r="N57" s="243" t="s">
        <v>97</v>
      </c>
      <c r="O57" s="243" t="s">
        <v>292</v>
      </c>
      <c r="P57" s="289"/>
      <c r="Q57" s="289" t="s">
        <v>304</v>
      </c>
      <c r="R57" s="154">
        <f>0</f>
        <v>0</v>
      </c>
      <c r="S57" s="155">
        <f>0</f>
        <v>0</v>
      </c>
      <c r="T57" s="155">
        <f>0</f>
        <v>0</v>
      </c>
      <c r="U57" s="158">
        <f>0</f>
        <v>0</v>
      </c>
      <c r="V57" s="158">
        <f>0</f>
        <v>0</v>
      </c>
      <c r="W57" s="263">
        <v>1</v>
      </c>
      <c r="X57" s="155">
        <f>0</f>
        <v>0</v>
      </c>
      <c r="Y57" s="155">
        <f>0</f>
        <v>0</v>
      </c>
      <c r="Z57" s="155">
        <f>0</f>
        <v>0</v>
      </c>
      <c r="AA57" s="155">
        <f>0</f>
        <v>0</v>
      </c>
      <c r="AB57" s="155">
        <f>0</f>
        <v>0</v>
      </c>
      <c r="AC57" s="155">
        <f>0</f>
        <v>0</v>
      </c>
      <c r="AD57" s="155">
        <f>0</f>
        <v>0</v>
      </c>
      <c r="AE57" s="155">
        <f>0</f>
        <v>0</v>
      </c>
      <c r="AF57" s="155">
        <f>0</f>
        <v>0</v>
      </c>
      <c r="AG57" s="155">
        <f>0</f>
        <v>0</v>
      </c>
      <c r="AH57" s="155">
        <f>0</f>
        <v>0</v>
      </c>
      <c r="AI57" s="155">
        <f>0</f>
        <v>0</v>
      </c>
      <c r="AJ57" s="155">
        <f>0</f>
        <v>0</v>
      </c>
      <c r="AK57" s="155">
        <f>0</f>
        <v>0</v>
      </c>
      <c r="AL57" s="219">
        <f t="shared" si="0"/>
        <v>1</v>
      </c>
      <c r="AM57" s="103">
        <f>0</f>
        <v>0</v>
      </c>
      <c r="AN57" s="220">
        <f t="shared" si="1"/>
        <v>1</v>
      </c>
      <c r="AO57" s="290">
        <v>45034</v>
      </c>
      <c r="AP57" s="291" t="s">
        <v>192</v>
      </c>
      <c r="AQ57" s="292" t="s">
        <v>1520</v>
      </c>
      <c r="AR57" s="293" t="s">
        <v>197</v>
      </c>
      <c r="AS57" s="307"/>
      <c r="AT57" s="302"/>
      <c r="AU57" s="303">
        <v>1</v>
      </c>
      <c r="AV57" s="304">
        <f t="shared" si="3"/>
        <v>0</v>
      </c>
      <c r="AW57" s="302" t="s">
        <v>195</v>
      </c>
      <c r="AX57" s="305"/>
      <c r="AY57" s="306"/>
      <c r="AZ57" s="299"/>
      <c r="BA57" s="174"/>
      <c r="BB57" s="174"/>
      <c r="BC57" s="174"/>
    </row>
    <row r="58" spans="1:55" ht="28" customHeight="1">
      <c r="A58" s="308">
        <v>54</v>
      </c>
      <c r="B58" s="287">
        <v>45016</v>
      </c>
      <c r="C58" s="222" t="s">
        <v>198</v>
      </c>
      <c r="D58" s="222" t="s">
        <v>199</v>
      </c>
      <c r="E58" s="222" t="s">
        <v>200</v>
      </c>
      <c r="F58" s="349" t="s">
        <v>123</v>
      </c>
      <c r="G58" s="243" t="s">
        <v>312</v>
      </c>
      <c r="H58" s="244" t="s">
        <v>129</v>
      </c>
      <c r="I58" s="243" t="s">
        <v>313</v>
      </c>
      <c r="J58" s="245" t="s">
        <v>314</v>
      </c>
      <c r="K58" s="246" t="s">
        <v>97</v>
      </c>
      <c r="L58" s="246" t="s">
        <v>234</v>
      </c>
      <c r="M58" s="243" t="s">
        <v>156</v>
      </c>
      <c r="N58" s="243" t="s">
        <v>97</v>
      </c>
      <c r="O58" s="243" t="s">
        <v>292</v>
      </c>
      <c r="P58" s="289"/>
      <c r="Q58" s="289" t="s">
        <v>304</v>
      </c>
      <c r="R58" s="154">
        <f>0</f>
        <v>0</v>
      </c>
      <c r="S58" s="155">
        <f>0</f>
        <v>0</v>
      </c>
      <c r="T58" s="155">
        <f>0</f>
        <v>0</v>
      </c>
      <c r="U58" s="158">
        <f>0</f>
        <v>0</v>
      </c>
      <c r="V58" s="158">
        <f>0</f>
        <v>0</v>
      </c>
      <c r="W58" s="263">
        <v>2</v>
      </c>
      <c r="X58" s="155">
        <f>0</f>
        <v>0</v>
      </c>
      <c r="Y58" s="155">
        <f>0</f>
        <v>0</v>
      </c>
      <c r="Z58" s="155">
        <f>0</f>
        <v>0</v>
      </c>
      <c r="AA58" s="155">
        <f>0</f>
        <v>0</v>
      </c>
      <c r="AB58" s="155">
        <f>0</f>
        <v>0</v>
      </c>
      <c r="AC58" s="155">
        <f>0</f>
        <v>0</v>
      </c>
      <c r="AD58" s="155">
        <f>0</f>
        <v>0</v>
      </c>
      <c r="AE58" s="155">
        <f>0</f>
        <v>0</v>
      </c>
      <c r="AF58" s="155">
        <f>0</f>
        <v>0</v>
      </c>
      <c r="AG58" s="155">
        <f>0</f>
        <v>0</v>
      </c>
      <c r="AH58" s="155">
        <f>0</f>
        <v>0</v>
      </c>
      <c r="AI58" s="155">
        <f>0</f>
        <v>0</v>
      </c>
      <c r="AJ58" s="155">
        <f>0</f>
        <v>0</v>
      </c>
      <c r="AK58" s="155">
        <f>0</f>
        <v>0</v>
      </c>
      <c r="AL58" s="219">
        <f t="shared" si="0"/>
        <v>2</v>
      </c>
      <c r="AM58" s="103">
        <f>0</f>
        <v>0</v>
      </c>
      <c r="AN58" s="220">
        <f t="shared" si="1"/>
        <v>2</v>
      </c>
      <c r="AO58" s="290">
        <v>45034</v>
      </c>
      <c r="AP58" s="291" t="s">
        <v>192</v>
      </c>
      <c r="AQ58" s="292" t="s">
        <v>1520</v>
      </c>
      <c r="AR58" s="293" t="s">
        <v>197</v>
      </c>
      <c r="AS58" s="307"/>
      <c r="AT58" s="302"/>
      <c r="AU58" s="303">
        <v>2</v>
      </c>
      <c r="AV58" s="304">
        <f t="shared" si="3"/>
        <v>0</v>
      </c>
      <c r="AW58" s="302" t="s">
        <v>195</v>
      </c>
      <c r="AX58" s="305"/>
      <c r="AY58" s="306"/>
      <c r="AZ58" s="299"/>
      <c r="BA58" s="174"/>
      <c r="BB58" s="174"/>
      <c r="BC58" s="174"/>
    </row>
    <row r="59" spans="1:55" ht="28" customHeight="1">
      <c r="A59" s="308">
        <v>55</v>
      </c>
      <c r="B59" s="287">
        <v>45016</v>
      </c>
      <c r="C59" s="222" t="s">
        <v>198</v>
      </c>
      <c r="D59" s="222" t="s">
        <v>199</v>
      </c>
      <c r="E59" s="222" t="s">
        <v>200</v>
      </c>
      <c r="F59" s="349" t="s">
        <v>123</v>
      </c>
      <c r="G59" s="243" t="s">
        <v>315</v>
      </c>
      <c r="H59" s="244" t="s">
        <v>129</v>
      </c>
      <c r="I59" s="243" t="s">
        <v>316</v>
      </c>
      <c r="J59" s="245" t="s">
        <v>317</v>
      </c>
      <c r="K59" s="246" t="s">
        <v>97</v>
      </c>
      <c r="L59" s="246" t="s">
        <v>234</v>
      </c>
      <c r="M59" s="243" t="s">
        <v>156</v>
      </c>
      <c r="N59" s="243" t="s">
        <v>97</v>
      </c>
      <c r="O59" s="243" t="s">
        <v>292</v>
      </c>
      <c r="P59" s="289"/>
      <c r="Q59" s="289" t="s">
        <v>304</v>
      </c>
      <c r="R59" s="154">
        <f>0</f>
        <v>0</v>
      </c>
      <c r="S59" s="155">
        <f>0</f>
        <v>0</v>
      </c>
      <c r="T59" s="155">
        <f>0</f>
        <v>0</v>
      </c>
      <c r="U59" s="158">
        <f>0</f>
        <v>0</v>
      </c>
      <c r="V59" s="158">
        <f>0</f>
        <v>0</v>
      </c>
      <c r="W59" s="263">
        <v>1</v>
      </c>
      <c r="X59" s="155">
        <f>0</f>
        <v>0</v>
      </c>
      <c r="Y59" s="155">
        <f>0</f>
        <v>0</v>
      </c>
      <c r="Z59" s="155">
        <f>0</f>
        <v>0</v>
      </c>
      <c r="AA59" s="155">
        <f>0</f>
        <v>0</v>
      </c>
      <c r="AB59" s="155">
        <f>0</f>
        <v>0</v>
      </c>
      <c r="AC59" s="155">
        <f>0</f>
        <v>0</v>
      </c>
      <c r="AD59" s="155">
        <f>0</f>
        <v>0</v>
      </c>
      <c r="AE59" s="155">
        <f>0</f>
        <v>0</v>
      </c>
      <c r="AF59" s="155">
        <f>0</f>
        <v>0</v>
      </c>
      <c r="AG59" s="155">
        <f>0</f>
        <v>0</v>
      </c>
      <c r="AH59" s="155">
        <f>0</f>
        <v>0</v>
      </c>
      <c r="AI59" s="155">
        <f>0</f>
        <v>0</v>
      </c>
      <c r="AJ59" s="155">
        <f>0</f>
        <v>0</v>
      </c>
      <c r="AK59" s="155">
        <f>0</f>
        <v>0</v>
      </c>
      <c r="AL59" s="219">
        <f t="shared" si="0"/>
        <v>1</v>
      </c>
      <c r="AM59" s="103">
        <f>0</f>
        <v>0</v>
      </c>
      <c r="AN59" s="220">
        <f t="shared" si="1"/>
        <v>1</v>
      </c>
      <c r="AO59" s="290">
        <v>45034</v>
      </c>
      <c r="AP59" s="291" t="s">
        <v>192</v>
      </c>
      <c r="AQ59" s="292" t="s">
        <v>1520</v>
      </c>
      <c r="AR59" s="293" t="s">
        <v>197</v>
      </c>
      <c r="AS59" s="307"/>
      <c r="AT59" s="302"/>
      <c r="AU59" s="303">
        <v>1</v>
      </c>
      <c r="AV59" s="304">
        <f t="shared" si="3"/>
        <v>0</v>
      </c>
      <c r="AW59" s="302" t="s">
        <v>195</v>
      </c>
      <c r="AX59" s="305"/>
      <c r="AY59" s="306"/>
      <c r="AZ59" s="299"/>
      <c r="BA59" s="174"/>
      <c r="BB59" s="174"/>
      <c r="BC59" s="174"/>
    </row>
    <row r="60" spans="1:55" ht="28" customHeight="1">
      <c r="A60" s="308">
        <v>56</v>
      </c>
      <c r="B60" s="287">
        <v>45016</v>
      </c>
      <c r="C60" s="222" t="s">
        <v>198</v>
      </c>
      <c r="D60" s="222" t="s">
        <v>199</v>
      </c>
      <c r="E60" s="222" t="s">
        <v>200</v>
      </c>
      <c r="F60" s="349" t="s">
        <v>123</v>
      </c>
      <c r="G60" s="243" t="s">
        <v>318</v>
      </c>
      <c r="H60" s="244" t="s">
        <v>129</v>
      </c>
      <c r="I60" s="243" t="s">
        <v>319</v>
      </c>
      <c r="J60" s="245" t="s">
        <v>320</v>
      </c>
      <c r="K60" s="246" t="s">
        <v>97</v>
      </c>
      <c r="L60" s="246" t="s">
        <v>159</v>
      </c>
      <c r="M60" s="243" t="s">
        <v>156</v>
      </c>
      <c r="N60" s="243" t="s">
        <v>97</v>
      </c>
      <c r="O60" s="243" t="s">
        <v>327</v>
      </c>
      <c r="P60" s="289"/>
      <c r="Q60" s="289" t="s">
        <v>321</v>
      </c>
      <c r="R60" s="154">
        <f>0</f>
        <v>0</v>
      </c>
      <c r="S60" s="155">
        <f>0</f>
        <v>0</v>
      </c>
      <c r="T60" s="155">
        <f>0</f>
        <v>0</v>
      </c>
      <c r="U60" s="158">
        <f>0</f>
        <v>0</v>
      </c>
      <c r="V60" s="158">
        <f>0</f>
        <v>0</v>
      </c>
      <c r="W60" s="263">
        <v>1</v>
      </c>
      <c r="X60" s="155">
        <f>0</f>
        <v>0</v>
      </c>
      <c r="Y60" s="155">
        <f>0</f>
        <v>0</v>
      </c>
      <c r="Z60" s="155">
        <f>0</f>
        <v>0</v>
      </c>
      <c r="AA60" s="155">
        <f>0</f>
        <v>0</v>
      </c>
      <c r="AB60" s="155">
        <f>0</f>
        <v>0</v>
      </c>
      <c r="AC60" s="155">
        <f>0</f>
        <v>0</v>
      </c>
      <c r="AD60" s="155">
        <f>0</f>
        <v>0</v>
      </c>
      <c r="AE60" s="155">
        <f>0</f>
        <v>0</v>
      </c>
      <c r="AF60" s="155">
        <f>0</f>
        <v>0</v>
      </c>
      <c r="AG60" s="155">
        <f>0</f>
        <v>0</v>
      </c>
      <c r="AH60" s="155">
        <f>0</f>
        <v>0</v>
      </c>
      <c r="AI60" s="155">
        <f>0</f>
        <v>0</v>
      </c>
      <c r="AJ60" s="155">
        <f>0</f>
        <v>0</v>
      </c>
      <c r="AK60" s="155">
        <f>0</f>
        <v>0</v>
      </c>
      <c r="AL60" s="219">
        <f t="shared" si="0"/>
        <v>1</v>
      </c>
      <c r="AM60" s="103">
        <f>0</f>
        <v>0</v>
      </c>
      <c r="AN60" s="220">
        <f t="shared" si="1"/>
        <v>1</v>
      </c>
      <c r="AO60" s="290">
        <v>45034</v>
      </c>
      <c r="AP60" s="291" t="s">
        <v>192</v>
      </c>
      <c r="AQ60" s="292" t="s">
        <v>1520</v>
      </c>
      <c r="AR60" s="293" t="s">
        <v>197</v>
      </c>
      <c r="AS60" s="307"/>
      <c r="AT60" s="302"/>
      <c r="AU60" s="303">
        <v>1</v>
      </c>
      <c r="AV60" s="304">
        <f t="shared" si="3"/>
        <v>0</v>
      </c>
      <c r="AW60" s="302" t="s">
        <v>195</v>
      </c>
      <c r="AX60" s="305"/>
      <c r="AY60" s="306"/>
      <c r="AZ60" s="299"/>
      <c r="BA60" s="174"/>
      <c r="BB60" s="174"/>
      <c r="BC60" s="174"/>
    </row>
    <row r="61" spans="1:55" ht="28" customHeight="1">
      <c r="A61" s="308">
        <v>57</v>
      </c>
      <c r="B61" s="287">
        <v>45016</v>
      </c>
      <c r="C61" s="222" t="s">
        <v>198</v>
      </c>
      <c r="D61" s="222" t="s">
        <v>199</v>
      </c>
      <c r="E61" s="222" t="s">
        <v>200</v>
      </c>
      <c r="F61" s="349" t="s">
        <v>123</v>
      </c>
      <c r="G61" s="243" t="s">
        <v>322</v>
      </c>
      <c r="H61" s="244" t="s">
        <v>323</v>
      </c>
      <c r="I61" s="243" t="s">
        <v>324</v>
      </c>
      <c r="J61" s="245" t="s">
        <v>325</v>
      </c>
      <c r="K61" s="246" t="s">
        <v>97</v>
      </c>
      <c r="L61" s="246" t="s">
        <v>326</v>
      </c>
      <c r="M61" s="243" t="s">
        <v>156</v>
      </c>
      <c r="N61" s="243" t="s">
        <v>97</v>
      </c>
      <c r="O61" s="243" t="s">
        <v>327</v>
      </c>
      <c r="P61" s="289"/>
      <c r="Q61" s="289" t="s">
        <v>321</v>
      </c>
      <c r="R61" s="154">
        <f>0</f>
        <v>0</v>
      </c>
      <c r="S61" s="155">
        <f>0</f>
        <v>0</v>
      </c>
      <c r="T61" s="155">
        <f>0</f>
        <v>0</v>
      </c>
      <c r="U61" s="158">
        <f>0</f>
        <v>0</v>
      </c>
      <c r="V61" s="158">
        <f>0</f>
        <v>0</v>
      </c>
      <c r="W61" s="263">
        <v>6</v>
      </c>
      <c r="X61" s="155">
        <f>0</f>
        <v>0</v>
      </c>
      <c r="Y61" s="155">
        <f>0</f>
        <v>0</v>
      </c>
      <c r="Z61" s="155">
        <f>0</f>
        <v>0</v>
      </c>
      <c r="AA61" s="155">
        <f>0</f>
        <v>0</v>
      </c>
      <c r="AB61" s="155">
        <f>0</f>
        <v>0</v>
      </c>
      <c r="AC61" s="155">
        <f>0</f>
        <v>0</v>
      </c>
      <c r="AD61" s="155">
        <f>0</f>
        <v>0</v>
      </c>
      <c r="AE61" s="155">
        <f>0</f>
        <v>0</v>
      </c>
      <c r="AF61" s="155">
        <f>0</f>
        <v>0</v>
      </c>
      <c r="AG61" s="155">
        <f>0</f>
        <v>0</v>
      </c>
      <c r="AH61" s="155">
        <f>0</f>
        <v>0</v>
      </c>
      <c r="AI61" s="155">
        <f>0</f>
        <v>0</v>
      </c>
      <c r="AJ61" s="155">
        <f>0</f>
        <v>0</v>
      </c>
      <c r="AK61" s="155">
        <f>0</f>
        <v>0</v>
      </c>
      <c r="AL61" s="219">
        <f t="shared" si="0"/>
        <v>6</v>
      </c>
      <c r="AM61" s="103">
        <f>0</f>
        <v>0</v>
      </c>
      <c r="AN61" s="220">
        <f t="shared" si="1"/>
        <v>6</v>
      </c>
      <c r="AO61" s="290">
        <v>45034</v>
      </c>
      <c r="AP61" s="291" t="s">
        <v>192</v>
      </c>
      <c r="AQ61" s="292" t="s">
        <v>1520</v>
      </c>
      <c r="AR61" s="293" t="s">
        <v>197</v>
      </c>
      <c r="AS61" s="307"/>
      <c r="AT61" s="302"/>
      <c r="AU61" s="303">
        <v>6</v>
      </c>
      <c r="AV61" s="304">
        <f t="shared" si="3"/>
        <v>0</v>
      </c>
      <c r="AW61" s="302" t="s">
        <v>195</v>
      </c>
      <c r="AX61" s="305"/>
      <c r="AY61" s="306"/>
      <c r="AZ61" s="299"/>
      <c r="BA61" s="174"/>
      <c r="BB61" s="174"/>
      <c r="BC61" s="174"/>
    </row>
    <row r="62" spans="1:55" ht="28" customHeight="1">
      <c r="A62" s="308">
        <v>58</v>
      </c>
      <c r="B62" s="287">
        <v>45016</v>
      </c>
      <c r="C62" s="222" t="s">
        <v>198</v>
      </c>
      <c r="D62" s="222" t="s">
        <v>199</v>
      </c>
      <c r="E62" s="222" t="s">
        <v>200</v>
      </c>
      <c r="F62" s="349" t="s">
        <v>123</v>
      </c>
      <c r="G62" s="243" t="s">
        <v>328</v>
      </c>
      <c r="H62" s="244" t="s">
        <v>129</v>
      </c>
      <c r="I62" s="243" t="s">
        <v>329</v>
      </c>
      <c r="J62" s="245" t="s">
        <v>330</v>
      </c>
      <c r="K62" s="246" t="s">
        <v>97</v>
      </c>
      <c r="L62" s="246" t="s">
        <v>159</v>
      </c>
      <c r="M62" s="243" t="s">
        <v>156</v>
      </c>
      <c r="N62" s="243" t="s">
        <v>97</v>
      </c>
      <c r="O62" s="243" t="s">
        <v>204</v>
      </c>
      <c r="P62" s="289"/>
      <c r="Q62" s="289" t="s">
        <v>321</v>
      </c>
      <c r="R62" s="154">
        <f>0</f>
        <v>0</v>
      </c>
      <c r="S62" s="155">
        <f>0</f>
        <v>0</v>
      </c>
      <c r="T62" s="155">
        <f>0</f>
        <v>0</v>
      </c>
      <c r="U62" s="158">
        <f>0</f>
        <v>0</v>
      </c>
      <c r="V62" s="158">
        <f>0</f>
        <v>0</v>
      </c>
      <c r="W62" s="263">
        <v>1</v>
      </c>
      <c r="X62" s="155">
        <f>0</f>
        <v>0</v>
      </c>
      <c r="Y62" s="155">
        <f>0</f>
        <v>0</v>
      </c>
      <c r="Z62" s="155">
        <f>0</f>
        <v>0</v>
      </c>
      <c r="AA62" s="155">
        <f>0</f>
        <v>0</v>
      </c>
      <c r="AB62" s="155">
        <f>0</f>
        <v>0</v>
      </c>
      <c r="AC62" s="155">
        <f>0</f>
        <v>0</v>
      </c>
      <c r="AD62" s="155">
        <f>0</f>
        <v>0</v>
      </c>
      <c r="AE62" s="155">
        <f>0</f>
        <v>0</v>
      </c>
      <c r="AF62" s="155">
        <f>0</f>
        <v>0</v>
      </c>
      <c r="AG62" s="155">
        <f>0</f>
        <v>0</v>
      </c>
      <c r="AH62" s="155">
        <f>0</f>
        <v>0</v>
      </c>
      <c r="AI62" s="155">
        <f>0</f>
        <v>0</v>
      </c>
      <c r="AJ62" s="155">
        <f>0</f>
        <v>0</v>
      </c>
      <c r="AK62" s="155">
        <f>0</f>
        <v>0</v>
      </c>
      <c r="AL62" s="219">
        <f t="shared" si="0"/>
        <v>1</v>
      </c>
      <c r="AM62" s="103">
        <f>0</f>
        <v>0</v>
      </c>
      <c r="AN62" s="220">
        <f t="shared" si="1"/>
        <v>1</v>
      </c>
      <c r="AO62" s="290">
        <v>45034</v>
      </c>
      <c r="AP62" s="291" t="s">
        <v>192</v>
      </c>
      <c r="AQ62" s="292" t="s">
        <v>1520</v>
      </c>
      <c r="AR62" s="293" t="s">
        <v>197</v>
      </c>
      <c r="AS62" s="307"/>
      <c r="AT62" s="302"/>
      <c r="AU62" s="303">
        <v>1</v>
      </c>
      <c r="AV62" s="304">
        <f t="shared" si="3"/>
        <v>0</v>
      </c>
      <c r="AW62" s="302" t="s">
        <v>195</v>
      </c>
      <c r="AX62" s="305"/>
      <c r="AY62" s="306"/>
      <c r="AZ62" s="299"/>
      <c r="BA62" s="174"/>
      <c r="BB62" s="174"/>
      <c r="BC62" s="174"/>
    </row>
    <row r="63" spans="1:55" ht="28" customHeight="1">
      <c r="A63" s="308">
        <v>59</v>
      </c>
      <c r="B63" s="287">
        <v>45016</v>
      </c>
      <c r="C63" s="222" t="s">
        <v>198</v>
      </c>
      <c r="D63" s="222" t="s">
        <v>199</v>
      </c>
      <c r="E63" s="222" t="s">
        <v>200</v>
      </c>
      <c r="F63" s="349" t="s">
        <v>123</v>
      </c>
      <c r="G63" s="243" t="s">
        <v>331</v>
      </c>
      <c r="H63" s="244" t="s">
        <v>129</v>
      </c>
      <c r="I63" s="243" t="s">
        <v>172</v>
      </c>
      <c r="J63" s="245" t="s">
        <v>332</v>
      </c>
      <c r="K63" s="246" t="s">
        <v>97</v>
      </c>
      <c r="L63" s="246" t="s">
        <v>159</v>
      </c>
      <c r="M63" s="243" t="s">
        <v>156</v>
      </c>
      <c r="N63" s="243" t="s">
        <v>97</v>
      </c>
      <c r="O63" s="243" t="s">
        <v>327</v>
      </c>
      <c r="P63" s="289"/>
      <c r="Q63" s="289" t="s">
        <v>321</v>
      </c>
      <c r="R63" s="154">
        <f>0</f>
        <v>0</v>
      </c>
      <c r="S63" s="155">
        <f>0</f>
        <v>0</v>
      </c>
      <c r="T63" s="155">
        <f>0</f>
        <v>0</v>
      </c>
      <c r="U63" s="158">
        <f>0</f>
        <v>0</v>
      </c>
      <c r="V63" s="158">
        <f>0</f>
        <v>0</v>
      </c>
      <c r="W63" s="263">
        <v>1</v>
      </c>
      <c r="X63" s="155">
        <f>0</f>
        <v>0</v>
      </c>
      <c r="Y63" s="155">
        <f>0</f>
        <v>0</v>
      </c>
      <c r="Z63" s="155">
        <f>0</f>
        <v>0</v>
      </c>
      <c r="AA63" s="155">
        <f>0</f>
        <v>0</v>
      </c>
      <c r="AB63" s="155">
        <f>0</f>
        <v>0</v>
      </c>
      <c r="AC63" s="155">
        <f>0</f>
        <v>0</v>
      </c>
      <c r="AD63" s="155">
        <f>0</f>
        <v>0</v>
      </c>
      <c r="AE63" s="155">
        <f>0</f>
        <v>0</v>
      </c>
      <c r="AF63" s="155">
        <f>0</f>
        <v>0</v>
      </c>
      <c r="AG63" s="155">
        <f>0</f>
        <v>0</v>
      </c>
      <c r="AH63" s="155">
        <f>0</f>
        <v>0</v>
      </c>
      <c r="AI63" s="155">
        <f>0</f>
        <v>0</v>
      </c>
      <c r="AJ63" s="155">
        <f>0</f>
        <v>0</v>
      </c>
      <c r="AK63" s="155">
        <f>0</f>
        <v>0</v>
      </c>
      <c r="AL63" s="219">
        <f t="shared" si="0"/>
        <v>1</v>
      </c>
      <c r="AM63" s="103">
        <f>0</f>
        <v>0</v>
      </c>
      <c r="AN63" s="220">
        <f t="shared" si="1"/>
        <v>1</v>
      </c>
      <c r="AO63" s="290">
        <v>45034</v>
      </c>
      <c r="AP63" s="291" t="s">
        <v>192</v>
      </c>
      <c r="AQ63" s="292" t="s">
        <v>1520</v>
      </c>
      <c r="AR63" s="293" t="s">
        <v>197</v>
      </c>
      <c r="AS63" s="307"/>
      <c r="AT63" s="302"/>
      <c r="AU63" s="303">
        <v>1</v>
      </c>
      <c r="AV63" s="304">
        <f t="shared" si="3"/>
        <v>0</v>
      </c>
      <c r="AW63" s="302" t="s">
        <v>195</v>
      </c>
      <c r="AX63" s="305"/>
      <c r="AY63" s="306"/>
      <c r="AZ63" s="299"/>
      <c r="BA63" s="174"/>
      <c r="BB63" s="174"/>
      <c r="BC63" s="174"/>
    </row>
    <row r="64" spans="1:55" ht="28" customHeight="1">
      <c r="A64" s="308">
        <v>60</v>
      </c>
      <c r="B64" s="287">
        <v>45016</v>
      </c>
      <c r="C64" s="222" t="s">
        <v>198</v>
      </c>
      <c r="D64" s="222" t="s">
        <v>199</v>
      </c>
      <c r="E64" s="222" t="s">
        <v>200</v>
      </c>
      <c r="F64" s="349" t="s">
        <v>123</v>
      </c>
      <c r="G64" s="243" t="s">
        <v>333</v>
      </c>
      <c r="H64" s="244" t="s">
        <v>129</v>
      </c>
      <c r="I64" s="243" t="s">
        <v>271</v>
      </c>
      <c r="J64" s="245" t="s">
        <v>334</v>
      </c>
      <c r="K64" s="246" t="s">
        <v>97</v>
      </c>
      <c r="L64" s="246" t="s">
        <v>159</v>
      </c>
      <c r="M64" s="243" t="s">
        <v>156</v>
      </c>
      <c r="N64" s="243" t="s">
        <v>97</v>
      </c>
      <c r="O64" s="243" t="s">
        <v>204</v>
      </c>
      <c r="P64" s="289"/>
      <c r="Q64" s="289" t="s">
        <v>321</v>
      </c>
      <c r="R64" s="154">
        <f>0</f>
        <v>0</v>
      </c>
      <c r="S64" s="155">
        <f>0</f>
        <v>0</v>
      </c>
      <c r="T64" s="155">
        <f>0</f>
        <v>0</v>
      </c>
      <c r="U64" s="158">
        <f>0</f>
        <v>0</v>
      </c>
      <c r="V64" s="158">
        <f>0</f>
        <v>0</v>
      </c>
      <c r="W64" s="263">
        <v>2</v>
      </c>
      <c r="X64" s="155">
        <f>0</f>
        <v>0</v>
      </c>
      <c r="Y64" s="155">
        <f>0</f>
        <v>0</v>
      </c>
      <c r="Z64" s="155">
        <f>0</f>
        <v>0</v>
      </c>
      <c r="AA64" s="155">
        <f>0</f>
        <v>0</v>
      </c>
      <c r="AB64" s="155">
        <f>0</f>
        <v>0</v>
      </c>
      <c r="AC64" s="155">
        <f>0</f>
        <v>0</v>
      </c>
      <c r="AD64" s="155">
        <f>0</f>
        <v>0</v>
      </c>
      <c r="AE64" s="155">
        <f>0</f>
        <v>0</v>
      </c>
      <c r="AF64" s="155">
        <f>0</f>
        <v>0</v>
      </c>
      <c r="AG64" s="155">
        <f>0</f>
        <v>0</v>
      </c>
      <c r="AH64" s="155">
        <f>0</f>
        <v>0</v>
      </c>
      <c r="AI64" s="155">
        <f>0</f>
        <v>0</v>
      </c>
      <c r="AJ64" s="155">
        <f>0</f>
        <v>0</v>
      </c>
      <c r="AK64" s="155">
        <f>0</f>
        <v>0</v>
      </c>
      <c r="AL64" s="219">
        <f t="shared" si="0"/>
        <v>2</v>
      </c>
      <c r="AM64" s="103">
        <f>0</f>
        <v>0</v>
      </c>
      <c r="AN64" s="220">
        <f t="shared" si="1"/>
        <v>2</v>
      </c>
      <c r="AO64" s="290">
        <v>45034</v>
      </c>
      <c r="AP64" s="291" t="s">
        <v>192</v>
      </c>
      <c r="AQ64" s="292" t="s">
        <v>1520</v>
      </c>
      <c r="AR64" s="293" t="s">
        <v>197</v>
      </c>
      <c r="AS64" s="307"/>
      <c r="AT64" s="302"/>
      <c r="AU64" s="303">
        <v>2</v>
      </c>
      <c r="AV64" s="304">
        <f t="shared" si="3"/>
        <v>0</v>
      </c>
      <c r="AW64" s="302" t="s">
        <v>195</v>
      </c>
      <c r="AX64" s="305"/>
      <c r="AY64" s="306"/>
      <c r="AZ64" s="299"/>
      <c r="BA64" s="174"/>
      <c r="BB64" s="174"/>
      <c r="BC64" s="174"/>
    </row>
    <row r="65" spans="1:55" ht="28" customHeight="1">
      <c r="A65" s="308">
        <v>61</v>
      </c>
      <c r="B65" s="287">
        <v>45016</v>
      </c>
      <c r="C65" s="222" t="s">
        <v>198</v>
      </c>
      <c r="D65" s="222" t="s">
        <v>199</v>
      </c>
      <c r="E65" s="222" t="s">
        <v>200</v>
      </c>
      <c r="F65" s="349" t="s">
        <v>123</v>
      </c>
      <c r="G65" s="243" t="s">
        <v>335</v>
      </c>
      <c r="H65" s="244" t="s">
        <v>129</v>
      </c>
      <c r="I65" s="243" t="s">
        <v>336</v>
      </c>
      <c r="J65" s="245" t="s">
        <v>337</v>
      </c>
      <c r="K65" s="246" t="s">
        <v>97</v>
      </c>
      <c r="L65" s="246" t="s">
        <v>159</v>
      </c>
      <c r="M65" s="243" t="s">
        <v>156</v>
      </c>
      <c r="N65" s="243" t="s">
        <v>97</v>
      </c>
      <c r="O65" s="243" t="s">
        <v>204</v>
      </c>
      <c r="P65" s="289"/>
      <c r="Q65" s="289" t="s">
        <v>321</v>
      </c>
      <c r="R65" s="154">
        <f>0</f>
        <v>0</v>
      </c>
      <c r="S65" s="155">
        <f>0</f>
        <v>0</v>
      </c>
      <c r="T65" s="155">
        <f>0</f>
        <v>0</v>
      </c>
      <c r="U65" s="158">
        <f>0</f>
        <v>0</v>
      </c>
      <c r="V65" s="158">
        <f>0</f>
        <v>0</v>
      </c>
      <c r="W65" s="263">
        <v>1</v>
      </c>
      <c r="X65" s="155">
        <f>0</f>
        <v>0</v>
      </c>
      <c r="Y65" s="155">
        <f>0</f>
        <v>0</v>
      </c>
      <c r="Z65" s="155">
        <f>0</f>
        <v>0</v>
      </c>
      <c r="AA65" s="155">
        <f>0</f>
        <v>0</v>
      </c>
      <c r="AB65" s="155">
        <f>0</f>
        <v>0</v>
      </c>
      <c r="AC65" s="155">
        <f>0</f>
        <v>0</v>
      </c>
      <c r="AD65" s="155">
        <f>0</f>
        <v>0</v>
      </c>
      <c r="AE65" s="155">
        <f>0</f>
        <v>0</v>
      </c>
      <c r="AF65" s="155">
        <f>0</f>
        <v>0</v>
      </c>
      <c r="AG65" s="155">
        <f>0</f>
        <v>0</v>
      </c>
      <c r="AH65" s="155">
        <f>0</f>
        <v>0</v>
      </c>
      <c r="AI65" s="155">
        <f>0</f>
        <v>0</v>
      </c>
      <c r="AJ65" s="155">
        <f>0</f>
        <v>0</v>
      </c>
      <c r="AK65" s="155">
        <f>0</f>
        <v>0</v>
      </c>
      <c r="AL65" s="219">
        <f t="shared" si="0"/>
        <v>1</v>
      </c>
      <c r="AM65" s="103">
        <f>0</f>
        <v>0</v>
      </c>
      <c r="AN65" s="220">
        <f t="shared" si="1"/>
        <v>1</v>
      </c>
      <c r="AO65" s="290">
        <v>45034</v>
      </c>
      <c r="AP65" s="291" t="s">
        <v>192</v>
      </c>
      <c r="AQ65" s="292" t="s">
        <v>1520</v>
      </c>
      <c r="AR65" s="293" t="s">
        <v>197</v>
      </c>
      <c r="AS65" s="307"/>
      <c r="AT65" s="302"/>
      <c r="AU65" s="303">
        <v>1</v>
      </c>
      <c r="AV65" s="304">
        <f t="shared" si="3"/>
        <v>0</v>
      </c>
      <c r="AW65" s="302" t="s">
        <v>195</v>
      </c>
      <c r="AX65" s="305"/>
      <c r="AY65" s="306"/>
      <c r="AZ65" s="299"/>
      <c r="BA65" s="174"/>
      <c r="BB65" s="174"/>
      <c r="BC65" s="174"/>
    </row>
    <row r="66" spans="1:55" ht="28" customHeight="1">
      <c r="A66" s="308">
        <v>62</v>
      </c>
      <c r="B66" s="287">
        <v>45016</v>
      </c>
      <c r="C66" s="222" t="s">
        <v>198</v>
      </c>
      <c r="D66" s="222" t="s">
        <v>199</v>
      </c>
      <c r="E66" s="222" t="s">
        <v>200</v>
      </c>
      <c r="F66" s="349" t="s">
        <v>123</v>
      </c>
      <c r="G66" s="243" t="s">
        <v>338</v>
      </c>
      <c r="H66" s="244" t="s">
        <v>129</v>
      </c>
      <c r="I66" s="243" t="s">
        <v>339</v>
      </c>
      <c r="J66" s="245" t="s">
        <v>340</v>
      </c>
      <c r="K66" s="246" t="s">
        <v>97</v>
      </c>
      <c r="L66" s="246" t="s">
        <v>159</v>
      </c>
      <c r="M66" s="243" t="s">
        <v>156</v>
      </c>
      <c r="N66" s="243" t="s">
        <v>97</v>
      </c>
      <c r="O66" s="243" t="s">
        <v>204</v>
      </c>
      <c r="P66" s="289"/>
      <c r="Q66" s="289" t="s">
        <v>321</v>
      </c>
      <c r="R66" s="154">
        <f>0</f>
        <v>0</v>
      </c>
      <c r="S66" s="155">
        <f>0</f>
        <v>0</v>
      </c>
      <c r="T66" s="155">
        <f>0</f>
        <v>0</v>
      </c>
      <c r="U66" s="158">
        <f>0</f>
        <v>0</v>
      </c>
      <c r="V66" s="158">
        <f>0</f>
        <v>0</v>
      </c>
      <c r="W66" s="263">
        <v>1</v>
      </c>
      <c r="X66" s="155">
        <f>0</f>
        <v>0</v>
      </c>
      <c r="Y66" s="155">
        <f>0</f>
        <v>0</v>
      </c>
      <c r="Z66" s="155">
        <f>0</f>
        <v>0</v>
      </c>
      <c r="AA66" s="155">
        <f>0</f>
        <v>0</v>
      </c>
      <c r="AB66" s="155">
        <f>0</f>
        <v>0</v>
      </c>
      <c r="AC66" s="155">
        <f>0</f>
        <v>0</v>
      </c>
      <c r="AD66" s="155">
        <f>0</f>
        <v>0</v>
      </c>
      <c r="AE66" s="155">
        <f>0</f>
        <v>0</v>
      </c>
      <c r="AF66" s="155">
        <f>0</f>
        <v>0</v>
      </c>
      <c r="AG66" s="155">
        <f>0</f>
        <v>0</v>
      </c>
      <c r="AH66" s="155">
        <f>0</f>
        <v>0</v>
      </c>
      <c r="AI66" s="155">
        <f>0</f>
        <v>0</v>
      </c>
      <c r="AJ66" s="155">
        <f>0</f>
        <v>0</v>
      </c>
      <c r="AK66" s="155">
        <f>0</f>
        <v>0</v>
      </c>
      <c r="AL66" s="219">
        <f t="shared" si="0"/>
        <v>1</v>
      </c>
      <c r="AM66" s="103">
        <f>0</f>
        <v>0</v>
      </c>
      <c r="AN66" s="220">
        <f t="shared" si="1"/>
        <v>1</v>
      </c>
      <c r="AO66" s="290">
        <v>45034</v>
      </c>
      <c r="AP66" s="291" t="s">
        <v>192</v>
      </c>
      <c r="AQ66" s="292" t="s">
        <v>1520</v>
      </c>
      <c r="AR66" s="293" t="s">
        <v>197</v>
      </c>
      <c r="AS66" s="307"/>
      <c r="AT66" s="302"/>
      <c r="AU66" s="303">
        <v>1</v>
      </c>
      <c r="AV66" s="304">
        <f t="shared" si="3"/>
        <v>0</v>
      </c>
      <c r="AW66" s="302" t="s">
        <v>195</v>
      </c>
      <c r="AX66" s="305"/>
      <c r="AY66" s="306"/>
      <c r="AZ66" s="299"/>
      <c r="BA66" s="174"/>
      <c r="BB66" s="174"/>
      <c r="BC66" s="174"/>
    </row>
    <row r="67" spans="1:55" ht="28" customHeight="1">
      <c r="A67" s="308">
        <v>63</v>
      </c>
      <c r="B67" s="287">
        <v>45016</v>
      </c>
      <c r="C67" s="222" t="s">
        <v>198</v>
      </c>
      <c r="D67" s="222" t="s">
        <v>199</v>
      </c>
      <c r="E67" s="222" t="s">
        <v>200</v>
      </c>
      <c r="F67" s="349" t="s">
        <v>123</v>
      </c>
      <c r="G67" s="243" t="s">
        <v>341</v>
      </c>
      <c r="H67" s="244" t="s">
        <v>129</v>
      </c>
      <c r="I67" s="243" t="s">
        <v>329</v>
      </c>
      <c r="J67" s="245" t="s">
        <v>342</v>
      </c>
      <c r="K67" s="246" t="s">
        <v>97</v>
      </c>
      <c r="L67" s="246" t="s">
        <v>159</v>
      </c>
      <c r="M67" s="243" t="s">
        <v>156</v>
      </c>
      <c r="N67" s="243" t="s">
        <v>97</v>
      </c>
      <c r="O67" s="243" t="s">
        <v>204</v>
      </c>
      <c r="P67" s="289"/>
      <c r="Q67" s="289" t="s">
        <v>321</v>
      </c>
      <c r="R67" s="154">
        <f>0</f>
        <v>0</v>
      </c>
      <c r="S67" s="155">
        <f>0</f>
        <v>0</v>
      </c>
      <c r="T67" s="155">
        <f>0</f>
        <v>0</v>
      </c>
      <c r="U67" s="158">
        <f>0</f>
        <v>0</v>
      </c>
      <c r="V67" s="158">
        <f>0</f>
        <v>0</v>
      </c>
      <c r="W67" s="263">
        <v>3</v>
      </c>
      <c r="X67" s="155">
        <f>0</f>
        <v>0</v>
      </c>
      <c r="Y67" s="155">
        <f>0</f>
        <v>0</v>
      </c>
      <c r="Z67" s="155">
        <f>0</f>
        <v>0</v>
      </c>
      <c r="AA67" s="155">
        <f>0</f>
        <v>0</v>
      </c>
      <c r="AB67" s="155">
        <f>0</f>
        <v>0</v>
      </c>
      <c r="AC67" s="155">
        <f>0</f>
        <v>0</v>
      </c>
      <c r="AD67" s="155">
        <f>0</f>
        <v>0</v>
      </c>
      <c r="AE67" s="155">
        <f>0</f>
        <v>0</v>
      </c>
      <c r="AF67" s="155">
        <f>0</f>
        <v>0</v>
      </c>
      <c r="AG67" s="155">
        <f>0</f>
        <v>0</v>
      </c>
      <c r="AH67" s="155">
        <f>0</f>
        <v>0</v>
      </c>
      <c r="AI67" s="155">
        <f>0</f>
        <v>0</v>
      </c>
      <c r="AJ67" s="155">
        <f>0</f>
        <v>0</v>
      </c>
      <c r="AK67" s="155">
        <f>0</f>
        <v>0</v>
      </c>
      <c r="AL67" s="219">
        <f t="shared" si="0"/>
        <v>3</v>
      </c>
      <c r="AM67" s="103">
        <f>0</f>
        <v>0</v>
      </c>
      <c r="AN67" s="220">
        <f t="shared" si="1"/>
        <v>3</v>
      </c>
      <c r="AO67" s="290">
        <v>45034</v>
      </c>
      <c r="AP67" s="291" t="s">
        <v>192</v>
      </c>
      <c r="AQ67" s="292" t="s">
        <v>1520</v>
      </c>
      <c r="AR67" s="293" t="s">
        <v>197</v>
      </c>
      <c r="AS67" s="307"/>
      <c r="AT67" s="302"/>
      <c r="AU67" s="303">
        <v>3</v>
      </c>
      <c r="AV67" s="304">
        <f t="shared" si="3"/>
        <v>0</v>
      </c>
      <c r="AW67" s="302" t="s">
        <v>195</v>
      </c>
      <c r="AX67" s="305"/>
      <c r="AY67" s="306"/>
      <c r="AZ67" s="299"/>
      <c r="BA67" s="174"/>
      <c r="BB67" s="174"/>
      <c r="BC67" s="174"/>
    </row>
    <row r="68" spans="1:55" ht="28" customHeight="1">
      <c r="A68" s="308">
        <v>64</v>
      </c>
      <c r="B68" s="287">
        <v>45016</v>
      </c>
      <c r="C68" s="365"/>
      <c r="D68" s="365"/>
      <c r="E68" s="365"/>
      <c r="F68" s="349" t="s">
        <v>123</v>
      </c>
      <c r="G68" s="243" t="s">
        <v>343</v>
      </c>
      <c r="H68" s="244" t="s">
        <v>129</v>
      </c>
      <c r="I68" s="243" t="s">
        <v>271</v>
      </c>
      <c r="J68" s="245" t="s">
        <v>344</v>
      </c>
      <c r="K68" s="246" t="s">
        <v>97</v>
      </c>
      <c r="L68" s="246" t="s">
        <v>159</v>
      </c>
      <c r="M68" s="243" t="s">
        <v>156</v>
      </c>
      <c r="N68" s="243" t="s">
        <v>97</v>
      </c>
      <c r="O68" s="243" t="s">
        <v>204</v>
      </c>
      <c r="P68" s="289"/>
      <c r="Q68" s="289" t="s">
        <v>321</v>
      </c>
      <c r="R68" s="154">
        <f>0</f>
        <v>0</v>
      </c>
      <c r="S68" s="155">
        <f>0</f>
        <v>0</v>
      </c>
      <c r="T68" s="155">
        <f>0</f>
        <v>0</v>
      </c>
      <c r="U68" s="158">
        <f>0</f>
        <v>0</v>
      </c>
      <c r="V68" s="158">
        <f>0</f>
        <v>0</v>
      </c>
      <c r="W68" s="263">
        <v>1</v>
      </c>
      <c r="X68" s="155">
        <f>0</f>
        <v>0</v>
      </c>
      <c r="Y68" s="155">
        <f>0</f>
        <v>0</v>
      </c>
      <c r="Z68" s="155">
        <f>0</f>
        <v>0</v>
      </c>
      <c r="AA68" s="155">
        <f>0</f>
        <v>0</v>
      </c>
      <c r="AB68" s="155">
        <f>0</f>
        <v>0</v>
      </c>
      <c r="AC68" s="155">
        <f>0</f>
        <v>0</v>
      </c>
      <c r="AD68" s="155">
        <f>0</f>
        <v>0</v>
      </c>
      <c r="AE68" s="155">
        <f>0</f>
        <v>0</v>
      </c>
      <c r="AF68" s="155">
        <f>0</f>
        <v>0</v>
      </c>
      <c r="AG68" s="155">
        <f>0</f>
        <v>0</v>
      </c>
      <c r="AH68" s="155">
        <f>0</f>
        <v>0</v>
      </c>
      <c r="AI68" s="155">
        <f>0</f>
        <v>0</v>
      </c>
      <c r="AJ68" s="155">
        <f>0</f>
        <v>0</v>
      </c>
      <c r="AK68" s="155">
        <f>0</f>
        <v>0</v>
      </c>
      <c r="AL68" s="219">
        <f t="shared" si="0"/>
        <v>1</v>
      </c>
      <c r="AM68" s="103">
        <f>0</f>
        <v>0</v>
      </c>
      <c r="AN68" s="220">
        <f t="shared" si="1"/>
        <v>1</v>
      </c>
      <c r="AO68" s="290">
        <v>45034</v>
      </c>
      <c r="AP68" s="291" t="s">
        <v>192</v>
      </c>
      <c r="AQ68" s="292" t="s">
        <v>1520</v>
      </c>
      <c r="AR68" s="293" t="s">
        <v>197</v>
      </c>
      <c r="AS68" s="307"/>
      <c r="AT68" s="302"/>
      <c r="AU68" s="303">
        <v>1</v>
      </c>
      <c r="AV68" s="304">
        <f t="shared" si="3"/>
        <v>0</v>
      </c>
      <c r="AW68" s="302" t="s">
        <v>195</v>
      </c>
      <c r="AX68" s="305"/>
      <c r="AY68" s="306"/>
      <c r="AZ68" s="299"/>
      <c r="BA68" s="174"/>
      <c r="BB68" s="174"/>
      <c r="BC68" s="174"/>
    </row>
    <row r="69" spans="1:55" ht="28" customHeight="1">
      <c r="A69" s="308">
        <v>65</v>
      </c>
      <c r="B69" s="287">
        <v>45016</v>
      </c>
      <c r="C69" s="222" t="s">
        <v>198</v>
      </c>
      <c r="D69" s="222" t="s">
        <v>199</v>
      </c>
      <c r="E69" s="222" t="s">
        <v>200</v>
      </c>
      <c r="F69" s="349" t="s">
        <v>123</v>
      </c>
      <c r="G69" s="243" t="s">
        <v>345</v>
      </c>
      <c r="H69" s="244" t="s">
        <v>357</v>
      </c>
      <c r="I69" s="243" t="s">
        <v>346</v>
      </c>
      <c r="J69" s="245" t="s">
        <v>1529</v>
      </c>
      <c r="K69" s="246" t="s">
        <v>97</v>
      </c>
      <c r="L69" s="246" t="s">
        <v>159</v>
      </c>
      <c r="M69" s="243" t="s">
        <v>156</v>
      </c>
      <c r="N69" s="243" t="s">
        <v>97</v>
      </c>
      <c r="O69" s="243" t="s">
        <v>204</v>
      </c>
      <c r="P69" s="289"/>
      <c r="Q69" s="289" t="s">
        <v>321</v>
      </c>
      <c r="R69" s="154">
        <f>0</f>
        <v>0</v>
      </c>
      <c r="S69" s="155">
        <f>0</f>
        <v>0</v>
      </c>
      <c r="T69" s="155">
        <f>0</f>
        <v>0</v>
      </c>
      <c r="U69" s="158">
        <f>0</f>
        <v>0</v>
      </c>
      <c r="V69" s="158">
        <f>0</f>
        <v>0</v>
      </c>
      <c r="W69" s="263">
        <v>1</v>
      </c>
      <c r="X69" s="155">
        <f>0</f>
        <v>0</v>
      </c>
      <c r="Y69" s="155">
        <f>0</f>
        <v>0</v>
      </c>
      <c r="Z69" s="155">
        <f>0</f>
        <v>0</v>
      </c>
      <c r="AA69" s="155">
        <f>0</f>
        <v>0</v>
      </c>
      <c r="AB69" s="155">
        <f>0</f>
        <v>0</v>
      </c>
      <c r="AC69" s="155">
        <f>0</f>
        <v>0</v>
      </c>
      <c r="AD69" s="155">
        <f>0</f>
        <v>0</v>
      </c>
      <c r="AE69" s="155">
        <f>0</f>
        <v>0</v>
      </c>
      <c r="AF69" s="155">
        <f>0</f>
        <v>0</v>
      </c>
      <c r="AG69" s="155">
        <f>0</f>
        <v>0</v>
      </c>
      <c r="AH69" s="155">
        <f>0</f>
        <v>0</v>
      </c>
      <c r="AI69" s="155">
        <f>0</f>
        <v>0</v>
      </c>
      <c r="AJ69" s="155">
        <f>0</f>
        <v>0</v>
      </c>
      <c r="AK69" s="155">
        <f>0</f>
        <v>0</v>
      </c>
      <c r="AL69" s="219">
        <f t="shared" si="0"/>
        <v>1</v>
      </c>
      <c r="AM69" s="103">
        <f>0</f>
        <v>0</v>
      </c>
      <c r="AN69" s="220">
        <f t="shared" si="1"/>
        <v>1</v>
      </c>
      <c r="AO69" s="290">
        <v>45034</v>
      </c>
      <c r="AP69" s="291" t="s">
        <v>192</v>
      </c>
      <c r="AQ69" s="292" t="s">
        <v>1520</v>
      </c>
      <c r="AR69" s="293" t="s">
        <v>197</v>
      </c>
      <c r="AS69" s="307"/>
      <c r="AT69" s="302"/>
      <c r="AU69" s="303">
        <v>1</v>
      </c>
      <c r="AV69" s="304">
        <f t="shared" si="3"/>
        <v>0</v>
      </c>
      <c r="AW69" s="302" t="s">
        <v>195</v>
      </c>
      <c r="AX69" s="305"/>
      <c r="AY69" s="306"/>
      <c r="AZ69" s="299"/>
      <c r="BA69" s="174"/>
      <c r="BB69" s="174"/>
      <c r="BC69" s="174"/>
    </row>
    <row r="70" spans="1:55" ht="28" customHeight="1">
      <c r="A70" s="308">
        <v>66</v>
      </c>
      <c r="B70" s="287">
        <v>45016</v>
      </c>
      <c r="C70" s="365"/>
      <c r="D70" s="365"/>
      <c r="E70" s="365"/>
      <c r="F70" s="349" t="s">
        <v>123</v>
      </c>
      <c r="G70" s="243" t="s">
        <v>345</v>
      </c>
      <c r="H70" s="244" t="s">
        <v>357</v>
      </c>
      <c r="I70" s="243" t="s">
        <v>346</v>
      </c>
      <c r="J70" s="245" t="s">
        <v>1530</v>
      </c>
      <c r="K70" s="246" t="s">
        <v>97</v>
      </c>
      <c r="L70" s="246" t="s">
        <v>159</v>
      </c>
      <c r="M70" s="243" t="s">
        <v>156</v>
      </c>
      <c r="N70" s="243" t="s">
        <v>97</v>
      </c>
      <c r="O70" s="243" t="s">
        <v>204</v>
      </c>
      <c r="P70" s="289"/>
      <c r="Q70" s="289" t="s">
        <v>321</v>
      </c>
      <c r="R70" s="154">
        <f>0</f>
        <v>0</v>
      </c>
      <c r="S70" s="155">
        <f>0</f>
        <v>0</v>
      </c>
      <c r="T70" s="155">
        <f>0</f>
        <v>0</v>
      </c>
      <c r="U70" s="158">
        <f>0</f>
        <v>0</v>
      </c>
      <c r="V70" s="158">
        <f>0</f>
        <v>0</v>
      </c>
      <c r="W70" s="263">
        <v>1</v>
      </c>
      <c r="X70" s="155">
        <f>0</f>
        <v>0</v>
      </c>
      <c r="Y70" s="155">
        <f>0</f>
        <v>0</v>
      </c>
      <c r="Z70" s="155">
        <f>0</f>
        <v>0</v>
      </c>
      <c r="AA70" s="155">
        <f>0</f>
        <v>0</v>
      </c>
      <c r="AB70" s="155">
        <f>0</f>
        <v>0</v>
      </c>
      <c r="AC70" s="155">
        <f>0</f>
        <v>0</v>
      </c>
      <c r="AD70" s="155">
        <f>0</f>
        <v>0</v>
      </c>
      <c r="AE70" s="155">
        <f>0</f>
        <v>0</v>
      </c>
      <c r="AF70" s="155">
        <f>0</f>
        <v>0</v>
      </c>
      <c r="AG70" s="155">
        <f>0</f>
        <v>0</v>
      </c>
      <c r="AH70" s="155">
        <f>0</f>
        <v>0</v>
      </c>
      <c r="AI70" s="155">
        <f>0</f>
        <v>0</v>
      </c>
      <c r="AJ70" s="155">
        <f>0</f>
        <v>0</v>
      </c>
      <c r="AK70" s="155">
        <f>0</f>
        <v>0</v>
      </c>
      <c r="AL70" s="219">
        <f t="shared" ref="AL70:AL133" si="4">SUM(R70:AK70)</f>
        <v>1</v>
      </c>
      <c r="AM70" s="103">
        <f>0</f>
        <v>0</v>
      </c>
      <c r="AN70" s="220">
        <f t="shared" ref="AN70:AN133" si="5">AL70-AM70</f>
        <v>1</v>
      </c>
      <c r="AO70" s="290">
        <v>45034</v>
      </c>
      <c r="AP70" s="291" t="s">
        <v>192</v>
      </c>
      <c r="AQ70" s="292" t="s">
        <v>1520</v>
      </c>
      <c r="AR70" s="293" t="s">
        <v>197</v>
      </c>
      <c r="AS70" s="307"/>
      <c r="AT70" s="302"/>
      <c r="AU70" s="303">
        <v>1</v>
      </c>
      <c r="AV70" s="304">
        <f t="shared" ref="AV70:AV101" si="6">AN70-AU70</f>
        <v>0</v>
      </c>
      <c r="AW70" s="302" t="s">
        <v>195</v>
      </c>
      <c r="AX70" s="305"/>
      <c r="AY70" s="306"/>
      <c r="AZ70" s="299"/>
      <c r="BA70" s="174"/>
      <c r="BB70" s="174"/>
      <c r="BC70" s="174"/>
    </row>
    <row r="71" spans="1:55" ht="28" customHeight="1">
      <c r="A71" s="308">
        <v>67</v>
      </c>
      <c r="B71" s="287">
        <v>45016</v>
      </c>
      <c r="C71" s="222" t="s">
        <v>198</v>
      </c>
      <c r="D71" s="222" t="s">
        <v>199</v>
      </c>
      <c r="E71" s="222" t="s">
        <v>200</v>
      </c>
      <c r="F71" s="349" t="s">
        <v>123</v>
      </c>
      <c r="G71" s="243" t="s">
        <v>343</v>
      </c>
      <c r="H71" s="244" t="s">
        <v>129</v>
      </c>
      <c r="I71" s="243" t="s">
        <v>271</v>
      </c>
      <c r="J71" s="245" t="s">
        <v>347</v>
      </c>
      <c r="K71" s="246" t="s">
        <v>97</v>
      </c>
      <c r="L71" s="246" t="s">
        <v>159</v>
      </c>
      <c r="M71" s="243" t="s">
        <v>156</v>
      </c>
      <c r="N71" s="243" t="s">
        <v>97</v>
      </c>
      <c r="O71" s="243" t="s">
        <v>204</v>
      </c>
      <c r="P71" s="289"/>
      <c r="Q71" s="289" t="s">
        <v>321</v>
      </c>
      <c r="R71" s="154">
        <f>0</f>
        <v>0</v>
      </c>
      <c r="S71" s="155">
        <f>0</f>
        <v>0</v>
      </c>
      <c r="T71" s="155">
        <f>0</f>
        <v>0</v>
      </c>
      <c r="U71" s="158">
        <f>0</f>
        <v>0</v>
      </c>
      <c r="V71" s="158">
        <f>0</f>
        <v>0</v>
      </c>
      <c r="W71" s="263">
        <v>1</v>
      </c>
      <c r="X71" s="155">
        <f>0</f>
        <v>0</v>
      </c>
      <c r="Y71" s="155">
        <f>0</f>
        <v>0</v>
      </c>
      <c r="Z71" s="155">
        <f>0</f>
        <v>0</v>
      </c>
      <c r="AA71" s="155">
        <f>0</f>
        <v>0</v>
      </c>
      <c r="AB71" s="155">
        <f>0</f>
        <v>0</v>
      </c>
      <c r="AC71" s="155">
        <f>0</f>
        <v>0</v>
      </c>
      <c r="AD71" s="155">
        <f>0</f>
        <v>0</v>
      </c>
      <c r="AE71" s="155">
        <f>0</f>
        <v>0</v>
      </c>
      <c r="AF71" s="155">
        <f>0</f>
        <v>0</v>
      </c>
      <c r="AG71" s="155">
        <f>0</f>
        <v>0</v>
      </c>
      <c r="AH71" s="155">
        <f>0</f>
        <v>0</v>
      </c>
      <c r="AI71" s="155">
        <f>0</f>
        <v>0</v>
      </c>
      <c r="AJ71" s="155">
        <f>0</f>
        <v>0</v>
      </c>
      <c r="AK71" s="155">
        <f>0</f>
        <v>0</v>
      </c>
      <c r="AL71" s="219">
        <f t="shared" si="4"/>
        <v>1</v>
      </c>
      <c r="AM71" s="103">
        <f>0</f>
        <v>0</v>
      </c>
      <c r="AN71" s="220">
        <f t="shared" si="5"/>
        <v>1</v>
      </c>
      <c r="AO71" s="290">
        <v>45034</v>
      </c>
      <c r="AP71" s="291" t="s">
        <v>192</v>
      </c>
      <c r="AQ71" s="292" t="s">
        <v>1520</v>
      </c>
      <c r="AR71" s="293" t="s">
        <v>197</v>
      </c>
      <c r="AS71" s="307"/>
      <c r="AT71" s="302"/>
      <c r="AU71" s="303">
        <v>1</v>
      </c>
      <c r="AV71" s="304">
        <f t="shared" si="6"/>
        <v>0</v>
      </c>
      <c r="AW71" s="302" t="s">
        <v>195</v>
      </c>
      <c r="AX71" s="305"/>
      <c r="AY71" s="306"/>
      <c r="AZ71" s="299"/>
      <c r="BA71" s="174"/>
      <c r="BB71" s="174"/>
      <c r="BC71" s="174"/>
    </row>
    <row r="72" spans="1:55" ht="28" customHeight="1">
      <c r="A72" s="308">
        <v>68</v>
      </c>
      <c r="B72" s="287">
        <v>45016</v>
      </c>
      <c r="C72" s="222" t="s">
        <v>198</v>
      </c>
      <c r="D72" s="222" t="s">
        <v>199</v>
      </c>
      <c r="E72" s="222" t="s">
        <v>200</v>
      </c>
      <c r="F72" s="349" t="s">
        <v>123</v>
      </c>
      <c r="G72" s="243" t="s">
        <v>348</v>
      </c>
      <c r="H72" s="244" t="s">
        <v>129</v>
      </c>
      <c r="I72" s="243" t="s">
        <v>349</v>
      </c>
      <c r="J72" s="245" t="s">
        <v>350</v>
      </c>
      <c r="K72" s="246" t="s">
        <v>97</v>
      </c>
      <c r="L72" s="246" t="s">
        <v>159</v>
      </c>
      <c r="M72" s="243" t="s">
        <v>156</v>
      </c>
      <c r="N72" s="243" t="s">
        <v>97</v>
      </c>
      <c r="O72" s="243" t="s">
        <v>204</v>
      </c>
      <c r="P72" s="289"/>
      <c r="Q72" s="289" t="s">
        <v>321</v>
      </c>
      <c r="R72" s="154">
        <f>0</f>
        <v>0</v>
      </c>
      <c r="S72" s="155">
        <f>0</f>
        <v>0</v>
      </c>
      <c r="T72" s="155">
        <f>0</f>
        <v>0</v>
      </c>
      <c r="U72" s="158">
        <f>0</f>
        <v>0</v>
      </c>
      <c r="V72" s="158">
        <f>0</f>
        <v>0</v>
      </c>
      <c r="W72" s="263">
        <v>2</v>
      </c>
      <c r="X72" s="155">
        <f>0</f>
        <v>0</v>
      </c>
      <c r="Y72" s="155">
        <f>0</f>
        <v>0</v>
      </c>
      <c r="Z72" s="155">
        <f>0</f>
        <v>0</v>
      </c>
      <c r="AA72" s="155">
        <f>0</f>
        <v>0</v>
      </c>
      <c r="AB72" s="155">
        <f>0</f>
        <v>0</v>
      </c>
      <c r="AC72" s="155">
        <f>0</f>
        <v>0</v>
      </c>
      <c r="AD72" s="155">
        <f>0</f>
        <v>0</v>
      </c>
      <c r="AE72" s="155">
        <f>0</f>
        <v>0</v>
      </c>
      <c r="AF72" s="155">
        <f>0</f>
        <v>0</v>
      </c>
      <c r="AG72" s="155">
        <f>0</f>
        <v>0</v>
      </c>
      <c r="AH72" s="155">
        <f>0</f>
        <v>0</v>
      </c>
      <c r="AI72" s="155">
        <f>0</f>
        <v>0</v>
      </c>
      <c r="AJ72" s="155">
        <f>0</f>
        <v>0</v>
      </c>
      <c r="AK72" s="155">
        <f>0</f>
        <v>0</v>
      </c>
      <c r="AL72" s="219">
        <f t="shared" si="4"/>
        <v>2</v>
      </c>
      <c r="AM72" s="103">
        <f>0</f>
        <v>0</v>
      </c>
      <c r="AN72" s="220">
        <f t="shared" si="5"/>
        <v>2</v>
      </c>
      <c r="AO72" s="290">
        <v>45034</v>
      </c>
      <c r="AP72" s="291" t="s">
        <v>192</v>
      </c>
      <c r="AQ72" s="292" t="s">
        <v>1520</v>
      </c>
      <c r="AR72" s="293" t="s">
        <v>197</v>
      </c>
      <c r="AS72" s="307"/>
      <c r="AT72" s="302"/>
      <c r="AU72" s="303">
        <v>2</v>
      </c>
      <c r="AV72" s="304">
        <f t="shared" si="6"/>
        <v>0</v>
      </c>
      <c r="AW72" s="302" t="s">
        <v>195</v>
      </c>
      <c r="AX72" s="305"/>
      <c r="AY72" s="306"/>
      <c r="AZ72" s="299"/>
      <c r="BA72" s="174"/>
      <c r="BB72" s="174"/>
      <c r="BC72" s="174"/>
    </row>
    <row r="73" spans="1:55" ht="28" customHeight="1">
      <c r="A73" s="308">
        <v>69</v>
      </c>
      <c r="B73" s="287">
        <v>45016</v>
      </c>
      <c r="C73" s="222" t="s">
        <v>198</v>
      </c>
      <c r="D73" s="222" t="s">
        <v>199</v>
      </c>
      <c r="E73" s="222" t="s">
        <v>200</v>
      </c>
      <c r="F73" s="349" t="s">
        <v>123</v>
      </c>
      <c r="G73" s="243" t="s">
        <v>351</v>
      </c>
      <c r="H73" s="244" t="s">
        <v>129</v>
      </c>
      <c r="I73" s="243" t="s">
        <v>352</v>
      </c>
      <c r="J73" s="245" t="s">
        <v>353</v>
      </c>
      <c r="K73" s="246" t="s">
        <v>97</v>
      </c>
      <c r="L73" s="246" t="s">
        <v>159</v>
      </c>
      <c r="M73" s="243" t="s">
        <v>156</v>
      </c>
      <c r="N73" s="243" t="s">
        <v>97</v>
      </c>
      <c r="O73" s="243" t="s">
        <v>204</v>
      </c>
      <c r="P73" s="289"/>
      <c r="Q73" s="289" t="s">
        <v>321</v>
      </c>
      <c r="R73" s="154">
        <f>0</f>
        <v>0</v>
      </c>
      <c r="S73" s="155">
        <f>0</f>
        <v>0</v>
      </c>
      <c r="T73" s="155">
        <f>0</f>
        <v>0</v>
      </c>
      <c r="U73" s="158">
        <f>0</f>
        <v>0</v>
      </c>
      <c r="V73" s="158">
        <f>0</f>
        <v>0</v>
      </c>
      <c r="W73" s="263">
        <v>1</v>
      </c>
      <c r="X73" s="155">
        <f>0</f>
        <v>0</v>
      </c>
      <c r="Y73" s="155">
        <f>0</f>
        <v>0</v>
      </c>
      <c r="Z73" s="155">
        <f>0</f>
        <v>0</v>
      </c>
      <c r="AA73" s="155">
        <f>0</f>
        <v>0</v>
      </c>
      <c r="AB73" s="155">
        <f>0</f>
        <v>0</v>
      </c>
      <c r="AC73" s="155">
        <f>0</f>
        <v>0</v>
      </c>
      <c r="AD73" s="155">
        <f>0</f>
        <v>0</v>
      </c>
      <c r="AE73" s="155">
        <f>0</f>
        <v>0</v>
      </c>
      <c r="AF73" s="155">
        <f>0</f>
        <v>0</v>
      </c>
      <c r="AG73" s="155">
        <f>0</f>
        <v>0</v>
      </c>
      <c r="AH73" s="155">
        <f>0</f>
        <v>0</v>
      </c>
      <c r="AI73" s="155">
        <f>0</f>
        <v>0</v>
      </c>
      <c r="AJ73" s="155">
        <f>0</f>
        <v>0</v>
      </c>
      <c r="AK73" s="155">
        <f>0</f>
        <v>0</v>
      </c>
      <c r="AL73" s="219">
        <f t="shared" si="4"/>
        <v>1</v>
      </c>
      <c r="AM73" s="103">
        <f>0</f>
        <v>0</v>
      </c>
      <c r="AN73" s="220">
        <f t="shared" si="5"/>
        <v>1</v>
      </c>
      <c r="AO73" s="290">
        <v>45034</v>
      </c>
      <c r="AP73" s="291" t="s">
        <v>192</v>
      </c>
      <c r="AQ73" s="292" t="s">
        <v>1520</v>
      </c>
      <c r="AR73" s="293" t="s">
        <v>197</v>
      </c>
      <c r="AS73" s="307"/>
      <c r="AT73" s="302"/>
      <c r="AU73" s="303">
        <v>1</v>
      </c>
      <c r="AV73" s="304">
        <f t="shared" si="6"/>
        <v>0</v>
      </c>
      <c r="AW73" s="302" t="s">
        <v>195</v>
      </c>
      <c r="AX73" s="305"/>
      <c r="AY73" s="306"/>
      <c r="AZ73" s="299"/>
      <c r="BA73" s="174"/>
      <c r="BB73" s="174"/>
      <c r="BC73" s="174"/>
    </row>
    <row r="74" spans="1:55" ht="28" customHeight="1">
      <c r="A74" s="308">
        <v>70</v>
      </c>
      <c r="B74" s="287">
        <v>45016</v>
      </c>
      <c r="C74" s="222" t="s">
        <v>198</v>
      </c>
      <c r="D74" s="222" t="s">
        <v>199</v>
      </c>
      <c r="E74" s="222" t="s">
        <v>200</v>
      </c>
      <c r="F74" s="349" t="s">
        <v>123</v>
      </c>
      <c r="G74" s="243" t="s">
        <v>354</v>
      </c>
      <c r="H74" s="244" t="s">
        <v>357</v>
      </c>
      <c r="I74" s="243" t="s">
        <v>355</v>
      </c>
      <c r="J74" s="245" t="s">
        <v>1528</v>
      </c>
      <c r="K74" s="246" t="s">
        <v>97</v>
      </c>
      <c r="L74" s="246" t="s">
        <v>159</v>
      </c>
      <c r="M74" s="243" t="s">
        <v>156</v>
      </c>
      <c r="N74" s="243" t="s">
        <v>97</v>
      </c>
      <c r="O74" s="243" t="s">
        <v>204</v>
      </c>
      <c r="P74" s="289"/>
      <c r="Q74" s="289" t="s">
        <v>321</v>
      </c>
      <c r="R74" s="154">
        <f>0</f>
        <v>0</v>
      </c>
      <c r="S74" s="155">
        <f>0</f>
        <v>0</v>
      </c>
      <c r="T74" s="155">
        <f>0</f>
        <v>0</v>
      </c>
      <c r="U74" s="158">
        <f>0</f>
        <v>0</v>
      </c>
      <c r="V74" s="158">
        <f>0</f>
        <v>0</v>
      </c>
      <c r="W74" s="263">
        <v>1</v>
      </c>
      <c r="X74" s="155">
        <f>0</f>
        <v>0</v>
      </c>
      <c r="Y74" s="155">
        <f>0</f>
        <v>0</v>
      </c>
      <c r="Z74" s="155">
        <f>0</f>
        <v>0</v>
      </c>
      <c r="AA74" s="155">
        <f>0</f>
        <v>0</v>
      </c>
      <c r="AB74" s="155">
        <f>0</f>
        <v>0</v>
      </c>
      <c r="AC74" s="155">
        <f>0</f>
        <v>0</v>
      </c>
      <c r="AD74" s="155">
        <f>0</f>
        <v>0</v>
      </c>
      <c r="AE74" s="155">
        <f>0</f>
        <v>0</v>
      </c>
      <c r="AF74" s="155">
        <f>0</f>
        <v>0</v>
      </c>
      <c r="AG74" s="155">
        <f>0</f>
        <v>0</v>
      </c>
      <c r="AH74" s="155">
        <f>0</f>
        <v>0</v>
      </c>
      <c r="AI74" s="155">
        <f>0</f>
        <v>0</v>
      </c>
      <c r="AJ74" s="155">
        <f>0</f>
        <v>0</v>
      </c>
      <c r="AK74" s="155">
        <f>0</f>
        <v>0</v>
      </c>
      <c r="AL74" s="219">
        <f t="shared" si="4"/>
        <v>1</v>
      </c>
      <c r="AM74" s="103">
        <f>0</f>
        <v>0</v>
      </c>
      <c r="AN74" s="220">
        <f t="shared" si="5"/>
        <v>1</v>
      </c>
      <c r="AO74" s="290">
        <v>45034</v>
      </c>
      <c r="AP74" s="291" t="s">
        <v>192</v>
      </c>
      <c r="AQ74" s="292" t="s">
        <v>1520</v>
      </c>
      <c r="AR74" s="293" t="s">
        <v>197</v>
      </c>
      <c r="AS74" s="307"/>
      <c r="AT74" s="302"/>
      <c r="AU74" s="303">
        <v>1</v>
      </c>
      <c r="AV74" s="304">
        <f t="shared" si="6"/>
        <v>0</v>
      </c>
      <c r="AW74" s="302" t="s">
        <v>195</v>
      </c>
      <c r="AX74" s="305"/>
      <c r="AY74" s="306"/>
      <c r="AZ74" s="299"/>
      <c r="BA74" s="174"/>
      <c r="BB74" s="174"/>
      <c r="BC74" s="174"/>
    </row>
    <row r="75" spans="1:55" ht="28" customHeight="1">
      <c r="A75" s="308">
        <v>71</v>
      </c>
      <c r="B75" s="287">
        <v>45016</v>
      </c>
      <c r="C75" s="222" t="s">
        <v>198</v>
      </c>
      <c r="D75" s="222" t="s">
        <v>199</v>
      </c>
      <c r="E75" s="222" t="s">
        <v>200</v>
      </c>
      <c r="F75" s="349" t="s">
        <v>123</v>
      </c>
      <c r="G75" s="243" t="s">
        <v>356</v>
      </c>
      <c r="H75" s="244" t="s">
        <v>357</v>
      </c>
      <c r="I75" s="243" t="s">
        <v>358</v>
      </c>
      <c r="J75" s="245" t="s">
        <v>359</v>
      </c>
      <c r="K75" s="246" t="s">
        <v>97</v>
      </c>
      <c r="L75" s="246" t="s">
        <v>159</v>
      </c>
      <c r="M75" s="243" t="s">
        <v>156</v>
      </c>
      <c r="N75" s="243" t="s">
        <v>97</v>
      </c>
      <c r="O75" s="243" t="s">
        <v>327</v>
      </c>
      <c r="P75" s="289"/>
      <c r="Q75" s="289" t="s">
        <v>321</v>
      </c>
      <c r="R75" s="154">
        <f>0</f>
        <v>0</v>
      </c>
      <c r="S75" s="155">
        <f>0</f>
        <v>0</v>
      </c>
      <c r="T75" s="155">
        <f>0</f>
        <v>0</v>
      </c>
      <c r="U75" s="158">
        <f>0</f>
        <v>0</v>
      </c>
      <c r="V75" s="158">
        <f>0</f>
        <v>0</v>
      </c>
      <c r="W75" s="263">
        <v>1</v>
      </c>
      <c r="X75" s="155">
        <f>0</f>
        <v>0</v>
      </c>
      <c r="Y75" s="155">
        <f>0</f>
        <v>0</v>
      </c>
      <c r="Z75" s="155">
        <f>0</f>
        <v>0</v>
      </c>
      <c r="AA75" s="155">
        <f>0</f>
        <v>0</v>
      </c>
      <c r="AB75" s="155">
        <f>0</f>
        <v>0</v>
      </c>
      <c r="AC75" s="155">
        <f>0</f>
        <v>0</v>
      </c>
      <c r="AD75" s="155">
        <f>0</f>
        <v>0</v>
      </c>
      <c r="AE75" s="155">
        <f>0</f>
        <v>0</v>
      </c>
      <c r="AF75" s="155">
        <f>0</f>
        <v>0</v>
      </c>
      <c r="AG75" s="155">
        <f>0</f>
        <v>0</v>
      </c>
      <c r="AH75" s="155">
        <f>0</f>
        <v>0</v>
      </c>
      <c r="AI75" s="155">
        <f>0</f>
        <v>0</v>
      </c>
      <c r="AJ75" s="155">
        <f>0</f>
        <v>0</v>
      </c>
      <c r="AK75" s="155">
        <f>0</f>
        <v>0</v>
      </c>
      <c r="AL75" s="219">
        <f t="shared" si="4"/>
        <v>1</v>
      </c>
      <c r="AM75" s="103">
        <f>0</f>
        <v>0</v>
      </c>
      <c r="AN75" s="220">
        <f t="shared" si="5"/>
        <v>1</v>
      </c>
      <c r="AO75" s="290">
        <v>45034</v>
      </c>
      <c r="AP75" s="291" t="s">
        <v>192</v>
      </c>
      <c r="AQ75" s="292" t="s">
        <v>1520</v>
      </c>
      <c r="AR75" s="293" t="s">
        <v>197</v>
      </c>
      <c r="AS75" s="307"/>
      <c r="AT75" s="302"/>
      <c r="AU75" s="303">
        <v>1</v>
      </c>
      <c r="AV75" s="304">
        <f t="shared" si="6"/>
        <v>0</v>
      </c>
      <c r="AW75" s="302" t="s">
        <v>195</v>
      </c>
      <c r="AX75" s="305"/>
      <c r="AY75" s="306"/>
      <c r="AZ75" s="299"/>
      <c r="BA75" s="174"/>
      <c r="BB75" s="174"/>
      <c r="BC75" s="174"/>
    </row>
    <row r="76" spans="1:55" ht="28" customHeight="1">
      <c r="A76" s="45">
        <v>72</v>
      </c>
      <c r="B76" s="264">
        <v>45016</v>
      </c>
      <c r="C76" s="222" t="s">
        <v>198</v>
      </c>
      <c r="D76" s="222" t="s">
        <v>199</v>
      </c>
      <c r="E76" s="222" t="s">
        <v>200</v>
      </c>
      <c r="F76" s="257" t="s">
        <v>123</v>
      </c>
      <c r="G76" s="258" t="s">
        <v>360</v>
      </c>
      <c r="H76" s="259" t="s">
        <v>129</v>
      </c>
      <c r="I76" s="258" t="s">
        <v>237</v>
      </c>
      <c r="J76" s="260" t="s">
        <v>361</v>
      </c>
      <c r="K76" s="261" t="s">
        <v>97</v>
      </c>
      <c r="L76" s="261" t="s">
        <v>362</v>
      </c>
      <c r="M76" s="258" t="s">
        <v>237</v>
      </c>
      <c r="N76" s="258" t="s">
        <v>97</v>
      </c>
      <c r="O76" s="258" t="s">
        <v>292</v>
      </c>
      <c r="P76" s="262"/>
      <c r="Q76" s="262" t="s">
        <v>321</v>
      </c>
      <c r="R76" s="154">
        <f>0</f>
        <v>0</v>
      </c>
      <c r="S76" s="155">
        <f>0</f>
        <v>0</v>
      </c>
      <c r="T76" s="155">
        <f>0</f>
        <v>0</v>
      </c>
      <c r="U76" s="158">
        <f>0</f>
        <v>0</v>
      </c>
      <c r="V76" s="158">
        <f>0</f>
        <v>0</v>
      </c>
      <c r="W76" s="263">
        <v>1</v>
      </c>
      <c r="X76" s="155">
        <f>0</f>
        <v>0</v>
      </c>
      <c r="Y76" s="155">
        <f>0</f>
        <v>0</v>
      </c>
      <c r="Z76" s="155">
        <f>0</f>
        <v>0</v>
      </c>
      <c r="AA76" s="155">
        <f>0</f>
        <v>0</v>
      </c>
      <c r="AB76" s="155">
        <f>0</f>
        <v>0</v>
      </c>
      <c r="AC76" s="155">
        <f>0</f>
        <v>0</v>
      </c>
      <c r="AD76" s="155">
        <f>0</f>
        <v>0</v>
      </c>
      <c r="AE76" s="155">
        <f>0</f>
        <v>0</v>
      </c>
      <c r="AF76" s="155">
        <f>0</f>
        <v>0</v>
      </c>
      <c r="AG76" s="155">
        <f>0</f>
        <v>0</v>
      </c>
      <c r="AH76" s="155">
        <f>0</f>
        <v>0</v>
      </c>
      <c r="AI76" s="155">
        <f>0</f>
        <v>0</v>
      </c>
      <c r="AJ76" s="155">
        <f>0</f>
        <v>0</v>
      </c>
      <c r="AK76" s="155">
        <f>0</f>
        <v>0</v>
      </c>
      <c r="AL76" s="219">
        <f t="shared" si="4"/>
        <v>1</v>
      </c>
      <c r="AM76" s="103">
        <f>0</f>
        <v>0</v>
      </c>
      <c r="AN76" s="220">
        <f t="shared" si="5"/>
        <v>1</v>
      </c>
      <c r="AO76" s="190"/>
      <c r="AP76" s="188" t="s">
        <v>617</v>
      </c>
      <c r="AQ76" s="172"/>
      <c r="AR76" s="189" t="s">
        <v>616</v>
      </c>
      <c r="AS76" s="171"/>
      <c r="AT76" s="177"/>
      <c r="AU76" s="178"/>
      <c r="AV76" s="171">
        <f t="shared" si="6"/>
        <v>1</v>
      </c>
      <c r="AW76" s="177"/>
      <c r="AX76" s="180"/>
      <c r="AY76" s="175"/>
      <c r="AZ76" s="176"/>
    </row>
    <row r="77" spans="1:55" ht="28" customHeight="1">
      <c r="A77" s="45">
        <v>73</v>
      </c>
      <c r="B77" s="264">
        <v>45016</v>
      </c>
      <c r="C77" s="222" t="s">
        <v>198</v>
      </c>
      <c r="D77" s="222" t="s">
        <v>199</v>
      </c>
      <c r="E77" s="222" t="s">
        <v>200</v>
      </c>
      <c r="F77" s="257" t="s">
        <v>123</v>
      </c>
      <c r="G77" s="258" t="s">
        <v>363</v>
      </c>
      <c r="H77" s="259" t="s">
        <v>129</v>
      </c>
      <c r="I77" s="258" t="s">
        <v>237</v>
      </c>
      <c r="J77" s="260" t="s">
        <v>364</v>
      </c>
      <c r="K77" s="261" t="s">
        <v>97</v>
      </c>
      <c r="L77" s="261" t="s">
        <v>362</v>
      </c>
      <c r="M77" s="258" t="s">
        <v>237</v>
      </c>
      <c r="N77" s="258" t="s">
        <v>97</v>
      </c>
      <c r="O77" s="258" t="s">
        <v>292</v>
      </c>
      <c r="P77" s="262"/>
      <c r="Q77" s="262" t="s">
        <v>321</v>
      </c>
      <c r="R77" s="154">
        <f>0</f>
        <v>0</v>
      </c>
      <c r="S77" s="155">
        <f>0</f>
        <v>0</v>
      </c>
      <c r="T77" s="155">
        <f>0</f>
        <v>0</v>
      </c>
      <c r="U77" s="158">
        <f>0</f>
        <v>0</v>
      </c>
      <c r="V77" s="158">
        <f>0</f>
        <v>0</v>
      </c>
      <c r="W77" s="263">
        <v>1</v>
      </c>
      <c r="X77" s="155">
        <f>0</f>
        <v>0</v>
      </c>
      <c r="Y77" s="155">
        <f>0</f>
        <v>0</v>
      </c>
      <c r="Z77" s="155">
        <f>0</f>
        <v>0</v>
      </c>
      <c r="AA77" s="155">
        <f>0</f>
        <v>0</v>
      </c>
      <c r="AB77" s="155">
        <f>0</f>
        <v>0</v>
      </c>
      <c r="AC77" s="155">
        <f>0</f>
        <v>0</v>
      </c>
      <c r="AD77" s="155">
        <f>0</f>
        <v>0</v>
      </c>
      <c r="AE77" s="155">
        <f>0</f>
        <v>0</v>
      </c>
      <c r="AF77" s="155">
        <f>0</f>
        <v>0</v>
      </c>
      <c r="AG77" s="155">
        <f>0</f>
        <v>0</v>
      </c>
      <c r="AH77" s="155">
        <f>0</f>
        <v>0</v>
      </c>
      <c r="AI77" s="155">
        <f>0</f>
        <v>0</v>
      </c>
      <c r="AJ77" s="155">
        <f>0</f>
        <v>0</v>
      </c>
      <c r="AK77" s="155">
        <f>0</f>
        <v>0</v>
      </c>
      <c r="AL77" s="219">
        <f t="shared" si="4"/>
        <v>1</v>
      </c>
      <c r="AM77" s="103">
        <f>0</f>
        <v>0</v>
      </c>
      <c r="AN77" s="220">
        <f t="shared" si="5"/>
        <v>1</v>
      </c>
      <c r="AO77" s="190"/>
      <c r="AP77" s="188" t="s">
        <v>617</v>
      </c>
      <c r="AQ77" s="172"/>
      <c r="AR77" s="189" t="s">
        <v>616</v>
      </c>
      <c r="AS77" s="171"/>
      <c r="AT77" s="177"/>
      <c r="AU77" s="178"/>
      <c r="AV77" s="171">
        <f t="shared" si="6"/>
        <v>1</v>
      </c>
      <c r="AW77" s="177"/>
      <c r="AX77" s="180"/>
      <c r="AY77" s="175"/>
      <c r="AZ77" s="176"/>
    </row>
    <row r="78" spans="1:55" ht="28" customHeight="1">
      <c r="A78" s="45">
        <v>74</v>
      </c>
      <c r="B78" s="264">
        <v>45016</v>
      </c>
      <c r="C78" s="222" t="s">
        <v>198</v>
      </c>
      <c r="D78" s="222" t="s">
        <v>199</v>
      </c>
      <c r="E78" s="222" t="s">
        <v>200</v>
      </c>
      <c r="F78" s="257" t="s">
        <v>123</v>
      </c>
      <c r="G78" s="258" t="s">
        <v>365</v>
      </c>
      <c r="H78" s="259" t="s">
        <v>129</v>
      </c>
      <c r="I78" s="258" t="s">
        <v>237</v>
      </c>
      <c r="J78" s="260" t="s">
        <v>366</v>
      </c>
      <c r="K78" s="261" t="s">
        <v>97</v>
      </c>
      <c r="L78" s="261" t="s">
        <v>367</v>
      </c>
      <c r="M78" s="258" t="s">
        <v>237</v>
      </c>
      <c r="N78" s="258" t="s">
        <v>97</v>
      </c>
      <c r="O78" s="258" t="s">
        <v>368</v>
      </c>
      <c r="P78" s="262"/>
      <c r="Q78" s="262" t="s">
        <v>321</v>
      </c>
      <c r="R78" s="154">
        <f>0</f>
        <v>0</v>
      </c>
      <c r="S78" s="155">
        <f>0</f>
        <v>0</v>
      </c>
      <c r="T78" s="155">
        <f>0</f>
        <v>0</v>
      </c>
      <c r="U78" s="158">
        <f>0</f>
        <v>0</v>
      </c>
      <c r="V78" s="158">
        <f>0</f>
        <v>0</v>
      </c>
      <c r="W78" s="263">
        <v>1</v>
      </c>
      <c r="X78" s="155">
        <f>0</f>
        <v>0</v>
      </c>
      <c r="Y78" s="155">
        <f>0</f>
        <v>0</v>
      </c>
      <c r="Z78" s="155">
        <f>0</f>
        <v>0</v>
      </c>
      <c r="AA78" s="155">
        <f>0</f>
        <v>0</v>
      </c>
      <c r="AB78" s="155">
        <f>0</f>
        <v>0</v>
      </c>
      <c r="AC78" s="155">
        <f>0</f>
        <v>0</v>
      </c>
      <c r="AD78" s="155">
        <f>0</f>
        <v>0</v>
      </c>
      <c r="AE78" s="155">
        <f>0</f>
        <v>0</v>
      </c>
      <c r="AF78" s="155">
        <f>0</f>
        <v>0</v>
      </c>
      <c r="AG78" s="155">
        <f>0</f>
        <v>0</v>
      </c>
      <c r="AH78" s="155">
        <f>0</f>
        <v>0</v>
      </c>
      <c r="AI78" s="155">
        <f>0</f>
        <v>0</v>
      </c>
      <c r="AJ78" s="155">
        <f>0</f>
        <v>0</v>
      </c>
      <c r="AK78" s="155">
        <f>0</f>
        <v>0</v>
      </c>
      <c r="AL78" s="219">
        <f t="shared" si="4"/>
        <v>1</v>
      </c>
      <c r="AM78" s="103">
        <f>0</f>
        <v>0</v>
      </c>
      <c r="AN78" s="220">
        <f t="shared" si="5"/>
        <v>1</v>
      </c>
      <c r="AO78" s="190"/>
      <c r="AP78" s="188" t="s">
        <v>617</v>
      </c>
      <c r="AQ78" s="172"/>
      <c r="AR78" s="189" t="s">
        <v>616</v>
      </c>
      <c r="AS78" s="171"/>
      <c r="AT78" s="177"/>
      <c r="AU78" s="178"/>
      <c r="AV78" s="171">
        <f t="shared" si="6"/>
        <v>1</v>
      </c>
      <c r="AW78" s="177"/>
      <c r="AX78" s="180"/>
      <c r="AY78" s="175"/>
      <c r="AZ78" s="176"/>
    </row>
    <row r="79" spans="1:55" ht="28" customHeight="1">
      <c r="A79" s="45">
        <v>75</v>
      </c>
      <c r="B79" s="264">
        <v>45016</v>
      </c>
      <c r="C79" s="222" t="s">
        <v>198</v>
      </c>
      <c r="D79" s="222" t="s">
        <v>199</v>
      </c>
      <c r="E79" s="222" t="s">
        <v>200</v>
      </c>
      <c r="F79" s="257" t="s">
        <v>123</v>
      </c>
      <c r="G79" s="258" t="s">
        <v>369</v>
      </c>
      <c r="H79" s="259" t="s">
        <v>129</v>
      </c>
      <c r="I79" s="258" t="s">
        <v>237</v>
      </c>
      <c r="J79" s="260" t="s">
        <v>370</v>
      </c>
      <c r="K79" s="261" t="s">
        <v>97</v>
      </c>
      <c r="L79" s="261" t="s">
        <v>367</v>
      </c>
      <c r="M79" s="258" t="s">
        <v>237</v>
      </c>
      <c r="N79" s="258" t="s">
        <v>97</v>
      </c>
      <c r="O79" s="258" t="s">
        <v>368</v>
      </c>
      <c r="P79" s="262"/>
      <c r="Q79" s="262" t="s">
        <v>321</v>
      </c>
      <c r="R79" s="154">
        <f>0</f>
        <v>0</v>
      </c>
      <c r="S79" s="155">
        <f>0</f>
        <v>0</v>
      </c>
      <c r="T79" s="155">
        <f>0</f>
        <v>0</v>
      </c>
      <c r="U79" s="158">
        <f>0</f>
        <v>0</v>
      </c>
      <c r="V79" s="158">
        <f>0</f>
        <v>0</v>
      </c>
      <c r="W79" s="263">
        <v>1</v>
      </c>
      <c r="X79" s="155">
        <f>0</f>
        <v>0</v>
      </c>
      <c r="Y79" s="155">
        <f>0</f>
        <v>0</v>
      </c>
      <c r="Z79" s="155">
        <f>0</f>
        <v>0</v>
      </c>
      <c r="AA79" s="155">
        <f>0</f>
        <v>0</v>
      </c>
      <c r="AB79" s="155">
        <f>0</f>
        <v>0</v>
      </c>
      <c r="AC79" s="155">
        <f>0</f>
        <v>0</v>
      </c>
      <c r="AD79" s="155">
        <f>0</f>
        <v>0</v>
      </c>
      <c r="AE79" s="155">
        <f>0</f>
        <v>0</v>
      </c>
      <c r="AF79" s="155">
        <f>0</f>
        <v>0</v>
      </c>
      <c r="AG79" s="155">
        <f>0</f>
        <v>0</v>
      </c>
      <c r="AH79" s="155">
        <f>0</f>
        <v>0</v>
      </c>
      <c r="AI79" s="155">
        <f>0</f>
        <v>0</v>
      </c>
      <c r="AJ79" s="155">
        <f>0</f>
        <v>0</v>
      </c>
      <c r="AK79" s="155">
        <f>0</f>
        <v>0</v>
      </c>
      <c r="AL79" s="219">
        <f t="shared" si="4"/>
        <v>1</v>
      </c>
      <c r="AM79" s="103">
        <f>0</f>
        <v>0</v>
      </c>
      <c r="AN79" s="220">
        <f t="shared" si="5"/>
        <v>1</v>
      </c>
      <c r="AO79" s="190"/>
      <c r="AP79" s="188" t="s">
        <v>617</v>
      </c>
      <c r="AQ79" s="172"/>
      <c r="AR79" s="189" t="s">
        <v>616</v>
      </c>
      <c r="AS79" s="171"/>
      <c r="AT79" s="177"/>
      <c r="AU79" s="178"/>
      <c r="AV79" s="171">
        <f t="shared" si="6"/>
        <v>1</v>
      </c>
      <c r="AW79" s="177"/>
      <c r="AX79" s="180"/>
      <c r="AY79" s="175"/>
      <c r="AZ79" s="176"/>
    </row>
    <row r="80" spans="1:55" ht="28" customHeight="1">
      <c r="A80" s="45">
        <v>76</v>
      </c>
      <c r="B80" s="264">
        <v>45016</v>
      </c>
      <c r="C80" s="222" t="s">
        <v>198</v>
      </c>
      <c r="D80" s="222" t="s">
        <v>199</v>
      </c>
      <c r="E80" s="222" t="s">
        <v>200</v>
      </c>
      <c r="F80" s="257" t="s">
        <v>123</v>
      </c>
      <c r="G80" s="258" t="s">
        <v>371</v>
      </c>
      <c r="H80" s="259" t="s">
        <v>129</v>
      </c>
      <c r="I80" s="258" t="s">
        <v>237</v>
      </c>
      <c r="J80" s="260" t="s">
        <v>372</v>
      </c>
      <c r="K80" s="261" t="s">
        <v>97</v>
      </c>
      <c r="L80" s="261" t="s">
        <v>367</v>
      </c>
      <c r="M80" s="258" t="s">
        <v>237</v>
      </c>
      <c r="N80" s="258" t="s">
        <v>97</v>
      </c>
      <c r="O80" s="258" t="s">
        <v>368</v>
      </c>
      <c r="P80" s="262"/>
      <c r="Q80" s="262" t="s">
        <v>321</v>
      </c>
      <c r="R80" s="154">
        <f>0</f>
        <v>0</v>
      </c>
      <c r="S80" s="155">
        <f>0</f>
        <v>0</v>
      </c>
      <c r="T80" s="155">
        <f>0</f>
        <v>0</v>
      </c>
      <c r="U80" s="158">
        <f>0</f>
        <v>0</v>
      </c>
      <c r="V80" s="158">
        <f>0</f>
        <v>0</v>
      </c>
      <c r="W80" s="263">
        <v>1</v>
      </c>
      <c r="X80" s="155">
        <f>0</f>
        <v>0</v>
      </c>
      <c r="Y80" s="155">
        <f>0</f>
        <v>0</v>
      </c>
      <c r="Z80" s="155">
        <f>0</f>
        <v>0</v>
      </c>
      <c r="AA80" s="155">
        <f>0</f>
        <v>0</v>
      </c>
      <c r="AB80" s="155">
        <f>0</f>
        <v>0</v>
      </c>
      <c r="AC80" s="155">
        <f>0</f>
        <v>0</v>
      </c>
      <c r="AD80" s="155">
        <f>0</f>
        <v>0</v>
      </c>
      <c r="AE80" s="155">
        <f>0</f>
        <v>0</v>
      </c>
      <c r="AF80" s="155">
        <f>0</f>
        <v>0</v>
      </c>
      <c r="AG80" s="155">
        <f>0</f>
        <v>0</v>
      </c>
      <c r="AH80" s="155">
        <f>0</f>
        <v>0</v>
      </c>
      <c r="AI80" s="155">
        <f>0</f>
        <v>0</v>
      </c>
      <c r="AJ80" s="155">
        <f>0</f>
        <v>0</v>
      </c>
      <c r="AK80" s="155">
        <f>0</f>
        <v>0</v>
      </c>
      <c r="AL80" s="219">
        <f t="shared" si="4"/>
        <v>1</v>
      </c>
      <c r="AM80" s="103">
        <f>0</f>
        <v>0</v>
      </c>
      <c r="AN80" s="220">
        <f t="shared" si="5"/>
        <v>1</v>
      </c>
      <c r="AO80" s="190"/>
      <c r="AP80" s="188" t="s">
        <v>617</v>
      </c>
      <c r="AQ80" s="172"/>
      <c r="AR80" s="189" t="s">
        <v>616</v>
      </c>
      <c r="AS80" s="171"/>
      <c r="AT80" s="177"/>
      <c r="AU80" s="178"/>
      <c r="AV80" s="171">
        <f t="shared" si="6"/>
        <v>1</v>
      </c>
      <c r="AW80" s="177"/>
      <c r="AX80" s="180"/>
      <c r="AY80" s="175"/>
      <c r="AZ80" s="176"/>
    </row>
    <row r="81" spans="1:55" ht="28" customHeight="1">
      <c r="A81" s="45">
        <v>77</v>
      </c>
      <c r="B81" s="264">
        <v>45016</v>
      </c>
      <c r="C81" s="222" t="s">
        <v>198</v>
      </c>
      <c r="D81" s="222" t="s">
        <v>199</v>
      </c>
      <c r="E81" s="222" t="s">
        <v>200</v>
      </c>
      <c r="F81" s="257" t="s">
        <v>123</v>
      </c>
      <c r="G81" s="258" t="s">
        <v>373</v>
      </c>
      <c r="H81" s="259" t="s">
        <v>129</v>
      </c>
      <c r="I81" s="258" t="s">
        <v>374</v>
      </c>
      <c r="J81" s="260" t="s">
        <v>375</v>
      </c>
      <c r="K81" s="261" t="s">
        <v>97</v>
      </c>
      <c r="L81" s="261" t="s">
        <v>367</v>
      </c>
      <c r="M81" s="258" t="s">
        <v>237</v>
      </c>
      <c r="N81" s="258" t="s">
        <v>97</v>
      </c>
      <c r="O81" s="258" t="s">
        <v>368</v>
      </c>
      <c r="P81" s="262"/>
      <c r="Q81" s="262" t="s">
        <v>321</v>
      </c>
      <c r="R81" s="154">
        <f>0</f>
        <v>0</v>
      </c>
      <c r="S81" s="155">
        <f>0</f>
        <v>0</v>
      </c>
      <c r="T81" s="155">
        <f>0</f>
        <v>0</v>
      </c>
      <c r="U81" s="158">
        <f>0</f>
        <v>0</v>
      </c>
      <c r="V81" s="158">
        <f>0</f>
        <v>0</v>
      </c>
      <c r="W81" s="263">
        <v>1</v>
      </c>
      <c r="X81" s="155">
        <f>0</f>
        <v>0</v>
      </c>
      <c r="Y81" s="155">
        <f>0</f>
        <v>0</v>
      </c>
      <c r="Z81" s="155">
        <f>0</f>
        <v>0</v>
      </c>
      <c r="AA81" s="155">
        <f>0</f>
        <v>0</v>
      </c>
      <c r="AB81" s="155">
        <f>0</f>
        <v>0</v>
      </c>
      <c r="AC81" s="155">
        <f>0</f>
        <v>0</v>
      </c>
      <c r="AD81" s="155">
        <f>0</f>
        <v>0</v>
      </c>
      <c r="AE81" s="155">
        <f>0</f>
        <v>0</v>
      </c>
      <c r="AF81" s="155">
        <f>0</f>
        <v>0</v>
      </c>
      <c r="AG81" s="155">
        <f>0</f>
        <v>0</v>
      </c>
      <c r="AH81" s="155">
        <f>0</f>
        <v>0</v>
      </c>
      <c r="AI81" s="155">
        <f>0</f>
        <v>0</v>
      </c>
      <c r="AJ81" s="155">
        <f>0</f>
        <v>0</v>
      </c>
      <c r="AK81" s="155">
        <f>0</f>
        <v>0</v>
      </c>
      <c r="AL81" s="219">
        <f t="shared" si="4"/>
        <v>1</v>
      </c>
      <c r="AM81" s="103">
        <f>0</f>
        <v>0</v>
      </c>
      <c r="AN81" s="220">
        <f t="shared" si="5"/>
        <v>1</v>
      </c>
      <c r="AO81" s="190"/>
      <c r="AP81" s="188" t="s">
        <v>617</v>
      </c>
      <c r="AQ81" s="172"/>
      <c r="AR81" s="189" t="s">
        <v>616</v>
      </c>
      <c r="AS81" s="171"/>
      <c r="AT81" s="177"/>
      <c r="AU81" s="178"/>
      <c r="AV81" s="171">
        <f t="shared" si="6"/>
        <v>1</v>
      </c>
      <c r="AW81" s="177"/>
      <c r="AX81" s="180"/>
      <c r="AY81" s="175"/>
      <c r="AZ81" s="176"/>
    </row>
    <row r="82" spans="1:55" ht="28" customHeight="1">
      <c r="A82" s="45">
        <v>78</v>
      </c>
      <c r="B82" s="264">
        <v>45016</v>
      </c>
      <c r="C82" s="222" t="s">
        <v>198</v>
      </c>
      <c r="D82" s="222" t="s">
        <v>199</v>
      </c>
      <c r="E82" s="222" t="s">
        <v>200</v>
      </c>
      <c r="F82" s="257" t="s">
        <v>123</v>
      </c>
      <c r="G82" s="258" t="s">
        <v>376</v>
      </c>
      <c r="H82" s="259" t="s">
        <v>129</v>
      </c>
      <c r="I82" s="258" t="s">
        <v>237</v>
      </c>
      <c r="J82" s="260" t="s">
        <v>377</v>
      </c>
      <c r="K82" s="261" t="s">
        <v>97</v>
      </c>
      <c r="L82" s="261" t="s">
        <v>367</v>
      </c>
      <c r="M82" s="258" t="s">
        <v>237</v>
      </c>
      <c r="N82" s="258" t="s">
        <v>97</v>
      </c>
      <c r="O82" s="258" t="s">
        <v>368</v>
      </c>
      <c r="P82" s="262"/>
      <c r="Q82" s="262" t="s">
        <v>321</v>
      </c>
      <c r="R82" s="154">
        <f>0</f>
        <v>0</v>
      </c>
      <c r="S82" s="155">
        <f>0</f>
        <v>0</v>
      </c>
      <c r="T82" s="155">
        <f>0</f>
        <v>0</v>
      </c>
      <c r="U82" s="158">
        <f>0</f>
        <v>0</v>
      </c>
      <c r="V82" s="158">
        <f>0</f>
        <v>0</v>
      </c>
      <c r="W82" s="263">
        <v>1</v>
      </c>
      <c r="X82" s="155">
        <f>0</f>
        <v>0</v>
      </c>
      <c r="Y82" s="155">
        <f>0</f>
        <v>0</v>
      </c>
      <c r="Z82" s="155">
        <f>0</f>
        <v>0</v>
      </c>
      <c r="AA82" s="155">
        <f>0</f>
        <v>0</v>
      </c>
      <c r="AB82" s="155">
        <f>0</f>
        <v>0</v>
      </c>
      <c r="AC82" s="155">
        <f>0</f>
        <v>0</v>
      </c>
      <c r="AD82" s="155">
        <f>0</f>
        <v>0</v>
      </c>
      <c r="AE82" s="155">
        <f>0</f>
        <v>0</v>
      </c>
      <c r="AF82" s="155">
        <f>0</f>
        <v>0</v>
      </c>
      <c r="AG82" s="155">
        <f>0</f>
        <v>0</v>
      </c>
      <c r="AH82" s="155">
        <f>0</f>
        <v>0</v>
      </c>
      <c r="AI82" s="155">
        <f>0</f>
        <v>0</v>
      </c>
      <c r="AJ82" s="155">
        <f>0</f>
        <v>0</v>
      </c>
      <c r="AK82" s="155">
        <f>0</f>
        <v>0</v>
      </c>
      <c r="AL82" s="219">
        <f t="shared" si="4"/>
        <v>1</v>
      </c>
      <c r="AM82" s="103">
        <f>0</f>
        <v>0</v>
      </c>
      <c r="AN82" s="220">
        <f t="shared" si="5"/>
        <v>1</v>
      </c>
      <c r="AO82" s="190"/>
      <c r="AP82" s="188" t="s">
        <v>617</v>
      </c>
      <c r="AQ82" s="172"/>
      <c r="AR82" s="189" t="s">
        <v>616</v>
      </c>
      <c r="AS82" s="171"/>
      <c r="AT82" s="177"/>
      <c r="AU82" s="178"/>
      <c r="AV82" s="171">
        <f t="shared" si="6"/>
        <v>1</v>
      </c>
      <c r="AW82" s="177"/>
      <c r="AX82" s="180"/>
      <c r="AY82" s="175"/>
      <c r="AZ82" s="176"/>
    </row>
    <row r="83" spans="1:55" ht="27.75" customHeight="1">
      <c r="A83" s="45">
        <v>79</v>
      </c>
      <c r="B83" s="264">
        <v>45016</v>
      </c>
      <c r="C83" s="222" t="s">
        <v>198</v>
      </c>
      <c r="D83" s="222" t="s">
        <v>199</v>
      </c>
      <c r="E83" s="222" t="s">
        <v>200</v>
      </c>
      <c r="F83" s="257" t="s">
        <v>123</v>
      </c>
      <c r="G83" s="258" t="s">
        <v>378</v>
      </c>
      <c r="H83" s="259" t="s">
        <v>129</v>
      </c>
      <c r="I83" s="258" t="s">
        <v>237</v>
      </c>
      <c r="J83" s="260" t="s">
        <v>379</v>
      </c>
      <c r="K83" s="261" t="s">
        <v>97</v>
      </c>
      <c r="L83" s="261" t="s">
        <v>367</v>
      </c>
      <c r="M83" s="258" t="s">
        <v>237</v>
      </c>
      <c r="N83" s="258" t="s">
        <v>97</v>
      </c>
      <c r="O83" s="258" t="s">
        <v>368</v>
      </c>
      <c r="P83" s="262"/>
      <c r="Q83" s="262" t="s">
        <v>321</v>
      </c>
      <c r="R83" s="154">
        <f>0</f>
        <v>0</v>
      </c>
      <c r="S83" s="155">
        <f>0</f>
        <v>0</v>
      </c>
      <c r="T83" s="155">
        <f>0</f>
        <v>0</v>
      </c>
      <c r="U83" s="158">
        <f>0</f>
        <v>0</v>
      </c>
      <c r="V83" s="158">
        <f>0</f>
        <v>0</v>
      </c>
      <c r="W83" s="263">
        <v>1</v>
      </c>
      <c r="X83" s="155">
        <f>0</f>
        <v>0</v>
      </c>
      <c r="Y83" s="155">
        <f>0</f>
        <v>0</v>
      </c>
      <c r="Z83" s="155">
        <f>0</f>
        <v>0</v>
      </c>
      <c r="AA83" s="155">
        <f>0</f>
        <v>0</v>
      </c>
      <c r="AB83" s="155">
        <f>0</f>
        <v>0</v>
      </c>
      <c r="AC83" s="155">
        <f>0</f>
        <v>0</v>
      </c>
      <c r="AD83" s="155">
        <f>0</f>
        <v>0</v>
      </c>
      <c r="AE83" s="155">
        <f>0</f>
        <v>0</v>
      </c>
      <c r="AF83" s="155">
        <f>0</f>
        <v>0</v>
      </c>
      <c r="AG83" s="155">
        <f>0</f>
        <v>0</v>
      </c>
      <c r="AH83" s="155">
        <f>0</f>
        <v>0</v>
      </c>
      <c r="AI83" s="155">
        <f>0</f>
        <v>0</v>
      </c>
      <c r="AJ83" s="155">
        <f>0</f>
        <v>0</v>
      </c>
      <c r="AK83" s="155">
        <f>0</f>
        <v>0</v>
      </c>
      <c r="AL83" s="219">
        <f t="shared" si="4"/>
        <v>1</v>
      </c>
      <c r="AM83" s="103">
        <f>0</f>
        <v>0</v>
      </c>
      <c r="AN83" s="220">
        <f t="shared" si="5"/>
        <v>1</v>
      </c>
      <c r="AO83" s="190"/>
      <c r="AP83" s="188" t="s">
        <v>617</v>
      </c>
      <c r="AQ83" s="172"/>
      <c r="AR83" s="189" t="s">
        <v>616</v>
      </c>
      <c r="AS83" s="171"/>
      <c r="AT83" s="177"/>
      <c r="AU83" s="178"/>
      <c r="AV83" s="171">
        <f t="shared" si="6"/>
        <v>1</v>
      </c>
      <c r="AW83" s="177"/>
      <c r="AX83" s="180"/>
      <c r="AY83" s="175"/>
      <c r="AZ83" s="176"/>
    </row>
    <row r="84" spans="1:55" ht="28" customHeight="1">
      <c r="A84" s="45">
        <v>80</v>
      </c>
      <c r="B84" s="264">
        <v>45016</v>
      </c>
      <c r="C84" s="222" t="s">
        <v>198</v>
      </c>
      <c r="D84" s="222" t="s">
        <v>199</v>
      </c>
      <c r="E84" s="222" t="s">
        <v>200</v>
      </c>
      <c r="F84" s="257" t="s">
        <v>123</v>
      </c>
      <c r="G84" s="258" t="s">
        <v>380</v>
      </c>
      <c r="H84" s="259" t="s">
        <v>129</v>
      </c>
      <c r="I84" s="258" t="s">
        <v>237</v>
      </c>
      <c r="J84" s="260" t="s">
        <v>381</v>
      </c>
      <c r="K84" s="261" t="s">
        <v>97</v>
      </c>
      <c r="L84" s="261" t="s">
        <v>367</v>
      </c>
      <c r="M84" s="258" t="s">
        <v>237</v>
      </c>
      <c r="N84" s="258" t="s">
        <v>97</v>
      </c>
      <c r="O84" s="258" t="s">
        <v>368</v>
      </c>
      <c r="P84" s="262"/>
      <c r="Q84" s="262" t="s">
        <v>321</v>
      </c>
      <c r="R84" s="154">
        <f>0</f>
        <v>0</v>
      </c>
      <c r="S84" s="155">
        <f>0</f>
        <v>0</v>
      </c>
      <c r="T84" s="155">
        <f>0</f>
        <v>0</v>
      </c>
      <c r="U84" s="158">
        <f>0</f>
        <v>0</v>
      </c>
      <c r="V84" s="158">
        <f>0</f>
        <v>0</v>
      </c>
      <c r="W84" s="263">
        <v>1</v>
      </c>
      <c r="X84" s="155">
        <f>0</f>
        <v>0</v>
      </c>
      <c r="Y84" s="155">
        <f>0</f>
        <v>0</v>
      </c>
      <c r="Z84" s="155">
        <f>0</f>
        <v>0</v>
      </c>
      <c r="AA84" s="155">
        <f>0</f>
        <v>0</v>
      </c>
      <c r="AB84" s="155">
        <f>0</f>
        <v>0</v>
      </c>
      <c r="AC84" s="155">
        <f>0</f>
        <v>0</v>
      </c>
      <c r="AD84" s="155">
        <f>0</f>
        <v>0</v>
      </c>
      <c r="AE84" s="155">
        <f>0</f>
        <v>0</v>
      </c>
      <c r="AF84" s="155">
        <f>0</f>
        <v>0</v>
      </c>
      <c r="AG84" s="155">
        <f>0</f>
        <v>0</v>
      </c>
      <c r="AH84" s="155">
        <f>0</f>
        <v>0</v>
      </c>
      <c r="AI84" s="155">
        <f>0</f>
        <v>0</v>
      </c>
      <c r="AJ84" s="155">
        <f>0</f>
        <v>0</v>
      </c>
      <c r="AK84" s="155">
        <f>0</f>
        <v>0</v>
      </c>
      <c r="AL84" s="219">
        <f t="shared" si="4"/>
        <v>1</v>
      </c>
      <c r="AM84" s="103">
        <f>0</f>
        <v>0</v>
      </c>
      <c r="AN84" s="220">
        <f t="shared" si="5"/>
        <v>1</v>
      </c>
      <c r="AO84" s="190"/>
      <c r="AP84" s="188" t="s">
        <v>617</v>
      </c>
      <c r="AQ84" s="172"/>
      <c r="AR84" s="189" t="s">
        <v>616</v>
      </c>
      <c r="AS84" s="171"/>
      <c r="AT84" s="177"/>
      <c r="AU84" s="178"/>
      <c r="AV84" s="171">
        <f t="shared" si="6"/>
        <v>1</v>
      </c>
      <c r="AW84" s="177"/>
      <c r="AX84" s="180"/>
      <c r="AY84" s="175"/>
      <c r="AZ84" s="176"/>
    </row>
    <row r="85" spans="1:55" ht="28" customHeight="1">
      <c r="A85" s="308">
        <v>81</v>
      </c>
      <c r="B85" s="287">
        <v>45016</v>
      </c>
      <c r="C85" s="222" t="s">
        <v>198</v>
      </c>
      <c r="D85" s="222" t="s">
        <v>199</v>
      </c>
      <c r="E85" s="222" t="s">
        <v>200</v>
      </c>
      <c r="F85" s="349" t="s">
        <v>123</v>
      </c>
      <c r="G85" s="243" t="s">
        <v>382</v>
      </c>
      <c r="H85" s="244" t="s">
        <v>129</v>
      </c>
      <c r="I85" s="243" t="s">
        <v>383</v>
      </c>
      <c r="J85" s="245" t="s">
        <v>384</v>
      </c>
      <c r="K85" s="246" t="s">
        <v>97</v>
      </c>
      <c r="L85" s="246" t="s">
        <v>176</v>
      </c>
      <c r="M85" s="243" t="s">
        <v>147</v>
      </c>
      <c r="N85" s="243" t="s">
        <v>97</v>
      </c>
      <c r="O85" s="243" t="s">
        <v>177</v>
      </c>
      <c r="P85" s="289"/>
      <c r="Q85" s="289" t="s">
        <v>321</v>
      </c>
      <c r="R85" s="154">
        <f>0</f>
        <v>0</v>
      </c>
      <c r="S85" s="155">
        <f>0</f>
        <v>0</v>
      </c>
      <c r="T85" s="155">
        <f>0</f>
        <v>0</v>
      </c>
      <c r="U85" s="158">
        <f>0</f>
        <v>0</v>
      </c>
      <c r="V85" s="158">
        <f>0</f>
        <v>0</v>
      </c>
      <c r="W85" s="263">
        <v>2</v>
      </c>
      <c r="X85" s="155">
        <f>0</f>
        <v>0</v>
      </c>
      <c r="Y85" s="155">
        <f>0</f>
        <v>0</v>
      </c>
      <c r="Z85" s="155">
        <f>0</f>
        <v>0</v>
      </c>
      <c r="AA85" s="155">
        <f>0</f>
        <v>0</v>
      </c>
      <c r="AB85" s="155">
        <f>0</f>
        <v>0</v>
      </c>
      <c r="AC85" s="155">
        <f>0</f>
        <v>0</v>
      </c>
      <c r="AD85" s="155">
        <f>0</f>
        <v>0</v>
      </c>
      <c r="AE85" s="155">
        <f>0</f>
        <v>0</v>
      </c>
      <c r="AF85" s="155">
        <f>0</f>
        <v>0</v>
      </c>
      <c r="AG85" s="155">
        <f>0</f>
        <v>0</v>
      </c>
      <c r="AH85" s="155">
        <f>0</f>
        <v>0</v>
      </c>
      <c r="AI85" s="155">
        <f>0</f>
        <v>0</v>
      </c>
      <c r="AJ85" s="155">
        <f>0</f>
        <v>0</v>
      </c>
      <c r="AK85" s="155">
        <f>0</f>
        <v>0</v>
      </c>
      <c r="AL85" s="219">
        <f t="shared" si="4"/>
        <v>2</v>
      </c>
      <c r="AM85" s="103">
        <f>0</f>
        <v>0</v>
      </c>
      <c r="AN85" s="220">
        <f t="shared" si="5"/>
        <v>2</v>
      </c>
      <c r="AO85" s="348">
        <v>45034</v>
      </c>
      <c r="AP85" s="296" t="s">
        <v>192</v>
      </c>
      <c r="AQ85" s="292" t="s">
        <v>1522</v>
      </c>
      <c r="AR85" s="293" t="s">
        <v>194</v>
      </c>
      <c r="AS85" s="301">
        <v>45078</v>
      </c>
      <c r="AT85" s="302"/>
      <c r="AU85" s="303">
        <v>2</v>
      </c>
      <c r="AV85" s="304">
        <f t="shared" si="6"/>
        <v>0</v>
      </c>
      <c r="AW85" s="302" t="s">
        <v>195</v>
      </c>
      <c r="AX85" s="305"/>
      <c r="AY85" s="306"/>
      <c r="AZ85" s="299"/>
      <c r="BA85" s="174"/>
      <c r="BB85" s="174"/>
      <c r="BC85" s="174"/>
    </row>
    <row r="86" spans="1:55" ht="28" customHeight="1">
      <c r="A86" s="308">
        <v>82</v>
      </c>
      <c r="B86" s="287">
        <v>45016</v>
      </c>
      <c r="C86" s="222" t="s">
        <v>198</v>
      </c>
      <c r="D86" s="222" t="s">
        <v>199</v>
      </c>
      <c r="E86" s="222" t="s">
        <v>200</v>
      </c>
      <c r="F86" s="349" t="s">
        <v>123</v>
      </c>
      <c r="G86" s="243" t="s">
        <v>385</v>
      </c>
      <c r="H86" s="244" t="s">
        <v>129</v>
      </c>
      <c r="I86" s="243" t="s">
        <v>386</v>
      </c>
      <c r="J86" s="245" t="s">
        <v>387</v>
      </c>
      <c r="K86" s="246" t="s">
        <v>97</v>
      </c>
      <c r="L86" s="246" t="s">
        <v>176</v>
      </c>
      <c r="M86" s="243" t="s">
        <v>279</v>
      </c>
      <c r="N86" s="243" t="s">
        <v>201</v>
      </c>
      <c r="O86" s="243" t="s">
        <v>224</v>
      </c>
      <c r="P86" s="289"/>
      <c r="Q86" s="289" t="s">
        <v>321</v>
      </c>
      <c r="R86" s="154">
        <f>0</f>
        <v>0</v>
      </c>
      <c r="S86" s="155">
        <f>0</f>
        <v>0</v>
      </c>
      <c r="T86" s="155">
        <f>0</f>
        <v>0</v>
      </c>
      <c r="U86" s="158">
        <f>0</f>
        <v>0</v>
      </c>
      <c r="V86" s="158">
        <f>0</f>
        <v>0</v>
      </c>
      <c r="W86" s="263">
        <v>1</v>
      </c>
      <c r="X86" s="155">
        <f>0</f>
        <v>0</v>
      </c>
      <c r="Y86" s="155">
        <f>0</f>
        <v>0</v>
      </c>
      <c r="Z86" s="155">
        <f>0</f>
        <v>0</v>
      </c>
      <c r="AA86" s="155">
        <f>0</f>
        <v>0</v>
      </c>
      <c r="AB86" s="155">
        <f>0</f>
        <v>0</v>
      </c>
      <c r="AC86" s="155">
        <f>0</f>
        <v>0</v>
      </c>
      <c r="AD86" s="155">
        <f>0</f>
        <v>0</v>
      </c>
      <c r="AE86" s="155">
        <f>0</f>
        <v>0</v>
      </c>
      <c r="AF86" s="155">
        <f>0</f>
        <v>0</v>
      </c>
      <c r="AG86" s="155">
        <f>0</f>
        <v>0</v>
      </c>
      <c r="AH86" s="155">
        <f>0</f>
        <v>0</v>
      </c>
      <c r="AI86" s="155">
        <f>0</f>
        <v>0</v>
      </c>
      <c r="AJ86" s="155">
        <f>0</f>
        <v>0</v>
      </c>
      <c r="AK86" s="155">
        <f>0</f>
        <v>0</v>
      </c>
      <c r="AL86" s="219">
        <f t="shared" si="4"/>
        <v>1</v>
      </c>
      <c r="AM86" s="103">
        <f>0</f>
        <v>0</v>
      </c>
      <c r="AN86" s="220">
        <f t="shared" si="5"/>
        <v>1</v>
      </c>
      <c r="AO86" s="348">
        <v>45034</v>
      </c>
      <c r="AP86" s="296" t="s">
        <v>192</v>
      </c>
      <c r="AQ86" s="292" t="s">
        <v>1522</v>
      </c>
      <c r="AR86" s="293" t="s">
        <v>194</v>
      </c>
      <c r="AS86" s="301">
        <v>45078</v>
      </c>
      <c r="AT86" s="302"/>
      <c r="AU86" s="303">
        <v>1</v>
      </c>
      <c r="AV86" s="304">
        <f t="shared" si="6"/>
        <v>0</v>
      </c>
      <c r="AW86" s="302" t="s">
        <v>195</v>
      </c>
      <c r="AX86" s="305"/>
      <c r="AY86" s="306"/>
      <c r="AZ86" s="299"/>
      <c r="BA86" s="174"/>
      <c r="BB86" s="174"/>
      <c r="BC86" s="174"/>
    </row>
    <row r="87" spans="1:55" ht="28" customHeight="1">
      <c r="A87" s="308">
        <v>83</v>
      </c>
      <c r="B87" s="287">
        <v>45016</v>
      </c>
      <c r="C87" s="222" t="s">
        <v>198</v>
      </c>
      <c r="D87" s="222" t="s">
        <v>199</v>
      </c>
      <c r="E87" s="222" t="s">
        <v>200</v>
      </c>
      <c r="F87" s="349" t="s">
        <v>123</v>
      </c>
      <c r="G87" s="243" t="s">
        <v>388</v>
      </c>
      <c r="H87" s="244" t="s">
        <v>129</v>
      </c>
      <c r="I87" s="243" t="s">
        <v>389</v>
      </c>
      <c r="J87" s="245" t="s">
        <v>390</v>
      </c>
      <c r="K87" s="246" t="s">
        <v>97</v>
      </c>
      <c r="L87" s="246" t="s">
        <v>176</v>
      </c>
      <c r="M87" s="243" t="s">
        <v>147</v>
      </c>
      <c r="N87" s="243" t="s">
        <v>97</v>
      </c>
      <c r="O87" s="243" t="s">
        <v>177</v>
      </c>
      <c r="P87" s="289"/>
      <c r="Q87" s="289" t="s">
        <v>321</v>
      </c>
      <c r="R87" s="154">
        <f>0</f>
        <v>0</v>
      </c>
      <c r="S87" s="155">
        <f>0</f>
        <v>0</v>
      </c>
      <c r="T87" s="155">
        <f>0</f>
        <v>0</v>
      </c>
      <c r="U87" s="158">
        <f>0</f>
        <v>0</v>
      </c>
      <c r="V87" s="158">
        <f>0</f>
        <v>0</v>
      </c>
      <c r="W87" s="263">
        <v>1</v>
      </c>
      <c r="X87" s="155">
        <f>0</f>
        <v>0</v>
      </c>
      <c r="Y87" s="155">
        <f>0</f>
        <v>0</v>
      </c>
      <c r="Z87" s="155">
        <f>0</f>
        <v>0</v>
      </c>
      <c r="AA87" s="155">
        <f>0</f>
        <v>0</v>
      </c>
      <c r="AB87" s="155">
        <f>0</f>
        <v>0</v>
      </c>
      <c r="AC87" s="155">
        <f>0</f>
        <v>0</v>
      </c>
      <c r="AD87" s="155">
        <f>0</f>
        <v>0</v>
      </c>
      <c r="AE87" s="155">
        <f>0</f>
        <v>0</v>
      </c>
      <c r="AF87" s="155">
        <f>0</f>
        <v>0</v>
      </c>
      <c r="AG87" s="155">
        <f>0</f>
        <v>0</v>
      </c>
      <c r="AH87" s="155">
        <f>0</f>
        <v>0</v>
      </c>
      <c r="AI87" s="155">
        <f>0</f>
        <v>0</v>
      </c>
      <c r="AJ87" s="155">
        <f>0</f>
        <v>0</v>
      </c>
      <c r="AK87" s="155">
        <f>0</f>
        <v>0</v>
      </c>
      <c r="AL87" s="219">
        <f t="shared" si="4"/>
        <v>1</v>
      </c>
      <c r="AM87" s="103">
        <f>0</f>
        <v>0</v>
      </c>
      <c r="AN87" s="220">
        <f t="shared" si="5"/>
        <v>1</v>
      </c>
      <c r="AO87" s="348">
        <v>45034</v>
      </c>
      <c r="AP87" s="296" t="s">
        <v>192</v>
      </c>
      <c r="AQ87" s="292" t="s">
        <v>1522</v>
      </c>
      <c r="AR87" s="293" t="s">
        <v>194</v>
      </c>
      <c r="AS87" s="301">
        <v>45078</v>
      </c>
      <c r="AT87" s="302"/>
      <c r="AU87" s="303">
        <v>1</v>
      </c>
      <c r="AV87" s="304">
        <f t="shared" si="6"/>
        <v>0</v>
      </c>
      <c r="AW87" s="302" t="s">
        <v>195</v>
      </c>
      <c r="AX87" s="305"/>
      <c r="AY87" s="306"/>
      <c r="AZ87" s="299"/>
      <c r="BA87" s="174"/>
      <c r="BB87" s="174"/>
      <c r="BC87" s="174"/>
    </row>
    <row r="88" spans="1:55" ht="28" customHeight="1">
      <c r="A88" s="308">
        <v>84</v>
      </c>
      <c r="B88" s="287">
        <v>45016</v>
      </c>
      <c r="C88" s="222" t="s">
        <v>198</v>
      </c>
      <c r="D88" s="222" t="s">
        <v>199</v>
      </c>
      <c r="E88" s="222" t="s">
        <v>200</v>
      </c>
      <c r="F88" s="349" t="s">
        <v>123</v>
      </c>
      <c r="G88" s="243" t="s">
        <v>391</v>
      </c>
      <c r="H88" s="244" t="s">
        <v>129</v>
      </c>
      <c r="I88" s="243" t="s">
        <v>299</v>
      </c>
      <c r="J88" s="245" t="s">
        <v>392</v>
      </c>
      <c r="K88" s="246" t="s">
        <v>97</v>
      </c>
      <c r="L88" s="246" t="s">
        <v>176</v>
      </c>
      <c r="M88" s="243" t="s">
        <v>147</v>
      </c>
      <c r="N88" s="243" t="s">
        <v>97</v>
      </c>
      <c r="O88" s="243" t="s">
        <v>177</v>
      </c>
      <c r="P88" s="289"/>
      <c r="Q88" s="289" t="s">
        <v>321</v>
      </c>
      <c r="R88" s="154">
        <f>0</f>
        <v>0</v>
      </c>
      <c r="S88" s="155">
        <f>0</f>
        <v>0</v>
      </c>
      <c r="T88" s="155">
        <f>0</f>
        <v>0</v>
      </c>
      <c r="U88" s="158">
        <f>0</f>
        <v>0</v>
      </c>
      <c r="V88" s="158">
        <f>0</f>
        <v>0</v>
      </c>
      <c r="W88" s="263">
        <v>1</v>
      </c>
      <c r="X88" s="155">
        <f>0</f>
        <v>0</v>
      </c>
      <c r="Y88" s="155">
        <f>0</f>
        <v>0</v>
      </c>
      <c r="Z88" s="155">
        <f>0</f>
        <v>0</v>
      </c>
      <c r="AA88" s="155">
        <f>0</f>
        <v>0</v>
      </c>
      <c r="AB88" s="155">
        <f>0</f>
        <v>0</v>
      </c>
      <c r="AC88" s="155">
        <f>0</f>
        <v>0</v>
      </c>
      <c r="AD88" s="155">
        <f>0</f>
        <v>0</v>
      </c>
      <c r="AE88" s="155">
        <f>0</f>
        <v>0</v>
      </c>
      <c r="AF88" s="155">
        <f>0</f>
        <v>0</v>
      </c>
      <c r="AG88" s="155">
        <f>0</f>
        <v>0</v>
      </c>
      <c r="AH88" s="155">
        <f>0</f>
        <v>0</v>
      </c>
      <c r="AI88" s="155">
        <f>0</f>
        <v>0</v>
      </c>
      <c r="AJ88" s="155">
        <f>0</f>
        <v>0</v>
      </c>
      <c r="AK88" s="155">
        <f>0</f>
        <v>0</v>
      </c>
      <c r="AL88" s="219">
        <f t="shared" si="4"/>
        <v>1</v>
      </c>
      <c r="AM88" s="103">
        <f>0</f>
        <v>0</v>
      </c>
      <c r="AN88" s="220">
        <f t="shared" si="5"/>
        <v>1</v>
      </c>
      <c r="AO88" s="348">
        <v>45034</v>
      </c>
      <c r="AP88" s="296" t="s">
        <v>192</v>
      </c>
      <c r="AQ88" s="292" t="s">
        <v>1522</v>
      </c>
      <c r="AR88" s="293" t="s">
        <v>194</v>
      </c>
      <c r="AS88" s="301">
        <v>45078</v>
      </c>
      <c r="AT88" s="302"/>
      <c r="AU88" s="303">
        <v>1</v>
      </c>
      <c r="AV88" s="304">
        <f t="shared" si="6"/>
        <v>0</v>
      </c>
      <c r="AW88" s="302" t="s">
        <v>195</v>
      </c>
      <c r="AX88" s="305"/>
      <c r="AY88" s="306"/>
      <c r="AZ88" s="299"/>
      <c r="BA88" s="174"/>
      <c r="BB88" s="174"/>
      <c r="BC88" s="174"/>
    </row>
    <row r="89" spans="1:55" ht="28" customHeight="1">
      <c r="A89" s="308">
        <v>85</v>
      </c>
      <c r="B89" s="287">
        <v>45016</v>
      </c>
      <c r="C89" s="222" t="s">
        <v>198</v>
      </c>
      <c r="D89" s="222" t="s">
        <v>199</v>
      </c>
      <c r="E89" s="222" t="s">
        <v>200</v>
      </c>
      <c r="F89" s="349" t="s">
        <v>123</v>
      </c>
      <c r="G89" s="243" t="s">
        <v>393</v>
      </c>
      <c r="H89" s="244" t="s">
        <v>129</v>
      </c>
      <c r="I89" s="243" t="s">
        <v>394</v>
      </c>
      <c r="J89" s="245" t="s">
        <v>395</v>
      </c>
      <c r="K89" s="246" t="s">
        <v>97</v>
      </c>
      <c r="L89" s="246" t="s">
        <v>165</v>
      </c>
      <c r="M89" s="243" t="s">
        <v>147</v>
      </c>
      <c r="N89" s="243" t="s">
        <v>97</v>
      </c>
      <c r="O89" s="243" t="s">
        <v>177</v>
      </c>
      <c r="P89" s="289"/>
      <c r="Q89" s="289" t="s">
        <v>321</v>
      </c>
      <c r="R89" s="154">
        <f>0</f>
        <v>0</v>
      </c>
      <c r="S89" s="155">
        <f>0</f>
        <v>0</v>
      </c>
      <c r="T89" s="155">
        <f>0</f>
        <v>0</v>
      </c>
      <c r="U89" s="158">
        <f>0</f>
        <v>0</v>
      </c>
      <c r="V89" s="158">
        <f>0</f>
        <v>0</v>
      </c>
      <c r="W89" s="263">
        <v>1</v>
      </c>
      <c r="X89" s="155">
        <f>0</f>
        <v>0</v>
      </c>
      <c r="Y89" s="155">
        <f>0</f>
        <v>0</v>
      </c>
      <c r="Z89" s="155">
        <f>0</f>
        <v>0</v>
      </c>
      <c r="AA89" s="155">
        <f>0</f>
        <v>0</v>
      </c>
      <c r="AB89" s="155">
        <f>0</f>
        <v>0</v>
      </c>
      <c r="AC89" s="155">
        <f>0</f>
        <v>0</v>
      </c>
      <c r="AD89" s="155">
        <f>0</f>
        <v>0</v>
      </c>
      <c r="AE89" s="155">
        <f>0</f>
        <v>0</v>
      </c>
      <c r="AF89" s="155">
        <f>0</f>
        <v>0</v>
      </c>
      <c r="AG89" s="155">
        <f>0</f>
        <v>0</v>
      </c>
      <c r="AH89" s="155">
        <f>0</f>
        <v>0</v>
      </c>
      <c r="AI89" s="155">
        <f>0</f>
        <v>0</v>
      </c>
      <c r="AJ89" s="155">
        <f>0</f>
        <v>0</v>
      </c>
      <c r="AK89" s="155">
        <f>0</f>
        <v>0</v>
      </c>
      <c r="AL89" s="219">
        <f t="shared" si="4"/>
        <v>1</v>
      </c>
      <c r="AM89" s="103">
        <f>0</f>
        <v>0</v>
      </c>
      <c r="AN89" s="220">
        <f t="shared" si="5"/>
        <v>1</v>
      </c>
      <c r="AO89" s="348">
        <v>45034</v>
      </c>
      <c r="AP89" s="296" t="s">
        <v>192</v>
      </c>
      <c r="AQ89" s="292" t="s">
        <v>1522</v>
      </c>
      <c r="AR89" s="293" t="s">
        <v>194</v>
      </c>
      <c r="AS89" s="301">
        <v>45078</v>
      </c>
      <c r="AT89" s="302"/>
      <c r="AU89" s="303">
        <v>1</v>
      </c>
      <c r="AV89" s="304">
        <f t="shared" si="6"/>
        <v>0</v>
      </c>
      <c r="AW89" s="302" t="s">
        <v>195</v>
      </c>
      <c r="AX89" s="305"/>
      <c r="AY89" s="306"/>
      <c r="AZ89" s="299"/>
      <c r="BA89" s="174"/>
      <c r="BB89" s="174"/>
      <c r="BC89" s="174"/>
    </row>
    <row r="90" spans="1:55" ht="28" customHeight="1">
      <c r="A90" s="308">
        <v>86</v>
      </c>
      <c r="B90" s="287">
        <v>45016</v>
      </c>
      <c r="C90" s="222" t="s">
        <v>198</v>
      </c>
      <c r="D90" s="222" t="s">
        <v>199</v>
      </c>
      <c r="E90" s="222" t="s">
        <v>200</v>
      </c>
      <c r="F90" s="349" t="s">
        <v>123</v>
      </c>
      <c r="G90" s="243" t="s">
        <v>396</v>
      </c>
      <c r="H90" s="244" t="s">
        <v>129</v>
      </c>
      <c r="I90" s="243" t="s">
        <v>397</v>
      </c>
      <c r="J90" s="245" t="s">
        <v>398</v>
      </c>
      <c r="K90" s="246" t="s">
        <v>97</v>
      </c>
      <c r="L90" s="246" t="s">
        <v>165</v>
      </c>
      <c r="M90" s="243" t="s">
        <v>279</v>
      </c>
      <c r="N90" s="243" t="s">
        <v>97</v>
      </c>
      <c r="O90" s="243" t="s">
        <v>399</v>
      </c>
      <c r="P90" s="289"/>
      <c r="Q90" s="289" t="s">
        <v>321</v>
      </c>
      <c r="R90" s="154">
        <f>0</f>
        <v>0</v>
      </c>
      <c r="S90" s="155">
        <f>0</f>
        <v>0</v>
      </c>
      <c r="T90" s="155">
        <f>0</f>
        <v>0</v>
      </c>
      <c r="U90" s="158">
        <f>0</f>
        <v>0</v>
      </c>
      <c r="V90" s="158">
        <f>0</f>
        <v>0</v>
      </c>
      <c r="W90" s="263">
        <v>1</v>
      </c>
      <c r="X90" s="155">
        <f>0</f>
        <v>0</v>
      </c>
      <c r="Y90" s="155">
        <f>0</f>
        <v>0</v>
      </c>
      <c r="Z90" s="155">
        <f>0</f>
        <v>0</v>
      </c>
      <c r="AA90" s="155">
        <f>0</f>
        <v>0</v>
      </c>
      <c r="AB90" s="155">
        <f>0</f>
        <v>0</v>
      </c>
      <c r="AC90" s="155">
        <f>0</f>
        <v>0</v>
      </c>
      <c r="AD90" s="155">
        <f>0</f>
        <v>0</v>
      </c>
      <c r="AE90" s="155">
        <f>0</f>
        <v>0</v>
      </c>
      <c r="AF90" s="155">
        <f>0</f>
        <v>0</v>
      </c>
      <c r="AG90" s="155">
        <f>0</f>
        <v>0</v>
      </c>
      <c r="AH90" s="155">
        <f>0</f>
        <v>0</v>
      </c>
      <c r="AI90" s="155">
        <f>0</f>
        <v>0</v>
      </c>
      <c r="AJ90" s="155">
        <f>0</f>
        <v>0</v>
      </c>
      <c r="AK90" s="155">
        <f>0</f>
        <v>0</v>
      </c>
      <c r="AL90" s="219">
        <f t="shared" si="4"/>
        <v>1</v>
      </c>
      <c r="AM90" s="103">
        <f>0</f>
        <v>0</v>
      </c>
      <c r="AN90" s="220">
        <f t="shared" si="5"/>
        <v>1</v>
      </c>
      <c r="AO90" s="348">
        <v>45034</v>
      </c>
      <c r="AP90" s="296" t="s">
        <v>192</v>
      </c>
      <c r="AQ90" s="292" t="s">
        <v>1522</v>
      </c>
      <c r="AR90" s="293" t="s">
        <v>194</v>
      </c>
      <c r="AS90" s="301">
        <v>45078</v>
      </c>
      <c r="AT90" s="302"/>
      <c r="AU90" s="303">
        <v>1</v>
      </c>
      <c r="AV90" s="304">
        <f t="shared" si="6"/>
        <v>0</v>
      </c>
      <c r="AW90" s="302" t="s">
        <v>195</v>
      </c>
      <c r="AX90" s="305"/>
      <c r="AY90" s="306"/>
      <c r="AZ90" s="299"/>
      <c r="BA90" s="174"/>
      <c r="BB90" s="174"/>
      <c r="BC90" s="174"/>
    </row>
    <row r="91" spans="1:55" ht="27.75" customHeight="1">
      <c r="A91" s="308">
        <v>87</v>
      </c>
      <c r="B91" s="287">
        <v>45016</v>
      </c>
      <c r="C91" s="222" t="s">
        <v>198</v>
      </c>
      <c r="D91" s="222" t="s">
        <v>199</v>
      </c>
      <c r="E91" s="222" t="s">
        <v>200</v>
      </c>
      <c r="F91" s="349" t="s">
        <v>123</v>
      </c>
      <c r="G91" s="243" t="s">
        <v>400</v>
      </c>
      <c r="H91" s="244" t="s">
        <v>323</v>
      </c>
      <c r="I91" s="243" t="s">
        <v>401</v>
      </c>
      <c r="J91" s="245" t="s">
        <v>402</v>
      </c>
      <c r="K91" s="246" t="s">
        <v>97</v>
      </c>
      <c r="L91" s="246" t="s">
        <v>165</v>
      </c>
      <c r="M91" s="243" t="s">
        <v>147</v>
      </c>
      <c r="N91" s="243" t="s">
        <v>97</v>
      </c>
      <c r="O91" s="243" t="s">
        <v>224</v>
      </c>
      <c r="P91" s="289"/>
      <c r="Q91" s="289" t="s">
        <v>321</v>
      </c>
      <c r="R91" s="154">
        <f>0</f>
        <v>0</v>
      </c>
      <c r="S91" s="155">
        <f>0</f>
        <v>0</v>
      </c>
      <c r="T91" s="155">
        <f>0</f>
        <v>0</v>
      </c>
      <c r="U91" s="158">
        <f>0</f>
        <v>0</v>
      </c>
      <c r="V91" s="158">
        <f>0</f>
        <v>0</v>
      </c>
      <c r="W91" s="263">
        <v>4</v>
      </c>
      <c r="X91" s="155">
        <f>0</f>
        <v>0</v>
      </c>
      <c r="Y91" s="155">
        <f>0</f>
        <v>0</v>
      </c>
      <c r="Z91" s="155">
        <f>0</f>
        <v>0</v>
      </c>
      <c r="AA91" s="155">
        <f>0</f>
        <v>0</v>
      </c>
      <c r="AB91" s="155">
        <f>0</f>
        <v>0</v>
      </c>
      <c r="AC91" s="155">
        <f>0</f>
        <v>0</v>
      </c>
      <c r="AD91" s="155">
        <f>0</f>
        <v>0</v>
      </c>
      <c r="AE91" s="155">
        <f>0</f>
        <v>0</v>
      </c>
      <c r="AF91" s="155">
        <f>0</f>
        <v>0</v>
      </c>
      <c r="AG91" s="155">
        <f>0</f>
        <v>0</v>
      </c>
      <c r="AH91" s="155">
        <f>0</f>
        <v>0</v>
      </c>
      <c r="AI91" s="155">
        <f>0</f>
        <v>0</v>
      </c>
      <c r="AJ91" s="155">
        <f>0</f>
        <v>0</v>
      </c>
      <c r="AK91" s="155">
        <f>0</f>
        <v>0</v>
      </c>
      <c r="AL91" s="219">
        <f t="shared" si="4"/>
        <v>4</v>
      </c>
      <c r="AM91" s="103">
        <f>0</f>
        <v>0</v>
      </c>
      <c r="AN91" s="220">
        <f t="shared" si="5"/>
        <v>4</v>
      </c>
      <c r="AO91" s="348">
        <v>45034</v>
      </c>
      <c r="AP91" s="296" t="s">
        <v>192</v>
      </c>
      <c r="AQ91" s="292" t="s">
        <v>1522</v>
      </c>
      <c r="AR91" s="293" t="s">
        <v>194</v>
      </c>
      <c r="AS91" s="301">
        <v>45078</v>
      </c>
      <c r="AT91" s="302"/>
      <c r="AU91" s="303">
        <v>4</v>
      </c>
      <c r="AV91" s="304">
        <f t="shared" si="6"/>
        <v>0</v>
      </c>
      <c r="AW91" s="302" t="s">
        <v>195</v>
      </c>
      <c r="AX91" s="305"/>
      <c r="AY91" s="306"/>
      <c r="AZ91" s="299"/>
      <c r="BA91" s="174"/>
      <c r="BB91" s="174"/>
      <c r="BC91" s="174"/>
    </row>
    <row r="92" spans="1:55" ht="28" customHeight="1">
      <c r="A92" s="308">
        <v>88</v>
      </c>
      <c r="B92" s="287">
        <v>45016</v>
      </c>
      <c r="C92" s="222" t="s">
        <v>198</v>
      </c>
      <c r="D92" s="222" t="s">
        <v>199</v>
      </c>
      <c r="E92" s="222" t="s">
        <v>200</v>
      </c>
      <c r="F92" s="349" t="s">
        <v>123</v>
      </c>
      <c r="G92" s="243" t="s">
        <v>403</v>
      </c>
      <c r="H92" s="244" t="s">
        <v>357</v>
      </c>
      <c r="I92" s="243" t="s">
        <v>404</v>
      </c>
      <c r="J92" s="245" t="s">
        <v>1527</v>
      </c>
      <c r="K92" s="246" t="s">
        <v>97</v>
      </c>
      <c r="L92" s="246" t="s">
        <v>168</v>
      </c>
      <c r="M92" s="243" t="s">
        <v>147</v>
      </c>
      <c r="N92" s="243" t="s">
        <v>97</v>
      </c>
      <c r="O92" s="243" t="s">
        <v>169</v>
      </c>
      <c r="P92" s="289"/>
      <c r="Q92" s="289" t="s">
        <v>321</v>
      </c>
      <c r="R92" s="154">
        <f>0</f>
        <v>0</v>
      </c>
      <c r="S92" s="155">
        <f>0</f>
        <v>0</v>
      </c>
      <c r="T92" s="155">
        <f>0</f>
        <v>0</v>
      </c>
      <c r="U92" s="158">
        <f>0</f>
        <v>0</v>
      </c>
      <c r="V92" s="158">
        <f>0</f>
        <v>0</v>
      </c>
      <c r="W92" s="263">
        <v>4</v>
      </c>
      <c r="X92" s="155">
        <f>0</f>
        <v>0</v>
      </c>
      <c r="Y92" s="155">
        <f>0</f>
        <v>0</v>
      </c>
      <c r="Z92" s="155">
        <f>0</f>
        <v>0</v>
      </c>
      <c r="AA92" s="155">
        <f>0</f>
        <v>0</v>
      </c>
      <c r="AB92" s="155">
        <f>0</f>
        <v>0</v>
      </c>
      <c r="AC92" s="155">
        <f>0</f>
        <v>0</v>
      </c>
      <c r="AD92" s="155">
        <f>0</f>
        <v>0</v>
      </c>
      <c r="AE92" s="155">
        <f>0</f>
        <v>0</v>
      </c>
      <c r="AF92" s="155">
        <f>0</f>
        <v>0</v>
      </c>
      <c r="AG92" s="155">
        <f>0</f>
        <v>0</v>
      </c>
      <c r="AH92" s="155">
        <f>0</f>
        <v>0</v>
      </c>
      <c r="AI92" s="155">
        <f>0</f>
        <v>0</v>
      </c>
      <c r="AJ92" s="155">
        <f>0</f>
        <v>0</v>
      </c>
      <c r="AK92" s="155">
        <f>0</f>
        <v>0</v>
      </c>
      <c r="AL92" s="219">
        <f t="shared" si="4"/>
        <v>4</v>
      </c>
      <c r="AM92" s="103">
        <f>0</f>
        <v>0</v>
      </c>
      <c r="AN92" s="220">
        <f t="shared" si="5"/>
        <v>4</v>
      </c>
      <c r="AO92" s="348">
        <v>45034</v>
      </c>
      <c r="AP92" s="296" t="s">
        <v>192</v>
      </c>
      <c r="AQ92" s="292" t="s">
        <v>1522</v>
      </c>
      <c r="AR92" s="293" t="s">
        <v>194</v>
      </c>
      <c r="AS92" s="301">
        <v>45078</v>
      </c>
      <c r="AT92" s="302"/>
      <c r="AU92" s="303">
        <v>4</v>
      </c>
      <c r="AV92" s="304">
        <f t="shared" si="6"/>
        <v>0</v>
      </c>
      <c r="AW92" s="302" t="s">
        <v>195</v>
      </c>
      <c r="AX92" s="305"/>
      <c r="AY92" s="306"/>
      <c r="AZ92" s="299"/>
      <c r="BA92" s="174"/>
      <c r="BB92" s="174"/>
      <c r="BC92" s="174"/>
    </row>
    <row r="93" spans="1:55" ht="28" customHeight="1">
      <c r="A93" s="308">
        <v>89</v>
      </c>
      <c r="B93" s="287">
        <v>45016</v>
      </c>
      <c r="C93" s="222" t="s">
        <v>198</v>
      </c>
      <c r="D93" s="222" t="s">
        <v>199</v>
      </c>
      <c r="E93" s="222" t="s">
        <v>200</v>
      </c>
      <c r="F93" s="349" t="s">
        <v>123</v>
      </c>
      <c r="G93" s="243" t="s">
        <v>405</v>
      </c>
      <c r="H93" s="244" t="s">
        <v>129</v>
      </c>
      <c r="I93" s="243" t="s">
        <v>406</v>
      </c>
      <c r="J93" s="245" t="s">
        <v>407</v>
      </c>
      <c r="K93" s="246" t="s">
        <v>97</v>
      </c>
      <c r="L93" s="246" t="s">
        <v>234</v>
      </c>
      <c r="M93" s="243" t="s">
        <v>156</v>
      </c>
      <c r="N93" s="243" t="s">
        <v>97</v>
      </c>
      <c r="O93" s="243" t="s">
        <v>292</v>
      </c>
      <c r="P93" s="289"/>
      <c r="Q93" s="289" t="s">
        <v>321</v>
      </c>
      <c r="R93" s="154">
        <f>0</f>
        <v>0</v>
      </c>
      <c r="S93" s="155">
        <f>0</f>
        <v>0</v>
      </c>
      <c r="T93" s="155">
        <f>0</f>
        <v>0</v>
      </c>
      <c r="U93" s="158">
        <f>0</f>
        <v>0</v>
      </c>
      <c r="V93" s="158">
        <f>0</f>
        <v>0</v>
      </c>
      <c r="W93" s="263">
        <v>1</v>
      </c>
      <c r="X93" s="155">
        <f>0</f>
        <v>0</v>
      </c>
      <c r="Y93" s="155">
        <f>0</f>
        <v>0</v>
      </c>
      <c r="Z93" s="155">
        <f>0</f>
        <v>0</v>
      </c>
      <c r="AA93" s="155">
        <f>0</f>
        <v>0</v>
      </c>
      <c r="AB93" s="155">
        <f>0</f>
        <v>0</v>
      </c>
      <c r="AC93" s="155">
        <f>0</f>
        <v>0</v>
      </c>
      <c r="AD93" s="155">
        <f>0</f>
        <v>0</v>
      </c>
      <c r="AE93" s="155">
        <f>0</f>
        <v>0</v>
      </c>
      <c r="AF93" s="155">
        <f>0</f>
        <v>0</v>
      </c>
      <c r="AG93" s="155">
        <f>0</f>
        <v>0</v>
      </c>
      <c r="AH93" s="155">
        <f>0</f>
        <v>0</v>
      </c>
      <c r="AI93" s="155">
        <f>0</f>
        <v>0</v>
      </c>
      <c r="AJ93" s="155">
        <f>0</f>
        <v>0</v>
      </c>
      <c r="AK93" s="155">
        <f>0</f>
        <v>0</v>
      </c>
      <c r="AL93" s="219">
        <f t="shared" si="4"/>
        <v>1</v>
      </c>
      <c r="AM93" s="103">
        <f>0</f>
        <v>0</v>
      </c>
      <c r="AN93" s="220">
        <f t="shared" si="5"/>
        <v>1</v>
      </c>
      <c r="AO93" s="290">
        <v>45034</v>
      </c>
      <c r="AP93" s="291" t="s">
        <v>192</v>
      </c>
      <c r="AQ93" s="292" t="s">
        <v>1520</v>
      </c>
      <c r="AR93" s="293" t="s">
        <v>197</v>
      </c>
      <c r="AS93" s="307"/>
      <c r="AT93" s="302"/>
      <c r="AU93" s="303">
        <v>1</v>
      </c>
      <c r="AV93" s="304">
        <f t="shared" si="6"/>
        <v>0</v>
      </c>
      <c r="AW93" s="302" t="s">
        <v>195</v>
      </c>
      <c r="AX93" s="305"/>
      <c r="AY93" s="306"/>
      <c r="AZ93" s="299"/>
      <c r="BA93" s="174"/>
      <c r="BB93" s="174"/>
      <c r="BC93" s="174"/>
    </row>
    <row r="94" spans="1:55" ht="28" customHeight="1">
      <c r="A94" s="45">
        <v>90</v>
      </c>
      <c r="B94" s="264">
        <v>45016</v>
      </c>
      <c r="C94" s="222" t="s">
        <v>198</v>
      </c>
      <c r="D94" s="222" t="s">
        <v>199</v>
      </c>
      <c r="E94" s="222" t="s">
        <v>200</v>
      </c>
      <c r="F94" s="257" t="s">
        <v>123</v>
      </c>
      <c r="G94" s="258" t="s">
        <v>408</v>
      </c>
      <c r="H94" s="259" t="s">
        <v>129</v>
      </c>
      <c r="I94" s="258" t="s">
        <v>237</v>
      </c>
      <c r="J94" s="260" t="s">
        <v>409</v>
      </c>
      <c r="K94" s="261" t="s">
        <v>97</v>
      </c>
      <c r="L94" s="261" t="s">
        <v>367</v>
      </c>
      <c r="M94" s="258" t="s">
        <v>237</v>
      </c>
      <c r="N94" s="258" t="s">
        <v>97</v>
      </c>
      <c r="O94" s="258" t="s">
        <v>368</v>
      </c>
      <c r="P94" s="262"/>
      <c r="Q94" s="262" t="s">
        <v>410</v>
      </c>
      <c r="R94" s="154">
        <f>0</f>
        <v>0</v>
      </c>
      <c r="S94" s="155">
        <f>0</f>
        <v>0</v>
      </c>
      <c r="T94" s="155">
        <f>0</f>
        <v>0</v>
      </c>
      <c r="U94" s="158">
        <f>0</f>
        <v>0</v>
      </c>
      <c r="V94" s="158">
        <f>0</f>
        <v>0</v>
      </c>
      <c r="W94" s="155">
        <v>0</v>
      </c>
      <c r="X94" s="155">
        <v>0</v>
      </c>
      <c r="Y94" s="155">
        <v>0</v>
      </c>
      <c r="Z94" s="263">
        <v>1</v>
      </c>
      <c r="AA94" s="155">
        <f>0</f>
        <v>0</v>
      </c>
      <c r="AB94" s="155">
        <f>0</f>
        <v>0</v>
      </c>
      <c r="AC94" s="155">
        <f>0</f>
        <v>0</v>
      </c>
      <c r="AD94" s="155">
        <f>0</f>
        <v>0</v>
      </c>
      <c r="AE94" s="155">
        <f>0</f>
        <v>0</v>
      </c>
      <c r="AF94" s="155">
        <f>0</f>
        <v>0</v>
      </c>
      <c r="AG94" s="155">
        <f>0</f>
        <v>0</v>
      </c>
      <c r="AH94" s="155">
        <f>0</f>
        <v>0</v>
      </c>
      <c r="AI94" s="155">
        <f>0</f>
        <v>0</v>
      </c>
      <c r="AJ94" s="155">
        <f>0</f>
        <v>0</v>
      </c>
      <c r="AK94" s="155">
        <f>0</f>
        <v>0</v>
      </c>
      <c r="AL94" s="219">
        <f t="shared" si="4"/>
        <v>1</v>
      </c>
      <c r="AM94" s="103">
        <f>0</f>
        <v>0</v>
      </c>
      <c r="AN94" s="220">
        <f t="shared" si="5"/>
        <v>1</v>
      </c>
      <c r="AO94" s="190"/>
      <c r="AP94" s="188" t="s">
        <v>617</v>
      </c>
      <c r="AQ94" s="179"/>
      <c r="AR94" s="189" t="s">
        <v>616</v>
      </c>
      <c r="AS94" s="171"/>
      <c r="AT94" s="177"/>
      <c r="AU94" s="178"/>
      <c r="AV94" s="171">
        <f t="shared" si="6"/>
        <v>1</v>
      </c>
      <c r="AW94" s="177"/>
      <c r="AX94" s="180"/>
      <c r="AY94" s="175"/>
      <c r="AZ94" s="176"/>
    </row>
    <row r="95" spans="1:55" ht="28" customHeight="1">
      <c r="A95" s="45">
        <v>91</v>
      </c>
      <c r="B95" s="264">
        <v>45016</v>
      </c>
      <c r="C95" s="222" t="s">
        <v>198</v>
      </c>
      <c r="D95" s="222" t="s">
        <v>199</v>
      </c>
      <c r="E95" s="222" t="s">
        <v>200</v>
      </c>
      <c r="F95" s="257" t="s">
        <v>123</v>
      </c>
      <c r="G95" s="258" t="s">
        <v>411</v>
      </c>
      <c r="H95" s="259" t="s">
        <v>129</v>
      </c>
      <c r="I95" s="258" t="s">
        <v>237</v>
      </c>
      <c r="J95" s="260" t="s">
        <v>412</v>
      </c>
      <c r="K95" s="261" t="s">
        <v>97</v>
      </c>
      <c r="L95" s="261" t="s">
        <v>367</v>
      </c>
      <c r="M95" s="258" t="s">
        <v>237</v>
      </c>
      <c r="N95" s="258" t="s">
        <v>97</v>
      </c>
      <c r="O95" s="258" t="s">
        <v>368</v>
      </c>
      <c r="P95" s="262"/>
      <c r="Q95" s="262" t="s">
        <v>410</v>
      </c>
      <c r="R95" s="154">
        <f>0</f>
        <v>0</v>
      </c>
      <c r="S95" s="155">
        <f>0</f>
        <v>0</v>
      </c>
      <c r="T95" s="155">
        <f>0</f>
        <v>0</v>
      </c>
      <c r="U95" s="158">
        <f>0</f>
        <v>0</v>
      </c>
      <c r="V95" s="158">
        <f>0</f>
        <v>0</v>
      </c>
      <c r="W95" s="155">
        <v>0</v>
      </c>
      <c r="X95" s="155">
        <v>0</v>
      </c>
      <c r="Y95" s="155">
        <v>0</v>
      </c>
      <c r="Z95" s="263">
        <v>1</v>
      </c>
      <c r="AA95" s="155">
        <f>0</f>
        <v>0</v>
      </c>
      <c r="AB95" s="155">
        <f>0</f>
        <v>0</v>
      </c>
      <c r="AC95" s="155">
        <f>0</f>
        <v>0</v>
      </c>
      <c r="AD95" s="155">
        <f>0</f>
        <v>0</v>
      </c>
      <c r="AE95" s="155">
        <f>0</f>
        <v>0</v>
      </c>
      <c r="AF95" s="155">
        <f>0</f>
        <v>0</v>
      </c>
      <c r="AG95" s="155">
        <f>0</f>
        <v>0</v>
      </c>
      <c r="AH95" s="155">
        <f>0</f>
        <v>0</v>
      </c>
      <c r="AI95" s="155">
        <f>0</f>
        <v>0</v>
      </c>
      <c r="AJ95" s="155">
        <f>0</f>
        <v>0</v>
      </c>
      <c r="AK95" s="155">
        <f>0</f>
        <v>0</v>
      </c>
      <c r="AL95" s="219">
        <f t="shared" si="4"/>
        <v>1</v>
      </c>
      <c r="AM95" s="103">
        <f>0</f>
        <v>0</v>
      </c>
      <c r="AN95" s="220">
        <f t="shared" si="5"/>
        <v>1</v>
      </c>
      <c r="AO95" s="190"/>
      <c r="AP95" s="188" t="s">
        <v>617</v>
      </c>
      <c r="AQ95" s="179"/>
      <c r="AR95" s="189" t="s">
        <v>616</v>
      </c>
      <c r="AS95" s="171"/>
      <c r="AT95" s="177"/>
      <c r="AU95" s="178"/>
      <c r="AV95" s="171">
        <f t="shared" si="6"/>
        <v>1</v>
      </c>
      <c r="AW95" s="177"/>
      <c r="AX95" s="180"/>
      <c r="AY95" s="175"/>
      <c r="AZ95" s="176"/>
    </row>
    <row r="96" spans="1:55" ht="28" customHeight="1">
      <c r="A96" s="45">
        <v>92</v>
      </c>
      <c r="B96" s="264">
        <v>45016</v>
      </c>
      <c r="C96" s="222" t="s">
        <v>198</v>
      </c>
      <c r="D96" s="222" t="s">
        <v>199</v>
      </c>
      <c r="E96" s="222" t="s">
        <v>200</v>
      </c>
      <c r="F96" s="257" t="s">
        <v>123</v>
      </c>
      <c r="G96" s="258" t="s">
        <v>413</v>
      </c>
      <c r="H96" s="259" t="s">
        <v>129</v>
      </c>
      <c r="I96" s="258" t="s">
        <v>237</v>
      </c>
      <c r="J96" s="260" t="s">
        <v>414</v>
      </c>
      <c r="K96" s="261" t="s">
        <v>97</v>
      </c>
      <c r="L96" s="261" t="s">
        <v>367</v>
      </c>
      <c r="M96" s="258" t="s">
        <v>237</v>
      </c>
      <c r="N96" s="258" t="s">
        <v>97</v>
      </c>
      <c r="O96" s="258" t="s">
        <v>368</v>
      </c>
      <c r="P96" s="262"/>
      <c r="Q96" s="262" t="s">
        <v>410</v>
      </c>
      <c r="R96" s="154">
        <f>0</f>
        <v>0</v>
      </c>
      <c r="S96" s="155">
        <f>0</f>
        <v>0</v>
      </c>
      <c r="T96" s="155">
        <f>0</f>
        <v>0</v>
      </c>
      <c r="U96" s="158">
        <f>0</f>
        <v>0</v>
      </c>
      <c r="V96" s="158">
        <f>0</f>
        <v>0</v>
      </c>
      <c r="W96" s="155">
        <v>0</v>
      </c>
      <c r="X96" s="155">
        <v>0</v>
      </c>
      <c r="Y96" s="155">
        <v>0</v>
      </c>
      <c r="Z96" s="263">
        <v>1</v>
      </c>
      <c r="AA96" s="155">
        <f>0</f>
        <v>0</v>
      </c>
      <c r="AB96" s="155">
        <f>0</f>
        <v>0</v>
      </c>
      <c r="AC96" s="155">
        <f>0</f>
        <v>0</v>
      </c>
      <c r="AD96" s="155">
        <f>0</f>
        <v>0</v>
      </c>
      <c r="AE96" s="155">
        <f>0</f>
        <v>0</v>
      </c>
      <c r="AF96" s="155">
        <f>0</f>
        <v>0</v>
      </c>
      <c r="AG96" s="155">
        <f>0</f>
        <v>0</v>
      </c>
      <c r="AH96" s="155">
        <f>0</f>
        <v>0</v>
      </c>
      <c r="AI96" s="155">
        <f>0</f>
        <v>0</v>
      </c>
      <c r="AJ96" s="155">
        <f>0</f>
        <v>0</v>
      </c>
      <c r="AK96" s="155">
        <f>0</f>
        <v>0</v>
      </c>
      <c r="AL96" s="219">
        <f t="shared" si="4"/>
        <v>1</v>
      </c>
      <c r="AM96" s="103">
        <f>0</f>
        <v>0</v>
      </c>
      <c r="AN96" s="220">
        <f t="shared" si="5"/>
        <v>1</v>
      </c>
      <c r="AO96" s="190"/>
      <c r="AP96" s="188" t="s">
        <v>617</v>
      </c>
      <c r="AQ96" s="172"/>
      <c r="AR96" s="189" t="s">
        <v>616</v>
      </c>
      <c r="AS96" s="171"/>
      <c r="AT96" s="177"/>
      <c r="AU96" s="178"/>
      <c r="AV96" s="171">
        <f t="shared" si="6"/>
        <v>1</v>
      </c>
      <c r="AW96" s="177"/>
      <c r="AX96" s="180"/>
      <c r="AY96" s="175"/>
      <c r="AZ96" s="176"/>
    </row>
    <row r="97" spans="1:55" ht="28" customHeight="1">
      <c r="A97" s="45">
        <v>93</v>
      </c>
      <c r="B97" s="264">
        <v>45016</v>
      </c>
      <c r="C97" s="222" t="s">
        <v>198</v>
      </c>
      <c r="D97" s="222" t="s">
        <v>199</v>
      </c>
      <c r="E97" s="222" t="s">
        <v>200</v>
      </c>
      <c r="F97" s="257" t="s">
        <v>123</v>
      </c>
      <c r="G97" s="258" t="s">
        <v>415</v>
      </c>
      <c r="H97" s="259" t="s">
        <v>129</v>
      </c>
      <c r="I97" s="258" t="s">
        <v>237</v>
      </c>
      <c r="J97" s="260" t="s">
        <v>416</v>
      </c>
      <c r="K97" s="261" t="s">
        <v>97</v>
      </c>
      <c r="L97" s="261" t="s">
        <v>367</v>
      </c>
      <c r="M97" s="258" t="s">
        <v>237</v>
      </c>
      <c r="N97" s="258" t="s">
        <v>97</v>
      </c>
      <c r="O97" s="258" t="s">
        <v>368</v>
      </c>
      <c r="P97" s="262"/>
      <c r="Q97" s="262" t="s">
        <v>410</v>
      </c>
      <c r="R97" s="154">
        <f>0</f>
        <v>0</v>
      </c>
      <c r="S97" s="155">
        <f>0</f>
        <v>0</v>
      </c>
      <c r="T97" s="155">
        <f>0</f>
        <v>0</v>
      </c>
      <c r="U97" s="158">
        <f>0</f>
        <v>0</v>
      </c>
      <c r="V97" s="158">
        <f>0</f>
        <v>0</v>
      </c>
      <c r="W97" s="155">
        <v>0</v>
      </c>
      <c r="X97" s="155">
        <v>0</v>
      </c>
      <c r="Y97" s="155">
        <v>0</v>
      </c>
      <c r="Z97" s="263">
        <v>1</v>
      </c>
      <c r="AA97" s="155">
        <f>0</f>
        <v>0</v>
      </c>
      <c r="AB97" s="155">
        <f>0</f>
        <v>0</v>
      </c>
      <c r="AC97" s="155">
        <f>0</f>
        <v>0</v>
      </c>
      <c r="AD97" s="155">
        <f>0</f>
        <v>0</v>
      </c>
      <c r="AE97" s="155">
        <f>0</f>
        <v>0</v>
      </c>
      <c r="AF97" s="155">
        <f>0</f>
        <v>0</v>
      </c>
      <c r="AG97" s="155">
        <f>0</f>
        <v>0</v>
      </c>
      <c r="AH97" s="155">
        <f>0</f>
        <v>0</v>
      </c>
      <c r="AI97" s="155">
        <f>0</f>
        <v>0</v>
      </c>
      <c r="AJ97" s="155">
        <f>0</f>
        <v>0</v>
      </c>
      <c r="AK97" s="155">
        <f>0</f>
        <v>0</v>
      </c>
      <c r="AL97" s="219">
        <f t="shared" si="4"/>
        <v>1</v>
      </c>
      <c r="AM97" s="103">
        <f>0</f>
        <v>0</v>
      </c>
      <c r="AN97" s="220">
        <f t="shared" si="5"/>
        <v>1</v>
      </c>
      <c r="AO97" s="190"/>
      <c r="AP97" s="188" t="s">
        <v>617</v>
      </c>
      <c r="AQ97" s="179"/>
      <c r="AR97" s="189" t="s">
        <v>616</v>
      </c>
      <c r="AS97" s="171"/>
      <c r="AT97" s="177"/>
      <c r="AU97" s="178"/>
      <c r="AV97" s="171">
        <f t="shared" si="6"/>
        <v>1</v>
      </c>
      <c r="AW97" s="177"/>
      <c r="AX97" s="180"/>
      <c r="AY97" s="175"/>
      <c r="AZ97" s="176"/>
    </row>
    <row r="98" spans="1:55" ht="28" customHeight="1">
      <c r="A98" s="308">
        <v>94</v>
      </c>
      <c r="B98" s="287">
        <v>45016</v>
      </c>
      <c r="C98" s="222" t="s">
        <v>198</v>
      </c>
      <c r="D98" s="222" t="s">
        <v>199</v>
      </c>
      <c r="E98" s="222" t="s">
        <v>200</v>
      </c>
      <c r="F98" s="349" t="s">
        <v>123</v>
      </c>
      <c r="G98" s="243" t="s">
        <v>417</v>
      </c>
      <c r="H98" s="244" t="s">
        <v>418</v>
      </c>
      <c r="I98" s="243" t="s">
        <v>419</v>
      </c>
      <c r="J98" s="245" t="s">
        <v>420</v>
      </c>
      <c r="K98" s="246" t="s">
        <v>97</v>
      </c>
      <c r="L98" s="246" t="s">
        <v>421</v>
      </c>
      <c r="M98" s="243" t="s">
        <v>147</v>
      </c>
      <c r="N98" s="243" t="s">
        <v>97</v>
      </c>
      <c r="O98" s="243" t="s">
        <v>169</v>
      </c>
      <c r="P98" s="289"/>
      <c r="Q98" s="289" t="s">
        <v>410</v>
      </c>
      <c r="R98" s="154">
        <f>0</f>
        <v>0</v>
      </c>
      <c r="S98" s="155">
        <f>0</f>
        <v>0</v>
      </c>
      <c r="T98" s="155">
        <f>0</f>
        <v>0</v>
      </c>
      <c r="U98" s="158">
        <f>0</f>
        <v>0</v>
      </c>
      <c r="V98" s="158">
        <f>0</f>
        <v>0</v>
      </c>
      <c r="W98" s="155">
        <v>0</v>
      </c>
      <c r="X98" s="155">
        <v>0</v>
      </c>
      <c r="Y98" s="155">
        <v>0</v>
      </c>
      <c r="Z98" s="263">
        <v>8</v>
      </c>
      <c r="AA98" s="155">
        <f>0</f>
        <v>0</v>
      </c>
      <c r="AB98" s="155">
        <f>0</f>
        <v>0</v>
      </c>
      <c r="AC98" s="155">
        <f>0</f>
        <v>0</v>
      </c>
      <c r="AD98" s="155">
        <f>0</f>
        <v>0</v>
      </c>
      <c r="AE98" s="155">
        <f>0</f>
        <v>0</v>
      </c>
      <c r="AF98" s="155">
        <f>0</f>
        <v>0</v>
      </c>
      <c r="AG98" s="155">
        <f>0</f>
        <v>0</v>
      </c>
      <c r="AH98" s="155">
        <f>0</f>
        <v>0</v>
      </c>
      <c r="AI98" s="155">
        <f>0</f>
        <v>0</v>
      </c>
      <c r="AJ98" s="155">
        <f>0</f>
        <v>0</v>
      </c>
      <c r="AK98" s="155">
        <f>0</f>
        <v>0</v>
      </c>
      <c r="AL98" s="219">
        <f t="shared" si="4"/>
        <v>8</v>
      </c>
      <c r="AM98" s="103">
        <f>0</f>
        <v>0</v>
      </c>
      <c r="AN98" s="220">
        <f t="shared" si="5"/>
        <v>8</v>
      </c>
      <c r="AO98" s="348">
        <v>45034</v>
      </c>
      <c r="AP98" s="296" t="s">
        <v>192</v>
      </c>
      <c r="AQ98" s="292" t="s">
        <v>1522</v>
      </c>
      <c r="AR98" s="293" t="s">
        <v>194</v>
      </c>
      <c r="AS98" s="301">
        <v>45078</v>
      </c>
      <c r="AT98" s="302"/>
      <c r="AU98" s="303">
        <v>8</v>
      </c>
      <c r="AV98" s="304">
        <f t="shared" si="6"/>
        <v>0</v>
      </c>
      <c r="AW98" s="302" t="s">
        <v>195</v>
      </c>
      <c r="AX98" s="305"/>
      <c r="AY98" s="306"/>
      <c r="AZ98" s="299"/>
      <c r="BA98" s="174"/>
      <c r="BB98" s="174"/>
      <c r="BC98" s="174"/>
    </row>
    <row r="99" spans="1:55" ht="28" customHeight="1">
      <c r="A99" s="308">
        <v>95</v>
      </c>
      <c r="B99" s="287">
        <v>45016</v>
      </c>
      <c r="C99" s="222" t="s">
        <v>198</v>
      </c>
      <c r="D99" s="222" t="s">
        <v>199</v>
      </c>
      <c r="E99" s="222" t="s">
        <v>200</v>
      </c>
      <c r="F99" s="349" t="s">
        <v>123</v>
      </c>
      <c r="G99" s="243" t="s">
        <v>422</v>
      </c>
      <c r="H99" s="244" t="s">
        <v>129</v>
      </c>
      <c r="I99" s="243" t="s">
        <v>423</v>
      </c>
      <c r="J99" s="245" t="s">
        <v>424</v>
      </c>
      <c r="K99" s="246" t="s">
        <v>97</v>
      </c>
      <c r="L99" s="246" t="s">
        <v>159</v>
      </c>
      <c r="M99" s="243" t="s">
        <v>156</v>
      </c>
      <c r="N99" s="243" t="s">
        <v>97</v>
      </c>
      <c r="O99" s="243" t="s">
        <v>204</v>
      </c>
      <c r="P99" s="289"/>
      <c r="Q99" s="289" t="s">
        <v>425</v>
      </c>
      <c r="R99" s="154">
        <f>0</f>
        <v>0</v>
      </c>
      <c r="S99" s="155">
        <f>0</f>
        <v>0</v>
      </c>
      <c r="T99" s="155">
        <f>0</f>
        <v>0</v>
      </c>
      <c r="U99" s="158">
        <f>0</f>
        <v>0</v>
      </c>
      <c r="V99" s="158">
        <f>0</f>
        <v>0</v>
      </c>
      <c r="W99" s="155">
        <v>0</v>
      </c>
      <c r="X99" s="155">
        <v>0</v>
      </c>
      <c r="Y99" s="263">
        <v>2</v>
      </c>
      <c r="Z99" s="155">
        <v>0</v>
      </c>
      <c r="AA99" s="155">
        <f>0</f>
        <v>0</v>
      </c>
      <c r="AB99" s="155">
        <f>0</f>
        <v>0</v>
      </c>
      <c r="AC99" s="155">
        <f>0</f>
        <v>0</v>
      </c>
      <c r="AD99" s="155">
        <f>0</f>
        <v>0</v>
      </c>
      <c r="AE99" s="155">
        <f>0</f>
        <v>0</v>
      </c>
      <c r="AF99" s="155">
        <f>0</f>
        <v>0</v>
      </c>
      <c r="AG99" s="155">
        <f>0</f>
        <v>0</v>
      </c>
      <c r="AH99" s="155">
        <f>0</f>
        <v>0</v>
      </c>
      <c r="AI99" s="155">
        <f>0</f>
        <v>0</v>
      </c>
      <c r="AJ99" s="155">
        <f>0</f>
        <v>0</v>
      </c>
      <c r="AK99" s="155">
        <f>0</f>
        <v>0</v>
      </c>
      <c r="AL99" s="219">
        <f t="shared" si="4"/>
        <v>2</v>
      </c>
      <c r="AM99" s="103">
        <f>0</f>
        <v>0</v>
      </c>
      <c r="AN99" s="220">
        <f t="shared" si="5"/>
        <v>2</v>
      </c>
      <c r="AO99" s="290">
        <v>45034</v>
      </c>
      <c r="AP99" s="291" t="s">
        <v>192</v>
      </c>
      <c r="AQ99" s="292" t="s">
        <v>1520</v>
      </c>
      <c r="AR99" s="293" t="s">
        <v>197</v>
      </c>
      <c r="AS99" s="307"/>
      <c r="AT99" s="302"/>
      <c r="AU99" s="303">
        <v>2</v>
      </c>
      <c r="AV99" s="304">
        <f t="shared" si="6"/>
        <v>0</v>
      </c>
      <c r="AW99" s="302" t="s">
        <v>195</v>
      </c>
      <c r="AX99" s="305"/>
      <c r="AY99" s="306"/>
      <c r="AZ99" s="299"/>
      <c r="BA99" s="174"/>
      <c r="BB99" s="174"/>
      <c r="BC99" s="174"/>
    </row>
    <row r="100" spans="1:55" ht="28" customHeight="1">
      <c r="A100" s="308">
        <v>96</v>
      </c>
      <c r="B100" s="287">
        <v>45016</v>
      </c>
      <c r="C100" s="222" t="s">
        <v>198</v>
      </c>
      <c r="D100" s="222" t="s">
        <v>199</v>
      </c>
      <c r="E100" s="222" t="s">
        <v>200</v>
      </c>
      <c r="F100" s="349" t="s">
        <v>123</v>
      </c>
      <c r="G100" s="243" t="s">
        <v>417</v>
      </c>
      <c r="H100" s="244" t="s">
        <v>418</v>
      </c>
      <c r="I100" s="243" t="s">
        <v>419</v>
      </c>
      <c r="J100" s="245" t="s">
        <v>420</v>
      </c>
      <c r="K100" s="246" t="s">
        <v>97</v>
      </c>
      <c r="L100" s="246" t="s">
        <v>421</v>
      </c>
      <c r="M100" s="243" t="s">
        <v>147</v>
      </c>
      <c r="N100" s="243" t="s">
        <v>97</v>
      </c>
      <c r="O100" s="243" t="s">
        <v>169</v>
      </c>
      <c r="P100" s="289"/>
      <c r="Q100" s="289" t="s">
        <v>425</v>
      </c>
      <c r="R100" s="154">
        <f>0</f>
        <v>0</v>
      </c>
      <c r="S100" s="155">
        <f>0</f>
        <v>0</v>
      </c>
      <c r="T100" s="155">
        <f>0</f>
        <v>0</v>
      </c>
      <c r="U100" s="158">
        <f>0</f>
        <v>0</v>
      </c>
      <c r="V100" s="158">
        <f>0</f>
        <v>0</v>
      </c>
      <c r="W100" s="155">
        <v>0</v>
      </c>
      <c r="X100" s="155">
        <v>0</v>
      </c>
      <c r="Y100" s="263">
        <v>2</v>
      </c>
      <c r="Z100" s="155">
        <v>0</v>
      </c>
      <c r="AA100" s="155">
        <f>0</f>
        <v>0</v>
      </c>
      <c r="AB100" s="155">
        <f>0</f>
        <v>0</v>
      </c>
      <c r="AC100" s="155">
        <f>0</f>
        <v>0</v>
      </c>
      <c r="AD100" s="155">
        <f>0</f>
        <v>0</v>
      </c>
      <c r="AE100" s="155">
        <f>0</f>
        <v>0</v>
      </c>
      <c r="AF100" s="155">
        <f>0</f>
        <v>0</v>
      </c>
      <c r="AG100" s="155">
        <f>0</f>
        <v>0</v>
      </c>
      <c r="AH100" s="155">
        <f>0</f>
        <v>0</v>
      </c>
      <c r="AI100" s="155">
        <f>0</f>
        <v>0</v>
      </c>
      <c r="AJ100" s="155">
        <f>0</f>
        <v>0</v>
      </c>
      <c r="AK100" s="155">
        <f>0</f>
        <v>0</v>
      </c>
      <c r="AL100" s="219">
        <f t="shared" si="4"/>
        <v>2</v>
      </c>
      <c r="AM100" s="103">
        <f>0</f>
        <v>0</v>
      </c>
      <c r="AN100" s="220">
        <f t="shared" si="5"/>
        <v>2</v>
      </c>
      <c r="AO100" s="348">
        <v>45034</v>
      </c>
      <c r="AP100" s="296" t="s">
        <v>192</v>
      </c>
      <c r="AQ100" s="292" t="s">
        <v>1522</v>
      </c>
      <c r="AR100" s="293" t="s">
        <v>194</v>
      </c>
      <c r="AS100" s="301">
        <v>45078</v>
      </c>
      <c r="AT100" s="302"/>
      <c r="AU100" s="303">
        <v>2</v>
      </c>
      <c r="AV100" s="304">
        <f t="shared" si="6"/>
        <v>0</v>
      </c>
      <c r="AW100" s="302" t="s">
        <v>195</v>
      </c>
      <c r="AX100" s="305"/>
      <c r="AY100" s="306"/>
      <c r="AZ100" s="299"/>
      <c r="BA100" s="174"/>
      <c r="BB100" s="174"/>
      <c r="BC100" s="174"/>
    </row>
    <row r="101" spans="1:55" ht="28" customHeight="1">
      <c r="A101" s="308">
        <v>97</v>
      </c>
      <c r="B101" s="287">
        <v>45016</v>
      </c>
      <c r="C101" s="222" t="s">
        <v>198</v>
      </c>
      <c r="D101" s="222" t="s">
        <v>199</v>
      </c>
      <c r="E101" s="222" t="s">
        <v>200</v>
      </c>
      <c r="F101" s="349" t="s">
        <v>123</v>
      </c>
      <c r="G101" s="243" t="s">
        <v>426</v>
      </c>
      <c r="H101" s="244" t="s">
        <v>129</v>
      </c>
      <c r="I101" s="243" t="s">
        <v>427</v>
      </c>
      <c r="J101" s="245" t="s">
        <v>428</v>
      </c>
      <c r="K101" s="246" t="s">
        <v>201</v>
      </c>
      <c r="L101" s="246" t="s">
        <v>234</v>
      </c>
      <c r="M101" s="243" t="s">
        <v>156</v>
      </c>
      <c r="N101" s="243" t="s">
        <v>201</v>
      </c>
      <c r="O101" s="243" t="s">
        <v>292</v>
      </c>
      <c r="P101" s="289"/>
      <c r="Q101" s="289" t="s">
        <v>425</v>
      </c>
      <c r="R101" s="154">
        <f>0</f>
        <v>0</v>
      </c>
      <c r="S101" s="155">
        <f>0</f>
        <v>0</v>
      </c>
      <c r="T101" s="155">
        <f>0</f>
        <v>0</v>
      </c>
      <c r="U101" s="158">
        <f>0</f>
        <v>0</v>
      </c>
      <c r="V101" s="158">
        <f>0</f>
        <v>0</v>
      </c>
      <c r="W101" s="155">
        <v>0</v>
      </c>
      <c r="X101" s="155">
        <v>0</v>
      </c>
      <c r="Y101" s="263">
        <v>2</v>
      </c>
      <c r="Z101" s="155">
        <v>0</v>
      </c>
      <c r="AA101" s="155">
        <f>0</f>
        <v>0</v>
      </c>
      <c r="AB101" s="155">
        <f>0</f>
        <v>0</v>
      </c>
      <c r="AC101" s="155">
        <f>0</f>
        <v>0</v>
      </c>
      <c r="AD101" s="155">
        <f>0</f>
        <v>0</v>
      </c>
      <c r="AE101" s="155">
        <f>0</f>
        <v>0</v>
      </c>
      <c r="AF101" s="155">
        <f>0</f>
        <v>0</v>
      </c>
      <c r="AG101" s="155">
        <f>0</f>
        <v>0</v>
      </c>
      <c r="AH101" s="155">
        <f>0</f>
        <v>0</v>
      </c>
      <c r="AI101" s="155">
        <f>0</f>
        <v>0</v>
      </c>
      <c r="AJ101" s="155">
        <f>0</f>
        <v>0</v>
      </c>
      <c r="AK101" s="155">
        <f>0</f>
        <v>0</v>
      </c>
      <c r="AL101" s="219">
        <f t="shared" si="4"/>
        <v>2</v>
      </c>
      <c r="AM101" s="103">
        <f>0</f>
        <v>0</v>
      </c>
      <c r="AN101" s="220">
        <f t="shared" si="5"/>
        <v>2</v>
      </c>
      <c r="AO101" s="290">
        <v>45034</v>
      </c>
      <c r="AP101" s="291" t="s">
        <v>192</v>
      </c>
      <c r="AQ101" s="292" t="s">
        <v>1520</v>
      </c>
      <c r="AR101" s="293" t="s">
        <v>197</v>
      </c>
      <c r="AS101" s="307"/>
      <c r="AT101" s="302"/>
      <c r="AU101" s="303">
        <v>2</v>
      </c>
      <c r="AV101" s="304">
        <f t="shared" si="6"/>
        <v>0</v>
      </c>
      <c r="AW101" s="302" t="s">
        <v>195</v>
      </c>
      <c r="AX101" s="305"/>
      <c r="AY101" s="306"/>
      <c r="AZ101" s="299"/>
      <c r="BA101" s="174"/>
      <c r="BB101" s="174"/>
      <c r="BC101" s="174"/>
    </row>
    <row r="102" spans="1:55" ht="28" customHeight="1">
      <c r="A102" s="308">
        <v>98</v>
      </c>
      <c r="B102" s="287">
        <v>45016</v>
      </c>
      <c r="C102" s="222" t="s">
        <v>198</v>
      </c>
      <c r="D102" s="222" t="s">
        <v>199</v>
      </c>
      <c r="E102" s="222" t="s">
        <v>200</v>
      </c>
      <c r="F102" s="349" t="s">
        <v>123</v>
      </c>
      <c r="G102" s="243" t="s">
        <v>429</v>
      </c>
      <c r="H102" s="244" t="s">
        <v>129</v>
      </c>
      <c r="I102" s="243" t="s">
        <v>430</v>
      </c>
      <c r="J102" s="245" t="s">
        <v>431</v>
      </c>
      <c r="K102" s="246" t="s">
        <v>97</v>
      </c>
      <c r="L102" s="246" t="s">
        <v>159</v>
      </c>
      <c r="M102" s="243" t="s">
        <v>156</v>
      </c>
      <c r="N102" s="243" t="s">
        <v>97</v>
      </c>
      <c r="O102" s="243" t="s">
        <v>204</v>
      </c>
      <c r="P102" s="289"/>
      <c r="Q102" s="289" t="s">
        <v>432</v>
      </c>
      <c r="R102" s="154">
        <f>0</f>
        <v>0</v>
      </c>
      <c r="S102" s="155">
        <f>0</f>
        <v>0</v>
      </c>
      <c r="T102" s="155">
        <f>0</f>
        <v>0</v>
      </c>
      <c r="U102" s="158">
        <f>0</f>
        <v>0</v>
      </c>
      <c r="V102" s="158">
        <f>0</f>
        <v>0</v>
      </c>
      <c r="W102" s="155">
        <v>0</v>
      </c>
      <c r="X102" s="263">
        <v>6</v>
      </c>
      <c r="Y102" s="155">
        <v>0</v>
      </c>
      <c r="Z102" s="155">
        <v>0</v>
      </c>
      <c r="AA102" s="155">
        <f>0</f>
        <v>0</v>
      </c>
      <c r="AB102" s="155">
        <f>0</f>
        <v>0</v>
      </c>
      <c r="AC102" s="155">
        <f>0</f>
        <v>0</v>
      </c>
      <c r="AD102" s="155">
        <f>0</f>
        <v>0</v>
      </c>
      <c r="AE102" s="155">
        <f>0</f>
        <v>0</v>
      </c>
      <c r="AF102" s="155">
        <f>0</f>
        <v>0</v>
      </c>
      <c r="AG102" s="155">
        <f>0</f>
        <v>0</v>
      </c>
      <c r="AH102" s="155">
        <f>0</f>
        <v>0</v>
      </c>
      <c r="AI102" s="155">
        <f>0</f>
        <v>0</v>
      </c>
      <c r="AJ102" s="155">
        <f>0</f>
        <v>0</v>
      </c>
      <c r="AK102" s="155">
        <f>0</f>
        <v>0</v>
      </c>
      <c r="AL102" s="219">
        <f t="shared" si="4"/>
        <v>6</v>
      </c>
      <c r="AM102" s="103">
        <f>0</f>
        <v>0</v>
      </c>
      <c r="AN102" s="220">
        <f t="shared" si="5"/>
        <v>6</v>
      </c>
      <c r="AO102" s="290">
        <v>45034</v>
      </c>
      <c r="AP102" s="291" t="s">
        <v>192</v>
      </c>
      <c r="AQ102" s="292" t="s">
        <v>1520</v>
      </c>
      <c r="AR102" s="293" t="s">
        <v>197</v>
      </c>
      <c r="AS102" s="307"/>
      <c r="AT102" s="302"/>
      <c r="AU102" s="303">
        <v>6</v>
      </c>
      <c r="AV102" s="304">
        <f t="shared" ref="AV102:AV129" si="7">AN102-AU102</f>
        <v>0</v>
      </c>
      <c r="AW102" s="302" t="s">
        <v>195</v>
      </c>
      <c r="AX102" s="305"/>
      <c r="AY102" s="306"/>
      <c r="AZ102" s="299"/>
      <c r="BA102" s="174"/>
      <c r="BB102" s="174"/>
      <c r="BC102" s="174"/>
    </row>
    <row r="103" spans="1:55" ht="28" customHeight="1">
      <c r="A103" s="308">
        <v>99</v>
      </c>
      <c r="B103" s="287">
        <v>45016</v>
      </c>
      <c r="C103" s="222" t="s">
        <v>198</v>
      </c>
      <c r="D103" s="222" t="s">
        <v>199</v>
      </c>
      <c r="E103" s="222" t="s">
        <v>200</v>
      </c>
      <c r="F103" s="349" t="s">
        <v>123</v>
      </c>
      <c r="G103" s="243" t="s">
        <v>433</v>
      </c>
      <c r="H103" s="244" t="s">
        <v>129</v>
      </c>
      <c r="I103" s="243" t="s">
        <v>434</v>
      </c>
      <c r="J103" s="245" t="s">
        <v>435</v>
      </c>
      <c r="K103" s="246" t="s">
        <v>97</v>
      </c>
      <c r="L103" s="246" t="s">
        <v>234</v>
      </c>
      <c r="M103" s="243" t="s">
        <v>156</v>
      </c>
      <c r="N103" s="243" t="s">
        <v>97</v>
      </c>
      <c r="O103" s="243" t="s">
        <v>292</v>
      </c>
      <c r="P103" s="289"/>
      <c r="Q103" s="289" t="s">
        <v>436</v>
      </c>
      <c r="R103" s="154">
        <f>0</f>
        <v>0</v>
      </c>
      <c r="S103" s="155">
        <f>0</f>
        <v>0</v>
      </c>
      <c r="T103" s="155">
        <f>0</f>
        <v>0</v>
      </c>
      <c r="U103" s="158">
        <f>0</f>
        <v>0</v>
      </c>
      <c r="V103" s="158">
        <f>0</f>
        <v>0</v>
      </c>
      <c r="W103" s="155">
        <f>0</f>
        <v>0</v>
      </c>
      <c r="X103" s="155">
        <f>0</f>
        <v>0</v>
      </c>
      <c r="Y103" s="155">
        <f>0</f>
        <v>0</v>
      </c>
      <c r="Z103" s="155">
        <f>0</f>
        <v>0</v>
      </c>
      <c r="AA103" s="263">
        <v>4</v>
      </c>
      <c r="AB103" s="155">
        <f>0</f>
        <v>0</v>
      </c>
      <c r="AC103" s="155">
        <f>0</f>
        <v>0</v>
      </c>
      <c r="AD103" s="155">
        <f>0</f>
        <v>0</v>
      </c>
      <c r="AE103" s="155">
        <f>0</f>
        <v>0</v>
      </c>
      <c r="AF103" s="155">
        <f>0</f>
        <v>0</v>
      </c>
      <c r="AG103" s="155">
        <f>0</f>
        <v>0</v>
      </c>
      <c r="AH103" s="155">
        <f>0</f>
        <v>0</v>
      </c>
      <c r="AI103" s="155">
        <f>0</f>
        <v>0</v>
      </c>
      <c r="AJ103" s="155">
        <f>0</f>
        <v>0</v>
      </c>
      <c r="AK103" s="155">
        <f>0</f>
        <v>0</v>
      </c>
      <c r="AL103" s="219">
        <f t="shared" si="4"/>
        <v>4</v>
      </c>
      <c r="AM103" s="103">
        <f>0</f>
        <v>0</v>
      </c>
      <c r="AN103" s="220">
        <f t="shared" si="5"/>
        <v>4</v>
      </c>
      <c r="AO103" s="290">
        <v>45034</v>
      </c>
      <c r="AP103" s="291" t="s">
        <v>192</v>
      </c>
      <c r="AQ103" s="292" t="s">
        <v>1520</v>
      </c>
      <c r="AR103" s="293" t="s">
        <v>197</v>
      </c>
      <c r="AS103" s="307"/>
      <c r="AT103" s="302"/>
      <c r="AU103" s="303">
        <v>4</v>
      </c>
      <c r="AV103" s="304">
        <f t="shared" si="7"/>
        <v>0</v>
      </c>
      <c r="AW103" s="302" t="s">
        <v>195</v>
      </c>
      <c r="AX103" s="305"/>
      <c r="AY103" s="306"/>
      <c r="AZ103" s="299"/>
      <c r="BA103" s="174"/>
      <c r="BB103" s="174"/>
      <c r="BC103" s="174"/>
    </row>
    <row r="104" spans="1:55" ht="28" customHeight="1">
      <c r="A104" s="45">
        <v>100</v>
      </c>
      <c r="B104" s="264">
        <v>45020</v>
      </c>
      <c r="C104" s="222" t="s">
        <v>198</v>
      </c>
      <c r="D104" s="222" t="s">
        <v>199</v>
      </c>
      <c r="E104" s="222" t="s">
        <v>200</v>
      </c>
      <c r="F104" s="257" t="s">
        <v>123</v>
      </c>
      <c r="G104" s="258" t="s">
        <v>437</v>
      </c>
      <c r="H104" s="259" t="s">
        <v>129</v>
      </c>
      <c r="I104" s="258" t="s">
        <v>438</v>
      </c>
      <c r="J104" s="260" t="s">
        <v>439</v>
      </c>
      <c r="K104" s="261" t="s">
        <v>97</v>
      </c>
      <c r="L104" s="261" t="s">
        <v>367</v>
      </c>
      <c r="M104" s="258" t="s">
        <v>237</v>
      </c>
      <c r="N104" s="258" t="s">
        <v>97</v>
      </c>
      <c r="O104" s="258" t="s">
        <v>368</v>
      </c>
      <c r="P104" s="262"/>
      <c r="Q104" s="262" t="s">
        <v>440</v>
      </c>
      <c r="R104" s="154">
        <f>0</f>
        <v>0</v>
      </c>
      <c r="S104" s="155">
        <f>0</f>
        <v>0</v>
      </c>
      <c r="T104" s="155">
        <f>0</f>
        <v>0</v>
      </c>
      <c r="U104" s="158">
        <f>0</f>
        <v>0</v>
      </c>
      <c r="V104" s="158">
        <f>0</f>
        <v>0</v>
      </c>
      <c r="W104" s="155">
        <f>0</f>
        <v>0</v>
      </c>
      <c r="X104" s="155">
        <f>0</f>
        <v>0</v>
      </c>
      <c r="Y104" s="155">
        <f>0</f>
        <v>0</v>
      </c>
      <c r="Z104" s="155">
        <f>0</f>
        <v>0</v>
      </c>
      <c r="AA104" s="155">
        <f>0</f>
        <v>0</v>
      </c>
      <c r="AB104" s="263">
        <v>1</v>
      </c>
      <c r="AC104" s="155">
        <f>0</f>
        <v>0</v>
      </c>
      <c r="AD104" s="155">
        <f>0</f>
        <v>0</v>
      </c>
      <c r="AE104" s="155">
        <f>0</f>
        <v>0</v>
      </c>
      <c r="AF104" s="155">
        <f>0</f>
        <v>0</v>
      </c>
      <c r="AG104" s="155">
        <f>0</f>
        <v>0</v>
      </c>
      <c r="AH104" s="155">
        <f>0</f>
        <v>0</v>
      </c>
      <c r="AI104" s="155">
        <f>0</f>
        <v>0</v>
      </c>
      <c r="AJ104" s="155">
        <f>0</f>
        <v>0</v>
      </c>
      <c r="AK104" s="155">
        <f>0</f>
        <v>0</v>
      </c>
      <c r="AL104" s="219">
        <f t="shared" si="4"/>
        <v>1</v>
      </c>
      <c r="AM104" s="103">
        <f>0</f>
        <v>0</v>
      </c>
      <c r="AN104" s="220">
        <f t="shared" si="5"/>
        <v>1</v>
      </c>
      <c r="AO104" s="190"/>
      <c r="AP104" s="188" t="s">
        <v>617</v>
      </c>
      <c r="AQ104" s="172"/>
      <c r="AR104" s="189" t="s">
        <v>616</v>
      </c>
      <c r="AS104" s="171"/>
      <c r="AT104" s="177"/>
      <c r="AU104" s="178"/>
      <c r="AV104" s="171">
        <f t="shared" si="7"/>
        <v>1</v>
      </c>
      <c r="AW104" s="177"/>
      <c r="AX104" s="180"/>
      <c r="AY104" s="175"/>
      <c r="AZ104" s="176"/>
    </row>
    <row r="105" spans="1:55" ht="28" customHeight="1">
      <c r="A105" s="45">
        <v>101</v>
      </c>
      <c r="B105" s="264">
        <v>45020</v>
      </c>
      <c r="C105" s="222" t="s">
        <v>198</v>
      </c>
      <c r="D105" s="222" t="s">
        <v>199</v>
      </c>
      <c r="E105" s="222" t="s">
        <v>200</v>
      </c>
      <c r="F105" s="257" t="s">
        <v>123</v>
      </c>
      <c r="G105" s="258" t="s">
        <v>441</v>
      </c>
      <c r="H105" s="259" t="s">
        <v>129</v>
      </c>
      <c r="I105" s="258" t="s">
        <v>442</v>
      </c>
      <c r="J105" s="260" t="s">
        <v>443</v>
      </c>
      <c r="K105" s="261" t="s">
        <v>97</v>
      </c>
      <c r="L105" s="261" t="s">
        <v>367</v>
      </c>
      <c r="M105" s="258" t="s">
        <v>237</v>
      </c>
      <c r="N105" s="258" t="s">
        <v>97</v>
      </c>
      <c r="O105" s="258" t="s">
        <v>368</v>
      </c>
      <c r="P105" s="262"/>
      <c r="Q105" s="262" t="s">
        <v>440</v>
      </c>
      <c r="R105" s="154">
        <f>0</f>
        <v>0</v>
      </c>
      <c r="S105" s="155">
        <f>0</f>
        <v>0</v>
      </c>
      <c r="T105" s="155">
        <f>0</f>
        <v>0</v>
      </c>
      <c r="U105" s="158">
        <f>0</f>
        <v>0</v>
      </c>
      <c r="V105" s="158">
        <f>0</f>
        <v>0</v>
      </c>
      <c r="W105" s="155">
        <f>0</f>
        <v>0</v>
      </c>
      <c r="X105" s="155">
        <f>0</f>
        <v>0</v>
      </c>
      <c r="Y105" s="155">
        <f>0</f>
        <v>0</v>
      </c>
      <c r="Z105" s="155">
        <f>0</f>
        <v>0</v>
      </c>
      <c r="AA105" s="155">
        <f>0</f>
        <v>0</v>
      </c>
      <c r="AB105" s="263">
        <v>2</v>
      </c>
      <c r="AC105" s="155">
        <f>0</f>
        <v>0</v>
      </c>
      <c r="AD105" s="155">
        <f>0</f>
        <v>0</v>
      </c>
      <c r="AE105" s="155">
        <f>0</f>
        <v>0</v>
      </c>
      <c r="AF105" s="155">
        <f>0</f>
        <v>0</v>
      </c>
      <c r="AG105" s="155">
        <f>0</f>
        <v>0</v>
      </c>
      <c r="AH105" s="155">
        <f>0</f>
        <v>0</v>
      </c>
      <c r="AI105" s="155">
        <f>0</f>
        <v>0</v>
      </c>
      <c r="AJ105" s="155">
        <f>0</f>
        <v>0</v>
      </c>
      <c r="AK105" s="155">
        <f>0</f>
        <v>0</v>
      </c>
      <c r="AL105" s="219">
        <f t="shared" si="4"/>
        <v>2</v>
      </c>
      <c r="AM105" s="103">
        <f>0</f>
        <v>0</v>
      </c>
      <c r="AN105" s="220">
        <f t="shared" si="5"/>
        <v>2</v>
      </c>
      <c r="AO105" s="190"/>
      <c r="AP105" s="188" t="s">
        <v>617</v>
      </c>
      <c r="AQ105" s="172"/>
      <c r="AR105" s="189" t="s">
        <v>616</v>
      </c>
      <c r="AS105" s="171"/>
      <c r="AT105" s="177"/>
      <c r="AU105" s="178"/>
      <c r="AV105" s="171">
        <f t="shared" si="7"/>
        <v>2</v>
      </c>
      <c r="AW105" s="177"/>
      <c r="AX105" s="180"/>
      <c r="AY105" s="175"/>
      <c r="AZ105" s="176"/>
    </row>
    <row r="106" spans="1:55" ht="28" customHeight="1">
      <c r="A106" s="45">
        <v>102</v>
      </c>
      <c r="B106" s="264">
        <v>45020</v>
      </c>
      <c r="C106" s="222" t="s">
        <v>198</v>
      </c>
      <c r="D106" s="222" t="s">
        <v>199</v>
      </c>
      <c r="E106" s="222" t="s">
        <v>200</v>
      </c>
      <c r="F106" s="257" t="s">
        <v>123</v>
      </c>
      <c r="G106" s="258" t="s">
        <v>444</v>
      </c>
      <c r="H106" s="259" t="s">
        <v>129</v>
      </c>
      <c r="I106" s="258" t="s">
        <v>445</v>
      </c>
      <c r="J106" s="260" t="s">
        <v>446</v>
      </c>
      <c r="K106" s="261" t="s">
        <v>97</v>
      </c>
      <c r="L106" s="261" t="s">
        <v>367</v>
      </c>
      <c r="M106" s="258" t="s">
        <v>237</v>
      </c>
      <c r="N106" s="258" t="s">
        <v>97</v>
      </c>
      <c r="O106" s="258" t="s">
        <v>368</v>
      </c>
      <c r="P106" s="262"/>
      <c r="Q106" s="262" t="s">
        <v>440</v>
      </c>
      <c r="R106" s="154">
        <f>0</f>
        <v>0</v>
      </c>
      <c r="S106" s="155">
        <f>0</f>
        <v>0</v>
      </c>
      <c r="T106" s="155">
        <f>0</f>
        <v>0</v>
      </c>
      <c r="U106" s="158">
        <f>0</f>
        <v>0</v>
      </c>
      <c r="V106" s="158">
        <f>0</f>
        <v>0</v>
      </c>
      <c r="W106" s="155">
        <f>0</f>
        <v>0</v>
      </c>
      <c r="X106" s="155">
        <f>0</f>
        <v>0</v>
      </c>
      <c r="Y106" s="155">
        <f>0</f>
        <v>0</v>
      </c>
      <c r="Z106" s="155">
        <f>0</f>
        <v>0</v>
      </c>
      <c r="AA106" s="155">
        <f>0</f>
        <v>0</v>
      </c>
      <c r="AB106" s="263">
        <v>2</v>
      </c>
      <c r="AC106" s="155">
        <f>0</f>
        <v>0</v>
      </c>
      <c r="AD106" s="155">
        <f>0</f>
        <v>0</v>
      </c>
      <c r="AE106" s="155">
        <f>0</f>
        <v>0</v>
      </c>
      <c r="AF106" s="155">
        <f>0</f>
        <v>0</v>
      </c>
      <c r="AG106" s="155">
        <f>0</f>
        <v>0</v>
      </c>
      <c r="AH106" s="155">
        <f>0</f>
        <v>0</v>
      </c>
      <c r="AI106" s="155">
        <f>0</f>
        <v>0</v>
      </c>
      <c r="AJ106" s="155">
        <f>0</f>
        <v>0</v>
      </c>
      <c r="AK106" s="155">
        <f>0</f>
        <v>0</v>
      </c>
      <c r="AL106" s="219">
        <f t="shared" si="4"/>
        <v>2</v>
      </c>
      <c r="AM106" s="103">
        <f>0</f>
        <v>0</v>
      </c>
      <c r="AN106" s="220">
        <f t="shared" si="5"/>
        <v>2</v>
      </c>
      <c r="AO106" s="190"/>
      <c r="AP106" s="188" t="s">
        <v>617</v>
      </c>
      <c r="AQ106" s="172"/>
      <c r="AR106" s="189" t="s">
        <v>616</v>
      </c>
      <c r="AS106" s="171"/>
      <c r="AT106" s="177"/>
      <c r="AU106" s="178"/>
      <c r="AV106" s="171">
        <f t="shared" si="7"/>
        <v>2</v>
      </c>
      <c r="AW106" s="177"/>
      <c r="AX106" s="180"/>
      <c r="AY106" s="175"/>
      <c r="AZ106" s="176"/>
    </row>
    <row r="107" spans="1:55" ht="28" customHeight="1">
      <c r="A107" s="308">
        <v>103</v>
      </c>
      <c r="B107" s="287">
        <v>45020</v>
      </c>
      <c r="C107" s="222" t="s">
        <v>198</v>
      </c>
      <c r="D107" s="222" t="s">
        <v>199</v>
      </c>
      <c r="E107" s="222" t="s">
        <v>200</v>
      </c>
      <c r="F107" s="349" t="s">
        <v>123</v>
      </c>
      <c r="G107" s="243" t="s">
        <v>447</v>
      </c>
      <c r="H107" s="244" t="s">
        <v>129</v>
      </c>
      <c r="I107" s="243" t="s">
        <v>448</v>
      </c>
      <c r="J107" s="245" t="s">
        <v>449</v>
      </c>
      <c r="K107" s="246" t="s">
        <v>97</v>
      </c>
      <c r="L107" s="246" t="s">
        <v>176</v>
      </c>
      <c r="M107" s="243" t="s">
        <v>279</v>
      </c>
      <c r="N107" s="243" t="s">
        <v>97</v>
      </c>
      <c r="O107" s="243" t="s">
        <v>224</v>
      </c>
      <c r="P107" s="289"/>
      <c r="Q107" s="289" t="s">
        <v>440</v>
      </c>
      <c r="R107" s="154">
        <f>0</f>
        <v>0</v>
      </c>
      <c r="S107" s="155">
        <f>0</f>
        <v>0</v>
      </c>
      <c r="T107" s="155">
        <f>0</f>
        <v>0</v>
      </c>
      <c r="U107" s="158">
        <f>0</f>
        <v>0</v>
      </c>
      <c r="V107" s="158">
        <f>0</f>
        <v>0</v>
      </c>
      <c r="W107" s="155">
        <f>0</f>
        <v>0</v>
      </c>
      <c r="X107" s="155">
        <f>0</f>
        <v>0</v>
      </c>
      <c r="Y107" s="155">
        <f>0</f>
        <v>0</v>
      </c>
      <c r="Z107" s="155">
        <f>0</f>
        <v>0</v>
      </c>
      <c r="AA107" s="155">
        <f>0</f>
        <v>0</v>
      </c>
      <c r="AB107" s="263">
        <v>1</v>
      </c>
      <c r="AC107" s="155">
        <f>0</f>
        <v>0</v>
      </c>
      <c r="AD107" s="155">
        <f>0</f>
        <v>0</v>
      </c>
      <c r="AE107" s="155">
        <f>0</f>
        <v>0</v>
      </c>
      <c r="AF107" s="155">
        <f>0</f>
        <v>0</v>
      </c>
      <c r="AG107" s="155">
        <f>0</f>
        <v>0</v>
      </c>
      <c r="AH107" s="155">
        <f>0</f>
        <v>0</v>
      </c>
      <c r="AI107" s="155">
        <f>0</f>
        <v>0</v>
      </c>
      <c r="AJ107" s="155">
        <f>0</f>
        <v>0</v>
      </c>
      <c r="AK107" s="155">
        <f>0</f>
        <v>0</v>
      </c>
      <c r="AL107" s="219">
        <f t="shared" si="4"/>
        <v>1</v>
      </c>
      <c r="AM107" s="103">
        <f>0</f>
        <v>0</v>
      </c>
      <c r="AN107" s="220">
        <f t="shared" si="5"/>
        <v>1</v>
      </c>
      <c r="AO107" s="348">
        <v>45034</v>
      </c>
      <c r="AP107" s="296" t="s">
        <v>192</v>
      </c>
      <c r="AQ107" s="292" t="s">
        <v>1522</v>
      </c>
      <c r="AR107" s="293" t="s">
        <v>194</v>
      </c>
      <c r="AS107" s="301">
        <v>45078</v>
      </c>
      <c r="AT107" s="302"/>
      <c r="AU107" s="303">
        <v>1</v>
      </c>
      <c r="AV107" s="304">
        <f t="shared" si="7"/>
        <v>0</v>
      </c>
      <c r="AW107" s="302" t="s">
        <v>195</v>
      </c>
      <c r="AX107" s="305"/>
      <c r="AY107" s="306"/>
      <c r="AZ107" s="299"/>
      <c r="BA107" s="174"/>
      <c r="BB107" s="174"/>
      <c r="BC107" s="174"/>
    </row>
    <row r="108" spans="1:55" ht="28" customHeight="1">
      <c r="A108" s="308">
        <v>104</v>
      </c>
      <c r="B108" s="287">
        <v>45020</v>
      </c>
      <c r="C108" s="222" t="s">
        <v>198</v>
      </c>
      <c r="D108" s="222" t="s">
        <v>199</v>
      </c>
      <c r="E108" s="222" t="s">
        <v>200</v>
      </c>
      <c r="F108" s="349" t="s">
        <v>123</v>
      </c>
      <c r="G108" s="243" t="s">
        <v>450</v>
      </c>
      <c r="H108" s="244" t="s">
        <v>129</v>
      </c>
      <c r="I108" s="243" t="s">
        <v>451</v>
      </c>
      <c r="J108" s="245" t="s">
        <v>452</v>
      </c>
      <c r="K108" s="246" t="s">
        <v>97</v>
      </c>
      <c r="L108" s="246" t="s">
        <v>176</v>
      </c>
      <c r="M108" s="243" t="s">
        <v>279</v>
      </c>
      <c r="N108" s="243" t="s">
        <v>97</v>
      </c>
      <c r="O108" s="243" t="s">
        <v>224</v>
      </c>
      <c r="P108" s="289"/>
      <c r="Q108" s="289" t="s">
        <v>440</v>
      </c>
      <c r="R108" s="154">
        <f>0</f>
        <v>0</v>
      </c>
      <c r="S108" s="155">
        <f>0</f>
        <v>0</v>
      </c>
      <c r="T108" s="155">
        <f>0</f>
        <v>0</v>
      </c>
      <c r="U108" s="158">
        <f>0</f>
        <v>0</v>
      </c>
      <c r="V108" s="158">
        <f>0</f>
        <v>0</v>
      </c>
      <c r="W108" s="155">
        <f>0</f>
        <v>0</v>
      </c>
      <c r="X108" s="155">
        <f>0</f>
        <v>0</v>
      </c>
      <c r="Y108" s="155">
        <f>0</f>
        <v>0</v>
      </c>
      <c r="Z108" s="155">
        <f>0</f>
        <v>0</v>
      </c>
      <c r="AA108" s="155">
        <f>0</f>
        <v>0</v>
      </c>
      <c r="AB108" s="263">
        <v>1</v>
      </c>
      <c r="AC108" s="155">
        <f>0</f>
        <v>0</v>
      </c>
      <c r="AD108" s="155">
        <f>0</f>
        <v>0</v>
      </c>
      <c r="AE108" s="155">
        <f>0</f>
        <v>0</v>
      </c>
      <c r="AF108" s="155">
        <f>0</f>
        <v>0</v>
      </c>
      <c r="AG108" s="155">
        <f>0</f>
        <v>0</v>
      </c>
      <c r="AH108" s="155">
        <f>0</f>
        <v>0</v>
      </c>
      <c r="AI108" s="155">
        <f>0</f>
        <v>0</v>
      </c>
      <c r="AJ108" s="155">
        <f>0</f>
        <v>0</v>
      </c>
      <c r="AK108" s="155">
        <f>0</f>
        <v>0</v>
      </c>
      <c r="AL108" s="219">
        <f t="shared" si="4"/>
        <v>1</v>
      </c>
      <c r="AM108" s="103">
        <f>0</f>
        <v>0</v>
      </c>
      <c r="AN108" s="220">
        <f t="shared" si="5"/>
        <v>1</v>
      </c>
      <c r="AO108" s="348">
        <v>45034</v>
      </c>
      <c r="AP108" s="296" t="s">
        <v>192</v>
      </c>
      <c r="AQ108" s="292" t="s">
        <v>1522</v>
      </c>
      <c r="AR108" s="293" t="s">
        <v>194</v>
      </c>
      <c r="AS108" s="301">
        <v>45078</v>
      </c>
      <c r="AT108" s="302"/>
      <c r="AU108" s="303">
        <v>1</v>
      </c>
      <c r="AV108" s="304">
        <f t="shared" si="7"/>
        <v>0</v>
      </c>
      <c r="AW108" s="302" t="s">
        <v>195</v>
      </c>
      <c r="AX108" s="305"/>
      <c r="AY108" s="306"/>
      <c r="AZ108" s="299"/>
      <c r="BA108" s="174"/>
      <c r="BB108" s="174"/>
      <c r="BC108" s="174"/>
    </row>
    <row r="109" spans="1:55" ht="28" customHeight="1">
      <c r="A109" s="308">
        <v>105</v>
      </c>
      <c r="B109" s="287">
        <v>45020</v>
      </c>
      <c r="C109" s="222" t="s">
        <v>198</v>
      </c>
      <c r="D109" s="222" t="s">
        <v>199</v>
      </c>
      <c r="E109" s="222" t="s">
        <v>200</v>
      </c>
      <c r="F109" s="349" t="s">
        <v>123</v>
      </c>
      <c r="G109" s="243" t="s">
        <v>453</v>
      </c>
      <c r="H109" s="244" t="s">
        <v>129</v>
      </c>
      <c r="I109" s="243" t="s">
        <v>299</v>
      </c>
      <c r="J109" s="245" t="s">
        <v>454</v>
      </c>
      <c r="K109" s="246" t="s">
        <v>97</v>
      </c>
      <c r="L109" s="246" t="s">
        <v>176</v>
      </c>
      <c r="M109" s="243" t="s">
        <v>279</v>
      </c>
      <c r="N109" s="243" t="s">
        <v>97</v>
      </c>
      <c r="O109" s="243" t="s">
        <v>177</v>
      </c>
      <c r="P109" s="351" t="s">
        <v>505</v>
      </c>
      <c r="Q109" s="289" t="s">
        <v>440</v>
      </c>
      <c r="R109" s="154">
        <f>0</f>
        <v>0</v>
      </c>
      <c r="S109" s="155">
        <f>0</f>
        <v>0</v>
      </c>
      <c r="T109" s="155">
        <f>0</f>
        <v>0</v>
      </c>
      <c r="U109" s="158">
        <f>0</f>
        <v>0</v>
      </c>
      <c r="V109" s="158">
        <f>0</f>
        <v>0</v>
      </c>
      <c r="W109" s="155">
        <f>0</f>
        <v>0</v>
      </c>
      <c r="X109" s="155">
        <f>0</f>
        <v>0</v>
      </c>
      <c r="Y109" s="155">
        <f>0</f>
        <v>0</v>
      </c>
      <c r="Z109" s="155">
        <f>0</f>
        <v>0</v>
      </c>
      <c r="AA109" s="155">
        <f>0</f>
        <v>0</v>
      </c>
      <c r="AB109" s="263">
        <v>24</v>
      </c>
      <c r="AC109" s="155">
        <f>0</f>
        <v>0</v>
      </c>
      <c r="AD109" s="155">
        <f>0</f>
        <v>0</v>
      </c>
      <c r="AE109" s="155">
        <f>0</f>
        <v>0</v>
      </c>
      <c r="AF109" s="155">
        <f>0</f>
        <v>0</v>
      </c>
      <c r="AG109" s="155">
        <f>0</f>
        <v>0</v>
      </c>
      <c r="AH109" s="155">
        <f>0</f>
        <v>0</v>
      </c>
      <c r="AI109" s="155">
        <f>0</f>
        <v>0</v>
      </c>
      <c r="AJ109" s="155">
        <f>0</f>
        <v>0</v>
      </c>
      <c r="AK109" s="155">
        <f>0</f>
        <v>0</v>
      </c>
      <c r="AL109" s="219">
        <f t="shared" si="4"/>
        <v>24</v>
      </c>
      <c r="AM109" s="103">
        <f>0</f>
        <v>0</v>
      </c>
      <c r="AN109" s="220">
        <f t="shared" si="5"/>
        <v>24</v>
      </c>
      <c r="AO109" s="348">
        <v>45034</v>
      </c>
      <c r="AP109" s="296" t="s">
        <v>192</v>
      </c>
      <c r="AQ109" s="292" t="s">
        <v>1522</v>
      </c>
      <c r="AR109" s="293" t="s">
        <v>194</v>
      </c>
      <c r="AS109" s="301">
        <v>45078</v>
      </c>
      <c r="AT109" s="302"/>
      <c r="AU109" s="303">
        <v>24</v>
      </c>
      <c r="AV109" s="304">
        <f t="shared" si="7"/>
        <v>0</v>
      </c>
      <c r="AW109" s="302" t="s">
        <v>195</v>
      </c>
      <c r="AX109" s="305"/>
      <c r="AY109" s="306"/>
      <c r="AZ109" s="299"/>
      <c r="BA109" s="174"/>
      <c r="BB109" s="174"/>
      <c r="BC109" s="174"/>
    </row>
    <row r="110" spans="1:55" ht="28" customHeight="1">
      <c r="A110" s="308">
        <v>106</v>
      </c>
      <c r="B110" s="287">
        <v>45020</v>
      </c>
      <c r="C110" s="222" t="s">
        <v>198</v>
      </c>
      <c r="D110" s="222" t="s">
        <v>199</v>
      </c>
      <c r="E110" s="222" t="s">
        <v>200</v>
      </c>
      <c r="F110" s="349" t="s">
        <v>123</v>
      </c>
      <c r="G110" s="243" t="s">
        <v>455</v>
      </c>
      <c r="H110" s="244" t="s">
        <v>129</v>
      </c>
      <c r="I110" s="243" t="s">
        <v>226</v>
      </c>
      <c r="J110" s="245" t="s">
        <v>456</v>
      </c>
      <c r="K110" s="246" t="s">
        <v>97</v>
      </c>
      <c r="L110" s="246" t="s">
        <v>176</v>
      </c>
      <c r="M110" s="243" t="s">
        <v>147</v>
      </c>
      <c r="N110" s="243" t="s">
        <v>97</v>
      </c>
      <c r="O110" s="243" t="s">
        <v>177</v>
      </c>
      <c r="P110" s="289"/>
      <c r="Q110" s="289" t="s">
        <v>440</v>
      </c>
      <c r="R110" s="154">
        <f>0</f>
        <v>0</v>
      </c>
      <c r="S110" s="155">
        <f>0</f>
        <v>0</v>
      </c>
      <c r="T110" s="155">
        <f>0</f>
        <v>0</v>
      </c>
      <c r="U110" s="158">
        <f>0</f>
        <v>0</v>
      </c>
      <c r="V110" s="158">
        <f>0</f>
        <v>0</v>
      </c>
      <c r="W110" s="155">
        <f>0</f>
        <v>0</v>
      </c>
      <c r="X110" s="155">
        <f>0</f>
        <v>0</v>
      </c>
      <c r="Y110" s="155">
        <f>0</f>
        <v>0</v>
      </c>
      <c r="Z110" s="155">
        <f>0</f>
        <v>0</v>
      </c>
      <c r="AA110" s="155">
        <f>0</f>
        <v>0</v>
      </c>
      <c r="AB110" s="263">
        <v>1</v>
      </c>
      <c r="AC110" s="155">
        <f>0</f>
        <v>0</v>
      </c>
      <c r="AD110" s="155">
        <f>0</f>
        <v>0</v>
      </c>
      <c r="AE110" s="155">
        <f>0</f>
        <v>0</v>
      </c>
      <c r="AF110" s="155">
        <f>0</f>
        <v>0</v>
      </c>
      <c r="AG110" s="155">
        <f>0</f>
        <v>0</v>
      </c>
      <c r="AH110" s="155">
        <f>0</f>
        <v>0</v>
      </c>
      <c r="AI110" s="155">
        <f>0</f>
        <v>0</v>
      </c>
      <c r="AJ110" s="155">
        <f>0</f>
        <v>0</v>
      </c>
      <c r="AK110" s="155">
        <f>0</f>
        <v>0</v>
      </c>
      <c r="AL110" s="219">
        <f t="shared" si="4"/>
        <v>1</v>
      </c>
      <c r="AM110" s="103">
        <f>0</f>
        <v>0</v>
      </c>
      <c r="AN110" s="220">
        <f t="shared" si="5"/>
        <v>1</v>
      </c>
      <c r="AO110" s="348">
        <v>45034</v>
      </c>
      <c r="AP110" s="296" t="s">
        <v>192</v>
      </c>
      <c r="AQ110" s="292" t="s">
        <v>1522</v>
      </c>
      <c r="AR110" s="293" t="s">
        <v>194</v>
      </c>
      <c r="AS110" s="301">
        <v>45078</v>
      </c>
      <c r="AT110" s="302"/>
      <c r="AU110" s="303">
        <v>1</v>
      </c>
      <c r="AV110" s="304">
        <f t="shared" si="7"/>
        <v>0</v>
      </c>
      <c r="AW110" s="302" t="s">
        <v>195</v>
      </c>
      <c r="AX110" s="305"/>
      <c r="AY110" s="306"/>
      <c r="AZ110" s="299"/>
      <c r="BA110" s="174"/>
      <c r="BB110" s="174"/>
      <c r="BC110" s="174"/>
    </row>
    <row r="111" spans="1:55" ht="28" customHeight="1">
      <c r="A111" s="308">
        <v>107</v>
      </c>
      <c r="B111" s="287">
        <v>45020</v>
      </c>
      <c r="C111" s="222" t="s">
        <v>198</v>
      </c>
      <c r="D111" s="222" t="s">
        <v>199</v>
      </c>
      <c r="E111" s="222" t="s">
        <v>200</v>
      </c>
      <c r="F111" s="349" t="s">
        <v>123</v>
      </c>
      <c r="G111" s="243" t="s">
        <v>457</v>
      </c>
      <c r="H111" s="244" t="s">
        <v>129</v>
      </c>
      <c r="I111" s="243" t="s">
        <v>458</v>
      </c>
      <c r="J111" s="245" t="s">
        <v>459</v>
      </c>
      <c r="K111" s="246" t="s">
        <v>97</v>
      </c>
      <c r="L111" s="246" t="s">
        <v>165</v>
      </c>
      <c r="M111" s="243" t="s">
        <v>147</v>
      </c>
      <c r="N111" s="243" t="s">
        <v>97</v>
      </c>
      <c r="O111" s="243" t="s">
        <v>224</v>
      </c>
      <c r="P111" s="289"/>
      <c r="Q111" s="289" t="s">
        <v>440</v>
      </c>
      <c r="R111" s="154">
        <f>0</f>
        <v>0</v>
      </c>
      <c r="S111" s="155">
        <f>0</f>
        <v>0</v>
      </c>
      <c r="T111" s="155">
        <f>0</f>
        <v>0</v>
      </c>
      <c r="U111" s="158">
        <f>0</f>
        <v>0</v>
      </c>
      <c r="V111" s="158">
        <f>0</f>
        <v>0</v>
      </c>
      <c r="W111" s="155">
        <f>0</f>
        <v>0</v>
      </c>
      <c r="X111" s="155">
        <f>0</f>
        <v>0</v>
      </c>
      <c r="Y111" s="155">
        <f>0</f>
        <v>0</v>
      </c>
      <c r="Z111" s="155">
        <f>0</f>
        <v>0</v>
      </c>
      <c r="AA111" s="155">
        <f>0</f>
        <v>0</v>
      </c>
      <c r="AB111" s="263">
        <v>1</v>
      </c>
      <c r="AC111" s="155">
        <f>0</f>
        <v>0</v>
      </c>
      <c r="AD111" s="155">
        <f>0</f>
        <v>0</v>
      </c>
      <c r="AE111" s="155">
        <f>0</f>
        <v>0</v>
      </c>
      <c r="AF111" s="155">
        <f>0</f>
        <v>0</v>
      </c>
      <c r="AG111" s="155">
        <f>0</f>
        <v>0</v>
      </c>
      <c r="AH111" s="155">
        <f>0</f>
        <v>0</v>
      </c>
      <c r="AI111" s="155">
        <f>0</f>
        <v>0</v>
      </c>
      <c r="AJ111" s="155">
        <f>0</f>
        <v>0</v>
      </c>
      <c r="AK111" s="155">
        <f>0</f>
        <v>0</v>
      </c>
      <c r="AL111" s="219">
        <f t="shared" si="4"/>
        <v>1</v>
      </c>
      <c r="AM111" s="103">
        <f>0</f>
        <v>0</v>
      </c>
      <c r="AN111" s="220">
        <f t="shared" si="5"/>
        <v>1</v>
      </c>
      <c r="AO111" s="348">
        <v>45034</v>
      </c>
      <c r="AP111" s="296" t="s">
        <v>192</v>
      </c>
      <c r="AQ111" s="292" t="s">
        <v>1522</v>
      </c>
      <c r="AR111" s="293" t="s">
        <v>194</v>
      </c>
      <c r="AS111" s="301">
        <v>45078</v>
      </c>
      <c r="AT111" s="302"/>
      <c r="AU111" s="303">
        <v>1</v>
      </c>
      <c r="AV111" s="304">
        <f t="shared" si="7"/>
        <v>0</v>
      </c>
      <c r="AW111" s="302" t="s">
        <v>195</v>
      </c>
      <c r="AX111" s="305"/>
      <c r="AY111" s="306"/>
      <c r="AZ111" s="299"/>
      <c r="BA111" s="174"/>
      <c r="BB111" s="174"/>
      <c r="BC111" s="174"/>
    </row>
    <row r="112" spans="1:55" ht="28" customHeight="1">
      <c r="A112" s="308">
        <v>108</v>
      </c>
      <c r="B112" s="287">
        <v>45020</v>
      </c>
      <c r="C112" s="222" t="s">
        <v>198</v>
      </c>
      <c r="D112" s="222" t="s">
        <v>199</v>
      </c>
      <c r="E112" s="222" t="s">
        <v>200</v>
      </c>
      <c r="F112" s="349" t="s">
        <v>123</v>
      </c>
      <c r="G112" s="243" t="s">
        <v>460</v>
      </c>
      <c r="H112" s="244" t="s">
        <v>129</v>
      </c>
      <c r="I112" s="243" t="s">
        <v>461</v>
      </c>
      <c r="J112" s="245" t="s">
        <v>462</v>
      </c>
      <c r="K112" s="246" t="s">
        <v>97</v>
      </c>
      <c r="L112" s="246" t="s">
        <v>234</v>
      </c>
      <c r="M112" s="243" t="s">
        <v>156</v>
      </c>
      <c r="N112" s="243" t="s">
        <v>97</v>
      </c>
      <c r="O112" s="243" t="s">
        <v>97</v>
      </c>
      <c r="P112" s="289"/>
      <c r="Q112" s="289" t="s">
        <v>440</v>
      </c>
      <c r="R112" s="154">
        <f>0</f>
        <v>0</v>
      </c>
      <c r="S112" s="155">
        <f>0</f>
        <v>0</v>
      </c>
      <c r="T112" s="155">
        <f>0</f>
        <v>0</v>
      </c>
      <c r="U112" s="158">
        <f>0</f>
        <v>0</v>
      </c>
      <c r="V112" s="158">
        <f>0</f>
        <v>0</v>
      </c>
      <c r="W112" s="155">
        <f>0</f>
        <v>0</v>
      </c>
      <c r="X112" s="155">
        <f>0</f>
        <v>0</v>
      </c>
      <c r="Y112" s="155">
        <f>0</f>
        <v>0</v>
      </c>
      <c r="Z112" s="155">
        <f>0</f>
        <v>0</v>
      </c>
      <c r="AA112" s="155">
        <f>0</f>
        <v>0</v>
      </c>
      <c r="AB112" s="263">
        <v>1</v>
      </c>
      <c r="AC112" s="155">
        <f>0</f>
        <v>0</v>
      </c>
      <c r="AD112" s="155">
        <f>0</f>
        <v>0</v>
      </c>
      <c r="AE112" s="155">
        <f>0</f>
        <v>0</v>
      </c>
      <c r="AF112" s="155">
        <f>0</f>
        <v>0</v>
      </c>
      <c r="AG112" s="155">
        <f>0</f>
        <v>0</v>
      </c>
      <c r="AH112" s="155">
        <f>0</f>
        <v>0</v>
      </c>
      <c r="AI112" s="155">
        <f>0</f>
        <v>0</v>
      </c>
      <c r="AJ112" s="155">
        <f>0</f>
        <v>0</v>
      </c>
      <c r="AK112" s="155">
        <f>0</f>
        <v>0</v>
      </c>
      <c r="AL112" s="219">
        <f t="shared" si="4"/>
        <v>1</v>
      </c>
      <c r="AM112" s="103">
        <f>0</f>
        <v>0</v>
      </c>
      <c r="AN112" s="220">
        <f t="shared" si="5"/>
        <v>1</v>
      </c>
      <c r="AO112" s="290">
        <v>45034</v>
      </c>
      <c r="AP112" s="291" t="s">
        <v>192</v>
      </c>
      <c r="AQ112" s="292" t="s">
        <v>1520</v>
      </c>
      <c r="AR112" s="293" t="s">
        <v>197</v>
      </c>
      <c r="AS112" s="307"/>
      <c r="AT112" s="302"/>
      <c r="AU112" s="303">
        <v>1</v>
      </c>
      <c r="AV112" s="304">
        <f t="shared" si="7"/>
        <v>0</v>
      </c>
      <c r="AW112" s="302" t="s">
        <v>195</v>
      </c>
      <c r="AX112" s="305"/>
      <c r="AY112" s="306"/>
      <c r="AZ112" s="299"/>
      <c r="BA112" s="174"/>
      <c r="BB112" s="174"/>
      <c r="BC112" s="174"/>
    </row>
    <row r="113" spans="1:55" ht="28" customHeight="1">
      <c r="A113" s="308">
        <v>109</v>
      </c>
      <c r="B113" s="287">
        <v>45020</v>
      </c>
      <c r="C113" s="222" t="s">
        <v>198</v>
      </c>
      <c r="D113" s="222" t="s">
        <v>199</v>
      </c>
      <c r="E113" s="222" t="s">
        <v>200</v>
      </c>
      <c r="F113" s="349" t="s">
        <v>123</v>
      </c>
      <c r="G113" s="309" t="s">
        <v>463</v>
      </c>
      <c r="H113" s="310" t="s">
        <v>129</v>
      </c>
      <c r="I113" s="311" t="s">
        <v>464</v>
      </c>
      <c r="J113" s="312" t="s">
        <v>465</v>
      </c>
      <c r="K113" s="273" t="s">
        <v>97</v>
      </c>
      <c r="L113" s="273" t="s">
        <v>159</v>
      </c>
      <c r="M113" s="311" t="s">
        <v>156</v>
      </c>
      <c r="N113" s="311" t="s">
        <v>97</v>
      </c>
      <c r="O113" s="311" t="s">
        <v>204</v>
      </c>
      <c r="P113" s="311"/>
      <c r="Q113" s="313" t="s">
        <v>466</v>
      </c>
      <c r="R113" s="270">
        <v>1</v>
      </c>
      <c r="S113" s="155">
        <f>0</f>
        <v>0</v>
      </c>
      <c r="T113" s="155">
        <f>0</f>
        <v>0</v>
      </c>
      <c r="U113" s="158">
        <f>0</f>
        <v>0</v>
      </c>
      <c r="V113" s="158">
        <f>0</f>
        <v>0</v>
      </c>
      <c r="W113" s="155">
        <f>0</f>
        <v>0</v>
      </c>
      <c r="X113" s="155">
        <f>0</f>
        <v>0</v>
      </c>
      <c r="Y113" s="155">
        <f>0</f>
        <v>0</v>
      </c>
      <c r="Z113" s="155">
        <f>0</f>
        <v>0</v>
      </c>
      <c r="AA113" s="155">
        <f>0</f>
        <v>0</v>
      </c>
      <c r="AB113" s="155">
        <f>0</f>
        <v>0</v>
      </c>
      <c r="AC113" s="155">
        <f>0</f>
        <v>0</v>
      </c>
      <c r="AD113" s="155">
        <f>0</f>
        <v>0</v>
      </c>
      <c r="AE113" s="155">
        <f>0</f>
        <v>0</v>
      </c>
      <c r="AF113" s="155">
        <f>0</f>
        <v>0</v>
      </c>
      <c r="AG113" s="155">
        <f>0</f>
        <v>0</v>
      </c>
      <c r="AH113" s="155">
        <f>0</f>
        <v>0</v>
      </c>
      <c r="AI113" s="155">
        <f>0</f>
        <v>0</v>
      </c>
      <c r="AJ113" s="155">
        <f>0</f>
        <v>0</v>
      </c>
      <c r="AK113" s="155">
        <f>0</f>
        <v>0</v>
      </c>
      <c r="AL113" s="219">
        <f t="shared" si="4"/>
        <v>1</v>
      </c>
      <c r="AM113" s="103">
        <f>0</f>
        <v>0</v>
      </c>
      <c r="AN113" s="220">
        <f t="shared" si="5"/>
        <v>1</v>
      </c>
      <c r="AO113" s="290">
        <v>45034</v>
      </c>
      <c r="AP113" s="291" t="s">
        <v>192</v>
      </c>
      <c r="AQ113" s="292" t="s">
        <v>1520</v>
      </c>
      <c r="AR113" s="293" t="s">
        <v>197</v>
      </c>
      <c r="AS113" s="307"/>
      <c r="AT113" s="302"/>
      <c r="AU113" s="303">
        <v>1</v>
      </c>
      <c r="AV113" s="304">
        <f t="shared" si="7"/>
        <v>0</v>
      </c>
      <c r="AW113" s="302" t="s">
        <v>195</v>
      </c>
      <c r="AX113" s="305"/>
      <c r="AY113" s="306"/>
      <c r="AZ113" s="299"/>
      <c r="BA113" s="174"/>
      <c r="BB113" s="174"/>
      <c r="BC113" s="174"/>
    </row>
    <row r="114" spans="1:55" ht="28" customHeight="1">
      <c r="A114" s="308">
        <v>110</v>
      </c>
      <c r="B114" s="287">
        <v>45020</v>
      </c>
      <c r="C114" s="365"/>
      <c r="D114" s="365"/>
      <c r="E114" s="365"/>
      <c r="F114" s="371" t="s">
        <v>123</v>
      </c>
      <c r="G114" s="309" t="s">
        <v>463</v>
      </c>
      <c r="H114" s="310" t="s">
        <v>129</v>
      </c>
      <c r="I114" s="311" t="s">
        <v>464</v>
      </c>
      <c r="J114" s="312" t="s">
        <v>467</v>
      </c>
      <c r="K114" s="273" t="s">
        <v>97</v>
      </c>
      <c r="L114" s="273" t="s">
        <v>159</v>
      </c>
      <c r="M114" s="311" t="s">
        <v>156</v>
      </c>
      <c r="N114" s="311" t="s">
        <v>97</v>
      </c>
      <c r="O114" s="311" t="s">
        <v>204</v>
      </c>
      <c r="P114" s="311"/>
      <c r="Q114" s="313" t="s">
        <v>466</v>
      </c>
      <c r="R114" s="270">
        <v>1</v>
      </c>
      <c r="S114" s="155">
        <f>0</f>
        <v>0</v>
      </c>
      <c r="T114" s="155">
        <f>0</f>
        <v>0</v>
      </c>
      <c r="U114" s="158">
        <f>0</f>
        <v>0</v>
      </c>
      <c r="V114" s="158">
        <f>0</f>
        <v>0</v>
      </c>
      <c r="W114" s="155">
        <f>0</f>
        <v>0</v>
      </c>
      <c r="X114" s="155">
        <f>0</f>
        <v>0</v>
      </c>
      <c r="Y114" s="155">
        <f>0</f>
        <v>0</v>
      </c>
      <c r="Z114" s="155">
        <f>0</f>
        <v>0</v>
      </c>
      <c r="AA114" s="155">
        <f>0</f>
        <v>0</v>
      </c>
      <c r="AB114" s="155">
        <f>0</f>
        <v>0</v>
      </c>
      <c r="AC114" s="155">
        <f>0</f>
        <v>0</v>
      </c>
      <c r="AD114" s="155">
        <f>0</f>
        <v>0</v>
      </c>
      <c r="AE114" s="155">
        <f>0</f>
        <v>0</v>
      </c>
      <c r="AF114" s="155">
        <f>0</f>
        <v>0</v>
      </c>
      <c r="AG114" s="155">
        <f>0</f>
        <v>0</v>
      </c>
      <c r="AH114" s="155">
        <f>0</f>
        <v>0</v>
      </c>
      <c r="AI114" s="155">
        <f>0</f>
        <v>0</v>
      </c>
      <c r="AJ114" s="155">
        <f>0</f>
        <v>0</v>
      </c>
      <c r="AK114" s="155">
        <f>0</f>
        <v>0</v>
      </c>
      <c r="AL114" s="219">
        <f t="shared" si="4"/>
        <v>1</v>
      </c>
      <c r="AM114" s="103">
        <f>0</f>
        <v>0</v>
      </c>
      <c r="AN114" s="220">
        <f t="shared" si="5"/>
        <v>1</v>
      </c>
      <c r="AO114" s="290">
        <v>45034</v>
      </c>
      <c r="AP114" s="291" t="s">
        <v>192</v>
      </c>
      <c r="AQ114" s="292" t="s">
        <v>1520</v>
      </c>
      <c r="AR114" s="293" t="s">
        <v>197</v>
      </c>
      <c r="AS114" s="307"/>
      <c r="AT114" s="302"/>
      <c r="AU114" s="303">
        <v>1</v>
      </c>
      <c r="AV114" s="304">
        <f t="shared" si="7"/>
        <v>0</v>
      </c>
      <c r="AW114" s="302" t="s">
        <v>195</v>
      </c>
      <c r="AX114" s="305"/>
      <c r="AY114" s="306"/>
      <c r="AZ114" s="299"/>
      <c r="BA114" s="174"/>
      <c r="BB114" s="174"/>
      <c r="BC114" s="174"/>
    </row>
    <row r="115" spans="1:55" ht="28" customHeight="1">
      <c r="A115" s="308">
        <v>111</v>
      </c>
      <c r="B115" s="287">
        <v>45020</v>
      </c>
      <c r="C115" s="222" t="s">
        <v>198</v>
      </c>
      <c r="D115" s="222" t="s">
        <v>199</v>
      </c>
      <c r="E115" s="222" t="s">
        <v>200</v>
      </c>
      <c r="F115" s="349" t="s">
        <v>123</v>
      </c>
      <c r="G115" s="309" t="s">
        <v>468</v>
      </c>
      <c r="H115" s="310" t="s">
        <v>129</v>
      </c>
      <c r="I115" s="311" t="s">
        <v>469</v>
      </c>
      <c r="J115" s="312" t="s">
        <v>470</v>
      </c>
      <c r="K115" s="273" t="s">
        <v>97</v>
      </c>
      <c r="L115" s="273" t="s">
        <v>146</v>
      </c>
      <c r="M115" s="311" t="s">
        <v>147</v>
      </c>
      <c r="N115" s="311" t="s">
        <v>97</v>
      </c>
      <c r="O115" s="311" t="s">
        <v>148</v>
      </c>
      <c r="P115" s="311"/>
      <c r="Q115" s="313" t="s">
        <v>466</v>
      </c>
      <c r="R115" s="270">
        <v>1</v>
      </c>
      <c r="S115" s="155">
        <f>0</f>
        <v>0</v>
      </c>
      <c r="T115" s="155">
        <f>0</f>
        <v>0</v>
      </c>
      <c r="U115" s="158">
        <f>0</f>
        <v>0</v>
      </c>
      <c r="V115" s="158">
        <f>0</f>
        <v>0</v>
      </c>
      <c r="W115" s="155">
        <f>0</f>
        <v>0</v>
      </c>
      <c r="X115" s="155">
        <f>0</f>
        <v>0</v>
      </c>
      <c r="Y115" s="155">
        <f>0</f>
        <v>0</v>
      </c>
      <c r="Z115" s="155">
        <f>0</f>
        <v>0</v>
      </c>
      <c r="AA115" s="155">
        <f>0</f>
        <v>0</v>
      </c>
      <c r="AB115" s="155">
        <f>0</f>
        <v>0</v>
      </c>
      <c r="AC115" s="155">
        <f>0</f>
        <v>0</v>
      </c>
      <c r="AD115" s="155">
        <f>0</f>
        <v>0</v>
      </c>
      <c r="AE115" s="155">
        <f>0</f>
        <v>0</v>
      </c>
      <c r="AF115" s="155">
        <f>0</f>
        <v>0</v>
      </c>
      <c r="AG115" s="155">
        <f>0</f>
        <v>0</v>
      </c>
      <c r="AH115" s="155">
        <f>0</f>
        <v>0</v>
      </c>
      <c r="AI115" s="155">
        <f>0</f>
        <v>0</v>
      </c>
      <c r="AJ115" s="155">
        <f>0</f>
        <v>0</v>
      </c>
      <c r="AK115" s="155">
        <f>0</f>
        <v>0</v>
      </c>
      <c r="AL115" s="219">
        <f t="shared" si="4"/>
        <v>1</v>
      </c>
      <c r="AM115" s="103">
        <f>0</f>
        <v>0</v>
      </c>
      <c r="AN115" s="220">
        <f t="shared" si="5"/>
        <v>1</v>
      </c>
      <c r="AO115" s="348">
        <v>45034</v>
      </c>
      <c r="AP115" s="296" t="s">
        <v>192</v>
      </c>
      <c r="AQ115" s="292" t="s">
        <v>1522</v>
      </c>
      <c r="AR115" s="293" t="s">
        <v>194</v>
      </c>
      <c r="AS115" s="301">
        <v>45078</v>
      </c>
      <c r="AT115" s="302"/>
      <c r="AU115" s="303">
        <v>1</v>
      </c>
      <c r="AV115" s="304">
        <f t="shared" si="7"/>
        <v>0</v>
      </c>
      <c r="AW115" s="302" t="s">
        <v>195</v>
      </c>
      <c r="AX115" s="305"/>
      <c r="AY115" s="306"/>
      <c r="AZ115" s="299"/>
      <c r="BA115" s="174"/>
      <c r="BB115" s="174"/>
      <c r="BC115" s="174"/>
    </row>
    <row r="116" spans="1:55" ht="28" customHeight="1">
      <c r="A116" s="308">
        <v>112</v>
      </c>
      <c r="B116" s="287">
        <v>45020</v>
      </c>
      <c r="C116" s="222" t="s">
        <v>198</v>
      </c>
      <c r="D116" s="222" t="s">
        <v>199</v>
      </c>
      <c r="E116" s="222" t="s">
        <v>200</v>
      </c>
      <c r="F116" s="371" t="s">
        <v>123</v>
      </c>
      <c r="G116" s="309" t="s">
        <v>471</v>
      </c>
      <c r="H116" s="310" t="s">
        <v>129</v>
      </c>
      <c r="I116" s="311" t="s">
        <v>469</v>
      </c>
      <c r="J116" s="312" t="s">
        <v>472</v>
      </c>
      <c r="K116" s="273" t="s">
        <v>97</v>
      </c>
      <c r="L116" s="273" t="s">
        <v>146</v>
      </c>
      <c r="M116" s="311" t="s">
        <v>147</v>
      </c>
      <c r="N116" s="311" t="s">
        <v>97</v>
      </c>
      <c r="O116" s="311" t="s">
        <v>148</v>
      </c>
      <c r="P116" s="311"/>
      <c r="Q116" s="313" t="s">
        <v>466</v>
      </c>
      <c r="R116" s="270">
        <v>2</v>
      </c>
      <c r="S116" s="155">
        <f>0</f>
        <v>0</v>
      </c>
      <c r="T116" s="155">
        <f>0</f>
        <v>0</v>
      </c>
      <c r="U116" s="158">
        <f>0</f>
        <v>0</v>
      </c>
      <c r="V116" s="158">
        <f>0</f>
        <v>0</v>
      </c>
      <c r="W116" s="155">
        <f>0</f>
        <v>0</v>
      </c>
      <c r="X116" s="155">
        <f>0</f>
        <v>0</v>
      </c>
      <c r="Y116" s="155">
        <f>0</f>
        <v>0</v>
      </c>
      <c r="Z116" s="155">
        <f>0</f>
        <v>0</v>
      </c>
      <c r="AA116" s="155">
        <f>0</f>
        <v>0</v>
      </c>
      <c r="AB116" s="155">
        <f>0</f>
        <v>0</v>
      </c>
      <c r="AC116" s="155">
        <f>0</f>
        <v>0</v>
      </c>
      <c r="AD116" s="155">
        <f>0</f>
        <v>0</v>
      </c>
      <c r="AE116" s="155">
        <f>0</f>
        <v>0</v>
      </c>
      <c r="AF116" s="155">
        <f>0</f>
        <v>0</v>
      </c>
      <c r="AG116" s="155">
        <f>0</f>
        <v>0</v>
      </c>
      <c r="AH116" s="155">
        <f>0</f>
        <v>0</v>
      </c>
      <c r="AI116" s="155">
        <f>0</f>
        <v>0</v>
      </c>
      <c r="AJ116" s="155">
        <f>0</f>
        <v>0</v>
      </c>
      <c r="AK116" s="155">
        <f>0</f>
        <v>0</v>
      </c>
      <c r="AL116" s="219">
        <f t="shared" si="4"/>
        <v>2</v>
      </c>
      <c r="AM116" s="103">
        <f>0</f>
        <v>0</v>
      </c>
      <c r="AN116" s="220">
        <f t="shared" si="5"/>
        <v>2</v>
      </c>
      <c r="AO116" s="348">
        <v>45034</v>
      </c>
      <c r="AP116" s="296" t="s">
        <v>192</v>
      </c>
      <c r="AQ116" s="292" t="s">
        <v>1522</v>
      </c>
      <c r="AR116" s="293" t="s">
        <v>194</v>
      </c>
      <c r="AS116" s="301">
        <v>45078</v>
      </c>
      <c r="AT116" s="302"/>
      <c r="AU116" s="303">
        <v>2</v>
      </c>
      <c r="AV116" s="304">
        <f t="shared" si="7"/>
        <v>0</v>
      </c>
      <c r="AW116" s="302" t="s">
        <v>195</v>
      </c>
      <c r="AX116" s="305"/>
      <c r="AY116" s="306"/>
      <c r="AZ116" s="299"/>
      <c r="BA116" s="174"/>
      <c r="BB116" s="174"/>
      <c r="BC116" s="174"/>
    </row>
    <row r="117" spans="1:55" ht="28" customHeight="1">
      <c r="A117" s="308">
        <v>113</v>
      </c>
      <c r="B117" s="287">
        <v>45020</v>
      </c>
      <c r="C117" s="222" t="s">
        <v>198</v>
      </c>
      <c r="D117" s="222" t="s">
        <v>199</v>
      </c>
      <c r="E117" s="222" t="s">
        <v>200</v>
      </c>
      <c r="F117" s="349" t="s">
        <v>123</v>
      </c>
      <c r="G117" s="309" t="s">
        <v>473</v>
      </c>
      <c r="H117" s="310" t="s">
        <v>129</v>
      </c>
      <c r="I117" s="311" t="s">
        <v>474</v>
      </c>
      <c r="J117" s="312" t="s">
        <v>475</v>
      </c>
      <c r="K117" s="273" t="s">
        <v>97</v>
      </c>
      <c r="L117" s="273" t="s">
        <v>146</v>
      </c>
      <c r="M117" s="311" t="s">
        <v>147</v>
      </c>
      <c r="N117" s="311" t="s">
        <v>97</v>
      </c>
      <c r="O117" s="311" t="s">
        <v>148</v>
      </c>
      <c r="P117" s="311"/>
      <c r="Q117" s="313" t="s">
        <v>466</v>
      </c>
      <c r="R117" s="270">
        <v>1</v>
      </c>
      <c r="S117" s="155">
        <f>0</f>
        <v>0</v>
      </c>
      <c r="T117" s="155">
        <f>0</f>
        <v>0</v>
      </c>
      <c r="U117" s="158">
        <f>0</f>
        <v>0</v>
      </c>
      <c r="V117" s="158">
        <f>0</f>
        <v>0</v>
      </c>
      <c r="W117" s="155">
        <f>0</f>
        <v>0</v>
      </c>
      <c r="X117" s="155">
        <f>0</f>
        <v>0</v>
      </c>
      <c r="Y117" s="155">
        <f>0</f>
        <v>0</v>
      </c>
      <c r="Z117" s="155">
        <f>0</f>
        <v>0</v>
      </c>
      <c r="AA117" s="155">
        <f>0</f>
        <v>0</v>
      </c>
      <c r="AB117" s="155">
        <f>0</f>
        <v>0</v>
      </c>
      <c r="AC117" s="155">
        <f>0</f>
        <v>0</v>
      </c>
      <c r="AD117" s="155">
        <f>0</f>
        <v>0</v>
      </c>
      <c r="AE117" s="155">
        <f>0</f>
        <v>0</v>
      </c>
      <c r="AF117" s="155">
        <f>0</f>
        <v>0</v>
      </c>
      <c r="AG117" s="155">
        <f>0</f>
        <v>0</v>
      </c>
      <c r="AH117" s="155">
        <f>0</f>
        <v>0</v>
      </c>
      <c r="AI117" s="155">
        <f>0</f>
        <v>0</v>
      </c>
      <c r="AJ117" s="155">
        <f>0</f>
        <v>0</v>
      </c>
      <c r="AK117" s="155">
        <f>0</f>
        <v>0</v>
      </c>
      <c r="AL117" s="219">
        <f t="shared" si="4"/>
        <v>1</v>
      </c>
      <c r="AM117" s="103">
        <f>0</f>
        <v>0</v>
      </c>
      <c r="AN117" s="220">
        <f t="shared" si="5"/>
        <v>1</v>
      </c>
      <c r="AO117" s="348">
        <v>45034</v>
      </c>
      <c r="AP117" s="296" t="s">
        <v>192</v>
      </c>
      <c r="AQ117" s="292" t="s">
        <v>1522</v>
      </c>
      <c r="AR117" s="293" t="s">
        <v>194</v>
      </c>
      <c r="AS117" s="301">
        <v>45078</v>
      </c>
      <c r="AT117" s="302"/>
      <c r="AU117" s="303">
        <v>1</v>
      </c>
      <c r="AV117" s="304">
        <f t="shared" si="7"/>
        <v>0</v>
      </c>
      <c r="AW117" s="302" t="s">
        <v>195</v>
      </c>
      <c r="AX117" s="305"/>
      <c r="AY117" s="306"/>
      <c r="AZ117" s="299"/>
      <c r="BA117" s="174"/>
      <c r="BB117" s="174"/>
      <c r="BC117" s="174"/>
    </row>
    <row r="118" spans="1:55" ht="28" customHeight="1">
      <c r="A118" s="308">
        <v>114</v>
      </c>
      <c r="B118" s="287">
        <v>45020</v>
      </c>
      <c r="C118" s="222" t="s">
        <v>198</v>
      </c>
      <c r="D118" s="222" t="s">
        <v>199</v>
      </c>
      <c r="E118" s="222" t="s">
        <v>200</v>
      </c>
      <c r="F118" s="349" t="s">
        <v>123</v>
      </c>
      <c r="G118" s="309" t="s">
        <v>476</v>
      </c>
      <c r="H118" s="310" t="s">
        <v>477</v>
      </c>
      <c r="I118" s="311" t="s">
        <v>478</v>
      </c>
      <c r="J118" s="312" t="s">
        <v>479</v>
      </c>
      <c r="K118" s="273"/>
      <c r="L118" s="273" t="s">
        <v>159</v>
      </c>
      <c r="M118" s="311" t="s">
        <v>156</v>
      </c>
      <c r="N118" s="311"/>
      <c r="O118" s="311" t="s">
        <v>204</v>
      </c>
      <c r="P118" s="311"/>
      <c r="Q118" s="313" t="s">
        <v>466</v>
      </c>
      <c r="R118" s="270">
        <v>5</v>
      </c>
      <c r="S118" s="155">
        <f>0</f>
        <v>0</v>
      </c>
      <c r="T118" s="155">
        <f>0</f>
        <v>0</v>
      </c>
      <c r="U118" s="158">
        <f>0</f>
        <v>0</v>
      </c>
      <c r="V118" s="158">
        <f>0</f>
        <v>0</v>
      </c>
      <c r="W118" s="155">
        <f>0</f>
        <v>0</v>
      </c>
      <c r="X118" s="155">
        <f>0</f>
        <v>0</v>
      </c>
      <c r="Y118" s="155">
        <f>0</f>
        <v>0</v>
      </c>
      <c r="Z118" s="155">
        <f>0</f>
        <v>0</v>
      </c>
      <c r="AA118" s="155">
        <f>0</f>
        <v>0</v>
      </c>
      <c r="AB118" s="155">
        <f>0</f>
        <v>0</v>
      </c>
      <c r="AC118" s="155">
        <f>0</f>
        <v>0</v>
      </c>
      <c r="AD118" s="155">
        <f>0</f>
        <v>0</v>
      </c>
      <c r="AE118" s="155">
        <f>0</f>
        <v>0</v>
      </c>
      <c r="AF118" s="155">
        <f>0</f>
        <v>0</v>
      </c>
      <c r="AG118" s="155">
        <f>0</f>
        <v>0</v>
      </c>
      <c r="AH118" s="155">
        <f>0</f>
        <v>0</v>
      </c>
      <c r="AI118" s="155">
        <f>0</f>
        <v>0</v>
      </c>
      <c r="AJ118" s="155">
        <f>0</f>
        <v>0</v>
      </c>
      <c r="AK118" s="155">
        <f>0</f>
        <v>0</v>
      </c>
      <c r="AL118" s="219">
        <f t="shared" si="4"/>
        <v>5</v>
      </c>
      <c r="AM118" s="103">
        <f>0</f>
        <v>0</v>
      </c>
      <c r="AN118" s="220">
        <f t="shared" si="5"/>
        <v>5</v>
      </c>
      <c r="AO118" s="290">
        <v>45034</v>
      </c>
      <c r="AP118" s="291" t="s">
        <v>192</v>
      </c>
      <c r="AQ118" s="292" t="s">
        <v>1520</v>
      </c>
      <c r="AR118" s="293" t="s">
        <v>197</v>
      </c>
      <c r="AS118" s="307"/>
      <c r="AT118" s="302"/>
      <c r="AU118" s="303">
        <v>5</v>
      </c>
      <c r="AV118" s="304">
        <f t="shared" si="7"/>
        <v>0</v>
      </c>
      <c r="AW118" s="302" t="s">
        <v>195</v>
      </c>
      <c r="AX118" s="305"/>
      <c r="AY118" s="306"/>
      <c r="AZ118" s="299"/>
      <c r="BA118" s="174"/>
      <c r="BB118" s="174"/>
      <c r="BC118" s="174"/>
    </row>
    <row r="119" spans="1:55" ht="28" customHeight="1">
      <c r="A119" s="308">
        <v>115</v>
      </c>
      <c r="B119" s="287">
        <v>45020</v>
      </c>
      <c r="C119" s="222" t="s">
        <v>198</v>
      </c>
      <c r="D119" s="222" t="s">
        <v>199</v>
      </c>
      <c r="E119" s="222" t="s">
        <v>200</v>
      </c>
      <c r="F119" s="371" t="s">
        <v>123</v>
      </c>
      <c r="G119" s="309" t="s">
        <v>480</v>
      </c>
      <c r="H119" s="310" t="s">
        <v>129</v>
      </c>
      <c r="I119" s="311" t="s">
        <v>481</v>
      </c>
      <c r="J119" s="312" t="s">
        <v>482</v>
      </c>
      <c r="K119" s="273"/>
      <c r="L119" s="273" t="s">
        <v>159</v>
      </c>
      <c r="M119" s="311" t="s">
        <v>156</v>
      </c>
      <c r="N119" s="311"/>
      <c r="O119" s="311" t="s">
        <v>204</v>
      </c>
      <c r="P119" s="311"/>
      <c r="Q119" s="313" t="s">
        <v>466</v>
      </c>
      <c r="R119" s="270">
        <v>1</v>
      </c>
      <c r="S119" s="155">
        <f>0</f>
        <v>0</v>
      </c>
      <c r="T119" s="155">
        <f>0</f>
        <v>0</v>
      </c>
      <c r="U119" s="158">
        <f>0</f>
        <v>0</v>
      </c>
      <c r="V119" s="158">
        <f>0</f>
        <v>0</v>
      </c>
      <c r="W119" s="155">
        <f>0</f>
        <v>0</v>
      </c>
      <c r="X119" s="155">
        <f>0</f>
        <v>0</v>
      </c>
      <c r="Y119" s="155">
        <f>0</f>
        <v>0</v>
      </c>
      <c r="Z119" s="155">
        <f>0</f>
        <v>0</v>
      </c>
      <c r="AA119" s="155">
        <f>0</f>
        <v>0</v>
      </c>
      <c r="AB119" s="155">
        <f>0</f>
        <v>0</v>
      </c>
      <c r="AC119" s="155">
        <f>0</f>
        <v>0</v>
      </c>
      <c r="AD119" s="155">
        <f>0</f>
        <v>0</v>
      </c>
      <c r="AE119" s="155">
        <f>0</f>
        <v>0</v>
      </c>
      <c r="AF119" s="155">
        <f>0</f>
        <v>0</v>
      </c>
      <c r="AG119" s="155">
        <f>0</f>
        <v>0</v>
      </c>
      <c r="AH119" s="155">
        <f>0</f>
        <v>0</v>
      </c>
      <c r="AI119" s="155">
        <f>0</f>
        <v>0</v>
      </c>
      <c r="AJ119" s="155">
        <f>0</f>
        <v>0</v>
      </c>
      <c r="AK119" s="155">
        <f>0</f>
        <v>0</v>
      </c>
      <c r="AL119" s="219">
        <f t="shared" si="4"/>
        <v>1</v>
      </c>
      <c r="AM119" s="103">
        <f>0</f>
        <v>0</v>
      </c>
      <c r="AN119" s="220">
        <f t="shared" si="5"/>
        <v>1</v>
      </c>
      <c r="AO119" s="290">
        <v>45034</v>
      </c>
      <c r="AP119" s="291" t="s">
        <v>192</v>
      </c>
      <c r="AQ119" s="292" t="s">
        <v>1520</v>
      </c>
      <c r="AR119" s="293" t="s">
        <v>197</v>
      </c>
      <c r="AS119" s="307"/>
      <c r="AT119" s="302"/>
      <c r="AU119" s="303">
        <v>1</v>
      </c>
      <c r="AV119" s="304">
        <f t="shared" si="7"/>
        <v>0</v>
      </c>
      <c r="AW119" s="302" t="s">
        <v>195</v>
      </c>
      <c r="AX119" s="305"/>
      <c r="AY119" s="306"/>
      <c r="AZ119" s="299"/>
      <c r="BA119" s="174"/>
      <c r="BB119" s="174"/>
      <c r="BC119" s="174"/>
    </row>
    <row r="120" spans="1:55" ht="28" customHeight="1">
      <c r="A120" s="308">
        <v>116</v>
      </c>
      <c r="B120" s="287">
        <v>45020</v>
      </c>
      <c r="C120" s="222" t="s">
        <v>198</v>
      </c>
      <c r="D120" s="222" t="s">
        <v>199</v>
      </c>
      <c r="E120" s="222" t="s">
        <v>200</v>
      </c>
      <c r="F120" s="349" t="s">
        <v>123</v>
      </c>
      <c r="G120" s="309" t="s">
        <v>483</v>
      </c>
      <c r="H120" s="310" t="s">
        <v>129</v>
      </c>
      <c r="I120" s="311" t="s">
        <v>484</v>
      </c>
      <c r="J120" s="312" t="s">
        <v>485</v>
      </c>
      <c r="K120" s="273"/>
      <c r="L120" s="273" t="s">
        <v>159</v>
      </c>
      <c r="M120" s="311" t="s">
        <v>156</v>
      </c>
      <c r="N120" s="311"/>
      <c r="O120" s="311" t="s">
        <v>204</v>
      </c>
      <c r="P120" s="311"/>
      <c r="Q120" s="313" t="s">
        <v>466</v>
      </c>
      <c r="R120" s="270">
        <v>1</v>
      </c>
      <c r="S120" s="155">
        <f>0</f>
        <v>0</v>
      </c>
      <c r="T120" s="155">
        <f>0</f>
        <v>0</v>
      </c>
      <c r="U120" s="158">
        <f>0</f>
        <v>0</v>
      </c>
      <c r="V120" s="158">
        <f>0</f>
        <v>0</v>
      </c>
      <c r="W120" s="155">
        <f>0</f>
        <v>0</v>
      </c>
      <c r="X120" s="155">
        <f>0</f>
        <v>0</v>
      </c>
      <c r="Y120" s="155">
        <f>0</f>
        <v>0</v>
      </c>
      <c r="Z120" s="155">
        <f>0</f>
        <v>0</v>
      </c>
      <c r="AA120" s="155">
        <f>0</f>
        <v>0</v>
      </c>
      <c r="AB120" s="155">
        <f>0</f>
        <v>0</v>
      </c>
      <c r="AC120" s="155">
        <f>0</f>
        <v>0</v>
      </c>
      <c r="AD120" s="155">
        <f>0</f>
        <v>0</v>
      </c>
      <c r="AE120" s="155">
        <f>0</f>
        <v>0</v>
      </c>
      <c r="AF120" s="155">
        <f>0</f>
        <v>0</v>
      </c>
      <c r="AG120" s="155">
        <f>0</f>
        <v>0</v>
      </c>
      <c r="AH120" s="155">
        <f>0</f>
        <v>0</v>
      </c>
      <c r="AI120" s="155">
        <f>0</f>
        <v>0</v>
      </c>
      <c r="AJ120" s="155">
        <f>0</f>
        <v>0</v>
      </c>
      <c r="AK120" s="155">
        <f>0</f>
        <v>0</v>
      </c>
      <c r="AL120" s="219">
        <f t="shared" si="4"/>
        <v>1</v>
      </c>
      <c r="AM120" s="103">
        <f>0</f>
        <v>0</v>
      </c>
      <c r="AN120" s="220">
        <f t="shared" si="5"/>
        <v>1</v>
      </c>
      <c r="AO120" s="290">
        <v>45034</v>
      </c>
      <c r="AP120" s="291" t="s">
        <v>192</v>
      </c>
      <c r="AQ120" s="292" t="s">
        <v>1520</v>
      </c>
      <c r="AR120" s="293" t="s">
        <v>197</v>
      </c>
      <c r="AS120" s="307"/>
      <c r="AT120" s="302"/>
      <c r="AU120" s="303">
        <v>1</v>
      </c>
      <c r="AV120" s="304">
        <f t="shared" si="7"/>
        <v>0</v>
      </c>
      <c r="AW120" s="302" t="s">
        <v>195</v>
      </c>
      <c r="AX120" s="305"/>
      <c r="AY120" s="306"/>
      <c r="AZ120" s="299"/>
      <c r="BA120" s="174"/>
      <c r="BB120" s="174"/>
      <c r="BC120" s="174"/>
    </row>
    <row r="121" spans="1:55" ht="28" customHeight="1">
      <c r="A121" s="308">
        <v>117</v>
      </c>
      <c r="B121" s="287">
        <v>45020</v>
      </c>
      <c r="C121" s="222" t="s">
        <v>198</v>
      </c>
      <c r="D121" s="222" t="s">
        <v>199</v>
      </c>
      <c r="E121" s="222" t="s">
        <v>200</v>
      </c>
      <c r="F121" s="349" t="s">
        <v>123</v>
      </c>
      <c r="G121" s="309" t="s">
        <v>486</v>
      </c>
      <c r="H121" s="310" t="s">
        <v>129</v>
      </c>
      <c r="I121" s="311" t="s">
        <v>484</v>
      </c>
      <c r="J121" s="312" t="s">
        <v>487</v>
      </c>
      <c r="K121" s="273"/>
      <c r="L121" s="273" t="s">
        <v>159</v>
      </c>
      <c r="M121" s="311" t="s">
        <v>156</v>
      </c>
      <c r="N121" s="311"/>
      <c r="O121" s="311" t="s">
        <v>204</v>
      </c>
      <c r="P121" s="311"/>
      <c r="Q121" s="313" t="s">
        <v>466</v>
      </c>
      <c r="R121" s="270">
        <v>1</v>
      </c>
      <c r="S121" s="155">
        <f>0</f>
        <v>0</v>
      </c>
      <c r="T121" s="155">
        <f>0</f>
        <v>0</v>
      </c>
      <c r="U121" s="158">
        <f>0</f>
        <v>0</v>
      </c>
      <c r="V121" s="158">
        <f>0</f>
        <v>0</v>
      </c>
      <c r="W121" s="155">
        <f>0</f>
        <v>0</v>
      </c>
      <c r="X121" s="155">
        <f>0</f>
        <v>0</v>
      </c>
      <c r="Y121" s="155">
        <f>0</f>
        <v>0</v>
      </c>
      <c r="Z121" s="155">
        <f>0</f>
        <v>0</v>
      </c>
      <c r="AA121" s="155">
        <f>0</f>
        <v>0</v>
      </c>
      <c r="AB121" s="155">
        <f>0</f>
        <v>0</v>
      </c>
      <c r="AC121" s="155">
        <f>0</f>
        <v>0</v>
      </c>
      <c r="AD121" s="155">
        <f>0</f>
        <v>0</v>
      </c>
      <c r="AE121" s="155">
        <f>0</f>
        <v>0</v>
      </c>
      <c r="AF121" s="155">
        <f>0</f>
        <v>0</v>
      </c>
      <c r="AG121" s="155">
        <f>0</f>
        <v>0</v>
      </c>
      <c r="AH121" s="155">
        <f>0</f>
        <v>0</v>
      </c>
      <c r="AI121" s="155">
        <f>0</f>
        <v>0</v>
      </c>
      <c r="AJ121" s="155">
        <f>0</f>
        <v>0</v>
      </c>
      <c r="AK121" s="155">
        <f>0</f>
        <v>0</v>
      </c>
      <c r="AL121" s="219">
        <f t="shared" si="4"/>
        <v>1</v>
      </c>
      <c r="AM121" s="103">
        <f>0</f>
        <v>0</v>
      </c>
      <c r="AN121" s="220">
        <f t="shared" si="5"/>
        <v>1</v>
      </c>
      <c r="AO121" s="290">
        <v>45034</v>
      </c>
      <c r="AP121" s="291" t="s">
        <v>192</v>
      </c>
      <c r="AQ121" s="292" t="s">
        <v>1520</v>
      </c>
      <c r="AR121" s="293" t="s">
        <v>197</v>
      </c>
      <c r="AS121" s="307"/>
      <c r="AT121" s="302"/>
      <c r="AU121" s="303">
        <v>1</v>
      </c>
      <c r="AV121" s="304">
        <f t="shared" si="7"/>
        <v>0</v>
      </c>
      <c r="AW121" s="302" t="s">
        <v>195</v>
      </c>
      <c r="AX121" s="305"/>
      <c r="AY121" s="306"/>
      <c r="AZ121" s="299"/>
      <c r="BA121" s="174"/>
      <c r="BB121" s="174"/>
      <c r="BC121" s="174"/>
    </row>
    <row r="122" spans="1:55" ht="28" customHeight="1">
      <c r="A122" s="308">
        <v>118</v>
      </c>
      <c r="B122" s="287">
        <v>45020</v>
      </c>
      <c r="C122" s="222" t="s">
        <v>198</v>
      </c>
      <c r="D122" s="222" t="s">
        <v>199</v>
      </c>
      <c r="E122" s="222" t="s">
        <v>200</v>
      </c>
      <c r="F122" s="371" t="s">
        <v>123</v>
      </c>
      <c r="G122" s="309" t="s">
        <v>488</v>
      </c>
      <c r="H122" s="310" t="s">
        <v>129</v>
      </c>
      <c r="I122" s="311" t="s">
        <v>489</v>
      </c>
      <c r="J122" s="312" t="s">
        <v>490</v>
      </c>
      <c r="K122" s="273"/>
      <c r="L122" s="273" t="s">
        <v>491</v>
      </c>
      <c r="M122" s="311" t="s">
        <v>279</v>
      </c>
      <c r="N122" s="311"/>
      <c r="O122" s="311" t="s">
        <v>368</v>
      </c>
      <c r="P122" s="311"/>
      <c r="Q122" s="313" t="s">
        <v>466</v>
      </c>
      <c r="R122" s="270">
        <v>1</v>
      </c>
      <c r="S122" s="155">
        <f>0</f>
        <v>0</v>
      </c>
      <c r="T122" s="155">
        <f>0</f>
        <v>0</v>
      </c>
      <c r="U122" s="158">
        <f>0</f>
        <v>0</v>
      </c>
      <c r="V122" s="158">
        <f>0</f>
        <v>0</v>
      </c>
      <c r="W122" s="155">
        <f>0</f>
        <v>0</v>
      </c>
      <c r="X122" s="155">
        <f>0</f>
        <v>0</v>
      </c>
      <c r="Y122" s="155">
        <f>0</f>
        <v>0</v>
      </c>
      <c r="Z122" s="155">
        <f>0</f>
        <v>0</v>
      </c>
      <c r="AA122" s="155">
        <f>0</f>
        <v>0</v>
      </c>
      <c r="AB122" s="155">
        <f>0</f>
        <v>0</v>
      </c>
      <c r="AC122" s="155">
        <f>0</f>
        <v>0</v>
      </c>
      <c r="AD122" s="155">
        <f>0</f>
        <v>0</v>
      </c>
      <c r="AE122" s="155">
        <f>0</f>
        <v>0</v>
      </c>
      <c r="AF122" s="155">
        <f>0</f>
        <v>0</v>
      </c>
      <c r="AG122" s="155">
        <f>0</f>
        <v>0</v>
      </c>
      <c r="AH122" s="155">
        <f>0</f>
        <v>0</v>
      </c>
      <c r="AI122" s="155">
        <f>0</f>
        <v>0</v>
      </c>
      <c r="AJ122" s="155">
        <f>0</f>
        <v>0</v>
      </c>
      <c r="AK122" s="155">
        <f>0</f>
        <v>0</v>
      </c>
      <c r="AL122" s="219">
        <f t="shared" si="4"/>
        <v>1</v>
      </c>
      <c r="AM122" s="103">
        <f>0</f>
        <v>0</v>
      </c>
      <c r="AN122" s="220">
        <f t="shared" si="5"/>
        <v>1</v>
      </c>
      <c r="AO122" s="348">
        <v>45034</v>
      </c>
      <c r="AP122" s="296" t="s">
        <v>192</v>
      </c>
      <c r="AQ122" s="292" t="s">
        <v>1522</v>
      </c>
      <c r="AR122" s="293" t="s">
        <v>194</v>
      </c>
      <c r="AS122" s="301">
        <v>45078</v>
      </c>
      <c r="AT122" s="302"/>
      <c r="AU122" s="303">
        <v>1</v>
      </c>
      <c r="AV122" s="304">
        <f t="shared" si="7"/>
        <v>0</v>
      </c>
      <c r="AW122" s="302" t="s">
        <v>195</v>
      </c>
      <c r="AX122" s="305"/>
      <c r="AY122" s="306"/>
      <c r="AZ122" s="299"/>
      <c r="BA122" s="174"/>
      <c r="BB122" s="174"/>
      <c r="BC122" s="174"/>
    </row>
    <row r="123" spans="1:55" ht="28" customHeight="1">
      <c r="A123" s="308">
        <v>119</v>
      </c>
      <c r="B123" s="287">
        <v>45020</v>
      </c>
      <c r="C123" s="365"/>
      <c r="D123" s="365"/>
      <c r="E123" s="365"/>
      <c r="F123" s="349" t="s">
        <v>123</v>
      </c>
      <c r="G123" s="309" t="s">
        <v>488</v>
      </c>
      <c r="H123" s="310" t="s">
        <v>129</v>
      </c>
      <c r="I123" s="311" t="s">
        <v>489</v>
      </c>
      <c r="J123" s="312" t="s">
        <v>492</v>
      </c>
      <c r="K123" s="273"/>
      <c r="L123" s="273" t="s">
        <v>491</v>
      </c>
      <c r="M123" s="311" t="s">
        <v>279</v>
      </c>
      <c r="N123" s="311"/>
      <c r="O123" s="311" t="s">
        <v>368</v>
      </c>
      <c r="P123" s="311"/>
      <c r="Q123" s="313" t="s">
        <v>466</v>
      </c>
      <c r="R123" s="270">
        <v>1</v>
      </c>
      <c r="S123" s="155">
        <f>0</f>
        <v>0</v>
      </c>
      <c r="T123" s="155">
        <f>0</f>
        <v>0</v>
      </c>
      <c r="U123" s="158">
        <f>0</f>
        <v>0</v>
      </c>
      <c r="V123" s="158">
        <f>0</f>
        <v>0</v>
      </c>
      <c r="W123" s="155">
        <f>0</f>
        <v>0</v>
      </c>
      <c r="X123" s="155">
        <f>0</f>
        <v>0</v>
      </c>
      <c r="Y123" s="155">
        <f>0</f>
        <v>0</v>
      </c>
      <c r="Z123" s="155">
        <f>0</f>
        <v>0</v>
      </c>
      <c r="AA123" s="155">
        <f>0</f>
        <v>0</v>
      </c>
      <c r="AB123" s="155">
        <f>0</f>
        <v>0</v>
      </c>
      <c r="AC123" s="155">
        <f>0</f>
        <v>0</v>
      </c>
      <c r="AD123" s="155">
        <f>0</f>
        <v>0</v>
      </c>
      <c r="AE123" s="155">
        <f>0</f>
        <v>0</v>
      </c>
      <c r="AF123" s="155">
        <f>0</f>
        <v>0</v>
      </c>
      <c r="AG123" s="155">
        <f>0</f>
        <v>0</v>
      </c>
      <c r="AH123" s="155">
        <f>0</f>
        <v>0</v>
      </c>
      <c r="AI123" s="155">
        <f>0</f>
        <v>0</v>
      </c>
      <c r="AJ123" s="155">
        <f>0</f>
        <v>0</v>
      </c>
      <c r="AK123" s="155">
        <f>0</f>
        <v>0</v>
      </c>
      <c r="AL123" s="219">
        <f t="shared" si="4"/>
        <v>1</v>
      </c>
      <c r="AM123" s="103">
        <f>0</f>
        <v>0</v>
      </c>
      <c r="AN123" s="220">
        <f t="shared" si="5"/>
        <v>1</v>
      </c>
      <c r="AO123" s="348">
        <v>45034</v>
      </c>
      <c r="AP123" s="296" t="s">
        <v>192</v>
      </c>
      <c r="AQ123" s="292" t="s">
        <v>1522</v>
      </c>
      <c r="AR123" s="293" t="s">
        <v>194</v>
      </c>
      <c r="AS123" s="301">
        <v>45078</v>
      </c>
      <c r="AT123" s="302"/>
      <c r="AU123" s="303">
        <v>1</v>
      </c>
      <c r="AV123" s="304">
        <f t="shared" si="7"/>
        <v>0</v>
      </c>
      <c r="AW123" s="302" t="s">
        <v>195</v>
      </c>
      <c r="AX123" s="305"/>
      <c r="AY123" s="306"/>
      <c r="AZ123" s="299"/>
      <c r="BA123" s="174"/>
      <c r="BB123" s="174"/>
      <c r="BC123" s="174"/>
    </row>
    <row r="124" spans="1:55" ht="28" customHeight="1">
      <c r="A124" s="308">
        <v>120</v>
      </c>
      <c r="B124" s="287">
        <v>45020</v>
      </c>
      <c r="C124" s="222" t="s">
        <v>198</v>
      </c>
      <c r="D124" s="222" t="s">
        <v>199</v>
      </c>
      <c r="E124" s="222" t="s">
        <v>200</v>
      </c>
      <c r="F124" s="371" t="s">
        <v>123</v>
      </c>
      <c r="G124" s="309" t="s">
        <v>493</v>
      </c>
      <c r="H124" s="310" t="s">
        <v>129</v>
      </c>
      <c r="I124" s="311" t="s">
        <v>494</v>
      </c>
      <c r="J124" s="312" t="s">
        <v>495</v>
      </c>
      <c r="K124" s="273"/>
      <c r="L124" s="273" t="s">
        <v>165</v>
      </c>
      <c r="M124" s="311" t="s">
        <v>279</v>
      </c>
      <c r="N124" s="311"/>
      <c r="O124" s="311" t="s">
        <v>177</v>
      </c>
      <c r="P124" s="311"/>
      <c r="Q124" s="313" t="s">
        <v>466</v>
      </c>
      <c r="R124" s="270">
        <v>1</v>
      </c>
      <c r="S124" s="155">
        <f>0</f>
        <v>0</v>
      </c>
      <c r="T124" s="155">
        <f>0</f>
        <v>0</v>
      </c>
      <c r="U124" s="158">
        <f>0</f>
        <v>0</v>
      </c>
      <c r="V124" s="158">
        <f>0</f>
        <v>0</v>
      </c>
      <c r="W124" s="155">
        <f>0</f>
        <v>0</v>
      </c>
      <c r="X124" s="155">
        <f>0</f>
        <v>0</v>
      </c>
      <c r="Y124" s="155">
        <f>0</f>
        <v>0</v>
      </c>
      <c r="Z124" s="155">
        <f>0</f>
        <v>0</v>
      </c>
      <c r="AA124" s="155">
        <f>0</f>
        <v>0</v>
      </c>
      <c r="AB124" s="155">
        <f>0</f>
        <v>0</v>
      </c>
      <c r="AC124" s="155">
        <f>0</f>
        <v>0</v>
      </c>
      <c r="AD124" s="155">
        <f>0</f>
        <v>0</v>
      </c>
      <c r="AE124" s="155">
        <f>0</f>
        <v>0</v>
      </c>
      <c r="AF124" s="155">
        <f>0</f>
        <v>0</v>
      </c>
      <c r="AG124" s="155">
        <f>0</f>
        <v>0</v>
      </c>
      <c r="AH124" s="155">
        <f>0</f>
        <v>0</v>
      </c>
      <c r="AI124" s="155">
        <f>0</f>
        <v>0</v>
      </c>
      <c r="AJ124" s="155">
        <f>0</f>
        <v>0</v>
      </c>
      <c r="AK124" s="155">
        <f>0</f>
        <v>0</v>
      </c>
      <c r="AL124" s="219">
        <f t="shared" si="4"/>
        <v>1</v>
      </c>
      <c r="AM124" s="103">
        <f>0</f>
        <v>0</v>
      </c>
      <c r="AN124" s="220">
        <f t="shared" si="5"/>
        <v>1</v>
      </c>
      <c r="AO124" s="348">
        <v>45034</v>
      </c>
      <c r="AP124" s="296" t="s">
        <v>192</v>
      </c>
      <c r="AQ124" s="292" t="s">
        <v>1522</v>
      </c>
      <c r="AR124" s="293" t="s">
        <v>194</v>
      </c>
      <c r="AS124" s="301">
        <v>45078</v>
      </c>
      <c r="AT124" s="302"/>
      <c r="AU124" s="303">
        <v>1</v>
      </c>
      <c r="AV124" s="304">
        <f t="shared" si="7"/>
        <v>0</v>
      </c>
      <c r="AW124" s="302" t="s">
        <v>195</v>
      </c>
      <c r="AX124" s="305"/>
      <c r="AY124" s="306"/>
      <c r="AZ124" s="299"/>
      <c r="BA124" s="174"/>
      <c r="BB124" s="174"/>
      <c r="BC124" s="174"/>
    </row>
    <row r="125" spans="1:55" ht="28" customHeight="1">
      <c r="A125" s="308">
        <v>121</v>
      </c>
      <c r="B125" s="287">
        <v>45020</v>
      </c>
      <c r="C125" s="222" t="s">
        <v>198</v>
      </c>
      <c r="D125" s="222" t="s">
        <v>199</v>
      </c>
      <c r="E125" s="222" t="s">
        <v>200</v>
      </c>
      <c r="F125" s="349" t="s">
        <v>123</v>
      </c>
      <c r="G125" s="309" t="s">
        <v>496</v>
      </c>
      <c r="H125" s="310" t="s">
        <v>129</v>
      </c>
      <c r="I125" s="311" t="s">
        <v>246</v>
      </c>
      <c r="J125" s="312" t="s">
        <v>497</v>
      </c>
      <c r="K125" s="273" t="s">
        <v>97</v>
      </c>
      <c r="L125" s="273" t="s">
        <v>159</v>
      </c>
      <c r="M125" s="311" t="s">
        <v>156</v>
      </c>
      <c r="N125" s="311"/>
      <c r="O125" s="311" t="s">
        <v>204</v>
      </c>
      <c r="P125" s="311"/>
      <c r="Q125" s="313" t="s">
        <v>498</v>
      </c>
      <c r="R125" s="270">
        <v>1</v>
      </c>
      <c r="S125" s="155">
        <f>0</f>
        <v>0</v>
      </c>
      <c r="T125" s="155">
        <f>0</f>
        <v>0</v>
      </c>
      <c r="U125" s="158">
        <f>0</f>
        <v>0</v>
      </c>
      <c r="V125" s="158">
        <f>0</f>
        <v>0</v>
      </c>
      <c r="W125" s="155">
        <f>0</f>
        <v>0</v>
      </c>
      <c r="X125" s="155">
        <f>0</f>
        <v>0</v>
      </c>
      <c r="Y125" s="155">
        <f>0</f>
        <v>0</v>
      </c>
      <c r="Z125" s="155">
        <f>0</f>
        <v>0</v>
      </c>
      <c r="AA125" s="155">
        <f>0</f>
        <v>0</v>
      </c>
      <c r="AB125" s="155">
        <f>0</f>
        <v>0</v>
      </c>
      <c r="AC125" s="155">
        <f>0</f>
        <v>0</v>
      </c>
      <c r="AD125" s="155">
        <f>0</f>
        <v>0</v>
      </c>
      <c r="AE125" s="155">
        <f>0</f>
        <v>0</v>
      </c>
      <c r="AF125" s="155">
        <f>0</f>
        <v>0</v>
      </c>
      <c r="AG125" s="155">
        <f>0</f>
        <v>0</v>
      </c>
      <c r="AH125" s="155">
        <f>0</f>
        <v>0</v>
      </c>
      <c r="AI125" s="155">
        <f>0</f>
        <v>0</v>
      </c>
      <c r="AJ125" s="155">
        <f>0</f>
        <v>0</v>
      </c>
      <c r="AK125" s="155">
        <f>0</f>
        <v>0</v>
      </c>
      <c r="AL125" s="219">
        <f t="shared" si="4"/>
        <v>1</v>
      </c>
      <c r="AM125" s="103">
        <f>0</f>
        <v>0</v>
      </c>
      <c r="AN125" s="220">
        <f t="shared" si="5"/>
        <v>1</v>
      </c>
      <c r="AO125" s="290">
        <v>45034</v>
      </c>
      <c r="AP125" s="291" t="s">
        <v>192</v>
      </c>
      <c r="AQ125" s="292" t="s">
        <v>1520</v>
      </c>
      <c r="AR125" s="293" t="s">
        <v>197</v>
      </c>
      <c r="AS125" s="307"/>
      <c r="AT125" s="302"/>
      <c r="AU125" s="303">
        <v>1</v>
      </c>
      <c r="AV125" s="304">
        <f t="shared" si="7"/>
        <v>0</v>
      </c>
      <c r="AW125" s="302" t="s">
        <v>195</v>
      </c>
      <c r="AX125" s="305"/>
      <c r="AY125" s="306"/>
      <c r="AZ125" s="299"/>
      <c r="BA125" s="174"/>
      <c r="BB125" s="174"/>
      <c r="BC125" s="174"/>
    </row>
    <row r="126" spans="1:55" ht="28" customHeight="1">
      <c r="A126" s="308">
        <v>122</v>
      </c>
      <c r="B126" s="287">
        <v>45020</v>
      </c>
      <c r="C126" s="365"/>
      <c r="D126" s="365"/>
      <c r="E126" s="365"/>
      <c r="F126" s="371" t="s">
        <v>123</v>
      </c>
      <c r="G126" s="309" t="s">
        <v>496</v>
      </c>
      <c r="H126" s="310" t="s">
        <v>129</v>
      </c>
      <c r="I126" s="311" t="s">
        <v>246</v>
      </c>
      <c r="J126" s="312" t="s">
        <v>499</v>
      </c>
      <c r="K126" s="273" t="s">
        <v>97</v>
      </c>
      <c r="L126" s="273" t="s">
        <v>159</v>
      </c>
      <c r="M126" s="311" t="s">
        <v>156</v>
      </c>
      <c r="N126" s="311"/>
      <c r="O126" s="311" t="s">
        <v>204</v>
      </c>
      <c r="P126" s="311"/>
      <c r="Q126" s="313" t="s">
        <v>498</v>
      </c>
      <c r="R126" s="270">
        <v>1</v>
      </c>
      <c r="S126" s="155">
        <f>0</f>
        <v>0</v>
      </c>
      <c r="T126" s="155">
        <f>0</f>
        <v>0</v>
      </c>
      <c r="U126" s="158">
        <f>0</f>
        <v>0</v>
      </c>
      <c r="V126" s="158">
        <f>0</f>
        <v>0</v>
      </c>
      <c r="W126" s="155">
        <f>0</f>
        <v>0</v>
      </c>
      <c r="X126" s="155">
        <f>0</f>
        <v>0</v>
      </c>
      <c r="Y126" s="155">
        <f>0</f>
        <v>0</v>
      </c>
      <c r="Z126" s="155">
        <f>0</f>
        <v>0</v>
      </c>
      <c r="AA126" s="155">
        <f>0</f>
        <v>0</v>
      </c>
      <c r="AB126" s="155">
        <f>0</f>
        <v>0</v>
      </c>
      <c r="AC126" s="155">
        <f>0</f>
        <v>0</v>
      </c>
      <c r="AD126" s="155">
        <f>0</f>
        <v>0</v>
      </c>
      <c r="AE126" s="155">
        <f>0</f>
        <v>0</v>
      </c>
      <c r="AF126" s="155">
        <f>0</f>
        <v>0</v>
      </c>
      <c r="AG126" s="155">
        <f>0</f>
        <v>0</v>
      </c>
      <c r="AH126" s="155">
        <f>0</f>
        <v>0</v>
      </c>
      <c r="AI126" s="155">
        <f>0</f>
        <v>0</v>
      </c>
      <c r="AJ126" s="155">
        <f>0</f>
        <v>0</v>
      </c>
      <c r="AK126" s="155">
        <f>0</f>
        <v>0</v>
      </c>
      <c r="AL126" s="219">
        <f t="shared" si="4"/>
        <v>1</v>
      </c>
      <c r="AM126" s="103">
        <f>0</f>
        <v>0</v>
      </c>
      <c r="AN126" s="220">
        <f t="shared" si="5"/>
        <v>1</v>
      </c>
      <c r="AO126" s="290">
        <v>45034</v>
      </c>
      <c r="AP126" s="291" t="s">
        <v>192</v>
      </c>
      <c r="AQ126" s="292" t="s">
        <v>1520</v>
      </c>
      <c r="AR126" s="293" t="s">
        <v>197</v>
      </c>
      <c r="AS126" s="307"/>
      <c r="AT126" s="302"/>
      <c r="AU126" s="303">
        <v>1</v>
      </c>
      <c r="AV126" s="304">
        <f t="shared" si="7"/>
        <v>0</v>
      </c>
      <c r="AW126" s="302" t="s">
        <v>195</v>
      </c>
      <c r="AX126" s="305"/>
      <c r="AY126" s="306"/>
      <c r="AZ126" s="299"/>
      <c r="BA126" s="174"/>
      <c r="BB126" s="174"/>
      <c r="BC126" s="174"/>
    </row>
    <row r="127" spans="1:55" ht="28" customHeight="1">
      <c r="A127" s="308">
        <v>123</v>
      </c>
      <c r="B127" s="287">
        <v>45020</v>
      </c>
      <c r="C127" s="222" t="s">
        <v>198</v>
      </c>
      <c r="D127" s="222" t="s">
        <v>199</v>
      </c>
      <c r="E127" s="222" t="s">
        <v>200</v>
      </c>
      <c r="F127" s="349" t="s">
        <v>123</v>
      </c>
      <c r="G127" s="309" t="s">
        <v>500</v>
      </c>
      <c r="H127" s="310" t="s">
        <v>129</v>
      </c>
      <c r="I127" s="311" t="s">
        <v>250</v>
      </c>
      <c r="J127" s="312" t="s">
        <v>501</v>
      </c>
      <c r="K127" s="273" t="s">
        <v>97</v>
      </c>
      <c r="L127" s="273" t="s">
        <v>159</v>
      </c>
      <c r="M127" s="311" t="s">
        <v>156</v>
      </c>
      <c r="N127" s="311"/>
      <c r="O127" s="311" t="s">
        <v>204</v>
      </c>
      <c r="P127" s="311"/>
      <c r="Q127" s="313" t="s">
        <v>498</v>
      </c>
      <c r="R127" s="270">
        <v>1</v>
      </c>
      <c r="S127" s="155">
        <f>0</f>
        <v>0</v>
      </c>
      <c r="T127" s="155">
        <f>0</f>
        <v>0</v>
      </c>
      <c r="U127" s="158">
        <f>0</f>
        <v>0</v>
      </c>
      <c r="V127" s="158">
        <f>0</f>
        <v>0</v>
      </c>
      <c r="W127" s="155">
        <f>0</f>
        <v>0</v>
      </c>
      <c r="X127" s="155">
        <f>0</f>
        <v>0</v>
      </c>
      <c r="Y127" s="155">
        <f>0</f>
        <v>0</v>
      </c>
      <c r="Z127" s="155">
        <f>0</f>
        <v>0</v>
      </c>
      <c r="AA127" s="155">
        <f>0</f>
        <v>0</v>
      </c>
      <c r="AB127" s="155">
        <f>0</f>
        <v>0</v>
      </c>
      <c r="AC127" s="155">
        <f>0</f>
        <v>0</v>
      </c>
      <c r="AD127" s="155">
        <f>0</f>
        <v>0</v>
      </c>
      <c r="AE127" s="155">
        <f>0</f>
        <v>0</v>
      </c>
      <c r="AF127" s="155">
        <f>0</f>
        <v>0</v>
      </c>
      <c r="AG127" s="155">
        <f>0</f>
        <v>0</v>
      </c>
      <c r="AH127" s="155">
        <f>0</f>
        <v>0</v>
      </c>
      <c r="AI127" s="155">
        <f>0</f>
        <v>0</v>
      </c>
      <c r="AJ127" s="155">
        <f>0</f>
        <v>0</v>
      </c>
      <c r="AK127" s="155">
        <f>0</f>
        <v>0</v>
      </c>
      <c r="AL127" s="219">
        <f t="shared" si="4"/>
        <v>1</v>
      </c>
      <c r="AM127" s="103">
        <f>0</f>
        <v>0</v>
      </c>
      <c r="AN127" s="220">
        <f t="shared" si="5"/>
        <v>1</v>
      </c>
      <c r="AO127" s="290">
        <v>45034</v>
      </c>
      <c r="AP127" s="291" t="s">
        <v>192</v>
      </c>
      <c r="AQ127" s="292" t="s">
        <v>1520</v>
      </c>
      <c r="AR127" s="293" t="s">
        <v>197</v>
      </c>
      <c r="AS127" s="307"/>
      <c r="AT127" s="302"/>
      <c r="AU127" s="303">
        <v>1</v>
      </c>
      <c r="AV127" s="304">
        <f t="shared" si="7"/>
        <v>0</v>
      </c>
      <c r="AW127" s="302" t="s">
        <v>195</v>
      </c>
      <c r="AX127" s="305"/>
      <c r="AY127" s="306"/>
      <c r="AZ127" s="299"/>
      <c r="BA127" s="174"/>
      <c r="BB127" s="174"/>
      <c r="BC127" s="174"/>
    </row>
    <row r="128" spans="1:55" ht="28" customHeight="1">
      <c r="A128" s="308">
        <v>124</v>
      </c>
      <c r="B128" s="287">
        <v>45020</v>
      </c>
      <c r="C128" s="365"/>
      <c r="D128" s="365"/>
      <c r="E128" s="365"/>
      <c r="F128" s="371" t="s">
        <v>123</v>
      </c>
      <c r="G128" s="309" t="s">
        <v>500</v>
      </c>
      <c r="H128" s="310" t="s">
        <v>129</v>
      </c>
      <c r="I128" s="311" t="s">
        <v>250</v>
      </c>
      <c r="J128" s="312" t="s">
        <v>502</v>
      </c>
      <c r="K128" s="273" t="s">
        <v>97</v>
      </c>
      <c r="L128" s="273" t="s">
        <v>159</v>
      </c>
      <c r="M128" s="311" t="s">
        <v>156</v>
      </c>
      <c r="N128" s="311"/>
      <c r="O128" s="311" t="s">
        <v>204</v>
      </c>
      <c r="P128" s="311"/>
      <c r="Q128" s="313" t="s">
        <v>498</v>
      </c>
      <c r="R128" s="270">
        <v>1</v>
      </c>
      <c r="S128" s="155">
        <f>0</f>
        <v>0</v>
      </c>
      <c r="T128" s="155">
        <f>0</f>
        <v>0</v>
      </c>
      <c r="U128" s="158">
        <f>0</f>
        <v>0</v>
      </c>
      <c r="V128" s="158">
        <f>0</f>
        <v>0</v>
      </c>
      <c r="W128" s="155">
        <f>0</f>
        <v>0</v>
      </c>
      <c r="X128" s="155">
        <f>0</f>
        <v>0</v>
      </c>
      <c r="Y128" s="155">
        <f>0</f>
        <v>0</v>
      </c>
      <c r="Z128" s="155">
        <f>0</f>
        <v>0</v>
      </c>
      <c r="AA128" s="155">
        <f>0</f>
        <v>0</v>
      </c>
      <c r="AB128" s="155">
        <f>0</f>
        <v>0</v>
      </c>
      <c r="AC128" s="155">
        <f>0</f>
        <v>0</v>
      </c>
      <c r="AD128" s="155">
        <f>0</f>
        <v>0</v>
      </c>
      <c r="AE128" s="155">
        <f>0</f>
        <v>0</v>
      </c>
      <c r="AF128" s="155">
        <f>0</f>
        <v>0</v>
      </c>
      <c r="AG128" s="155">
        <f>0</f>
        <v>0</v>
      </c>
      <c r="AH128" s="155">
        <f>0</f>
        <v>0</v>
      </c>
      <c r="AI128" s="155">
        <f>0</f>
        <v>0</v>
      </c>
      <c r="AJ128" s="155">
        <f>0</f>
        <v>0</v>
      </c>
      <c r="AK128" s="155">
        <f>0</f>
        <v>0</v>
      </c>
      <c r="AL128" s="219">
        <f t="shared" si="4"/>
        <v>1</v>
      </c>
      <c r="AM128" s="103">
        <f>0</f>
        <v>0</v>
      </c>
      <c r="AN128" s="220">
        <f t="shared" si="5"/>
        <v>1</v>
      </c>
      <c r="AO128" s="290">
        <v>45034</v>
      </c>
      <c r="AP128" s="291" t="s">
        <v>192</v>
      </c>
      <c r="AQ128" s="292" t="s">
        <v>1520</v>
      </c>
      <c r="AR128" s="293" t="s">
        <v>197</v>
      </c>
      <c r="AS128" s="307"/>
      <c r="AT128" s="302"/>
      <c r="AU128" s="303">
        <v>1</v>
      </c>
      <c r="AV128" s="304">
        <f t="shared" si="7"/>
        <v>0</v>
      </c>
      <c r="AW128" s="302" t="s">
        <v>195</v>
      </c>
      <c r="AX128" s="305"/>
      <c r="AY128" s="306"/>
      <c r="AZ128" s="299"/>
      <c r="BA128" s="174"/>
      <c r="BB128" s="174"/>
      <c r="BC128" s="174"/>
    </row>
    <row r="129" spans="1:55" ht="28" customHeight="1">
      <c r="A129" s="308">
        <v>125</v>
      </c>
      <c r="B129" s="287">
        <v>45020</v>
      </c>
      <c r="C129" s="222" t="s">
        <v>198</v>
      </c>
      <c r="D129" s="222" t="s">
        <v>199</v>
      </c>
      <c r="E129" s="222" t="s">
        <v>200</v>
      </c>
      <c r="F129" s="349" t="s">
        <v>123</v>
      </c>
      <c r="G129" s="309" t="s">
        <v>503</v>
      </c>
      <c r="H129" s="310" t="s">
        <v>129</v>
      </c>
      <c r="I129" s="311" t="s">
        <v>434</v>
      </c>
      <c r="J129" s="312" t="s">
        <v>504</v>
      </c>
      <c r="K129" s="273" t="s">
        <v>97</v>
      </c>
      <c r="L129" s="273" t="s">
        <v>159</v>
      </c>
      <c r="M129" s="311" t="s">
        <v>156</v>
      </c>
      <c r="N129" s="311"/>
      <c r="O129" s="311" t="s">
        <v>256</v>
      </c>
      <c r="P129" s="311"/>
      <c r="Q129" s="313" t="s">
        <v>498</v>
      </c>
      <c r="R129" s="270">
        <v>1</v>
      </c>
      <c r="S129" s="155">
        <f>0</f>
        <v>0</v>
      </c>
      <c r="T129" s="155">
        <f>0</f>
        <v>0</v>
      </c>
      <c r="U129" s="158">
        <f>0</f>
        <v>0</v>
      </c>
      <c r="V129" s="158">
        <f>0</f>
        <v>0</v>
      </c>
      <c r="W129" s="155">
        <f>0</f>
        <v>0</v>
      </c>
      <c r="X129" s="155">
        <f>0</f>
        <v>0</v>
      </c>
      <c r="Y129" s="155">
        <f>0</f>
        <v>0</v>
      </c>
      <c r="Z129" s="155">
        <f>0</f>
        <v>0</v>
      </c>
      <c r="AA129" s="155">
        <f>0</f>
        <v>0</v>
      </c>
      <c r="AB129" s="155">
        <f>0</f>
        <v>0</v>
      </c>
      <c r="AC129" s="155">
        <f>0</f>
        <v>0</v>
      </c>
      <c r="AD129" s="155">
        <f>0</f>
        <v>0</v>
      </c>
      <c r="AE129" s="155">
        <f>0</f>
        <v>0</v>
      </c>
      <c r="AF129" s="155">
        <f>0</f>
        <v>0</v>
      </c>
      <c r="AG129" s="155">
        <f>0</f>
        <v>0</v>
      </c>
      <c r="AH129" s="155">
        <f>0</f>
        <v>0</v>
      </c>
      <c r="AI129" s="155">
        <f>0</f>
        <v>0</v>
      </c>
      <c r="AJ129" s="155">
        <f>0</f>
        <v>0</v>
      </c>
      <c r="AK129" s="155">
        <f>0</f>
        <v>0</v>
      </c>
      <c r="AL129" s="219">
        <f t="shared" si="4"/>
        <v>1</v>
      </c>
      <c r="AM129" s="103">
        <f>0</f>
        <v>0</v>
      </c>
      <c r="AN129" s="220">
        <f t="shared" si="5"/>
        <v>1</v>
      </c>
      <c r="AO129" s="290">
        <v>45034</v>
      </c>
      <c r="AP129" s="291" t="s">
        <v>192</v>
      </c>
      <c r="AQ129" s="292" t="s">
        <v>1520</v>
      </c>
      <c r="AR129" s="293" t="s">
        <v>197</v>
      </c>
      <c r="AS129" s="307"/>
      <c r="AT129" s="302"/>
      <c r="AU129" s="303">
        <v>1</v>
      </c>
      <c r="AV129" s="304">
        <f t="shared" si="7"/>
        <v>0</v>
      </c>
      <c r="AW129" s="302" t="s">
        <v>195</v>
      </c>
      <c r="AX129" s="305"/>
      <c r="AY129" s="306"/>
      <c r="AZ129" s="299"/>
      <c r="BA129" s="174"/>
      <c r="BB129" s="174"/>
      <c r="BC129" s="174"/>
    </row>
    <row r="130" spans="1:55" ht="28" customHeight="1">
      <c r="A130" s="45">
        <v>126</v>
      </c>
      <c r="B130" s="264">
        <v>45020</v>
      </c>
      <c r="C130" s="222" t="s">
        <v>198</v>
      </c>
      <c r="D130" s="222" t="s">
        <v>199</v>
      </c>
      <c r="E130" s="222" t="s">
        <v>200</v>
      </c>
      <c r="F130" s="265" t="s">
        <v>123</v>
      </c>
      <c r="G130" s="267" t="s">
        <v>506</v>
      </c>
      <c r="H130" s="268" t="s">
        <v>129</v>
      </c>
      <c r="I130" s="111" t="s">
        <v>507</v>
      </c>
      <c r="J130" s="269" t="s">
        <v>508</v>
      </c>
      <c r="K130" s="112" t="s">
        <v>97</v>
      </c>
      <c r="L130" s="112" t="s">
        <v>367</v>
      </c>
      <c r="M130" s="258" t="s">
        <v>237</v>
      </c>
      <c r="N130" s="111"/>
      <c r="O130" s="111" t="s">
        <v>368</v>
      </c>
      <c r="P130" s="111"/>
      <c r="Q130" s="113" t="s">
        <v>509</v>
      </c>
      <c r="R130" s="270">
        <v>1</v>
      </c>
      <c r="S130" s="155">
        <f>0</f>
        <v>0</v>
      </c>
      <c r="T130" s="155">
        <f>0</f>
        <v>0</v>
      </c>
      <c r="U130" s="158">
        <f>0</f>
        <v>0</v>
      </c>
      <c r="V130" s="158">
        <f>0</f>
        <v>0</v>
      </c>
      <c r="W130" s="155">
        <f>0</f>
        <v>0</v>
      </c>
      <c r="X130" s="155">
        <f>0</f>
        <v>0</v>
      </c>
      <c r="Y130" s="155">
        <f>0</f>
        <v>0</v>
      </c>
      <c r="Z130" s="155">
        <f>0</f>
        <v>0</v>
      </c>
      <c r="AA130" s="155">
        <f>0</f>
        <v>0</v>
      </c>
      <c r="AB130" s="155">
        <f>0</f>
        <v>0</v>
      </c>
      <c r="AC130" s="155">
        <f>0</f>
        <v>0</v>
      </c>
      <c r="AD130" s="155">
        <f>0</f>
        <v>0</v>
      </c>
      <c r="AE130" s="155">
        <f>0</f>
        <v>0</v>
      </c>
      <c r="AF130" s="155">
        <f>0</f>
        <v>0</v>
      </c>
      <c r="AG130" s="155">
        <f>0</f>
        <v>0</v>
      </c>
      <c r="AH130" s="155">
        <f>0</f>
        <v>0</v>
      </c>
      <c r="AI130" s="155">
        <f>0</f>
        <v>0</v>
      </c>
      <c r="AJ130" s="155">
        <f>0</f>
        <v>0</v>
      </c>
      <c r="AK130" s="155">
        <f>0</f>
        <v>0</v>
      </c>
      <c r="AL130" s="219">
        <f t="shared" si="4"/>
        <v>1</v>
      </c>
      <c r="AM130" s="103">
        <f>0</f>
        <v>0</v>
      </c>
      <c r="AN130" s="220">
        <f t="shared" si="5"/>
        <v>1</v>
      </c>
      <c r="AP130" s="188" t="s">
        <v>617</v>
      </c>
      <c r="AR130" s="189" t="s">
        <v>616</v>
      </c>
    </row>
    <row r="131" spans="1:55" ht="28" customHeight="1">
      <c r="A131" s="308">
        <v>127</v>
      </c>
      <c r="B131" s="287">
        <v>45020</v>
      </c>
      <c r="C131" s="222" t="s">
        <v>198</v>
      </c>
      <c r="D131" s="222" t="s">
        <v>199</v>
      </c>
      <c r="E131" s="222" t="s">
        <v>200</v>
      </c>
      <c r="F131" s="349" t="s">
        <v>123</v>
      </c>
      <c r="G131" s="309" t="s">
        <v>510</v>
      </c>
      <c r="H131" s="310" t="s">
        <v>129</v>
      </c>
      <c r="I131" s="311" t="s">
        <v>511</v>
      </c>
      <c r="J131" s="312" t="s">
        <v>512</v>
      </c>
      <c r="K131" s="273" t="s">
        <v>97</v>
      </c>
      <c r="L131" s="273" t="s">
        <v>176</v>
      </c>
      <c r="M131" s="311" t="s">
        <v>279</v>
      </c>
      <c r="N131" s="311"/>
      <c r="O131" s="311" t="s">
        <v>224</v>
      </c>
      <c r="P131" s="311"/>
      <c r="Q131" s="313" t="s">
        <v>509</v>
      </c>
      <c r="R131" s="270">
        <v>2</v>
      </c>
      <c r="S131" s="155">
        <f>0</f>
        <v>0</v>
      </c>
      <c r="T131" s="155">
        <f>0</f>
        <v>0</v>
      </c>
      <c r="U131" s="158">
        <f>0</f>
        <v>0</v>
      </c>
      <c r="V131" s="158">
        <f>0</f>
        <v>0</v>
      </c>
      <c r="W131" s="155">
        <f>0</f>
        <v>0</v>
      </c>
      <c r="X131" s="155">
        <f>0</f>
        <v>0</v>
      </c>
      <c r="Y131" s="155">
        <f>0</f>
        <v>0</v>
      </c>
      <c r="Z131" s="155">
        <f>0</f>
        <v>0</v>
      </c>
      <c r="AA131" s="155">
        <f>0</f>
        <v>0</v>
      </c>
      <c r="AB131" s="155">
        <f>0</f>
        <v>0</v>
      </c>
      <c r="AC131" s="155">
        <f>0</f>
        <v>0</v>
      </c>
      <c r="AD131" s="155">
        <f>0</f>
        <v>0</v>
      </c>
      <c r="AE131" s="155">
        <f>0</f>
        <v>0</v>
      </c>
      <c r="AF131" s="155">
        <f>0</f>
        <v>0</v>
      </c>
      <c r="AG131" s="155">
        <f>0</f>
        <v>0</v>
      </c>
      <c r="AH131" s="155">
        <f>0</f>
        <v>0</v>
      </c>
      <c r="AI131" s="155">
        <f>0</f>
        <v>0</v>
      </c>
      <c r="AJ131" s="155">
        <f>0</f>
        <v>0</v>
      </c>
      <c r="AK131" s="155">
        <f>0</f>
        <v>0</v>
      </c>
      <c r="AL131" s="219">
        <f t="shared" si="4"/>
        <v>2</v>
      </c>
      <c r="AM131" s="103">
        <f>0</f>
        <v>0</v>
      </c>
      <c r="AN131" s="220">
        <f t="shared" si="5"/>
        <v>2</v>
      </c>
      <c r="AO131" s="348">
        <v>45034</v>
      </c>
      <c r="AP131" s="296" t="s">
        <v>192</v>
      </c>
      <c r="AQ131" s="292" t="s">
        <v>1522</v>
      </c>
      <c r="AR131" s="293" t="s">
        <v>194</v>
      </c>
      <c r="AS131" s="301">
        <v>45078</v>
      </c>
      <c r="AT131" s="352"/>
      <c r="AU131" s="353">
        <v>2</v>
      </c>
      <c r="AV131" s="353"/>
      <c r="AW131" s="353" t="s">
        <v>195</v>
      </c>
      <c r="AX131" s="355"/>
      <c r="AY131" s="357"/>
      <c r="AZ131" s="174"/>
      <c r="BA131" s="174"/>
      <c r="BB131" s="174"/>
      <c r="BC131" s="174"/>
    </row>
    <row r="132" spans="1:55" ht="28" customHeight="1">
      <c r="A132" s="308">
        <v>128</v>
      </c>
      <c r="B132" s="287">
        <v>45020</v>
      </c>
      <c r="C132" s="222" t="s">
        <v>198</v>
      </c>
      <c r="D132" s="222" t="s">
        <v>199</v>
      </c>
      <c r="E132" s="222" t="s">
        <v>200</v>
      </c>
      <c r="F132" s="371" t="s">
        <v>123</v>
      </c>
      <c r="G132" s="309" t="s">
        <v>513</v>
      </c>
      <c r="H132" s="310" t="s">
        <v>129</v>
      </c>
      <c r="I132" s="311" t="s">
        <v>514</v>
      </c>
      <c r="J132" s="312" t="s">
        <v>515</v>
      </c>
      <c r="K132" s="273" t="s">
        <v>97</v>
      </c>
      <c r="L132" s="273" t="s">
        <v>168</v>
      </c>
      <c r="M132" s="311" t="s">
        <v>147</v>
      </c>
      <c r="N132" s="311"/>
      <c r="O132" s="311" t="s">
        <v>169</v>
      </c>
      <c r="P132" s="311"/>
      <c r="Q132" s="313" t="s">
        <v>509</v>
      </c>
      <c r="R132" s="270">
        <v>2</v>
      </c>
      <c r="S132" s="155">
        <f>0</f>
        <v>0</v>
      </c>
      <c r="T132" s="155">
        <f>0</f>
        <v>0</v>
      </c>
      <c r="U132" s="158">
        <f>0</f>
        <v>0</v>
      </c>
      <c r="V132" s="158">
        <f>0</f>
        <v>0</v>
      </c>
      <c r="W132" s="155">
        <f>0</f>
        <v>0</v>
      </c>
      <c r="X132" s="155">
        <f>0</f>
        <v>0</v>
      </c>
      <c r="Y132" s="155">
        <f>0</f>
        <v>0</v>
      </c>
      <c r="Z132" s="155">
        <f>0</f>
        <v>0</v>
      </c>
      <c r="AA132" s="155">
        <f>0</f>
        <v>0</v>
      </c>
      <c r="AB132" s="155">
        <f>0</f>
        <v>0</v>
      </c>
      <c r="AC132" s="155">
        <f>0</f>
        <v>0</v>
      </c>
      <c r="AD132" s="155">
        <f>0</f>
        <v>0</v>
      </c>
      <c r="AE132" s="155">
        <f>0</f>
        <v>0</v>
      </c>
      <c r="AF132" s="155">
        <f>0</f>
        <v>0</v>
      </c>
      <c r="AG132" s="155">
        <f>0</f>
        <v>0</v>
      </c>
      <c r="AH132" s="155">
        <f>0</f>
        <v>0</v>
      </c>
      <c r="AI132" s="155">
        <f>0</f>
        <v>0</v>
      </c>
      <c r="AJ132" s="155">
        <f>0</f>
        <v>0</v>
      </c>
      <c r="AK132" s="155">
        <f>0</f>
        <v>0</v>
      </c>
      <c r="AL132" s="219">
        <f t="shared" si="4"/>
        <v>2</v>
      </c>
      <c r="AM132" s="103">
        <f>0</f>
        <v>0</v>
      </c>
      <c r="AN132" s="220">
        <f t="shared" si="5"/>
        <v>2</v>
      </c>
      <c r="AO132" s="348">
        <v>45034</v>
      </c>
      <c r="AP132" s="296" t="s">
        <v>192</v>
      </c>
      <c r="AQ132" s="292" t="s">
        <v>1522</v>
      </c>
      <c r="AR132" s="293" t="s">
        <v>194</v>
      </c>
      <c r="AS132" s="301">
        <v>45078</v>
      </c>
      <c r="AT132" s="302"/>
      <c r="AU132" s="303">
        <v>2</v>
      </c>
      <c r="AV132" s="304">
        <f t="shared" ref="AV132:AV140" si="8">AN132-AU132</f>
        <v>0</v>
      </c>
      <c r="AW132" s="302" t="s">
        <v>195</v>
      </c>
      <c r="AX132" s="305"/>
      <c r="AY132" s="306"/>
      <c r="AZ132" s="299"/>
      <c r="BA132" s="174"/>
      <c r="BB132" s="174"/>
      <c r="BC132" s="174"/>
    </row>
    <row r="133" spans="1:55" ht="28" customHeight="1">
      <c r="A133" s="308">
        <v>129</v>
      </c>
      <c r="B133" s="287">
        <v>45020</v>
      </c>
      <c r="C133" s="222" t="s">
        <v>198</v>
      </c>
      <c r="D133" s="222" t="s">
        <v>199</v>
      </c>
      <c r="E133" s="222" t="s">
        <v>200</v>
      </c>
      <c r="F133" s="349" t="s">
        <v>123</v>
      </c>
      <c r="G133" s="309" t="s">
        <v>516</v>
      </c>
      <c r="H133" s="310" t="s">
        <v>129</v>
      </c>
      <c r="I133" s="311" t="s">
        <v>517</v>
      </c>
      <c r="J133" s="312" t="s">
        <v>518</v>
      </c>
      <c r="K133" s="273" t="s">
        <v>97</v>
      </c>
      <c r="L133" s="273" t="s">
        <v>146</v>
      </c>
      <c r="M133" s="311" t="s">
        <v>147</v>
      </c>
      <c r="N133" s="311"/>
      <c r="O133" s="311" t="s">
        <v>97</v>
      </c>
      <c r="P133" s="311"/>
      <c r="Q133" s="313" t="s">
        <v>519</v>
      </c>
      <c r="R133" s="154">
        <v>0</v>
      </c>
      <c r="S133" s="155">
        <f>0</f>
        <v>0</v>
      </c>
      <c r="T133" s="155">
        <f>0</f>
        <v>0</v>
      </c>
      <c r="U133" s="158">
        <f>0</f>
        <v>0</v>
      </c>
      <c r="V133" s="158">
        <f>0</f>
        <v>0</v>
      </c>
      <c r="W133" s="155">
        <f>0</f>
        <v>0</v>
      </c>
      <c r="X133" s="155">
        <f>0</f>
        <v>0</v>
      </c>
      <c r="Y133" s="155">
        <f>0</f>
        <v>0</v>
      </c>
      <c r="Z133" s="155">
        <f>0</f>
        <v>0</v>
      </c>
      <c r="AA133" s="155">
        <f>0</f>
        <v>0</v>
      </c>
      <c r="AB133" s="155">
        <f>0</f>
        <v>0</v>
      </c>
      <c r="AC133" s="155">
        <f>0</f>
        <v>0</v>
      </c>
      <c r="AD133" s="263">
        <v>1</v>
      </c>
      <c r="AE133" s="155">
        <f>0</f>
        <v>0</v>
      </c>
      <c r="AF133" s="155">
        <f>0</f>
        <v>0</v>
      </c>
      <c r="AG133" s="155">
        <f>0</f>
        <v>0</v>
      </c>
      <c r="AH133" s="155">
        <f>0</f>
        <v>0</v>
      </c>
      <c r="AI133" s="155">
        <f>0</f>
        <v>0</v>
      </c>
      <c r="AJ133" s="155">
        <f>0</f>
        <v>0</v>
      </c>
      <c r="AK133" s="155">
        <f>0</f>
        <v>0</v>
      </c>
      <c r="AL133" s="219">
        <f t="shared" si="4"/>
        <v>1</v>
      </c>
      <c r="AM133" s="103">
        <f>0</f>
        <v>0</v>
      </c>
      <c r="AN133" s="220">
        <f t="shared" si="5"/>
        <v>1</v>
      </c>
      <c r="AO133" s="348">
        <v>45034</v>
      </c>
      <c r="AP133" s="296" t="s">
        <v>192</v>
      </c>
      <c r="AQ133" s="292" t="s">
        <v>1522</v>
      </c>
      <c r="AR133" s="293" t="s">
        <v>194</v>
      </c>
      <c r="AS133" s="301">
        <v>45078</v>
      </c>
      <c r="AT133" s="302"/>
      <c r="AU133" s="303">
        <v>1</v>
      </c>
      <c r="AV133" s="304">
        <f t="shared" si="8"/>
        <v>0</v>
      </c>
      <c r="AW133" s="302" t="s">
        <v>195</v>
      </c>
      <c r="AX133" s="305"/>
      <c r="AY133" s="306"/>
      <c r="AZ133" s="299"/>
      <c r="BA133" s="174"/>
      <c r="BB133" s="174"/>
      <c r="BC133" s="174"/>
    </row>
    <row r="134" spans="1:55" ht="28" customHeight="1">
      <c r="A134" s="308">
        <v>130</v>
      </c>
      <c r="B134" s="287">
        <v>45020</v>
      </c>
      <c r="C134" s="222" t="s">
        <v>198</v>
      </c>
      <c r="D134" s="222" t="s">
        <v>199</v>
      </c>
      <c r="E134" s="222" t="s">
        <v>200</v>
      </c>
      <c r="F134" s="371" t="s">
        <v>123</v>
      </c>
      <c r="G134" s="309" t="s">
        <v>520</v>
      </c>
      <c r="H134" s="310" t="s">
        <v>129</v>
      </c>
      <c r="I134" s="311" t="s">
        <v>521</v>
      </c>
      <c r="J134" s="312" t="s">
        <v>522</v>
      </c>
      <c r="K134" s="273" t="s">
        <v>97</v>
      </c>
      <c r="L134" s="273" t="s">
        <v>165</v>
      </c>
      <c r="M134" s="311" t="s">
        <v>147</v>
      </c>
      <c r="N134" s="311"/>
      <c r="O134" s="311" t="s">
        <v>177</v>
      </c>
      <c r="P134" s="311"/>
      <c r="Q134" s="313" t="s">
        <v>519</v>
      </c>
      <c r="R134" s="154">
        <v>0</v>
      </c>
      <c r="S134" s="155">
        <f>0</f>
        <v>0</v>
      </c>
      <c r="T134" s="155">
        <f>0</f>
        <v>0</v>
      </c>
      <c r="U134" s="158">
        <f>0</f>
        <v>0</v>
      </c>
      <c r="V134" s="158">
        <f>0</f>
        <v>0</v>
      </c>
      <c r="W134" s="155">
        <f>0</f>
        <v>0</v>
      </c>
      <c r="X134" s="155">
        <f>0</f>
        <v>0</v>
      </c>
      <c r="Y134" s="155">
        <f>0</f>
        <v>0</v>
      </c>
      <c r="Z134" s="155">
        <f>0</f>
        <v>0</v>
      </c>
      <c r="AA134" s="155">
        <f>0</f>
        <v>0</v>
      </c>
      <c r="AB134" s="155">
        <f>0</f>
        <v>0</v>
      </c>
      <c r="AC134" s="155">
        <f>0</f>
        <v>0</v>
      </c>
      <c r="AD134" s="263">
        <v>1</v>
      </c>
      <c r="AE134" s="155">
        <f>0</f>
        <v>0</v>
      </c>
      <c r="AF134" s="155">
        <f>0</f>
        <v>0</v>
      </c>
      <c r="AG134" s="155">
        <f>0</f>
        <v>0</v>
      </c>
      <c r="AH134" s="155">
        <f>0</f>
        <v>0</v>
      </c>
      <c r="AI134" s="155">
        <f>0</f>
        <v>0</v>
      </c>
      <c r="AJ134" s="155">
        <f>0</f>
        <v>0</v>
      </c>
      <c r="AK134" s="155">
        <f>0</f>
        <v>0</v>
      </c>
      <c r="AL134" s="219">
        <f t="shared" ref="AL134:AL197" si="9">SUM(R134:AK134)</f>
        <v>1</v>
      </c>
      <c r="AM134" s="103">
        <f>0</f>
        <v>0</v>
      </c>
      <c r="AN134" s="220">
        <f t="shared" ref="AN134:AN197" si="10">AL134-AM134</f>
        <v>1</v>
      </c>
      <c r="AO134" s="348">
        <v>45034</v>
      </c>
      <c r="AP134" s="296" t="s">
        <v>192</v>
      </c>
      <c r="AQ134" s="292" t="s">
        <v>1522</v>
      </c>
      <c r="AR134" s="293" t="s">
        <v>194</v>
      </c>
      <c r="AS134" s="301">
        <v>45078</v>
      </c>
      <c r="AT134" s="302"/>
      <c r="AU134" s="303">
        <v>1</v>
      </c>
      <c r="AV134" s="304">
        <f t="shared" si="8"/>
        <v>0</v>
      </c>
      <c r="AW134" s="302" t="s">
        <v>195</v>
      </c>
      <c r="AX134" s="305"/>
      <c r="AY134" s="306"/>
      <c r="AZ134" s="299"/>
      <c r="BA134" s="174"/>
      <c r="BB134" s="174"/>
      <c r="BC134" s="174"/>
    </row>
    <row r="135" spans="1:55" ht="28" customHeight="1">
      <c r="A135" s="308">
        <v>131</v>
      </c>
      <c r="B135" s="287">
        <v>45020</v>
      </c>
      <c r="C135" s="222" t="s">
        <v>198</v>
      </c>
      <c r="D135" s="222" t="s">
        <v>199</v>
      </c>
      <c r="E135" s="222" t="s">
        <v>200</v>
      </c>
      <c r="F135" s="349" t="s">
        <v>123</v>
      </c>
      <c r="G135" s="309" t="s">
        <v>523</v>
      </c>
      <c r="H135" s="310" t="s">
        <v>129</v>
      </c>
      <c r="I135" s="311" t="s">
        <v>524</v>
      </c>
      <c r="J135" s="312" t="s">
        <v>525</v>
      </c>
      <c r="K135" s="273"/>
      <c r="L135" s="273" t="s">
        <v>165</v>
      </c>
      <c r="M135" s="311" t="s">
        <v>279</v>
      </c>
      <c r="N135" s="311"/>
      <c r="O135" s="311" t="s">
        <v>177</v>
      </c>
      <c r="P135" s="311"/>
      <c r="Q135" s="313" t="s">
        <v>524</v>
      </c>
      <c r="R135" s="270">
        <v>1</v>
      </c>
      <c r="S135" s="155">
        <f>0</f>
        <v>0</v>
      </c>
      <c r="T135" s="155">
        <f>0</f>
        <v>0</v>
      </c>
      <c r="U135" s="158">
        <f>0</f>
        <v>0</v>
      </c>
      <c r="V135" s="158">
        <f>0</f>
        <v>0</v>
      </c>
      <c r="W135" s="155">
        <f>0</f>
        <v>0</v>
      </c>
      <c r="X135" s="155">
        <f>0</f>
        <v>0</v>
      </c>
      <c r="Y135" s="155">
        <f>0</f>
        <v>0</v>
      </c>
      <c r="Z135" s="155">
        <f>0</f>
        <v>0</v>
      </c>
      <c r="AA135" s="155">
        <f>0</f>
        <v>0</v>
      </c>
      <c r="AB135" s="155">
        <f>0</f>
        <v>0</v>
      </c>
      <c r="AC135" s="155">
        <f>0</f>
        <v>0</v>
      </c>
      <c r="AD135" s="155">
        <f>0</f>
        <v>0</v>
      </c>
      <c r="AE135" s="155">
        <f>0</f>
        <v>0</v>
      </c>
      <c r="AF135" s="155">
        <f>0</f>
        <v>0</v>
      </c>
      <c r="AG135" s="155">
        <f>0</f>
        <v>0</v>
      </c>
      <c r="AH135" s="155">
        <f>0</f>
        <v>0</v>
      </c>
      <c r="AI135" s="155">
        <f>0</f>
        <v>0</v>
      </c>
      <c r="AJ135" s="155">
        <f>0</f>
        <v>0</v>
      </c>
      <c r="AK135" s="155">
        <f>0</f>
        <v>0</v>
      </c>
      <c r="AL135" s="219">
        <f t="shared" si="9"/>
        <v>1</v>
      </c>
      <c r="AM135" s="103">
        <f>0</f>
        <v>0</v>
      </c>
      <c r="AN135" s="220">
        <f t="shared" si="10"/>
        <v>1</v>
      </c>
      <c r="AO135" s="348">
        <v>45034</v>
      </c>
      <c r="AP135" s="296" t="s">
        <v>192</v>
      </c>
      <c r="AQ135" s="292" t="s">
        <v>1522</v>
      </c>
      <c r="AR135" s="293" t="s">
        <v>194</v>
      </c>
      <c r="AS135" s="301">
        <v>45078</v>
      </c>
      <c r="AT135" s="302"/>
      <c r="AU135" s="303">
        <v>1</v>
      </c>
      <c r="AV135" s="304">
        <f t="shared" si="8"/>
        <v>0</v>
      </c>
      <c r="AW135" s="302" t="s">
        <v>195</v>
      </c>
      <c r="AX135" s="305"/>
      <c r="AY135" s="306"/>
      <c r="AZ135" s="299"/>
      <c r="BA135" s="174"/>
      <c r="BB135" s="174"/>
      <c r="BC135" s="174"/>
    </row>
    <row r="136" spans="1:55" ht="28" customHeight="1">
      <c r="A136" s="308">
        <v>132</v>
      </c>
      <c r="B136" s="287">
        <v>45020</v>
      </c>
      <c r="C136" s="222" t="s">
        <v>198</v>
      </c>
      <c r="D136" s="222" t="s">
        <v>199</v>
      </c>
      <c r="E136" s="222" t="s">
        <v>200</v>
      </c>
      <c r="F136" s="371" t="s">
        <v>123</v>
      </c>
      <c r="G136" s="309" t="s">
        <v>526</v>
      </c>
      <c r="H136" s="310" t="s">
        <v>129</v>
      </c>
      <c r="I136" s="311" t="s">
        <v>527</v>
      </c>
      <c r="J136" s="312" t="s">
        <v>528</v>
      </c>
      <c r="K136" s="273" t="s">
        <v>97</v>
      </c>
      <c r="L136" s="273" t="s">
        <v>159</v>
      </c>
      <c r="M136" s="311" t="s">
        <v>156</v>
      </c>
      <c r="N136" s="311"/>
      <c r="O136" s="311" t="s">
        <v>204</v>
      </c>
      <c r="P136" s="311"/>
      <c r="Q136" s="313" t="s">
        <v>529</v>
      </c>
      <c r="R136" s="270">
        <v>1</v>
      </c>
      <c r="S136" s="155">
        <f>0</f>
        <v>0</v>
      </c>
      <c r="T136" s="155">
        <f>0</f>
        <v>0</v>
      </c>
      <c r="U136" s="158">
        <f>0</f>
        <v>0</v>
      </c>
      <c r="V136" s="158">
        <f>0</f>
        <v>0</v>
      </c>
      <c r="W136" s="155">
        <f>0</f>
        <v>0</v>
      </c>
      <c r="X136" s="155">
        <f>0</f>
        <v>0</v>
      </c>
      <c r="Y136" s="155">
        <f>0</f>
        <v>0</v>
      </c>
      <c r="Z136" s="155">
        <f>0</f>
        <v>0</v>
      </c>
      <c r="AA136" s="155">
        <f>0</f>
        <v>0</v>
      </c>
      <c r="AB136" s="155">
        <f>0</f>
        <v>0</v>
      </c>
      <c r="AC136" s="155">
        <f>0</f>
        <v>0</v>
      </c>
      <c r="AD136" s="155">
        <f>0</f>
        <v>0</v>
      </c>
      <c r="AE136" s="155">
        <f>0</f>
        <v>0</v>
      </c>
      <c r="AF136" s="155">
        <f>0</f>
        <v>0</v>
      </c>
      <c r="AG136" s="155">
        <f>0</f>
        <v>0</v>
      </c>
      <c r="AH136" s="155">
        <f>0</f>
        <v>0</v>
      </c>
      <c r="AI136" s="155">
        <f>0</f>
        <v>0</v>
      </c>
      <c r="AJ136" s="155">
        <f>0</f>
        <v>0</v>
      </c>
      <c r="AK136" s="155">
        <f>0</f>
        <v>0</v>
      </c>
      <c r="AL136" s="219">
        <f t="shared" si="9"/>
        <v>1</v>
      </c>
      <c r="AM136" s="103">
        <f>0</f>
        <v>0</v>
      </c>
      <c r="AN136" s="220">
        <f t="shared" si="10"/>
        <v>1</v>
      </c>
      <c r="AO136" s="290">
        <v>45034</v>
      </c>
      <c r="AP136" s="291" t="s">
        <v>192</v>
      </c>
      <c r="AQ136" s="292" t="s">
        <v>1520</v>
      </c>
      <c r="AR136" s="293" t="s">
        <v>197</v>
      </c>
      <c r="AS136" s="307"/>
      <c r="AT136" s="302"/>
      <c r="AU136" s="303">
        <v>1</v>
      </c>
      <c r="AV136" s="304">
        <f t="shared" si="8"/>
        <v>0</v>
      </c>
      <c r="AW136" s="302" t="s">
        <v>195</v>
      </c>
      <c r="AX136" s="305"/>
      <c r="AY136" s="306"/>
      <c r="AZ136" s="299"/>
      <c r="BA136" s="174"/>
      <c r="BB136" s="174"/>
      <c r="BC136" s="174"/>
    </row>
    <row r="137" spans="1:55" ht="28" customHeight="1">
      <c r="A137" s="308">
        <v>133</v>
      </c>
      <c r="B137" s="287">
        <v>45020</v>
      </c>
      <c r="C137" s="222" t="s">
        <v>198</v>
      </c>
      <c r="D137" s="222" t="s">
        <v>199</v>
      </c>
      <c r="E137" s="222" t="s">
        <v>200</v>
      </c>
      <c r="F137" s="349" t="s">
        <v>123</v>
      </c>
      <c r="G137" s="309" t="s">
        <v>530</v>
      </c>
      <c r="H137" s="310" t="s">
        <v>129</v>
      </c>
      <c r="I137" s="311" t="s">
        <v>527</v>
      </c>
      <c r="J137" s="312" t="s">
        <v>531</v>
      </c>
      <c r="K137" s="273" t="s">
        <v>97</v>
      </c>
      <c r="L137" s="273" t="s">
        <v>159</v>
      </c>
      <c r="M137" s="311" t="s">
        <v>156</v>
      </c>
      <c r="N137" s="311"/>
      <c r="O137" s="311" t="s">
        <v>204</v>
      </c>
      <c r="P137" s="311"/>
      <c r="Q137" s="313" t="s">
        <v>529</v>
      </c>
      <c r="R137" s="270">
        <v>1</v>
      </c>
      <c r="S137" s="155">
        <f>0</f>
        <v>0</v>
      </c>
      <c r="T137" s="155">
        <f>0</f>
        <v>0</v>
      </c>
      <c r="U137" s="158">
        <f>0</f>
        <v>0</v>
      </c>
      <c r="V137" s="158">
        <f>0</f>
        <v>0</v>
      </c>
      <c r="W137" s="155">
        <f>0</f>
        <v>0</v>
      </c>
      <c r="X137" s="155">
        <f>0</f>
        <v>0</v>
      </c>
      <c r="Y137" s="155">
        <f>0</f>
        <v>0</v>
      </c>
      <c r="Z137" s="155">
        <f>0</f>
        <v>0</v>
      </c>
      <c r="AA137" s="155">
        <f>0</f>
        <v>0</v>
      </c>
      <c r="AB137" s="155">
        <f>0</f>
        <v>0</v>
      </c>
      <c r="AC137" s="155">
        <f>0</f>
        <v>0</v>
      </c>
      <c r="AD137" s="155">
        <f>0</f>
        <v>0</v>
      </c>
      <c r="AE137" s="155">
        <f>0</f>
        <v>0</v>
      </c>
      <c r="AF137" s="155">
        <f>0</f>
        <v>0</v>
      </c>
      <c r="AG137" s="155">
        <f>0</f>
        <v>0</v>
      </c>
      <c r="AH137" s="155">
        <f>0</f>
        <v>0</v>
      </c>
      <c r="AI137" s="155">
        <f>0</f>
        <v>0</v>
      </c>
      <c r="AJ137" s="155">
        <f>0</f>
        <v>0</v>
      </c>
      <c r="AK137" s="155">
        <f>0</f>
        <v>0</v>
      </c>
      <c r="AL137" s="219">
        <f t="shared" si="9"/>
        <v>1</v>
      </c>
      <c r="AM137" s="103">
        <f>0</f>
        <v>0</v>
      </c>
      <c r="AN137" s="220">
        <f t="shared" si="10"/>
        <v>1</v>
      </c>
      <c r="AO137" s="290">
        <v>45034</v>
      </c>
      <c r="AP137" s="291" t="s">
        <v>192</v>
      </c>
      <c r="AQ137" s="292" t="s">
        <v>1520</v>
      </c>
      <c r="AR137" s="293" t="s">
        <v>197</v>
      </c>
      <c r="AS137" s="307"/>
      <c r="AT137" s="302"/>
      <c r="AU137" s="303">
        <v>1</v>
      </c>
      <c r="AV137" s="304">
        <f t="shared" si="8"/>
        <v>0</v>
      </c>
      <c r="AW137" s="302" t="s">
        <v>195</v>
      </c>
      <c r="AX137" s="305"/>
      <c r="AY137" s="306"/>
      <c r="AZ137" s="299"/>
      <c r="BA137" s="174"/>
      <c r="BB137" s="174"/>
      <c r="BC137" s="174"/>
    </row>
    <row r="138" spans="1:55" ht="27.75" customHeight="1">
      <c r="A138" s="308">
        <v>134</v>
      </c>
      <c r="B138" s="287">
        <v>45020</v>
      </c>
      <c r="C138" s="222" t="s">
        <v>198</v>
      </c>
      <c r="D138" s="222" t="s">
        <v>199</v>
      </c>
      <c r="E138" s="222" t="s">
        <v>200</v>
      </c>
      <c r="F138" s="371" t="s">
        <v>123</v>
      </c>
      <c r="G138" s="309" t="s">
        <v>532</v>
      </c>
      <c r="H138" s="310" t="s">
        <v>129</v>
      </c>
      <c r="I138" s="311" t="s">
        <v>533</v>
      </c>
      <c r="J138" s="312" t="s">
        <v>534</v>
      </c>
      <c r="K138" s="273" t="s">
        <v>97</v>
      </c>
      <c r="L138" s="273" t="s">
        <v>159</v>
      </c>
      <c r="M138" s="311" t="s">
        <v>156</v>
      </c>
      <c r="N138" s="311"/>
      <c r="O138" s="311" t="s">
        <v>535</v>
      </c>
      <c r="P138" s="311"/>
      <c r="Q138" s="313" t="s">
        <v>529</v>
      </c>
      <c r="R138" s="270">
        <v>1</v>
      </c>
      <c r="S138" s="155">
        <f>0</f>
        <v>0</v>
      </c>
      <c r="T138" s="155">
        <f>0</f>
        <v>0</v>
      </c>
      <c r="U138" s="158">
        <f>0</f>
        <v>0</v>
      </c>
      <c r="V138" s="158">
        <f>0</f>
        <v>0</v>
      </c>
      <c r="W138" s="155">
        <f>0</f>
        <v>0</v>
      </c>
      <c r="X138" s="155">
        <f>0</f>
        <v>0</v>
      </c>
      <c r="Y138" s="155">
        <f>0</f>
        <v>0</v>
      </c>
      <c r="Z138" s="155">
        <f>0</f>
        <v>0</v>
      </c>
      <c r="AA138" s="155">
        <f>0</f>
        <v>0</v>
      </c>
      <c r="AB138" s="155">
        <f>0</f>
        <v>0</v>
      </c>
      <c r="AC138" s="155">
        <f>0</f>
        <v>0</v>
      </c>
      <c r="AD138" s="155">
        <f>0</f>
        <v>0</v>
      </c>
      <c r="AE138" s="155">
        <f>0</f>
        <v>0</v>
      </c>
      <c r="AF138" s="155">
        <f>0</f>
        <v>0</v>
      </c>
      <c r="AG138" s="155">
        <f>0</f>
        <v>0</v>
      </c>
      <c r="AH138" s="155">
        <f>0</f>
        <v>0</v>
      </c>
      <c r="AI138" s="155">
        <f>0</f>
        <v>0</v>
      </c>
      <c r="AJ138" s="155">
        <f>0</f>
        <v>0</v>
      </c>
      <c r="AK138" s="155">
        <f>0</f>
        <v>0</v>
      </c>
      <c r="AL138" s="219">
        <f t="shared" si="9"/>
        <v>1</v>
      </c>
      <c r="AM138" s="103">
        <f>0</f>
        <v>0</v>
      </c>
      <c r="AN138" s="220">
        <f t="shared" si="10"/>
        <v>1</v>
      </c>
      <c r="AO138" s="290">
        <v>45034</v>
      </c>
      <c r="AP138" s="291" t="s">
        <v>192</v>
      </c>
      <c r="AQ138" s="292" t="s">
        <v>1520</v>
      </c>
      <c r="AR138" s="293" t="s">
        <v>197</v>
      </c>
      <c r="AS138" s="307"/>
      <c r="AT138" s="302"/>
      <c r="AU138" s="303">
        <v>1</v>
      </c>
      <c r="AV138" s="304">
        <f t="shared" si="8"/>
        <v>0</v>
      </c>
      <c r="AW138" s="302" t="s">
        <v>195</v>
      </c>
      <c r="AX138" s="305"/>
      <c r="AY138" s="306"/>
      <c r="AZ138" s="299"/>
      <c r="BA138" s="174"/>
      <c r="BB138" s="174"/>
      <c r="BC138" s="174"/>
    </row>
    <row r="139" spans="1:55" ht="28" customHeight="1">
      <c r="A139" s="308">
        <v>135</v>
      </c>
      <c r="B139" s="287">
        <v>45020</v>
      </c>
      <c r="C139" s="222" t="s">
        <v>198</v>
      </c>
      <c r="D139" s="222" t="s">
        <v>199</v>
      </c>
      <c r="E139" s="222" t="s">
        <v>200</v>
      </c>
      <c r="F139" s="349" t="s">
        <v>123</v>
      </c>
      <c r="G139" s="309" t="s">
        <v>536</v>
      </c>
      <c r="H139" s="310" t="s">
        <v>129</v>
      </c>
      <c r="I139" s="311" t="s">
        <v>533</v>
      </c>
      <c r="J139" s="312" t="s">
        <v>537</v>
      </c>
      <c r="K139" s="273" t="s">
        <v>97</v>
      </c>
      <c r="L139" s="273" t="s">
        <v>159</v>
      </c>
      <c r="M139" s="311" t="s">
        <v>156</v>
      </c>
      <c r="N139" s="311"/>
      <c r="O139" s="311" t="s">
        <v>535</v>
      </c>
      <c r="P139" s="311"/>
      <c r="Q139" s="313" t="s">
        <v>529</v>
      </c>
      <c r="R139" s="270">
        <v>1</v>
      </c>
      <c r="S139" s="155">
        <f>0</f>
        <v>0</v>
      </c>
      <c r="T139" s="155">
        <f>0</f>
        <v>0</v>
      </c>
      <c r="U139" s="158">
        <f>0</f>
        <v>0</v>
      </c>
      <c r="V139" s="158">
        <f>0</f>
        <v>0</v>
      </c>
      <c r="W139" s="155">
        <f>0</f>
        <v>0</v>
      </c>
      <c r="X139" s="155">
        <f>0</f>
        <v>0</v>
      </c>
      <c r="Y139" s="155">
        <f>0</f>
        <v>0</v>
      </c>
      <c r="Z139" s="155">
        <f>0</f>
        <v>0</v>
      </c>
      <c r="AA139" s="155">
        <f>0</f>
        <v>0</v>
      </c>
      <c r="AB139" s="155">
        <f>0</f>
        <v>0</v>
      </c>
      <c r="AC139" s="155">
        <f>0</f>
        <v>0</v>
      </c>
      <c r="AD139" s="155">
        <f>0</f>
        <v>0</v>
      </c>
      <c r="AE139" s="155">
        <f>0</f>
        <v>0</v>
      </c>
      <c r="AF139" s="155">
        <f>0</f>
        <v>0</v>
      </c>
      <c r="AG139" s="155">
        <f>0</f>
        <v>0</v>
      </c>
      <c r="AH139" s="155">
        <f>0</f>
        <v>0</v>
      </c>
      <c r="AI139" s="155">
        <f>0</f>
        <v>0</v>
      </c>
      <c r="AJ139" s="155">
        <f>0</f>
        <v>0</v>
      </c>
      <c r="AK139" s="155">
        <f>0</f>
        <v>0</v>
      </c>
      <c r="AL139" s="219">
        <f t="shared" si="9"/>
        <v>1</v>
      </c>
      <c r="AM139" s="103">
        <f>0</f>
        <v>0</v>
      </c>
      <c r="AN139" s="220">
        <f t="shared" si="10"/>
        <v>1</v>
      </c>
      <c r="AO139" s="290">
        <v>45034</v>
      </c>
      <c r="AP139" s="291" t="s">
        <v>192</v>
      </c>
      <c r="AQ139" s="292" t="s">
        <v>1520</v>
      </c>
      <c r="AR139" s="293" t="s">
        <v>197</v>
      </c>
      <c r="AS139" s="307"/>
      <c r="AT139" s="302"/>
      <c r="AU139" s="303">
        <v>1</v>
      </c>
      <c r="AV139" s="304">
        <f t="shared" si="8"/>
        <v>0</v>
      </c>
      <c r="AW139" s="302" t="s">
        <v>195</v>
      </c>
      <c r="AX139" s="305"/>
      <c r="AY139" s="306"/>
      <c r="AZ139" s="299"/>
      <c r="BA139" s="174"/>
      <c r="BB139" s="174"/>
      <c r="BC139" s="174"/>
    </row>
    <row r="140" spans="1:55" ht="27.75" customHeight="1">
      <c r="A140" s="308">
        <v>136</v>
      </c>
      <c r="B140" s="287">
        <v>45020</v>
      </c>
      <c r="C140" s="222" t="s">
        <v>198</v>
      </c>
      <c r="D140" s="222" t="s">
        <v>199</v>
      </c>
      <c r="E140" s="222" t="s">
        <v>200</v>
      </c>
      <c r="F140" s="371" t="s">
        <v>123</v>
      </c>
      <c r="G140" s="309" t="s">
        <v>538</v>
      </c>
      <c r="H140" s="310" t="s">
        <v>129</v>
      </c>
      <c r="I140" s="311" t="s">
        <v>539</v>
      </c>
      <c r="J140" s="312" t="s">
        <v>540</v>
      </c>
      <c r="K140" s="273" t="s">
        <v>97</v>
      </c>
      <c r="L140" s="273" t="s">
        <v>176</v>
      </c>
      <c r="M140" s="311" t="s">
        <v>147</v>
      </c>
      <c r="N140" s="311"/>
      <c r="O140" s="311" t="s">
        <v>224</v>
      </c>
      <c r="P140" s="311"/>
      <c r="Q140" s="313" t="s">
        <v>529</v>
      </c>
      <c r="R140" s="270">
        <v>1</v>
      </c>
      <c r="S140" s="155">
        <f>0</f>
        <v>0</v>
      </c>
      <c r="T140" s="155">
        <f>0</f>
        <v>0</v>
      </c>
      <c r="U140" s="158">
        <f>0</f>
        <v>0</v>
      </c>
      <c r="V140" s="158">
        <f>0</f>
        <v>0</v>
      </c>
      <c r="W140" s="155">
        <f>0</f>
        <v>0</v>
      </c>
      <c r="X140" s="155">
        <f>0</f>
        <v>0</v>
      </c>
      <c r="Y140" s="155">
        <f>0</f>
        <v>0</v>
      </c>
      <c r="Z140" s="155">
        <f>0</f>
        <v>0</v>
      </c>
      <c r="AA140" s="155">
        <f>0</f>
        <v>0</v>
      </c>
      <c r="AB140" s="155">
        <f>0</f>
        <v>0</v>
      </c>
      <c r="AC140" s="155">
        <f>0</f>
        <v>0</v>
      </c>
      <c r="AD140" s="155">
        <f>0</f>
        <v>0</v>
      </c>
      <c r="AE140" s="155">
        <f>0</f>
        <v>0</v>
      </c>
      <c r="AF140" s="155">
        <f>0</f>
        <v>0</v>
      </c>
      <c r="AG140" s="155">
        <f>0</f>
        <v>0</v>
      </c>
      <c r="AH140" s="155">
        <f>0</f>
        <v>0</v>
      </c>
      <c r="AI140" s="155">
        <f>0</f>
        <v>0</v>
      </c>
      <c r="AJ140" s="155">
        <f>0</f>
        <v>0</v>
      </c>
      <c r="AK140" s="155">
        <f>0</f>
        <v>0</v>
      </c>
      <c r="AL140" s="219">
        <f t="shared" si="9"/>
        <v>1</v>
      </c>
      <c r="AM140" s="103">
        <f>0</f>
        <v>0</v>
      </c>
      <c r="AN140" s="220">
        <f t="shared" si="10"/>
        <v>1</v>
      </c>
      <c r="AO140" s="348">
        <v>45034</v>
      </c>
      <c r="AP140" s="296" t="s">
        <v>192</v>
      </c>
      <c r="AQ140" s="292" t="s">
        <v>1522</v>
      </c>
      <c r="AR140" s="293" t="s">
        <v>194</v>
      </c>
      <c r="AS140" s="301">
        <v>45078</v>
      </c>
      <c r="AT140" s="302"/>
      <c r="AU140" s="303">
        <v>1</v>
      </c>
      <c r="AV140" s="304">
        <f t="shared" si="8"/>
        <v>0</v>
      </c>
      <c r="AW140" s="302" t="s">
        <v>195</v>
      </c>
      <c r="AX140" s="305"/>
      <c r="AY140" s="306"/>
      <c r="AZ140" s="299"/>
      <c r="BA140" s="174"/>
      <c r="BB140" s="174"/>
      <c r="BC140" s="174"/>
    </row>
    <row r="141" spans="1:55" ht="28" customHeight="1">
      <c r="A141" s="45">
        <v>137</v>
      </c>
      <c r="B141" s="264">
        <v>45020</v>
      </c>
      <c r="C141" s="366"/>
      <c r="D141" s="366"/>
      <c r="E141" s="366"/>
      <c r="F141" s="257" t="s">
        <v>123</v>
      </c>
      <c r="G141" s="267" t="s">
        <v>575</v>
      </c>
      <c r="H141" s="268" t="s">
        <v>129</v>
      </c>
      <c r="I141" s="111" t="s">
        <v>576</v>
      </c>
      <c r="J141" s="269" t="s">
        <v>577</v>
      </c>
      <c r="K141" s="112" t="s">
        <v>97</v>
      </c>
      <c r="L141" s="112" t="s">
        <v>176</v>
      </c>
      <c r="M141" s="111" t="s">
        <v>279</v>
      </c>
      <c r="N141" s="111" t="s">
        <v>97</v>
      </c>
      <c r="O141" s="111" t="s">
        <v>224</v>
      </c>
      <c r="P141" s="325" t="s">
        <v>1541</v>
      </c>
      <c r="Q141" s="113" t="s">
        <v>529</v>
      </c>
      <c r="R141" s="270">
        <v>1</v>
      </c>
      <c r="S141" s="155">
        <f>0</f>
        <v>0</v>
      </c>
      <c r="T141" s="155">
        <f>0</f>
        <v>0</v>
      </c>
      <c r="U141" s="158">
        <f>0</f>
        <v>0</v>
      </c>
      <c r="V141" s="158">
        <f>0</f>
        <v>0</v>
      </c>
      <c r="W141" s="155">
        <f>0</f>
        <v>0</v>
      </c>
      <c r="X141" s="155">
        <f>0</f>
        <v>0</v>
      </c>
      <c r="Y141" s="155">
        <f>0</f>
        <v>0</v>
      </c>
      <c r="Z141" s="155">
        <f>0</f>
        <v>0</v>
      </c>
      <c r="AA141" s="155">
        <f>0</f>
        <v>0</v>
      </c>
      <c r="AB141" s="155">
        <f>0</f>
        <v>0</v>
      </c>
      <c r="AC141" s="155">
        <f>0</f>
        <v>0</v>
      </c>
      <c r="AD141" s="155">
        <f>0</f>
        <v>0</v>
      </c>
      <c r="AE141" s="155">
        <f>0</f>
        <v>0</v>
      </c>
      <c r="AF141" s="155">
        <f>0</f>
        <v>0</v>
      </c>
      <c r="AG141" s="155">
        <f>0</f>
        <v>0</v>
      </c>
      <c r="AH141" s="155">
        <f>0</f>
        <v>0</v>
      </c>
      <c r="AI141" s="155">
        <f>0</f>
        <v>0</v>
      </c>
      <c r="AJ141" s="155">
        <f>0</f>
        <v>0</v>
      </c>
      <c r="AK141" s="155">
        <f>0</f>
        <v>0</v>
      </c>
      <c r="AL141" s="219">
        <f t="shared" si="9"/>
        <v>1</v>
      </c>
      <c r="AM141" s="103">
        <f>0</f>
        <v>0</v>
      </c>
      <c r="AN141" s="220">
        <f t="shared" si="10"/>
        <v>1</v>
      </c>
      <c r="AO141" s="190"/>
      <c r="AP141" s="188"/>
      <c r="AQ141" s="179"/>
      <c r="AR141" s="189"/>
      <c r="AS141" s="286"/>
      <c r="AT141" s="177"/>
      <c r="AU141" s="178"/>
      <c r="AV141" s="171"/>
      <c r="AW141" s="177" t="s">
        <v>105</v>
      </c>
      <c r="AX141" s="180"/>
      <c r="AY141" s="175"/>
      <c r="AZ141" s="176"/>
    </row>
    <row r="142" spans="1:55" ht="28" customHeight="1">
      <c r="A142" s="308">
        <v>138</v>
      </c>
      <c r="B142" s="287">
        <v>45020</v>
      </c>
      <c r="C142" s="222" t="s">
        <v>198</v>
      </c>
      <c r="D142" s="222" t="s">
        <v>199</v>
      </c>
      <c r="E142" s="222" t="s">
        <v>200</v>
      </c>
      <c r="F142" s="349" t="s">
        <v>123</v>
      </c>
      <c r="G142" s="309" t="s">
        <v>541</v>
      </c>
      <c r="H142" s="310" t="s">
        <v>129</v>
      </c>
      <c r="I142" s="311" t="s">
        <v>226</v>
      </c>
      <c r="J142" s="312" t="s">
        <v>542</v>
      </c>
      <c r="K142" s="273"/>
      <c r="L142" s="273" t="s">
        <v>543</v>
      </c>
      <c r="M142" s="311" t="s">
        <v>544</v>
      </c>
      <c r="N142" s="311"/>
      <c r="O142" s="311" t="s">
        <v>97</v>
      </c>
      <c r="P142" s="311"/>
      <c r="Q142" s="313" t="s">
        <v>548</v>
      </c>
      <c r="R142" s="270">
        <v>1</v>
      </c>
      <c r="S142" s="155">
        <f>0</f>
        <v>0</v>
      </c>
      <c r="T142" s="155">
        <f>0</f>
        <v>0</v>
      </c>
      <c r="U142" s="158">
        <f>0</f>
        <v>0</v>
      </c>
      <c r="V142" s="158">
        <f>0</f>
        <v>0</v>
      </c>
      <c r="W142" s="155">
        <f>0</f>
        <v>0</v>
      </c>
      <c r="X142" s="155">
        <f>0</f>
        <v>0</v>
      </c>
      <c r="Y142" s="155">
        <f>0</f>
        <v>0</v>
      </c>
      <c r="Z142" s="155">
        <f>0</f>
        <v>0</v>
      </c>
      <c r="AA142" s="155">
        <f>0</f>
        <v>0</v>
      </c>
      <c r="AB142" s="155">
        <f>0</f>
        <v>0</v>
      </c>
      <c r="AC142" s="155">
        <f>0</f>
        <v>0</v>
      </c>
      <c r="AD142" s="155">
        <f>0</f>
        <v>0</v>
      </c>
      <c r="AE142" s="155">
        <f>0</f>
        <v>0</v>
      </c>
      <c r="AF142" s="155">
        <f>0</f>
        <v>0</v>
      </c>
      <c r="AG142" s="155">
        <f>0</f>
        <v>0</v>
      </c>
      <c r="AH142" s="155">
        <f>0</f>
        <v>0</v>
      </c>
      <c r="AI142" s="155">
        <f>0</f>
        <v>0</v>
      </c>
      <c r="AJ142" s="155">
        <f>0</f>
        <v>0</v>
      </c>
      <c r="AK142" s="155">
        <f>0</f>
        <v>0</v>
      </c>
      <c r="AL142" s="219">
        <f t="shared" si="9"/>
        <v>1</v>
      </c>
      <c r="AM142" s="103">
        <f>0</f>
        <v>0</v>
      </c>
      <c r="AN142" s="220">
        <f t="shared" si="10"/>
        <v>1</v>
      </c>
      <c r="AO142" s="348">
        <v>45034</v>
      </c>
      <c r="AP142" s="296" t="s">
        <v>192</v>
      </c>
      <c r="AQ142" s="292" t="s">
        <v>1522</v>
      </c>
      <c r="AR142" s="293" t="s">
        <v>194</v>
      </c>
      <c r="AS142" s="301">
        <v>45078</v>
      </c>
      <c r="AT142" s="302"/>
      <c r="AU142" s="303">
        <v>1</v>
      </c>
      <c r="AV142" s="304">
        <f t="shared" ref="AV142:AV205" si="11">AN142-AU142</f>
        <v>0</v>
      </c>
      <c r="AW142" s="302" t="s">
        <v>195</v>
      </c>
      <c r="AX142" s="305"/>
      <c r="AY142" s="306"/>
      <c r="AZ142" s="299"/>
      <c r="BA142" s="174"/>
      <c r="BB142" s="174"/>
      <c r="BC142" s="174"/>
    </row>
    <row r="143" spans="1:55" ht="27.75" customHeight="1">
      <c r="A143" s="308">
        <v>139</v>
      </c>
      <c r="B143" s="287">
        <v>45020</v>
      </c>
      <c r="C143" s="222" t="s">
        <v>198</v>
      </c>
      <c r="D143" s="222" t="s">
        <v>199</v>
      </c>
      <c r="E143" s="222" t="s">
        <v>200</v>
      </c>
      <c r="F143" s="371" t="s">
        <v>123</v>
      </c>
      <c r="G143" s="309" t="s">
        <v>545</v>
      </c>
      <c r="H143" s="310" t="s">
        <v>129</v>
      </c>
      <c r="I143" s="311" t="s">
        <v>546</v>
      </c>
      <c r="J143" s="312" t="s">
        <v>547</v>
      </c>
      <c r="K143" s="273"/>
      <c r="L143" s="273" t="s">
        <v>543</v>
      </c>
      <c r="M143" s="311" t="s">
        <v>544</v>
      </c>
      <c r="N143" s="311"/>
      <c r="O143" s="311" t="s">
        <v>97</v>
      </c>
      <c r="P143" s="311"/>
      <c r="Q143" s="313" t="s">
        <v>548</v>
      </c>
      <c r="R143" s="270">
        <v>1</v>
      </c>
      <c r="S143" s="155">
        <f>0</f>
        <v>0</v>
      </c>
      <c r="T143" s="155">
        <f>0</f>
        <v>0</v>
      </c>
      <c r="U143" s="158">
        <f>0</f>
        <v>0</v>
      </c>
      <c r="V143" s="158">
        <f>0</f>
        <v>0</v>
      </c>
      <c r="W143" s="155">
        <f>0</f>
        <v>0</v>
      </c>
      <c r="X143" s="155">
        <f>0</f>
        <v>0</v>
      </c>
      <c r="Y143" s="155">
        <f>0</f>
        <v>0</v>
      </c>
      <c r="Z143" s="155">
        <f>0</f>
        <v>0</v>
      </c>
      <c r="AA143" s="155">
        <f>0</f>
        <v>0</v>
      </c>
      <c r="AB143" s="155">
        <f>0</f>
        <v>0</v>
      </c>
      <c r="AC143" s="155">
        <f>0</f>
        <v>0</v>
      </c>
      <c r="AD143" s="155">
        <f>0</f>
        <v>0</v>
      </c>
      <c r="AE143" s="155">
        <f>0</f>
        <v>0</v>
      </c>
      <c r="AF143" s="155">
        <f>0</f>
        <v>0</v>
      </c>
      <c r="AG143" s="155">
        <f>0</f>
        <v>0</v>
      </c>
      <c r="AH143" s="155">
        <f>0</f>
        <v>0</v>
      </c>
      <c r="AI143" s="155">
        <f>0</f>
        <v>0</v>
      </c>
      <c r="AJ143" s="155">
        <f>0</f>
        <v>0</v>
      </c>
      <c r="AK143" s="155">
        <f>0</f>
        <v>0</v>
      </c>
      <c r="AL143" s="219">
        <f t="shared" si="9"/>
        <v>1</v>
      </c>
      <c r="AM143" s="103">
        <f>0</f>
        <v>0</v>
      </c>
      <c r="AN143" s="220">
        <f t="shared" si="10"/>
        <v>1</v>
      </c>
      <c r="AO143" s="348">
        <v>45034</v>
      </c>
      <c r="AP143" s="296" t="s">
        <v>192</v>
      </c>
      <c r="AQ143" s="292" t="s">
        <v>1522</v>
      </c>
      <c r="AR143" s="293" t="s">
        <v>194</v>
      </c>
      <c r="AS143" s="301">
        <v>45078</v>
      </c>
      <c r="AT143" s="302"/>
      <c r="AU143" s="303">
        <v>1</v>
      </c>
      <c r="AV143" s="304">
        <f t="shared" si="11"/>
        <v>0</v>
      </c>
      <c r="AW143" s="302" t="s">
        <v>195</v>
      </c>
      <c r="AX143" s="305"/>
      <c r="AY143" s="306"/>
      <c r="AZ143" s="299"/>
      <c r="BA143" s="174"/>
      <c r="BB143" s="174"/>
      <c r="BC143" s="174"/>
    </row>
    <row r="144" spans="1:55" ht="28" customHeight="1">
      <c r="A144" s="308">
        <v>140</v>
      </c>
      <c r="B144" s="287">
        <v>45020</v>
      </c>
      <c r="C144" s="222" t="s">
        <v>198</v>
      </c>
      <c r="D144" s="222" t="s">
        <v>199</v>
      </c>
      <c r="E144" s="222" t="s">
        <v>200</v>
      </c>
      <c r="F144" s="349" t="s">
        <v>123</v>
      </c>
      <c r="G144" s="309" t="s">
        <v>549</v>
      </c>
      <c r="H144" s="310" t="s">
        <v>129</v>
      </c>
      <c r="I144" s="311" t="s">
        <v>550</v>
      </c>
      <c r="J144" s="312" t="s">
        <v>574</v>
      </c>
      <c r="K144" s="273"/>
      <c r="L144" s="273" t="s">
        <v>176</v>
      </c>
      <c r="M144" s="311" t="s">
        <v>279</v>
      </c>
      <c r="N144" s="311"/>
      <c r="O144" s="311" t="s">
        <v>177</v>
      </c>
      <c r="P144" s="311"/>
      <c r="Q144" s="313" t="s">
        <v>548</v>
      </c>
      <c r="R144" s="270">
        <v>5</v>
      </c>
      <c r="S144" s="155">
        <f>0</f>
        <v>0</v>
      </c>
      <c r="T144" s="155">
        <f>0</f>
        <v>0</v>
      </c>
      <c r="U144" s="158">
        <f>0</f>
        <v>0</v>
      </c>
      <c r="V144" s="158">
        <f>0</f>
        <v>0</v>
      </c>
      <c r="W144" s="155">
        <f>0</f>
        <v>0</v>
      </c>
      <c r="X144" s="155">
        <f>0</f>
        <v>0</v>
      </c>
      <c r="Y144" s="155">
        <f>0</f>
        <v>0</v>
      </c>
      <c r="Z144" s="155">
        <f>0</f>
        <v>0</v>
      </c>
      <c r="AA144" s="155">
        <f>0</f>
        <v>0</v>
      </c>
      <c r="AB144" s="155">
        <f>0</f>
        <v>0</v>
      </c>
      <c r="AC144" s="155">
        <f>0</f>
        <v>0</v>
      </c>
      <c r="AD144" s="155">
        <f>0</f>
        <v>0</v>
      </c>
      <c r="AE144" s="155">
        <f>0</f>
        <v>0</v>
      </c>
      <c r="AF144" s="155">
        <f>0</f>
        <v>0</v>
      </c>
      <c r="AG144" s="155">
        <f>0</f>
        <v>0</v>
      </c>
      <c r="AH144" s="155">
        <f>0</f>
        <v>0</v>
      </c>
      <c r="AI144" s="155">
        <f>0</f>
        <v>0</v>
      </c>
      <c r="AJ144" s="155">
        <f>0</f>
        <v>0</v>
      </c>
      <c r="AK144" s="155">
        <f>0</f>
        <v>0</v>
      </c>
      <c r="AL144" s="219">
        <f t="shared" si="9"/>
        <v>5</v>
      </c>
      <c r="AM144" s="103">
        <f>0</f>
        <v>0</v>
      </c>
      <c r="AN144" s="220">
        <f t="shared" si="10"/>
        <v>5</v>
      </c>
      <c r="AO144" s="348">
        <v>45034</v>
      </c>
      <c r="AP144" s="296" t="s">
        <v>192</v>
      </c>
      <c r="AQ144" s="292" t="s">
        <v>1522</v>
      </c>
      <c r="AR144" s="293" t="s">
        <v>194</v>
      </c>
      <c r="AS144" s="301">
        <v>45078</v>
      </c>
      <c r="AT144" s="302"/>
      <c r="AU144" s="303">
        <v>5</v>
      </c>
      <c r="AV144" s="304">
        <f t="shared" si="11"/>
        <v>0</v>
      </c>
      <c r="AW144" s="302" t="s">
        <v>195</v>
      </c>
      <c r="AX144" s="305"/>
      <c r="AY144" s="306"/>
      <c r="AZ144" s="299"/>
      <c r="BA144" s="174"/>
      <c r="BB144" s="174"/>
      <c r="BC144" s="174"/>
    </row>
    <row r="145" spans="1:55" ht="27.75" customHeight="1">
      <c r="A145" s="308">
        <v>141</v>
      </c>
      <c r="B145" s="287">
        <v>45020</v>
      </c>
      <c r="C145" s="222" t="s">
        <v>198</v>
      </c>
      <c r="D145" s="222" t="s">
        <v>199</v>
      </c>
      <c r="E145" s="222" t="s">
        <v>200</v>
      </c>
      <c r="F145" s="371" t="s">
        <v>123</v>
      </c>
      <c r="G145" s="309" t="s">
        <v>555</v>
      </c>
      <c r="H145" s="310" t="s">
        <v>556</v>
      </c>
      <c r="I145" s="311" t="s">
        <v>551</v>
      </c>
      <c r="J145" s="312" t="s">
        <v>555</v>
      </c>
      <c r="K145" s="273"/>
      <c r="L145" s="273" t="s">
        <v>326</v>
      </c>
      <c r="M145" s="311" t="s">
        <v>156</v>
      </c>
      <c r="N145" s="311"/>
      <c r="O145" s="311" t="s">
        <v>204</v>
      </c>
      <c r="P145" s="311"/>
      <c r="Q145" s="313" t="s">
        <v>548</v>
      </c>
      <c r="R145" s="270">
        <v>3</v>
      </c>
      <c r="S145" s="155">
        <f>0</f>
        <v>0</v>
      </c>
      <c r="T145" s="155">
        <f>0</f>
        <v>0</v>
      </c>
      <c r="U145" s="158">
        <f>0</f>
        <v>0</v>
      </c>
      <c r="V145" s="158">
        <f>0</f>
        <v>0</v>
      </c>
      <c r="W145" s="155">
        <f>0</f>
        <v>0</v>
      </c>
      <c r="X145" s="155">
        <f>0</f>
        <v>0</v>
      </c>
      <c r="Y145" s="155">
        <f>0</f>
        <v>0</v>
      </c>
      <c r="Z145" s="155">
        <f>0</f>
        <v>0</v>
      </c>
      <c r="AA145" s="155">
        <f>0</f>
        <v>0</v>
      </c>
      <c r="AB145" s="155">
        <f>0</f>
        <v>0</v>
      </c>
      <c r="AC145" s="155">
        <f>0</f>
        <v>0</v>
      </c>
      <c r="AD145" s="155">
        <f>0</f>
        <v>0</v>
      </c>
      <c r="AE145" s="155">
        <f>0</f>
        <v>0</v>
      </c>
      <c r="AF145" s="155">
        <f>0</f>
        <v>0</v>
      </c>
      <c r="AG145" s="155">
        <f>0</f>
        <v>0</v>
      </c>
      <c r="AH145" s="155">
        <f>0</f>
        <v>0</v>
      </c>
      <c r="AI145" s="155">
        <f>0</f>
        <v>0</v>
      </c>
      <c r="AJ145" s="155">
        <f>0</f>
        <v>0</v>
      </c>
      <c r="AK145" s="155">
        <f>0</f>
        <v>0</v>
      </c>
      <c r="AL145" s="219">
        <f t="shared" si="9"/>
        <v>3</v>
      </c>
      <c r="AM145" s="103">
        <f>0</f>
        <v>0</v>
      </c>
      <c r="AN145" s="220">
        <f t="shared" si="10"/>
        <v>3</v>
      </c>
      <c r="AO145" s="290">
        <v>45034</v>
      </c>
      <c r="AP145" s="291" t="s">
        <v>192</v>
      </c>
      <c r="AQ145" s="292" t="s">
        <v>1520</v>
      </c>
      <c r="AR145" s="293" t="s">
        <v>197</v>
      </c>
      <c r="AS145" s="307"/>
      <c r="AT145" s="302"/>
      <c r="AU145" s="303">
        <v>3</v>
      </c>
      <c r="AV145" s="304">
        <f t="shared" si="11"/>
        <v>0</v>
      </c>
      <c r="AW145" s="302" t="s">
        <v>195</v>
      </c>
      <c r="AX145" s="305"/>
      <c r="AY145" s="306"/>
      <c r="AZ145" s="299"/>
      <c r="BA145" s="174"/>
      <c r="BB145" s="174"/>
      <c r="BC145" s="174"/>
    </row>
    <row r="146" spans="1:55" ht="28" customHeight="1">
      <c r="A146" s="308">
        <v>142</v>
      </c>
      <c r="B146" s="287">
        <v>45020</v>
      </c>
      <c r="C146" s="222" t="s">
        <v>198</v>
      </c>
      <c r="D146" s="222" t="s">
        <v>199</v>
      </c>
      <c r="E146" s="222" t="s">
        <v>200</v>
      </c>
      <c r="F146" s="349" t="s">
        <v>123</v>
      </c>
      <c r="G146" s="309" t="s">
        <v>552</v>
      </c>
      <c r="H146" s="310" t="s">
        <v>129</v>
      </c>
      <c r="I146" s="311" t="s">
        <v>553</v>
      </c>
      <c r="J146" s="312" t="s">
        <v>554</v>
      </c>
      <c r="K146" s="273" t="s">
        <v>97</v>
      </c>
      <c r="L146" s="273" t="s">
        <v>543</v>
      </c>
      <c r="M146" s="311" t="s">
        <v>544</v>
      </c>
      <c r="N146" s="311"/>
      <c r="O146" s="311" t="s">
        <v>97</v>
      </c>
      <c r="P146" s="311"/>
      <c r="Q146" s="313" t="s">
        <v>548</v>
      </c>
      <c r="R146" s="270">
        <v>1</v>
      </c>
      <c r="S146" s="155">
        <f>0</f>
        <v>0</v>
      </c>
      <c r="T146" s="155">
        <f>0</f>
        <v>0</v>
      </c>
      <c r="U146" s="158">
        <f>0</f>
        <v>0</v>
      </c>
      <c r="V146" s="158">
        <f>0</f>
        <v>0</v>
      </c>
      <c r="W146" s="155">
        <f>0</f>
        <v>0</v>
      </c>
      <c r="X146" s="155">
        <f>0</f>
        <v>0</v>
      </c>
      <c r="Y146" s="155">
        <f>0</f>
        <v>0</v>
      </c>
      <c r="Z146" s="155">
        <f>0</f>
        <v>0</v>
      </c>
      <c r="AA146" s="155">
        <f>0</f>
        <v>0</v>
      </c>
      <c r="AB146" s="155">
        <f>0</f>
        <v>0</v>
      </c>
      <c r="AC146" s="155">
        <f>0</f>
        <v>0</v>
      </c>
      <c r="AD146" s="155">
        <f>0</f>
        <v>0</v>
      </c>
      <c r="AE146" s="155">
        <f>0</f>
        <v>0</v>
      </c>
      <c r="AF146" s="155">
        <f>0</f>
        <v>0</v>
      </c>
      <c r="AG146" s="155">
        <f>0</f>
        <v>0</v>
      </c>
      <c r="AH146" s="155">
        <f>0</f>
        <v>0</v>
      </c>
      <c r="AI146" s="155">
        <f>0</f>
        <v>0</v>
      </c>
      <c r="AJ146" s="155">
        <f>0</f>
        <v>0</v>
      </c>
      <c r="AK146" s="155">
        <f>0</f>
        <v>0</v>
      </c>
      <c r="AL146" s="219">
        <f t="shared" si="9"/>
        <v>1</v>
      </c>
      <c r="AM146" s="103">
        <f>0</f>
        <v>0</v>
      </c>
      <c r="AN146" s="220">
        <f t="shared" si="10"/>
        <v>1</v>
      </c>
      <c r="AO146" s="348">
        <v>45034</v>
      </c>
      <c r="AP146" s="296" t="s">
        <v>192</v>
      </c>
      <c r="AQ146" s="292" t="s">
        <v>1522</v>
      </c>
      <c r="AR146" s="293" t="s">
        <v>194</v>
      </c>
      <c r="AS146" s="301">
        <v>45078</v>
      </c>
      <c r="AT146" s="302"/>
      <c r="AU146" s="303">
        <v>1</v>
      </c>
      <c r="AV146" s="304">
        <f t="shared" si="11"/>
        <v>0</v>
      </c>
      <c r="AW146" s="302" t="s">
        <v>195</v>
      </c>
      <c r="AX146" s="305"/>
      <c r="AY146" s="306"/>
      <c r="AZ146" s="299"/>
      <c r="BA146" s="174"/>
      <c r="BB146" s="174"/>
      <c r="BC146" s="174"/>
    </row>
    <row r="147" spans="1:55" ht="27.75" customHeight="1">
      <c r="A147" s="308">
        <v>143</v>
      </c>
      <c r="B147" s="287">
        <v>45020</v>
      </c>
      <c r="C147" s="222" t="s">
        <v>198</v>
      </c>
      <c r="D147" s="222" t="s">
        <v>199</v>
      </c>
      <c r="E147" s="222" t="s">
        <v>200</v>
      </c>
      <c r="F147" s="371" t="s">
        <v>123</v>
      </c>
      <c r="G147" s="309" t="s">
        <v>557</v>
      </c>
      <c r="H147" s="310" t="s">
        <v>129</v>
      </c>
      <c r="I147" s="311" t="s">
        <v>558</v>
      </c>
      <c r="J147" s="312" t="s">
        <v>559</v>
      </c>
      <c r="K147" s="273" t="s">
        <v>97</v>
      </c>
      <c r="L147" s="273" t="s">
        <v>234</v>
      </c>
      <c r="M147" s="311" t="s">
        <v>156</v>
      </c>
      <c r="N147" s="311"/>
      <c r="O147" s="311" t="s">
        <v>97</v>
      </c>
      <c r="P147" s="311"/>
      <c r="Q147" s="313" t="s">
        <v>548</v>
      </c>
      <c r="R147" s="270">
        <v>2</v>
      </c>
      <c r="S147" s="155">
        <f>0</f>
        <v>0</v>
      </c>
      <c r="T147" s="155">
        <f>0</f>
        <v>0</v>
      </c>
      <c r="U147" s="158">
        <f>0</f>
        <v>0</v>
      </c>
      <c r="V147" s="158">
        <f>0</f>
        <v>0</v>
      </c>
      <c r="W147" s="155">
        <f>0</f>
        <v>0</v>
      </c>
      <c r="X147" s="155">
        <f>0</f>
        <v>0</v>
      </c>
      <c r="Y147" s="155">
        <f>0</f>
        <v>0</v>
      </c>
      <c r="Z147" s="155">
        <f>0</f>
        <v>0</v>
      </c>
      <c r="AA147" s="155">
        <f>0</f>
        <v>0</v>
      </c>
      <c r="AB147" s="155">
        <f>0</f>
        <v>0</v>
      </c>
      <c r="AC147" s="155">
        <f>0</f>
        <v>0</v>
      </c>
      <c r="AD147" s="155">
        <f>0</f>
        <v>0</v>
      </c>
      <c r="AE147" s="155">
        <f>0</f>
        <v>0</v>
      </c>
      <c r="AF147" s="155">
        <f>0</f>
        <v>0</v>
      </c>
      <c r="AG147" s="155">
        <f>0</f>
        <v>0</v>
      </c>
      <c r="AH147" s="155">
        <f>0</f>
        <v>0</v>
      </c>
      <c r="AI147" s="155">
        <f>0</f>
        <v>0</v>
      </c>
      <c r="AJ147" s="155">
        <f>0</f>
        <v>0</v>
      </c>
      <c r="AK147" s="155">
        <f>0</f>
        <v>0</v>
      </c>
      <c r="AL147" s="219">
        <f t="shared" si="9"/>
        <v>2</v>
      </c>
      <c r="AM147" s="103">
        <f>0</f>
        <v>0</v>
      </c>
      <c r="AN147" s="220">
        <f t="shared" si="10"/>
        <v>2</v>
      </c>
      <c r="AO147" s="290">
        <v>45034</v>
      </c>
      <c r="AP147" s="291" t="s">
        <v>192</v>
      </c>
      <c r="AQ147" s="292" t="s">
        <v>1520</v>
      </c>
      <c r="AR147" s="293" t="s">
        <v>197</v>
      </c>
      <c r="AS147" s="307"/>
      <c r="AT147" s="302"/>
      <c r="AU147" s="303">
        <v>2</v>
      </c>
      <c r="AV147" s="304">
        <f t="shared" si="11"/>
        <v>0</v>
      </c>
      <c r="AW147" s="302" t="s">
        <v>195</v>
      </c>
      <c r="AX147" s="305"/>
      <c r="AY147" s="306"/>
      <c r="AZ147" s="299"/>
      <c r="BA147" s="174"/>
      <c r="BB147" s="174"/>
      <c r="BC147" s="174"/>
    </row>
    <row r="148" spans="1:55" ht="28" customHeight="1">
      <c r="A148" s="308">
        <v>144</v>
      </c>
      <c r="B148" s="287">
        <v>45020</v>
      </c>
      <c r="C148" s="222" t="s">
        <v>198</v>
      </c>
      <c r="D148" s="222" t="s">
        <v>199</v>
      </c>
      <c r="E148" s="222" t="s">
        <v>200</v>
      </c>
      <c r="F148" s="349" t="s">
        <v>123</v>
      </c>
      <c r="G148" s="309" t="s">
        <v>560</v>
      </c>
      <c r="H148" s="310" t="s">
        <v>129</v>
      </c>
      <c r="I148" s="311" t="s">
        <v>561</v>
      </c>
      <c r="J148" s="312" t="s">
        <v>562</v>
      </c>
      <c r="K148" s="273" t="s">
        <v>97</v>
      </c>
      <c r="L148" s="273" t="s">
        <v>168</v>
      </c>
      <c r="M148" s="311" t="s">
        <v>147</v>
      </c>
      <c r="N148" s="311"/>
      <c r="O148" s="311" t="s">
        <v>169</v>
      </c>
      <c r="P148" s="311"/>
      <c r="Q148" s="313" t="s">
        <v>548</v>
      </c>
      <c r="R148" s="270">
        <v>2</v>
      </c>
      <c r="S148" s="155">
        <f>0</f>
        <v>0</v>
      </c>
      <c r="T148" s="155">
        <f>0</f>
        <v>0</v>
      </c>
      <c r="U148" s="158">
        <f>0</f>
        <v>0</v>
      </c>
      <c r="V148" s="158">
        <f>0</f>
        <v>0</v>
      </c>
      <c r="W148" s="155">
        <f>0</f>
        <v>0</v>
      </c>
      <c r="X148" s="155">
        <f>0</f>
        <v>0</v>
      </c>
      <c r="Y148" s="155">
        <f>0</f>
        <v>0</v>
      </c>
      <c r="Z148" s="155">
        <f>0</f>
        <v>0</v>
      </c>
      <c r="AA148" s="155">
        <f>0</f>
        <v>0</v>
      </c>
      <c r="AB148" s="155">
        <f>0</f>
        <v>0</v>
      </c>
      <c r="AC148" s="155">
        <f>0</f>
        <v>0</v>
      </c>
      <c r="AD148" s="155">
        <f>0</f>
        <v>0</v>
      </c>
      <c r="AE148" s="155">
        <f>0</f>
        <v>0</v>
      </c>
      <c r="AF148" s="155">
        <f>0</f>
        <v>0</v>
      </c>
      <c r="AG148" s="155">
        <f>0</f>
        <v>0</v>
      </c>
      <c r="AH148" s="155">
        <f>0</f>
        <v>0</v>
      </c>
      <c r="AI148" s="155">
        <f>0</f>
        <v>0</v>
      </c>
      <c r="AJ148" s="155">
        <f>0</f>
        <v>0</v>
      </c>
      <c r="AK148" s="155">
        <f>0</f>
        <v>0</v>
      </c>
      <c r="AL148" s="219">
        <f t="shared" si="9"/>
        <v>2</v>
      </c>
      <c r="AM148" s="103">
        <f>0</f>
        <v>0</v>
      </c>
      <c r="AN148" s="220">
        <f t="shared" si="10"/>
        <v>2</v>
      </c>
      <c r="AO148" s="348">
        <v>45034</v>
      </c>
      <c r="AP148" s="296" t="s">
        <v>192</v>
      </c>
      <c r="AQ148" s="292" t="s">
        <v>1522</v>
      </c>
      <c r="AR148" s="293" t="s">
        <v>194</v>
      </c>
      <c r="AS148" s="301">
        <v>45078</v>
      </c>
      <c r="AT148" s="302"/>
      <c r="AU148" s="303">
        <v>2</v>
      </c>
      <c r="AV148" s="304">
        <f t="shared" si="11"/>
        <v>0</v>
      </c>
      <c r="AW148" s="302" t="s">
        <v>195</v>
      </c>
      <c r="AX148" s="305"/>
      <c r="AY148" s="306"/>
      <c r="AZ148" s="299"/>
      <c r="BA148" s="174"/>
      <c r="BB148" s="174"/>
      <c r="BC148" s="174"/>
    </row>
    <row r="149" spans="1:55" ht="27.75" customHeight="1">
      <c r="A149" s="308">
        <v>145</v>
      </c>
      <c r="B149" s="287">
        <v>45020</v>
      </c>
      <c r="C149" s="222" t="s">
        <v>198</v>
      </c>
      <c r="D149" s="222" t="s">
        <v>199</v>
      </c>
      <c r="E149" s="222" t="s">
        <v>200</v>
      </c>
      <c r="F149" s="371" t="s">
        <v>123</v>
      </c>
      <c r="G149" s="309" t="s">
        <v>563</v>
      </c>
      <c r="H149" s="310" t="s">
        <v>129</v>
      </c>
      <c r="I149" s="311" t="s">
        <v>564</v>
      </c>
      <c r="J149" s="312" t="s">
        <v>565</v>
      </c>
      <c r="K149" s="273" t="s">
        <v>97</v>
      </c>
      <c r="L149" s="273" t="s">
        <v>168</v>
      </c>
      <c r="M149" s="311" t="s">
        <v>147</v>
      </c>
      <c r="N149" s="311"/>
      <c r="O149" s="311" t="s">
        <v>169</v>
      </c>
      <c r="P149" s="311"/>
      <c r="Q149" s="313" t="s">
        <v>548</v>
      </c>
      <c r="R149" s="270">
        <v>8</v>
      </c>
      <c r="S149" s="155">
        <f>0</f>
        <v>0</v>
      </c>
      <c r="T149" s="155">
        <f>0</f>
        <v>0</v>
      </c>
      <c r="U149" s="158">
        <f>0</f>
        <v>0</v>
      </c>
      <c r="V149" s="158">
        <f>0</f>
        <v>0</v>
      </c>
      <c r="W149" s="155">
        <f>0</f>
        <v>0</v>
      </c>
      <c r="X149" s="155">
        <f>0</f>
        <v>0</v>
      </c>
      <c r="Y149" s="155">
        <f>0</f>
        <v>0</v>
      </c>
      <c r="Z149" s="155">
        <f>0</f>
        <v>0</v>
      </c>
      <c r="AA149" s="155">
        <f>0</f>
        <v>0</v>
      </c>
      <c r="AB149" s="155">
        <f>0</f>
        <v>0</v>
      </c>
      <c r="AC149" s="155">
        <f>0</f>
        <v>0</v>
      </c>
      <c r="AD149" s="155">
        <f>0</f>
        <v>0</v>
      </c>
      <c r="AE149" s="155">
        <f>0</f>
        <v>0</v>
      </c>
      <c r="AF149" s="155">
        <f>0</f>
        <v>0</v>
      </c>
      <c r="AG149" s="155">
        <f>0</f>
        <v>0</v>
      </c>
      <c r="AH149" s="155">
        <f>0</f>
        <v>0</v>
      </c>
      <c r="AI149" s="155">
        <f>0</f>
        <v>0</v>
      </c>
      <c r="AJ149" s="155">
        <f>0</f>
        <v>0</v>
      </c>
      <c r="AK149" s="155">
        <f>0</f>
        <v>0</v>
      </c>
      <c r="AL149" s="219">
        <f t="shared" si="9"/>
        <v>8</v>
      </c>
      <c r="AM149" s="103">
        <f>0</f>
        <v>0</v>
      </c>
      <c r="AN149" s="220">
        <f t="shared" si="10"/>
        <v>8</v>
      </c>
      <c r="AO149" s="348">
        <v>45034</v>
      </c>
      <c r="AP149" s="296" t="s">
        <v>192</v>
      </c>
      <c r="AQ149" s="292" t="s">
        <v>1522</v>
      </c>
      <c r="AR149" s="293" t="s">
        <v>194</v>
      </c>
      <c r="AS149" s="301">
        <v>45078</v>
      </c>
      <c r="AT149" s="302"/>
      <c r="AU149" s="303">
        <v>8</v>
      </c>
      <c r="AV149" s="304">
        <f t="shared" si="11"/>
        <v>0</v>
      </c>
      <c r="AW149" s="302" t="s">
        <v>195</v>
      </c>
      <c r="AX149" s="305"/>
      <c r="AY149" s="306"/>
      <c r="AZ149" s="299"/>
      <c r="BA149" s="174"/>
      <c r="BB149" s="174"/>
      <c r="BC149" s="174"/>
    </row>
    <row r="150" spans="1:55" ht="28" customHeight="1">
      <c r="A150" s="308">
        <v>146</v>
      </c>
      <c r="B150" s="287">
        <v>45020</v>
      </c>
      <c r="C150" s="222" t="s">
        <v>198</v>
      </c>
      <c r="D150" s="222" t="s">
        <v>199</v>
      </c>
      <c r="E150" s="222" t="s">
        <v>200</v>
      </c>
      <c r="F150" s="349" t="s">
        <v>123</v>
      </c>
      <c r="G150" s="309" t="s">
        <v>566</v>
      </c>
      <c r="H150" s="310" t="s">
        <v>129</v>
      </c>
      <c r="I150" s="311" t="s">
        <v>567</v>
      </c>
      <c r="J150" s="312" t="s">
        <v>568</v>
      </c>
      <c r="K150" s="273" t="s">
        <v>97</v>
      </c>
      <c r="L150" s="273" t="s">
        <v>168</v>
      </c>
      <c r="M150" s="311" t="s">
        <v>147</v>
      </c>
      <c r="N150" s="311"/>
      <c r="O150" s="311" t="s">
        <v>169</v>
      </c>
      <c r="P150" s="311"/>
      <c r="Q150" s="313" t="s">
        <v>548</v>
      </c>
      <c r="R150" s="270">
        <v>2</v>
      </c>
      <c r="S150" s="155">
        <f>0</f>
        <v>0</v>
      </c>
      <c r="T150" s="155">
        <f>0</f>
        <v>0</v>
      </c>
      <c r="U150" s="158">
        <f>0</f>
        <v>0</v>
      </c>
      <c r="V150" s="158">
        <f>0</f>
        <v>0</v>
      </c>
      <c r="W150" s="155">
        <f>0</f>
        <v>0</v>
      </c>
      <c r="X150" s="155">
        <f>0</f>
        <v>0</v>
      </c>
      <c r="Y150" s="155">
        <f>0</f>
        <v>0</v>
      </c>
      <c r="Z150" s="155">
        <f>0</f>
        <v>0</v>
      </c>
      <c r="AA150" s="155">
        <f>0</f>
        <v>0</v>
      </c>
      <c r="AB150" s="155">
        <f>0</f>
        <v>0</v>
      </c>
      <c r="AC150" s="155">
        <f>0</f>
        <v>0</v>
      </c>
      <c r="AD150" s="155">
        <f>0</f>
        <v>0</v>
      </c>
      <c r="AE150" s="155">
        <f>0</f>
        <v>0</v>
      </c>
      <c r="AF150" s="155">
        <f>0</f>
        <v>0</v>
      </c>
      <c r="AG150" s="155">
        <f>0</f>
        <v>0</v>
      </c>
      <c r="AH150" s="155">
        <f>0</f>
        <v>0</v>
      </c>
      <c r="AI150" s="155">
        <f>0</f>
        <v>0</v>
      </c>
      <c r="AJ150" s="155">
        <f>0</f>
        <v>0</v>
      </c>
      <c r="AK150" s="155">
        <f>0</f>
        <v>0</v>
      </c>
      <c r="AL150" s="219">
        <f t="shared" si="9"/>
        <v>2</v>
      </c>
      <c r="AM150" s="103">
        <f>0</f>
        <v>0</v>
      </c>
      <c r="AN150" s="220">
        <f t="shared" si="10"/>
        <v>2</v>
      </c>
      <c r="AO150" s="348">
        <v>45034</v>
      </c>
      <c r="AP150" s="296" t="s">
        <v>192</v>
      </c>
      <c r="AQ150" s="292" t="s">
        <v>1522</v>
      </c>
      <c r="AR150" s="293" t="s">
        <v>194</v>
      </c>
      <c r="AS150" s="301">
        <v>45078</v>
      </c>
      <c r="AT150" s="302"/>
      <c r="AU150" s="303">
        <v>2</v>
      </c>
      <c r="AV150" s="304">
        <f t="shared" si="11"/>
        <v>0</v>
      </c>
      <c r="AW150" s="302" t="s">
        <v>195</v>
      </c>
      <c r="AX150" s="305"/>
      <c r="AY150" s="306"/>
      <c r="AZ150" s="299"/>
      <c r="BA150" s="174"/>
      <c r="BB150" s="174"/>
      <c r="BC150" s="174"/>
    </row>
    <row r="151" spans="1:55" ht="27.75" customHeight="1">
      <c r="A151" s="308">
        <v>147</v>
      </c>
      <c r="B151" s="287">
        <v>45020</v>
      </c>
      <c r="C151" s="222" t="s">
        <v>198</v>
      </c>
      <c r="D151" s="222" t="s">
        <v>199</v>
      </c>
      <c r="E151" s="222" t="s">
        <v>200</v>
      </c>
      <c r="F151" s="371" t="s">
        <v>123</v>
      </c>
      <c r="G151" s="309" t="s">
        <v>569</v>
      </c>
      <c r="H151" s="310" t="s">
        <v>129</v>
      </c>
      <c r="I151" s="311" t="s">
        <v>570</v>
      </c>
      <c r="J151" s="312" t="s">
        <v>571</v>
      </c>
      <c r="K151" s="273" t="s">
        <v>97</v>
      </c>
      <c r="L151" s="273" t="s">
        <v>168</v>
      </c>
      <c r="M151" s="311" t="s">
        <v>147</v>
      </c>
      <c r="N151" s="311"/>
      <c r="O151" s="311" t="s">
        <v>169</v>
      </c>
      <c r="P151" s="311"/>
      <c r="Q151" s="313" t="s">
        <v>548</v>
      </c>
      <c r="R151" s="270">
        <v>2</v>
      </c>
      <c r="S151" s="155">
        <f>0</f>
        <v>0</v>
      </c>
      <c r="T151" s="155">
        <f>0</f>
        <v>0</v>
      </c>
      <c r="U151" s="158">
        <f>0</f>
        <v>0</v>
      </c>
      <c r="V151" s="158">
        <f>0</f>
        <v>0</v>
      </c>
      <c r="W151" s="155">
        <f>0</f>
        <v>0</v>
      </c>
      <c r="X151" s="155">
        <f>0</f>
        <v>0</v>
      </c>
      <c r="Y151" s="155">
        <f>0</f>
        <v>0</v>
      </c>
      <c r="Z151" s="155">
        <f>0</f>
        <v>0</v>
      </c>
      <c r="AA151" s="155">
        <f>0</f>
        <v>0</v>
      </c>
      <c r="AB151" s="155">
        <f>0</f>
        <v>0</v>
      </c>
      <c r="AC151" s="155">
        <f>0</f>
        <v>0</v>
      </c>
      <c r="AD151" s="155">
        <f>0</f>
        <v>0</v>
      </c>
      <c r="AE151" s="155">
        <f>0</f>
        <v>0</v>
      </c>
      <c r="AF151" s="155">
        <f>0</f>
        <v>0</v>
      </c>
      <c r="AG151" s="155">
        <f>0</f>
        <v>0</v>
      </c>
      <c r="AH151" s="155">
        <f>0</f>
        <v>0</v>
      </c>
      <c r="AI151" s="155">
        <f>0</f>
        <v>0</v>
      </c>
      <c r="AJ151" s="155">
        <f>0</f>
        <v>0</v>
      </c>
      <c r="AK151" s="155">
        <f>0</f>
        <v>0</v>
      </c>
      <c r="AL151" s="219">
        <f t="shared" si="9"/>
        <v>2</v>
      </c>
      <c r="AM151" s="103">
        <f>0</f>
        <v>0</v>
      </c>
      <c r="AN151" s="220">
        <f t="shared" si="10"/>
        <v>2</v>
      </c>
      <c r="AO151" s="348">
        <v>45034</v>
      </c>
      <c r="AP151" s="296" t="s">
        <v>192</v>
      </c>
      <c r="AQ151" s="292" t="s">
        <v>1522</v>
      </c>
      <c r="AR151" s="293" t="s">
        <v>194</v>
      </c>
      <c r="AS151" s="301">
        <v>45078</v>
      </c>
      <c r="AT151" s="302"/>
      <c r="AU151" s="303">
        <v>2</v>
      </c>
      <c r="AV151" s="304">
        <f t="shared" si="11"/>
        <v>0</v>
      </c>
      <c r="AW151" s="302" t="s">
        <v>195</v>
      </c>
      <c r="AX151" s="305"/>
      <c r="AY151" s="306"/>
      <c r="AZ151" s="299"/>
      <c r="BA151" s="174"/>
      <c r="BB151" s="174"/>
      <c r="BC151" s="174"/>
    </row>
    <row r="152" spans="1:55" ht="28" customHeight="1">
      <c r="A152" s="308">
        <v>148</v>
      </c>
      <c r="B152" s="287">
        <v>45020</v>
      </c>
      <c r="C152" s="222" t="s">
        <v>198</v>
      </c>
      <c r="D152" s="222" t="s">
        <v>199</v>
      </c>
      <c r="E152" s="222" t="s">
        <v>200</v>
      </c>
      <c r="F152" s="349" t="s">
        <v>123</v>
      </c>
      <c r="G152" s="309" t="s">
        <v>572</v>
      </c>
      <c r="H152" s="310" t="s">
        <v>129</v>
      </c>
      <c r="I152" s="311" t="s">
        <v>561</v>
      </c>
      <c r="J152" s="312" t="s">
        <v>573</v>
      </c>
      <c r="K152" s="273" t="s">
        <v>97</v>
      </c>
      <c r="L152" s="273" t="s">
        <v>168</v>
      </c>
      <c r="M152" s="311" t="s">
        <v>147</v>
      </c>
      <c r="N152" s="311"/>
      <c r="O152" s="311" t="s">
        <v>169</v>
      </c>
      <c r="P152" s="311"/>
      <c r="Q152" s="313" t="s">
        <v>548</v>
      </c>
      <c r="R152" s="270">
        <v>16</v>
      </c>
      <c r="S152" s="155">
        <f>0</f>
        <v>0</v>
      </c>
      <c r="T152" s="155">
        <f>0</f>
        <v>0</v>
      </c>
      <c r="U152" s="158">
        <f>0</f>
        <v>0</v>
      </c>
      <c r="V152" s="158">
        <f>0</f>
        <v>0</v>
      </c>
      <c r="W152" s="155">
        <f>0</f>
        <v>0</v>
      </c>
      <c r="X152" s="155">
        <f>0</f>
        <v>0</v>
      </c>
      <c r="Y152" s="155">
        <f>0</f>
        <v>0</v>
      </c>
      <c r="Z152" s="155">
        <f>0</f>
        <v>0</v>
      </c>
      <c r="AA152" s="155">
        <f>0</f>
        <v>0</v>
      </c>
      <c r="AB152" s="155">
        <f>0</f>
        <v>0</v>
      </c>
      <c r="AC152" s="155">
        <f>0</f>
        <v>0</v>
      </c>
      <c r="AD152" s="155">
        <f>0</f>
        <v>0</v>
      </c>
      <c r="AE152" s="155">
        <f>0</f>
        <v>0</v>
      </c>
      <c r="AF152" s="155">
        <f>0</f>
        <v>0</v>
      </c>
      <c r="AG152" s="155">
        <f>0</f>
        <v>0</v>
      </c>
      <c r="AH152" s="155">
        <f>0</f>
        <v>0</v>
      </c>
      <c r="AI152" s="155">
        <f>0</f>
        <v>0</v>
      </c>
      <c r="AJ152" s="155">
        <f>0</f>
        <v>0</v>
      </c>
      <c r="AK152" s="155">
        <f>0</f>
        <v>0</v>
      </c>
      <c r="AL152" s="219">
        <f t="shared" si="9"/>
        <v>16</v>
      </c>
      <c r="AM152" s="103">
        <f>0</f>
        <v>0</v>
      </c>
      <c r="AN152" s="220">
        <f t="shared" si="10"/>
        <v>16</v>
      </c>
      <c r="AO152" s="348">
        <v>45034</v>
      </c>
      <c r="AP152" s="296" t="s">
        <v>192</v>
      </c>
      <c r="AQ152" s="292" t="s">
        <v>1522</v>
      </c>
      <c r="AR152" s="293" t="s">
        <v>194</v>
      </c>
      <c r="AS152" s="301">
        <v>45078</v>
      </c>
      <c r="AT152" s="302"/>
      <c r="AU152" s="303">
        <v>16</v>
      </c>
      <c r="AV152" s="304">
        <f t="shared" si="11"/>
        <v>0</v>
      </c>
      <c r="AW152" s="302" t="s">
        <v>195</v>
      </c>
      <c r="AX152" s="305"/>
      <c r="AY152" s="306"/>
      <c r="AZ152" s="299"/>
      <c r="BA152" s="174"/>
      <c r="BB152" s="174"/>
      <c r="BC152" s="174"/>
    </row>
    <row r="153" spans="1:55" ht="27.75" customHeight="1">
      <c r="A153" s="308">
        <v>149</v>
      </c>
      <c r="B153" s="287">
        <v>45020</v>
      </c>
      <c r="C153" s="222" t="s">
        <v>198</v>
      </c>
      <c r="D153" s="222" t="s">
        <v>199</v>
      </c>
      <c r="E153" s="222" t="s">
        <v>200</v>
      </c>
      <c r="F153" s="371" t="s">
        <v>123</v>
      </c>
      <c r="G153" s="309" t="s">
        <v>578</v>
      </c>
      <c r="H153" s="310" t="s">
        <v>129</v>
      </c>
      <c r="I153" s="311" t="s">
        <v>579</v>
      </c>
      <c r="J153" s="312" t="s">
        <v>580</v>
      </c>
      <c r="K153" s="273" t="s">
        <v>97</v>
      </c>
      <c r="L153" s="273" t="s">
        <v>176</v>
      </c>
      <c r="M153" s="311" t="s">
        <v>147</v>
      </c>
      <c r="N153" s="311" t="s">
        <v>97</v>
      </c>
      <c r="O153" s="311" t="s">
        <v>224</v>
      </c>
      <c r="P153" s="311"/>
      <c r="Q153" s="313" t="s">
        <v>548</v>
      </c>
      <c r="R153" s="270">
        <v>1</v>
      </c>
      <c r="S153" s="155">
        <f>0</f>
        <v>0</v>
      </c>
      <c r="T153" s="155">
        <f>0</f>
        <v>0</v>
      </c>
      <c r="U153" s="158">
        <f>0</f>
        <v>0</v>
      </c>
      <c r="V153" s="158">
        <f>0</f>
        <v>0</v>
      </c>
      <c r="W153" s="155">
        <f>0</f>
        <v>0</v>
      </c>
      <c r="X153" s="155">
        <f>0</f>
        <v>0</v>
      </c>
      <c r="Y153" s="155">
        <f>0</f>
        <v>0</v>
      </c>
      <c r="Z153" s="155">
        <f>0</f>
        <v>0</v>
      </c>
      <c r="AA153" s="155">
        <f>0</f>
        <v>0</v>
      </c>
      <c r="AB153" s="155">
        <f>0</f>
        <v>0</v>
      </c>
      <c r="AC153" s="155">
        <f>0</f>
        <v>0</v>
      </c>
      <c r="AD153" s="155">
        <f>0</f>
        <v>0</v>
      </c>
      <c r="AE153" s="155">
        <f>0</f>
        <v>0</v>
      </c>
      <c r="AF153" s="155">
        <f>0</f>
        <v>0</v>
      </c>
      <c r="AG153" s="155">
        <f>0</f>
        <v>0</v>
      </c>
      <c r="AH153" s="155">
        <f>0</f>
        <v>0</v>
      </c>
      <c r="AI153" s="155">
        <f>0</f>
        <v>0</v>
      </c>
      <c r="AJ153" s="155">
        <f>0</f>
        <v>0</v>
      </c>
      <c r="AK153" s="155">
        <f>0</f>
        <v>0</v>
      </c>
      <c r="AL153" s="219">
        <f t="shared" si="9"/>
        <v>1</v>
      </c>
      <c r="AM153" s="103">
        <f>0</f>
        <v>0</v>
      </c>
      <c r="AN153" s="220">
        <f t="shared" si="10"/>
        <v>1</v>
      </c>
      <c r="AO153" s="348">
        <v>45034</v>
      </c>
      <c r="AP153" s="296" t="s">
        <v>192</v>
      </c>
      <c r="AQ153" s="292" t="s">
        <v>1522</v>
      </c>
      <c r="AR153" s="293" t="s">
        <v>194</v>
      </c>
      <c r="AS153" s="301">
        <v>45078</v>
      </c>
      <c r="AT153" s="302"/>
      <c r="AU153" s="303">
        <v>1</v>
      </c>
      <c r="AV153" s="304">
        <f t="shared" si="11"/>
        <v>0</v>
      </c>
      <c r="AW153" s="302" t="s">
        <v>195</v>
      </c>
      <c r="AX153" s="305"/>
      <c r="AY153" s="306"/>
      <c r="AZ153" s="299"/>
      <c r="BA153" s="174"/>
      <c r="BB153" s="174"/>
      <c r="BC153" s="174"/>
    </row>
    <row r="154" spans="1:55" ht="28" customHeight="1">
      <c r="A154" s="308">
        <v>150</v>
      </c>
      <c r="B154" s="287">
        <v>45020</v>
      </c>
      <c r="C154" s="222" t="s">
        <v>198</v>
      </c>
      <c r="D154" s="222" t="s">
        <v>199</v>
      </c>
      <c r="E154" s="222" t="s">
        <v>200</v>
      </c>
      <c r="F154" s="349" t="s">
        <v>123</v>
      </c>
      <c r="G154" s="309" t="s">
        <v>581</v>
      </c>
      <c r="H154" s="310" t="s">
        <v>129</v>
      </c>
      <c r="I154" s="311" t="s">
        <v>582</v>
      </c>
      <c r="J154" s="312" t="s">
        <v>583</v>
      </c>
      <c r="K154" s="273" t="s">
        <v>97</v>
      </c>
      <c r="L154" s="273" t="s">
        <v>176</v>
      </c>
      <c r="M154" s="311" t="s">
        <v>147</v>
      </c>
      <c r="N154" s="311" t="s">
        <v>97</v>
      </c>
      <c r="O154" s="311" t="s">
        <v>224</v>
      </c>
      <c r="P154" s="311"/>
      <c r="Q154" s="313" t="s">
        <v>548</v>
      </c>
      <c r="R154" s="270">
        <v>1</v>
      </c>
      <c r="S154" s="155">
        <f>0</f>
        <v>0</v>
      </c>
      <c r="T154" s="155">
        <f>0</f>
        <v>0</v>
      </c>
      <c r="U154" s="158">
        <f>0</f>
        <v>0</v>
      </c>
      <c r="V154" s="158">
        <f>0</f>
        <v>0</v>
      </c>
      <c r="W154" s="155">
        <f>0</f>
        <v>0</v>
      </c>
      <c r="X154" s="155">
        <f>0</f>
        <v>0</v>
      </c>
      <c r="Y154" s="155">
        <f>0</f>
        <v>0</v>
      </c>
      <c r="Z154" s="155">
        <f>0</f>
        <v>0</v>
      </c>
      <c r="AA154" s="155">
        <f>0</f>
        <v>0</v>
      </c>
      <c r="AB154" s="155">
        <f>0</f>
        <v>0</v>
      </c>
      <c r="AC154" s="155">
        <f>0</f>
        <v>0</v>
      </c>
      <c r="AD154" s="155">
        <f>0</f>
        <v>0</v>
      </c>
      <c r="AE154" s="155">
        <f>0</f>
        <v>0</v>
      </c>
      <c r="AF154" s="155">
        <f>0</f>
        <v>0</v>
      </c>
      <c r="AG154" s="155">
        <f>0</f>
        <v>0</v>
      </c>
      <c r="AH154" s="155">
        <f>0</f>
        <v>0</v>
      </c>
      <c r="AI154" s="155">
        <f>0</f>
        <v>0</v>
      </c>
      <c r="AJ154" s="155">
        <f>0</f>
        <v>0</v>
      </c>
      <c r="AK154" s="155">
        <f>0</f>
        <v>0</v>
      </c>
      <c r="AL154" s="219">
        <f t="shared" si="9"/>
        <v>1</v>
      </c>
      <c r="AM154" s="103">
        <f>0</f>
        <v>0</v>
      </c>
      <c r="AN154" s="220">
        <f t="shared" si="10"/>
        <v>1</v>
      </c>
      <c r="AO154" s="348">
        <v>45034</v>
      </c>
      <c r="AP154" s="296" t="s">
        <v>192</v>
      </c>
      <c r="AQ154" s="292" t="s">
        <v>1522</v>
      </c>
      <c r="AR154" s="293" t="s">
        <v>194</v>
      </c>
      <c r="AS154" s="301">
        <v>45078</v>
      </c>
      <c r="AT154" s="302"/>
      <c r="AU154" s="303">
        <v>1</v>
      </c>
      <c r="AV154" s="304">
        <f t="shared" si="11"/>
        <v>0</v>
      </c>
      <c r="AW154" s="302" t="s">
        <v>195</v>
      </c>
      <c r="AX154" s="305"/>
      <c r="AY154" s="306"/>
      <c r="AZ154" s="299"/>
      <c r="BA154" s="174"/>
      <c r="BB154" s="174"/>
      <c r="BC154" s="174"/>
    </row>
    <row r="155" spans="1:55" ht="27.75" customHeight="1">
      <c r="A155" s="308">
        <v>151</v>
      </c>
      <c r="B155" s="287">
        <v>45020</v>
      </c>
      <c r="C155" s="222" t="s">
        <v>198</v>
      </c>
      <c r="D155" s="222" t="s">
        <v>199</v>
      </c>
      <c r="E155" s="222" t="s">
        <v>200</v>
      </c>
      <c r="F155" s="371" t="s">
        <v>123</v>
      </c>
      <c r="G155" s="309" t="s">
        <v>584</v>
      </c>
      <c r="H155" s="310" t="s">
        <v>129</v>
      </c>
      <c r="I155" s="311" t="s">
        <v>585</v>
      </c>
      <c r="J155" s="312" t="s">
        <v>586</v>
      </c>
      <c r="K155" s="273" t="s">
        <v>97</v>
      </c>
      <c r="L155" s="273" t="s">
        <v>165</v>
      </c>
      <c r="M155" s="311" t="s">
        <v>279</v>
      </c>
      <c r="N155" s="311" t="s">
        <v>97</v>
      </c>
      <c r="O155" s="311" t="s">
        <v>587</v>
      </c>
      <c r="P155" s="311"/>
      <c r="Q155" s="313" t="s">
        <v>548</v>
      </c>
      <c r="R155" s="270">
        <v>1</v>
      </c>
      <c r="S155" s="155">
        <f>0</f>
        <v>0</v>
      </c>
      <c r="T155" s="155">
        <f>0</f>
        <v>0</v>
      </c>
      <c r="U155" s="158">
        <f>0</f>
        <v>0</v>
      </c>
      <c r="V155" s="158">
        <f>0</f>
        <v>0</v>
      </c>
      <c r="W155" s="155">
        <f>0</f>
        <v>0</v>
      </c>
      <c r="X155" s="155">
        <f>0</f>
        <v>0</v>
      </c>
      <c r="Y155" s="155">
        <f>0</f>
        <v>0</v>
      </c>
      <c r="Z155" s="155">
        <f>0</f>
        <v>0</v>
      </c>
      <c r="AA155" s="155">
        <f>0</f>
        <v>0</v>
      </c>
      <c r="AB155" s="155">
        <f>0</f>
        <v>0</v>
      </c>
      <c r="AC155" s="155">
        <f>0</f>
        <v>0</v>
      </c>
      <c r="AD155" s="155">
        <f>0</f>
        <v>0</v>
      </c>
      <c r="AE155" s="155">
        <f>0</f>
        <v>0</v>
      </c>
      <c r="AF155" s="155">
        <f>0</f>
        <v>0</v>
      </c>
      <c r="AG155" s="155">
        <f>0</f>
        <v>0</v>
      </c>
      <c r="AH155" s="155">
        <f>0</f>
        <v>0</v>
      </c>
      <c r="AI155" s="155">
        <f>0</f>
        <v>0</v>
      </c>
      <c r="AJ155" s="155">
        <f>0</f>
        <v>0</v>
      </c>
      <c r="AK155" s="155">
        <f>0</f>
        <v>0</v>
      </c>
      <c r="AL155" s="219">
        <f t="shared" si="9"/>
        <v>1</v>
      </c>
      <c r="AM155" s="103">
        <f>0</f>
        <v>0</v>
      </c>
      <c r="AN155" s="220">
        <f t="shared" si="10"/>
        <v>1</v>
      </c>
      <c r="AO155" s="348">
        <v>45034</v>
      </c>
      <c r="AP155" s="296" t="s">
        <v>192</v>
      </c>
      <c r="AQ155" s="292" t="s">
        <v>1522</v>
      </c>
      <c r="AR155" s="293" t="s">
        <v>194</v>
      </c>
      <c r="AS155" s="301">
        <v>45078</v>
      </c>
      <c r="AT155" s="302"/>
      <c r="AU155" s="303">
        <v>1</v>
      </c>
      <c r="AV155" s="304">
        <f t="shared" si="11"/>
        <v>0</v>
      </c>
      <c r="AW155" s="302" t="s">
        <v>195</v>
      </c>
      <c r="AX155" s="305"/>
      <c r="AY155" s="306"/>
      <c r="AZ155" s="299"/>
      <c r="BA155" s="174"/>
      <c r="BB155" s="174"/>
      <c r="BC155" s="174"/>
    </row>
    <row r="156" spans="1:55" ht="28" customHeight="1">
      <c r="A156" s="308">
        <v>152</v>
      </c>
      <c r="B156" s="287">
        <v>45020</v>
      </c>
      <c r="C156" s="222" t="s">
        <v>198</v>
      </c>
      <c r="D156" s="222" t="s">
        <v>199</v>
      </c>
      <c r="E156" s="222" t="s">
        <v>200</v>
      </c>
      <c r="F156" s="349" t="s">
        <v>123</v>
      </c>
      <c r="G156" s="309" t="s">
        <v>588</v>
      </c>
      <c r="H156" s="310" t="s">
        <v>129</v>
      </c>
      <c r="I156" s="311" t="s">
        <v>589</v>
      </c>
      <c r="J156" s="312" t="s">
        <v>590</v>
      </c>
      <c r="K156" s="273" t="s">
        <v>97</v>
      </c>
      <c r="L156" s="273" t="s">
        <v>165</v>
      </c>
      <c r="M156" s="311" t="s">
        <v>279</v>
      </c>
      <c r="N156" s="311" t="s">
        <v>97</v>
      </c>
      <c r="O156" s="311" t="s">
        <v>177</v>
      </c>
      <c r="P156" s="311"/>
      <c r="Q156" s="313" t="s">
        <v>548</v>
      </c>
      <c r="R156" s="154">
        <v>0</v>
      </c>
      <c r="S156" s="155">
        <f>0</f>
        <v>0</v>
      </c>
      <c r="T156" s="155">
        <f>0</f>
        <v>0</v>
      </c>
      <c r="U156" s="158">
        <f>0</f>
        <v>0</v>
      </c>
      <c r="V156" s="158">
        <f>0</f>
        <v>0</v>
      </c>
      <c r="W156" s="155">
        <f>0</f>
        <v>0</v>
      </c>
      <c r="X156" s="155">
        <f>0</f>
        <v>0</v>
      </c>
      <c r="Y156" s="155">
        <f>0</f>
        <v>0</v>
      </c>
      <c r="Z156" s="155">
        <f>0</f>
        <v>0</v>
      </c>
      <c r="AA156" s="155">
        <f>0</f>
        <v>0</v>
      </c>
      <c r="AB156" s="155">
        <f>0</f>
        <v>0</v>
      </c>
      <c r="AC156" s="155">
        <f>0</f>
        <v>0</v>
      </c>
      <c r="AD156" s="263">
        <v>1</v>
      </c>
      <c r="AE156" s="155">
        <f>0</f>
        <v>0</v>
      </c>
      <c r="AF156" s="155">
        <f>0</f>
        <v>0</v>
      </c>
      <c r="AG156" s="155">
        <f>0</f>
        <v>0</v>
      </c>
      <c r="AH156" s="155">
        <f>0</f>
        <v>0</v>
      </c>
      <c r="AI156" s="155">
        <f>0</f>
        <v>0</v>
      </c>
      <c r="AJ156" s="155">
        <f>0</f>
        <v>0</v>
      </c>
      <c r="AK156" s="155">
        <f>0</f>
        <v>0</v>
      </c>
      <c r="AL156" s="219">
        <f t="shared" si="9"/>
        <v>1</v>
      </c>
      <c r="AM156" s="103">
        <f>0</f>
        <v>0</v>
      </c>
      <c r="AN156" s="220">
        <f t="shared" si="10"/>
        <v>1</v>
      </c>
      <c r="AO156" s="348">
        <v>45034</v>
      </c>
      <c r="AP156" s="296" t="s">
        <v>192</v>
      </c>
      <c r="AQ156" s="292" t="s">
        <v>1522</v>
      </c>
      <c r="AR156" s="293" t="s">
        <v>194</v>
      </c>
      <c r="AS156" s="301">
        <v>45078</v>
      </c>
      <c r="AT156" s="302"/>
      <c r="AU156" s="303">
        <v>1</v>
      </c>
      <c r="AV156" s="304">
        <f t="shared" si="11"/>
        <v>0</v>
      </c>
      <c r="AW156" s="302" t="s">
        <v>195</v>
      </c>
      <c r="AX156" s="305"/>
      <c r="AY156" s="306"/>
      <c r="AZ156" s="299"/>
      <c r="BA156" s="174"/>
      <c r="BB156" s="174"/>
      <c r="BC156" s="174"/>
    </row>
    <row r="157" spans="1:55" ht="27.75" customHeight="1">
      <c r="A157" s="308">
        <v>153</v>
      </c>
      <c r="B157" s="287">
        <v>45020</v>
      </c>
      <c r="C157" s="222" t="s">
        <v>198</v>
      </c>
      <c r="D157" s="222" t="s">
        <v>199</v>
      </c>
      <c r="E157" s="222" t="s">
        <v>200</v>
      </c>
      <c r="F157" s="371" t="s">
        <v>123</v>
      </c>
      <c r="G157" s="309" t="s">
        <v>591</v>
      </c>
      <c r="H157" s="310" t="s">
        <v>129</v>
      </c>
      <c r="I157" s="311" t="s">
        <v>592</v>
      </c>
      <c r="J157" s="312" t="s">
        <v>593</v>
      </c>
      <c r="K157" s="273" t="s">
        <v>97</v>
      </c>
      <c r="L157" s="273" t="s">
        <v>159</v>
      </c>
      <c r="M157" s="311" t="s">
        <v>156</v>
      </c>
      <c r="N157" s="311" t="s">
        <v>97</v>
      </c>
      <c r="O157" s="311" t="s">
        <v>160</v>
      </c>
      <c r="P157" s="311"/>
      <c r="Q157" s="313" t="s">
        <v>548</v>
      </c>
      <c r="R157" s="270">
        <v>1</v>
      </c>
      <c r="S157" s="155">
        <f>0</f>
        <v>0</v>
      </c>
      <c r="T157" s="155">
        <f>0</f>
        <v>0</v>
      </c>
      <c r="U157" s="158">
        <f>0</f>
        <v>0</v>
      </c>
      <c r="V157" s="158">
        <f>0</f>
        <v>0</v>
      </c>
      <c r="W157" s="155">
        <f>0</f>
        <v>0</v>
      </c>
      <c r="X157" s="155">
        <f>0</f>
        <v>0</v>
      </c>
      <c r="Y157" s="155">
        <f>0</f>
        <v>0</v>
      </c>
      <c r="Z157" s="155">
        <f>0</f>
        <v>0</v>
      </c>
      <c r="AA157" s="155">
        <f>0</f>
        <v>0</v>
      </c>
      <c r="AB157" s="155">
        <f>0</f>
        <v>0</v>
      </c>
      <c r="AC157" s="155">
        <f>0</f>
        <v>0</v>
      </c>
      <c r="AD157" s="155">
        <f>0</f>
        <v>0</v>
      </c>
      <c r="AE157" s="155">
        <f>0</f>
        <v>0</v>
      </c>
      <c r="AF157" s="155">
        <f>0</f>
        <v>0</v>
      </c>
      <c r="AG157" s="155">
        <f>0</f>
        <v>0</v>
      </c>
      <c r="AH157" s="155">
        <f>0</f>
        <v>0</v>
      </c>
      <c r="AI157" s="155">
        <f>0</f>
        <v>0</v>
      </c>
      <c r="AJ157" s="155">
        <f>0</f>
        <v>0</v>
      </c>
      <c r="AK157" s="155">
        <f>0</f>
        <v>0</v>
      </c>
      <c r="AL157" s="219">
        <f t="shared" si="9"/>
        <v>1</v>
      </c>
      <c r="AM157" s="103">
        <f>0</f>
        <v>0</v>
      </c>
      <c r="AN157" s="220">
        <f t="shared" si="10"/>
        <v>1</v>
      </c>
      <c r="AO157" s="290">
        <v>45034</v>
      </c>
      <c r="AP157" s="291" t="s">
        <v>192</v>
      </c>
      <c r="AQ157" s="292" t="s">
        <v>1520</v>
      </c>
      <c r="AR157" s="293" t="s">
        <v>197</v>
      </c>
      <c r="AS157" s="307"/>
      <c r="AT157" s="302"/>
      <c r="AU157" s="303">
        <v>1</v>
      </c>
      <c r="AV157" s="304">
        <f t="shared" si="11"/>
        <v>0</v>
      </c>
      <c r="AW157" s="302" t="s">
        <v>195</v>
      </c>
      <c r="AX157" s="305"/>
      <c r="AY157" s="306"/>
      <c r="AZ157" s="299"/>
      <c r="BA157" s="174"/>
      <c r="BB157" s="174"/>
      <c r="BC157" s="174"/>
    </row>
    <row r="158" spans="1:55" ht="28" customHeight="1">
      <c r="A158" s="308">
        <v>154</v>
      </c>
      <c r="B158" s="287">
        <v>45020</v>
      </c>
      <c r="C158" s="222" t="s">
        <v>198</v>
      </c>
      <c r="D158" s="222" t="s">
        <v>199</v>
      </c>
      <c r="E158" s="222" t="s">
        <v>200</v>
      </c>
      <c r="F158" s="349" t="s">
        <v>123</v>
      </c>
      <c r="G158" s="309" t="s">
        <v>594</v>
      </c>
      <c r="H158" s="310" t="s">
        <v>129</v>
      </c>
      <c r="I158" s="311" t="s">
        <v>237</v>
      </c>
      <c r="J158" s="312" t="s">
        <v>603</v>
      </c>
      <c r="K158" s="273" t="s">
        <v>97</v>
      </c>
      <c r="L158" s="273" t="s">
        <v>159</v>
      </c>
      <c r="M158" s="311" t="s">
        <v>156</v>
      </c>
      <c r="N158" s="311" t="s">
        <v>97</v>
      </c>
      <c r="O158" s="311" t="s">
        <v>160</v>
      </c>
      <c r="P158" s="311"/>
      <c r="Q158" s="313" t="s">
        <v>548</v>
      </c>
      <c r="R158" s="270">
        <v>1</v>
      </c>
      <c r="S158" s="155">
        <f>0</f>
        <v>0</v>
      </c>
      <c r="T158" s="155">
        <f>0</f>
        <v>0</v>
      </c>
      <c r="U158" s="158">
        <f>0</f>
        <v>0</v>
      </c>
      <c r="V158" s="158">
        <f>0</f>
        <v>0</v>
      </c>
      <c r="W158" s="155">
        <f>0</f>
        <v>0</v>
      </c>
      <c r="X158" s="155">
        <f>0</f>
        <v>0</v>
      </c>
      <c r="Y158" s="155">
        <f>0</f>
        <v>0</v>
      </c>
      <c r="Z158" s="155">
        <f>0</f>
        <v>0</v>
      </c>
      <c r="AA158" s="155">
        <f>0</f>
        <v>0</v>
      </c>
      <c r="AB158" s="155">
        <f>0</f>
        <v>0</v>
      </c>
      <c r="AC158" s="155">
        <f>0</f>
        <v>0</v>
      </c>
      <c r="AD158" s="155">
        <f>0</f>
        <v>0</v>
      </c>
      <c r="AE158" s="155">
        <f>0</f>
        <v>0</v>
      </c>
      <c r="AF158" s="155">
        <f>0</f>
        <v>0</v>
      </c>
      <c r="AG158" s="155">
        <f>0</f>
        <v>0</v>
      </c>
      <c r="AH158" s="155">
        <f>0</f>
        <v>0</v>
      </c>
      <c r="AI158" s="155">
        <f>0</f>
        <v>0</v>
      </c>
      <c r="AJ158" s="155">
        <f>0</f>
        <v>0</v>
      </c>
      <c r="AK158" s="155">
        <f>0</f>
        <v>0</v>
      </c>
      <c r="AL158" s="219">
        <f t="shared" si="9"/>
        <v>1</v>
      </c>
      <c r="AM158" s="103">
        <f>0</f>
        <v>0</v>
      </c>
      <c r="AN158" s="220">
        <f t="shared" si="10"/>
        <v>1</v>
      </c>
      <c r="AO158" s="290">
        <v>45034</v>
      </c>
      <c r="AP158" s="291" t="s">
        <v>192</v>
      </c>
      <c r="AQ158" s="292" t="s">
        <v>1520</v>
      </c>
      <c r="AR158" s="293" t="s">
        <v>197</v>
      </c>
      <c r="AS158" s="307"/>
      <c r="AT158" s="302"/>
      <c r="AU158" s="303">
        <v>1</v>
      </c>
      <c r="AV158" s="304">
        <f t="shared" si="11"/>
        <v>0</v>
      </c>
      <c r="AW158" s="302" t="s">
        <v>195</v>
      </c>
      <c r="AX158" s="305"/>
      <c r="AY158" s="306"/>
      <c r="AZ158" s="299"/>
      <c r="BA158" s="174"/>
      <c r="BB158" s="174"/>
      <c r="BC158" s="174"/>
    </row>
    <row r="159" spans="1:55" ht="27.75" customHeight="1">
      <c r="A159" s="308">
        <v>155</v>
      </c>
      <c r="B159" s="287">
        <v>45020</v>
      </c>
      <c r="C159" s="222" t="s">
        <v>198</v>
      </c>
      <c r="D159" s="222" t="s">
        <v>199</v>
      </c>
      <c r="E159" s="222" t="s">
        <v>200</v>
      </c>
      <c r="F159" s="371" t="s">
        <v>123</v>
      </c>
      <c r="G159" s="309" t="s">
        <v>595</v>
      </c>
      <c r="H159" s="310" t="s">
        <v>129</v>
      </c>
      <c r="I159" s="311" t="s">
        <v>484</v>
      </c>
      <c r="J159" s="312" t="s">
        <v>596</v>
      </c>
      <c r="K159" s="273" t="s">
        <v>97</v>
      </c>
      <c r="L159" s="273" t="s">
        <v>159</v>
      </c>
      <c r="M159" s="311" t="s">
        <v>156</v>
      </c>
      <c r="N159" s="311" t="s">
        <v>97</v>
      </c>
      <c r="O159" s="311" t="s">
        <v>204</v>
      </c>
      <c r="P159" s="311"/>
      <c r="Q159" s="313" t="s">
        <v>548</v>
      </c>
      <c r="R159" s="270">
        <v>1</v>
      </c>
      <c r="S159" s="155">
        <f>0</f>
        <v>0</v>
      </c>
      <c r="T159" s="155">
        <f>0</f>
        <v>0</v>
      </c>
      <c r="U159" s="158">
        <f>0</f>
        <v>0</v>
      </c>
      <c r="V159" s="158">
        <f>0</f>
        <v>0</v>
      </c>
      <c r="W159" s="155">
        <f>0</f>
        <v>0</v>
      </c>
      <c r="X159" s="155">
        <f>0</f>
        <v>0</v>
      </c>
      <c r="Y159" s="155">
        <f>0</f>
        <v>0</v>
      </c>
      <c r="Z159" s="155">
        <f>0</f>
        <v>0</v>
      </c>
      <c r="AA159" s="155">
        <f>0</f>
        <v>0</v>
      </c>
      <c r="AB159" s="155">
        <f>0</f>
        <v>0</v>
      </c>
      <c r="AC159" s="155">
        <f>0</f>
        <v>0</v>
      </c>
      <c r="AD159" s="155">
        <f>0</f>
        <v>0</v>
      </c>
      <c r="AE159" s="155">
        <f>0</f>
        <v>0</v>
      </c>
      <c r="AF159" s="155">
        <f>0</f>
        <v>0</v>
      </c>
      <c r="AG159" s="155">
        <f>0</f>
        <v>0</v>
      </c>
      <c r="AH159" s="155">
        <f>0</f>
        <v>0</v>
      </c>
      <c r="AI159" s="155">
        <f>0</f>
        <v>0</v>
      </c>
      <c r="AJ159" s="155">
        <f>0</f>
        <v>0</v>
      </c>
      <c r="AK159" s="155">
        <f>0</f>
        <v>0</v>
      </c>
      <c r="AL159" s="219">
        <f t="shared" si="9"/>
        <v>1</v>
      </c>
      <c r="AM159" s="103">
        <f>0</f>
        <v>0</v>
      </c>
      <c r="AN159" s="220">
        <f t="shared" si="10"/>
        <v>1</v>
      </c>
      <c r="AO159" s="290">
        <v>45034</v>
      </c>
      <c r="AP159" s="291" t="s">
        <v>192</v>
      </c>
      <c r="AQ159" s="292" t="s">
        <v>1520</v>
      </c>
      <c r="AR159" s="293" t="s">
        <v>197</v>
      </c>
      <c r="AS159" s="307"/>
      <c r="AT159" s="302"/>
      <c r="AU159" s="303">
        <v>1</v>
      </c>
      <c r="AV159" s="304">
        <f t="shared" si="11"/>
        <v>0</v>
      </c>
      <c r="AW159" s="302" t="s">
        <v>195</v>
      </c>
      <c r="AX159" s="305"/>
      <c r="AY159" s="306"/>
      <c r="AZ159" s="299"/>
      <c r="BA159" s="174"/>
      <c r="BB159" s="174"/>
      <c r="BC159" s="174"/>
    </row>
    <row r="160" spans="1:55" ht="28" customHeight="1">
      <c r="A160" s="308">
        <v>156</v>
      </c>
      <c r="B160" s="287">
        <v>45020</v>
      </c>
      <c r="C160" s="222" t="s">
        <v>198</v>
      </c>
      <c r="D160" s="222" t="s">
        <v>199</v>
      </c>
      <c r="E160" s="222" t="s">
        <v>200</v>
      </c>
      <c r="F160" s="349" t="s">
        <v>123</v>
      </c>
      <c r="G160" s="309" t="s">
        <v>597</v>
      </c>
      <c r="H160" s="310" t="s">
        <v>129</v>
      </c>
      <c r="I160" s="311" t="s">
        <v>598</v>
      </c>
      <c r="J160" s="312" t="s">
        <v>599</v>
      </c>
      <c r="K160" s="273" t="s">
        <v>97</v>
      </c>
      <c r="L160" s="273" t="s">
        <v>159</v>
      </c>
      <c r="M160" s="311" t="s">
        <v>156</v>
      </c>
      <c r="N160" s="311" t="s">
        <v>97</v>
      </c>
      <c r="O160" s="311" t="s">
        <v>204</v>
      </c>
      <c r="P160" s="311"/>
      <c r="Q160" s="313" t="s">
        <v>548</v>
      </c>
      <c r="R160" s="270">
        <v>5</v>
      </c>
      <c r="S160" s="155">
        <f>0</f>
        <v>0</v>
      </c>
      <c r="T160" s="155">
        <f>0</f>
        <v>0</v>
      </c>
      <c r="U160" s="158">
        <f>0</f>
        <v>0</v>
      </c>
      <c r="V160" s="158">
        <f>0</f>
        <v>0</v>
      </c>
      <c r="W160" s="155">
        <f>0</f>
        <v>0</v>
      </c>
      <c r="X160" s="155">
        <f>0</f>
        <v>0</v>
      </c>
      <c r="Y160" s="155">
        <f>0</f>
        <v>0</v>
      </c>
      <c r="Z160" s="155">
        <f>0</f>
        <v>0</v>
      </c>
      <c r="AA160" s="155">
        <f>0</f>
        <v>0</v>
      </c>
      <c r="AB160" s="155">
        <f>0</f>
        <v>0</v>
      </c>
      <c r="AC160" s="155">
        <f>0</f>
        <v>0</v>
      </c>
      <c r="AD160" s="155">
        <f>0</f>
        <v>0</v>
      </c>
      <c r="AE160" s="155">
        <f>0</f>
        <v>0</v>
      </c>
      <c r="AF160" s="155">
        <f>0</f>
        <v>0</v>
      </c>
      <c r="AG160" s="155">
        <f>0</f>
        <v>0</v>
      </c>
      <c r="AH160" s="155">
        <f>0</f>
        <v>0</v>
      </c>
      <c r="AI160" s="155">
        <f>0</f>
        <v>0</v>
      </c>
      <c r="AJ160" s="155">
        <f>0</f>
        <v>0</v>
      </c>
      <c r="AK160" s="155">
        <f>0</f>
        <v>0</v>
      </c>
      <c r="AL160" s="219">
        <f t="shared" si="9"/>
        <v>5</v>
      </c>
      <c r="AM160" s="103">
        <f>0</f>
        <v>0</v>
      </c>
      <c r="AN160" s="220">
        <f t="shared" si="10"/>
        <v>5</v>
      </c>
      <c r="AO160" s="290">
        <v>45034</v>
      </c>
      <c r="AP160" s="291" t="s">
        <v>192</v>
      </c>
      <c r="AQ160" s="292" t="s">
        <v>1520</v>
      </c>
      <c r="AR160" s="293" t="s">
        <v>197</v>
      </c>
      <c r="AS160" s="307"/>
      <c r="AT160" s="302"/>
      <c r="AU160" s="303">
        <v>5</v>
      </c>
      <c r="AV160" s="304">
        <f t="shared" si="11"/>
        <v>0</v>
      </c>
      <c r="AW160" s="302" t="s">
        <v>195</v>
      </c>
      <c r="AX160" s="305"/>
      <c r="AY160" s="306"/>
      <c r="AZ160" s="299"/>
      <c r="BA160" s="174"/>
      <c r="BB160" s="174"/>
      <c r="BC160" s="174"/>
    </row>
    <row r="161" spans="1:55" ht="27.75" customHeight="1">
      <c r="A161" s="308">
        <v>157</v>
      </c>
      <c r="B161" s="287">
        <v>45020</v>
      </c>
      <c r="C161" s="222" t="s">
        <v>198</v>
      </c>
      <c r="D161" s="222" t="s">
        <v>199</v>
      </c>
      <c r="E161" s="222" t="s">
        <v>200</v>
      </c>
      <c r="F161" s="371" t="s">
        <v>123</v>
      </c>
      <c r="G161" s="309" t="s">
        <v>600</v>
      </c>
      <c r="H161" s="310" t="s">
        <v>129</v>
      </c>
      <c r="I161" s="311" t="s">
        <v>601</v>
      </c>
      <c r="J161" s="312" t="s">
        <v>602</v>
      </c>
      <c r="K161" s="273" t="s">
        <v>97</v>
      </c>
      <c r="L161" s="273" t="s">
        <v>159</v>
      </c>
      <c r="M161" s="311" t="s">
        <v>156</v>
      </c>
      <c r="N161" s="311" t="s">
        <v>97</v>
      </c>
      <c r="O161" s="311" t="s">
        <v>204</v>
      </c>
      <c r="P161" s="311"/>
      <c r="Q161" s="313" t="s">
        <v>548</v>
      </c>
      <c r="R161" s="270">
        <v>2</v>
      </c>
      <c r="S161" s="155">
        <f>0</f>
        <v>0</v>
      </c>
      <c r="T161" s="155">
        <f>0</f>
        <v>0</v>
      </c>
      <c r="U161" s="158">
        <f>0</f>
        <v>0</v>
      </c>
      <c r="V161" s="158">
        <f>0</f>
        <v>0</v>
      </c>
      <c r="W161" s="155">
        <f>0</f>
        <v>0</v>
      </c>
      <c r="X161" s="155">
        <f>0</f>
        <v>0</v>
      </c>
      <c r="Y161" s="155">
        <f>0</f>
        <v>0</v>
      </c>
      <c r="Z161" s="155">
        <f>0</f>
        <v>0</v>
      </c>
      <c r="AA161" s="155">
        <f>0</f>
        <v>0</v>
      </c>
      <c r="AB161" s="155">
        <f>0</f>
        <v>0</v>
      </c>
      <c r="AC161" s="155">
        <f>0</f>
        <v>0</v>
      </c>
      <c r="AD161" s="155">
        <f>0</f>
        <v>0</v>
      </c>
      <c r="AE161" s="155">
        <f>0</f>
        <v>0</v>
      </c>
      <c r="AF161" s="155">
        <f>0</f>
        <v>0</v>
      </c>
      <c r="AG161" s="155">
        <f>0</f>
        <v>0</v>
      </c>
      <c r="AH161" s="155">
        <f>0</f>
        <v>0</v>
      </c>
      <c r="AI161" s="155">
        <f>0</f>
        <v>0</v>
      </c>
      <c r="AJ161" s="155">
        <f>0</f>
        <v>0</v>
      </c>
      <c r="AK161" s="155">
        <f>0</f>
        <v>0</v>
      </c>
      <c r="AL161" s="219">
        <f t="shared" si="9"/>
        <v>2</v>
      </c>
      <c r="AM161" s="103">
        <f>0</f>
        <v>0</v>
      </c>
      <c r="AN161" s="220">
        <f t="shared" si="10"/>
        <v>2</v>
      </c>
      <c r="AO161" s="290">
        <v>45034</v>
      </c>
      <c r="AP161" s="291" t="s">
        <v>192</v>
      </c>
      <c r="AQ161" s="292" t="s">
        <v>1520</v>
      </c>
      <c r="AR161" s="293" t="s">
        <v>197</v>
      </c>
      <c r="AS161" s="307"/>
      <c r="AT161" s="302"/>
      <c r="AU161" s="303">
        <v>2</v>
      </c>
      <c r="AV161" s="304">
        <f t="shared" si="11"/>
        <v>0</v>
      </c>
      <c r="AW161" s="302" t="s">
        <v>195</v>
      </c>
      <c r="AX161" s="305"/>
      <c r="AY161" s="306"/>
      <c r="AZ161" s="299"/>
      <c r="BA161" s="174"/>
      <c r="BB161" s="174"/>
      <c r="BC161" s="174"/>
    </row>
    <row r="162" spans="1:55" ht="27.75" customHeight="1">
      <c r="A162" s="308">
        <v>158</v>
      </c>
      <c r="B162" s="287">
        <v>45020</v>
      </c>
      <c r="C162" s="222" t="s">
        <v>198</v>
      </c>
      <c r="D162" s="222" t="s">
        <v>199</v>
      </c>
      <c r="E162" s="222" t="s">
        <v>200</v>
      </c>
      <c r="F162" s="371" t="s">
        <v>123</v>
      </c>
      <c r="G162" s="309" t="s">
        <v>331</v>
      </c>
      <c r="H162" s="310" t="s">
        <v>129</v>
      </c>
      <c r="I162" s="311" t="s">
        <v>172</v>
      </c>
      <c r="J162" s="312" t="s">
        <v>332</v>
      </c>
      <c r="K162" s="273" t="s">
        <v>97</v>
      </c>
      <c r="L162" s="273" t="s">
        <v>159</v>
      </c>
      <c r="M162" s="311" t="s">
        <v>156</v>
      </c>
      <c r="N162" s="311" t="s">
        <v>97</v>
      </c>
      <c r="O162" s="311" t="s">
        <v>327</v>
      </c>
      <c r="P162" s="311"/>
      <c r="Q162" s="313" t="s">
        <v>548</v>
      </c>
      <c r="R162" s="270">
        <v>2</v>
      </c>
      <c r="S162" s="155">
        <f>0</f>
        <v>0</v>
      </c>
      <c r="T162" s="155">
        <f>0</f>
        <v>0</v>
      </c>
      <c r="U162" s="158">
        <f>0</f>
        <v>0</v>
      </c>
      <c r="V162" s="158">
        <f>0</f>
        <v>0</v>
      </c>
      <c r="W162" s="155">
        <f>0</f>
        <v>0</v>
      </c>
      <c r="X162" s="155">
        <f>0</f>
        <v>0</v>
      </c>
      <c r="Y162" s="155">
        <f>0</f>
        <v>0</v>
      </c>
      <c r="Z162" s="155">
        <f>0</f>
        <v>0</v>
      </c>
      <c r="AA162" s="155">
        <f>0</f>
        <v>0</v>
      </c>
      <c r="AB162" s="155">
        <f>0</f>
        <v>0</v>
      </c>
      <c r="AC162" s="155">
        <f>0</f>
        <v>0</v>
      </c>
      <c r="AD162" s="155">
        <f>0</f>
        <v>0</v>
      </c>
      <c r="AE162" s="155">
        <f>0</f>
        <v>0</v>
      </c>
      <c r="AF162" s="155">
        <f>0</f>
        <v>0</v>
      </c>
      <c r="AG162" s="155">
        <f>0</f>
        <v>0</v>
      </c>
      <c r="AH162" s="155">
        <f>0</f>
        <v>0</v>
      </c>
      <c r="AI162" s="155">
        <f>0</f>
        <v>0</v>
      </c>
      <c r="AJ162" s="155">
        <f>0</f>
        <v>0</v>
      </c>
      <c r="AK162" s="155">
        <f>0</f>
        <v>0</v>
      </c>
      <c r="AL162" s="219">
        <f t="shared" si="9"/>
        <v>2</v>
      </c>
      <c r="AM162" s="103">
        <f>0</f>
        <v>0</v>
      </c>
      <c r="AN162" s="220">
        <f t="shared" si="10"/>
        <v>2</v>
      </c>
      <c r="AO162" s="290">
        <v>45034</v>
      </c>
      <c r="AP162" s="291" t="s">
        <v>192</v>
      </c>
      <c r="AQ162" s="292" t="s">
        <v>1520</v>
      </c>
      <c r="AR162" s="293" t="s">
        <v>197</v>
      </c>
      <c r="AS162" s="307"/>
      <c r="AT162" s="302"/>
      <c r="AU162" s="303">
        <v>2</v>
      </c>
      <c r="AV162" s="304">
        <f t="shared" si="11"/>
        <v>0</v>
      </c>
      <c r="AW162" s="302" t="s">
        <v>195</v>
      </c>
      <c r="AX162" s="305"/>
      <c r="AY162" s="306"/>
      <c r="AZ162" s="299"/>
      <c r="BA162" s="174"/>
      <c r="BB162" s="174"/>
      <c r="BC162" s="174"/>
    </row>
    <row r="163" spans="1:55" ht="28" customHeight="1">
      <c r="A163" s="308">
        <v>159</v>
      </c>
      <c r="B163" s="287">
        <v>45020</v>
      </c>
      <c r="C163" s="222" t="s">
        <v>198</v>
      </c>
      <c r="D163" s="222" t="s">
        <v>199</v>
      </c>
      <c r="E163" s="222" t="s">
        <v>200</v>
      </c>
      <c r="F163" s="349" t="s">
        <v>123</v>
      </c>
      <c r="G163" s="309" t="s">
        <v>604</v>
      </c>
      <c r="H163" s="310" t="s">
        <v>129</v>
      </c>
      <c r="I163" s="311" t="s">
        <v>592</v>
      </c>
      <c r="J163" s="312" t="s">
        <v>605</v>
      </c>
      <c r="K163" s="273" t="s">
        <v>97</v>
      </c>
      <c r="L163" s="273" t="s">
        <v>159</v>
      </c>
      <c r="M163" s="311" t="s">
        <v>156</v>
      </c>
      <c r="N163" s="311" t="s">
        <v>97</v>
      </c>
      <c r="O163" s="311" t="s">
        <v>160</v>
      </c>
      <c r="P163" s="311"/>
      <c r="Q163" s="313" t="s">
        <v>548</v>
      </c>
      <c r="R163" s="270">
        <v>2</v>
      </c>
      <c r="S163" s="155">
        <f>0</f>
        <v>0</v>
      </c>
      <c r="T163" s="155">
        <f>0</f>
        <v>0</v>
      </c>
      <c r="U163" s="158">
        <f>0</f>
        <v>0</v>
      </c>
      <c r="V163" s="158">
        <f>0</f>
        <v>0</v>
      </c>
      <c r="W163" s="155">
        <f>0</f>
        <v>0</v>
      </c>
      <c r="X163" s="155">
        <f>0</f>
        <v>0</v>
      </c>
      <c r="Y163" s="155">
        <f>0</f>
        <v>0</v>
      </c>
      <c r="Z163" s="155">
        <f>0</f>
        <v>0</v>
      </c>
      <c r="AA163" s="155">
        <f>0</f>
        <v>0</v>
      </c>
      <c r="AB163" s="155">
        <f>0</f>
        <v>0</v>
      </c>
      <c r="AC163" s="155">
        <f>0</f>
        <v>0</v>
      </c>
      <c r="AD163" s="155">
        <f>0</f>
        <v>0</v>
      </c>
      <c r="AE163" s="155">
        <f>0</f>
        <v>0</v>
      </c>
      <c r="AF163" s="155">
        <f>0</f>
        <v>0</v>
      </c>
      <c r="AG163" s="155">
        <f>0</f>
        <v>0</v>
      </c>
      <c r="AH163" s="155">
        <f>0</f>
        <v>0</v>
      </c>
      <c r="AI163" s="155">
        <f>0</f>
        <v>0</v>
      </c>
      <c r="AJ163" s="155">
        <f>0</f>
        <v>0</v>
      </c>
      <c r="AK163" s="155">
        <f>0</f>
        <v>0</v>
      </c>
      <c r="AL163" s="219">
        <f t="shared" si="9"/>
        <v>2</v>
      </c>
      <c r="AM163" s="103">
        <f>0</f>
        <v>0</v>
      </c>
      <c r="AN163" s="220">
        <f t="shared" si="10"/>
        <v>2</v>
      </c>
      <c r="AO163" s="290">
        <v>45034</v>
      </c>
      <c r="AP163" s="291" t="s">
        <v>192</v>
      </c>
      <c r="AQ163" s="292" t="s">
        <v>1520</v>
      </c>
      <c r="AR163" s="293" t="s">
        <v>197</v>
      </c>
      <c r="AS163" s="307"/>
      <c r="AT163" s="302"/>
      <c r="AU163" s="303">
        <v>2</v>
      </c>
      <c r="AV163" s="304">
        <f t="shared" si="11"/>
        <v>0</v>
      </c>
      <c r="AW163" s="302" t="s">
        <v>195</v>
      </c>
      <c r="AX163" s="305"/>
      <c r="AY163" s="306"/>
      <c r="AZ163" s="299"/>
      <c r="BA163" s="174"/>
      <c r="BB163" s="174"/>
      <c r="BC163" s="174"/>
    </row>
    <row r="164" spans="1:55" ht="27.75" customHeight="1">
      <c r="A164" s="308">
        <v>160</v>
      </c>
      <c r="B164" s="287">
        <v>45020</v>
      </c>
      <c r="C164" s="222" t="s">
        <v>198</v>
      </c>
      <c r="D164" s="222" t="s">
        <v>199</v>
      </c>
      <c r="E164" s="222" t="s">
        <v>200</v>
      </c>
      <c r="F164" s="371" t="s">
        <v>123</v>
      </c>
      <c r="G164" s="309" t="s">
        <v>606</v>
      </c>
      <c r="H164" s="310" t="s">
        <v>129</v>
      </c>
      <c r="I164" s="311" t="s">
        <v>474</v>
      </c>
      <c r="J164" s="312" t="s">
        <v>607</v>
      </c>
      <c r="K164" s="273" t="s">
        <v>97</v>
      </c>
      <c r="L164" s="273" t="s">
        <v>159</v>
      </c>
      <c r="M164" s="311" t="s">
        <v>156</v>
      </c>
      <c r="N164" s="311" t="s">
        <v>97</v>
      </c>
      <c r="O164" s="311" t="s">
        <v>160</v>
      </c>
      <c r="P164" s="311"/>
      <c r="Q164" s="313" t="s">
        <v>548</v>
      </c>
      <c r="R164" s="270">
        <v>1</v>
      </c>
      <c r="S164" s="155">
        <f>0</f>
        <v>0</v>
      </c>
      <c r="T164" s="155">
        <f>0</f>
        <v>0</v>
      </c>
      <c r="U164" s="158">
        <f>0</f>
        <v>0</v>
      </c>
      <c r="V164" s="158">
        <f>0</f>
        <v>0</v>
      </c>
      <c r="W164" s="155">
        <f>0</f>
        <v>0</v>
      </c>
      <c r="X164" s="155">
        <f>0</f>
        <v>0</v>
      </c>
      <c r="Y164" s="155">
        <f>0</f>
        <v>0</v>
      </c>
      <c r="Z164" s="155">
        <f>0</f>
        <v>0</v>
      </c>
      <c r="AA164" s="155">
        <f>0</f>
        <v>0</v>
      </c>
      <c r="AB164" s="155">
        <f>0</f>
        <v>0</v>
      </c>
      <c r="AC164" s="155">
        <f>0</f>
        <v>0</v>
      </c>
      <c r="AD164" s="155">
        <f>0</f>
        <v>0</v>
      </c>
      <c r="AE164" s="155">
        <f>0</f>
        <v>0</v>
      </c>
      <c r="AF164" s="155">
        <f>0</f>
        <v>0</v>
      </c>
      <c r="AG164" s="155">
        <f>0</f>
        <v>0</v>
      </c>
      <c r="AH164" s="155">
        <f>0</f>
        <v>0</v>
      </c>
      <c r="AI164" s="155">
        <f>0</f>
        <v>0</v>
      </c>
      <c r="AJ164" s="155">
        <f>0</f>
        <v>0</v>
      </c>
      <c r="AK164" s="155">
        <f>0</f>
        <v>0</v>
      </c>
      <c r="AL164" s="219">
        <f t="shared" si="9"/>
        <v>1</v>
      </c>
      <c r="AM164" s="103">
        <f>0</f>
        <v>0</v>
      </c>
      <c r="AN164" s="220">
        <f t="shared" si="10"/>
        <v>1</v>
      </c>
      <c r="AO164" s="290">
        <v>45034</v>
      </c>
      <c r="AP164" s="291" t="s">
        <v>192</v>
      </c>
      <c r="AQ164" s="292" t="s">
        <v>1520</v>
      </c>
      <c r="AR164" s="293" t="s">
        <v>197</v>
      </c>
      <c r="AS164" s="307"/>
      <c r="AT164" s="302"/>
      <c r="AU164" s="303">
        <v>1</v>
      </c>
      <c r="AV164" s="304">
        <f t="shared" si="11"/>
        <v>0</v>
      </c>
      <c r="AW164" s="302" t="s">
        <v>195</v>
      </c>
      <c r="AX164" s="305"/>
      <c r="AY164" s="306"/>
      <c r="AZ164" s="299"/>
      <c r="BA164" s="174"/>
      <c r="BB164" s="174"/>
      <c r="BC164" s="174"/>
    </row>
    <row r="165" spans="1:55" ht="27.75" customHeight="1">
      <c r="A165" s="308">
        <v>161</v>
      </c>
      <c r="B165" s="287">
        <v>45020</v>
      </c>
      <c r="C165" s="222" t="s">
        <v>198</v>
      </c>
      <c r="D165" s="222" t="s">
        <v>199</v>
      </c>
      <c r="E165" s="222" t="s">
        <v>200</v>
      </c>
      <c r="F165" s="371" t="s">
        <v>123</v>
      </c>
      <c r="G165" s="309" t="s">
        <v>608</v>
      </c>
      <c r="H165" s="310" t="s">
        <v>129</v>
      </c>
      <c r="I165" s="311" t="s">
        <v>299</v>
      </c>
      <c r="J165" s="312" t="s">
        <v>609</v>
      </c>
      <c r="K165" s="273" t="s">
        <v>97</v>
      </c>
      <c r="L165" s="273" t="s">
        <v>159</v>
      </c>
      <c r="M165" s="311" t="s">
        <v>156</v>
      </c>
      <c r="N165" s="311" t="s">
        <v>97</v>
      </c>
      <c r="O165" s="311" t="s">
        <v>160</v>
      </c>
      <c r="P165" s="311"/>
      <c r="Q165" s="313" t="s">
        <v>548</v>
      </c>
      <c r="R165" s="270">
        <v>8</v>
      </c>
      <c r="S165" s="155">
        <f>0</f>
        <v>0</v>
      </c>
      <c r="T165" s="155">
        <f>0</f>
        <v>0</v>
      </c>
      <c r="U165" s="158">
        <f>0</f>
        <v>0</v>
      </c>
      <c r="V165" s="158">
        <f>0</f>
        <v>0</v>
      </c>
      <c r="W165" s="155">
        <f>0</f>
        <v>0</v>
      </c>
      <c r="X165" s="155">
        <f>0</f>
        <v>0</v>
      </c>
      <c r="Y165" s="155">
        <f>0</f>
        <v>0</v>
      </c>
      <c r="Z165" s="155">
        <f>0</f>
        <v>0</v>
      </c>
      <c r="AA165" s="155">
        <f>0</f>
        <v>0</v>
      </c>
      <c r="AB165" s="155">
        <f>0</f>
        <v>0</v>
      </c>
      <c r="AC165" s="155">
        <f>0</f>
        <v>0</v>
      </c>
      <c r="AD165" s="155">
        <f>0</f>
        <v>0</v>
      </c>
      <c r="AE165" s="155">
        <f>0</f>
        <v>0</v>
      </c>
      <c r="AF165" s="155">
        <f>0</f>
        <v>0</v>
      </c>
      <c r="AG165" s="155">
        <f>0</f>
        <v>0</v>
      </c>
      <c r="AH165" s="155">
        <f>0</f>
        <v>0</v>
      </c>
      <c r="AI165" s="155">
        <f>0</f>
        <v>0</v>
      </c>
      <c r="AJ165" s="155">
        <f>0</f>
        <v>0</v>
      </c>
      <c r="AK165" s="155">
        <f>0</f>
        <v>0</v>
      </c>
      <c r="AL165" s="219">
        <f t="shared" si="9"/>
        <v>8</v>
      </c>
      <c r="AM165" s="103">
        <f>0</f>
        <v>0</v>
      </c>
      <c r="AN165" s="220">
        <f t="shared" si="10"/>
        <v>8</v>
      </c>
      <c r="AO165" s="290">
        <v>45034</v>
      </c>
      <c r="AP165" s="291" t="s">
        <v>192</v>
      </c>
      <c r="AQ165" s="292" t="s">
        <v>1520</v>
      </c>
      <c r="AR165" s="293" t="s">
        <v>197</v>
      </c>
      <c r="AS165" s="307"/>
      <c r="AT165" s="302"/>
      <c r="AU165" s="303">
        <v>8</v>
      </c>
      <c r="AV165" s="304">
        <f t="shared" si="11"/>
        <v>0</v>
      </c>
      <c r="AW165" s="302" t="s">
        <v>195</v>
      </c>
      <c r="AX165" s="305"/>
      <c r="AY165" s="306"/>
      <c r="AZ165" s="299"/>
      <c r="BA165" s="174"/>
      <c r="BB165" s="174"/>
      <c r="BC165" s="174"/>
    </row>
    <row r="166" spans="1:55" ht="28" customHeight="1">
      <c r="A166" s="308">
        <v>162</v>
      </c>
      <c r="B166" s="287">
        <v>45020</v>
      </c>
      <c r="C166" s="222" t="s">
        <v>198</v>
      </c>
      <c r="D166" s="222" t="s">
        <v>199</v>
      </c>
      <c r="E166" s="222" t="s">
        <v>200</v>
      </c>
      <c r="F166" s="349" t="s">
        <v>123</v>
      </c>
      <c r="G166" s="309" t="s">
        <v>610</v>
      </c>
      <c r="H166" s="310" t="s">
        <v>129</v>
      </c>
      <c r="I166" s="311" t="s">
        <v>484</v>
      </c>
      <c r="J166" s="312" t="s">
        <v>611</v>
      </c>
      <c r="K166" s="273" t="s">
        <v>97</v>
      </c>
      <c r="L166" s="273" t="s">
        <v>159</v>
      </c>
      <c r="M166" s="311" t="s">
        <v>156</v>
      </c>
      <c r="N166" s="311" t="s">
        <v>97</v>
      </c>
      <c r="O166" s="311" t="s">
        <v>204</v>
      </c>
      <c r="P166" s="311"/>
      <c r="Q166" s="313" t="s">
        <v>548</v>
      </c>
      <c r="R166" s="270">
        <v>1</v>
      </c>
      <c r="S166" s="155">
        <f>0</f>
        <v>0</v>
      </c>
      <c r="T166" s="155">
        <f>0</f>
        <v>0</v>
      </c>
      <c r="U166" s="158">
        <f>0</f>
        <v>0</v>
      </c>
      <c r="V166" s="158">
        <f>0</f>
        <v>0</v>
      </c>
      <c r="W166" s="155">
        <f>0</f>
        <v>0</v>
      </c>
      <c r="X166" s="155">
        <f>0</f>
        <v>0</v>
      </c>
      <c r="Y166" s="155">
        <f>0</f>
        <v>0</v>
      </c>
      <c r="Z166" s="155">
        <f>0</f>
        <v>0</v>
      </c>
      <c r="AA166" s="155">
        <f>0</f>
        <v>0</v>
      </c>
      <c r="AB166" s="155">
        <f>0</f>
        <v>0</v>
      </c>
      <c r="AC166" s="155">
        <f>0</f>
        <v>0</v>
      </c>
      <c r="AD166" s="155">
        <f>0</f>
        <v>0</v>
      </c>
      <c r="AE166" s="155">
        <f>0</f>
        <v>0</v>
      </c>
      <c r="AF166" s="155">
        <f>0</f>
        <v>0</v>
      </c>
      <c r="AG166" s="155">
        <f>0</f>
        <v>0</v>
      </c>
      <c r="AH166" s="155">
        <f>0</f>
        <v>0</v>
      </c>
      <c r="AI166" s="155">
        <f>0</f>
        <v>0</v>
      </c>
      <c r="AJ166" s="155">
        <f>0</f>
        <v>0</v>
      </c>
      <c r="AK166" s="155">
        <f>0</f>
        <v>0</v>
      </c>
      <c r="AL166" s="219">
        <f t="shared" si="9"/>
        <v>1</v>
      </c>
      <c r="AM166" s="103">
        <f>0</f>
        <v>0</v>
      </c>
      <c r="AN166" s="220">
        <f t="shared" si="10"/>
        <v>1</v>
      </c>
      <c r="AO166" s="290">
        <v>45034</v>
      </c>
      <c r="AP166" s="291" t="s">
        <v>192</v>
      </c>
      <c r="AQ166" s="292" t="s">
        <v>1520</v>
      </c>
      <c r="AR166" s="293" t="s">
        <v>197</v>
      </c>
      <c r="AS166" s="307"/>
      <c r="AT166" s="302"/>
      <c r="AU166" s="303">
        <v>1</v>
      </c>
      <c r="AV166" s="304">
        <f t="shared" si="11"/>
        <v>0</v>
      </c>
      <c r="AW166" s="302" t="s">
        <v>195</v>
      </c>
      <c r="AX166" s="305"/>
      <c r="AY166" s="306"/>
      <c r="AZ166" s="299"/>
      <c r="BA166" s="174"/>
      <c r="BB166" s="174"/>
      <c r="BC166" s="174"/>
    </row>
    <row r="167" spans="1:55" ht="27.75" customHeight="1">
      <c r="A167" s="308">
        <v>163</v>
      </c>
      <c r="B167" s="287">
        <v>45020</v>
      </c>
      <c r="C167" s="222" t="s">
        <v>198</v>
      </c>
      <c r="D167" s="222" t="s">
        <v>199</v>
      </c>
      <c r="E167" s="222" t="s">
        <v>200</v>
      </c>
      <c r="F167" s="371" t="s">
        <v>123</v>
      </c>
      <c r="G167" s="309" t="s">
        <v>612</v>
      </c>
      <c r="H167" s="310" t="s">
        <v>129</v>
      </c>
      <c r="I167" s="311" t="s">
        <v>237</v>
      </c>
      <c r="J167" s="312" t="s">
        <v>613</v>
      </c>
      <c r="K167" s="273" t="s">
        <v>97</v>
      </c>
      <c r="L167" s="273" t="s">
        <v>159</v>
      </c>
      <c r="M167" s="311" t="s">
        <v>156</v>
      </c>
      <c r="N167" s="311" t="s">
        <v>97</v>
      </c>
      <c r="O167" s="311" t="s">
        <v>160</v>
      </c>
      <c r="P167" s="311"/>
      <c r="Q167" s="313" t="s">
        <v>548</v>
      </c>
      <c r="R167" s="270">
        <v>1</v>
      </c>
      <c r="S167" s="155">
        <f>0</f>
        <v>0</v>
      </c>
      <c r="T167" s="155">
        <f>0</f>
        <v>0</v>
      </c>
      <c r="U167" s="158">
        <f>0</f>
        <v>0</v>
      </c>
      <c r="V167" s="158">
        <f>0</f>
        <v>0</v>
      </c>
      <c r="W167" s="155">
        <f>0</f>
        <v>0</v>
      </c>
      <c r="X167" s="155">
        <f>0</f>
        <v>0</v>
      </c>
      <c r="Y167" s="155">
        <f>0</f>
        <v>0</v>
      </c>
      <c r="Z167" s="155">
        <f>0</f>
        <v>0</v>
      </c>
      <c r="AA167" s="155">
        <f>0</f>
        <v>0</v>
      </c>
      <c r="AB167" s="155">
        <f>0</f>
        <v>0</v>
      </c>
      <c r="AC167" s="155">
        <f>0</f>
        <v>0</v>
      </c>
      <c r="AD167" s="155">
        <f>0</f>
        <v>0</v>
      </c>
      <c r="AE167" s="155">
        <f>0</f>
        <v>0</v>
      </c>
      <c r="AF167" s="155">
        <f>0</f>
        <v>0</v>
      </c>
      <c r="AG167" s="155">
        <f>0</f>
        <v>0</v>
      </c>
      <c r="AH167" s="155">
        <f>0</f>
        <v>0</v>
      </c>
      <c r="AI167" s="155">
        <f>0</f>
        <v>0</v>
      </c>
      <c r="AJ167" s="155">
        <f>0</f>
        <v>0</v>
      </c>
      <c r="AK167" s="155">
        <f>0</f>
        <v>0</v>
      </c>
      <c r="AL167" s="219">
        <f t="shared" si="9"/>
        <v>1</v>
      </c>
      <c r="AM167" s="103">
        <f>0</f>
        <v>0</v>
      </c>
      <c r="AN167" s="220">
        <f t="shared" si="10"/>
        <v>1</v>
      </c>
      <c r="AO167" s="290">
        <v>45034</v>
      </c>
      <c r="AP167" s="291" t="s">
        <v>192</v>
      </c>
      <c r="AQ167" s="292" t="s">
        <v>1520</v>
      </c>
      <c r="AR167" s="293" t="s">
        <v>197</v>
      </c>
      <c r="AS167" s="307"/>
      <c r="AT167" s="302"/>
      <c r="AU167" s="303">
        <v>1</v>
      </c>
      <c r="AV167" s="304">
        <f t="shared" si="11"/>
        <v>0</v>
      </c>
      <c r="AW167" s="302" t="s">
        <v>195</v>
      </c>
      <c r="AX167" s="305"/>
      <c r="AY167" s="306"/>
      <c r="AZ167" s="299"/>
      <c r="BA167" s="174"/>
      <c r="BB167" s="174"/>
      <c r="BC167" s="174"/>
    </row>
    <row r="168" spans="1:55" ht="27.75" customHeight="1">
      <c r="A168" s="308">
        <v>164</v>
      </c>
      <c r="B168" s="287">
        <v>45020</v>
      </c>
      <c r="C168" s="222" t="s">
        <v>198</v>
      </c>
      <c r="D168" s="222" t="s">
        <v>199</v>
      </c>
      <c r="E168" s="222" t="s">
        <v>200</v>
      </c>
      <c r="F168" s="371" t="s">
        <v>123</v>
      </c>
      <c r="G168" s="309" t="s">
        <v>614</v>
      </c>
      <c r="H168" s="310" t="s">
        <v>129</v>
      </c>
      <c r="I168" s="311" t="s">
        <v>237</v>
      </c>
      <c r="J168" s="312" t="s">
        <v>615</v>
      </c>
      <c r="K168" s="273" t="s">
        <v>97</v>
      </c>
      <c r="L168" s="273" t="s">
        <v>159</v>
      </c>
      <c r="M168" s="311" t="s">
        <v>156</v>
      </c>
      <c r="N168" s="311" t="s">
        <v>97</v>
      </c>
      <c r="O168" s="311" t="s">
        <v>160</v>
      </c>
      <c r="P168" s="311"/>
      <c r="Q168" s="313" t="s">
        <v>548</v>
      </c>
      <c r="R168" s="270">
        <v>1</v>
      </c>
      <c r="S168" s="155">
        <f>0</f>
        <v>0</v>
      </c>
      <c r="T168" s="155">
        <f>0</f>
        <v>0</v>
      </c>
      <c r="U168" s="158">
        <f>0</f>
        <v>0</v>
      </c>
      <c r="V168" s="158">
        <f>0</f>
        <v>0</v>
      </c>
      <c r="W168" s="155">
        <f>0</f>
        <v>0</v>
      </c>
      <c r="X168" s="155">
        <f>0</f>
        <v>0</v>
      </c>
      <c r="Y168" s="155">
        <f>0</f>
        <v>0</v>
      </c>
      <c r="Z168" s="155">
        <f>0</f>
        <v>0</v>
      </c>
      <c r="AA168" s="155">
        <f>0</f>
        <v>0</v>
      </c>
      <c r="AB168" s="155">
        <f>0</f>
        <v>0</v>
      </c>
      <c r="AC168" s="155">
        <f>0</f>
        <v>0</v>
      </c>
      <c r="AD168" s="155">
        <f>0</f>
        <v>0</v>
      </c>
      <c r="AE168" s="155">
        <f>0</f>
        <v>0</v>
      </c>
      <c r="AF168" s="155">
        <f>0</f>
        <v>0</v>
      </c>
      <c r="AG168" s="155">
        <f>0</f>
        <v>0</v>
      </c>
      <c r="AH168" s="155">
        <f>0</f>
        <v>0</v>
      </c>
      <c r="AI168" s="155">
        <f>0</f>
        <v>0</v>
      </c>
      <c r="AJ168" s="155">
        <f>0</f>
        <v>0</v>
      </c>
      <c r="AK168" s="155">
        <f>0</f>
        <v>0</v>
      </c>
      <c r="AL168" s="219">
        <f t="shared" si="9"/>
        <v>1</v>
      </c>
      <c r="AM168" s="103">
        <f>0</f>
        <v>0</v>
      </c>
      <c r="AN168" s="220">
        <f t="shared" si="10"/>
        <v>1</v>
      </c>
      <c r="AO168" s="290">
        <v>45034</v>
      </c>
      <c r="AP168" s="291" t="s">
        <v>192</v>
      </c>
      <c r="AQ168" s="292" t="s">
        <v>1520</v>
      </c>
      <c r="AR168" s="293" t="s">
        <v>197</v>
      </c>
      <c r="AS168" s="307"/>
      <c r="AT168" s="302"/>
      <c r="AU168" s="303">
        <v>1</v>
      </c>
      <c r="AV168" s="304">
        <f t="shared" si="11"/>
        <v>0</v>
      </c>
      <c r="AW168" s="302" t="s">
        <v>195</v>
      </c>
      <c r="AX168" s="305"/>
      <c r="AY168" s="306"/>
      <c r="AZ168" s="299"/>
      <c r="BA168" s="174"/>
      <c r="BB168" s="174"/>
      <c r="BC168" s="174"/>
    </row>
    <row r="169" spans="1:55" ht="28" customHeight="1">
      <c r="A169" s="195">
        <v>165</v>
      </c>
      <c r="B169" s="315">
        <v>45021</v>
      </c>
      <c r="C169" s="222" t="s">
        <v>198</v>
      </c>
      <c r="D169" s="222" t="s">
        <v>199</v>
      </c>
      <c r="E169" s="222" t="s">
        <v>200</v>
      </c>
      <c r="F169" s="195" t="s">
        <v>123</v>
      </c>
      <c r="G169" s="249" t="s">
        <v>618</v>
      </c>
      <c r="H169" s="250" t="s">
        <v>129</v>
      </c>
      <c r="I169" s="251" t="s">
        <v>619</v>
      </c>
      <c r="J169" s="288" t="s">
        <v>620</v>
      </c>
      <c r="K169" s="335" t="s">
        <v>97</v>
      </c>
      <c r="L169" s="253" t="s">
        <v>159</v>
      </c>
      <c r="M169" s="251" t="s">
        <v>156</v>
      </c>
      <c r="N169" s="251" t="s">
        <v>97</v>
      </c>
      <c r="O169" s="251" t="s">
        <v>160</v>
      </c>
      <c r="P169" s="254"/>
      <c r="Q169" s="289" t="s">
        <v>548</v>
      </c>
      <c r="R169" s="270">
        <v>24</v>
      </c>
      <c r="S169" s="155">
        <f>0</f>
        <v>0</v>
      </c>
      <c r="T169" s="155">
        <f>0</f>
        <v>0</v>
      </c>
      <c r="U169" s="158">
        <f>0</f>
        <v>0</v>
      </c>
      <c r="V169" s="158">
        <f>0</f>
        <v>0</v>
      </c>
      <c r="W169" s="155">
        <f>0</f>
        <v>0</v>
      </c>
      <c r="X169" s="155">
        <f>0</f>
        <v>0</v>
      </c>
      <c r="Y169" s="155">
        <f>0</f>
        <v>0</v>
      </c>
      <c r="Z169" s="155">
        <f>0</f>
        <v>0</v>
      </c>
      <c r="AA169" s="155">
        <f>0</f>
        <v>0</v>
      </c>
      <c r="AB169" s="155">
        <f>0</f>
        <v>0</v>
      </c>
      <c r="AC169" s="155">
        <f>0</f>
        <v>0</v>
      </c>
      <c r="AD169" s="155">
        <f>0</f>
        <v>0</v>
      </c>
      <c r="AE169" s="155">
        <f>0</f>
        <v>0</v>
      </c>
      <c r="AF169" s="155">
        <f>0</f>
        <v>0</v>
      </c>
      <c r="AG169" s="155">
        <f>0</f>
        <v>0</v>
      </c>
      <c r="AH169" s="155">
        <f>0</f>
        <v>0</v>
      </c>
      <c r="AI169" s="155">
        <f>0</f>
        <v>0</v>
      </c>
      <c r="AJ169" s="155">
        <f>0</f>
        <v>0</v>
      </c>
      <c r="AK169" s="155">
        <f>0</f>
        <v>0</v>
      </c>
      <c r="AL169" s="219">
        <f t="shared" si="9"/>
        <v>24</v>
      </c>
      <c r="AM169" s="103">
        <f>0</f>
        <v>0</v>
      </c>
      <c r="AN169" s="220">
        <f t="shared" si="10"/>
        <v>24</v>
      </c>
      <c r="AO169" s="290">
        <v>45034</v>
      </c>
      <c r="AP169" s="291" t="s">
        <v>192</v>
      </c>
      <c r="AQ169" s="292" t="s">
        <v>1520</v>
      </c>
      <c r="AR169" s="293" t="s">
        <v>197</v>
      </c>
      <c r="AS169" s="307"/>
      <c r="AT169" s="302"/>
      <c r="AU169" s="303">
        <v>24</v>
      </c>
      <c r="AV169" s="304">
        <f t="shared" si="11"/>
        <v>0</v>
      </c>
      <c r="AW169" s="302" t="s">
        <v>195</v>
      </c>
      <c r="AX169" s="305"/>
      <c r="AY169" s="306"/>
      <c r="AZ169" s="299"/>
      <c r="BA169" s="174"/>
      <c r="BB169" s="174"/>
      <c r="BC169" s="174"/>
    </row>
    <row r="170" spans="1:55" ht="28" customHeight="1">
      <c r="A170" s="195">
        <v>166</v>
      </c>
      <c r="B170" s="315">
        <v>45021</v>
      </c>
      <c r="C170" s="222" t="s">
        <v>198</v>
      </c>
      <c r="D170" s="222" t="s">
        <v>199</v>
      </c>
      <c r="E170" s="222" t="s">
        <v>200</v>
      </c>
      <c r="F170" s="195" t="s">
        <v>123</v>
      </c>
      <c r="G170" s="249" t="s">
        <v>621</v>
      </c>
      <c r="H170" s="250" t="s">
        <v>129</v>
      </c>
      <c r="I170" s="251" t="s">
        <v>226</v>
      </c>
      <c r="J170" s="288" t="s">
        <v>622</v>
      </c>
      <c r="K170" s="335" t="s">
        <v>97</v>
      </c>
      <c r="L170" s="253" t="s">
        <v>159</v>
      </c>
      <c r="M170" s="251" t="s">
        <v>156</v>
      </c>
      <c r="N170" s="251" t="s">
        <v>97</v>
      </c>
      <c r="O170" s="251" t="s">
        <v>160</v>
      </c>
      <c r="P170" s="254"/>
      <c r="Q170" s="289" t="s">
        <v>548</v>
      </c>
      <c r="R170" s="270">
        <v>1</v>
      </c>
      <c r="S170" s="155">
        <f>0</f>
        <v>0</v>
      </c>
      <c r="T170" s="155">
        <f>0</f>
        <v>0</v>
      </c>
      <c r="U170" s="158">
        <f>0</f>
        <v>0</v>
      </c>
      <c r="V170" s="158">
        <f>0</f>
        <v>0</v>
      </c>
      <c r="W170" s="155">
        <f>0</f>
        <v>0</v>
      </c>
      <c r="X170" s="155">
        <f>0</f>
        <v>0</v>
      </c>
      <c r="Y170" s="155">
        <f>0</f>
        <v>0</v>
      </c>
      <c r="Z170" s="155">
        <f>0</f>
        <v>0</v>
      </c>
      <c r="AA170" s="155">
        <f>0</f>
        <v>0</v>
      </c>
      <c r="AB170" s="155">
        <f>0</f>
        <v>0</v>
      </c>
      <c r="AC170" s="155">
        <f>0</f>
        <v>0</v>
      </c>
      <c r="AD170" s="155">
        <f>0</f>
        <v>0</v>
      </c>
      <c r="AE170" s="155">
        <f>0</f>
        <v>0</v>
      </c>
      <c r="AF170" s="155">
        <f>0</f>
        <v>0</v>
      </c>
      <c r="AG170" s="155">
        <f>0</f>
        <v>0</v>
      </c>
      <c r="AH170" s="155">
        <f>0</f>
        <v>0</v>
      </c>
      <c r="AI170" s="155">
        <f>0</f>
        <v>0</v>
      </c>
      <c r="AJ170" s="155">
        <f>0</f>
        <v>0</v>
      </c>
      <c r="AK170" s="155">
        <f>0</f>
        <v>0</v>
      </c>
      <c r="AL170" s="219">
        <f t="shared" si="9"/>
        <v>1</v>
      </c>
      <c r="AM170" s="103">
        <f>0</f>
        <v>0</v>
      </c>
      <c r="AN170" s="220">
        <f t="shared" si="10"/>
        <v>1</v>
      </c>
      <c r="AO170" s="290">
        <v>45034</v>
      </c>
      <c r="AP170" s="291" t="s">
        <v>192</v>
      </c>
      <c r="AQ170" s="292" t="s">
        <v>1520</v>
      </c>
      <c r="AR170" s="293" t="s">
        <v>197</v>
      </c>
      <c r="AS170" s="307"/>
      <c r="AT170" s="302"/>
      <c r="AU170" s="303">
        <v>1</v>
      </c>
      <c r="AV170" s="304">
        <f t="shared" si="11"/>
        <v>0</v>
      </c>
      <c r="AW170" s="302" t="s">
        <v>195</v>
      </c>
      <c r="AX170" s="305"/>
      <c r="AY170" s="306"/>
      <c r="AZ170" s="299"/>
      <c r="BA170" s="174"/>
      <c r="BB170" s="174"/>
      <c r="BC170" s="174"/>
    </row>
    <row r="171" spans="1:55" ht="28" customHeight="1">
      <c r="A171" s="195">
        <v>167</v>
      </c>
      <c r="B171" s="315">
        <v>45021</v>
      </c>
      <c r="C171" s="222" t="s">
        <v>198</v>
      </c>
      <c r="D171" s="222" t="s">
        <v>199</v>
      </c>
      <c r="E171" s="222" t="s">
        <v>200</v>
      </c>
      <c r="F171" s="195" t="s">
        <v>123</v>
      </c>
      <c r="G171" s="249" t="s">
        <v>623</v>
      </c>
      <c r="H171" s="250" t="s">
        <v>129</v>
      </c>
      <c r="I171" s="251" t="s">
        <v>624</v>
      </c>
      <c r="J171" s="288" t="s">
        <v>625</v>
      </c>
      <c r="K171" s="335" t="s">
        <v>97</v>
      </c>
      <c r="L171" s="253" t="s">
        <v>159</v>
      </c>
      <c r="M171" s="251" t="s">
        <v>156</v>
      </c>
      <c r="N171" s="251" t="s">
        <v>97</v>
      </c>
      <c r="O171" s="251" t="s">
        <v>160</v>
      </c>
      <c r="P171" s="254"/>
      <c r="Q171" s="289" t="s">
        <v>548</v>
      </c>
      <c r="R171" s="270">
        <v>1</v>
      </c>
      <c r="S171" s="155">
        <f>0</f>
        <v>0</v>
      </c>
      <c r="T171" s="155">
        <f>0</f>
        <v>0</v>
      </c>
      <c r="U171" s="158">
        <f>0</f>
        <v>0</v>
      </c>
      <c r="V171" s="158">
        <f>0</f>
        <v>0</v>
      </c>
      <c r="W171" s="155">
        <f>0</f>
        <v>0</v>
      </c>
      <c r="X171" s="155">
        <f>0</f>
        <v>0</v>
      </c>
      <c r="Y171" s="155">
        <f>0</f>
        <v>0</v>
      </c>
      <c r="Z171" s="155">
        <f>0</f>
        <v>0</v>
      </c>
      <c r="AA171" s="155">
        <f>0</f>
        <v>0</v>
      </c>
      <c r="AB171" s="155">
        <f>0</f>
        <v>0</v>
      </c>
      <c r="AC171" s="155">
        <f>0</f>
        <v>0</v>
      </c>
      <c r="AD171" s="155">
        <f>0</f>
        <v>0</v>
      </c>
      <c r="AE171" s="155">
        <f>0</f>
        <v>0</v>
      </c>
      <c r="AF171" s="155">
        <f>0</f>
        <v>0</v>
      </c>
      <c r="AG171" s="155">
        <f>0</f>
        <v>0</v>
      </c>
      <c r="AH171" s="155">
        <f>0</f>
        <v>0</v>
      </c>
      <c r="AI171" s="155">
        <f>0</f>
        <v>0</v>
      </c>
      <c r="AJ171" s="155">
        <f>0</f>
        <v>0</v>
      </c>
      <c r="AK171" s="155">
        <f>0</f>
        <v>0</v>
      </c>
      <c r="AL171" s="219">
        <f t="shared" si="9"/>
        <v>1</v>
      </c>
      <c r="AM171" s="103">
        <f>0</f>
        <v>0</v>
      </c>
      <c r="AN171" s="220">
        <f t="shared" si="10"/>
        <v>1</v>
      </c>
      <c r="AO171" s="290">
        <v>45034</v>
      </c>
      <c r="AP171" s="291" t="s">
        <v>192</v>
      </c>
      <c r="AQ171" s="292" t="s">
        <v>1520</v>
      </c>
      <c r="AR171" s="293" t="s">
        <v>197</v>
      </c>
      <c r="AS171" s="307"/>
      <c r="AT171" s="302"/>
      <c r="AU171" s="303">
        <v>1</v>
      </c>
      <c r="AV171" s="304">
        <f t="shared" si="11"/>
        <v>0</v>
      </c>
      <c r="AW171" s="302" t="s">
        <v>195</v>
      </c>
      <c r="AX171" s="305"/>
      <c r="AY171" s="306"/>
      <c r="AZ171" s="299"/>
      <c r="BA171" s="174"/>
      <c r="BB171" s="174"/>
      <c r="BC171" s="174"/>
    </row>
    <row r="172" spans="1:55" ht="28" customHeight="1">
      <c r="A172" s="195">
        <v>168</v>
      </c>
      <c r="B172" s="315">
        <v>45021</v>
      </c>
      <c r="C172" s="222" t="s">
        <v>198</v>
      </c>
      <c r="D172" s="222" t="s">
        <v>199</v>
      </c>
      <c r="E172" s="222" t="s">
        <v>200</v>
      </c>
      <c r="F172" s="195" t="s">
        <v>123</v>
      </c>
      <c r="G172" s="249" t="s">
        <v>626</v>
      </c>
      <c r="H172" s="250" t="s">
        <v>129</v>
      </c>
      <c r="I172" s="251" t="s">
        <v>478</v>
      </c>
      <c r="J172" s="288" t="s">
        <v>627</v>
      </c>
      <c r="K172" s="335" t="s">
        <v>97</v>
      </c>
      <c r="L172" s="253" t="s">
        <v>159</v>
      </c>
      <c r="M172" s="251" t="s">
        <v>156</v>
      </c>
      <c r="N172" s="251" t="s">
        <v>97</v>
      </c>
      <c r="O172" s="251" t="s">
        <v>204</v>
      </c>
      <c r="P172" s="254"/>
      <c r="Q172" s="289" t="s">
        <v>548</v>
      </c>
      <c r="R172" s="270">
        <v>1</v>
      </c>
      <c r="S172" s="155">
        <f>0</f>
        <v>0</v>
      </c>
      <c r="T172" s="155">
        <f>0</f>
        <v>0</v>
      </c>
      <c r="U172" s="158">
        <f>0</f>
        <v>0</v>
      </c>
      <c r="V172" s="158">
        <f>0</f>
        <v>0</v>
      </c>
      <c r="W172" s="155">
        <f>0</f>
        <v>0</v>
      </c>
      <c r="X172" s="155">
        <f>0</f>
        <v>0</v>
      </c>
      <c r="Y172" s="155">
        <f>0</f>
        <v>0</v>
      </c>
      <c r="Z172" s="155">
        <f>0</f>
        <v>0</v>
      </c>
      <c r="AA172" s="155">
        <f>0</f>
        <v>0</v>
      </c>
      <c r="AB172" s="155">
        <f>0</f>
        <v>0</v>
      </c>
      <c r="AC172" s="155">
        <f>0</f>
        <v>0</v>
      </c>
      <c r="AD172" s="155">
        <f>0</f>
        <v>0</v>
      </c>
      <c r="AE172" s="155">
        <f>0</f>
        <v>0</v>
      </c>
      <c r="AF172" s="155">
        <f>0</f>
        <v>0</v>
      </c>
      <c r="AG172" s="155">
        <f>0</f>
        <v>0</v>
      </c>
      <c r="AH172" s="155">
        <f>0</f>
        <v>0</v>
      </c>
      <c r="AI172" s="155">
        <f>0</f>
        <v>0</v>
      </c>
      <c r="AJ172" s="155">
        <f>0</f>
        <v>0</v>
      </c>
      <c r="AK172" s="155">
        <f>0</f>
        <v>0</v>
      </c>
      <c r="AL172" s="219">
        <f t="shared" si="9"/>
        <v>1</v>
      </c>
      <c r="AM172" s="103">
        <f>0</f>
        <v>0</v>
      </c>
      <c r="AN172" s="220">
        <f t="shared" si="10"/>
        <v>1</v>
      </c>
      <c r="AO172" s="290">
        <v>45034</v>
      </c>
      <c r="AP172" s="291" t="s">
        <v>192</v>
      </c>
      <c r="AQ172" s="292" t="s">
        <v>1520</v>
      </c>
      <c r="AR172" s="293" t="s">
        <v>197</v>
      </c>
      <c r="AS172" s="307"/>
      <c r="AT172" s="302"/>
      <c r="AU172" s="303">
        <v>1</v>
      </c>
      <c r="AV172" s="304">
        <f t="shared" si="11"/>
        <v>0</v>
      </c>
      <c r="AW172" s="302" t="s">
        <v>195</v>
      </c>
      <c r="AX172" s="305"/>
      <c r="AY172" s="306"/>
      <c r="AZ172" s="299"/>
      <c r="BA172" s="174"/>
      <c r="BB172" s="174"/>
      <c r="BC172" s="174"/>
    </row>
    <row r="173" spans="1:55" ht="28" customHeight="1">
      <c r="A173" s="195">
        <v>169</v>
      </c>
      <c r="B173" s="315">
        <v>45021</v>
      </c>
      <c r="C173" s="222" t="s">
        <v>198</v>
      </c>
      <c r="D173" s="222" t="s">
        <v>199</v>
      </c>
      <c r="E173" s="222" t="s">
        <v>200</v>
      </c>
      <c r="F173" s="195" t="s">
        <v>123</v>
      </c>
      <c r="G173" s="249" t="s">
        <v>628</v>
      </c>
      <c r="H173" s="250" t="s">
        <v>129</v>
      </c>
      <c r="I173" s="251" t="s">
        <v>237</v>
      </c>
      <c r="J173" s="288" t="s">
        <v>629</v>
      </c>
      <c r="K173" s="335" t="s">
        <v>97</v>
      </c>
      <c r="L173" s="253" t="s">
        <v>159</v>
      </c>
      <c r="M173" s="251" t="s">
        <v>156</v>
      </c>
      <c r="N173" s="251" t="s">
        <v>97</v>
      </c>
      <c r="O173" s="251" t="s">
        <v>160</v>
      </c>
      <c r="P173" s="254"/>
      <c r="Q173" s="289" t="s">
        <v>548</v>
      </c>
      <c r="R173" s="270">
        <v>1</v>
      </c>
      <c r="S173" s="155">
        <f>0</f>
        <v>0</v>
      </c>
      <c r="T173" s="155">
        <f>0</f>
        <v>0</v>
      </c>
      <c r="U173" s="158">
        <f>0</f>
        <v>0</v>
      </c>
      <c r="V173" s="158">
        <f>0</f>
        <v>0</v>
      </c>
      <c r="W173" s="155">
        <f>0</f>
        <v>0</v>
      </c>
      <c r="X173" s="155">
        <f>0</f>
        <v>0</v>
      </c>
      <c r="Y173" s="155">
        <f>0</f>
        <v>0</v>
      </c>
      <c r="Z173" s="155">
        <f>0</f>
        <v>0</v>
      </c>
      <c r="AA173" s="155">
        <f>0</f>
        <v>0</v>
      </c>
      <c r="AB173" s="155">
        <f>0</f>
        <v>0</v>
      </c>
      <c r="AC173" s="155">
        <f>0</f>
        <v>0</v>
      </c>
      <c r="AD173" s="155">
        <f>0</f>
        <v>0</v>
      </c>
      <c r="AE173" s="155">
        <f>0</f>
        <v>0</v>
      </c>
      <c r="AF173" s="155">
        <f>0</f>
        <v>0</v>
      </c>
      <c r="AG173" s="155">
        <f>0</f>
        <v>0</v>
      </c>
      <c r="AH173" s="155">
        <f>0</f>
        <v>0</v>
      </c>
      <c r="AI173" s="155">
        <f>0</f>
        <v>0</v>
      </c>
      <c r="AJ173" s="155">
        <f>0</f>
        <v>0</v>
      </c>
      <c r="AK173" s="155">
        <f>0</f>
        <v>0</v>
      </c>
      <c r="AL173" s="219">
        <f t="shared" si="9"/>
        <v>1</v>
      </c>
      <c r="AM173" s="103">
        <f>0</f>
        <v>0</v>
      </c>
      <c r="AN173" s="220">
        <f t="shared" si="10"/>
        <v>1</v>
      </c>
      <c r="AO173" s="290">
        <v>45034</v>
      </c>
      <c r="AP173" s="291" t="s">
        <v>192</v>
      </c>
      <c r="AQ173" s="292" t="s">
        <v>1520</v>
      </c>
      <c r="AR173" s="293" t="s">
        <v>197</v>
      </c>
      <c r="AS173" s="307"/>
      <c r="AT173" s="302"/>
      <c r="AU173" s="303">
        <v>1</v>
      </c>
      <c r="AV173" s="304">
        <f t="shared" si="11"/>
        <v>0</v>
      </c>
      <c r="AW173" s="302" t="s">
        <v>195</v>
      </c>
      <c r="AX173" s="305"/>
      <c r="AY173" s="306"/>
      <c r="AZ173" s="299"/>
      <c r="BA173" s="174"/>
      <c r="BB173" s="174"/>
      <c r="BC173" s="174"/>
    </row>
    <row r="174" spans="1:55" ht="28" customHeight="1">
      <c r="A174" s="195">
        <v>170</v>
      </c>
      <c r="B174" s="315">
        <v>45021</v>
      </c>
      <c r="C174" s="222" t="s">
        <v>198</v>
      </c>
      <c r="D174" s="222" t="s">
        <v>199</v>
      </c>
      <c r="E174" s="222" t="s">
        <v>200</v>
      </c>
      <c r="F174" s="195" t="s">
        <v>123</v>
      </c>
      <c r="G174" s="249" t="s">
        <v>630</v>
      </c>
      <c r="H174" s="250" t="s">
        <v>129</v>
      </c>
      <c r="I174" s="251" t="s">
        <v>631</v>
      </c>
      <c r="J174" s="288" t="s">
        <v>632</v>
      </c>
      <c r="K174" s="335" t="s">
        <v>201</v>
      </c>
      <c r="L174" s="253" t="s">
        <v>159</v>
      </c>
      <c r="M174" s="251" t="s">
        <v>156</v>
      </c>
      <c r="N174" s="251" t="s">
        <v>97</v>
      </c>
      <c r="O174" s="251" t="s">
        <v>204</v>
      </c>
      <c r="P174" s="254"/>
      <c r="Q174" s="289" t="s">
        <v>548</v>
      </c>
      <c r="R174" s="270">
        <v>1</v>
      </c>
      <c r="S174" s="155">
        <f>0</f>
        <v>0</v>
      </c>
      <c r="T174" s="155">
        <f>0</f>
        <v>0</v>
      </c>
      <c r="U174" s="158">
        <f>0</f>
        <v>0</v>
      </c>
      <c r="V174" s="158">
        <f>0</f>
        <v>0</v>
      </c>
      <c r="W174" s="155">
        <f>0</f>
        <v>0</v>
      </c>
      <c r="X174" s="155">
        <f>0</f>
        <v>0</v>
      </c>
      <c r="Y174" s="155">
        <f>0</f>
        <v>0</v>
      </c>
      <c r="Z174" s="155">
        <f>0</f>
        <v>0</v>
      </c>
      <c r="AA174" s="155">
        <f>0</f>
        <v>0</v>
      </c>
      <c r="AB174" s="155">
        <f>0</f>
        <v>0</v>
      </c>
      <c r="AC174" s="155">
        <f>0</f>
        <v>0</v>
      </c>
      <c r="AD174" s="155">
        <f>0</f>
        <v>0</v>
      </c>
      <c r="AE174" s="155">
        <f>0</f>
        <v>0</v>
      </c>
      <c r="AF174" s="155">
        <f>0</f>
        <v>0</v>
      </c>
      <c r="AG174" s="155">
        <f>0</f>
        <v>0</v>
      </c>
      <c r="AH174" s="155">
        <f>0</f>
        <v>0</v>
      </c>
      <c r="AI174" s="155">
        <f>0</f>
        <v>0</v>
      </c>
      <c r="AJ174" s="155">
        <f>0</f>
        <v>0</v>
      </c>
      <c r="AK174" s="155">
        <f>0</f>
        <v>0</v>
      </c>
      <c r="AL174" s="219">
        <f t="shared" si="9"/>
        <v>1</v>
      </c>
      <c r="AM174" s="103">
        <f>0</f>
        <v>0</v>
      </c>
      <c r="AN174" s="220">
        <f t="shared" si="10"/>
        <v>1</v>
      </c>
      <c r="AO174" s="290">
        <v>45034</v>
      </c>
      <c r="AP174" s="291" t="s">
        <v>192</v>
      </c>
      <c r="AQ174" s="292" t="s">
        <v>1520</v>
      </c>
      <c r="AR174" s="293" t="s">
        <v>197</v>
      </c>
      <c r="AS174" s="307"/>
      <c r="AT174" s="302"/>
      <c r="AU174" s="303">
        <v>1</v>
      </c>
      <c r="AV174" s="304">
        <f t="shared" si="11"/>
        <v>0</v>
      </c>
      <c r="AW174" s="302" t="s">
        <v>195</v>
      </c>
      <c r="AX174" s="305"/>
      <c r="AY174" s="306"/>
      <c r="AZ174" s="299"/>
      <c r="BA174" s="174"/>
      <c r="BB174" s="174"/>
      <c r="BC174" s="174"/>
    </row>
    <row r="175" spans="1:55" ht="28" customHeight="1">
      <c r="A175" s="195">
        <v>171</v>
      </c>
      <c r="B175" s="315">
        <v>45021</v>
      </c>
      <c r="C175" s="222" t="s">
        <v>198</v>
      </c>
      <c r="D175" s="222" t="s">
        <v>199</v>
      </c>
      <c r="E175" s="222" t="s">
        <v>200</v>
      </c>
      <c r="F175" s="195" t="s">
        <v>123</v>
      </c>
      <c r="G175" s="249" t="s">
        <v>633</v>
      </c>
      <c r="H175" s="250" t="s">
        <v>129</v>
      </c>
      <c r="I175" s="251" t="s">
        <v>634</v>
      </c>
      <c r="J175" s="288" t="s">
        <v>635</v>
      </c>
      <c r="K175" s="328" t="s">
        <v>201</v>
      </c>
      <c r="L175" s="253" t="s">
        <v>159</v>
      </c>
      <c r="M175" s="251" t="s">
        <v>156</v>
      </c>
      <c r="N175" s="251" t="s">
        <v>97</v>
      </c>
      <c r="O175" s="251" t="s">
        <v>204</v>
      </c>
      <c r="P175" s="254"/>
      <c r="Q175" s="289" t="s">
        <v>548</v>
      </c>
      <c r="R175" s="270">
        <v>10</v>
      </c>
      <c r="S175" s="155">
        <f>0</f>
        <v>0</v>
      </c>
      <c r="T175" s="155">
        <f>0</f>
        <v>0</v>
      </c>
      <c r="U175" s="158">
        <f>0</f>
        <v>0</v>
      </c>
      <c r="V175" s="158">
        <f>0</f>
        <v>0</v>
      </c>
      <c r="W175" s="155">
        <f>0</f>
        <v>0</v>
      </c>
      <c r="X175" s="155">
        <f>0</f>
        <v>0</v>
      </c>
      <c r="Y175" s="155">
        <f>0</f>
        <v>0</v>
      </c>
      <c r="Z175" s="155">
        <f>0</f>
        <v>0</v>
      </c>
      <c r="AA175" s="155">
        <f>0</f>
        <v>0</v>
      </c>
      <c r="AB175" s="155">
        <f>0</f>
        <v>0</v>
      </c>
      <c r="AC175" s="155">
        <f>0</f>
        <v>0</v>
      </c>
      <c r="AD175" s="155">
        <f>0</f>
        <v>0</v>
      </c>
      <c r="AE175" s="155">
        <f>0</f>
        <v>0</v>
      </c>
      <c r="AF175" s="155">
        <f>0</f>
        <v>0</v>
      </c>
      <c r="AG175" s="155">
        <f>0</f>
        <v>0</v>
      </c>
      <c r="AH175" s="155">
        <f>0</f>
        <v>0</v>
      </c>
      <c r="AI175" s="155">
        <f>0</f>
        <v>0</v>
      </c>
      <c r="AJ175" s="155">
        <f>0</f>
        <v>0</v>
      </c>
      <c r="AK175" s="155">
        <f>0</f>
        <v>0</v>
      </c>
      <c r="AL175" s="219">
        <f t="shared" si="9"/>
        <v>10</v>
      </c>
      <c r="AM175" s="103">
        <f>0</f>
        <v>0</v>
      </c>
      <c r="AN175" s="220">
        <f t="shared" si="10"/>
        <v>10</v>
      </c>
      <c r="AO175" s="290">
        <v>45034</v>
      </c>
      <c r="AP175" s="291" t="s">
        <v>192</v>
      </c>
      <c r="AQ175" s="292" t="s">
        <v>1520</v>
      </c>
      <c r="AR175" s="293" t="s">
        <v>197</v>
      </c>
      <c r="AS175" s="307"/>
      <c r="AT175" s="302"/>
      <c r="AU175" s="303">
        <v>10</v>
      </c>
      <c r="AV175" s="304">
        <f t="shared" si="11"/>
        <v>0</v>
      </c>
      <c r="AW175" s="302" t="s">
        <v>195</v>
      </c>
      <c r="AX175" s="305"/>
      <c r="AY175" s="306"/>
      <c r="AZ175" s="299"/>
      <c r="BA175" s="174"/>
      <c r="BB175" s="174"/>
      <c r="BC175" s="174"/>
    </row>
    <row r="176" spans="1:55" ht="28" customHeight="1">
      <c r="A176" s="195">
        <v>172</v>
      </c>
      <c r="B176" s="315">
        <v>45021</v>
      </c>
      <c r="C176" s="222" t="s">
        <v>198</v>
      </c>
      <c r="D176" s="222" t="s">
        <v>199</v>
      </c>
      <c r="E176" s="222" t="s">
        <v>200</v>
      </c>
      <c r="F176" s="195" t="s">
        <v>123</v>
      </c>
      <c r="G176" s="249" t="s">
        <v>636</v>
      </c>
      <c r="H176" s="250" t="s">
        <v>129</v>
      </c>
      <c r="I176" s="251" t="s">
        <v>637</v>
      </c>
      <c r="J176" s="288" t="s">
        <v>638</v>
      </c>
      <c r="K176" s="328" t="s">
        <v>97</v>
      </c>
      <c r="L176" s="253" t="s">
        <v>639</v>
      </c>
      <c r="M176" s="251" t="s">
        <v>147</v>
      </c>
      <c r="N176" s="251" t="s">
        <v>97</v>
      </c>
      <c r="O176" s="251" t="s">
        <v>148</v>
      </c>
      <c r="P176" s="254"/>
      <c r="Q176" s="289" t="s">
        <v>548</v>
      </c>
      <c r="R176" s="270">
        <v>2</v>
      </c>
      <c r="S176" s="155">
        <f>0</f>
        <v>0</v>
      </c>
      <c r="T176" s="155">
        <f>0</f>
        <v>0</v>
      </c>
      <c r="U176" s="158">
        <f>0</f>
        <v>0</v>
      </c>
      <c r="V176" s="158">
        <f>0</f>
        <v>0</v>
      </c>
      <c r="W176" s="155">
        <f>0</f>
        <v>0</v>
      </c>
      <c r="X176" s="155">
        <f>0</f>
        <v>0</v>
      </c>
      <c r="Y176" s="155">
        <f>0</f>
        <v>0</v>
      </c>
      <c r="Z176" s="155">
        <f>0</f>
        <v>0</v>
      </c>
      <c r="AA176" s="155">
        <f>0</f>
        <v>0</v>
      </c>
      <c r="AB176" s="155">
        <f>0</f>
        <v>0</v>
      </c>
      <c r="AC176" s="155">
        <f>0</f>
        <v>0</v>
      </c>
      <c r="AD176" s="155">
        <f>0</f>
        <v>0</v>
      </c>
      <c r="AE176" s="155">
        <f>0</f>
        <v>0</v>
      </c>
      <c r="AF176" s="155">
        <f>0</f>
        <v>0</v>
      </c>
      <c r="AG176" s="155">
        <f>0</f>
        <v>0</v>
      </c>
      <c r="AH176" s="155">
        <f>0</f>
        <v>0</v>
      </c>
      <c r="AI176" s="155">
        <f>0</f>
        <v>0</v>
      </c>
      <c r="AJ176" s="155">
        <f>0</f>
        <v>0</v>
      </c>
      <c r="AK176" s="155">
        <f>0</f>
        <v>0</v>
      </c>
      <c r="AL176" s="219">
        <f t="shared" si="9"/>
        <v>2</v>
      </c>
      <c r="AM176" s="103">
        <f>0</f>
        <v>0</v>
      </c>
      <c r="AN176" s="220">
        <f t="shared" si="10"/>
        <v>2</v>
      </c>
      <c r="AO176" s="348">
        <v>45034</v>
      </c>
      <c r="AP176" s="296" t="s">
        <v>192</v>
      </c>
      <c r="AQ176" s="292" t="s">
        <v>1522</v>
      </c>
      <c r="AR176" s="314" t="s">
        <v>194</v>
      </c>
      <c r="AS176" s="301">
        <v>45078</v>
      </c>
      <c r="AT176" s="302"/>
      <c r="AU176" s="303">
        <v>2</v>
      </c>
      <c r="AV176" s="304">
        <f t="shared" si="11"/>
        <v>0</v>
      </c>
      <c r="AW176" s="302" t="s">
        <v>195</v>
      </c>
      <c r="AX176" s="305"/>
      <c r="AY176" s="306"/>
      <c r="AZ176" s="299"/>
      <c r="BA176" s="174"/>
      <c r="BB176" s="174"/>
      <c r="BC176" s="174"/>
    </row>
    <row r="177" spans="1:55" ht="28" customHeight="1">
      <c r="A177" s="195">
        <v>173</v>
      </c>
      <c r="B177" s="315">
        <v>45021</v>
      </c>
      <c r="C177" s="222" t="s">
        <v>198</v>
      </c>
      <c r="D177" s="222" t="s">
        <v>199</v>
      </c>
      <c r="E177" s="222" t="s">
        <v>200</v>
      </c>
      <c r="F177" s="349" t="s">
        <v>123</v>
      </c>
      <c r="G177" s="312" t="s">
        <v>640</v>
      </c>
      <c r="H177" s="310" t="s">
        <v>556</v>
      </c>
      <c r="I177" s="311" t="s">
        <v>299</v>
      </c>
      <c r="J177" s="312" t="s">
        <v>641</v>
      </c>
      <c r="K177" s="273"/>
      <c r="L177" s="273" t="s">
        <v>176</v>
      </c>
      <c r="M177" s="311" t="s">
        <v>147</v>
      </c>
      <c r="N177" s="251" t="s">
        <v>97</v>
      </c>
      <c r="O177" s="311" t="s">
        <v>224</v>
      </c>
      <c r="P177" s="311"/>
      <c r="Q177" s="289" t="s">
        <v>548</v>
      </c>
      <c r="R177" s="154">
        <f>0</f>
        <v>0</v>
      </c>
      <c r="S177" s="263">
        <v>10</v>
      </c>
      <c r="T177" s="155">
        <f>0</f>
        <v>0</v>
      </c>
      <c r="U177" s="158">
        <f>0</f>
        <v>0</v>
      </c>
      <c r="V177" s="158">
        <f>0</f>
        <v>0</v>
      </c>
      <c r="W177" s="155">
        <f>0</f>
        <v>0</v>
      </c>
      <c r="X177" s="155">
        <f>0</f>
        <v>0</v>
      </c>
      <c r="Y177" s="155">
        <f>0</f>
        <v>0</v>
      </c>
      <c r="Z177" s="155">
        <f>0</f>
        <v>0</v>
      </c>
      <c r="AA177" s="155">
        <f>0</f>
        <v>0</v>
      </c>
      <c r="AB177" s="155">
        <f>0</f>
        <v>0</v>
      </c>
      <c r="AC177" s="155">
        <f>0</f>
        <v>0</v>
      </c>
      <c r="AD177" s="155">
        <f>0</f>
        <v>0</v>
      </c>
      <c r="AE177" s="155">
        <f>0</f>
        <v>0</v>
      </c>
      <c r="AF177" s="155">
        <f>0</f>
        <v>0</v>
      </c>
      <c r="AG177" s="155">
        <f>0</f>
        <v>0</v>
      </c>
      <c r="AH177" s="155">
        <f>0</f>
        <v>0</v>
      </c>
      <c r="AI177" s="155">
        <f>0</f>
        <v>0</v>
      </c>
      <c r="AJ177" s="155">
        <f>0</f>
        <v>0</v>
      </c>
      <c r="AK177" s="155">
        <f>0</f>
        <v>0</v>
      </c>
      <c r="AL177" s="219">
        <f t="shared" si="9"/>
        <v>10</v>
      </c>
      <c r="AM177" s="103">
        <f>0</f>
        <v>0</v>
      </c>
      <c r="AN177" s="220">
        <f t="shared" si="10"/>
        <v>10</v>
      </c>
      <c r="AO177" s="348">
        <v>45034</v>
      </c>
      <c r="AP177" s="296" t="s">
        <v>192</v>
      </c>
      <c r="AQ177" s="292" t="s">
        <v>1522</v>
      </c>
      <c r="AR177" s="314" t="s">
        <v>194</v>
      </c>
      <c r="AS177" s="301">
        <v>45078</v>
      </c>
      <c r="AT177" s="302"/>
      <c r="AU177" s="303">
        <v>10</v>
      </c>
      <c r="AV177" s="304">
        <f t="shared" si="11"/>
        <v>0</v>
      </c>
      <c r="AW177" s="302" t="s">
        <v>195</v>
      </c>
      <c r="AX177" s="305"/>
      <c r="AY177" s="306"/>
      <c r="AZ177" s="299"/>
      <c r="BA177" s="174"/>
      <c r="BB177" s="174"/>
      <c r="BC177" s="174"/>
    </row>
    <row r="178" spans="1:55" ht="28" customHeight="1">
      <c r="A178" s="195">
        <v>174</v>
      </c>
      <c r="B178" s="315">
        <v>45021</v>
      </c>
      <c r="C178" s="222" t="s">
        <v>198</v>
      </c>
      <c r="D178" s="222" t="s">
        <v>199</v>
      </c>
      <c r="E178" s="222" t="s">
        <v>200</v>
      </c>
      <c r="F178" s="371" t="s">
        <v>123</v>
      </c>
      <c r="G178" s="312" t="s">
        <v>642</v>
      </c>
      <c r="H178" s="310" t="s">
        <v>556</v>
      </c>
      <c r="I178" s="311" t="s">
        <v>237</v>
      </c>
      <c r="J178" s="312" t="s">
        <v>642</v>
      </c>
      <c r="K178" s="273"/>
      <c r="L178" s="273" t="s">
        <v>543</v>
      </c>
      <c r="M178" s="311" t="s">
        <v>544</v>
      </c>
      <c r="N178" s="251" t="s">
        <v>97</v>
      </c>
      <c r="O178" s="311"/>
      <c r="P178" s="311"/>
      <c r="Q178" s="289" t="s">
        <v>548</v>
      </c>
      <c r="R178" s="154">
        <f>0</f>
        <v>0</v>
      </c>
      <c r="S178" s="263">
        <v>10</v>
      </c>
      <c r="T178" s="155">
        <f>0</f>
        <v>0</v>
      </c>
      <c r="U178" s="158">
        <f>0</f>
        <v>0</v>
      </c>
      <c r="V178" s="158">
        <f>0</f>
        <v>0</v>
      </c>
      <c r="W178" s="155">
        <f>0</f>
        <v>0</v>
      </c>
      <c r="X178" s="155">
        <f>0</f>
        <v>0</v>
      </c>
      <c r="Y178" s="155">
        <f>0</f>
        <v>0</v>
      </c>
      <c r="Z178" s="155">
        <f>0</f>
        <v>0</v>
      </c>
      <c r="AA178" s="155">
        <f>0</f>
        <v>0</v>
      </c>
      <c r="AB178" s="155">
        <f>0</f>
        <v>0</v>
      </c>
      <c r="AC178" s="155">
        <f>0</f>
        <v>0</v>
      </c>
      <c r="AD178" s="155">
        <f>0</f>
        <v>0</v>
      </c>
      <c r="AE178" s="155">
        <f>0</f>
        <v>0</v>
      </c>
      <c r="AF178" s="155">
        <f>0</f>
        <v>0</v>
      </c>
      <c r="AG178" s="155">
        <f>0</f>
        <v>0</v>
      </c>
      <c r="AH178" s="155">
        <f>0</f>
        <v>0</v>
      </c>
      <c r="AI178" s="155">
        <f>0</f>
        <v>0</v>
      </c>
      <c r="AJ178" s="155">
        <f>0</f>
        <v>0</v>
      </c>
      <c r="AK178" s="155">
        <f>0</f>
        <v>0</v>
      </c>
      <c r="AL178" s="219">
        <f t="shared" si="9"/>
        <v>10</v>
      </c>
      <c r="AM178" s="103">
        <f>0</f>
        <v>0</v>
      </c>
      <c r="AN178" s="220">
        <f t="shared" si="10"/>
        <v>10</v>
      </c>
      <c r="AO178" s="348">
        <v>45034</v>
      </c>
      <c r="AP178" s="296" t="s">
        <v>192</v>
      </c>
      <c r="AQ178" s="292" t="s">
        <v>1522</v>
      </c>
      <c r="AR178" s="314" t="s">
        <v>194</v>
      </c>
      <c r="AS178" s="301">
        <v>45078</v>
      </c>
      <c r="AT178" s="302"/>
      <c r="AU178" s="303">
        <v>10</v>
      </c>
      <c r="AV178" s="304">
        <f t="shared" si="11"/>
        <v>0</v>
      </c>
      <c r="AW178" s="302" t="s">
        <v>195</v>
      </c>
      <c r="AX178" s="305"/>
      <c r="AY178" s="306"/>
      <c r="AZ178" s="299"/>
      <c r="BA178" s="174"/>
      <c r="BB178" s="174"/>
      <c r="BC178" s="174"/>
    </row>
    <row r="179" spans="1:55" ht="28" customHeight="1">
      <c r="A179" s="195">
        <v>175</v>
      </c>
      <c r="B179" s="315">
        <v>45021</v>
      </c>
      <c r="C179" s="222" t="s">
        <v>198</v>
      </c>
      <c r="D179" s="222" t="s">
        <v>199</v>
      </c>
      <c r="E179" s="222" t="s">
        <v>200</v>
      </c>
      <c r="F179" s="349" t="s">
        <v>123</v>
      </c>
      <c r="G179" s="309" t="s">
        <v>643</v>
      </c>
      <c r="H179" s="310" t="s">
        <v>129</v>
      </c>
      <c r="I179" s="311" t="s">
        <v>561</v>
      </c>
      <c r="J179" s="312" t="s">
        <v>644</v>
      </c>
      <c r="K179" s="273"/>
      <c r="L179" s="273" t="s">
        <v>168</v>
      </c>
      <c r="M179" s="311" t="s">
        <v>147</v>
      </c>
      <c r="N179" s="251" t="s">
        <v>97</v>
      </c>
      <c r="O179" s="311" t="s">
        <v>169</v>
      </c>
      <c r="P179" s="311"/>
      <c r="Q179" s="289" t="s">
        <v>548</v>
      </c>
      <c r="R179" s="270">
        <v>22</v>
      </c>
      <c r="S179" s="155">
        <f>0</f>
        <v>0</v>
      </c>
      <c r="T179" s="155">
        <f>0</f>
        <v>0</v>
      </c>
      <c r="U179" s="158">
        <f>0</f>
        <v>0</v>
      </c>
      <c r="V179" s="158">
        <f>0</f>
        <v>0</v>
      </c>
      <c r="W179" s="155">
        <f>0</f>
        <v>0</v>
      </c>
      <c r="X179" s="155">
        <f>0</f>
        <v>0</v>
      </c>
      <c r="Y179" s="155">
        <f>0</f>
        <v>0</v>
      </c>
      <c r="Z179" s="155">
        <f>0</f>
        <v>0</v>
      </c>
      <c r="AA179" s="155">
        <f>0</f>
        <v>0</v>
      </c>
      <c r="AB179" s="155">
        <f>0</f>
        <v>0</v>
      </c>
      <c r="AC179" s="155">
        <f>0</f>
        <v>0</v>
      </c>
      <c r="AD179" s="155">
        <f>0</f>
        <v>0</v>
      </c>
      <c r="AE179" s="155">
        <f>0</f>
        <v>0</v>
      </c>
      <c r="AF179" s="155">
        <f>0</f>
        <v>0</v>
      </c>
      <c r="AG179" s="155">
        <f>0</f>
        <v>0</v>
      </c>
      <c r="AH179" s="155">
        <f>0</f>
        <v>0</v>
      </c>
      <c r="AI179" s="155">
        <f>0</f>
        <v>0</v>
      </c>
      <c r="AJ179" s="155">
        <f>0</f>
        <v>0</v>
      </c>
      <c r="AK179" s="155">
        <f>0</f>
        <v>0</v>
      </c>
      <c r="AL179" s="219">
        <f t="shared" si="9"/>
        <v>22</v>
      </c>
      <c r="AM179" s="103">
        <f>0</f>
        <v>0</v>
      </c>
      <c r="AN179" s="220">
        <f t="shared" si="10"/>
        <v>22</v>
      </c>
      <c r="AO179" s="348">
        <v>45034</v>
      </c>
      <c r="AP179" s="296" t="s">
        <v>192</v>
      </c>
      <c r="AQ179" s="292" t="s">
        <v>1522</v>
      </c>
      <c r="AR179" s="314" t="s">
        <v>194</v>
      </c>
      <c r="AS179" s="301">
        <v>45078</v>
      </c>
      <c r="AT179" s="302"/>
      <c r="AU179" s="303">
        <v>22</v>
      </c>
      <c r="AV179" s="304">
        <f t="shared" si="11"/>
        <v>0</v>
      </c>
      <c r="AW179" s="302" t="s">
        <v>195</v>
      </c>
      <c r="AX179" s="305"/>
      <c r="AY179" s="306"/>
      <c r="AZ179" s="299"/>
      <c r="BA179" s="174"/>
      <c r="BB179" s="174"/>
      <c r="BC179" s="174"/>
    </row>
    <row r="180" spans="1:55" ht="28" customHeight="1">
      <c r="A180" s="195">
        <v>176</v>
      </c>
      <c r="B180" s="315">
        <v>45021</v>
      </c>
      <c r="C180" s="222" t="s">
        <v>198</v>
      </c>
      <c r="D180" s="222" t="s">
        <v>199</v>
      </c>
      <c r="E180" s="222" t="s">
        <v>200</v>
      </c>
      <c r="F180" s="371" t="s">
        <v>123</v>
      </c>
      <c r="G180" s="309" t="s">
        <v>645</v>
      </c>
      <c r="H180" s="310" t="s">
        <v>129</v>
      </c>
      <c r="I180" s="311" t="s">
        <v>646</v>
      </c>
      <c r="J180" s="312" t="s">
        <v>647</v>
      </c>
      <c r="K180" s="273" t="s">
        <v>97</v>
      </c>
      <c r="L180" s="273" t="s">
        <v>159</v>
      </c>
      <c r="M180" s="311" t="s">
        <v>156</v>
      </c>
      <c r="N180" s="251" t="s">
        <v>97</v>
      </c>
      <c r="O180" s="311" t="s">
        <v>204</v>
      </c>
      <c r="P180" s="311"/>
      <c r="Q180" s="313" t="s">
        <v>648</v>
      </c>
      <c r="R180" s="270">
        <v>1</v>
      </c>
      <c r="S180" s="155">
        <f>0</f>
        <v>0</v>
      </c>
      <c r="T180" s="155">
        <f>0</f>
        <v>0</v>
      </c>
      <c r="U180" s="158">
        <f>0</f>
        <v>0</v>
      </c>
      <c r="V180" s="158">
        <f>0</f>
        <v>0</v>
      </c>
      <c r="W180" s="155">
        <f>0</f>
        <v>0</v>
      </c>
      <c r="X180" s="155">
        <f>0</f>
        <v>0</v>
      </c>
      <c r="Y180" s="155">
        <f>0</f>
        <v>0</v>
      </c>
      <c r="Z180" s="155">
        <f>0</f>
        <v>0</v>
      </c>
      <c r="AA180" s="155">
        <f>0</f>
        <v>0</v>
      </c>
      <c r="AB180" s="155">
        <f>0</f>
        <v>0</v>
      </c>
      <c r="AC180" s="155">
        <f>0</f>
        <v>0</v>
      </c>
      <c r="AD180" s="155">
        <f>0</f>
        <v>0</v>
      </c>
      <c r="AE180" s="155">
        <f>0</f>
        <v>0</v>
      </c>
      <c r="AF180" s="155">
        <f>0</f>
        <v>0</v>
      </c>
      <c r="AG180" s="155">
        <f>0</f>
        <v>0</v>
      </c>
      <c r="AH180" s="155">
        <f>0</f>
        <v>0</v>
      </c>
      <c r="AI180" s="155">
        <f>0</f>
        <v>0</v>
      </c>
      <c r="AJ180" s="155">
        <f>0</f>
        <v>0</v>
      </c>
      <c r="AK180" s="155">
        <f>0</f>
        <v>0</v>
      </c>
      <c r="AL180" s="219">
        <f t="shared" si="9"/>
        <v>1</v>
      </c>
      <c r="AM180" s="103">
        <f>0</f>
        <v>0</v>
      </c>
      <c r="AN180" s="220">
        <f t="shared" si="10"/>
        <v>1</v>
      </c>
      <c r="AO180" s="290">
        <v>45034</v>
      </c>
      <c r="AP180" s="291" t="s">
        <v>192</v>
      </c>
      <c r="AQ180" s="292" t="s">
        <v>1520</v>
      </c>
      <c r="AR180" s="293" t="s">
        <v>197</v>
      </c>
      <c r="AS180" s="307"/>
      <c r="AT180" s="302"/>
      <c r="AU180" s="303">
        <v>1</v>
      </c>
      <c r="AV180" s="304">
        <f t="shared" si="11"/>
        <v>0</v>
      </c>
      <c r="AW180" s="302" t="s">
        <v>195</v>
      </c>
      <c r="AX180" s="305"/>
      <c r="AY180" s="306"/>
      <c r="AZ180" s="299"/>
      <c r="BA180" s="174"/>
      <c r="BB180" s="174"/>
      <c r="BC180" s="174"/>
    </row>
    <row r="181" spans="1:55" ht="28" customHeight="1">
      <c r="A181" s="195">
        <v>177</v>
      </c>
      <c r="B181" s="315">
        <v>45021</v>
      </c>
      <c r="C181" s="222" t="s">
        <v>198</v>
      </c>
      <c r="D181" s="222" t="s">
        <v>199</v>
      </c>
      <c r="E181" s="222" t="s">
        <v>200</v>
      </c>
      <c r="F181" s="349" t="s">
        <v>123</v>
      </c>
      <c r="G181" s="336" t="s">
        <v>649</v>
      </c>
      <c r="H181" s="337" t="s">
        <v>129</v>
      </c>
      <c r="I181" s="308" t="s">
        <v>650</v>
      </c>
      <c r="J181" s="338" t="s">
        <v>651</v>
      </c>
      <c r="K181" s="339" t="s">
        <v>97</v>
      </c>
      <c r="L181" s="339" t="s">
        <v>159</v>
      </c>
      <c r="M181" s="308" t="s">
        <v>156</v>
      </c>
      <c r="N181" s="251" t="s">
        <v>97</v>
      </c>
      <c r="O181" s="308" t="s">
        <v>204</v>
      </c>
      <c r="P181" s="308"/>
      <c r="Q181" s="313" t="s">
        <v>648</v>
      </c>
      <c r="R181" s="270">
        <v>1</v>
      </c>
      <c r="S181" s="155">
        <f>0</f>
        <v>0</v>
      </c>
      <c r="T181" s="155">
        <f>0</f>
        <v>0</v>
      </c>
      <c r="U181" s="158">
        <f>0</f>
        <v>0</v>
      </c>
      <c r="V181" s="158">
        <f>0</f>
        <v>0</v>
      </c>
      <c r="W181" s="155">
        <f>0</f>
        <v>0</v>
      </c>
      <c r="X181" s="155">
        <f>0</f>
        <v>0</v>
      </c>
      <c r="Y181" s="155">
        <f>0</f>
        <v>0</v>
      </c>
      <c r="Z181" s="155">
        <f>0</f>
        <v>0</v>
      </c>
      <c r="AA181" s="155">
        <f>0</f>
        <v>0</v>
      </c>
      <c r="AB181" s="155">
        <f>0</f>
        <v>0</v>
      </c>
      <c r="AC181" s="155">
        <f>0</f>
        <v>0</v>
      </c>
      <c r="AD181" s="155">
        <f>0</f>
        <v>0</v>
      </c>
      <c r="AE181" s="155">
        <f>0</f>
        <v>0</v>
      </c>
      <c r="AF181" s="155">
        <f>0</f>
        <v>0</v>
      </c>
      <c r="AG181" s="155">
        <f>0</f>
        <v>0</v>
      </c>
      <c r="AH181" s="155">
        <f>0</f>
        <v>0</v>
      </c>
      <c r="AI181" s="155">
        <f>0</f>
        <v>0</v>
      </c>
      <c r="AJ181" s="155">
        <f>0</f>
        <v>0</v>
      </c>
      <c r="AK181" s="155">
        <f>0</f>
        <v>0</v>
      </c>
      <c r="AL181" s="219">
        <f t="shared" si="9"/>
        <v>1</v>
      </c>
      <c r="AM181" s="103">
        <f>0</f>
        <v>0</v>
      </c>
      <c r="AN181" s="220">
        <f t="shared" si="10"/>
        <v>1</v>
      </c>
      <c r="AO181" s="290">
        <v>45034</v>
      </c>
      <c r="AP181" s="291" t="s">
        <v>192</v>
      </c>
      <c r="AQ181" s="292" t="s">
        <v>1520</v>
      </c>
      <c r="AR181" s="293" t="s">
        <v>197</v>
      </c>
      <c r="AS181" s="307"/>
      <c r="AT181" s="302"/>
      <c r="AU181" s="303">
        <v>1</v>
      </c>
      <c r="AV181" s="304">
        <f t="shared" si="11"/>
        <v>0</v>
      </c>
      <c r="AW181" s="302" t="s">
        <v>195</v>
      </c>
      <c r="AX181" s="305"/>
      <c r="AY181" s="306"/>
      <c r="AZ181" s="299"/>
      <c r="BA181" s="174"/>
      <c r="BB181" s="174"/>
      <c r="BC181" s="174"/>
    </row>
    <row r="182" spans="1:55" ht="28" customHeight="1">
      <c r="A182" s="271">
        <v>178</v>
      </c>
      <c r="B182" s="274">
        <v>45021</v>
      </c>
      <c r="C182" s="222" t="s">
        <v>198</v>
      </c>
      <c r="D182" s="222" t="s">
        <v>199</v>
      </c>
      <c r="E182" s="222" t="s">
        <v>200</v>
      </c>
      <c r="F182" s="265" t="s">
        <v>123</v>
      </c>
      <c r="G182" s="267" t="s">
        <v>652</v>
      </c>
      <c r="H182" s="268" t="s">
        <v>129</v>
      </c>
      <c r="I182" s="111" t="s">
        <v>237</v>
      </c>
      <c r="J182" s="269" t="s">
        <v>653</v>
      </c>
      <c r="K182" s="112" t="s">
        <v>97</v>
      </c>
      <c r="L182" s="112" t="s">
        <v>367</v>
      </c>
      <c r="M182" s="258" t="s">
        <v>237</v>
      </c>
      <c r="N182" s="111" t="s">
        <v>97</v>
      </c>
      <c r="O182" s="111" t="s">
        <v>368</v>
      </c>
      <c r="P182" s="111"/>
      <c r="Q182" s="113" t="s">
        <v>648</v>
      </c>
      <c r="R182" s="270">
        <v>1</v>
      </c>
      <c r="S182" s="155">
        <f>0</f>
        <v>0</v>
      </c>
      <c r="T182" s="155">
        <f>0</f>
        <v>0</v>
      </c>
      <c r="U182" s="158">
        <f>0</f>
        <v>0</v>
      </c>
      <c r="V182" s="158">
        <f>0</f>
        <v>0</v>
      </c>
      <c r="W182" s="155">
        <f>0</f>
        <v>0</v>
      </c>
      <c r="X182" s="155">
        <f>0</f>
        <v>0</v>
      </c>
      <c r="Y182" s="155">
        <f>0</f>
        <v>0</v>
      </c>
      <c r="Z182" s="155">
        <f>0</f>
        <v>0</v>
      </c>
      <c r="AA182" s="155">
        <f>0</f>
        <v>0</v>
      </c>
      <c r="AB182" s="155">
        <f>0</f>
        <v>0</v>
      </c>
      <c r="AC182" s="155">
        <f>0</f>
        <v>0</v>
      </c>
      <c r="AD182" s="155">
        <f>0</f>
        <v>0</v>
      </c>
      <c r="AE182" s="155">
        <f>0</f>
        <v>0</v>
      </c>
      <c r="AF182" s="155">
        <f>0</f>
        <v>0</v>
      </c>
      <c r="AG182" s="155">
        <f>0</f>
        <v>0</v>
      </c>
      <c r="AH182" s="155">
        <f>0</f>
        <v>0</v>
      </c>
      <c r="AI182" s="155">
        <f>0</f>
        <v>0</v>
      </c>
      <c r="AJ182" s="155">
        <f>0</f>
        <v>0</v>
      </c>
      <c r="AK182" s="155">
        <f>0</f>
        <v>0</v>
      </c>
      <c r="AL182" s="219">
        <f t="shared" si="9"/>
        <v>1</v>
      </c>
      <c r="AM182" s="103">
        <f>0</f>
        <v>0</v>
      </c>
      <c r="AN182" s="220">
        <f t="shared" si="10"/>
        <v>1</v>
      </c>
      <c r="AO182" s="190"/>
      <c r="AP182" s="188" t="s">
        <v>617</v>
      </c>
      <c r="AQ182" s="172"/>
      <c r="AR182" s="186" t="s">
        <v>616</v>
      </c>
      <c r="AS182" s="187"/>
      <c r="AT182" s="177"/>
      <c r="AU182" s="178"/>
      <c r="AV182" s="171">
        <f t="shared" si="11"/>
        <v>1</v>
      </c>
      <c r="AW182" s="177"/>
      <c r="AX182" s="180"/>
      <c r="AY182" s="175"/>
      <c r="AZ182" s="176"/>
    </row>
    <row r="183" spans="1:55" ht="28" customHeight="1">
      <c r="A183" s="195">
        <v>179</v>
      </c>
      <c r="B183" s="315">
        <v>45021</v>
      </c>
      <c r="C183" s="222" t="s">
        <v>198</v>
      </c>
      <c r="D183" s="222" t="s">
        <v>199</v>
      </c>
      <c r="E183" s="222" t="s">
        <v>200</v>
      </c>
      <c r="F183" s="349" t="s">
        <v>123</v>
      </c>
      <c r="G183" s="309" t="s">
        <v>654</v>
      </c>
      <c r="H183" s="310" t="s">
        <v>129</v>
      </c>
      <c r="I183" s="311" t="s">
        <v>655</v>
      </c>
      <c r="J183" s="312" t="s">
        <v>656</v>
      </c>
      <c r="K183" s="273" t="s">
        <v>97</v>
      </c>
      <c r="L183" s="273" t="s">
        <v>176</v>
      </c>
      <c r="M183" s="311" t="s">
        <v>279</v>
      </c>
      <c r="N183" s="311" t="s">
        <v>97</v>
      </c>
      <c r="O183" s="311" t="s">
        <v>97</v>
      </c>
      <c r="P183" s="311"/>
      <c r="Q183" s="313" t="s">
        <v>657</v>
      </c>
      <c r="R183" s="154">
        <v>0</v>
      </c>
      <c r="S183" s="158">
        <f>0</f>
        <v>0</v>
      </c>
      <c r="T183" s="155">
        <f>0</f>
        <v>0</v>
      </c>
      <c r="U183" s="158">
        <f>0</f>
        <v>0</v>
      </c>
      <c r="V183" s="158">
        <f>0</f>
        <v>0</v>
      </c>
      <c r="W183" s="155">
        <f>0</f>
        <v>0</v>
      </c>
      <c r="X183" s="155">
        <f>0</f>
        <v>0</v>
      </c>
      <c r="Y183" s="155">
        <f>0</f>
        <v>0</v>
      </c>
      <c r="Z183" s="155">
        <f>0</f>
        <v>0</v>
      </c>
      <c r="AA183" s="155">
        <f>0</f>
        <v>0</v>
      </c>
      <c r="AB183" s="155">
        <f>0</f>
        <v>0</v>
      </c>
      <c r="AC183" s="263">
        <v>1</v>
      </c>
      <c r="AD183" s="155">
        <f>0</f>
        <v>0</v>
      </c>
      <c r="AE183" s="155">
        <f>0</f>
        <v>0</v>
      </c>
      <c r="AF183" s="155">
        <f>0</f>
        <v>0</v>
      </c>
      <c r="AG183" s="155">
        <f>0</f>
        <v>0</v>
      </c>
      <c r="AH183" s="155">
        <f>0</f>
        <v>0</v>
      </c>
      <c r="AI183" s="155">
        <f>0</f>
        <v>0</v>
      </c>
      <c r="AJ183" s="155">
        <f>0</f>
        <v>0</v>
      </c>
      <c r="AK183" s="155">
        <f>0</f>
        <v>0</v>
      </c>
      <c r="AL183" s="219">
        <f t="shared" si="9"/>
        <v>1</v>
      </c>
      <c r="AM183" s="103">
        <f>0</f>
        <v>0</v>
      </c>
      <c r="AN183" s="220">
        <f t="shared" si="10"/>
        <v>1</v>
      </c>
      <c r="AO183" s="348">
        <v>45034</v>
      </c>
      <c r="AP183" s="296" t="s">
        <v>192</v>
      </c>
      <c r="AQ183" s="292" t="s">
        <v>1522</v>
      </c>
      <c r="AR183" s="314" t="s">
        <v>194</v>
      </c>
      <c r="AS183" s="301">
        <v>45078</v>
      </c>
      <c r="AT183" s="302"/>
      <c r="AU183" s="303">
        <v>1</v>
      </c>
      <c r="AV183" s="304">
        <f t="shared" si="11"/>
        <v>0</v>
      </c>
      <c r="AW183" s="302" t="s">
        <v>195</v>
      </c>
      <c r="AX183" s="305"/>
      <c r="AY183" s="306"/>
      <c r="AZ183" s="299"/>
      <c r="BA183" s="174"/>
      <c r="BB183" s="174"/>
      <c r="BC183" s="174"/>
    </row>
    <row r="184" spans="1:55" ht="28" customHeight="1">
      <c r="A184" s="195">
        <v>180</v>
      </c>
      <c r="B184" s="315">
        <v>45021</v>
      </c>
      <c r="C184" s="222" t="s">
        <v>198</v>
      </c>
      <c r="D184" s="222" t="s">
        <v>199</v>
      </c>
      <c r="E184" s="222" t="s">
        <v>200</v>
      </c>
      <c r="F184" s="371" t="s">
        <v>123</v>
      </c>
      <c r="G184" s="309" t="s">
        <v>658</v>
      </c>
      <c r="H184" s="310" t="s">
        <v>129</v>
      </c>
      <c r="I184" s="311" t="s">
        <v>659</v>
      </c>
      <c r="J184" s="312" t="s">
        <v>660</v>
      </c>
      <c r="K184" s="273" t="s">
        <v>97</v>
      </c>
      <c r="L184" s="273" t="s">
        <v>165</v>
      </c>
      <c r="M184" s="311" t="s">
        <v>147</v>
      </c>
      <c r="N184" s="311" t="s">
        <v>97</v>
      </c>
      <c r="O184" s="311" t="s">
        <v>224</v>
      </c>
      <c r="P184" s="311"/>
      <c r="Q184" s="313" t="s">
        <v>657</v>
      </c>
      <c r="R184" s="154">
        <v>0</v>
      </c>
      <c r="S184" s="156">
        <f>0</f>
        <v>0</v>
      </c>
      <c r="T184" s="155">
        <f>0</f>
        <v>0</v>
      </c>
      <c r="U184" s="156">
        <f>0</f>
        <v>0</v>
      </c>
      <c r="V184" s="156">
        <f>0</f>
        <v>0</v>
      </c>
      <c r="W184" s="155">
        <f>0</f>
        <v>0</v>
      </c>
      <c r="X184" s="155">
        <f>0</f>
        <v>0</v>
      </c>
      <c r="Y184" s="155">
        <f>0</f>
        <v>0</v>
      </c>
      <c r="Z184" s="155">
        <f>0</f>
        <v>0</v>
      </c>
      <c r="AA184" s="155">
        <f>0</f>
        <v>0</v>
      </c>
      <c r="AB184" s="155">
        <f>0</f>
        <v>0</v>
      </c>
      <c r="AC184" s="263">
        <v>1</v>
      </c>
      <c r="AD184" s="155">
        <f>0</f>
        <v>0</v>
      </c>
      <c r="AE184" s="155">
        <f>0</f>
        <v>0</v>
      </c>
      <c r="AF184" s="155">
        <f>0</f>
        <v>0</v>
      </c>
      <c r="AG184" s="155">
        <f>0</f>
        <v>0</v>
      </c>
      <c r="AH184" s="155">
        <f>0</f>
        <v>0</v>
      </c>
      <c r="AI184" s="155">
        <f>0</f>
        <v>0</v>
      </c>
      <c r="AJ184" s="155">
        <f>0</f>
        <v>0</v>
      </c>
      <c r="AK184" s="155">
        <f>0</f>
        <v>0</v>
      </c>
      <c r="AL184" s="219">
        <f t="shared" si="9"/>
        <v>1</v>
      </c>
      <c r="AM184" s="103">
        <f>0</f>
        <v>0</v>
      </c>
      <c r="AN184" s="220">
        <f t="shared" si="10"/>
        <v>1</v>
      </c>
      <c r="AO184" s="348">
        <v>45034</v>
      </c>
      <c r="AP184" s="296" t="s">
        <v>192</v>
      </c>
      <c r="AQ184" s="292" t="s">
        <v>1522</v>
      </c>
      <c r="AR184" s="314" t="s">
        <v>194</v>
      </c>
      <c r="AS184" s="301">
        <v>45078</v>
      </c>
      <c r="AT184" s="302"/>
      <c r="AU184" s="303">
        <v>1</v>
      </c>
      <c r="AV184" s="304">
        <f t="shared" si="11"/>
        <v>0</v>
      </c>
      <c r="AW184" s="302" t="s">
        <v>195</v>
      </c>
      <c r="AX184" s="305"/>
      <c r="AY184" s="306"/>
      <c r="AZ184" s="299"/>
      <c r="BA184" s="174"/>
      <c r="BB184" s="174"/>
      <c r="BC184" s="174"/>
    </row>
    <row r="185" spans="1:55" ht="28" customHeight="1">
      <c r="A185" s="195">
        <v>181</v>
      </c>
      <c r="B185" s="315">
        <v>45021</v>
      </c>
      <c r="C185" s="365"/>
      <c r="D185" s="365"/>
      <c r="E185" s="365"/>
      <c r="F185" s="349" t="s">
        <v>123</v>
      </c>
      <c r="G185" s="309" t="s">
        <v>658</v>
      </c>
      <c r="H185" s="310" t="s">
        <v>129</v>
      </c>
      <c r="I185" s="311" t="s">
        <v>659</v>
      </c>
      <c r="J185" s="312" t="s">
        <v>661</v>
      </c>
      <c r="K185" s="273" t="s">
        <v>97</v>
      </c>
      <c r="L185" s="273" t="s">
        <v>165</v>
      </c>
      <c r="M185" s="311" t="s">
        <v>147</v>
      </c>
      <c r="N185" s="311" t="s">
        <v>97</v>
      </c>
      <c r="O185" s="311" t="s">
        <v>224</v>
      </c>
      <c r="P185" s="311"/>
      <c r="Q185" s="313" t="s">
        <v>657</v>
      </c>
      <c r="R185" s="154">
        <v>0</v>
      </c>
      <c r="S185" s="156">
        <f>0</f>
        <v>0</v>
      </c>
      <c r="T185" s="155">
        <f>0</f>
        <v>0</v>
      </c>
      <c r="U185" s="156">
        <f>0</f>
        <v>0</v>
      </c>
      <c r="V185" s="156">
        <f>0</f>
        <v>0</v>
      </c>
      <c r="W185" s="155">
        <f>0</f>
        <v>0</v>
      </c>
      <c r="X185" s="155">
        <f>0</f>
        <v>0</v>
      </c>
      <c r="Y185" s="155">
        <f>0</f>
        <v>0</v>
      </c>
      <c r="Z185" s="155">
        <f>0</f>
        <v>0</v>
      </c>
      <c r="AA185" s="155">
        <f>0</f>
        <v>0</v>
      </c>
      <c r="AB185" s="155">
        <f>0</f>
        <v>0</v>
      </c>
      <c r="AC185" s="263">
        <v>1</v>
      </c>
      <c r="AD185" s="155">
        <f>0</f>
        <v>0</v>
      </c>
      <c r="AE185" s="155">
        <f>0</f>
        <v>0</v>
      </c>
      <c r="AF185" s="155">
        <f>0</f>
        <v>0</v>
      </c>
      <c r="AG185" s="155">
        <f>0</f>
        <v>0</v>
      </c>
      <c r="AH185" s="155">
        <f>0</f>
        <v>0</v>
      </c>
      <c r="AI185" s="155">
        <f>0</f>
        <v>0</v>
      </c>
      <c r="AJ185" s="155">
        <f>0</f>
        <v>0</v>
      </c>
      <c r="AK185" s="155">
        <f>0</f>
        <v>0</v>
      </c>
      <c r="AL185" s="219">
        <f t="shared" si="9"/>
        <v>1</v>
      </c>
      <c r="AM185" s="103">
        <f>0</f>
        <v>0</v>
      </c>
      <c r="AN185" s="220">
        <f t="shared" si="10"/>
        <v>1</v>
      </c>
      <c r="AO185" s="348">
        <v>45034</v>
      </c>
      <c r="AP185" s="296" t="s">
        <v>192</v>
      </c>
      <c r="AQ185" s="292" t="s">
        <v>1522</v>
      </c>
      <c r="AR185" s="314" t="s">
        <v>194</v>
      </c>
      <c r="AS185" s="301">
        <v>45078</v>
      </c>
      <c r="AT185" s="302"/>
      <c r="AU185" s="303">
        <v>1</v>
      </c>
      <c r="AV185" s="304">
        <f t="shared" si="11"/>
        <v>0</v>
      </c>
      <c r="AW185" s="302" t="s">
        <v>195</v>
      </c>
      <c r="AX185" s="305"/>
      <c r="AY185" s="306"/>
      <c r="AZ185" s="299"/>
      <c r="BA185" s="174"/>
      <c r="BB185" s="174"/>
      <c r="BC185" s="174"/>
    </row>
    <row r="186" spans="1:55" ht="28" customHeight="1">
      <c r="A186" s="195">
        <v>182</v>
      </c>
      <c r="B186" s="315">
        <v>45021</v>
      </c>
      <c r="C186" s="222" t="s">
        <v>198</v>
      </c>
      <c r="D186" s="222" t="s">
        <v>199</v>
      </c>
      <c r="E186" s="222" t="s">
        <v>200</v>
      </c>
      <c r="F186" s="371" t="s">
        <v>123</v>
      </c>
      <c r="G186" s="309" t="s">
        <v>662</v>
      </c>
      <c r="H186" s="310" t="s">
        <v>129</v>
      </c>
      <c r="I186" s="311" t="s">
        <v>484</v>
      </c>
      <c r="J186" s="312" t="s">
        <v>663</v>
      </c>
      <c r="K186" s="273" t="s">
        <v>97</v>
      </c>
      <c r="L186" s="273" t="s">
        <v>159</v>
      </c>
      <c r="M186" s="311" t="s">
        <v>156</v>
      </c>
      <c r="N186" s="311" t="s">
        <v>97</v>
      </c>
      <c r="O186" s="311" t="s">
        <v>204</v>
      </c>
      <c r="P186" s="311"/>
      <c r="Q186" s="313" t="s">
        <v>657</v>
      </c>
      <c r="R186" s="154">
        <v>0</v>
      </c>
      <c r="S186" s="156">
        <f>0</f>
        <v>0</v>
      </c>
      <c r="T186" s="155">
        <f>0</f>
        <v>0</v>
      </c>
      <c r="U186" s="156">
        <f>0</f>
        <v>0</v>
      </c>
      <c r="V186" s="156">
        <f>0</f>
        <v>0</v>
      </c>
      <c r="W186" s="155">
        <f>0</f>
        <v>0</v>
      </c>
      <c r="X186" s="155">
        <f>0</f>
        <v>0</v>
      </c>
      <c r="Y186" s="155">
        <f>0</f>
        <v>0</v>
      </c>
      <c r="Z186" s="155">
        <f>0</f>
        <v>0</v>
      </c>
      <c r="AA186" s="155">
        <f>0</f>
        <v>0</v>
      </c>
      <c r="AB186" s="155">
        <f>0</f>
        <v>0</v>
      </c>
      <c r="AC186" s="263">
        <v>2</v>
      </c>
      <c r="AD186" s="155">
        <f>0</f>
        <v>0</v>
      </c>
      <c r="AE186" s="155">
        <f>0</f>
        <v>0</v>
      </c>
      <c r="AF186" s="155">
        <f>0</f>
        <v>0</v>
      </c>
      <c r="AG186" s="155">
        <f>0</f>
        <v>0</v>
      </c>
      <c r="AH186" s="155">
        <f>0</f>
        <v>0</v>
      </c>
      <c r="AI186" s="155">
        <f>0</f>
        <v>0</v>
      </c>
      <c r="AJ186" s="155">
        <f>0</f>
        <v>0</v>
      </c>
      <c r="AK186" s="155">
        <f>0</f>
        <v>0</v>
      </c>
      <c r="AL186" s="219">
        <f t="shared" si="9"/>
        <v>2</v>
      </c>
      <c r="AM186" s="103">
        <f>0</f>
        <v>0</v>
      </c>
      <c r="AN186" s="220">
        <f t="shared" si="10"/>
        <v>2</v>
      </c>
      <c r="AO186" s="290">
        <v>45034</v>
      </c>
      <c r="AP186" s="291" t="s">
        <v>192</v>
      </c>
      <c r="AQ186" s="292" t="s">
        <v>1520</v>
      </c>
      <c r="AR186" s="293" t="s">
        <v>197</v>
      </c>
      <c r="AS186" s="307"/>
      <c r="AT186" s="302"/>
      <c r="AU186" s="303">
        <v>2</v>
      </c>
      <c r="AV186" s="304">
        <f t="shared" si="11"/>
        <v>0</v>
      </c>
      <c r="AW186" s="302" t="s">
        <v>195</v>
      </c>
      <c r="AX186" s="305"/>
      <c r="AY186" s="306"/>
      <c r="AZ186" s="299"/>
      <c r="BA186" s="174"/>
      <c r="BB186" s="174"/>
      <c r="BC186" s="174"/>
    </row>
    <row r="187" spans="1:55" ht="28" customHeight="1">
      <c r="A187" s="195">
        <v>183</v>
      </c>
      <c r="B187" s="315">
        <v>45021</v>
      </c>
      <c r="C187" s="222" t="s">
        <v>198</v>
      </c>
      <c r="D187" s="222" t="s">
        <v>199</v>
      </c>
      <c r="E187" s="222" t="s">
        <v>200</v>
      </c>
      <c r="F187" s="349" t="s">
        <v>123</v>
      </c>
      <c r="G187" s="309" t="s">
        <v>664</v>
      </c>
      <c r="H187" s="310" t="s">
        <v>129</v>
      </c>
      <c r="I187" s="311" t="s">
        <v>299</v>
      </c>
      <c r="J187" s="312" t="s">
        <v>665</v>
      </c>
      <c r="K187" s="273" t="s">
        <v>97</v>
      </c>
      <c r="L187" s="273" t="s">
        <v>159</v>
      </c>
      <c r="M187" s="311" t="s">
        <v>156</v>
      </c>
      <c r="N187" s="311" t="s">
        <v>97</v>
      </c>
      <c r="O187" s="311" t="s">
        <v>204</v>
      </c>
      <c r="P187" s="311"/>
      <c r="Q187" s="313" t="s">
        <v>657</v>
      </c>
      <c r="R187" s="154">
        <v>0</v>
      </c>
      <c r="S187" s="158">
        <f>0</f>
        <v>0</v>
      </c>
      <c r="T187" s="155">
        <f>0</f>
        <v>0</v>
      </c>
      <c r="U187" s="158">
        <f>0</f>
        <v>0</v>
      </c>
      <c r="V187" s="158">
        <f>0</f>
        <v>0</v>
      </c>
      <c r="W187" s="155">
        <f>0</f>
        <v>0</v>
      </c>
      <c r="X187" s="155">
        <f>0</f>
        <v>0</v>
      </c>
      <c r="Y187" s="155">
        <f>0</f>
        <v>0</v>
      </c>
      <c r="Z187" s="155">
        <f>0</f>
        <v>0</v>
      </c>
      <c r="AA187" s="155">
        <f>0</f>
        <v>0</v>
      </c>
      <c r="AB187" s="155">
        <f>0</f>
        <v>0</v>
      </c>
      <c r="AC187" s="263">
        <v>1</v>
      </c>
      <c r="AD187" s="155">
        <f>0</f>
        <v>0</v>
      </c>
      <c r="AE187" s="155">
        <f>0</f>
        <v>0</v>
      </c>
      <c r="AF187" s="155">
        <f>0</f>
        <v>0</v>
      </c>
      <c r="AG187" s="155">
        <f>0</f>
        <v>0</v>
      </c>
      <c r="AH187" s="155">
        <f>0</f>
        <v>0</v>
      </c>
      <c r="AI187" s="155">
        <f>0</f>
        <v>0</v>
      </c>
      <c r="AJ187" s="155">
        <f>0</f>
        <v>0</v>
      </c>
      <c r="AK187" s="155">
        <f>0</f>
        <v>0</v>
      </c>
      <c r="AL187" s="219">
        <f t="shared" si="9"/>
        <v>1</v>
      </c>
      <c r="AM187" s="103">
        <f>0</f>
        <v>0</v>
      </c>
      <c r="AN187" s="220">
        <f t="shared" si="10"/>
        <v>1</v>
      </c>
      <c r="AO187" s="290">
        <v>45034</v>
      </c>
      <c r="AP187" s="291" t="s">
        <v>192</v>
      </c>
      <c r="AQ187" s="292" t="s">
        <v>1520</v>
      </c>
      <c r="AR187" s="293" t="s">
        <v>197</v>
      </c>
      <c r="AS187" s="307"/>
      <c r="AT187" s="302"/>
      <c r="AU187" s="303">
        <v>1</v>
      </c>
      <c r="AV187" s="304">
        <f t="shared" si="11"/>
        <v>0</v>
      </c>
      <c r="AW187" s="302" t="s">
        <v>195</v>
      </c>
      <c r="AX187" s="305"/>
      <c r="AY187" s="306"/>
      <c r="AZ187" s="299"/>
      <c r="BA187" s="174"/>
      <c r="BB187" s="174"/>
      <c r="BC187" s="174"/>
    </row>
    <row r="188" spans="1:55" ht="28" customHeight="1">
      <c r="A188" s="195">
        <v>184</v>
      </c>
      <c r="B188" s="315">
        <v>45021</v>
      </c>
      <c r="C188" s="222" t="s">
        <v>198</v>
      </c>
      <c r="D188" s="222" t="s">
        <v>199</v>
      </c>
      <c r="E188" s="222" t="s">
        <v>200</v>
      </c>
      <c r="F188" s="371" t="s">
        <v>123</v>
      </c>
      <c r="G188" s="309" t="s">
        <v>666</v>
      </c>
      <c r="H188" s="310" t="s">
        <v>129</v>
      </c>
      <c r="I188" s="311" t="s">
        <v>484</v>
      </c>
      <c r="J188" s="312" t="s">
        <v>667</v>
      </c>
      <c r="K188" s="273" t="s">
        <v>97</v>
      </c>
      <c r="L188" s="273" t="s">
        <v>159</v>
      </c>
      <c r="M188" s="311" t="s">
        <v>156</v>
      </c>
      <c r="N188" s="311" t="s">
        <v>97</v>
      </c>
      <c r="O188" s="311" t="s">
        <v>204</v>
      </c>
      <c r="P188" s="311"/>
      <c r="Q188" s="313" t="s">
        <v>657</v>
      </c>
      <c r="R188" s="154">
        <v>0</v>
      </c>
      <c r="S188" s="158">
        <f>0</f>
        <v>0</v>
      </c>
      <c r="T188" s="155">
        <f>0</f>
        <v>0</v>
      </c>
      <c r="U188" s="158">
        <f>0</f>
        <v>0</v>
      </c>
      <c r="V188" s="158">
        <f>0</f>
        <v>0</v>
      </c>
      <c r="W188" s="155">
        <f>0</f>
        <v>0</v>
      </c>
      <c r="X188" s="155">
        <f>0</f>
        <v>0</v>
      </c>
      <c r="Y188" s="155">
        <f>0</f>
        <v>0</v>
      </c>
      <c r="Z188" s="155">
        <f>0</f>
        <v>0</v>
      </c>
      <c r="AA188" s="155">
        <f>0</f>
        <v>0</v>
      </c>
      <c r="AB188" s="155">
        <f>0</f>
        <v>0</v>
      </c>
      <c r="AC188" s="263">
        <v>1</v>
      </c>
      <c r="AD188" s="155">
        <f>0</f>
        <v>0</v>
      </c>
      <c r="AE188" s="155">
        <f>0</f>
        <v>0</v>
      </c>
      <c r="AF188" s="155">
        <f>0</f>
        <v>0</v>
      </c>
      <c r="AG188" s="155">
        <f>0</f>
        <v>0</v>
      </c>
      <c r="AH188" s="155">
        <f>0</f>
        <v>0</v>
      </c>
      <c r="AI188" s="155">
        <f>0</f>
        <v>0</v>
      </c>
      <c r="AJ188" s="155">
        <f>0</f>
        <v>0</v>
      </c>
      <c r="AK188" s="155">
        <f>0</f>
        <v>0</v>
      </c>
      <c r="AL188" s="219">
        <f t="shared" si="9"/>
        <v>1</v>
      </c>
      <c r="AM188" s="103">
        <f>0</f>
        <v>0</v>
      </c>
      <c r="AN188" s="220">
        <f t="shared" si="10"/>
        <v>1</v>
      </c>
      <c r="AO188" s="290">
        <v>45034</v>
      </c>
      <c r="AP188" s="291" t="s">
        <v>192</v>
      </c>
      <c r="AQ188" s="292" t="s">
        <v>1520</v>
      </c>
      <c r="AR188" s="293" t="s">
        <v>197</v>
      </c>
      <c r="AS188" s="307"/>
      <c r="AT188" s="302"/>
      <c r="AU188" s="303">
        <v>1</v>
      </c>
      <c r="AV188" s="304">
        <f t="shared" si="11"/>
        <v>0</v>
      </c>
      <c r="AW188" s="302" t="s">
        <v>195</v>
      </c>
      <c r="AX188" s="305"/>
      <c r="AY188" s="306"/>
      <c r="AZ188" s="299"/>
      <c r="BA188" s="174"/>
      <c r="BB188" s="174"/>
      <c r="BC188" s="174"/>
    </row>
    <row r="189" spans="1:55" ht="28" customHeight="1">
      <c r="A189" s="195">
        <v>185</v>
      </c>
      <c r="B189" s="315">
        <v>45021</v>
      </c>
      <c r="C189" s="222" t="s">
        <v>198</v>
      </c>
      <c r="D189" s="222" t="s">
        <v>199</v>
      </c>
      <c r="E189" s="222" t="s">
        <v>200</v>
      </c>
      <c r="F189" s="349" t="s">
        <v>123</v>
      </c>
      <c r="G189" s="309" t="s">
        <v>668</v>
      </c>
      <c r="H189" s="310" t="s">
        <v>129</v>
      </c>
      <c r="I189" s="311" t="s">
        <v>659</v>
      </c>
      <c r="J189" s="312" t="s">
        <v>669</v>
      </c>
      <c r="K189" s="273" t="s">
        <v>97</v>
      </c>
      <c r="L189" s="273" t="s">
        <v>165</v>
      </c>
      <c r="M189" s="311" t="s">
        <v>147</v>
      </c>
      <c r="N189" s="311" t="s">
        <v>97</v>
      </c>
      <c r="O189" s="311" t="s">
        <v>224</v>
      </c>
      <c r="P189" s="311"/>
      <c r="Q189" s="313" t="s">
        <v>657</v>
      </c>
      <c r="R189" s="154">
        <v>0</v>
      </c>
      <c r="S189" s="158">
        <f>0</f>
        <v>0</v>
      </c>
      <c r="T189" s="155">
        <f>0</f>
        <v>0</v>
      </c>
      <c r="U189" s="158">
        <f>0</f>
        <v>0</v>
      </c>
      <c r="V189" s="158">
        <f>0</f>
        <v>0</v>
      </c>
      <c r="W189" s="155">
        <f>0</f>
        <v>0</v>
      </c>
      <c r="X189" s="155">
        <f>0</f>
        <v>0</v>
      </c>
      <c r="Y189" s="155">
        <f>0</f>
        <v>0</v>
      </c>
      <c r="Z189" s="155">
        <f>0</f>
        <v>0</v>
      </c>
      <c r="AA189" s="155">
        <f>0</f>
        <v>0</v>
      </c>
      <c r="AB189" s="155">
        <f>0</f>
        <v>0</v>
      </c>
      <c r="AC189" s="263">
        <v>2</v>
      </c>
      <c r="AD189" s="155">
        <f>0</f>
        <v>0</v>
      </c>
      <c r="AE189" s="155">
        <f>0</f>
        <v>0</v>
      </c>
      <c r="AF189" s="155">
        <f>0</f>
        <v>0</v>
      </c>
      <c r="AG189" s="155">
        <f>0</f>
        <v>0</v>
      </c>
      <c r="AH189" s="155">
        <f>0</f>
        <v>0</v>
      </c>
      <c r="AI189" s="155">
        <f>0</f>
        <v>0</v>
      </c>
      <c r="AJ189" s="155">
        <f>0</f>
        <v>0</v>
      </c>
      <c r="AK189" s="155">
        <f>0</f>
        <v>0</v>
      </c>
      <c r="AL189" s="219">
        <f t="shared" si="9"/>
        <v>2</v>
      </c>
      <c r="AM189" s="103">
        <f>0</f>
        <v>0</v>
      </c>
      <c r="AN189" s="220">
        <f t="shared" si="10"/>
        <v>2</v>
      </c>
      <c r="AO189" s="348">
        <v>45034</v>
      </c>
      <c r="AP189" s="296" t="s">
        <v>192</v>
      </c>
      <c r="AQ189" s="292" t="s">
        <v>1522</v>
      </c>
      <c r="AR189" s="314" t="s">
        <v>194</v>
      </c>
      <c r="AS189" s="301">
        <v>45078</v>
      </c>
      <c r="AT189" s="302"/>
      <c r="AU189" s="303">
        <v>2</v>
      </c>
      <c r="AV189" s="304">
        <f t="shared" si="11"/>
        <v>0</v>
      </c>
      <c r="AW189" s="302" t="s">
        <v>195</v>
      </c>
      <c r="AX189" s="305"/>
      <c r="AY189" s="306"/>
      <c r="AZ189" s="299"/>
      <c r="BA189" s="174"/>
      <c r="BB189" s="174"/>
      <c r="BC189" s="174"/>
    </row>
    <row r="190" spans="1:55" ht="28" customHeight="1">
      <c r="A190" s="195">
        <v>186</v>
      </c>
      <c r="B190" s="315">
        <v>45021</v>
      </c>
      <c r="C190" s="222" t="s">
        <v>198</v>
      </c>
      <c r="D190" s="222" t="s">
        <v>199</v>
      </c>
      <c r="E190" s="222" t="s">
        <v>200</v>
      </c>
      <c r="F190" s="371" t="s">
        <v>123</v>
      </c>
      <c r="G190" s="309" t="s">
        <v>670</v>
      </c>
      <c r="H190" s="310" t="s">
        <v>129</v>
      </c>
      <c r="I190" s="311" t="s">
        <v>671</v>
      </c>
      <c r="J190" s="312" t="s">
        <v>672</v>
      </c>
      <c r="K190" s="273" t="s">
        <v>97</v>
      </c>
      <c r="L190" s="273" t="s">
        <v>165</v>
      </c>
      <c r="M190" s="311" t="s">
        <v>147</v>
      </c>
      <c r="N190" s="311" t="s">
        <v>97</v>
      </c>
      <c r="O190" s="311" t="s">
        <v>224</v>
      </c>
      <c r="P190" s="311"/>
      <c r="Q190" s="313" t="s">
        <v>657</v>
      </c>
      <c r="R190" s="154">
        <v>0</v>
      </c>
      <c r="S190" s="156">
        <f>0</f>
        <v>0</v>
      </c>
      <c r="T190" s="155">
        <f>0</f>
        <v>0</v>
      </c>
      <c r="U190" s="156">
        <f>0</f>
        <v>0</v>
      </c>
      <c r="V190" s="156">
        <f>0</f>
        <v>0</v>
      </c>
      <c r="W190" s="155">
        <f>0</f>
        <v>0</v>
      </c>
      <c r="X190" s="155">
        <f>0</f>
        <v>0</v>
      </c>
      <c r="Y190" s="155">
        <f>0</f>
        <v>0</v>
      </c>
      <c r="Z190" s="155">
        <f>0</f>
        <v>0</v>
      </c>
      <c r="AA190" s="155">
        <f>0</f>
        <v>0</v>
      </c>
      <c r="AB190" s="155">
        <f>0</f>
        <v>0</v>
      </c>
      <c r="AC190" s="263">
        <v>1</v>
      </c>
      <c r="AD190" s="155">
        <f>0</f>
        <v>0</v>
      </c>
      <c r="AE190" s="155">
        <f>0</f>
        <v>0</v>
      </c>
      <c r="AF190" s="155">
        <f>0</f>
        <v>0</v>
      </c>
      <c r="AG190" s="155">
        <f>0</f>
        <v>0</v>
      </c>
      <c r="AH190" s="155">
        <f>0</f>
        <v>0</v>
      </c>
      <c r="AI190" s="155">
        <f>0</f>
        <v>0</v>
      </c>
      <c r="AJ190" s="155">
        <f>0</f>
        <v>0</v>
      </c>
      <c r="AK190" s="155">
        <f>0</f>
        <v>0</v>
      </c>
      <c r="AL190" s="219">
        <f t="shared" si="9"/>
        <v>1</v>
      </c>
      <c r="AM190" s="103">
        <f>0</f>
        <v>0</v>
      </c>
      <c r="AN190" s="220">
        <f t="shared" si="10"/>
        <v>1</v>
      </c>
      <c r="AO190" s="348">
        <v>45034</v>
      </c>
      <c r="AP190" s="296" t="s">
        <v>192</v>
      </c>
      <c r="AQ190" s="292" t="s">
        <v>1522</v>
      </c>
      <c r="AR190" s="314" t="s">
        <v>194</v>
      </c>
      <c r="AS190" s="301">
        <v>45078</v>
      </c>
      <c r="AT190" s="302"/>
      <c r="AU190" s="303"/>
      <c r="AV190" s="304">
        <f t="shared" si="11"/>
        <v>1</v>
      </c>
      <c r="AW190" s="302" t="s">
        <v>195</v>
      </c>
      <c r="AX190" s="305"/>
      <c r="AY190" s="306"/>
      <c r="AZ190" s="299"/>
      <c r="BA190" s="174"/>
      <c r="BB190" s="174"/>
      <c r="BC190" s="174"/>
    </row>
    <row r="191" spans="1:55" ht="28" customHeight="1">
      <c r="A191" s="195">
        <v>187</v>
      </c>
      <c r="B191" s="315">
        <v>45021</v>
      </c>
      <c r="C191" s="222" t="s">
        <v>198</v>
      </c>
      <c r="D191" s="222" t="s">
        <v>199</v>
      </c>
      <c r="E191" s="222" t="s">
        <v>200</v>
      </c>
      <c r="F191" s="349" t="s">
        <v>123</v>
      </c>
      <c r="G191" s="309" t="s">
        <v>673</v>
      </c>
      <c r="H191" s="310" t="s">
        <v>129</v>
      </c>
      <c r="I191" s="311" t="s">
        <v>674</v>
      </c>
      <c r="J191" s="312" t="s">
        <v>675</v>
      </c>
      <c r="K191" s="273" t="s">
        <v>97</v>
      </c>
      <c r="L191" s="273" t="s">
        <v>676</v>
      </c>
      <c r="M191" s="311" t="s">
        <v>279</v>
      </c>
      <c r="N191" s="311" t="s">
        <v>677</v>
      </c>
      <c r="O191" s="311" t="s">
        <v>97</v>
      </c>
      <c r="P191" s="311"/>
      <c r="Q191" s="313" t="s">
        <v>678</v>
      </c>
      <c r="R191" s="154">
        <v>0</v>
      </c>
      <c r="S191" s="155">
        <v>0</v>
      </c>
      <c r="T191" s="155">
        <f>0</f>
        <v>0</v>
      </c>
      <c r="U191" s="156">
        <f>0</f>
        <v>0</v>
      </c>
      <c r="V191" s="282">
        <v>3</v>
      </c>
      <c r="W191" s="155">
        <f>0</f>
        <v>0</v>
      </c>
      <c r="X191" s="155">
        <f>0</f>
        <v>0</v>
      </c>
      <c r="Y191" s="155">
        <f>0</f>
        <v>0</v>
      </c>
      <c r="Z191" s="155">
        <f>0</f>
        <v>0</v>
      </c>
      <c r="AA191" s="155">
        <f>0</f>
        <v>0</v>
      </c>
      <c r="AB191" s="155">
        <f>0</f>
        <v>0</v>
      </c>
      <c r="AC191" s="155">
        <f>0</f>
        <v>0</v>
      </c>
      <c r="AD191" s="155">
        <f>0</f>
        <v>0</v>
      </c>
      <c r="AE191" s="155">
        <f>0</f>
        <v>0</v>
      </c>
      <c r="AF191" s="155">
        <f>0</f>
        <v>0</v>
      </c>
      <c r="AG191" s="155">
        <f>0</f>
        <v>0</v>
      </c>
      <c r="AH191" s="155">
        <f>0</f>
        <v>0</v>
      </c>
      <c r="AI191" s="155">
        <f>0</f>
        <v>0</v>
      </c>
      <c r="AJ191" s="155">
        <f>0</f>
        <v>0</v>
      </c>
      <c r="AK191" s="155">
        <f>0</f>
        <v>0</v>
      </c>
      <c r="AL191" s="219">
        <f t="shared" si="9"/>
        <v>3</v>
      </c>
      <c r="AM191" s="103">
        <f>0</f>
        <v>0</v>
      </c>
      <c r="AN191" s="220">
        <f t="shared" si="10"/>
        <v>3</v>
      </c>
      <c r="AO191" s="348">
        <v>45034</v>
      </c>
      <c r="AP191" s="296" t="s">
        <v>192</v>
      </c>
      <c r="AQ191" s="292" t="s">
        <v>1522</v>
      </c>
      <c r="AR191" s="314" t="s">
        <v>194</v>
      </c>
      <c r="AS191" s="301">
        <v>45078</v>
      </c>
      <c r="AT191" s="302"/>
      <c r="AU191" s="303">
        <v>3</v>
      </c>
      <c r="AV191" s="304">
        <f t="shared" si="11"/>
        <v>0</v>
      </c>
      <c r="AW191" s="302" t="s">
        <v>195</v>
      </c>
      <c r="AX191" s="305"/>
      <c r="AY191" s="306"/>
      <c r="AZ191" s="299"/>
      <c r="BA191" s="174"/>
      <c r="BB191" s="174"/>
      <c r="BC191" s="174"/>
    </row>
    <row r="192" spans="1:55" ht="28" customHeight="1">
      <c r="A192" s="195">
        <v>188</v>
      </c>
      <c r="B192" s="315">
        <v>45021</v>
      </c>
      <c r="C192" s="222" t="s">
        <v>198</v>
      </c>
      <c r="D192" s="222" t="s">
        <v>199</v>
      </c>
      <c r="E192" s="222" t="s">
        <v>200</v>
      </c>
      <c r="F192" s="371" t="s">
        <v>123</v>
      </c>
      <c r="G192" s="309" t="s">
        <v>679</v>
      </c>
      <c r="H192" s="310" t="s">
        <v>129</v>
      </c>
      <c r="I192" s="311" t="s">
        <v>680</v>
      </c>
      <c r="J192" s="312" t="s">
        <v>681</v>
      </c>
      <c r="K192" s="273" t="s">
        <v>97</v>
      </c>
      <c r="L192" s="273" t="s">
        <v>676</v>
      </c>
      <c r="M192" s="311" t="s">
        <v>147</v>
      </c>
      <c r="N192" s="311" t="s">
        <v>97</v>
      </c>
      <c r="O192" s="311" t="s">
        <v>97</v>
      </c>
      <c r="P192" s="311"/>
      <c r="Q192" s="313" t="s">
        <v>678</v>
      </c>
      <c r="R192" s="154">
        <v>0</v>
      </c>
      <c r="S192" s="156">
        <f>0</f>
        <v>0</v>
      </c>
      <c r="T192" s="155">
        <f>0</f>
        <v>0</v>
      </c>
      <c r="U192" s="156">
        <f>0</f>
        <v>0</v>
      </c>
      <c r="V192" s="282">
        <v>2</v>
      </c>
      <c r="W192" s="155">
        <f>0</f>
        <v>0</v>
      </c>
      <c r="X192" s="155">
        <f>0</f>
        <v>0</v>
      </c>
      <c r="Y192" s="155">
        <f>0</f>
        <v>0</v>
      </c>
      <c r="Z192" s="155">
        <f>0</f>
        <v>0</v>
      </c>
      <c r="AA192" s="155">
        <f>0</f>
        <v>0</v>
      </c>
      <c r="AB192" s="155">
        <f>0</f>
        <v>0</v>
      </c>
      <c r="AC192" s="155">
        <f>0</f>
        <v>0</v>
      </c>
      <c r="AD192" s="155">
        <f>0</f>
        <v>0</v>
      </c>
      <c r="AE192" s="155">
        <f>0</f>
        <v>0</v>
      </c>
      <c r="AF192" s="155">
        <f>0</f>
        <v>0</v>
      </c>
      <c r="AG192" s="155">
        <f>0</f>
        <v>0</v>
      </c>
      <c r="AH192" s="155">
        <f>0</f>
        <v>0</v>
      </c>
      <c r="AI192" s="155">
        <f>0</f>
        <v>0</v>
      </c>
      <c r="AJ192" s="155">
        <f>0</f>
        <v>0</v>
      </c>
      <c r="AK192" s="155">
        <f>0</f>
        <v>0</v>
      </c>
      <c r="AL192" s="219">
        <f t="shared" si="9"/>
        <v>2</v>
      </c>
      <c r="AM192" s="103">
        <f>0</f>
        <v>0</v>
      </c>
      <c r="AN192" s="220">
        <f t="shared" si="10"/>
        <v>2</v>
      </c>
      <c r="AO192" s="348">
        <v>45034</v>
      </c>
      <c r="AP192" s="296" t="s">
        <v>192</v>
      </c>
      <c r="AQ192" s="292" t="s">
        <v>1522</v>
      </c>
      <c r="AR192" s="314" t="s">
        <v>194</v>
      </c>
      <c r="AS192" s="301">
        <v>45078</v>
      </c>
      <c r="AT192" s="302"/>
      <c r="AU192" s="303"/>
      <c r="AV192" s="304">
        <f t="shared" si="11"/>
        <v>2</v>
      </c>
      <c r="AW192" s="302" t="s">
        <v>195</v>
      </c>
      <c r="AX192" s="305"/>
      <c r="AY192" s="306"/>
      <c r="AZ192" s="299"/>
      <c r="BA192" s="174"/>
      <c r="BB192" s="174"/>
      <c r="BC192" s="174"/>
    </row>
    <row r="193" spans="1:55" ht="28" customHeight="1">
      <c r="A193" s="195">
        <v>189</v>
      </c>
      <c r="B193" s="315">
        <v>45021</v>
      </c>
      <c r="C193" s="222" t="s">
        <v>198</v>
      </c>
      <c r="D193" s="222" t="s">
        <v>199</v>
      </c>
      <c r="E193" s="222" t="s">
        <v>200</v>
      </c>
      <c r="F193" s="349" t="s">
        <v>123</v>
      </c>
      <c r="G193" s="309" t="s">
        <v>682</v>
      </c>
      <c r="H193" s="310" t="s">
        <v>129</v>
      </c>
      <c r="I193" s="311" t="s">
        <v>683</v>
      </c>
      <c r="J193" s="312" t="s">
        <v>684</v>
      </c>
      <c r="K193" s="273" t="s">
        <v>97</v>
      </c>
      <c r="L193" s="273" t="s">
        <v>685</v>
      </c>
      <c r="M193" s="311" t="s">
        <v>147</v>
      </c>
      <c r="N193" s="311" t="s">
        <v>686</v>
      </c>
      <c r="O193" s="311" t="s">
        <v>169</v>
      </c>
      <c r="P193" s="311"/>
      <c r="Q193" s="313" t="s">
        <v>678</v>
      </c>
      <c r="R193" s="154">
        <v>0</v>
      </c>
      <c r="S193" s="155">
        <v>0</v>
      </c>
      <c r="T193" s="155">
        <f>0</f>
        <v>0</v>
      </c>
      <c r="U193" s="158">
        <f>0</f>
        <v>0</v>
      </c>
      <c r="V193" s="283">
        <v>2</v>
      </c>
      <c r="W193" s="155">
        <f>0</f>
        <v>0</v>
      </c>
      <c r="X193" s="155">
        <f>0</f>
        <v>0</v>
      </c>
      <c r="Y193" s="155">
        <f>0</f>
        <v>0</v>
      </c>
      <c r="Z193" s="155">
        <f>0</f>
        <v>0</v>
      </c>
      <c r="AA193" s="155">
        <f>0</f>
        <v>0</v>
      </c>
      <c r="AB193" s="155">
        <f>0</f>
        <v>0</v>
      </c>
      <c r="AC193" s="155">
        <f>0</f>
        <v>0</v>
      </c>
      <c r="AD193" s="155">
        <f>0</f>
        <v>0</v>
      </c>
      <c r="AE193" s="155">
        <f>0</f>
        <v>0</v>
      </c>
      <c r="AF193" s="155">
        <f>0</f>
        <v>0</v>
      </c>
      <c r="AG193" s="155">
        <f>0</f>
        <v>0</v>
      </c>
      <c r="AH193" s="155">
        <f>0</f>
        <v>0</v>
      </c>
      <c r="AI193" s="155">
        <f>0</f>
        <v>0</v>
      </c>
      <c r="AJ193" s="155">
        <f>0</f>
        <v>0</v>
      </c>
      <c r="AK193" s="155">
        <f>0</f>
        <v>0</v>
      </c>
      <c r="AL193" s="219">
        <f t="shared" si="9"/>
        <v>2</v>
      </c>
      <c r="AM193" s="103">
        <f>0</f>
        <v>0</v>
      </c>
      <c r="AN193" s="220">
        <f t="shared" si="10"/>
        <v>2</v>
      </c>
      <c r="AO193" s="290">
        <v>45078</v>
      </c>
      <c r="AP193" s="291" t="s">
        <v>1547</v>
      </c>
      <c r="AQ193" s="316" t="s">
        <v>1549</v>
      </c>
      <c r="AR193" s="314" t="s">
        <v>1548</v>
      </c>
      <c r="AS193" s="307"/>
      <c r="AT193" s="302"/>
      <c r="AU193" s="303"/>
      <c r="AV193" s="304">
        <f t="shared" si="11"/>
        <v>2</v>
      </c>
      <c r="AW193" s="302"/>
      <c r="AX193" s="305"/>
      <c r="AY193" s="306"/>
      <c r="AZ193" s="299"/>
      <c r="BA193" s="174"/>
      <c r="BB193" s="174"/>
      <c r="BC193" s="174"/>
    </row>
    <row r="194" spans="1:55" ht="28" customHeight="1">
      <c r="A194" s="195">
        <v>190</v>
      </c>
      <c r="B194" s="315">
        <v>45021</v>
      </c>
      <c r="C194" s="222" t="s">
        <v>198</v>
      </c>
      <c r="D194" s="222" t="s">
        <v>199</v>
      </c>
      <c r="E194" s="222" t="s">
        <v>200</v>
      </c>
      <c r="F194" s="371" t="s">
        <v>123</v>
      </c>
      <c r="G194" s="309" t="s">
        <v>687</v>
      </c>
      <c r="H194" s="310" t="s">
        <v>129</v>
      </c>
      <c r="I194" s="311" t="s">
        <v>688</v>
      </c>
      <c r="J194" s="312" t="s">
        <v>689</v>
      </c>
      <c r="K194" s="273" t="s">
        <v>97</v>
      </c>
      <c r="L194" s="273" t="s">
        <v>168</v>
      </c>
      <c r="M194" s="311" t="s">
        <v>147</v>
      </c>
      <c r="N194" s="311" t="s">
        <v>97</v>
      </c>
      <c r="O194" s="311" t="s">
        <v>169</v>
      </c>
      <c r="P194" s="311"/>
      <c r="Q194" s="313" t="s">
        <v>678</v>
      </c>
      <c r="R194" s="154">
        <v>0</v>
      </c>
      <c r="S194" s="155">
        <f>0</f>
        <v>0</v>
      </c>
      <c r="T194" s="155">
        <f>0</f>
        <v>0</v>
      </c>
      <c r="U194" s="156">
        <f>0</f>
        <v>0</v>
      </c>
      <c r="V194" s="282">
        <v>3</v>
      </c>
      <c r="W194" s="155">
        <f>0</f>
        <v>0</v>
      </c>
      <c r="X194" s="155">
        <f>0</f>
        <v>0</v>
      </c>
      <c r="Y194" s="155">
        <f>0</f>
        <v>0</v>
      </c>
      <c r="Z194" s="155">
        <f>0</f>
        <v>0</v>
      </c>
      <c r="AA194" s="155">
        <f>0</f>
        <v>0</v>
      </c>
      <c r="AB194" s="155">
        <f>0</f>
        <v>0</v>
      </c>
      <c r="AC194" s="155">
        <f>0</f>
        <v>0</v>
      </c>
      <c r="AD194" s="155">
        <f>0</f>
        <v>0</v>
      </c>
      <c r="AE194" s="155">
        <f>0</f>
        <v>0</v>
      </c>
      <c r="AF194" s="155">
        <f>0</f>
        <v>0</v>
      </c>
      <c r="AG194" s="155">
        <f>0</f>
        <v>0</v>
      </c>
      <c r="AH194" s="155">
        <f>0</f>
        <v>0</v>
      </c>
      <c r="AI194" s="155">
        <f>0</f>
        <v>0</v>
      </c>
      <c r="AJ194" s="155">
        <f>0</f>
        <v>0</v>
      </c>
      <c r="AK194" s="155">
        <f>0</f>
        <v>0</v>
      </c>
      <c r="AL194" s="219">
        <f t="shared" si="9"/>
        <v>3</v>
      </c>
      <c r="AM194" s="103">
        <f>0</f>
        <v>0</v>
      </c>
      <c r="AN194" s="220">
        <f t="shared" si="10"/>
        <v>3</v>
      </c>
      <c r="AO194" s="348">
        <v>45034</v>
      </c>
      <c r="AP194" s="296" t="s">
        <v>192</v>
      </c>
      <c r="AQ194" s="292" t="s">
        <v>1522</v>
      </c>
      <c r="AR194" s="314" t="s">
        <v>194</v>
      </c>
      <c r="AS194" s="301">
        <v>45078</v>
      </c>
      <c r="AT194" s="302"/>
      <c r="AU194" s="303">
        <v>3</v>
      </c>
      <c r="AV194" s="304">
        <f t="shared" si="11"/>
        <v>0</v>
      </c>
      <c r="AW194" s="302" t="s">
        <v>195</v>
      </c>
      <c r="AX194" s="305"/>
      <c r="AY194" s="306"/>
      <c r="AZ194" s="299"/>
      <c r="BA194" s="174"/>
      <c r="BB194" s="174"/>
      <c r="BC194" s="174"/>
    </row>
    <row r="195" spans="1:55" ht="28" customHeight="1">
      <c r="A195" s="195">
        <v>191</v>
      </c>
      <c r="B195" s="315">
        <v>45021</v>
      </c>
      <c r="C195" s="222" t="s">
        <v>198</v>
      </c>
      <c r="D195" s="222" t="s">
        <v>199</v>
      </c>
      <c r="E195" s="222" t="s">
        <v>200</v>
      </c>
      <c r="F195" s="349" t="s">
        <v>123</v>
      </c>
      <c r="G195" s="309" t="s">
        <v>690</v>
      </c>
      <c r="H195" s="310" t="s">
        <v>129</v>
      </c>
      <c r="I195" s="311" t="s">
        <v>691</v>
      </c>
      <c r="J195" s="312" t="s">
        <v>692</v>
      </c>
      <c r="K195" s="273" t="s">
        <v>97</v>
      </c>
      <c r="L195" s="273" t="s">
        <v>168</v>
      </c>
      <c r="M195" s="311" t="s">
        <v>147</v>
      </c>
      <c r="N195" s="311" t="s">
        <v>97</v>
      </c>
      <c r="O195" s="311" t="s">
        <v>169</v>
      </c>
      <c r="P195" s="311"/>
      <c r="Q195" s="313" t="s">
        <v>678</v>
      </c>
      <c r="R195" s="154">
        <v>0</v>
      </c>
      <c r="S195" s="156">
        <v>0</v>
      </c>
      <c r="T195" s="155">
        <f>0</f>
        <v>0</v>
      </c>
      <c r="U195" s="156">
        <f>0</f>
        <v>0</v>
      </c>
      <c r="V195" s="282">
        <v>3</v>
      </c>
      <c r="W195" s="155">
        <f>0</f>
        <v>0</v>
      </c>
      <c r="X195" s="155">
        <f>0</f>
        <v>0</v>
      </c>
      <c r="Y195" s="155">
        <f>0</f>
        <v>0</v>
      </c>
      <c r="Z195" s="155">
        <f>0</f>
        <v>0</v>
      </c>
      <c r="AA195" s="155">
        <f>0</f>
        <v>0</v>
      </c>
      <c r="AB195" s="155">
        <f>0</f>
        <v>0</v>
      </c>
      <c r="AC195" s="155">
        <f>0</f>
        <v>0</v>
      </c>
      <c r="AD195" s="155">
        <f>0</f>
        <v>0</v>
      </c>
      <c r="AE195" s="155">
        <f>0</f>
        <v>0</v>
      </c>
      <c r="AF195" s="155">
        <f>0</f>
        <v>0</v>
      </c>
      <c r="AG195" s="155">
        <f>0</f>
        <v>0</v>
      </c>
      <c r="AH195" s="155">
        <f>0</f>
        <v>0</v>
      </c>
      <c r="AI195" s="155">
        <f>0</f>
        <v>0</v>
      </c>
      <c r="AJ195" s="155">
        <f>0</f>
        <v>0</v>
      </c>
      <c r="AK195" s="155">
        <f>0</f>
        <v>0</v>
      </c>
      <c r="AL195" s="219">
        <f t="shared" si="9"/>
        <v>3</v>
      </c>
      <c r="AM195" s="103">
        <f>0</f>
        <v>0</v>
      </c>
      <c r="AN195" s="220">
        <f t="shared" si="10"/>
        <v>3</v>
      </c>
      <c r="AO195" s="348">
        <v>45034</v>
      </c>
      <c r="AP195" s="296" t="s">
        <v>192</v>
      </c>
      <c r="AQ195" s="292" t="s">
        <v>1522</v>
      </c>
      <c r="AR195" s="314" t="s">
        <v>194</v>
      </c>
      <c r="AS195" s="301">
        <v>45078</v>
      </c>
      <c r="AT195" s="302"/>
      <c r="AU195" s="303">
        <v>3</v>
      </c>
      <c r="AV195" s="304">
        <f t="shared" si="11"/>
        <v>0</v>
      </c>
      <c r="AW195" s="302" t="s">
        <v>195</v>
      </c>
      <c r="AX195" s="305"/>
      <c r="AY195" s="306"/>
      <c r="AZ195" s="299"/>
      <c r="BA195" s="174"/>
      <c r="BB195" s="174"/>
      <c r="BC195" s="174"/>
    </row>
    <row r="196" spans="1:55" ht="28" customHeight="1">
      <c r="A196" s="195">
        <v>192</v>
      </c>
      <c r="B196" s="315">
        <v>45021</v>
      </c>
      <c r="C196" s="222" t="s">
        <v>198</v>
      </c>
      <c r="D196" s="222" t="s">
        <v>199</v>
      </c>
      <c r="E196" s="222" t="s">
        <v>200</v>
      </c>
      <c r="F196" s="371" t="s">
        <v>123</v>
      </c>
      <c r="G196" s="309" t="s">
        <v>693</v>
      </c>
      <c r="H196" s="310" t="s">
        <v>129</v>
      </c>
      <c r="I196" s="311" t="s">
        <v>694</v>
      </c>
      <c r="J196" s="312" t="s">
        <v>695</v>
      </c>
      <c r="K196" s="273" t="s">
        <v>97</v>
      </c>
      <c r="L196" s="273" t="s">
        <v>696</v>
      </c>
      <c r="M196" s="311" t="s">
        <v>147</v>
      </c>
      <c r="N196" s="311" t="s">
        <v>697</v>
      </c>
      <c r="O196" s="311" t="s">
        <v>169</v>
      </c>
      <c r="P196" s="311"/>
      <c r="Q196" s="313" t="s">
        <v>678</v>
      </c>
      <c r="R196" s="154">
        <v>0</v>
      </c>
      <c r="S196" s="155">
        <f>0</f>
        <v>0</v>
      </c>
      <c r="T196" s="155">
        <f>0</f>
        <v>0</v>
      </c>
      <c r="U196" s="158">
        <f>0</f>
        <v>0</v>
      </c>
      <c r="V196" s="283">
        <v>2</v>
      </c>
      <c r="W196" s="155">
        <f>0</f>
        <v>0</v>
      </c>
      <c r="X196" s="155">
        <f>0</f>
        <v>0</v>
      </c>
      <c r="Y196" s="155">
        <f>0</f>
        <v>0</v>
      </c>
      <c r="Z196" s="155">
        <f>0</f>
        <v>0</v>
      </c>
      <c r="AA196" s="155">
        <f>0</f>
        <v>0</v>
      </c>
      <c r="AB196" s="155">
        <f>0</f>
        <v>0</v>
      </c>
      <c r="AC196" s="155">
        <f>0</f>
        <v>0</v>
      </c>
      <c r="AD196" s="155">
        <f>0</f>
        <v>0</v>
      </c>
      <c r="AE196" s="155">
        <f>0</f>
        <v>0</v>
      </c>
      <c r="AF196" s="155">
        <f>0</f>
        <v>0</v>
      </c>
      <c r="AG196" s="155">
        <f>0</f>
        <v>0</v>
      </c>
      <c r="AH196" s="155">
        <f>0</f>
        <v>0</v>
      </c>
      <c r="AI196" s="155">
        <f>0</f>
        <v>0</v>
      </c>
      <c r="AJ196" s="155">
        <f>0</f>
        <v>0</v>
      </c>
      <c r="AK196" s="155">
        <f>0</f>
        <v>0</v>
      </c>
      <c r="AL196" s="219">
        <f t="shared" si="9"/>
        <v>2</v>
      </c>
      <c r="AM196" s="103">
        <f>0</f>
        <v>0</v>
      </c>
      <c r="AN196" s="220">
        <f t="shared" si="10"/>
        <v>2</v>
      </c>
      <c r="AO196" s="290">
        <v>45078</v>
      </c>
      <c r="AP196" s="291" t="s">
        <v>1547</v>
      </c>
      <c r="AQ196" s="316" t="s">
        <v>1549</v>
      </c>
      <c r="AR196" s="314" t="s">
        <v>1548</v>
      </c>
      <c r="AS196" s="307"/>
      <c r="AT196" s="302"/>
      <c r="AU196" s="303"/>
      <c r="AV196" s="304">
        <f t="shared" si="11"/>
        <v>2</v>
      </c>
      <c r="AW196" s="302"/>
      <c r="AX196" s="305"/>
      <c r="AY196" s="306"/>
      <c r="AZ196" s="299"/>
      <c r="BA196" s="174"/>
      <c r="BB196" s="174"/>
      <c r="BC196" s="174"/>
    </row>
    <row r="197" spans="1:55" ht="28" customHeight="1">
      <c r="A197" s="195">
        <v>193</v>
      </c>
      <c r="B197" s="315">
        <v>45021</v>
      </c>
      <c r="C197" s="222" t="s">
        <v>198</v>
      </c>
      <c r="D197" s="222" t="s">
        <v>199</v>
      </c>
      <c r="E197" s="222" t="s">
        <v>200</v>
      </c>
      <c r="F197" s="349" t="s">
        <v>123</v>
      </c>
      <c r="G197" s="309" t="s">
        <v>698</v>
      </c>
      <c r="H197" s="310" t="s">
        <v>129</v>
      </c>
      <c r="I197" s="311" t="s">
        <v>699</v>
      </c>
      <c r="J197" s="312" t="s">
        <v>700</v>
      </c>
      <c r="K197" s="273" t="s">
        <v>97</v>
      </c>
      <c r="L197" s="273" t="s">
        <v>685</v>
      </c>
      <c r="M197" s="311" t="s">
        <v>147</v>
      </c>
      <c r="N197" s="311" t="s">
        <v>686</v>
      </c>
      <c r="O197" s="311" t="s">
        <v>169</v>
      </c>
      <c r="P197" s="311"/>
      <c r="Q197" s="313" t="s">
        <v>678</v>
      </c>
      <c r="R197" s="154">
        <v>0</v>
      </c>
      <c r="S197" s="155">
        <f>0</f>
        <v>0</v>
      </c>
      <c r="T197" s="155">
        <f>0</f>
        <v>0</v>
      </c>
      <c r="U197" s="156">
        <f>0</f>
        <v>0</v>
      </c>
      <c r="V197" s="282">
        <v>1</v>
      </c>
      <c r="W197" s="155">
        <f>0</f>
        <v>0</v>
      </c>
      <c r="X197" s="155">
        <f>0</f>
        <v>0</v>
      </c>
      <c r="Y197" s="155">
        <f>0</f>
        <v>0</v>
      </c>
      <c r="Z197" s="155">
        <f>0</f>
        <v>0</v>
      </c>
      <c r="AA197" s="155">
        <f>0</f>
        <v>0</v>
      </c>
      <c r="AB197" s="155">
        <f>0</f>
        <v>0</v>
      </c>
      <c r="AC197" s="155">
        <f>0</f>
        <v>0</v>
      </c>
      <c r="AD197" s="155">
        <f>0</f>
        <v>0</v>
      </c>
      <c r="AE197" s="155">
        <f>0</f>
        <v>0</v>
      </c>
      <c r="AF197" s="155">
        <f>0</f>
        <v>0</v>
      </c>
      <c r="AG197" s="155">
        <f>0</f>
        <v>0</v>
      </c>
      <c r="AH197" s="155">
        <f>0</f>
        <v>0</v>
      </c>
      <c r="AI197" s="155">
        <f>0</f>
        <v>0</v>
      </c>
      <c r="AJ197" s="155">
        <f>0</f>
        <v>0</v>
      </c>
      <c r="AK197" s="155">
        <f>0</f>
        <v>0</v>
      </c>
      <c r="AL197" s="219">
        <f t="shared" si="9"/>
        <v>1</v>
      </c>
      <c r="AM197" s="103">
        <f>0</f>
        <v>0</v>
      </c>
      <c r="AN197" s="220">
        <f t="shared" si="10"/>
        <v>1</v>
      </c>
      <c r="AO197" s="290">
        <v>45078</v>
      </c>
      <c r="AP197" s="291" t="s">
        <v>1547</v>
      </c>
      <c r="AQ197" s="316" t="s">
        <v>1549</v>
      </c>
      <c r="AR197" s="314" t="s">
        <v>1548</v>
      </c>
      <c r="AS197" s="307"/>
      <c r="AT197" s="302"/>
      <c r="AU197" s="303"/>
      <c r="AV197" s="304">
        <f t="shared" si="11"/>
        <v>1</v>
      </c>
      <c r="AW197" s="302"/>
      <c r="AX197" s="305"/>
      <c r="AY197" s="306"/>
      <c r="AZ197" s="299"/>
      <c r="BA197" s="174"/>
      <c r="BB197" s="174"/>
      <c r="BC197" s="174"/>
    </row>
    <row r="198" spans="1:55" ht="28" customHeight="1">
      <c r="A198" s="195">
        <v>194</v>
      </c>
      <c r="B198" s="315">
        <v>45021</v>
      </c>
      <c r="C198" s="222" t="s">
        <v>198</v>
      </c>
      <c r="D198" s="222" t="s">
        <v>199</v>
      </c>
      <c r="E198" s="222" t="s">
        <v>200</v>
      </c>
      <c r="F198" s="371" t="s">
        <v>123</v>
      </c>
      <c r="G198" s="309" t="s">
        <v>701</v>
      </c>
      <c r="H198" s="310" t="s">
        <v>129</v>
      </c>
      <c r="I198" s="311" t="s">
        <v>702</v>
      </c>
      <c r="J198" s="312" t="s">
        <v>703</v>
      </c>
      <c r="K198" s="273" t="s">
        <v>97</v>
      </c>
      <c r="L198" s="273" t="s">
        <v>696</v>
      </c>
      <c r="M198" s="311" t="s">
        <v>147</v>
      </c>
      <c r="N198" s="311" t="s">
        <v>697</v>
      </c>
      <c r="O198" s="311" t="s">
        <v>169</v>
      </c>
      <c r="P198" s="311"/>
      <c r="Q198" s="313" t="s">
        <v>678</v>
      </c>
      <c r="R198" s="154">
        <v>0</v>
      </c>
      <c r="S198" s="156">
        <f>0</f>
        <v>0</v>
      </c>
      <c r="T198" s="155">
        <f>0</f>
        <v>0</v>
      </c>
      <c r="U198" s="156">
        <f>0</f>
        <v>0</v>
      </c>
      <c r="V198" s="282">
        <v>1</v>
      </c>
      <c r="W198" s="155">
        <f>0</f>
        <v>0</v>
      </c>
      <c r="X198" s="155">
        <f>0</f>
        <v>0</v>
      </c>
      <c r="Y198" s="155">
        <f>0</f>
        <v>0</v>
      </c>
      <c r="Z198" s="155">
        <f>0</f>
        <v>0</v>
      </c>
      <c r="AA198" s="155">
        <f>0</f>
        <v>0</v>
      </c>
      <c r="AB198" s="155">
        <f>0</f>
        <v>0</v>
      </c>
      <c r="AC198" s="155">
        <f>0</f>
        <v>0</v>
      </c>
      <c r="AD198" s="155">
        <f>0</f>
        <v>0</v>
      </c>
      <c r="AE198" s="155">
        <f>0</f>
        <v>0</v>
      </c>
      <c r="AF198" s="155">
        <f>0</f>
        <v>0</v>
      </c>
      <c r="AG198" s="155">
        <f>0</f>
        <v>0</v>
      </c>
      <c r="AH198" s="155">
        <f>0</f>
        <v>0</v>
      </c>
      <c r="AI198" s="155">
        <f>0</f>
        <v>0</v>
      </c>
      <c r="AJ198" s="155">
        <f>0</f>
        <v>0</v>
      </c>
      <c r="AK198" s="155">
        <f>0</f>
        <v>0</v>
      </c>
      <c r="AL198" s="219">
        <f t="shared" ref="AL198:AL261" si="12">SUM(R198:AK198)</f>
        <v>1</v>
      </c>
      <c r="AM198" s="103">
        <f>0</f>
        <v>0</v>
      </c>
      <c r="AN198" s="220">
        <f t="shared" ref="AN198:AN261" si="13">AL198-AM198</f>
        <v>1</v>
      </c>
      <c r="AO198" s="290">
        <v>45078</v>
      </c>
      <c r="AP198" s="291" t="s">
        <v>1547</v>
      </c>
      <c r="AQ198" s="316" t="s">
        <v>1549</v>
      </c>
      <c r="AR198" s="314" t="s">
        <v>1548</v>
      </c>
      <c r="AS198" s="307"/>
      <c r="AT198" s="302"/>
      <c r="AU198" s="303"/>
      <c r="AV198" s="304">
        <f t="shared" si="11"/>
        <v>1</v>
      </c>
      <c r="AW198" s="302"/>
      <c r="AX198" s="305"/>
      <c r="AY198" s="306"/>
      <c r="AZ198" s="299"/>
      <c r="BA198" s="174"/>
      <c r="BB198" s="174"/>
      <c r="BC198" s="174"/>
    </row>
    <row r="199" spans="1:55" ht="28" customHeight="1">
      <c r="A199" s="195">
        <v>195</v>
      </c>
      <c r="B199" s="315">
        <v>45021</v>
      </c>
      <c r="C199" s="222" t="s">
        <v>198</v>
      </c>
      <c r="D199" s="222" t="s">
        <v>199</v>
      </c>
      <c r="E199" s="222" t="s">
        <v>200</v>
      </c>
      <c r="F199" s="349" t="s">
        <v>123</v>
      </c>
      <c r="G199" s="309" t="s">
        <v>704</v>
      </c>
      <c r="H199" s="310" t="s">
        <v>129</v>
      </c>
      <c r="I199" s="311" t="s">
        <v>174</v>
      </c>
      <c r="J199" s="312" t="s">
        <v>705</v>
      </c>
      <c r="K199" s="273" t="s">
        <v>97</v>
      </c>
      <c r="L199" s="273" t="s">
        <v>165</v>
      </c>
      <c r="M199" s="311" t="s">
        <v>147</v>
      </c>
      <c r="N199" s="311" t="s">
        <v>97</v>
      </c>
      <c r="O199" s="311" t="s">
        <v>224</v>
      </c>
      <c r="P199" s="311"/>
      <c r="Q199" s="313" t="s">
        <v>678</v>
      </c>
      <c r="R199" s="154">
        <v>0</v>
      </c>
      <c r="S199" s="155">
        <f>0</f>
        <v>0</v>
      </c>
      <c r="T199" s="155">
        <f>0</f>
        <v>0</v>
      </c>
      <c r="U199" s="158">
        <f>0</f>
        <v>0</v>
      </c>
      <c r="V199" s="283">
        <v>2</v>
      </c>
      <c r="W199" s="155">
        <f>0</f>
        <v>0</v>
      </c>
      <c r="X199" s="155">
        <f>0</f>
        <v>0</v>
      </c>
      <c r="Y199" s="155">
        <f>0</f>
        <v>0</v>
      </c>
      <c r="Z199" s="155">
        <f>0</f>
        <v>0</v>
      </c>
      <c r="AA199" s="155">
        <f>0</f>
        <v>0</v>
      </c>
      <c r="AB199" s="155">
        <f>0</f>
        <v>0</v>
      </c>
      <c r="AC199" s="155">
        <f>0</f>
        <v>0</v>
      </c>
      <c r="AD199" s="155">
        <f>0</f>
        <v>0</v>
      </c>
      <c r="AE199" s="155">
        <f>0</f>
        <v>0</v>
      </c>
      <c r="AF199" s="155">
        <f>0</f>
        <v>0</v>
      </c>
      <c r="AG199" s="155">
        <f>0</f>
        <v>0</v>
      </c>
      <c r="AH199" s="155">
        <f>0</f>
        <v>0</v>
      </c>
      <c r="AI199" s="155">
        <f>0</f>
        <v>0</v>
      </c>
      <c r="AJ199" s="155">
        <f>0</f>
        <v>0</v>
      </c>
      <c r="AK199" s="155">
        <f>0</f>
        <v>0</v>
      </c>
      <c r="AL199" s="219">
        <f t="shared" si="12"/>
        <v>2</v>
      </c>
      <c r="AM199" s="103">
        <f>0</f>
        <v>0</v>
      </c>
      <c r="AN199" s="220">
        <f t="shared" si="13"/>
        <v>2</v>
      </c>
      <c r="AO199" s="348">
        <v>45034</v>
      </c>
      <c r="AP199" s="296" t="s">
        <v>192</v>
      </c>
      <c r="AQ199" s="292" t="s">
        <v>1522</v>
      </c>
      <c r="AR199" s="314" t="s">
        <v>194</v>
      </c>
      <c r="AS199" s="301">
        <v>45078</v>
      </c>
      <c r="AT199" s="302"/>
      <c r="AU199" s="303">
        <v>2</v>
      </c>
      <c r="AV199" s="304">
        <f t="shared" si="11"/>
        <v>0</v>
      </c>
      <c r="AW199" s="302" t="s">
        <v>195</v>
      </c>
      <c r="AX199" s="305"/>
      <c r="AY199" s="306"/>
      <c r="AZ199" s="299"/>
      <c r="BA199" s="174"/>
      <c r="BB199" s="174"/>
      <c r="BC199" s="174"/>
    </row>
    <row r="200" spans="1:55" ht="28" customHeight="1">
      <c r="A200" s="271">
        <v>196</v>
      </c>
      <c r="B200" s="274">
        <v>45021</v>
      </c>
      <c r="C200" s="222" t="s">
        <v>198</v>
      </c>
      <c r="D200" s="222" t="s">
        <v>199</v>
      </c>
      <c r="E200" s="222" t="s">
        <v>200</v>
      </c>
      <c r="F200" s="265" t="s">
        <v>123</v>
      </c>
      <c r="G200" s="267" t="s">
        <v>706</v>
      </c>
      <c r="H200" s="268" t="s">
        <v>129</v>
      </c>
      <c r="I200" s="111" t="s">
        <v>707</v>
      </c>
      <c r="J200" s="269" t="s">
        <v>708</v>
      </c>
      <c r="K200" s="112" t="s">
        <v>97</v>
      </c>
      <c r="L200" s="112" t="s">
        <v>367</v>
      </c>
      <c r="M200" s="258" t="s">
        <v>237</v>
      </c>
      <c r="N200" s="111" t="s">
        <v>97</v>
      </c>
      <c r="O200" s="111" t="s">
        <v>368</v>
      </c>
      <c r="P200" s="111"/>
      <c r="Q200" s="113" t="s">
        <v>678</v>
      </c>
      <c r="R200" s="154">
        <v>0</v>
      </c>
      <c r="S200" s="155">
        <f>0</f>
        <v>0</v>
      </c>
      <c r="T200" s="155">
        <f>0</f>
        <v>0</v>
      </c>
      <c r="U200" s="156">
        <f>0</f>
        <v>0</v>
      </c>
      <c r="V200" s="282">
        <v>1</v>
      </c>
      <c r="W200" s="155">
        <f>0</f>
        <v>0</v>
      </c>
      <c r="X200" s="155">
        <f>0</f>
        <v>0</v>
      </c>
      <c r="Y200" s="155">
        <f>0</f>
        <v>0</v>
      </c>
      <c r="Z200" s="155">
        <f>0</f>
        <v>0</v>
      </c>
      <c r="AA200" s="155">
        <f>0</f>
        <v>0</v>
      </c>
      <c r="AB200" s="155">
        <f>0</f>
        <v>0</v>
      </c>
      <c r="AC200" s="155">
        <f>0</f>
        <v>0</v>
      </c>
      <c r="AD200" s="155">
        <f>0</f>
        <v>0</v>
      </c>
      <c r="AE200" s="155">
        <f>0</f>
        <v>0</v>
      </c>
      <c r="AF200" s="155">
        <f>0</f>
        <v>0</v>
      </c>
      <c r="AG200" s="155">
        <f>0</f>
        <v>0</v>
      </c>
      <c r="AH200" s="155">
        <f>0</f>
        <v>0</v>
      </c>
      <c r="AI200" s="155">
        <f>0</f>
        <v>0</v>
      </c>
      <c r="AJ200" s="155">
        <f>0</f>
        <v>0</v>
      </c>
      <c r="AK200" s="155">
        <f>0</f>
        <v>0</v>
      </c>
      <c r="AL200" s="219">
        <f t="shared" si="12"/>
        <v>1</v>
      </c>
      <c r="AM200" s="103">
        <f>0</f>
        <v>0</v>
      </c>
      <c r="AN200" s="220">
        <f t="shared" si="13"/>
        <v>1</v>
      </c>
      <c r="AO200" s="190"/>
      <c r="AP200" s="188" t="s">
        <v>617</v>
      </c>
      <c r="AQ200" s="172"/>
      <c r="AR200" s="181" t="s">
        <v>616</v>
      </c>
      <c r="AS200" s="171"/>
      <c r="AT200" s="177"/>
      <c r="AU200" s="178"/>
      <c r="AV200" s="171">
        <f t="shared" si="11"/>
        <v>1</v>
      </c>
      <c r="AW200" s="177"/>
      <c r="AX200" s="180"/>
      <c r="AY200" s="175"/>
      <c r="AZ200" s="176"/>
    </row>
    <row r="201" spans="1:55" ht="28" customHeight="1">
      <c r="A201" s="195">
        <v>197</v>
      </c>
      <c r="B201" s="315">
        <v>45021</v>
      </c>
      <c r="C201" s="222" t="s">
        <v>198</v>
      </c>
      <c r="D201" s="222" t="s">
        <v>199</v>
      </c>
      <c r="E201" s="222" t="s">
        <v>200</v>
      </c>
      <c r="F201" s="349" t="s">
        <v>123</v>
      </c>
      <c r="G201" s="309" t="s">
        <v>709</v>
      </c>
      <c r="H201" s="310" t="s">
        <v>129</v>
      </c>
      <c r="I201" s="311" t="s">
        <v>710</v>
      </c>
      <c r="J201" s="312" t="s">
        <v>711</v>
      </c>
      <c r="K201" s="273" t="s">
        <v>97</v>
      </c>
      <c r="L201" s="273" t="s">
        <v>176</v>
      </c>
      <c r="M201" s="311" t="s">
        <v>147</v>
      </c>
      <c r="N201" s="311" t="s">
        <v>97</v>
      </c>
      <c r="O201" s="311" t="s">
        <v>177</v>
      </c>
      <c r="P201" s="311"/>
      <c r="Q201" s="313" t="s">
        <v>678</v>
      </c>
      <c r="R201" s="154">
        <v>0</v>
      </c>
      <c r="S201" s="156">
        <f>0</f>
        <v>0</v>
      </c>
      <c r="T201" s="155">
        <f>0</f>
        <v>0</v>
      </c>
      <c r="U201" s="156">
        <f>0</f>
        <v>0</v>
      </c>
      <c r="V201" s="282">
        <v>1</v>
      </c>
      <c r="W201" s="155">
        <f>0</f>
        <v>0</v>
      </c>
      <c r="X201" s="155">
        <f>0</f>
        <v>0</v>
      </c>
      <c r="Y201" s="155">
        <f>0</f>
        <v>0</v>
      </c>
      <c r="Z201" s="155">
        <f>0</f>
        <v>0</v>
      </c>
      <c r="AA201" s="155">
        <f>0</f>
        <v>0</v>
      </c>
      <c r="AB201" s="155">
        <f>0</f>
        <v>0</v>
      </c>
      <c r="AC201" s="155">
        <f>0</f>
        <v>0</v>
      </c>
      <c r="AD201" s="155">
        <f>0</f>
        <v>0</v>
      </c>
      <c r="AE201" s="155">
        <f>0</f>
        <v>0</v>
      </c>
      <c r="AF201" s="155">
        <f>0</f>
        <v>0</v>
      </c>
      <c r="AG201" s="155">
        <f>0</f>
        <v>0</v>
      </c>
      <c r="AH201" s="155">
        <f>0</f>
        <v>0</v>
      </c>
      <c r="AI201" s="155">
        <f>0</f>
        <v>0</v>
      </c>
      <c r="AJ201" s="155">
        <f>0</f>
        <v>0</v>
      </c>
      <c r="AK201" s="155">
        <f>0</f>
        <v>0</v>
      </c>
      <c r="AL201" s="219">
        <f t="shared" si="12"/>
        <v>1</v>
      </c>
      <c r="AM201" s="103">
        <f>0</f>
        <v>0</v>
      </c>
      <c r="AN201" s="220">
        <f t="shared" si="13"/>
        <v>1</v>
      </c>
      <c r="AO201" s="348">
        <v>45034</v>
      </c>
      <c r="AP201" s="296" t="s">
        <v>192</v>
      </c>
      <c r="AQ201" s="292" t="s">
        <v>1522</v>
      </c>
      <c r="AR201" s="314" t="s">
        <v>194</v>
      </c>
      <c r="AS201" s="301">
        <v>45078</v>
      </c>
      <c r="AT201" s="302"/>
      <c r="AU201" s="303">
        <v>1</v>
      </c>
      <c r="AV201" s="304">
        <f t="shared" si="11"/>
        <v>0</v>
      </c>
      <c r="AW201" s="302" t="s">
        <v>195</v>
      </c>
      <c r="AX201" s="305"/>
      <c r="AY201" s="306"/>
      <c r="AZ201" s="299"/>
      <c r="BA201" s="174"/>
      <c r="BB201" s="174"/>
      <c r="BC201" s="174"/>
    </row>
    <row r="202" spans="1:55" ht="28" customHeight="1">
      <c r="A202" s="195">
        <v>198</v>
      </c>
      <c r="B202" s="315">
        <v>45021</v>
      </c>
      <c r="C202" s="222" t="s">
        <v>198</v>
      </c>
      <c r="D202" s="222" t="s">
        <v>199</v>
      </c>
      <c r="E202" s="222" t="s">
        <v>200</v>
      </c>
      <c r="F202" s="371" t="s">
        <v>123</v>
      </c>
      <c r="G202" s="309" t="s">
        <v>712</v>
      </c>
      <c r="H202" s="310" t="s">
        <v>129</v>
      </c>
      <c r="I202" s="311" t="s">
        <v>713</v>
      </c>
      <c r="J202" s="312" t="s">
        <v>714</v>
      </c>
      <c r="K202" s="273" t="s">
        <v>97</v>
      </c>
      <c r="L202" s="273" t="s">
        <v>176</v>
      </c>
      <c r="M202" s="311" t="s">
        <v>147</v>
      </c>
      <c r="N202" s="311" t="s">
        <v>97</v>
      </c>
      <c r="O202" s="311" t="s">
        <v>177</v>
      </c>
      <c r="P202" s="311"/>
      <c r="Q202" s="313" t="s">
        <v>678</v>
      </c>
      <c r="R202" s="154">
        <v>0</v>
      </c>
      <c r="S202" s="155">
        <f>0</f>
        <v>0</v>
      </c>
      <c r="T202" s="155">
        <f>0</f>
        <v>0</v>
      </c>
      <c r="U202" s="158">
        <f>0</f>
        <v>0</v>
      </c>
      <c r="V202" s="283">
        <v>1</v>
      </c>
      <c r="W202" s="155">
        <f>0</f>
        <v>0</v>
      </c>
      <c r="X202" s="155">
        <f>0</f>
        <v>0</v>
      </c>
      <c r="Y202" s="155">
        <f>0</f>
        <v>0</v>
      </c>
      <c r="Z202" s="155">
        <f>0</f>
        <v>0</v>
      </c>
      <c r="AA202" s="155">
        <f>0</f>
        <v>0</v>
      </c>
      <c r="AB202" s="155">
        <f>0</f>
        <v>0</v>
      </c>
      <c r="AC202" s="155">
        <f>0</f>
        <v>0</v>
      </c>
      <c r="AD202" s="155">
        <f>0</f>
        <v>0</v>
      </c>
      <c r="AE202" s="155">
        <f>0</f>
        <v>0</v>
      </c>
      <c r="AF202" s="155">
        <f>0</f>
        <v>0</v>
      </c>
      <c r="AG202" s="155">
        <f>0</f>
        <v>0</v>
      </c>
      <c r="AH202" s="155">
        <f>0</f>
        <v>0</v>
      </c>
      <c r="AI202" s="155">
        <f>0</f>
        <v>0</v>
      </c>
      <c r="AJ202" s="155">
        <f>0</f>
        <v>0</v>
      </c>
      <c r="AK202" s="155">
        <f>0</f>
        <v>0</v>
      </c>
      <c r="AL202" s="219">
        <f t="shared" si="12"/>
        <v>1</v>
      </c>
      <c r="AM202" s="103">
        <f>0</f>
        <v>0</v>
      </c>
      <c r="AN202" s="220">
        <f t="shared" si="13"/>
        <v>1</v>
      </c>
      <c r="AO202" s="348">
        <v>45034</v>
      </c>
      <c r="AP202" s="296" t="s">
        <v>192</v>
      </c>
      <c r="AQ202" s="292" t="s">
        <v>1522</v>
      </c>
      <c r="AR202" s="314" t="s">
        <v>194</v>
      </c>
      <c r="AS202" s="301">
        <v>45078</v>
      </c>
      <c r="AT202" s="302"/>
      <c r="AU202" s="303">
        <v>1</v>
      </c>
      <c r="AV202" s="304">
        <f t="shared" si="11"/>
        <v>0</v>
      </c>
      <c r="AW202" s="302" t="s">
        <v>195</v>
      </c>
      <c r="AX202" s="305"/>
      <c r="AY202" s="306"/>
      <c r="AZ202" s="299"/>
      <c r="BA202" s="174"/>
      <c r="BB202" s="174"/>
      <c r="BC202" s="174"/>
    </row>
    <row r="203" spans="1:55" ht="28" customHeight="1">
      <c r="A203" s="195">
        <v>199</v>
      </c>
      <c r="B203" s="315">
        <v>45021</v>
      </c>
      <c r="C203" s="222" t="s">
        <v>198</v>
      </c>
      <c r="D203" s="222" t="s">
        <v>199</v>
      </c>
      <c r="E203" s="222" t="s">
        <v>200</v>
      </c>
      <c r="F203" s="349" t="s">
        <v>123</v>
      </c>
      <c r="G203" s="309" t="s">
        <v>715</v>
      </c>
      <c r="H203" s="310" t="s">
        <v>129</v>
      </c>
      <c r="I203" s="311" t="s">
        <v>716</v>
      </c>
      <c r="J203" s="312" t="s">
        <v>717</v>
      </c>
      <c r="K203" s="273" t="s">
        <v>97</v>
      </c>
      <c r="L203" s="273" t="s">
        <v>165</v>
      </c>
      <c r="M203" s="311" t="s">
        <v>147</v>
      </c>
      <c r="N203" s="311" t="s">
        <v>97</v>
      </c>
      <c r="O203" s="311" t="s">
        <v>224</v>
      </c>
      <c r="P203" s="311"/>
      <c r="Q203" s="313" t="s">
        <v>678</v>
      </c>
      <c r="R203" s="154">
        <v>0</v>
      </c>
      <c r="S203" s="155">
        <f>0</f>
        <v>0</v>
      </c>
      <c r="T203" s="155">
        <f>0</f>
        <v>0</v>
      </c>
      <c r="U203" s="156">
        <f>0</f>
        <v>0</v>
      </c>
      <c r="V203" s="282">
        <v>1</v>
      </c>
      <c r="W203" s="155">
        <f>0</f>
        <v>0</v>
      </c>
      <c r="X203" s="155">
        <f>0</f>
        <v>0</v>
      </c>
      <c r="Y203" s="155">
        <f>0</f>
        <v>0</v>
      </c>
      <c r="Z203" s="155">
        <f>0</f>
        <v>0</v>
      </c>
      <c r="AA203" s="155">
        <f>0</f>
        <v>0</v>
      </c>
      <c r="AB203" s="155">
        <f>0</f>
        <v>0</v>
      </c>
      <c r="AC203" s="155">
        <f>0</f>
        <v>0</v>
      </c>
      <c r="AD203" s="155">
        <f>0</f>
        <v>0</v>
      </c>
      <c r="AE203" s="155">
        <f>0</f>
        <v>0</v>
      </c>
      <c r="AF203" s="155">
        <f>0</f>
        <v>0</v>
      </c>
      <c r="AG203" s="155">
        <f>0</f>
        <v>0</v>
      </c>
      <c r="AH203" s="155">
        <f>0</f>
        <v>0</v>
      </c>
      <c r="AI203" s="155">
        <f>0</f>
        <v>0</v>
      </c>
      <c r="AJ203" s="155">
        <f>0</f>
        <v>0</v>
      </c>
      <c r="AK203" s="155">
        <f>0</f>
        <v>0</v>
      </c>
      <c r="AL203" s="219">
        <f t="shared" si="12"/>
        <v>1</v>
      </c>
      <c r="AM203" s="103">
        <f>0</f>
        <v>0</v>
      </c>
      <c r="AN203" s="220">
        <f t="shared" si="13"/>
        <v>1</v>
      </c>
      <c r="AO203" s="348">
        <v>45034</v>
      </c>
      <c r="AP203" s="296" t="s">
        <v>192</v>
      </c>
      <c r="AQ203" s="292" t="s">
        <v>1522</v>
      </c>
      <c r="AR203" s="314" t="s">
        <v>194</v>
      </c>
      <c r="AS203" s="301">
        <v>45078</v>
      </c>
      <c r="AT203" s="302"/>
      <c r="AU203" s="303">
        <v>1</v>
      </c>
      <c r="AV203" s="304">
        <f t="shared" si="11"/>
        <v>0</v>
      </c>
      <c r="AW203" s="302" t="s">
        <v>195</v>
      </c>
      <c r="AX203" s="305"/>
      <c r="AY203" s="306"/>
      <c r="AZ203" s="299"/>
      <c r="BA203" s="174"/>
      <c r="BB203" s="174"/>
      <c r="BC203" s="174"/>
    </row>
    <row r="204" spans="1:55" ht="28" customHeight="1">
      <c r="A204" s="195">
        <v>200</v>
      </c>
      <c r="B204" s="315">
        <v>45021</v>
      </c>
      <c r="C204" s="222" t="s">
        <v>198</v>
      </c>
      <c r="D204" s="222" t="s">
        <v>199</v>
      </c>
      <c r="E204" s="222" t="s">
        <v>200</v>
      </c>
      <c r="F204" s="371" t="s">
        <v>123</v>
      </c>
      <c r="G204" s="309" t="s">
        <v>718</v>
      </c>
      <c r="H204" s="310" t="s">
        <v>129</v>
      </c>
      <c r="I204" s="311" t="s">
        <v>716</v>
      </c>
      <c r="J204" s="312" t="s">
        <v>719</v>
      </c>
      <c r="K204" s="273" t="s">
        <v>97</v>
      </c>
      <c r="L204" s="273" t="s">
        <v>165</v>
      </c>
      <c r="M204" s="311" t="s">
        <v>147</v>
      </c>
      <c r="N204" s="311" t="s">
        <v>97</v>
      </c>
      <c r="O204" s="311" t="s">
        <v>224</v>
      </c>
      <c r="P204" s="311"/>
      <c r="Q204" s="313" t="s">
        <v>678</v>
      </c>
      <c r="R204" s="154">
        <v>0</v>
      </c>
      <c r="S204" s="156">
        <f>0</f>
        <v>0</v>
      </c>
      <c r="T204" s="155">
        <f>0</f>
        <v>0</v>
      </c>
      <c r="U204" s="156">
        <f>0</f>
        <v>0</v>
      </c>
      <c r="V204" s="282">
        <v>1</v>
      </c>
      <c r="W204" s="155">
        <f>0</f>
        <v>0</v>
      </c>
      <c r="X204" s="155">
        <f>0</f>
        <v>0</v>
      </c>
      <c r="Y204" s="155">
        <f>0</f>
        <v>0</v>
      </c>
      <c r="Z204" s="155">
        <f>0</f>
        <v>0</v>
      </c>
      <c r="AA204" s="155">
        <f>0</f>
        <v>0</v>
      </c>
      <c r="AB204" s="155">
        <f>0</f>
        <v>0</v>
      </c>
      <c r="AC204" s="155">
        <f>0</f>
        <v>0</v>
      </c>
      <c r="AD204" s="155">
        <f>0</f>
        <v>0</v>
      </c>
      <c r="AE204" s="155">
        <f>0</f>
        <v>0</v>
      </c>
      <c r="AF204" s="155">
        <f>0</f>
        <v>0</v>
      </c>
      <c r="AG204" s="155">
        <f>0</f>
        <v>0</v>
      </c>
      <c r="AH204" s="155">
        <f>0</f>
        <v>0</v>
      </c>
      <c r="AI204" s="155">
        <f>0</f>
        <v>0</v>
      </c>
      <c r="AJ204" s="155">
        <f>0</f>
        <v>0</v>
      </c>
      <c r="AK204" s="155">
        <f>0</f>
        <v>0</v>
      </c>
      <c r="AL204" s="219">
        <f t="shared" si="12"/>
        <v>1</v>
      </c>
      <c r="AM204" s="103">
        <f>0</f>
        <v>0</v>
      </c>
      <c r="AN204" s="220">
        <f t="shared" si="13"/>
        <v>1</v>
      </c>
      <c r="AO204" s="348">
        <v>45034</v>
      </c>
      <c r="AP204" s="296" t="s">
        <v>192</v>
      </c>
      <c r="AQ204" s="292" t="s">
        <v>1522</v>
      </c>
      <c r="AR204" s="314" t="s">
        <v>194</v>
      </c>
      <c r="AS204" s="301">
        <v>45078</v>
      </c>
      <c r="AT204" s="302"/>
      <c r="AU204" s="303">
        <v>1</v>
      </c>
      <c r="AV204" s="304">
        <f t="shared" si="11"/>
        <v>0</v>
      </c>
      <c r="AW204" s="302" t="s">
        <v>195</v>
      </c>
      <c r="AX204" s="305"/>
      <c r="AY204" s="306"/>
      <c r="AZ204" s="299"/>
      <c r="BA204" s="174"/>
      <c r="BB204" s="174"/>
      <c r="BC204" s="174"/>
    </row>
    <row r="205" spans="1:55" ht="28" customHeight="1">
      <c r="A205" s="195">
        <v>201</v>
      </c>
      <c r="B205" s="315">
        <v>45021</v>
      </c>
      <c r="C205" s="222" t="s">
        <v>198</v>
      </c>
      <c r="D205" s="222" t="s">
        <v>199</v>
      </c>
      <c r="E205" s="222" t="s">
        <v>200</v>
      </c>
      <c r="F205" s="349" t="s">
        <v>123</v>
      </c>
      <c r="G205" s="309" t="s">
        <v>720</v>
      </c>
      <c r="H205" s="310" t="s">
        <v>129</v>
      </c>
      <c r="I205" s="311" t="s">
        <v>721</v>
      </c>
      <c r="J205" s="312" t="s">
        <v>722</v>
      </c>
      <c r="K205" s="273" t="s">
        <v>97</v>
      </c>
      <c r="L205" s="273" t="s">
        <v>165</v>
      </c>
      <c r="M205" s="311" t="s">
        <v>147</v>
      </c>
      <c r="N205" s="311" t="s">
        <v>97</v>
      </c>
      <c r="O205" s="311" t="s">
        <v>177</v>
      </c>
      <c r="P205" s="311"/>
      <c r="Q205" s="313" t="s">
        <v>678</v>
      </c>
      <c r="R205" s="154">
        <v>0</v>
      </c>
      <c r="S205" s="155">
        <f>0</f>
        <v>0</v>
      </c>
      <c r="T205" s="155">
        <f>0</f>
        <v>0</v>
      </c>
      <c r="U205" s="158">
        <f>0</f>
        <v>0</v>
      </c>
      <c r="V205" s="283">
        <v>1</v>
      </c>
      <c r="W205" s="155">
        <f>0</f>
        <v>0</v>
      </c>
      <c r="X205" s="155">
        <f>0</f>
        <v>0</v>
      </c>
      <c r="Y205" s="155">
        <f>0</f>
        <v>0</v>
      </c>
      <c r="Z205" s="155">
        <f>0</f>
        <v>0</v>
      </c>
      <c r="AA205" s="155">
        <f>0</f>
        <v>0</v>
      </c>
      <c r="AB205" s="155">
        <f>0</f>
        <v>0</v>
      </c>
      <c r="AC205" s="155">
        <f>0</f>
        <v>0</v>
      </c>
      <c r="AD205" s="155">
        <f>0</f>
        <v>0</v>
      </c>
      <c r="AE205" s="155">
        <f>0</f>
        <v>0</v>
      </c>
      <c r="AF205" s="155">
        <f>0</f>
        <v>0</v>
      </c>
      <c r="AG205" s="155">
        <f>0</f>
        <v>0</v>
      </c>
      <c r="AH205" s="155">
        <f>0</f>
        <v>0</v>
      </c>
      <c r="AI205" s="155">
        <f>0</f>
        <v>0</v>
      </c>
      <c r="AJ205" s="155">
        <f>0</f>
        <v>0</v>
      </c>
      <c r="AK205" s="155">
        <f>0</f>
        <v>0</v>
      </c>
      <c r="AL205" s="219">
        <f t="shared" si="12"/>
        <v>1</v>
      </c>
      <c r="AM205" s="103">
        <f>0</f>
        <v>0</v>
      </c>
      <c r="AN205" s="220">
        <f t="shared" si="13"/>
        <v>1</v>
      </c>
      <c r="AO205" s="348">
        <v>45034</v>
      </c>
      <c r="AP205" s="296" t="s">
        <v>192</v>
      </c>
      <c r="AQ205" s="292" t="s">
        <v>1522</v>
      </c>
      <c r="AR205" s="314" t="s">
        <v>194</v>
      </c>
      <c r="AS205" s="301">
        <v>45078</v>
      </c>
      <c r="AT205" s="343"/>
      <c r="AU205" s="344">
        <v>1</v>
      </c>
      <c r="AV205" s="345">
        <f t="shared" si="11"/>
        <v>0</v>
      </c>
      <c r="AW205" s="343" t="s">
        <v>195</v>
      </c>
      <c r="AX205" s="354"/>
      <c r="AY205" s="356"/>
      <c r="AZ205" s="358"/>
      <c r="BA205" s="174"/>
      <c r="BB205" s="174"/>
      <c r="BC205" s="174"/>
    </row>
    <row r="206" spans="1:55" ht="28" customHeight="1">
      <c r="A206" s="195">
        <v>202</v>
      </c>
      <c r="B206" s="315">
        <v>45021</v>
      </c>
      <c r="C206" s="222" t="s">
        <v>198</v>
      </c>
      <c r="D206" s="222" t="s">
        <v>199</v>
      </c>
      <c r="E206" s="222" t="s">
        <v>200</v>
      </c>
      <c r="F206" s="371" t="s">
        <v>123</v>
      </c>
      <c r="G206" s="309" t="s">
        <v>723</v>
      </c>
      <c r="H206" s="310" t="s">
        <v>129</v>
      </c>
      <c r="I206" s="311" t="s">
        <v>721</v>
      </c>
      <c r="J206" s="312" t="s">
        <v>724</v>
      </c>
      <c r="K206" s="273" t="s">
        <v>97</v>
      </c>
      <c r="L206" s="273" t="s">
        <v>165</v>
      </c>
      <c r="M206" s="311" t="s">
        <v>147</v>
      </c>
      <c r="N206" s="311" t="s">
        <v>97</v>
      </c>
      <c r="O206" s="311" t="s">
        <v>177</v>
      </c>
      <c r="P206" s="311"/>
      <c r="Q206" s="313" t="s">
        <v>678</v>
      </c>
      <c r="R206" s="154">
        <v>0</v>
      </c>
      <c r="S206" s="155">
        <f>0</f>
        <v>0</v>
      </c>
      <c r="T206" s="155">
        <f>0</f>
        <v>0</v>
      </c>
      <c r="U206" s="156">
        <f>0</f>
        <v>0</v>
      </c>
      <c r="V206" s="282">
        <v>1</v>
      </c>
      <c r="W206" s="155">
        <f>0</f>
        <v>0</v>
      </c>
      <c r="X206" s="155">
        <f>0</f>
        <v>0</v>
      </c>
      <c r="Y206" s="155">
        <f>0</f>
        <v>0</v>
      </c>
      <c r="Z206" s="155">
        <f>0</f>
        <v>0</v>
      </c>
      <c r="AA206" s="155">
        <f>0</f>
        <v>0</v>
      </c>
      <c r="AB206" s="155">
        <f>0</f>
        <v>0</v>
      </c>
      <c r="AC206" s="155">
        <f>0</f>
        <v>0</v>
      </c>
      <c r="AD206" s="155">
        <f>0</f>
        <v>0</v>
      </c>
      <c r="AE206" s="155">
        <f>0</f>
        <v>0</v>
      </c>
      <c r="AF206" s="155">
        <f>0</f>
        <v>0</v>
      </c>
      <c r="AG206" s="155">
        <f>0</f>
        <v>0</v>
      </c>
      <c r="AH206" s="155">
        <f>0</f>
        <v>0</v>
      </c>
      <c r="AI206" s="155">
        <f>0</f>
        <v>0</v>
      </c>
      <c r="AJ206" s="155">
        <f>0</f>
        <v>0</v>
      </c>
      <c r="AK206" s="155">
        <f>0</f>
        <v>0</v>
      </c>
      <c r="AL206" s="219">
        <f t="shared" si="12"/>
        <v>1</v>
      </c>
      <c r="AM206" s="103">
        <f>0</f>
        <v>0</v>
      </c>
      <c r="AN206" s="220">
        <f t="shared" si="13"/>
        <v>1</v>
      </c>
      <c r="AO206" s="348">
        <v>45034</v>
      </c>
      <c r="AP206" s="296" t="s">
        <v>192</v>
      </c>
      <c r="AQ206" s="292" t="s">
        <v>1522</v>
      </c>
      <c r="AR206" s="314" t="s">
        <v>194</v>
      </c>
      <c r="AS206" s="301">
        <v>45078</v>
      </c>
      <c r="AT206" s="318"/>
      <c r="AU206" s="318">
        <v>1</v>
      </c>
      <c r="AV206" s="317">
        <f t="shared" ref="AV206:AV269" si="14">AN206-AU206</f>
        <v>0</v>
      </c>
      <c r="AW206" s="318" t="s">
        <v>195</v>
      </c>
      <c r="AX206" s="319"/>
      <c r="AY206" s="319"/>
      <c r="AZ206" s="320"/>
      <c r="BA206" s="174"/>
      <c r="BB206" s="174"/>
      <c r="BC206" s="174"/>
    </row>
    <row r="207" spans="1:55" ht="28" customHeight="1">
      <c r="A207" s="195">
        <v>203</v>
      </c>
      <c r="B207" s="315">
        <v>45021</v>
      </c>
      <c r="C207" s="222" t="s">
        <v>198</v>
      </c>
      <c r="D207" s="222" t="s">
        <v>199</v>
      </c>
      <c r="E207" s="222" t="s">
        <v>200</v>
      </c>
      <c r="F207" s="371" t="s">
        <v>123</v>
      </c>
      <c r="G207" s="309" t="s">
        <v>725</v>
      </c>
      <c r="H207" s="310" t="s">
        <v>129</v>
      </c>
      <c r="I207" s="311" t="s">
        <v>726</v>
      </c>
      <c r="J207" s="312" t="s">
        <v>727</v>
      </c>
      <c r="K207" s="273" t="s">
        <v>97</v>
      </c>
      <c r="L207" s="273" t="s">
        <v>728</v>
      </c>
      <c r="M207" s="311" t="s">
        <v>147</v>
      </c>
      <c r="N207" s="311" t="s">
        <v>697</v>
      </c>
      <c r="O207" s="311" t="s">
        <v>97</v>
      </c>
      <c r="P207" s="311"/>
      <c r="Q207" s="313" t="s">
        <v>678</v>
      </c>
      <c r="R207" s="154">
        <v>0</v>
      </c>
      <c r="S207" s="156">
        <f>0</f>
        <v>0</v>
      </c>
      <c r="T207" s="155">
        <f>0</f>
        <v>0</v>
      </c>
      <c r="U207" s="156">
        <f>0</f>
        <v>0</v>
      </c>
      <c r="V207" s="282">
        <v>1</v>
      </c>
      <c r="W207" s="155">
        <f>0</f>
        <v>0</v>
      </c>
      <c r="X207" s="155">
        <f>0</f>
        <v>0</v>
      </c>
      <c r="Y207" s="155">
        <f>0</f>
        <v>0</v>
      </c>
      <c r="Z207" s="155">
        <f>0</f>
        <v>0</v>
      </c>
      <c r="AA207" s="155">
        <f>0</f>
        <v>0</v>
      </c>
      <c r="AB207" s="155">
        <f>0</f>
        <v>0</v>
      </c>
      <c r="AC207" s="155">
        <f>0</f>
        <v>0</v>
      </c>
      <c r="AD207" s="155">
        <f>0</f>
        <v>0</v>
      </c>
      <c r="AE207" s="155">
        <f>0</f>
        <v>0</v>
      </c>
      <c r="AF207" s="155">
        <f>0</f>
        <v>0</v>
      </c>
      <c r="AG207" s="155">
        <f>0</f>
        <v>0</v>
      </c>
      <c r="AH207" s="155">
        <f>0</f>
        <v>0</v>
      </c>
      <c r="AI207" s="155">
        <f>0</f>
        <v>0</v>
      </c>
      <c r="AJ207" s="155">
        <f>0</f>
        <v>0</v>
      </c>
      <c r="AK207" s="155">
        <f>0</f>
        <v>0</v>
      </c>
      <c r="AL207" s="219">
        <f t="shared" si="12"/>
        <v>1</v>
      </c>
      <c r="AM207" s="103">
        <f>0</f>
        <v>0</v>
      </c>
      <c r="AN207" s="220">
        <f t="shared" si="13"/>
        <v>1</v>
      </c>
      <c r="AO207" s="290">
        <v>45076</v>
      </c>
      <c r="AP207" s="291" t="s">
        <v>617</v>
      </c>
      <c r="AQ207" s="393" t="s">
        <v>1546</v>
      </c>
      <c r="AR207" s="314" t="s">
        <v>194</v>
      </c>
      <c r="AS207" s="321"/>
      <c r="AT207" s="318"/>
      <c r="AU207" s="318"/>
      <c r="AV207" s="317">
        <f t="shared" si="14"/>
        <v>1</v>
      </c>
      <c r="AW207" s="318" t="s">
        <v>195</v>
      </c>
      <c r="AX207" s="319"/>
      <c r="AY207" s="319"/>
      <c r="AZ207" s="320"/>
      <c r="BA207" s="174"/>
      <c r="BB207" s="174"/>
      <c r="BC207" s="174"/>
    </row>
    <row r="208" spans="1:55" ht="28" customHeight="1">
      <c r="A208" s="195">
        <v>204</v>
      </c>
      <c r="B208" s="315">
        <v>45021</v>
      </c>
      <c r="C208" s="222" t="s">
        <v>198</v>
      </c>
      <c r="D208" s="222" t="s">
        <v>199</v>
      </c>
      <c r="E208" s="222" t="s">
        <v>200</v>
      </c>
      <c r="F208" s="371" t="s">
        <v>123</v>
      </c>
      <c r="G208" s="309" t="s">
        <v>729</v>
      </c>
      <c r="H208" s="310" t="s">
        <v>129</v>
      </c>
      <c r="I208" s="311" t="s">
        <v>730</v>
      </c>
      <c r="J208" s="312" t="s">
        <v>731</v>
      </c>
      <c r="K208" s="273" t="s">
        <v>97</v>
      </c>
      <c r="L208" s="311" t="s">
        <v>176</v>
      </c>
      <c r="M208" s="311" t="s">
        <v>147</v>
      </c>
      <c r="N208" s="311" t="s">
        <v>97</v>
      </c>
      <c r="O208" s="311" t="s">
        <v>224</v>
      </c>
      <c r="P208" s="311"/>
      <c r="Q208" s="313" t="s">
        <v>732</v>
      </c>
      <c r="R208" s="154">
        <v>0</v>
      </c>
      <c r="S208" s="155">
        <v>0</v>
      </c>
      <c r="T208" s="155">
        <v>0</v>
      </c>
      <c r="U208" s="158">
        <v>0</v>
      </c>
      <c r="V208" s="155">
        <v>0</v>
      </c>
      <c r="W208" s="263">
        <v>3</v>
      </c>
      <c r="X208" s="155">
        <f>0</f>
        <v>0</v>
      </c>
      <c r="Y208" s="155">
        <f>0</f>
        <v>0</v>
      </c>
      <c r="Z208" s="155">
        <f>0</f>
        <v>0</v>
      </c>
      <c r="AA208" s="155">
        <f>0</f>
        <v>0</v>
      </c>
      <c r="AB208" s="155">
        <f>0</f>
        <v>0</v>
      </c>
      <c r="AC208" s="155">
        <f>0</f>
        <v>0</v>
      </c>
      <c r="AD208" s="155">
        <f>0</f>
        <v>0</v>
      </c>
      <c r="AE208" s="155">
        <f>0</f>
        <v>0</v>
      </c>
      <c r="AF208" s="155">
        <f>0</f>
        <v>0</v>
      </c>
      <c r="AG208" s="155">
        <f>0</f>
        <v>0</v>
      </c>
      <c r="AH208" s="155">
        <f>0</f>
        <v>0</v>
      </c>
      <c r="AI208" s="155">
        <f>0</f>
        <v>0</v>
      </c>
      <c r="AJ208" s="155">
        <f>0</f>
        <v>0</v>
      </c>
      <c r="AK208" s="155">
        <f>0</f>
        <v>0</v>
      </c>
      <c r="AL208" s="219">
        <f t="shared" si="12"/>
        <v>3</v>
      </c>
      <c r="AM208" s="103">
        <f>0</f>
        <v>0</v>
      </c>
      <c r="AN208" s="220">
        <f t="shared" si="13"/>
        <v>3</v>
      </c>
      <c r="AO208" s="348">
        <v>45034</v>
      </c>
      <c r="AP208" s="296" t="s">
        <v>192</v>
      </c>
      <c r="AQ208" s="292" t="s">
        <v>1522</v>
      </c>
      <c r="AR208" s="346" t="s">
        <v>194</v>
      </c>
      <c r="AS208" s="301">
        <v>45078</v>
      </c>
      <c r="AT208" s="318"/>
      <c r="AU208" s="317">
        <v>3</v>
      </c>
      <c r="AV208" s="318">
        <f t="shared" si="14"/>
        <v>0</v>
      </c>
      <c r="AW208" s="319" t="s">
        <v>195</v>
      </c>
      <c r="AX208" s="319"/>
      <c r="AY208" s="320"/>
      <c r="AZ208" s="174"/>
      <c r="BA208" s="174"/>
      <c r="BB208" s="174"/>
      <c r="BC208" s="174"/>
    </row>
    <row r="209" spans="1:55" ht="28" customHeight="1">
      <c r="A209" s="195">
        <v>205</v>
      </c>
      <c r="B209" s="315">
        <v>45021</v>
      </c>
      <c r="C209" s="222" t="s">
        <v>198</v>
      </c>
      <c r="D209" s="222" t="s">
        <v>199</v>
      </c>
      <c r="E209" s="222" t="s">
        <v>200</v>
      </c>
      <c r="F209" s="371" t="s">
        <v>123</v>
      </c>
      <c r="G209" s="309" t="s">
        <v>733</v>
      </c>
      <c r="H209" s="310" t="s">
        <v>129</v>
      </c>
      <c r="I209" s="311" t="s">
        <v>730</v>
      </c>
      <c r="J209" s="312" t="s">
        <v>734</v>
      </c>
      <c r="K209" s="273" t="s">
        <v>97</v>
      </c>
      <c r="L209" s="311" t="s">
        <v>176</v>
      </c>
      <c r="M209" s="311" t="s">
        <v>147</v>
      </c>
      <c r="N209" s="311" t="s">
        <v>97</v>
      </c>
      <c r="O209" s="311" t="s">
        <v>224</v>
      </c>
      <c r="P209" s="311"/>
      <c r="Q209" s="313" t="s">
        <v>732</v>
      </c>
      <c r="R209" s="270">
        <v>3</v>
      </c>
      <c r="S209" s="155">
        <v>0</v>
      </c>
      <c r="T209" s="155">
        <v>0</v>
      </c>
      <c r="U209" s="156">
        <v>0</v>
      </c>
      <c r="V209" s="155">
        <v>0</v>
      </c>
      <c r="W209" s="155">
        <v>0</v>
      </c>
      <c r="X209" s="155">
        <f>0</f>
        <v>0</v>
      </c>
      <c r="Y209" s="155">
        <f>0</f>
        <v>0</v>
      </c>
      <c r="Z209" s="155">
        <f>0</f>
        <v>0</v>
      </c>
      <c r="AA209" s="155">
        <f>0</f>
        <v>0</v>
      </c>
      <c r="AB209" s="155">
        <f>0</f>
        <v>0</v>
      </c>
      <c r="AC209" s="155">
        <f>0</f>
        <v>0</v>
      </c>
      <c r="AD209" s="155">
        <f>0</f>
        <v>0</v>
      </c>
      <c r="AE209" s="155">
        <f>0</f>
        <v>0</v>
      </c>
      <c r="AF209" s="155">
        <f>0</f>
        <v>0</v>
      </c>
      <c r="AG209" s="155">
        <f>0</f>
        <v>0</v>
      </c>
      <c r="AH209" s="155">
        <f>0</f>
        <v>0</v>
      </c>
      <c r="AI209" s="155">
        <f>0</f>
        <v>0</v>
      </c>
      <c r="AJ209" s="155">
        <f>0</f>
        <v>0</v>
      </c>
      <c r="AK209" s="155">
        <f>0</f>
        <v>0</v>
      </c>
      <c r="AL209" s="219">
        <f t="shared" si="12"/>
        <v>3</v>
      </c>
      <c r="AM209" s="103">
        <f>0</f>
        <v>0</v>
      </c>
      <c r="AN209" s="220">
        <f t="shared" si="13"/>
        <v>3</v>
      </c>
      <c r="AO209" s="348">
        <v>45034</v>
      </c>
      <c r="AP209" s="296" t="s">
        <v>192</v>
      </c>
      <c r="AQ209" s="292" t="s">
        <v>1522</v>
      </c>
      <c r="AR209" s="346" t="s">
        <v>194</v>
      </c>
      <c r="AS209" s="301">
        <v>45078</v>
      </c>
      <c r="AT209" s="318"/>
      <c r="AU209" s="317">
        <v>3</v>
      </c>
      <c r="AV209" s="318">
        <f t="shared" si="14"/>
        <v>0</v>
      </c>
      <c r="AW209" s="319" t="s">
        <v>195</v>
      </c>
      <c r="AX209" s="319"/>
      <c r="AY209" s="320"/>
      <c r="AZ209" s="174"/>
      <c r="BA209" s="174"/>
      <c r="BB209" s="174"/>
      <c r="BC209" s="174"/>
    </row>
    <row r="210" spans="1:55" ht="28" customHeight="1">
      <c r="A210" s="195">
        <v>206</v>
      </c>
      <c r="B210" s="315">
        <v>45021</v>
      </c>
      <c r="C210" s="222" t="s">
        <v>198</v>
      </c>
      <c r="D210" s="222" t="s">
        <v>199</v>
      </c>
      <c r="E210" s="222" t="s">
        <v>200</v>
      </c>
      <c r="F210" s="371" t="s">
        <v>123</v>
      </c>
      <c r="G210" s="309" t="s">
        <v>735</v>
      </c>
      <c r="H210" s="310" t="s">
        <v>129</v>
      </c>
      <c r="I210" s="311" t="s">
        <v>736</v>
      </c>
      <c r="J210" s="312" t="s">
        <v>737</v>
      </c>
      <c r="K210" s="311" t="s">
        <v>97</v>
      </c>
      <c r="L210" s="311" t="s">
        <v>165</v>
      </c>
      <c r="M210" s="311" t="s">
        <v>147</v>
      </c>
      <c r="N210" s="311" t="s">
        <v>97</v>
      </c>
      <c r="O210" s="313" t="s">
        <v>224</v>
      </c>
      <c r="P210" s="311"/>
      <c r="Q210" s="313" t="s">
        <v>732</v>
      </c>
      <c r="R210" s="270">
        <v>3</v>
      </c>
      <c r="S210" s="156">
        <v>0</v>
      </c>
      <c r="T210" s="155">
        <v>0</v>
      </c>
      <c r="U210" s="156">
        <v>0</v>
      </c>
      <c r="V210" s="155">
        <v>0</v>
      </c>
      <c r="W210" s="155">
        <v>0</v>
      </c>
      <c r="X210" s="155">
        <f>0</f>
        <v>0</v>
      </c>
      <c r="Y210" s="155">
        <f>0</f>
        <v>0</v>
      </c>
      <c r="Z210" s="155">
        <f>0</f>
        <v>0</v>
      </c>
      <c r="AA210" s="155">
        <f>0</f>
        <v>0</v>
      </c>
      <c r="AB210" s="155">
        <f>0</f>
        <v>0</v>
      </c>
      <c r="AC210" s="155">
        <f>0</f>
        <v>0</v>
      </c>
      <c r="AD210" s="155">
        <f>0</f>
        <v>0</v>
      </c>
      <c r="AE210" s="155">
        <f>0</f>
        <v>0</v>
      </c>
      <c r="AF210" s="155">
        <f>0</f>
        <v>0</v>
      </c>
      <c r="AG210" s="155">
        <f>0</f>
        <v>0</v>
      </c>
      <c r="AH210" s="155">
        <f>0</f>
        <v>0</v>
      </c>
      <c r="AI210" s="155">
        <f>0</f>
        <v>0</v>
      </c>
      <c r="AJ210" s="155">
        <f>0</f>
        <v>0</v>
      </c>
      <c r="AK210" s="155">
        <f>0</f>
        <v>0</v>
      </c>
      <c r="AL210" s="219">
        <f t="shared" si="12"/>
        <v>3</v>
      </c>
      <c r="AM210" s="103">
        <f>0</f>
        <v>0</v>
      </c>
      <c r="AN210" s="220">
        <f t="shared" si="13"/>
        <v>3</v>
      </c>
      <c r="AO210" s="348">
        <v>45034</v>
      </c>
      <c r="AP210" s="296" t="s">
        <v>192</v>
      </c>
      <c r="AQ210" s="292" t="s">
        <v>1522</v>
      </c>
      <c r="AR210" s="346" t="s">
        <v>194</v>
      </c>
      <c r="AS210" s="301">
        <v>45078</v>
      </c>
      <c r="AT210" s="317"/>
      <c r="AU210" s="318">
        <v>3</v>
      </c>
      <c r="AV210" s="319">
        <f t="shared" si="14"/>
        <v>0</v>
      </c>
      <c r="AW210" s="319" t="s">
        <v>195</v>
      </c>
      <c r="AX210" s="320"/>
      <c r="AY210" s="174"/>
      <c r="AZ210" s="174"/>
      <c r="BA210" s="174"/>
      <c r="BB210" s="174"/>
      <c r="BC210" s="174"/>
    </row>
    <row r="211" spans="1:55" ht="28" customHeight="1">
      <c r="A211" s="195">
        <v>207</v>
      </c>
      <c r="B211" s="315">
        <v>45021</v>
      </c>
      <c r="C211" s="222" t="s">
        <v>198</v>
      </c>
      <c r="D211" s="222" t="s">
        <v>199</v>
      </c>
      <c r="E211" s="222" t="s">
        <v>200</v>
      </c>
      <c r="F211" s="371" t="s">
        <v>123</v>
      </c>
      <c r="G211" s="309" t="s">
        <v>738</v>
      </c>
      <c r="H211" s="310" t="s">
        <v>129</v>
      </c>
      <c r="I211" s="311" t="s">
        <v>739</v>
      </c>
      <c r="J211" s="312" t="s">
        <v>740</v>
      </c>
      <c r="K211" s="311" t="s">
        <v>97</v>
      </c>
      <c r="L211" s="311" t="s">
        <v>234</v>
      </c>
      <c r="M211" s="311" t="s">
        <v>97</v>
      </c>
      <c r="N211" s="311" t="s">
        <v>97</v>
      </c>
      <c r="O211" s="313" t="s">
        <v>97</v>
      </c>
      <c r="P211" s="311"/>
      <c r="Q211" s="313" t="s">
        <v>732</v>
      </c>
      <c r="R211" s="270">
        <v>3</v>
      </c>
      <c r="S211" s="155">
        <v>0</v>
      </c>
      <c r="T211" s="155">
        <v>0</v>
      </c>
      <c r="U211" s="158">
        <v>0</v>
      </c>
      <c r="V211" s="155">
        <v>0</v>
      </c>
      <c r="W211" s="155">
        <v>0</v>
      </c>
      <c r="X211" s="155">
        <f>0</f>
        <v>0</v>
      </c>
      <c r="Y211" s="155">
        <f>0</f>
        <v>0</v>
      </c>
      <c r="Z211" s="155">
        <f>0</f>
        <v>0</v>
      </c>
      <c r="AA211" s="155">
        <f>0</f>
        <v>0</v>
      </c>
      <c r="AB211" s="155">
        <f>0</f>
        <v>0</v>
      </c>
      <c r="AC211" s="155">
        <f>0</f>
        <v>0</v>
      </c>
      <c r="AD211" s="155">
        <f>0</f>
        <v>0</v>
      </c>
      <c r="AE211" s="155">
        <f>0</f>
        <v>0</v>
      </c>
      <c r="AF211" s="155">
        <f>0</f>
        <v>0</v>
      </c>
      <c r="AG211" s="155">
        <f>0</f>
        <v>0</v>
      </c>
      <c r="AH211" s="155">
        <f>0</f>
        <v>0</v>
      </c>
      <c r="AI211" s="155">
        <f>0</f>
        <v>0</v>
      </c>
      <c r="AJ211" s="155">
        <f>0</f>
        <v>0</v>
      </c>
      <c r="AK211" s="155">
        <f>0</f>
        <v>0</v>
      </c>
      <c r="AL211" s="219">
        <f t="shared" si="12"/>
        <v>3</v>
      </c>
      <c r="AM211" s="103">
        <f>0</f>
        <v>0</v>
      </c>
      <c r="AN211" s="220">
        <f t="shared" si="13"/>
        <v>3</v>
      </c>
      <c r="AO211" s="290">
        <v>45034</v>
      </c>
      <c r="AP211" s="291" t="s">
        <v>192</v>
      </c>
      <c r="AQ211" s="292" t="s">
        <v>1520</v>
      </c>
      <c r="AR211" s="293" t="s">
        <v>197</v>
      </c>
      <c r="AS211" s="321"/>
      <c r="AT211" s="317"/>
      <c r="AU211" s="318">
        <v>3</v>
      </c>
      <c r="AV211" s="319">
        <f t="shared" si="14"/>
        <v>0</v>
      </c>
      <c r="AW211" s="319" t="s">
        <v>195</v>
      </c>
      <c r="AX211" s="320"/>
      <c r="AY211" s="174"/>
      <c r="AZ211" s="174"/>
      <c r="BA211" s="174"/>
      <c r="BB211" s="174"/>
      <c r="BC211" s="174"/>
    </row>
    <row r="212" spans="1:55" ht="28" customHeight="1">
      <c r="A212" s="195">
        <v>208</v>
      </c>
      <c r="B212" s="315">
        <v>45021</v>
      </c>
      <c r="C212" s="222" t="s">
        <v>198</v>
      </c>
      <c r="D212" s="222" t="s">
        <v>199</v>
      </c>
      <c r="E212" s="222" t="s">
        <v>200</v>
      </c>
      <c r="F212" s="371" t="s">
        <v>123</v>
      </c>
      <c r="G212" s="309" t="s">
        <v>741</v>
      </c>
      <c r="H212" s="310" t="s">
        <v>129</v>
      </c>
      <c r="I212" s="311" t="s">
        <v>742</v>
      </c>
      <c r="J212" s="312" t="s">
        <v>743</v>
      </c>
      <c r="K212" s="328" t="s">
        <v>201</v>
      </c>
      <c r="L212" s="311" t="s">
        <v>744</v>
      </c>
      <c r="M212" s="311" t="s">
        <v>156</v>
      </c>
      <c r="N212" s="311"/>
      <c r="O212" s="313" t="s">
        <v>204</v>
      </c>
      <c r="P212" s="311"/>
      <c r="Q212" s="313" t="s">
        <v>548</v>
      </c>
      <c r="R212" s="270">
        <v>1</v>
      </c>
      <c r="S212" s="155">
        <f>0</f>
        <v>0</v>
      </c>
      <c r="T212" s="155">
        <f>0</f>
        <v>0</v>
      </c>
      <c r="U212" s="156">
        <f>0</f>
        <v>0</v>
      </c>
      <c r="V212" s="155">
        <f>0</f>
        <v>0</v>
      </c>
      <c r="W212" s="155">
        <f>0</f>
        <v>0</v>
      </c>
      <c r="X212" s="155">
        <f>0</f>
        <v>0</v>
      </c>
      <c r="Y212" s="155">
        <f>0</f>
        <v>0</v>
      </c>
      <c r="Z212" s="155">
        <f>0</f>
        <v>0</v>
      </c>
      <c r="AA212" s="155">
        <f>0</f>
        <v>0</v>
      </c>
      <c r="AB212" s="155">
        <f>0</f>
        <v>0</v>
      </c>
      <c r="AC212" s="155">
        <f>0</f>
        <v>0</v>
      </c>
      <c r="AD212" s="155">
        <f>0</f>
        <v>0</v>
      </c>
      <c r="AE212" s="155">
        <f>0</f>
        <v>0</v>
      </c>
      <c r="AF212" s="155">
        <f>0</f>
        <v>0</v>
      </c>
      <c r="AG212" s="155">
        <f>0</f>
        <v>0</v>
      </c>
      <c r="AH212" s="155">
        <f>0</f>
        <v>0</v>
      </c>
      <c r="AI212" s="155">
        <f>0</f>
        <v>0</v>
      </c>
      <c r="AJ212" s="155">
        <f>0</f>
        <v>0</v>
      </c>
      <c r="AK212" s="155">
        <f>0</f>
        <v>0</v>
      </c>
      <c r="AL212" s="219">
        <f t="shared" si="12"/>
        <v>1</v>
      </c>
      <c r="AM212" s="103">
        <f>0</f>
        <v>0</v>
      </c>
      <c r="AN212" s="220">
        <f t="shared" si="13"/>
        <v>1</v>
      </c>
      <c r="AO212" s="290">
        <v>45034</v>
      </c>
      <c r="AP212" s="291" t="s">
        <v>192</v>
      </c>
      <c r="AQ212" s="292" t="s">
        <v>1520</v>
      </c>
      <c r="AR212" s="293" t="s">
        <v>197</v>
      </c>
      <c r="AS212" s="321"/>
      <c r="AT212" s="318"/>
      <c r="AU212" s="318">
        <v>1</v>
      </c>
      <c r="AV212" s="317">
        <f t="shared" si="14"/>
        <v>0</v>
      </c>
      <c r="AW212" s="318" t="s">
        <v>195</v>
      </c>
      <c r="AX212" s="319"/>
      <c r="AY212" s="319"/>
      <c r="AZ212" s="320"/>
      <c r="BA212" s="174"/>
      <c r="BB212" s="174"/>
      <c r="BC212" s="174"/>
    </row>
    <row r="213" spans="1:55" ht="28" customHeight="1">
      <c r="A213" s="195">
        <v>209</v>
      </c>
      <c r="B213" s="315">
        <v>45021</v>
      </c>
      <c r="C213" s="222" t="s">
        <v>198</v>
      </c>
      <c r="D213" s="222" t="s">
        <v>199</v>
      </c>
      <c r="E213" s="222" t="s">
        <v>200</v>
      </c>
      <c r="F213" s="371" t="s">
        <v>123</v>
      </c>
      <c r="G213" s="309" t="s">
        <v>745</v>
      </c>
      <c r="H213" s="310" t="s">
        <v>129</v>
      </c>
      <c r="I213" s="311" t="s">
        <v>746</v>
      </c>
      <c r="J213" s="312" t="s">
        <v>747</v>
      </c>
      <c r="K213" s="328" t="s">
        <v>201</v>
      </c>
      <c r="L213" s="311" t="s">
        <v>744</v>
      </c>
      <c r="M213" s="311" t="s">
        <v>156</v>
      </c>
      <c r="N213" s="311"/>
      <c r="O213" s="313" t="s">
        <v>204</v>
      </c>
      <c r="P213" s="311"/>
      <c r="Q213" s="313" t="s">
        <v>548</v>
      </c>
      <c r="R213" s="270">
        <v>1</v>
      </c>
      <c r="S213" s="156">
        <f>0</f>
        <v>0</v>
      </c>
      <c r="T213" s="155">
        <f>0</f>
        <v>0</v>
      </c>
      <c r="U213" s="156">
        <f>0</f>
        <v>0</v>
      </c>
      <c r="V213" s="155">
        <f>0</f>
        <v>0</v>
      </c>
      <c r="W213" s="155">
        <f>0</f>
        <v>0</v>
      </c>
      <c r="X213" s="155">
        <f>0</f>
        <v>0</v>
      </c>
      <c r="Y213" s="155">
        <f>0</f>
        <v>0</v>
      </c>
      <c r="Z213" s="155">
        <f>0</f>
        <v>0</v>
      </c>
      <c r="AA213" s="155">
        <f>0</f>
        <v>0</v>
      </c>
      <c r="AB213" s="155">
        <f>0</f>
        <v>0</v>
      </c>
      <c r="AC213" s="155">
        <f>0</f>
        <v>0</v>
      </c>
      <c r="AD213" s="155">
        <f>0</f>
        <v>0</v>
      </c>
      <c r="AE213" s="155">
        <f>0</f>
        <v>0</v>
      </c>
      <c r="AF213" s="155">
        <f>0</f>
        <v>0</v>
      </c>
      <c r="AG213" s="155">
        <f>0</f>
        <v>0</v>
      </c>
      <c r="AH213" s="155">
        <f>0</f>
        <v>0</v>
      </c>
      <c r="AI213" s="155">
        <f>0</f>
        <v>0</v>
      </c>
      <c r="AJ213" s="155">
        <f>0</f>
        <v>0</v>
      </c>
      <c r="AK213" s="155">
        <f>0</f>
        <v>0</v>
      </c>
      <c r="AL213" s="219">
        <f t="shared" si="12"/>
        <v>1</v>
      </c>
      <c r="AM213" s="103">
        <f>0</f>
        <v>0</v>
      </c>
      <c r="AN213" s="220">
        <f t="shared" si="13"/>
        <v>1</v>
      </c>
      <c r="AO213" s="290">
        <v>45034</v>
      </c>
      <c r="AP213" s="291" t="s">
        <v>192</v>
      </c>
      <c r="AQ213" s="292" t="s">
        <v>1520</v>
      </c>
      <c r="AR213" s="293" t="s">
        <v>197</v>
      </c>
      <c r="AS213" s="321"/>
      <c r="AT213" s="318"/>
      <c r="AU213" s="318">
        <v>1</v>
      </c>
      <c r="AV213" s="317">
        <f t="shared" si="14"/>
        <v>0</v>
      </c>
      <c r="AW213" s="318" t="s">
        <v>195</v>
      </c>
      <c r="AX213" s="319"/>
      <c r="AY213" s="319"/>
      <c r="AZ213" s="320"/>
      <c r="BA213" s="174"/>
      <c r="BB213" s="174"/>
      <c r="BC213" s="174"/>
    </row>
    <row r="214" spans="1:55" ht="27.75" customHeight="1">
      <c r="A214" s="195">
        <v>210</v>
      </c>
      <c r="B214" s="315">
        <v>45021</v>
      </c>
      <c r="C214" s="222" t="s">
        <v>198</v>
      </c>
      <c r="D214" s="222" t="s">
        <v>199</v>
      </c>
      <c r="E214" s="222" t="s">
        <v>200</v>
      </c>
      <c r="F214" s="371" t="s">
        <v>123</v>
      </c>
      <c r="G214" s="309" t="s">
        <v>748</v>
      </c>
      <c r="H214" s="310" t="s">
        <v>129</v>
      </c>
      <c r="I214" s="311" t="s">
        <v>749</v>
      </c>
      <c r="J214" s="312" t="s">
        <v>750</v>
      </c>
      <c r="K214" s="328" t="s">
        <v>201</v>
      </c>
      <c r="L214" s="311" t="s">
        <v>744</v>
      </c>
      <c r="M214" s="311" t="s">
        <v>156</v>
      </c>
      <c r="N214" s="311"/>
      <c r="O214" s="313" t="s">
        <v>204</v>
      </c>
      <c r="P214" s="311"/>
      <c r="Q214" s="313" t="s">
        <v>548</v>
      </c>
      <c r="R214" s="270">
        <v>1</v>
      </c>
      <c r="S214" s="155">
        <f>0</f>
        <v>0</v>
      </c>
      <c r="T214" s="155">
        <f>0</f>
        <v>0</v>
      </c>
      <c r="U214" s="158">
        <f>0</f>
        <v>0</v>
      </c>
      <c r="V214" s="155">
        <f>0</f>
        <v>0</v>
      </c>
      <c r="W214" s="155">
        <f>0</f>
        <v>0</v>
      </c>
      <c r="X214" s="155">
        <f>0</f>
        <v>0</v>
      </c>
      <c r="Y214" s="155">
        <f>0</f>
        <v>0</v>
      </c>
      <c r="Z214" s="155">
        <f>0</f>
        <v>0</v>
      </c>
      <c r="AA214" s="155">
        <f>0</f>
        <v>0</v>
      </c>
      <c r="AB214" s="155">
        <f>0</f>
        <v>0</v>
      </c>
      <c r="AC214" s="155">
        <f>0</f>
        <v>0</v>
      </c>
      <c r="AD214" s="155">
        <f>0</f>
        <v>0</v>
      </c>
      <c r="AE214" s="155">
        <f>0</f>
        <v>0</v>
      </c>
      <c r="AF214" s="155">
        <f>0</f>
        <v>0</v>
      </c>
      <c r="AG214" s="155">
        <f>0</f>
        <v>0</v>
      </c>
      <c r="AH214" s="155">
        <f>0</f>
        <v>0</v>
      </c>
      <c r="AI214" s="155">
        <f>0</f>
        <v>0</v>
      </c>
      <c r="AJ214" s="155">
        <f>0</f>
        <v>0</v>
      </c>
      <c r="AK214" s="155">
        <f>0</f>
        <v>0</v>
      </c>
      <c r="AL214" s="219">
        <f t="shared" si="12"/>
        <v>1</v>
      </c>
      <c r="AM214" s="103">
        <f>0</f>
        <v>0</v>
      </c>
      <c r="AN214" s="220">
        <f t="shared" si="13"/>
        <v>1</v>
      </c>
      <c r="AO214" s="290">
        <v>45034</v>
      </c>
      <c r="AP214" s="291" t="s">
        <v>192</v>
      </c>
      <c r="AQ214" s="292" t="s">
        <v>1520</v>
      </c>
      <c r="AR214" s="293" t="s">
        <v>197</v>
      </c>
      <c r="AS214" s="321"/>
      <c r="AT214" s="318"/>
      <c r="AU214" s="318">
        <v>1</v>
      </c>
      <c r="AV214" s="317">
        <f t="shared" si="14"/>
        <v>0</v>
      </c>
      <c r="AW214" s="318" t="s">
        <v>195</v>
      </c>
      <c r="AX214" s="319"/>
      <c r="AY214" s="319"/>
      <c r="AZ214" s="320"/>
      <c r="BA214" s="174"/>
      <c r="BB214" s="174"/>
      <c r="BC214" s="174"/>
    </row>
    <row r="215" spans="1:55" ht="28" customHeight="1">
      <c r="A215" s="195">
        <v>211</v>
      </c>
      <c r="B215" s="315">
        <v>45021</v>
      </c>
      <c r="C215" s="222" t="s">
        <v>198</v>
      </c>
      <c r="D215" s="222" t="s">
        <v>199</v>
      </c>
      <c r="E215" s="222" t="s">
        <v>200</v>
      </c>
      <c r="F215" s="371" t="s">
        <v>123</v>
      </c>
      <c r="G215" s="309" t="s">
        <v>751</v>
      </c>
      <c r="H215" s="310" t="s">
        <v>129</v>
      </c>
      <c r="I215" s="311" t="s">
        <v>752</v>
      </c>
      <c r="J215" s="312" t="s">
        <v>753</v>
      </c>
      <c r="K215" s="328" t="s">
        <v>201</v>
      </c>
      <c r="L215" s="311" t="s">
        <v>744</v>
      </c>
      <c r="M215" s="311" t="s">
        <v>156</v>
      </c>
      <c r="N215" s="311"/>
      <c r="O215" s="313" t="s">
        <v>204</v>
      </c>
      <c r="P215" s="311"/>
      <c r="Q215" s="313" t="s">
        <v>548</v>
      </c>
      <c r="R215" s="270">
        <v>1</v>
      </c>
      <c r="S215" s="155">
        <f>0</f>
        <v>0</v>
      </c>
      <c r="T215" s="155">
        <f>0</f>
        <v>0</v>
      </c>
      <c r="U215" s="156">
        <f>0</f>
        <v>0</v>
      </c>
      <c r="V215" s="155">
        <f>0</f>
        <v>0</v>
      </c>
      <c r="W215" s="155">
        <f>0</f>
        <v>0</v>
      </c>
      <c r="X215" s="155">
        <f>0</f>
        <v>0</v>
      </c>
      <c r="Y215" s="155">
        <f>0</f>
        <v>0</v>
      </c>
      <c r="Z215" s="155">
        <f>0</f>
        <v>0</v>
      </c>
      <c r="AA215" s="155">
        <f>0</f>
        <v>0</v>
      </c>
      <c r="AB215" s="155">
        <f>0</f>
        <v>0</v>
      </c>
      <c r="AC215" s="155">
        <f>0</f>
        <v>0</v>
      </c>
      <c r="AD215" s="155">
        <f>0</f>
        <v>0</v>
      </c>
      <c r="AE215" s="155">
        <f>0</f>
        <v>0</v>
      </c>
      <c r="AF215" s="155">
        <f>0</f>
        <v>0</v>
      </c>
      <c r="AG215" s="155">
        <f>0</f>
        <v>0</v>
      </c>
      <c r="AH215" s="155">
        <f>0</f>
        <v>0</v>
      </c>
      <c r="AI215" s="155">
        <f>0</f>
        <v>0</v>
      </c>
      <c r="AJ215" s="155">
        <f>0</f>
        <v>0</v>
      </c>
      <c r="AK215" s="155">
        <f>0</f>
        <v>0</v>
      </c>
      <c r="AL215" s="219">
        <f t="shared" si="12"/>
        <v>1</v>
      </c>
      <c r="AM215" s="103">
        <f>0</f>
        <v>0</v>
      </c>
      <c r="AN215" s="220">
        <f t="shared" si="13"/>
        <v>1</v>
      </c>
      <c r="AO215" s="290">
        <v>45034</v>
      </c>
      <c r="AP215" s="291" t="s">
        <v>192</v>
      </c>
      <c r="AQ215" s="292" t="s">
        <v>1520</v>
      </c>
      <c r="AR215" s="293" t="s">
        <v>197</v>
      </c>
      <c r="AS215" s="321"/>
      <c r="AT215" s="318"/>
      <c r="AU215" s="318">
        <v>1</v>
      </c>
      <c r="AV215" s="317">
        <f t="shared" si="14"/>
        <v>0</v>
      </c>
      <c r="AW215" s="318" t="s">
        <v>195</v>
      </c>
      <c r="AX215" s="319"/>
      <c r="AY215" s="319"/>
      <c r="AZ215" s="320"/>
      <c r="BA215" s="174"/>
      <c r="BB215" s="174"/>
      <c r="BC215" s="174"/>
    </row>
    <row r="216" spans="1:55" ht="28" customHeight="1">
      <c r="A216" s="195">
        <v>212</v>
      </c>
      <c r="B216" s="315">
        <v>45021</v>
      </c>
      <c r="C216" s="222" t="s">
        <v>198</v>
      </c>
      <c r="D216" s="222" t="s">
        <v>199</v>
      </c>
      <c r="E216" s="222" t="s">
        <v>200</v>
      </c>
      <c r="F216" s="371" t="s">
        <v>123</v>
      </c>
      <c r="G216" s="309" t="s">
        <v>754</v>
      </c>
      <c r="H216" s="310" t="s">
        <v>129</v>
      </c>
      <c r="I216" s="311" t="s">
        <v>755</v>
      </c>
      <c r="J216" s="312" t="s">
        <v>756</v>
      </c>
      <c r="K216" s="328" t="s">
        <v>201</v>
      </c>
      <c r="L216" s="311" t="s">
        <v>744</v>
      </c>
      <c r="M216" s="311" t="s">
        <v>156</v>
      </c>
      <c r="N216" s="311"/>
      <c r="O216" s="313" t="s">
        <v>204</v>
      </c>
      <c r="P216" s="311"/>
      <c r="Q216" s="313" t="s">
        <v>548</v>
      </c>
      <c r="R216" s="270">
        <v>1</v>
      </c>
      <c r="S216" s="156">
        <f>0</f>
        <v>0</v>
      </c>
      <c r="T216" s="155">
        <f>0</f>
        <v>0</v>
      </c>
      <c r="U216" s="156">
        <f>0</f>
        <v>0</v>
      </c>
      <c r="V216" s="155">
        <f>0</f>
        <v>0</v>
      </c>
      <c r="W216" s="155">
        <f>0</f>
        <v>0</v>
      </c>
      <c r="X216" s="155">
        <f>0</f>
        <v>0</v>
      </c>
      <c r="Y216" s="155">
        <f>0</f>
        <v>0</v>
      </c>
      <c r="Z216" s="155">
        <f>0</f>
        <v>0</v>
      </c>
      <c r="AA216" s="155">
        <f>0</f>
        <v>0</v>
      </c>
      <c r="AB216" s="155">
        <f>0</f>
        <v>0</v>
      </c>
      <c r="AC216" s="155">
        <f>0</f>
        <v>0</v>
      </c>
      <c r="AD216" s="155">
        <f>0</f>
        <v>0</v>
      </c>
      <c r="AE216" s="155">
        <f>0</f>
        <v>0</v>
      </c>
      <c r="AF216" s="155">
        <f>0</f>
        <v>0</v>
      </c>
      <c r="AG216" s="155">
        <f>0</f>
        <v>0</v>
      </c>
      <c r="AH216" s="155">
        <f>0</f>
        <v>0</v>
      </c>
      <c r="AI216" s="155">
        <f>0</f>
        <v>0</v>
      </c>
      <c r="AJ216" s="155">
        <f>0</f>
        <v>0</v>
      </c>
      <c r="AK216" s="155">
        <f>0</f>
        <v>0</v>
      </c>
      <c r="AL216" s="219">
        <f t="shared" si="12"/>
        <v>1</v>
      </c>
      <c r="AM216" s="103">
        <f>0</f>
        <v>0</v>
      </c>
      <c r="AN216" s="220">
        <f t="shared" si="13"/>
        <v>1</v>
      </c>
      <c r="AO216" s="290">
        <v>45034</v>
      </c>
      <c r="AP216" s="291" t="s">
        <v>192</v>
      </c>
      <c r="AQ216" s="292" t="s">
        <v>1520</v>
      </c>
      <c r="AR216" s="293" t="s">
        <v>197</v>
      </c>
      <c r="AS216" s="321"/>
      <c r="AT216" s="318"/>
      <c r="AU216" s="318"/>
      <c r="AV216" s="317">
        <f t="shared" si="14"/>
        <v>1</v>
      </c>
      <c r="AW216" s="318"/>
      <c r="AX216" s="319"/>
      <c r="AY216" s="319"/>
      <c r="AZ216" s="341"/>
      <c r="BA216" s="174"/>
      <c r="BB216" s="174"/>
      <c r="BC216" s="174"/>
    </row>
    <row r="217" spans="1:55" ht="28" customHeight="1">
      <c r="A217" s="195">
        <v>213</v>
      </c>
      <c r="B217" s="315">
        <v>45021</v>
      </c>
      <c r="C217" s="222" t="s">
        <v>198</v>
      </c>
      <c r="D217" s="222" t="s">
        <v>199</v>
      </c>
      <c r="E217" s="222" t="s">
        <v>200</v>
      </c>
      <c r="F217" s="371" t="s">
        <v>123</v>
      </c>
      <c r="G217" s="309" t="s">
        <v>758</v>
      </c>
      <c r="H217" s="310" t="s">
        <v>129</v>
      </c>
      <c r="I217" s="311" t="s">
        <v>726</v>
      </c>
      <c r="J217" s="312" t="s">
        <v>757</v>
      </c>
      <c r="K217" s="328" t="s">
        <v>201</v>
      </c>
      <c r="L217" s="311" t="s">
        <v>728</v>
      </c>
      <c r="M217" s="311" t="s">
        <v>147</v>
      </c>
      <c r="N217" s="311" t="s">
        <v>697</v>
      </c>
      <c r="O217" s="313" t="s">
        <v>97</v>
      </c>
      <c r="P217" s="311"/>
      <c r="Q217" s="313" t="s">
        <v>726</v>
      </c>
      <c r="R217" s="154">
        <v>0</v>
      </c>
      <c r="S217" s="155">
        <f>0</f>
        <v>0</v>
      </c>
      <c r="T217" s="155">
        <f>0</f>
        <v>0</v>
      </c>
      <c r="U217" s="283">
        <v>4</v>
      </c>
      <c r="V217" s="155">
        <f>0</f>
        <v>0</v>
      </c>
      <c r="W217" s="155">
        <f>0</f>
        <v>0</v>
      </c>
      <c r="X217" s="155">
        <f>0</f>
        <v>0</v>
      </c>
      <c r="Y217" s="155">
        <f>0</f>
        <v>0</v>
      </c>
      <c r="Z217" s="155">
        <f>0</f>
        <v>0</v>
      </c>
      <c r="AA217" s="155">
        <f>0</f>
        <v>0</v>
      </c>
      <c r="AB217" s="155">
        <f>0</f>
        <v>0</v>
      </c>
      <c r="AC217" s="155">
        <f>0</f>
        <v>0</v>
      </c>
      <c r="AD217" s="155">
        <f>0</f>
        <v>0</v>
      </c>
      <c r="AE217" s="155">
        <f>0</f>
        <v>0</v>
      </c>
      <c r="AF217" s="155">
        <f>0</f>
        <v>0</v>
      </c>
      <c r="AG217" s="155">
        <f>0</f>
        <v>0</v>
      </c>
      <c r="AH217" s="155">
        <f>0</f>
        <v>0</v>
      </c>
      <c r="AI217" s="155">
        <f>0</f>
        <v>0</v>
      </c>
      <c r="AJ217" s="155">
        <f>0</f>
        <v>0</v>
      </c>
      <c r="AK217" s="155">
        <f>0</f>
        <v>0</v>
      </c>
      <c r="AL217" s="219">
        <f t="shared" si="12"/>
        <v>4</v>
      </c>
      <c r="AM217" s="103">
        <f>0</f>
        <v>0</v>
      </c>
      <c r="AN217" s="220">
        <f t="shared" si="13"/>
        <v>4</v>
      </c>
      <c r="AO217" s="331">
        <v>45045</v>
      </c>
      <c r="AP217" s="372" t="s">
        <v>192</v>
      </c>
      <c r="AQ217" s="340" t="s">
        <v>1539</v>
      </c>
      <c r="AR217" s="332" t="s">
        <v>194</v>
      </c>
      <c r="AS217" s="367"/>
      <c r="AT217" s="318"/>
      <c r="AU217" s="318"/>
      <c r="AV217" s="317">
        <f t="shared" si="14"/>
        <v>4</v>
      </c>
      <c r="AW217" s="318" t="s">
        <v>195</v>
      </c>
      <c r="AX217" s="319"/>
      <c r="AY217" s="319"/>
      <c r="AZ217" s="341"/>
      <c r="BA217" s="174"/>
      <c r="BB217" s="174"/>
      <c r="BC217" s="174"/>
    </row>
    <row r="218" spans="1:55" ht="27.75" customHeight="1">
      <c r="A218" s="195">
        <v>214</v>
      </c>
      <c r="B218" s="315">
        <v>45021</v>
      </c>
      <c r="C218" s="222" t="s">
        <v>198</v>
      </c>
      <c r="D218" s="222" t="s">
        <v>199</v>
      </c>
      <c r="E218" s="222" t="s">
        <v>200</v>
      </c>
      <c r="F218" s="349" t="s">
        <v>123</v>
      </c>
      <c r="G218" s="309" t="s">
        <v>759</v>
      </c>
      <c r="H218" s="310" t="s">
        <v>129</v>
      </c>
      <c r="I218" s="311" t="s">
        <v>760</v>
      </c>
      <c r="J218" s="312" t="s">
        <v>761</v>
      </c>
      <c r="K218" s="273" t="s">
        <v>176</v>
      </c>
      <c r="L218" s="311" t="s">
        <v>176</v>
      </c>
      <c r="M218" s="311" t="s">
        <v>279</v>
      </c>
      <c r="N218" s="342" t="s">
        <v>201</v>
      </c>
      <c r="O218" s="311" t="s">
        <v>587</v>
      </c>
      <c r="P218" s="311" t="s">
        <v>104</v>
      </c>
      <c r="Q218" s="313" t="s">
        <v>763</v>
      </c>
      <c r="R218" s="154">
        <f>0</f>
        <v>0</v>
      </c>
      <c r="S218" s="155">
        <f>0</f>
        <v>0</v>
      </c>
      <c r="T218" s="155">
        <f>0</f>
        <v>0</v>
      </c>
      <c r="U218" s="282">
        <v>1</v>
      </c>
      <c r="V218" s="155">
        <f>0</f>
        <v>0</v>
      </c>
      <c r="W218" s="155">
        <f>0</f>
        <v>0</v>
      </c>
      <c r="X218" s="155">
        <f>0</f>
        <v>0</v>
      </c>
      <c r="Y218" s="155">
        <f>0</f>
        <v>0</v>
      </c>
      <c r="Z218" s="155">
        <f>0</f>
        <v>0</v>
      </c>
      <c r="AA218" s="155">
        <f>0</f>
        <v>0</v>
      </c>
      <c r="AB218" s="155">
        <f>0</f>
        <v>0</v>
      </c>
      <c r="AC218" s="155">
        <f>0</f>
        <v>0</v>
      </c>
      <c r="AD218" s="155">
        <f>0</f>
        <v>0</v>
      </c>
      <c r="AE218" s="155">
        <f>0</f>
        <v>0</v>
      </c>
      <c r="AF218" s="155">
        <f>0</f>
        <v>0</v>
      </c>
      <c r="AG218" s="155">
        <f>0</f>
        <v>0</v>
      </c>
      <c r="AH218" s="155">
        <f>0</f>
        <v>0</v>
      </c>
      <c r="AI218" s="155">
        <f>0</f>
        <v>0</v>
      </c>
      <c r="AJ218" s="155">
        <f>0</f>
        <v>0</v>
      </c>
      <c r="AK218" s="155">
        <f>0</f>
        <v>0</v>
      </c>
      <c r="AL218" s="219">
        <f t="shared" si="12"/>
        <v>1</v>
      </c>
      <c r="AM218" s="103">
        <f>0</f>
        <v>0</v>
      </c>
      <c r="AN218" s="220">
        <f t="shared" si="13"/>
        <v>1</v>
      </c>
      <c r="AO218" s="348">
        <v>45034</v>
      </c>
      <c r="AP218" s="296" t="s">
        <v>192</v>
      </c>
      <c r="AQ218" s="292" t="s">
        <v>1522</v>
      </c>
      <c r="AR218" s="350" t="s">
        <v>194</v>
      </c>
      <c r="AS218" s="301">
        <v>45078</v>
      </c>
      <c r="AT218" s="318"/>
      <c r="AU218" s="318"/>
      <c r="AV218" s="317">
        <f t="shared" si="14"/>
        <v>1</v>
      </c>
      <c r="AW218" s="318" t="s">
        <v>104</v>
      </c>
      <c r="AX218" s="319"/>
      <c r="AY218" s="319"/>
      <c r="AZ218" s="341"/>
      <c r="BA218" s="174"/>
      <c r="BB218" s="174"/>
      <c r="BC218" s="174"/>
    </row>
    <row r="219" spans="1:55" ht="28" customHeight="1">
      <c r="A219" s="195">
        <v>215</v>
      </c>
      <c r="B219" s="315">
        <v>45021</v>
      </c>
      <c r="C219" s="322"/>
      <c r="D219" s="322"/>
      <c r="E219" s="322"/>
      <c r="F219" s="371" t="s">
        <v>123</v>
      </c>
      <c r="G219" s="309" t="s">
        <v>759</v>
      </c>
      <c r="H219" s="310" t="s">
        <v>129</v>
      </c>
      <c r="I219" s="311" t="s">
        <v>760</v>
      </c>
      <c r="J219" s="312" t="s">
        <v>762</v>
      </c>
      <c r="K219" s="328" t="s">
        <v>176</v>
      </c>
      <c r="L219" s="311" t="s">
        <v>176</v>
      </c>
      <c r="M219" s="311" t="s">
        <v>279</v>
      </c>
      <c r="N219" s="311"/>
      <c r="O219" s="313" t="s">
        <v>587</v>
      </c>
      <c r="P219" s="311" t="s">
        <v>104</v>
      </c>
      <c r="Q219" s="313" t="s">
        <v>763</v>
      </c>
      <c r="R219" s="154">
        <v>0</v>
      </c>
      <c r="S219" s="155">
        <f>0</f>
        <v>0</v>
      </c>
      <c r="T219" s="155">
        <f>0</f>
        <v>0</v>
      </c>
      <c r="U219" s="283">
        <v>1</v>
      </c>
      <c r="V219" s="155">
        <f>0</f>
        <v>0</v>
      </c>
      <c r="W219" s="155">
        <f>0</f>
        <v>0</v>
      </c>
      <c r="X219" s="155">
        <f>0</f>
        <v>0</v>
      </c>
      <c r="Y219" s="155">
        <f>0</f>
        <v>0</v>
      </c>
      <c r="Z219" s="155">
        <f>0</f>
        <v>0</v>
      </c>
      <c r="AA219" s="155">
        <f>0</f>
        <v>0</v>
      </c>
      <c r="AB219" s="155">
        <f>0</f>
        <v>0</v>
      </c>
      <c r="AC219" s="155">
        <f>0</f>
        <v>0</v>
      </c>
      <c r="AD219" s="155">
        <f>0</f>
        <v>0</v>
      </c>
      <c r="AE219" s="155">
        <f>0</f>
        <v>0</v>
      </c>
      <c r="AF219" s="155">
        <f>0</f>
        <v>0</v>
      </c>
      <c r="AG219" s="155">
        <f>0</f>
        <v>0</v>
      </c>
      <c r="AH219" s="155">
        <f>0</f>
        <v>0</v>
      </c>
      <c r="AI219" s="155">
        <f>0</f>
        <v>0</v>
      </c>
      <c r="AJ219" s="155">
        <f>0</f>
        <v>0</v>
      </c>
      <c r="AK219" s="155">
        <f>0</f>
        <v>0</v>
      </c>
      <c r="AL219" s="219">
        <f t="shared" si="12"/>
        <v>1</v>
      </c>
      <c r="AM219" s="103">
        <f>0</f>
        <v>0</v>
      </c>
      <c r="AN219" s="220">
        <f t="shared" si="13"/>
        <v>1</v>
      </c>
      <c r="AO219" s="348">
        <v>45034</v>
      </c>
      <c r="AP219" s="296" t="s">
        <v>192</v>
      </c>
      <c r="AQ219" s="292" t="s">
        <v>1522</v>
      </c>
      <c r="AR219" s="350" t="s">
        <v>194</v>
      </c>
      <c r="AS219" s="301">
        <v>45078</v>
      </c>
      <c r="AT219" s="318"/>
      <c r="AU219" s="318"/>
      <c r="AV219" s="317">
        <f t="shared" si="14"/>
        <v>1</v>
      </c>
      <c r="AW219" s="318" t="s">
        <v>104</v>
      </c>
      <c r="AX219" s="319"/>
      <c r="AY219" s="319"/>
      <c r="AZ219" s="341"/>
      <c r="BA219" s="174"/>
      <c r="BB219" s="174"/>
      <c r="BC219" s="174"/>
    </row>
    <row r="220" spans="1:55" ht="27.75" customHeight="1">
      <c r="A220" s="195">
        <v>216</v>
      </c>
      <c r="B220" s="315">
        <v>45021</v>
      </c>
      <c r="C220" s="222" t="s">
        <v>198</v>
      </c>
      <c r="D220" s="222" t="s">
        <v>199</v>
      </c>
      <c r="E220" s="222" t="s">
        <v>200</v>
      </c>
      <c r="F220" s="349" t="s">
        <v>123</v>
      </c>
      <c r="G220" s="309" t="s">
        <v>765</v>
      </c>
      <c r="H220" s="310" t="s">
        <v>129</v>
      </c>
      <c r="I220" s="311" t="s">
        <v>646</v>
      </c>
      <c r="J220" s="312" t="s">
        <v>764</v>
      </c>
      <c r="K220" s="273"/>
      <c r="L220" s="311" t="s">
        <v>744</v>
      </c>
      <c r="M220" s="311" t="s">
        <v>156</v>
      </c>
      <c r="N220" s="342" t="s">
        <v>201</v>
      </c>
      <c r="O220" s="311" t="s">
        <v>204</v>
      </c>
      <c r="P220" s="311"/>
      <c r="Q220" s="313" t="s">
        <v>548</v>
      </c>
      <c r="R220" s="270">
        <v>1</v>
      </c>
      <c r="S220" s="155">
        <f>0</f>
        <v>0</v>
      </c>
      <c r="T220" s="155">
        <f>0</f>
        <v>0</v>
      </c>
      <c r="U220" s="155">
        <f>0</f>
        <v>0</v>
      </c>
      <c r="V220" s="155">
        <f>0</f>
        <v>0</v>
      </c>
      <c r="W220" s="155">
        <f>0</f>
        <v>0</v>
      </c>
      <c r="X220" s="155">
        <f>0</f>
        <v>0</v>
      </c>
      <c r="Y220" s="155">
        <f>0</f>
        <v>0</v>
      </c>
      <c r="Z220" s="155">
        <f>0</f>
        <v>0</v>
      </c>
      <c r="AA220" s="155">
        <f>0</f>
        <v>0</v>
      </c>
      <c r="AB220" s="155">
        <f>0</f>
        <v>0</v>
      </c>
      <c r="AC220" s="155">
        <f>0</f>
        <v>0</v>
      </c>
      <c r="AD220" s="155">
        <f>0</f>
        <v>0</v>
      </c>
      <c r="AE220" s="155">
        <f>0</f>
        <v>0</v>
      </c>
      <c r="AF220" s="155">
        <f>0</f>
        <v>0</v>
      </c>
      <c r="AG220" s="155">
        <f>0</f>
        <v>0</v>
      </c>
      <c r="AH220" s="155">
        <f>0</f>
        <v>0</v>
      </c>
      <c r="AI220" s="155">
        <f>0</f>
        <v>0</v>
      </c>
      <c r="AJ220" s="155">
        <f>0</f>
        <v>0</v>
      </c>
      <c r="AK220" s="155">
        <f>0</f>
        <v>0</v>
      </c>
      <c r="AL220" s="219">
        <f t="shared" si="12"/>
        <v>1</v>
      </c>
      <c r="AM220" s="103">
        <f>0</f>
        <v>0</v>
      </c>
      <c r="AN220" s="220">
        <f t="shared" si="13"/>
        <v>1</v>
      </c>
      <c r="AO220" s="290">
        <v>45034</v>
      </c>
      <c r="AP220" s="291" t="s">
        <v>192</v>
      </c>
      <c r="AQ220" s="292" t="s">
        <v>1520</v>
      </c>
      <c r="AR220" s="293" t="s">
        <v>197</v>
      </c>
      <c r="AS220" s="367"/>
      <c r="AT220" s="318"/>
      <c r="AU220" s="318"/>
      <c r="AV220" s="317">
        <f t="shared" si="14"/>
        <v>1</v>
      </c>
      <c r="AW220" s="318" t="s">
        <v>195</v>
      </c>
      <c r="AX220" s="319"/>
      <c r="AY220" s="319"/>
      <c r="AZ220" s="341"/>
      <c r="BA220" s="174"/>
      <c r="BB220" s="174"/>
      <c r="BC220" s="174"/>
    </row>
    <row r="221" spans="1:55" ht="28" customHeight="1">
      <c r="A221" s="195">
        <v>217</v>
      </c>
      <c r="B221" s="315">
        <v>45027</v>
      </c>
      <c r="C221" s="222" t="s">
        <v>198</v>
      </c>
      <c r="D221" s="222" t="s">
        <v>199</v>
      </c>
      <c r="E221" s="222" t="s">
        <v>200</v>
      </c>
      <c r="F221" s="371" t="s">
        <v>123</v>
      </c>
      <c r="G221" s="309" t="s">
        <v>767</v>
      </c>
      <c r="H221" s="310" t="s">
        <v>129</v>
      </c>
      <c r="I221" s="311" t="s">
        <v>800</v>
      </c>
      <c r="J221" s="312" t="s">
        <v>799</v>
      </c>
      <c r="K221" s="328" t="s">
        <v>97</v>
      </c>
      <c r="L221" s="311" t="s">
        <v>159</v>
      </c>
      <c r="M221" s="311" t="s">
        <v>156</v>
      </c>
      <c r="N221" s="311" t="s">
        <v>97</v>
      </c>
      <c r="O221" s="313" t="s">
        <v>204</v>
      </c>
      <c r="P221" s="311"/>
      <c r="Q221" s="313" t="s">
        <v>548</v>
      </c>
      <c r="R221" s="270">
        <v>2</v>
      </c>
      <c r="S221" s="155">
        <f>0</f>
        <v>0</v>
      </c>
      <c r="T221" s="155">
        <f>0</f>
        <v>0</v>
      </c>
      <c r="U221" s="155">
        <f>0</f>
        <v>0</v>
      </c>
      <c r="V221" s="155">
        <f>0</f>
        <v>0</v>
      </c>
      <c r="W221" s="155">
        <f>0</f>
        <v>0</v>
      </c>
      <c r="X221" s="155">
        <f>0</f>
        <v>0</v>
      </c>
      <c r="Y221" s="155">
        <f>0</f>
        <v>0</v>
      </c>
      <c r="Z221" s="155">
        <f>0</f>
        <v>0</v>
      </c>
      <c r="AA221" s="155">
        <f>0</f>
        <v>0</v>
      </c>
      <c r="AB221" s="155">
        <f>0</f>
        <v>0</v>
      </c>
      <c r="AC221" s="155">
        <f>0</f>
        <v>0</v>
      </c>
      <c r="AD221" s="155">
        <f>0</f>
        <v>0</v>
      </c>
      <c r="AE221" s="155">
        <f>0</f>
        <v>0</v>
      </c>
      <c r="AF221" s="155">
        <f>0</f>
        <v>0</v>
      </c>
      <c r="AG221" s="155">
        <f>0</f>
        <v>0</v>
      </c>
      <c r="AH221" s="155">
        <f>0</f>
        <v>0</v>
      </c>
      <c r="AI221" s="155">
        <f>0</f>
        <v>0</v>
      </c>
      <c r="AJ221" s="155">
        <f>0</f>
        <v>0</v>
      </c>
      <c r="AK221" s="155">
        <f>0</f>
        <v>0</v>
      </c>
      <c r="AL221" s="219">
        <f t="shared" si="12"/>
        <v>2</v>
      </c>
      <c r="AM221" s="103">
        <f>0</f>
        <v>0</v>
      </c>
      <c r="AN221" s="220">
        <f t="shared" si="13"/>
        <v>2</v>
      </c>
      <c r="AO221" s="290">
        <v>45034</v>
      </c>
      <c r="AP221" s="291" t="s">
        <v>192</v>
      </c>
      <c r="AQ221" s="292" t="s">
        <v>1520</v>
      </c>
      <c r="AR221" s="293" t="s">
        <v>197</v>
      </c>
      <c r="AS221" s="367"/>
      <c r="AT221" s="318"/>
      <c r="AU221" s="318">
        <v>2</v>
      </c>
      <c r="AV221" s="317">
        <f t="shared" si="14"/>
        <v>0</v>
      </c>
      <c r="AW221" s="318" t="s">
        <v>195</v>
      </c>
      <c r="AX221" s="319"/>
      <c r="AY221" s="319"/>
      <c r="AZ221" s="341"/>
      <c r="BA221" s="174"/>
      <c r="BB221" s="174"/>
      <c r="BC221" s="174"/>
    </row>
    <row r="222" spans="1:55" ht="27.75" customHeight="1">
      <c r="A222" s="195">
        <v>218</v>
      </c>
      <c r="B222" s="315">
        <v>45027</v>
      </c>
      <c r="C222" s="222" t="s">
        <v>198</v>
      </c>
      <c r="D222" s="222" t="s">
        <v>199</v>
      </c>
      <c r="E222" s="222" t="s">
        <v>200</v>
      </c>
      <c r="F222" s="349" t="s">
        <v>123</v>
      </c>
      <c r="G222" s="309" t="s">
        <v>768</v>
      </c>
      <c r="H222" s="310" t="s">
        <v>129</v>
      </c>
      <c r="I222" s="311" t="s">
        <v>769</v>
      </c>
      <c r="J222" s="312" t="s">
        <v>770</v>
      </c>
      <c r="K222" s="273" t="s">
        <v>97</v>
      </c>
      <c r="L222" s="311" t="s">
        <v>159</v>
      </c>
      <c r="M222" s="311" t="s">
        <v>156</v>
      </c>
      <c r="N222" s="342" t="s">
        <v>97</v>
      </c>
      <c r="O222" s="311" t="s">
        <v>204</v>
      </c>
      <c r="P222" s="311"/>
      <c r="Q222" s="313" t="s">
        <v>548</v>
      </c>
      <c r="R222" s="270">
        <v>2</v>
      </c>
      <c r="S222" s="155">
        <f>0</f>
        <v>0</v>
      </c>
      <c r="T222" s="155">
        <f>0</f>
        <v>0</v>
      </c>
      <c r="U222" s="155">
        <f>0</f>
        <v>0</v>
      </c>
      <c r="V222" s="155">
        <f>0</f>
        <v>0</v>
      </c>
      <c r="W222" s="155">
        <f>0</f>
        <v>0</v>
      </c>
      <c r="X222" s="155">
        <f>0</f>
        <v>0</v>
      </c>
      <c r="Y222" s="155">
        <f>0</f>
        <v>0</v>
      </c>
      <c r="Z222" s="155">
        <f>0</f>
        <v>0</v>
      </c>
      <c r="AA222" s="155">
        <f>0</f>
        <v>0</v>
      </c>
      <c r="AB222" s="155">
        <f>0</f>
        <v>0</v>
      </c>
      <c r="AC222" s="155">
        <f>0</f>
        <v>0</v>
      </c>
      <c r="AD222" s="155">
        <f>0</f>
        <v>0</v>
      </c>
      <c r="AE222" s="155">
        <f>0</f>
        <v>0</v>
      </c>
      <c r="AF222" s="155">
        <f>0</f>
        <v>0</v>
      </c>
      <c r="AG222" s="155">
        <f>0</f>
        <v>0</v>
      </c>
      <c r="AH222" s="155">
        <f>0</f>
        <v>0</v>
      </c>
      <c r="AI222" s="155">
        <f>0</f>
        <v>0</v>
      </c>
      <c r="AJ222" s="155">
        <f>0</f>
        <v>0</v>
      </c>
      <c r="AK222" s="155">
        <f>0</f>
        <v>0</v>
      </c>
      <c r="AL222" s="219">
        <f t="shared" si="12"/>
        <v>2</v>
      </c>
      <c r="AM222" s="103">
        <f>0</f>
        <v>0</v>
      </c>
      <c r="AN222" s="220">
        <f t="shared" si="13"/>
        <v>2</v>
      </c>
      <c r="AO222" s="290">
        <v>45034</v>
      </c>
      <c r="AP222" s="291" t="s">
        <v>192</v>
      </c>
      <c r="AQ222" s="292" t="s">
        <v>1520</v>
      </c>
      <c r="AR222" s="293" t="s">
        <v>197</v>
      </c>
      <c r="AS222" s="367"/>
      <c r="AT222" s="318"/>
      <c r="AU222" s="318">
        <v>2</v>
      </c>
      <c r="AV222" s="317">
        <f t="shared" si="14"/>
        <v>0</v>
      </c>
      <c r="AW222" s="318" t="s">
        <v>195</v>
      </c>
      <c r="AX222" s="319"/>
      <c r="AY222" s="319"/>
      <c r="AZ222" s="341"/>
      <c r="BA222" s="174"/>
      <c r="BB222" s="174"/>
      <c r="BC222" s="174"/>
    </row>
    <row r="223" spans="1:55" ht="28" customHeight="1">
      <c r="A223" s="195">
        <v>219</v>
      </c>
      <c r="B223" s="315">
        <v>45027</v>
      </c>
      <c r="C223" s="222" t="s">
        <v>198</v>
      </c>
      <c r="D223" s="222" t="s">
        <v>199</v>
      </c>
      <c r="E223" s="222" t="s">
        <v>200</v>
      </c>
      <c r="F223" s="371" t="s">
        <v>123</v>
      </c>
      <c r="G223" s="309" t="s">
        <v>771</v>
      </c>
      <c r="H223" s="310" t="s">
        <v>129</v>
      </c>
      <c r="I223" s="311" t="s">
        <v>237</v>
      </c>
      <c r="J223" s="312" t="s">
        <v>772</v>
      </c>
      <c r="K223" s="328" t="s">
        <v>97</v>
      </c>
      <c r="L223" s="311" t="s">
        <v>159</v>
      </c>
      <c r="M223" s="311" t="s">
        <v>156</v>
      </c>
      <c r="N223" s="311" t="s">
        <v>97</v>
      </c>
      <c r="O223" s="313" t="s">
        <v>204</v>
      </c>
      <c r="P223" s="311"/>
      <c r="Q223" s="313" t="s">
        <v>548</v>
      </c>
      <c r="R223" s="270">
        <v>1</v>
      </c>
      <c r="S223" s="155">
        <f>0</f>
        <v>0</v>
      </c>
      <c r="T223" s="155">
        <f>0</f>
        <v>0</v>
      </c>
      <c r="U223" s="155">
        <f>0</f>
        <v>0</v>
      </c>
      <c r="V223" s="155">
        <f>0</f>
        <v>0</v>
      </c>
      <c r="W223" s="155">
        <f>0</f>
        <v>0</v>
      </c>
      <c r="X223" s="155">
        <f>0</f>
        <v>0</v>
      </c>
      <c r="Y223" s="155">
        <f>0</f>
        <v>0</v>
      </c>
      <c r="Z223" s="155">
        <f>0</f>
        <v>0</v>
      </c>
      <c r="AA223" s="155">
        <f>0</f>
        <v>0</v>
      </c>
      <c r="AB223" s="155">
        <f>0</f>
        <v>0</v>
      </c>
      <c r="AC223" s="155">
        <f>0</f>
        <v>0</v>
      </c>
      <c r="AD223" s="155">
        <f>0</f>
        <v>0</v>
      </c>
      <c r="AE223" s="155">
        <f>0</f>
        <v>0</v>
      </c>
      <c r="AF223" s="155">
        <f>0</f>
        <v>0</v>
      </c>
      <c r="AG223" s="155">
        <f>0</f>
        <v>0</v>
      </c>
      <c r="AH223" s="155">
        <f>0</f>
        <v>0</v>
      </c>
      <c r="AI223" s="155">
        <f>0</f>
        <v>0</v>
      </c>
      <c r="AJ223" s="155">
        <f>0</f>
        <v>0</v>
      </c>
      <c r="AK223" s="155">
        <f>0</f>
        <v>0</v>
      </c>
      <c r="AL223" s="219">
        <f t="shared" si="12"/>
        <v>1</v>
      </c>
      <c r="AM223" s="103">
        <f>0</f>
        <v>0</v>
      </c>
      <c r="AN223" s="220">
        <f t="shared" si="13"/>
        <v>1</v>
      </c>
      <c r="AO223" s="290">
        <v>45034</v>
      </c>
      <c r="AP223" s="291" t="s">
        <v>192</v>
      </c>
      <c r="AQ223" s="292" t="s">
        <v>1520</v>
      </c>
      <c r="AR223" s="293" t="s">
        <v>197</v>
      </c>
      <c r="AS223" s="367"/>
      <c r="AT223" s="318"/>
      <c r="AU223" s="318">
        <v>1</v>
      </c>
      <c r="AV223" s="317">
        <f t="shared" si="14"/>
        <v>0</v>
      </c>
      <c r="AW223" s="318" t="s">
        <v>195</v>
      </c>
      <c r="AX223" s="319"/>
      <c r="AY223" s="319"/>
      <c r="AZ223" s="341"/>
      <c r="BA223" s="174"/>
      <c r="BB223" s="174"/>
      <c r="BC223" s="174"/>
    </row>
    <row r="224" spans="1:55" ht="27.75" customHeight="1">
      <c r="A224" s="195">
        <v>220</v>
      </c>
      <c r="B224" s="315">
        <v>45027</v>
      </c>
      <c r="C224" s="222" t="s">
        <v>198</v>
      </c>
      <c r="D224" s="222" t="s">
        <v>199</v>
      </c>
      <c r="E224" s="222" t="s">
        <v>200</v>
      </c>
      <c r="F224" s="349" t="s">
        <v>123</v>
      </c>
      <c r="G224" s="309" t="s">
        <v>773</v>
      </c>
      <c r="H224" s="310" t="s">
        <v>129</v>
      </c>
      <c r="I224" s="311" t="s">
        <v>237</v>
      </c>
      <c r="J224" s="312" t="s">
        <v>774</v>
      </c>
      <c r="K224" s="273" t="s">
        <v>97</v>
      </c>
      <c r="L224" s="311" t="s">
        <v>159</v>
      </c>
      <c r="M224" s="311" t="s">
        <v>156</v>
      </c>
      <c r="N224" s="342" t="s">
        <v>97</v>
      </c>
      <c r="O224" s="311" t="s">
        <v>204</v>
      </c>
      <c r="P224" s="311"/>
      <c r="Q224" s="313" t="s">
        <v>548</v>
      </c>
      <c r="R224" s="270">
        <v>1</v>
      </c>
      <c r="S224" s="155">
        <f>0</f>
        <v>0</v>
      </c>
      <c r="T224" s="155">
        <f>0</f>
        <v>0</v>
      </c>
      <c r="U224" s="155">
        <f>0</f>
        <v>0</v>
      </c>
      <c r="V224" s="155">
        <f>0</f>
        <v>0</v>
      </c>
      <c r="W224" s="155">
        <f>0</f>
        <v>0</v>
      </c>
      <c r="X224" s="155">
        <f>0</f>
        <v>0</v>
      </c>
      <c r="Y224" s="155">
        <f>0</f>
        <v>0</v>
      </c>
      <c r="Z224" s="155">
        <f>0</f>
        <v>0</v>
      </c>
      <c r="AA224" s="155">
        <f>0</f>
        <v>0</v>
      </c>
      <c r="AB224" s="155">
        <f>0</f>
        <v>0</v>
      </c>
      <c r="AC224" s="155">
        <f>0</f>
        <v>0</v>
      </c>
      <c r="AD224" s="155">
        <f>0</f>
        <v>0</v>
      </c>
      <c r="AE224" s="155">
        <f>0</f>
        <v>0</v>
      </c>
      <c r="AF224" s="155">
        <f>0</f>
        <v>0</v>
      </c>
      <c r="AG224" s="155">
        <f>0</f>
        <v>0</v>
      </c>
      <c r="AH224" s="155">
        <f>0</f>
        <v>0</v>
      </c>
      <c r="AI224" s="155">
        <f>0</f>
        <v>0</v>
      </c>
      <c r="AJ224" s="155">
        <f>0</f>
        <v>0</v>
      </c>
      <c r="AK224" s="155">
        <f>0</f>
        <v>0</v>
      </c>
      <c r="AL224" s="219">
        <f t="shared" si="12"/>
        <v>1</v>
      </c>
      <c r="AM224" s="103">
        <f>0</f>
        <v>0</v>
      </c>
      <c r="AN224" s="220">
        <f t="shared" si="13"/>
        <v>1</v>
      </c>
      <c r="AO224" s="290">
        <v>45034</v>
      </c>
      <c r="AP224" s="291" t="s">
        <v>192</v>
      </c>
      <c r="AQ224" s="292" t="s">
        <v>1520</v>
      </c>
      <c r="AR224" s="293" t="s">
        <v>197</v>
      </c>
      <c r="AS224" s="367"/>
      <c r="AT224" s="318"/>
      <c r="AU224" s="318">
        <v>1</v>
      </c>
      <c r="AV224" s="317">
        <f t="shared" si="14"/>
        <v>0</v>
      </c>
      <c r="AW224" s="318" t="s">
        <v>195</v>
      </c>
      <c r="AX224" s="319"/>
      <c r="AY224" s="319"/>
      <c r="AZ224" s="341"/>
      <c r="BA224" s="174"/>
      <c r="BB224" s="174"/>
      <c r="BC224" s="174"/>
    </row>
    <row r="225" spans="1:55" ht="28" customHeight="1">
      <c r="A225" s="195">
        <v>221</v>
      </c>
      <c r="B225" s="315">
        <v>45027</v>
      </c>
      <c r="C225" s="222" t="s">
        <v>198</v>
      </c>
      <c r="D225" s="222" t="s">
        <v>199</v>
      </c>
      <c r="E225" s="222" t="s">
        <v>200</v>
      </c>
      <c r="F225" s="371" t="s">
        <v>123</v>
      </c>
      <c r="G225" s="309" t="s">
        <v>775</v>
      </c>
      <c r="H225" s="310" t="s">
        <v>129</v>
      </c>
      <c r="I225" s="311" t="s">
        <v>776</v>
      </c>
      <c r="J225" s="312" t="s">
        <v>777</v>
      </c>
      <c r="K225" s="328" t="s">
        <v>97</v>
      </c>
      <c r="L225" s="311" t="s">
        <v>159</v>
      </c>
      <c r="M225" s="311" t="s">
        <v>156</v>
      </c>
      <c r="N225" s="311" t="s">
        <v>97</v>
      </c>
      <c r="O225" s="313" t="s">
        <v>204</v>
      </c>
      <c r="P225" s="311"/>
      <c r="Q225" s="313" t="s">
        <v>548</v>
      </c>
      <c r="R225" s="270">
        <v>1</v>
      </c>
      <c r="S225" s="155">
        <f>0</f>
        <v>0</v>
      </c>
      <c r="T225" s="155">
        <f>0</f>
        <v>0</v>
      </c>
      <c r="U225" s="155">
        <f>0</f>
        <v>0</v>
      </c>
      <c r="V225" s="155">
        <f>0</f>
        <v>0</v>
      </c>
      <c r="W225" s="155">
        <f>0</f>
        <v>0</v>
      </c>
      <c r="X225" s="155">
        <f>0</f>
        <v>0</v>
      </c>
      <c r="Y225" s="155">
        <f>0</f>
        <v>0</v>
      </c>
      <c r="Z225" s="155">
        <f>0</f>
        <v>0</v>
      </c>
      <c r="AA225" s="155">
        <f>0</f>
        <v>0</v>
      </c>
      <c r="AB225" s="155">
        <f>0</f>
        <v>0</v>
      </c>
      <c r="AC225" s="155">
        <f>0</f>
        <v>0</v>
      </c>
      <c r="AD225" s="155">
        <f>0</f>
        <v>0</v>
      </c>
      <c r="AE225" s="155">
        <f>0</f>
        <v>0</v>
      </c>
      <c r="AF225" s="155">
        <f>0</f>
        <v>0</v>
      </c>
      <c r="AG225" s="155">
        <f>0</f>
        <v>0</v>
      </c>
      <c r="AH225" s="155">
        <f>0</f>
        <v>0</v>
      </c>
      <c r="AI225" s="155">
        <f>0</f>
        <v>0</v>
      </c>
      <c r="AJ225" s="155">
        <f>0</f>
        <v>0</v>
      </c>
      <c r="AK225" s="155">
        <f>0</f>
        <v>0</v>
      </c>
      <c r="AL225" s="219">
        <f t="shared" si="12"/>
        <v>1</v>
      </c>
      <c r="AM225" s="103">
        <f>0</f>
        <v>0</v>
      </c>
      <c r="AN225" s="220">
        <f t="shared" si="13"/>
        <v>1</v>
      </c>
      <c r="AO225" s="290">
        <v>45034</v>
      </c>
      <c r="AP225" s="291" t="s">
        <v>192</v>
      </c>
      <c r="AQ225" s="292" t="s">
        <v>1520</v>
      </c>
      <c r="AR225" s="293" t="s">
        <v>197</v>
      </c>
      <c r="AS225" s="367"/>
      <c r="AT225" s="318"/>
      <c r="AU225" s="318">
        <v>1</v>
      </c>
      <c r="AV225" s="317">
        <f t="shared" si="14"/>
        <v>0</v>
      </c>
      <c r="AW225" s="318" t="s">
        <v>195</v>
      </c>
      <c r="AX225" s="319"/>
      <c r="AY225" s="319"/>
      <c r="AZ225" s="341"/>
      <c r="BA225" s="174"/>
      <c r="BB225" s="174"/>
      <c r="BC225" s="174"/>
    </row>
    <row r="226" spans="1:55" ht="27.75" customHeight="1">
      <c r="A226" s="195">
        <v>222</v>
      </c>
      <c r="B226" s="315">
        <v>45027</v>
      </c>
      <c r="C226" s="222" t="s">
        <v>198</v>
      </c>
      <c r="D226" s="222" t="s">
        <v>199</v>
      </c>
      <c r="E226" s="222" t="s">
        <v>200</v>
      </c>
      <c r="F226" s="349" t="s">
        <v>123</v>
      </c>
      <c r="G226" s="309" t="s">
        <v>778</v>
      </c>
      <c r="H226" s="310" t="s">
        <v>129</v>
      </c>
      <c r="I226" s="311" t="s">
        <v>237</v>
      </c>
      <c r="J226" s="312" t="s">
        <v>779</v>
      </c>
      <c r="K226" s="273" t="s">
        <v>97</v>
      </c>
      <c r="L226" s="311" t="s">
        <v>159</v>
      </c>
      <c r="M226" s="311" t="s">
        <v>156</v>
      </c>
      <c r="N226" s="342" t="s">
        <v>97</v>
      </c>
      <c r="O226" s="311" t="s">
        <v>204</v>
      </c>
      <c r="P226" s="311"/>
      <c r="Q226" s="313" t="s">
        <v>548</v>
      </c>
      <c r="R226" s="270">
        <v>1</v>
      </c>
      <c r="S226" s="155">
        <f>0</f>
        <v>0</v>
      </c>
      <c r="T226" s="155">
        <f>0</f>
        <v>0</v>
      </c>
      <c r="U226" s="155">
        <f>0</f>
        <v>0</v>
      </c>
      <c r="V226" s="155">
        <f>0</f>
        <v>0</v>
      </c>
      <c r="W226" s="155">
        <f>0</f>
        <v>0</v>
      </c>
      <c r="X226" s="155">
        <f>0</f>
        <v>0</v>
      </c>
      <c r="Y226" s="155">
        <f>0</f>
        <v>0</v>
      </c>
      <c r="Z226" s="155">
        <f>0</f>
        <v>0</v>
      </c>
      <c r="AA226" s="155">
        <f>0</f>
        <v>0</v>
      </c>
      <c r="AB226" s="155">
        <f>0</f>
        <v>0</v>
      </c>
      <c r="AC226" s="155">
        <f>0</f>
        <v>0</v>
      </c>
      <c r="AD226" s="155">
        <f>0</f>
        <v>0</v>
      </c>
      <c r="AE226" s="155">
        <f>0</f>
        <v>0</v>
      </c>
      <c r="AF226" s="155">
        <f>0</f>
        <v>0</v>
      </c>
      <c r="AG226" s="155">
        <f>0</f>
        <v>0</v>
      </c>
      <c r="AH226" s="155">
        <f>0</f>
        <v>0</v>
      </c>
      <c r="AI226" s="155">
        <f>0</f>
        <v>0</v>
      </c>
      <c r="AJ226" s="155">
        <f>0</f>
        <v>0</v>
      </c>
      <c r="AK226" s="155">
        <f>0</f>
        <v>0</v>
      </c>
      <c r="AL226" s="219">
        <f t="shared" si="12"/>
        <v>1</v>
      </c>
      <c r="AM226" s="103">
        <f>0</f>
        <v>0</v>
      </c>
      <c r="AN226" s="220">
        <f t="shared" si="13"/>
        <v>1</v>
      </c>
      <c r="AO226" s="290">
        <v>45034</v>
      </c>
      <c r="AP226" s="291" t="s">
        <v>192</v>
      </c>
      <c r="AQ226" s="292" t="s">
        <v>1520</v>
      </c>
      <c r="AR226" s="293" t="s">
        <v>197</v>
      </c>
      <c r="AS226" s="367"/>
      <c r="AT226" s="318"/>
      <c r="AU226" s="318">
        <v>1</v>
      </c>
      <c r="AV226" s="317">
        <f t="shared" si="14"/>
        <v>0</v>
      </c>
      <c r="AW226" s="318" t="s">
        <v>195</v>
      </c>
      <c r="AX226" s="319"/>
      <c r="AY226" s="319"/>
      <c r="AZ226" s="341"/>
      <c r="BA226" s="174"/>
      <c r="BB226" s="174"/>
      <c r="BC226" s="174"/>
    </row>
    <row r="227" spans="1:55" ht="28" customHeight="1">
      <c r="A227" s="195">
        <v>223</v>
      </c>
      <c r="B227" s="315">
        <v>45027</v>
      </c>
      <c r="C227" s="222" t="s">
        <v>198</v>
      </c>
      <c r="D227" s="222" t="s">
        <v>199</v>
      </c>
      <c r="E227" s="222" t="s">
        <v>200</v>
      </c>
      <c r="F227" s="371" t="s">
        <v>123</v>
      </c>
      <c r="G227" s="309" t="s">
        <v>780</v>
      </c>
      <c r="H227" s="310" t="s">
        <v>129</v>
      </c>
      <c r="I227" s="311" t="s">
        <v>237</v>
      </c>
      <c r="J227" s="312" t="s">
        <v>781</v>
      </c>
      <c r="K227" s="328" t="s">
        <v>97</v>
      </c>
      <c r="L227" s="311" t="s">
        <v>159</v>
      </c>
      <c r="M227" s="311" t="s">
        <v>156</v>
      </c>
      <c r="N227" s="311" t="s">
        <v>97</v>
      </c>
      <c r="O227" s="313" t="s">
        <v>204</v>
      </c>
      <c r="P227" s="311"/>
      <c r="Q227" s="313" t="s">
        <v>548</v>
      </c>
      <c r="R227" s="270">
        <v>1</v>
      </c>
      <c r="S227" s="155">
        <f>0</f>
        <v>0</v>
      </c>
      <c r="T227" s="155">
        <f>0</f>
        <v>0</v>
      </c>
      <c r="U227" s="155">
        <f>0</f>
        <v>0</v>
      </c>
      <c r="V227" s="155">
        <f>0</f>
        <v>0</v>
      </c>
      <c r="W227" s="155">
        <f>0</f>
        <v>0</v>
      </c>
      <c r="X227" s="155">
        <f>0</f>
        <v>0</v>
      </c>
      <c r="Y227" s="155">
        <f>0</f>
        <v>0</v>
      </c>
      <c r="Z227" s="155">
        <f>0</f>
        <v>0</v>
      </c>
      <c r="AA227" s="155">
        <f>0</f>
        <v>0</v>
      </c>
      <c r="AB227" s="155">
        <f>0</f>
        <v>0</v>
      </c>
      <c r="AC227" s="155">
        <f>0</f>
        <v>0</v>
      </c>
      <c r="AD227" s="155">
        <f>0</f>
        <v>0</v>
      </c>
      <c r="AE227" s="155">
        <f>0</f>
        <v>0</v>
      </c>
      <c r="AF227" s="155">
        <f>0</f>
        <v>0</v>
      </c>
      <c r="AG227" s="155">
        <f>0</f>
        <v>0</v>
      </c>
      <c r="AH227" s="155">
        <f>0</f>
        <v>0</v>
      </c>
      <c r="AI227" s="155">
        <f>0</f>
        <v>0</v>
      </c>
      <c r="AJ227" s="155">
        <f>0</f>
        <v>0</v>
      </c>
      <c r="AK227" s="155">
        <f>0</f>
        <v>0</v>
      </c>
      <c r="AL227" s="219">
        <f t="shared" si="12"/>
        <v>1</v>
      </c>
      <c r="AM227" s="103">
        <f>0</f>
        <v>0</v>
      </c>
      <c r="AN227" s="220">
        <f t="shared" si="13"/>
        <v>1</v>
      </c>
      <c r="AO227" s="290">
        <v>45034</v>
      </c>
      <c r="AP227" s="291" t="s">
        <v>192</v>
      </c>
      <c r="AQ227" s="292" t="s">
        <v>1520</v>
      </c>
      <c r="AR227" s="293" t="s">
        <v>197</v>
      </c>
      <c r="AS227" s="367"/>
      <c r="AT227" s="318"/>
      <c r="AU227" s="318">
        <v>1</v>
      </c>
      <c r="AV227" s="317">
        <f t="shared" si="14"/>
        <v>0</v>
      </c>
      <c r="AW227" s="318" t="s">
        <v>195</v>
      </c>
      <c r="AX227" s="319"/>
      <c r="AY227" s="319"/>
      <c r="AZ227" s="341"/>
      <c r="BA227" s="174"/>
      <c r="BB227" s="174"/>
      <c r="BC227" s="174"/>
    </row>
    <row r="228" spans="1:55" ht="27.75" customHeight="1">
      <c r="A228" s="195">
        <v>224</v>
      </c>
      <c r="B228" s="315">
        <v>45027</v>
      </c>
      <c r="C228" s="222" t="s">
        <v>198</v>
      </c>
      <c r="D228" s="222" t="s">
        <v>199</v>
      </c>
      <c r="E228" s="222" t="s">
        <v>200</v>
      </c>
      <c r="F228" s="349" t="s">
        <v>123</v>
      </c>
      <c r="G228" s="309" t="s">
        <v>782</v>
      </c>
      <c r="H228" s="310" t="s">
        <v>129</v>
      </c>
      <c r="I228" s="311" t="s">
        <v>237</v>
      </c>
      <c r="J228" s="312" t="s">
        <v>783</v>
      </c>
      <c r="K228" s="273" t="s">
        <v>97</v>
      </c>
      <c r="L228" s="311" t="s">
        <v>159</v>
      </c>
      <c r="M228" s="311" t="s">
        <v>156</v>
      </c>
      <c r="N228" s="342" t="s">
        <v>97</v>
      </c>
      <c r="O228" s="311" t="s">
        <v>204</v>
      </c>
      <c r="P228" s="311"/>
      <c r="Q228" s="313" t="s">
        <v>548</v>
      </c>
      <c r="R228" s="270">
        <v>1</v>
      </c>
      <c r="S228" s="155">
        <f>0</f>
        <v>0</v>
      </c>
      <c r="T228" s="155">
        <f>0</f>
        <v>0</v>
      </c>
      <c r="U228" s="155">
        <f>0</f>
        <v>0</v>
      </c>
      <c r="V228" s="155">
        <f>0</f>
        <v>0</v>
      </c>
      <c r="W228" s="155">
        <f>0</f>
        <v>0</v>
      </c>
      <c r="X228" s="155">
        <f>0</f>
        <v>0</v>
      </c>
      <c r="Y228" s="155">
        <f>0</f>
        <v>0</v>
      </c>
      <c r="Z228" s="155">
        <f>0</f>
        <v>0</v>
      </c>
      <c r="AA228" s="155">
        <f>0</f>
        <v>0</v>
      </c>
      <c r="AB228" s="155">
        <f>0</f>
        <v>0</v>
      </c>
      <c r="AC228" s="155">
        <f>0</f>
        <v>0</v>
      </c>
      <c r="AD228" s="155">
        <f>0</f>
        <v>0</v>
      </c>
      <c r="AE228" s="155">
        <f>0</f>
        <v>0</v>
      </c>
      <c r="AF228" s="155">
        <f>0</f>
        <v>0</v>
      </c>
      <c r="AG228" s="155">
        <f>0</f>
        <v>0</v>
      </c>
      <c r="AH228" s="155">
        <f>0</f>
        <v>0</v>
      </c>
      <c r="AI228" s="155">
        <f>0</f>
        <v>0</v>
      </c>
      <c r="AJ228" s="155">
        <f>0</f>
        <v>0</v>
      </c>
      <c r="AK228" s="155">
        <f>0</f>
        <v>0</v>
      </c>
      <c r="AL228" s="219">
        <f t="shared" si="12"/>
        <v>1</v>
      </c>
      <c r="AM228" s="103">
        <f>0</f>
        <v>0</v>
      </c>
      <c r="AN228" s="220">
        <f t="shared" si="13"/>
        <v>1</v>
      </c>
      <c r="AO228" s="290">
        <v>45034</v>
      </c>
      <c r="AP228" s="291" t="s">
        <v>192</v>
      </c>
      <c r="AQ228" s="292" t="s">
        <v>1520</v>
      </c>
      <c r="AR228" s="293" t="s">
        <v>197</v>
      </c>
      <c r="AS228" s="367"/>
      <c r="AT228" s="318"/>
      <c r="AU228" s="318">
        <v>1</v>
      </c>
      <c r="AV228" s="317">
        <f t="shared" si="14"/>
        <v>0</v>
      </c>
      <c r="AW228" s="318" t="s">
        <v>195</v>
      </c>
      <c r="AX228" s="319"/>
      <c r="AY228" s="319"/>
      <c r="AZ228" s="341"/>
      <c r="BA228" s="174"/>
      <c r="BB228" s="174"/>
      <c r="BC228" s="174"/>
    </row>
    <row r="229" spans="1:55" ht="28" customHeight="1">
      <c r="A229" s="195">
        <v>225</v>
      </c>
      <c r="B229" s="315">
        <v>45027</v>
      </c>
      <c r="C229" s="222" t="s">
        <v>198</v>
      </c>
      <c r="D229" s="222" t="s">
        <v>199</v>
      </c>
      <c r="E229" s="222" t="s">
        <v>200</v>
      </c>
      <c r="F229" s="371" t="s">
        <v>123</v>
      </c>
      <c r="G229" s="309" t="s">
        <v>784</v>
      </c>
      <c r="H229" s="310" t="s">
        <v>129</v>
      </c>
      <c r="I229" s="311" t="s">
        <v>237</v>
      </c>
      <c r="J229" s="312" t="s">
        <v>785</v>
      </c>
      <c r="K229" s="328" t="s">
        <v>97</v>
      </c>
      <c r="L229" s="311" t="s">
        <v>159</v>
      </c>
      <c r="M229" s="311" t="s">
        <v>156</v>
      </c>
      <c r="N229" s="311" t="s">
        <v>97</v>
      </c>
      <c r="O229" s="313" t="s">
        <v>204</v>
      </c>
      <c r="P229" s="311"/>
      <c r="Q229" s="313" t="s">
        <v>548</v>
      </c>
      <c r="R229" s="270">
        <v>1</v>
      </c>
      <c r="S229" s="155">
        <f>0</f>
        <v>0</v>
      </c>
      <c r="T229" s="155">
        <f>0</f>
        <v>0</v>
      </c>
      <c r="U229" s="155">
        <f>0</f>
        <v>0</v>
      </c>
      <c r="V229" s="155">
        <f>0</f>
        <v>0</v>
      </c>
      <c r="W229" s="155">
        <f>0</f>
        <v>0</v>
      </c>
      <c r="X229" s="155">
        <f>0</f>
        <v>0</v>
      </c>
      <c r="Y229" s="155">
        <f>0</f>
        <v>0</v>
      </c>
      <c r="Z229" s="155">
        <f>0</f>
        <v>0</v>
      </c>
      <c r="AA229" s="155">
        <f>0</f>
        <v>0</v>
      </c>
      <c r="AB229" s="155">
        <f>0</f>
        <v>0</v>
      </c>
      <c r="AC229" s="155">
        <f>0</f>
        <v>0</v>
      </c>
      <c r="AD229" s="155">
        <f>0</f>
        <v>0</v>
      </c>
      <c r="AE229" s="155">
        <f>0</f>
        <v>0</v>
      </c>
      <c r="AF229" s="155">
        <f>0</f>
        <v>0</v>
      </c>
      <c r="AG229" s="155">
        <f>0</f>
        <v>0</v>
      </c>
      <c r="AH229" s="155">
        <f>0</f>
        <v>0</v>
      </c>
      <c r="AI229" s="155">
        <f>0</f>
        <v>0</v>
      </c>
      <c r="AJ229" s="155">
        <f>0</f>
        <v>0</v>
      </c>
      <c r="AK229" s="155">
        <f>0</f>
        <v>0</v>
      </c>
      <c r="AL229" s="219">
        <f t="shared" si="12"/>
        <v>1</v>
      </c>
      <c r="AM229" s="103">
        <f>0</f>
        <v>0</v>
      </c>
      <c r="AN229" s="220">
        <f t="shared" si="13"/>
        <v>1</v>
      </c>
      <c r="AO229" s="290">
        <v>45034</v>
      </c>
      <c r="AP229" s="291" t="s">
        <v>192</v>
      </c>
      <c r="AQ229" s="292" t="s">
        <v>1520</v>
      </c>
      <c r="AR229" s="293" t="s">
        <v>197</v>
      </c>
      <c r="AS229" s="367"/>
      <c r="AT229" s="318"/>
      <c r="AU229" s="318">
        <v>1</v>
      </c>
      <c r="AV229" s="317">
        <f t="shared" si="14"/>
        <v>0</v>
      </c>
      <c r="AW229" s="318" t="s">
        <v>195</v>
      </c>
      <c r="AX229" s="319"/>
      <c r="AY229" s="319"/>
      <c r="AZ229" s="341"/>
      <c r="BA229" s="174"/>
      <c r="BB229" s="174"/>
      <c r="BC229" s="174"/>
    </row>
    <row r="230" spans="1:55" ht="27.75" customHeight="1">
      <c r="A230" s="195">
        <v>226</v>
      </c>
      <c r="B230" s="315">
        <v>45027</v>
      </c>
      <c r="C230" s="222" t="s">
        <v>198</v>
      </c>
      <c r="D230" s="222" t="s">
        <v>199</v>
      </c>
      <c r="E230" s="222" t="s">
        <v>200</v>
      </c>
      <c r="F230" s="349" t="s">
        <v>123</v>
      </c>
      <c r="G230" s="309" t="s">
        <v>786</v>
      </c>
      <c r="H230" s="310" t="s">
        <v>129</v>
      </c>
      <c r="I230" s="311" t="s">
        <v>237</v>
      </c>
      <c r="J230" s="312" t="s">
        <v>787</v>
      </c>
      <c r="K230" s="273" t="s">
        <v>97</v>
      </c>
      <c r="L230" s="311" t="s">
        <v>159</v>
      </c>
      <c r="M230" s="311" t="s">
        <v>156</v>
      </c>
      <c r="N230" s="342" t="s">
        <v>97</v>
      </c>
      <c r="O230" s="311" t="s">
        <v>204</v>
      </c>
      <c r="P230" s="311"/>
      <c r="Q230" s="313" t="s">
        <v>548</v>
      </c>
      <c r="R230" s="270">
        <v>1</v>
      </c>
      <c r="S230" s="155">
        <f>0</f>
        <v>0</v>
      </c>
      <c r="T230" s="155">
        <f>0</f>
        <v>0</v>
      </c>
      <c r="U230" s="155">
        <f>0</f>
        <v>0</v>
      </c>
      <c r="V230" s="155">
        <f>0</f>
        <v>0</v>
      </c>
      <c r="W230" s="155">
        <f>0</f>
        <v>0</v>
      </c>
      <c r="X230" s="155">
        <f>0</f>
        <v>0</v>
      </c>
      <c r="Y230" s="155">
        <f>0</f>
        <v>0</v>
      </c>
      <c r="Z230" s="155">
        <f>0</f>
        <v>0</v>
      </c>
      <c r="AA230" s="155">
        <f>0</f>
        <v>0</v>
      </c>
      <c r="AB230" s="155">
        <f>0</f>
        <v>0</v>
      </c>
      <c r="AC230" s="155">
        <f>0</f>
        <v>0</v>
      </c>
      <c r="AD230" s="155">
        <f>0</f>
        <v>0</v>
      </c>
      <c r="AE230" s="155">
        <f>0</f>
        <v>0</v>
      </c>
      <c r="AF230" s="155">
        <f>0</f>
        <v>0</v>
      </c>
      <c r="AG230" s="155">
        <f>0</f>
        <v>0</v>
      </c>
      <c r="AH230" s="155">
        <f>0</f>
        <v>0</v>
      </c>
      <c r="AI230" s="155">
        <f>0</f>
        <v>0</v>
      </c>
      <c r="AJ230" s="155">
        <f>0</f>
        <v>0</v>
      </c>
      <c r="AK230" s="155">
        <f>0</f>
        <v>0</v>
      </c>
      <c r="AL230" s="219">
        <f t="shared" si="12"/>
        <v>1</v>
      </c>
      <c r="AM230" s="103">
        <f>0</f>
        <v>0</v>
      </c>
      <c r="AN230" s="220">
        <f t="shared" si="13"/>
        <v>1</v>
      </c>
      <c r="AO230" s="290">
        <v>45034</v>
      </c>
      <c r="AP230" s="291" t="s">
        <v>192</v>
      </c>
      <c r="AQ230" s="292" t="s">
        <v>1520</v>
      </c>
      <c r="AR230" s="293" t="s">
        <v>197</v>
      </c>
      <c r="AS230" s="367"/>
      <c r="AT230" s="318"/>
      <c r="AU230" s="318">
        <v>1</v>
      </c>
      <c r="AV230" s="317">
        <f t="shared" si="14"/>
        <v>0</v>
      </c>
      <c r="AW230" s="318" t="s">
        <v>195</v>
      </c>
      <c r="AX230" s="319"/>
      <c r="AY230" s="319"/>
      <c r="AZ230" s="341"/>
      <c r="BA230" s="174"/>
      <c r="BB230" s="174"/>
      <c r="BC230" s="174"/>
    </row>
    <row r="231" spans="1:55" ht="28" customHeight="1">
      <c r="A231" s="195">
        <v>227</v>
      </c>
      <c r="B231" s="315">
        <v>45027</v>
      </c>
      <c r="C231" s="222" t="s">
        <v>198</v>
      </c>
      <c r="D231" s="222" t="s">
        <v>199</v>
      </c>
      <c r="E231" s="222" t="s">
        <v>200</v>
      </c>
      <c r="F231" s="371" t="s">
        <v>123</v>
      </c>
      <c r="G231" s="309" t="s">
        <v>788</v>
      </c>
      <c r="H231" s="310" t="s">
        <v>129</v>
      </c>
      <c r="I231" s="311" t="s">
        <v>237</v>
      </c>
      <c r="J231" s="312" t="s">
        <v>789</v>
      </c>
      <c r="K231" s="328" t="s">
        <v>97</v>
      </c>
      <c r="L231" s="311" t="s">
        <v>159</v>
      </c>
      <c r="M231" s="311" t="s">
        <v>156</v>
      </c>
      <c r="N231" s="311" t="s">
        <v>97</v>
      </c>
      <c r="O231" s="313" t="s">
        <v>204</v>
      </c>
      <c r="P231" s="311"/>
      <c r="Q231" s="313" t="s">
        <v>548</v>
      </c>
      <c r="R231" s="270">
        <v>1</v>
      </c>
      <c r="S231" s="155">
        <f>0</f>
        <v>0</v>
      </c>
      <c r="T231" s="155">
        <f>0</f>
        <v>0</v>
      </c>
      <c r="U231" s="155">
        <f>0</f>
        <v>0</v>
      </c>
      <c r="V231" s="155">
        <f>0</f>
        <v>0</v>
      </c>
      <c r="W231" s="155">
        <f>0</f>
        <v>0</v>
      </c>
      <c r="X231" s="155">
        <f>0</f>
        <v>0</v>
      </c>
      <c r="Y231" s="155">
        <f>0</f>
        <v>0</v>
      </c>
      <c r="Z231" s="155">
        <f>0</f>
        <v>0</v>
      </c>
      <c r="AA231" s="155">
        <f>0</f>
        <v>0</v>
      </c>
      <c r="AB231" s="155">
        <f>0</f>
        <v>0</v>
      </c>
      <c r="AC231" s="155">
        <f>0</f>
        <v>0</v>
      </c>
      <c r="AD231" s="155">
        <f>0</f>
        <v>0</v>
      </c>
      <c r="AE231" s="155">
        <f>0</f>
        <v>0</v>
      </c>
      <c r="AF231" s="155">
        <f>0</f>
        <v>0</v>
      </c>
      <c r="AG231" s="155">
        <f>0</f>
        <v>0</v>
      </c>
      <c r="AH231" s="155">
        <f>0</f>
        <v>0</v>
      </c>
      <c r="AI231" s="155">
        <f>0</f>
        <v>0</v>
      </c>
      <c r="AJ231" s="155">
        <f>0</f>
        <v>0</v>
      </c>
      <c r="AK231" s="155">
        <f>0</f>
        <v>0</v>
      </c>
      <c r="AL231" s="219">
        <f t="shared" si="12"/>
        <v>1</v>
      </c>
      <c r="AM231" s="103">
        <f>0</f>
        <v>0</v>
      </c>
      <c r="AN231" s="220">
        <f t="shared" si="13"/>
        <v>1</v>
      </c>
      <c r="AO231" s="290">
        <v>45034</v>
      </c>
      <c r="AP231" s="291" t="s">
        <v>192</v>
      </c>
      <c r="AQ231" s="292" t="s">
        <v>1520</v>
      </c>
      <c r="AR231" s="293" t="s">
        <v>197</v>
      </c>
      <c r="AS231" s="367"/>
      <c r="AT231" s="318"/>
      <c r="AU231" s="318">
        <v>1</v>
      </c>
      <c r="AV231" s="317">
        <f t="shared" si="14"/>
        <v>0</v>
      </c>
      <c r="AW231" s="318" t="s">
        <v>195</v>
      </c>
      <c r="AX231" s="319"/>
      <c r="AY231" s="319"/>
      <c r="AZ231" s="341"/>
      <c r="BA231" s="174"/>
      <c r="BB231" s="174"/>
      <c r="BC231" s="174"/>
    </row>
    <row r="232" spans="1:55" ht="27.75" customHeight="1">
      <c r="A232" s="195">
        <v>228</v>
      </c>
      <c r="B232" s="315">
        <v>45027</v>
      </c>
      <c r="C232" s="222" t="s">
        <v>198</v>
      </c>
      <c r="D232" s="222" t="s">
        <v>199</v>
      </c>
      <c r="E232" s="222" t="s">
        <v>200</v>
      </c>
      <c r="F232" s="349" t="s">
        <v>123</v>
      </c>
      <c r="G232" s="309" t="s">
        <v>790</v>
      </c>
      <c r="H232" s="310" t="s">
        <v>129</v>
      </c>
      <c r="I232" s="311" t="s">
        <v>237</v>
      </c>
      <c r="J232" s="312" t="s">
        <v>791</v>
      </c>
      <c r="K232" s="273" t="s">
        <v>97</v>
      </c>
      <c r="L232" s="311" t="s">
        <v>159</v>
      </c>
      <c r="M232" s="311" t="s">
        <v>156</v>
      </c>
      <c r="N232" s="342" t="s">
        <v>97</v>
      </c>
      <c r="O232" s="311" t="s">
        <v>204</v>
      </c>
      <c r="P232" s="311"/>
      <c r="Q232" s="313" t="s">
        <v>548</v>
      </c>
      <c r="R232" s="270">
        <v>1</v>
      </c>
      <c r="S232" s="155">
        <f>0</f>
        <v>0</v>
      </c>
      <c r="T232" s="155">
        <f>0</f>
        <v>0</v>
      </c>
      <c r="U232" s="155">
        <f>0</f>
        <v>0</v>
      </c>
      <c r="V232" s="155">
        <f>0</f>
        <v>0</v>
      </c>
      <c r="W232" s="155">
        <f>0</f>
        <v>0</v>
      </c>
      <c r="X232" s="155">
        <f>0</f>
        <v>0</v>
      </c>
      <c r="Y232" s="155">
        <f>0</f>
        <v>0</v>
      </c>
      <c r="Z232" s="155">
        <f>0</f>
        <v>0</v>
      </c>
      <c r="AA232" s="155">
        <f>0</f>
        <v>0</v>
      </c>
      <c r="AB232" s="155">
        <f>0</f>
        <v>0</v>
      </c>
      <c r="AC232" s="155">
        <f>0</f>
        <v>0</v>
      </c>
      <c r="AD232" s="155">
        <f>0</f>
        <v>0</v>
      </c>
      <c r="AE232" s="155">
        <f>0</f>
        <v>0</v>
      </c>
      <c r="AF232" s="155">
        <f>0</f>
        <v>0</v>
      </c>
      <c r="AG232" s="155">
        <f>0</f>
        <v>0</v>
      </c>
      <c r="AH232" s="155">
        <f>0</f>
        <v>0</v>
      </c>
      <c r="AI232" s="155">
        <f>0</f>
        <v>0</v>
      </c>
      <c r="AJ232" s="155">
        <f>0</f>
        <v>0</v>
      </c>
      <c r="AK232" s="155">
        <f>0</f>
        <v>0</v>
      </c>
      <c r="AL232" s="219">
        <f t="shared" si="12"/>
        <v>1</v>
      </c>
      <c r="AM232" s="103">
        <f>0</f>
        <v>0</v>
      </c>
      <c r="AN232" s="220">
        <f t="shared" si="13"/>
        <v>1</v>
      </c>
      <c r="AO232" s="290">
        <v>45034</v>
      </c>
      <c r="AP232" s="291" t="s">
        <v>192</v>
      </c>
      <c r="AQ232" s="292" t="s">
        <v>1520</v>
      </c>
      <c r="AR232" s="293" t="s">
        <v>197</v>
      </c>
      <c r="AS232" s="367"/>
      <c r="AT232" s="318"/>
      <c r="AU232" s="318">
        <v>1</v>
      </c>
      <c r="AV232" s="317">
        <f t="shared" si="14"/>
        <v>0</v>
      </c>
      <c r="AW232" s="318" t="s">
        <v>195</v>
      </c>
      <c r="AX232" s="319"/>
      <c r="AY232" s="319"/>
      <c r="AZ232" s="341"/>
      <c r="BA232" s="174"/>
      <c r="BB232" s="174"/>
      <c r="BC232" s="174"/>
    </row>
    <row r="233" spans="1:55" ht="28" customHeight="1">
      <c r="A233" s="195">
        <v>229</v>
      </c>
      <c r="B233" s="315">
        <v>45027</v>
      </c>
      <c r="C233" s="222" t="s">
        <v>198</v>
      </c>
      <c r="D233" s="222" t="s">
        <v>199</v>
      </c>
      <c r="E233" s="222" t="s">
        <v>200</v>
      </c>
      <c r="F233" s="371" t="s">
        <v>123</v>
      </c>
      <c r="G233" s="309" t="s">
        <v>792</v>
      </c>
      <c r="H233" s="310" t="s">
        <v>129</v>
      </c>
      <c r="I233" s="311" t="s">
        <v>299</v>
      </c>
      <c r="J233" s="312" t="s">
        <v>793</v>
      </c>
      <c r="K233" s="328" t="s">
        <v>97</v>
      </c>
      <c r="L233" s="311" t="s">
        <v>159</v>
      </c>
      <c r="M233" s="311" t="s">
        <v>156</v>
      </c>
      <c r="N233" s="311" t="s">
        <v>97</v>
      </c>
      <c r="O233" s="313" t="s">
        <v>204</v>
      </c>
      <c r="P233" s="311"/>
      <c r="Q233" s="313" t="s">
        <v>548</v>
      </c>
      <c r="R233" s="270">
        <v>4</v>
      </c>
      <c r="S233" s="155">
        <f>0</f>
        <v>0</v>
      </c>
      <c r="T233" s="155">
        <f>0</f>
        <v>0</v>
      </c>
      <c r="U233" s="155">
        <f>0</f>
        <v>0</v>
      </c>
      <c r="V233" s="155">
        <f>0</f>
        <v>0</v>
      </c>
      <c r="W233" s="155">
        <f>0</f>
        <v>0</v>
      </c>
      <c r="X233" s="155">
        <f>0</f>
        <v>0</v>
      </c>
      <c r="Y233" s="155">
        <f>0</f>
        <v>0</v>
      </c>
      <c r="Z233" s="155">
        <f>0</f>
        <v>0</v>
      </c>
      <c r="AA233" s="155">
        <f>0</f>
        <v>0</v>
      </c>
      <c r="AB233" s="155">
        <f>0</f>
        <v>0</v>
      </c>
      <c r="AC233" s="155">
        <f>0</f>
        <v>0</v>
      </c>
      <c r="AD233" s="155">
        <f>0</f>
        <v>0</v>
      </c>
      <c r="AE233" s="155">
        <f>0</f>
        <v>0</v>
      </c>
      <c r="AF233" s="155">
        <f>0</f>
        <v>0</v>
      </c>
      <c r="AG233" s="155">
        <f>0</f>
        <v>0</v>
      </c>
      <c r="AH233" s="155">
        <f>0</f>
        <v>0</v>
      </c>
      <c r="AI233" s="155">
        <f>0</f>
        <v>0</v>
      </c>
      <c r="AJ233" s="155">
        <f>0</f>
        <v>0</v>
      </c>
      <c r="AK233" s="155">
        <f>0</f>
        <v>0</v>
      </c>
      <c r="AL233" s="219">
        <f t="shared" si="12"/>
        <v>4</v>
      </c>
      <c r="AM233" s="103">
        <f>0</f>
        <v>0</v>
      </c>
      <c r="AN233" s="220">
        <f t="shared" si="13"/>
        <v>4</v>
      </c>
      <c r="AO233" s="290">
        <v>45034</v>
      </c>
      <c r="AP233" s="291" t="s">
        <v>192</v>
      </c>
      <c r="AQ233" s="292" t="s">
        <v>1520</v>
      </c>
      <c r="AR233" s="293" t="s">
        <v>197</v>
      </c>
      <c r="AS233" s="367"/>
      <c r="AT233" s="318"/>
      <c r="AU233" s="318">
        <v>4</v>
      </c>
      <c r="AV233" s="317">
        <f t="shared" si="14"/>
        <v>0</v>
      </c>
      <c r="AW233" s="318" t="s">
        <v>195</v>
      </c>
      <c r="AX233" s="319"/>
      <c r="AY233" s="319"/>
      <c r="AZ233" s="341"/>
      <c r="BA233" s="174"/>
      <c r="BB233" s="174"/>
      <c r="BC233" s="174"/>
    </row>
    <row r="234" spans="1:55" ht="27.75" customHeight="1">
      <c r="A234" s="271">
        <v>230</v>
      </c>
      <c r="B234" s="274">
        <v>45027</v>
      </c>
      <c r="C234" s="222" t="s">
        <v>198</v>
      </c>
      <c r="D234" s="222" t="s">
        <v>199</v>
      </c>
      <c r="E234" s="222" t="s">
        <v>200</v>
      </c>
      <c r="F234" s="266" t="s">
        <v>123</v>
      </c>
      <c r="G234" s="267" t="s">
        <v>794</v>
      </c>
      <c r="H234" s="268" t="s">
        <v>129</v>
      </c>
      <c r="I234" s="111" t="s">
        <v>801</v>
      </c>
      <c r="J234" s="269" t="s">
        <v>795</v>
      </c>
      <c r="K234" s="112" t="s">
        <v>97</v>
      </c>
      <c r="L234" s="111" t="s">
        <v>367</v>
      </c>
      <c r="M234" s="258" t="s">
        <v>237</v>
      </c>
      <c r="N234" s="255" t="s">
        <v>97</v>
      </c>
      <c r="O234" s="138" t="s">
        <v>97</v>
      </c>
      <c r="P234" s="111"/>
      <c r="Q234" s="113" t="s">
        <v>548</v>
      </c>
      <c r="R234" s="270">
        <v>1</v>
      </c>
      <c r="S234" s="155">
        <f>0</f>
        <v>0</v>
      </c>
      <c r="T234" s="155">
        <f>0</f>
        <v>0</v>
      </c>
      <c r="U234" s="155">
        <f>0</f>
        <v>0</v>
      </c>
      <c r="V234" s="155">
        <f>0</f>
        <v>0</v>
      </c>
      <c r="W234" s="155">
        <f>0</f>
        <v>0</v>
      </c>
      <c r="X234" s="155">
        <f>0</f>
        <v>0</v>
      </c>
      <c r="Y234" s="155">
        <f>0</f>
        <v>0</v>
      </c>
      <c r="Z234" s="155">
        <f>0</f>
        <v>0</v>
      </c>
      <c r="AA234" s="155">
        <f>0</f>
        <v>0</v>
      </c>
      <c r="AB234" s="155">
        <f>0</f>
        <v>0</v>
      </c>
      <c r="AC234" s="155">
        <f>0</f>
        <v>0</v>
      </c>
      <c r="AD234" s="155">
        <f>0</f>
        <v>0</v>
      </c>
      <c r="AE234" s="155">
        <f>0</f>
        <v>0</v>
      </c>
      <c r="AF234" s="155">
        <f>0</f>
        <v>0</v>
      </c>
      <c r="AG234" s="155">
        <f>0</f>
        <v>0</v>
      </c>
      <c r="AH234" s="155">
        <f>0</f>
        <v>0</v>
      </c>
      <c r="AI234" s="155">
        <f>0</f>
        <v>0</v>
      </c>
      <c r="AJ234" s="155">
        <f>0</f>
        <v>0</v>
      </c>
      <c r="AK234" s="155">
        <f>0</f>
        <v>0</v>
      </c>
      <c r="AL234" s="219">
        <f t="shared" si="12"/>
        <v>1</v>
      </c>
      <c r="AM234" s="103">
        <f>0</f>
        <v>0</v>
      </c>
      <c r="AN234" s="220">
        <f t="shared" si="13"/>
        <v>1</v>
      </c>
      <c r="AO234" s="276"/>
      <c r="AP234" s="188" t="s">
        <v>617</v>
      </c>
      <c r="AQ234" s="284"/>
      <c r="AR234" s="278" t="s">
        <v>616</v>
      </c>
      <c r="AS234" s="286"/>
      <c r="AT234" s="279"/>
      <c r="AU234" s="279"/>
      <c r="AV234" s="277">
        <f t="shared" si="14"/>
        <v>1</v>
      </c>
      <c r="AW234" s="279"/>
      <c r="AX234" s="280"/>
      <c r="AY234" s="280"/>
      <c r="AZ234" s="285"/>
    </row>
    <row r="235" spans="1:55" ht="28" customHeight="1">
      <c r="A235" s="195">
        <v>231</v>
      </c>
      <c r="B235" s="315">
        <v>45027</v>
      </c>
      <c r="C235" s="222" t="s">
        <v>198</v>
      </c>
      <c r="D235" s="222" t="s">
        <v>199</v>
      </c>
      <c r="E235" s="222" t="s">
        <v>200</v>
      </c>
      <c r="F235" s="371" t="s">
        <v>123</v>
      </c>
      <c r="G235" s="309" t="s">
        <v>796</v>
      </c>
      <c r="H235" s="310" t="s">
        <v>129</v>
      </c>
      <c r="I235" s="311" t="s">
        <v>797</v>
      </c>
      <c r="J235" s="312" t="s">
        <v>798</v>
      </c>
      <c r="K235" s="328" t="s">
        <v>97</v>
      </c>
      <c r="L235" s="311" t="s">
        <v>165</v>
      </c>
      <c r="M235" s="311" t="s">
        <v>279</v>
      </c>
      <c r="N235" s="311" t="s">
        <v>97</v>
      </c>
      <c r="O235" s="313" t="s">
        <v>177</v>
      </c>
      <c r="P235" s="311"/>
      <c r="Q235" s="313" t="s">
        <v>548</v>
      </c>
      <c r="R235" s="270">
        <v>4</v>
      </c>
      <c r="S235" s="155">
        <f>0</f>
        <v>0</v>
      </c>
      <c r="T235" s="155">
        <f>0</f>
        <v>0</v>
      </c>
      <c r="U235" s="155">
        <f>0</f>
        <v>0</v>
      </c>
      <c r="V235" s="155">
        <f>0</f>
        <v>0</v>
      </c>
      <c r="W235" s="155">
        <f>0</f>
        <v>0</v>
      </c>
      <c r="X235" s="155">
        <f>0</f>
        <v>0</v>
      </c>
      <c r="Y235" s="155">
        <f>0</f>
        <v>0</v>
      </c>
      <c r="Z235" s="155">
        <f>0</f>
        <v>0</v>
      </c>
      <c r="AA235" s="155">
        <f>0</f>
        <v>0</v>
      </c>
      <c r="AB235" s="155">
        <f>0</f>
        <v>0</v>
      </c>
      <c r="AC235" s="155">
        <f>0</f>
        <v>0</v>
      </c>
      <c r="AD235" s="155">
        <f>0</f>
        <v>0</v>
      </c>
      <c r="AE235" s="155">
        <f>0</f>
        <v>0</v>
      </c>
      <c r="AF235" s="155">
        <f>0</f>
        <v>0</v>
      </c>
      <c r="AG235" s="155">
        <f>0</f>
        <v>0</v>
      </c>
      <c r="AH235" s="155">
        <f>0</f>
        <v>0</v>
      </c>
      <c r="AI235" s="155">
        <f>0</f>
        <v>0</v>
      </c>
      <c r="AJ235" s="155">
        <f>0</f>
        <v>0</v>
      </c>
      <c r="AK235" s="155">
        <f>0</f>
        <v>0</v>
      </c>
      <c r="AL235" s="219">
        <f t="shared" si="12"/>
        <v>4</v>
      </c>
      <c r="AM235" s="103">
        <f>0</f>
        <v>0</v>
      </c>
      <c r="AN235" s="220">
        <f t="shared" si="13"/>
        <v>4</v>
      </c>
      <c r="AO235" s="348">
        <v>45034</v>
      </c>
      <c r="AP235" s="296" t="s">
        <v>192</v>
      </c>
      <c r="AQ235" s="292" t="s">
        <v>1522</v>
      </c>
      <c r="AR235" s="350" t="s">
        <v>194</v>
      </c>
      <c r="AS235" s="301">
        <v>45078</v>
      </c>
      <c r="AT235" s="318"/>
      <c r="AU235" s="318"/>
      <c r="AV235" s="317">
        <f t="shared" si="14"/>
        <v>4</v>
      </c>
      <c r="AW235" s="318" t="s">
        <v>195</v>
      </c>
      <c r="AX235" s="319"/>
      <c r="AY235" s="319"/>
      <c r="AZ235" s="341"/>
      <c r="BA235" s="174"/>
      <c r="BB235" s="174"/>
      <c r="BC235" s="174"/>
    </row>
    <row r="236" spans="1:55" ht="27.75" customHeight="1">
      <c r="A236" s="195">
        <v>232</v>
      </c>
      <c r="B236" s="315">
        <v>45027</v>
      </c>
      <c r="C236" s="222" t="s">
        <v>198</v>
      </c>
      <c r="D236" s="222" t="s">
        <v>199</v>
      </c>
      <c r="E236" s="222" t="s">
        <v>200</v>
      </c>
      <c r="F236" s="349" t="s">
        <v>123</v>
      </c>
      <c r="G236" s="309" t="s">
        <v>802</v>
      </c>
      <c r="H236" s="310" t="s">
        <v>129</v>
      </c>
      <c r="I236" s="311" t="s">
        <v>806</v>
      </c>
      <c r="J236" s="312" t="s">
        <v>803</v>
      </c>
      <c r="K236" s="273" t="s">
        <v>97</v>
      </c>
      <c r="L236" s="311" t="s">
        <v>168</v>
      </c>
      <c r="M236" s="311" t="s">
        <v>147</v>
      </c>
      <c r="N236" s="342" t="s">
        <v>97</v>
      </c>
      <c r="O236" s="311" t="s">
        <v>169</v>
      </c>
      <c r="P236" s="311"/>
      <c r="Q236" s="313" t="s">
        <v>548</v>
      </c>
      <c r="R236" s="270">
        <v>2</v>
      </c>
      <c r="S236" s="155">
        <f>0</f>
        <v>0</v>
      </c>
      <c r="T236" s="155">
        <f>0</f>
        <v>0</v>
      </c>
      <c r="U236" s="155">
        <v>0</v>
      </c>
      <c r="V236" s="155">
        <f>0</f>
        <v>0</v>
      </c>
      <c r="W236" s="155">
        <f>0</f>
        <v>0</v>
      </c>
      <c r="X236" s="155">
        <f>0</f>
        <v>0</v>
      </c>
      <c r="Y236" s="155">
        <f>0</f>
        <v>0</v>
      </c>
      <c r="Z236" s="155">
        <f>0</f>
        <v>0</v>
      </c>
      <c r="AA236" s="155">
        <f>0</f>
        <v>0</v>
      </c>
      <c r="AB236" s="155">
        <f>0</f>
        <v>0</v>
      </c>
      <c r="AC236" s="155">
        <f>0</f>
        <v>0</v>
      </c>
      <c r="AD236" s="155">
        <f>0</f>
        <v>0</v>
      </c>
      <c r="AE236" s="155">
        <f>0</f>
        <v>0</v>
      </c>
      <c r="AF236" s="155">
        <f>0</f>
        <v>0</v>
      </c>
      <c r="AG236" s="155">
        <f>0</f>
        <v>0</v>
      </c>
      <c r="AH236" s="155">
        <f>0</f>
        <v>0</v>
      </c>
      <c r="AI236" s="155">
        <f>0</f>
        <v>0</v>
      </c>
      <c r="AJ236" s="155">
        <f>0</f>
        <v>0</v>
      </c>
      <c r="AK236" s="155">
        <f>0</f>
        <v>0</v>
      </c>
      <c r="AL236" s="219">
        <f t="shared" si="12"/>
        <v>2</v>
      </c>
      <c r="AM236" s="103">
        <v>0</v>
      </c>
      <c r="AN236" s="220">
        <f t="shared" si="13"/>
        <v>2</v>
      </c>
      <c r="AO236" s="348">
        <v>45034</v>
      </c>
      <c r="AP236" s="296" t="s">
        <v>192</v>
      </c>
      <c r="AQ236" s="292" t="s">
        <v>1522</v>
      </c>
      <c r="AR236" s="350" t="s">
        <v>194</v>
      </c>
      <c r="AS236" s="301">
        <v>45078</v>
      </c>
      <c r="AT236" s="318"/>
      <c r="AU236" s="318">
        <v>2</v>
      </c>
      <c r="AV236" s="317">
        <f t="shared" si="14"/>
        <v>0</v>
      </c>
      <c r="AW236" s="318" t="s">
        <v>195</v>
      </c>
      <c r="AX236" s="319"/>
      <c r="AY236" s="319"/>
      <c r="AZ236" s="341"/>
      <c r="BA236" s="174"/>
      <c r="BB236" s="174"/>
      <c r="BC236" s="174"/>
    </row>
    <row r="237" spans="1:55" ht="28" customHeight="1">
      <c r="A237" s="195">
        <v>233</v>
      </c>
      <c r="B237" s="315">
        <v>45027</v>
      </c>
      <c r="C237" s="222" t="s">
        <v>198</v>
      </c>
      <c r="D237" s="222" t="s">
        <v>199</v>
      </c>
      <c r="E237" s="222" t="s">
        <v>200</v>
      </c>
      <c r="F237" s="371" t="s">
        <v>123</v>
      </c>
      <c r="G237" s="309" t="s">
        <v>804</v>
      </c>
      <c r="H237" s="310" t="s">
        <v>129</v>
      </c>
      <c r="I237" s="311" t="s">
        <v>807</v>
      </c>
      <c r="J237" s="312" t="s">
        <v>805</v>
      </c>
      <c r="K237" s="328" t="s">
        <v>97</v>
      </c>
      <c r="L237" s="311" t="s">
        <v>168</v>
      </c>
      <c r="M237" s="311" t="s">
        <v>147</v>
      </c>
      <c r="N237" s="311" t="s">
        <v>97</v>
      </c>
      <c r="O237" s="313" t="s">
        <v>169</v>
      </c>
      <c r="P237" s="311"/>
      <c r="Q237" s="313" t="s">
        <v>548</v>
      </c>
      <c r="R237" s="270">
        <v>2</v>
      </c>
      <c r="S237" s="155">
        <f>0</f>
        <v>0</v>
      </c>
      <c r="T237" s="155">
        <f>0</f>
        <v>0</v>
      </c>
      <c r="U237" s="155">
        <v>0</v>
      </c>
      <c r="V237" s="155">
        <f>0</f>
        <v>0</v>
      </c>
      <c r="W237" s="155">
        <f>0</f>
        <v>0</v>
      </c>
      <c r="X237" s="155">
        <f>0</f>
        <v>0</v>
      </c>
      <c r="Y237" s="155">
        <f>0</f>
        <v>0</v>
      </c>
      <c r="Z237" s="155">
        <f>0</f>
        <v>0</v>
      </c>
      <c r="AA237" s="155">
        <f>0</f>
        <v>0</v>
      </c>
      <c r="AB237" s="155">
        <f>0</f>
        <v>0</v>
      </c>
      <c r="AC237" s="155">
        <f>0</f>
        <v>0</v>
      </c>
      <c r="AD237" s="155">
        <f>0</f>
        <v>0</v>
      </c>
      <c r="AE237" s="155">
        <f>0</f>
        <v>0</v>
      </c>
      <c r="AF237" s="155">
        <f>0</f>
        <v>0</v>
      </c>
      <c r="AG237" s="155">
        <f>0</f>
        <v>0</v>
      </c>
      <c r="AH237" s="155">
        <f>0</f>
        <v>0</v>
      </c>
      <c r="AI237" s="155">
        <f>0</f>
        <v>0</v>
      </c>
      <c r="AJ237" s="155">
        <f>0</f>
        <v>0</v>
      </c>
      <c r="AK237" s="155">
        <f>0</f>
        <v>0</v>
      </c>
      <c r="AL237" s="219">
        <f t="shared" si="12"/>
        <v>2</v>
      </c>
      <c r="AM237" s="103">
        <v>0</v>
      </c>
      <c r="AN237" s="220">
        <f t="shared" si="13"/>
        <v>2</v>
      </c>
      <c r="AO237" s="348">
        <v>45034</v>
      </c>
      <c r="AP237" s="296" t="s">
        <v>192</v>
      </c>
      <c r="AQ237" s="292" t="s">
        <v>1522</v>
      </c>
      <c r="AR237" s="350" t="s">
        <v>194</v>
      </c>
      <c r="AS237" s="301">
        <v>45078</v>
      </c>
      <c r="AT237" s="318"/>
      <c r="AU237" s="318">
        <v>2</v>
      </c>
      <c r="AV237" s="317">
        <f t="shared" si="14"/>
        <v>0</v>
      </c>
      <c r="AW237" s="318" t="s">
        <v>195</v>
      </c>
      <c r="AX237" s="319"/>
      <c r="AY237" s="319"/>
      <c r="AZ237" s="341"/>
      <c r="BA237" s="174"/>
      <c r="BB237" s="174"/>
      <c r="BC237" s="174"/>
    </row>
    <row r="238" spans="1:55" ht="28" customHeight="1">
      <c r="A238" s="195">
        <v>234</v>
      </c>
      <c r="B238" s="315">
        <v>45028</v>
      </c>
      <c r="C238" s="222" t="s">
        <v>198</v>
      </c>
      <c r="D238" s="222" t="s">
        <v>199</v>
      </c>
      <c r="E238" s="222" t="s">
        <v>200</v>
      </c>
      <c r="F238" s="371" t="s">
        <v>837</v>
      </c>
      <c r="G238" s="309" t="s">
        <v>808</v>
      </c>
      <c r="H238" s="310" t="s">
        <v>129</v>
      </c>
      <c r="I238" s="311" t="s">
        <v>809</v>
      </c>
      <c r="J238" s="312" t="s">
        <v>810</v>
      </c>
      <c r="K238" s="328" t="s">
        <v>201</v>
      </c>
      <c r="L238" s="311" t="s">
        <v>159</v>
      </c>
      <c r="M238" s="311" t="s">
        <v>147</v>
      </c>
      <c r="N238" s="311"/>
      <c r="O238" s="313" t="s">
        <v>97</v>
      </c>
      <c r="P238" s="329"/>
      <c r="Q238" s="330" t="s">
        <v>843</v>
      </c>
      <c r="R238" s="154">
        <v>0</v>
      </c>
      <c r="S238" s="155">
        <f>0</f>
        <v>0</v>
      </c>
      <c r="T238" s="368">
        <v>4</v>
      </c>
      <c r="U238" s="155">
        <v>0</v>
      </c>
      <c r="V238" s="155">
        <f>0</f>
        <v>0</v>
      </c>
      <c r="W238" s="155">
        <f>0</f>
        <v>0</v>
      </c>
      <c r="X238" s="155">
        <f>0</f>
        <v>0</v>
      </c>
      <c r="Y238" s="155">
        <f>0</f>
        <v>0</v>
      </c>
      <c r="Z238" s="155">
        <f>0</f>
        <v>0</v>
      </c>
      <c r="AA238" s="155">
        <f>0</f>
        <v>0</v>
      </c>
      <c r="AB238" s="155">
        <f>0</f>
        <v>0</v>
      </c>
      <c r="AC238" s="155">
        <f>0</f>
        <v>0</v>
      </c>
      <c r="AD238" s="155">
        <f>0</f>
        <v>0</v>
      </c>
      <c r="AE238" s="155">
        <f>0</f>
        <v>0</v>
      </c>
      <c r="AF238" s="155">
        <f>0</f>
        <v>0</v>
      </c>
      <c r="AG238" s="155">
        <f>0</f>
        <v>0</v>
      </c>
      <c r="AH238" s="155">
        <f>0</f>
        <v>0</v>
      </c>
      <c r="AI238" s="155">
        <f>0</f>
        <v>0</v>
      </c>
      <c r="AJ238" s="155">
        <f>0</f>
        <v>0</v>
      </c>
      <c r="AK238" s="155">
        <f>0</f>
        <v>0</v>
      </c>
      <c r="AL238" s="219">
        <f t="shared" si="12"/>
        <v>4</v>
      </c>
      <c r="AM238" s="103"/>
      <c r="AN238" s="326">
        <f t="shared" si="13"/>
        <v>4</v>
      </c>
      <c r="AO238" s="348">
        <v>45034</v>
      </c>
      <c r="AP238" s="296" t="s">
        <v>192</v>
      </c>
      <c r="AQ238" s="292" t="s">
        <v>1522</v>
      </c>
      <c r="AR238" s="350" t="s">
        <v>194</v>
      </c>
      <c r="AS238" s="301">
        <v>45078</v>
      </c>
      <c r="AT238" s="318"/>
      <c r="AU238" s="318">
        <v>4</v>
      </c>
      <c r="AV238" s="317">
        <f t="shared" si="14"/>
        <v>0</v>
      </c>
      <c r="AW238" s="318" t="s">
        <v>195</v>
      </c>
      <c r="AX238" s="333"/>
      <c r="AY238" s="333"/>
      <c r="AZ238" s="320"/>
      <c r="BA238" s="174"/>
      <c r="BB238" s="174"/>
      <c r="BC238" s="174"/>
    </row>
    <row r="239" spans="1:55" ht="28" customHeight="1">
      <c r="A239" s="195">
        <v>235</v>
      </c>
      <c r="B239" s="315">
        <v>45028</v>
      </c>
      <c r="C239" s="222" t="s">
        <v>198</v>
      </c>
      <c r="D239" s="222" t="s">
        <v>199</v>
      </c>
      <c r="E239" s="222" t="s">
        <v>200</v>
      </c>
      <c r="F239" s="371" t="s">
        <v>837</v>
      </c>
      <c r="G239" s="309" t="s">
        <v>811</v>
      </c>
      <c r="H239" s="310" t="s">
        <v>129</v>
      </c>
      <c r="I239" s="311" t="s">
        <v>812</v>
      </c>
      <c r="J239" s="312" t="s">
        <v>813</v>
      </c>
      <c r="K239" s="328" t="s">
        <v>97</v>
      </c>
      <c r="L239" s="311" t="s">
        <v>159</v>
      </c>
      <c r="M239" s="311" t="s">
        <v>147</v>
      </c>
      <c r="N239" s="311" t="s">
        <v>97</v>
      </c>
      <c r="O239" s="313" t="s">
        <v>97</v>
      </c>
      <c r="P239" s="329"/>
      <c r="Q239" s="330" t="s">
        <v>843</v>
      </c>
      <c r="R239" s="154">
        <v>0</v>
      </c>
      <c r="S239" s="155">
        <f>0</f>
        <v>0</v>
      </c>
      <c r="T239" s="368">
        <v>1</v>
      </c>
      <c r="U239" s="155">
        <v>0</v>
      </c>
      <c r="V239" s="155">
        <f>0</f>
        <v>0</v>
      </c>
      <c r="W239" s="155">
        <f>0</f>
        <v>0</v>
      </c>
      <c r="X239" s="155">
        <f>0</f>
        <v>0</v>
      </c>
      <c r="Y239" s="155">
        <f>0</f>
        <v>0</v>
      </c>
      <c r="Z239" s="155">
        <f>0</f>
        <v>0</v>
      </c>
      <c r="AA239" s="155">
        <f>0</f>
        <v>0</v>
      </c>
      <c r="AB239" s="155">
        <f>0</f>
        <v>0</v>
      </c>
      <c r="AC239" s="155">
        <f>0</f>
        <v>0</v>
      </c>
      <c r="AD239" s="155">
        <f>0</f>
        <v>0</v>
      </c>
      <c r="AE239" s="155">
        <f>0</f>
        <v>0</v>
      </c>
      <c r="AF239" s="155">
        <f>0</f>
        <v>0</v>
      </c>
      <c r="AG239" s="155">
        <f>0</f>
        <v>0</v>
      </c>
      <c r="AH239" s="155">
        <f>0</f>
        <v>0</v>
      </c>
      <c r="AI239" s="155">
        <f>0</f>
        <v>0</v>
      </c>
      <c r="AJ239" s="155">
        <f>0</f>
        <v>0</v>
      </c>
      <c r="AK239" s="155">
        <f>0</f>
        <v>0</v>
      </c>
      <c r="AL239" s="219">
        <f t="shared" si="12"/>
        <v>1</v>
      </c>
      <c r="AM239" s="103"/>
      <c r="AN239" s="326">
        <f t="shared" si="13"/>
        <v>1</v>
      </c>
      <c r="AO239" s="347">
        <v>45029</v>
      </c>
      <c r="AP239" s="291" t="s">
        <v>192</v>
      </c>
      <c r="AQ239" s="292" t="s">
        <v>1521</v>
      </c>
      <c r="AR239" s="293" t="s">
        <v>197</v>
      </c>
      <c r="AS239" s="321"/>
      <c r="AT239" s="318"/>
      <c r="AU239" s="318">
        <v>1</v>
      </c>
      <c r="AV239" s="317">
        <f t="shared" si="14"/>
        <v>0</v>
      </c>
      <c r="AW239" s="318" t="s">
        <v>195</v>
      </c>
      <c r="AX239" s="333"/>
      <c r="AY239" s="333"/>
      <c r="AZ239" s="320"/>
      <c r="BA239" s="174"/>
      <c r="BB239" s="174"/>
      <c r="BC239" s="174"/>
    </row>
    <row r="240" spans="1:55" ht="28" customHeight="1">
      <c r="A240" s="195">
        <v>236</v>
      </c>
      <c r="B240" s="315">
        <v>45028</v>
      </c>
      <c r="C240" s="222" t="s">
        <v>198</v>
      </c>
      <c r="D240" s="222" t="s">
        <v>199</v>
      </c>
      <c r="E240" s="222" t="s">
        <v>200</v>
      </c>
      <c r="F240" s="371" t="s">
        <v>837</v>
      </c>
      <c r="G240" s="309" t="s">
        <v>814</v>
      </c>
      <c r="H240" s="310" t="s">
        <v>129</v>
      </c>
      <c r="I240" s="311" t="s">
        <v>815</v>
      </c>
      <c r="J240" s="312" t="s">
        <v>816</v>
      </c>
      <c r="K240" s="328" t="s">
        <v>97</v>
      </c>
      <c r="L240" s="311" t="s">
        <v>159</v>
      </c>
      <c r="M240" s="311" t="s">
        <v>156</v>
      </c>
      <c r="N240" s="311" t="s">
        <v>97</v>
      </c>
      <c r="O240" s="313" t="s">
        <v>97</v>
      </c>
      <c r="P240" s="329"/>
      <c r="Q240" s="330" t="s">
        <v>843</v>
      </c>
      <c r="R240" s="154">
        <v>0</v>
      </c>
      <c r="S240" s="155">
        <f>0</f>
        <v>0</v>
      </c>
      <c r="T240" s="368">
        <v>1</v>
      </c>
      <c r="U240" s="155">
        <v>0</v>
      </c>
      <c r="V240" s="155">
        <f>0</f>
        <v>0</v>
      </c>
      <c r="W240" s="155">
        <f>0</f>
        <v>0</v>
      </c>
      <c r="X240" s="155">
        <f>0</f>
        <v>0</v>
      </c>
      <c r="Y240" s="155">
        <f>0</f>
        <v>0</v>
      </c>
      <c r="Z240" s="155">
        <f>0</f>
        <v>0</v>
      </c>
      <c r="AA240" s="155">
        <f>0</f>
        <v>0</v>
      </c>
      <c r="AB240" s="155">
        <f>0</f>
        <v>0</v>
      </c>
      <c r="AC240" s="155">
        <f>0</f>
        <v>0</v>
      </c>
      <c r="AD240" s="155">
        <f>0</f>
        <v>0</v>
      </c>
      <c r="AE240" s="155">
        <f>0</f>
        <v>0</v>
      </c>
      <c r="AF240" s="155">
        <f>0</f>
        <v>0</v>
      </c>
      <c r="AG240" s="155">
        <f>0</f>
        <v>0</v>
      </c>
      <c r="AH240" s="155">
        <f>0</f>
        <v>0</v>
      </c>
      <c r="AI240" s="155">
        <f>0</f>
        <v>0</v>
      </c>
      <c r="AJ240" s="155">
        <f>0</f>
        <v>0</v>
      </c>
      <c r="AK240" s="155">
        <f>0</f>
        <v>0</v>
      </c>
      <c r="AL240" s="219">
        <f t="shared" si="12"/>
        <v>1</v>
      </c>
      <c r="AM240" s="103"/>
      <c r="AN240" s="326">
        <f t="shared" si="13"/>
        <v>1</v>
      </c>
      <c r="AO240" s="347">
        <v>45029</v>
      </c>
      <c r="AP240" s="291" t="s">
        <v>192</v>
      </c>
      <c r="AQ240" s="292" t="s">
        <v>1521</v>
      </c>
      <c r="AR240" s="293" t="s">
        <v>197</v>
      </c>
      <c r="AS240" s="321"/>
      <c r="AT240" s="318"/>
      <c r="AU240" s="318">
        <v>1</v>
      </c>
      <c r="AV240" s="317">
        <f t="shared" si="14"/>
        <v>0</v>
      </c>
      <c r="AW240" s="318" t="s">
        <v>195</v>
      </c>
      <c r="AX240" s="333"/>
      <c r="AY240" s="333"/>
      <c r="AZ240" s="320"/>
      <c r="BA240" s="174"/>
      <c r="BB240" s="174"/>
      <c r="BC240" s="174"/>
    </row>
    <row r="241" spans="1:55" ht="28" customHeight="1">
      <c r="A241" s="195">
        <v>237</v>
      </c>
      <c r="B241" s="315">
        <v>45028</v>
      </c>
      <c r="C241" s="222" t="s">
        <v>198</v>
      </c>
      <c r="D241" s="222" t="s">
        <v>199</v>
      </c>
      <c r="E241" s="222" t="s">
        <v>200</v>
      </c>
      <c r="F241" s="371" t="s">
        <v>837</v>
      </c>
      <c r="G241" s="309" t="s">
        <v>817</v>
      </c>
      <c r="H241" s="310" t="s">
        <v>129</v>
      </c>
      <c r="I241" s="311" t="s">
        <v>818</v>
      </c>
      <c r="J241" s="312" t="s">
        <v>819</v>
      </c>
      <c r="K241" s="328" t="s">
        <v>201</v>
      </c>
      <c r="L241" s="311" t="s">
        <v>159</v>
      </c>
      <c r="M241" s="311" t="s">
        <v>156</v>
      </c>
      <c r="N241" s="311" t="s">
        <v>97</v>
      </c>
      <c r="O241" s="313" t="s">
        <v>97</v>
      </c>
      <c r="P241" s="329"/>
      <c r="Q241" s="330" t="s">
        <v>843</v>
      </c>
      <c r="R241" s="154">
        <v>0</v>
      </c>
      <c r="S241" s="155">
        <f>0</f>
        <v>0</v>
      </c>
      <c r="T241" s="368">
        <v>1</v>
      </c>
      <c r="U241" s="155">
        <v>0</v>
      </c>
      <c r="V241" s="155">
        <f>0</f>
        <v>0</v>
      </c>
      <c r="W241" s="155">
        <f>0</f>
        <v>0</v>
      </c>
      <c r="X241" s="155">
        <f>0</f>
        <v>0</v>
      </c>
      <c r="Y241" s="155">
        <f>0</f>
        <v>0</v>
      </c>
      <c r="Z241" s="155">
        <f>0</f>
        <v>0</v>
      </c>
      <c r="AA241" s="155">
        <f>0</f>
        <v>0</v>
      </c>
      <c r="AB241" s="155">
        <f>0</f>
        <v>0</v>
      </c>
      <c r="AC241" s="155">
        <f>0</f>
        <v>0</v>
      </c>
      <c r="AD241" s="155">
        <f>0</f>
        <v>0</v>
      </c>
      <c r="AE241" s="155">
        <f>0</f>
        <v>0</v>
      </c>
      <c r="AF241" s="155">
        <f>0</f>
        <v>0</v>
      </c>
      <c r="AG241" s="155">
        <f>0</f>
        <v>0</v>
      </c>
      <c r="AH241" s="155">
        <f>0</f>
        <v>0</v>
      </c>
      <c r="AI241" s="155">
        <f>0</f>
        <v>0</v>
      </c>
      <c r="AJ241" s="155">
        <f>0</f>
        <v>0</v>
      </c>
      <c r="AK241" s="155">
        <f>0</f>
        <v>0</v>
      </c>
      <c r="AL241" s="219">
        <f t="shared" si="12"/>
        <v>1</v>
      </c>
      <c r="AM241" s="103"/>
      <c r="AN241" s="326">
        <f t="shared" si="13"/>
        <v>1</v>
      </c>
      <c r="AO241" s="347">
        <v>45029</v>
      </c>
      <c r="AP241" s="291" t="s">
        <v>192</v>
      </c>
      <c r="AQ241" s="292" t="s">
        <v>1521</v>
      </c>
      <c r="AR241" s="293" t="s">
        <v>197</v>
      </c>
      <c r="AS241" s="321"/>
      <c r="AT241" s="318"/>
      <c r="AU241" s="318">
        <v>1</v>
      </c>
      <c r="AV241" s="317">
        <f t="shared" si="14"/>
        <v>0</v>
      </c>
      <c r="AW241" s="318" t="s">
        <v>195</v>
      </c>
      <c r="AX241" s="333"/>
      <c r="AY241" s="333"/>
      <c r="AZ241" s="320"/>
      <c r="BA241" s="174"/>
      <c r="BB241" s="174"/>
      <c r="BC241" s="174"/>
    </row>
    <row r="242" spans="1:55" ht="28" customHeight="1">
      <c r="A242" s="195">
        <v>238</v>
      </c>
      <c r="B242" s="315">
        <v>45028</v>
      </c>
      <c r="C242" s="222" t="s">
        <v>198</v>
      </c>
      <c r="D242" s="222" t="s">
        <v>199</v>
      </c>
      <c r="E242" s="222" t="s">
        <v>200</v>
      </c>
      <c r="F242" s="371" t="s">
        <v>837</v>
      </c>
      <c r="G242" s="309" t="s">
        <v>820</v>
      </c>
      <c r="H242" s="310" t="s">
        <v>129</v>
      </c>
      <c r="I242" s="311" t="s">
        <v>821</v>
      </c>
      <c r="J242" s="312" t="s">
        <v>822</v>
      </c>
      <c r="K242" s="328" t="s">
        <v>201</v>
      </c>
      <c r="L242" s="311" t="s">
        <v>159</v>
      </c>
      <c r="M242" s="311" t="s">
        <v>156</v>
      </c>
      <c r="N242" s="311" t="s">
        <v>97</v>
      </c>
      <c r="O242" s="313" t="s">
        <v>97</v>
      </c>
      <c r="P242" s="329"/>
      <c r="Q242" s="330" t="s">
        <v>843</v>
      </c>
      <c r="R242" s="154">
        <v>0</v>
      </c>
      <c r="S242" s="155">
        <f>0</f>
        <v>0</v>
      </c>
      <c r="T242" s="368">
        <v>1</v>
      </c>
      <c r="U242" s="155">
        <v>0</v>
      </c>
      <c r="V242" s="155">
        <f>0</f>
        <v>0</v>
      </c>
      <c r="W242" s="155">
        <f>0</f>
        <v>0</v>
      </c>
      <c r="X242" s="155">
        <f>0</f>
        <v>0</v>
      </c>
      <c r="Y242" s="155">
        <f>0</f>
        <v>0</v>
      </c>
      <c r="Z242" s="155">
        <f>0</f>
        <v>0</v>
      </c>
      <c r="AA242" s="155">
        <f>0</f>
        <v>0</v>
      </c>
      <c r="AB242" s="155">
        <f>0</f>
        <v>0</v>
      </c>
      <c r="AC242" s="155">
        <f>0</f>
        <v>0</v>
      </c>
      <c r="AD242" s="155">
        <f>0</f>
        <v>0</v>
      </c>
      <c r="AE242" s="155">
        <f>0</f>
        <v>0</v>
      </c>
      <c r="AF242" s="155">
        <f>0</f>
        <v>0</v>
      </c>
      <c r="AG242" s="155">
        <f>0</f>
        <v>0</v>
      </c>
      <c r="AH242" s="155">
        <f>0</f>
        <v>0</v>
      </c>
      <c r="AI242" s="155">
        <f>0</f>
        <v>0</v>
      </c>
      <c r="AJ242" s="155">
        <f>0</f>
        <v>0</v>
      </c>
      <c r="AK242" s="155">
        <f>0</f>
        <v>0</v>
      </c>
      <c r="AL242" s="219">
        <f t="shared" si="12"/>
        <v>1</v>
      </c>
      <c r="AM242" s="103"/>
      <c r="AN242" s="326">
        <f t="shared" si="13"/>
        <v>1</v>
      </c>
      <c r="AO242" s="348">
        <v>45034</v>
      </c>
      <c r="AP242" s="296" t="s">
        <v>192</v>
      </c>
      <c r="AQ242" s="292" t="s">
        <v>1522</v>
      </c>
      <c r="AR242" s="350" t="s">
        <v>194</v>
      </c>
      <c r="AS242" s="301">
        <v>45078</v>
      </c>
      <c r="AT242" s="318"/>
      <c r="AU242" s="318"/>
      <c r="AV242" s="317">
        <f t="shared" si="14"/>
        <v>1</v>
      </c>
      <c r="AW242" s="318" t="s">
        <v>195</v>
      </c>
      <c r="AX242" s="333"/>
      <c r="AY242" s="333"/>
      <c r="AZ242" s="320"/>
      <c r="BA242" s="174"/>
      <c r="BB242" s="174"/>
      <c r="BC242" s="174"/>
    </row>
    <row r="243" spans="1:55" ht="28" customHeight="1">
      <c r="A243" s="195">
        <v>239</v>
      </c>
      <c r="B243" s="315">
        <v>45028</v>
      </c>
      <c r="C243" s="222" t="s">
        <v>198</v>
      </c>
      <c r="D243" s="222" t="s">
        <v>199</v>
      </c>
      <c r="E243" s="222" t="s">
        <v>200</v>
      </c>
      <c r="F243" s="371" t="s">
        <v>837</v>
      </c>
      <c r="G243" s="309" t="s">
        <v>823</v>
      </c>
      <c r="H243" s="310" t="s">
        <v>129</v>
      </c>
      <c r="I243" s="311" t="s">
        <v>824</v>
      </c>
      <c r="J243" s="312" t="s">
        <v>825</v>
      </c>
      <c r="K243" s="328" t="s">
        <v>97</v>
      </c>
      <c r="L243" s="311" t="s">
        <v>159</v>
      </c>
      <c r="M243" s="311" t="s">
        <v>864</v>
      </c>
      <c r="N243" s="311" t="s">
        <v>97</v>
      </c>
      <c r="O243" s="313" t="s">
        <v>97</v>
      </c>
      <c r="P243" s="329"/>
      <c r="Q243" s="330" t="s">
        <v>843</v>
      </c>
      <c r="R243" s="154">
        <v>0</v>
      </c>
      <c r="S243" s="155">
        <f>0</f>
        <v>0</v>
      </c>
      <c r="T243" s="368">
        <v>1</v>
      </c>
      <c r="U243" s="155">
        <v>0</v>
      </c>
      <c r="V243" s="155">
        <f>0</f>
        <v>0</v>
      </c>
      <c r="W243" s="155">
        <f>0</f>
        <v>0</v>
      </c>
      <c r="X243" s="155">
        <f>0</f>
        <v>0</v>
      </c>
      <c r="Y243" s="155">
        <f>0</f>
        <v>0</v>
      </c>
      <c r="Z243" s="155">
        <f>0</f>
        <v>0</v>
      </c>
      <c r="AA243" s="155">
        <f>0</f>
        <v>0</v>
      </c>
      <c r="AB243" s="155">
        <f>0</f>
        <v>0</v>
      </c>
      <c r="AC243" s="155">
        <f>0</f>
        <v>0</v>
      </c>
      <c r="AD243" s="155">
        <f>0</f>
        <v>0</v>
      </c>
      <c r="AE243" s="155">
        <f>0</f>
        <v>0</v>
      </c>
      <c r="AF243" s="155">
        <f>0</f>
        <v>0</v>
      </c>
      <c r="AG243" s="155">
        <f>0</f>
        <v>0</v>
      </c>
      <c r="AH243" s="155">
        <f>0</f>
        <v>0</v>
      </c>
      <c r="AI243" s="155">
        <f>0</f>
        <v>0</v>
      </c>
      <c r="AJ243" s="155">
        <f>0</f>
        <v>0</v>
      </c>
      <c r="AK243" s="155">
        <f>0</f>
        <v>0</v>
      </c>
      <c r="AL243" s="219">
        <f t="shared" si="12"/>
        <v>1</v>
      </c>
      <c r="AM243" s="103"/>
      <c r="AN243" s="326">
        <f t="shared" si="13"/>
        <v>1</v>
      </c>
      <c r="AO243" s="331">
        <v>45034</v>
      </c>
      <c r="AP243" s="296" t="s">
        <v>192</v>
      </c>
      <c r="AQ243" s="340" t="s">
        <v>1523</v>
      </c>
      <c r="AR243" s="332" t="s">
        <v>1334</v>
      </c>
      <c r="AS243" s="321"/>
      <c r="AT243" s="318"/>
      <c r="AU243" s="318"/>
      <c r="AV243" s="317">
        <f t="shared" si="14"/>
        <v>1</v>
      </c>
      <c r="AW243" s="318" t="s">
        <v>195</v>
      </c>
      <c r="AX243" s="333"/>
      <c r="AY243" s="333"/>
      <c r="AZ243" s="320"/>
      <c r="BA243" s="174"/>
      <c r="BB243" s="174"/>
      <c r="BC243" s="174"/>
    </row>
    <row r="244" spans="1:55" ht="28" customHeight="1">
      <c r="A244" s="195">
        <v>240</v>
      </c>
      <c r="B244" s="315">
        <v>45028</v>
      </c>
      <c r="C244" s="222" t="s">
        <v>198</v>
      </c>
      <c r="D244" s="222" t="s">
        <v>199</v>
      </c>
      <c r="E244" s="222" t="s">
        <v>200</v>
      </c>
      <c r="F244" s="371" t="s">
        <v>837</v>
      </c>
      <c r="G244" s="309" t="s">
        <v>826</v>
      </c>
      <c r="H244" s="310" t="s">
        <v>129</v>
      </c>
      <c r="I244" s="311" t="s">
        <v>827</v>
      </c>
      <c r="J244" s="312" t="s">
        <v>828</v>
      </c>
      <c r="K244" s="328" t="s">
        <v>201</v>
      </c>
      <c r="L244" s="311" t="s">
        <v>159</v>
      </c>
      <c r="M244" s="311" t="s">
        <v>156</v>
      </c>
      <c r="N244" s="311" t="s">
        <v>97</v>
      </c>
      <c r="O244" s="313" t="s">
        <v>97</v>
      </c>
      <c r="P244" s="329"/>
      <c r="Q244" s="330" t="s">
        <v>843</v>
      </c>
      <c r="R244" s="154">
        <v>0</v>
      </c>
      <c r="S244" s="155">
        <f>0</f>
        <v>0</v>
      </c>
      <c r="T244" s="368">
        <v>1</v>
      </c>
      <c r="U244" s="155">
        <v>0</v>
      </c>
      <c r="V244" s="155">
        <f>0</f>
        <v>0</v>
      </c>
      <c r="W244" s="155">
        <f>0</f>
        <v>0</v>
      </c>
      <c r="X244" s="155">
        <f>0</f>
        <v>0</v>
      </c>
      <c r="Y244" s="155">
        <f>0</f>
        <v>0</v>
      </c>
      <c r="Z244" s="155">
        <f>0</f>
        <v>0</v>
      </c>
      <c r="AA244" s="155">
        <f>0</f>
        <v>0</v>
      </c>
      <c r="AB244" s="155">
        <f>0</f>
        <v>0</v>
      </c>
      <c r="AC244" s="155">
        <f>0</f>
        <v>0</v>
      </c>
      <c r="AD244" s="155">
        <f>0</f>
        <v>0</v>
      </c>
      <c r="AE244" s="155">
        <f>0</f>
        <v>0</v>
      </c>
      <c r="AF244" s="155">
        <f>0</f>
        <v>0</v>
      </c>
      <c r="AG244" s="155">
        <f>0</f>
        <v>0</v>
      </c>
      <c r="AH244" s="155">
        <f>0</f>
        <v>0</v>
      </c>
      <c r="AI244" s="155">
        <f>0</f>
        <v>0</v>
      </c>
      <c r="AJ244" s="155">
        <f>0</f>
        <v>0</v>
      </c>
      <c r="AK244" s="155">
        <f>0</f>
        <v>0</v>
      </c>
      <c r="AL244" s="219">
        <f t="shared" si="12"/>
        <v>1</v>
      </c>
      <c r="AM244" s="103"/>
      <c r="AN244" s="326">
        <f t="shared" si="13"/>
        <v>1</v>
      </c>
      <c r="AO244" s="347">
        <v>45029</v>
      </c>
      <c r="AP244" s="291" t="s">
        <v>192</v>
      </c>
      <c r="AQ244" s="292" t="s">
        <v>1521</v>
      </c>
      <c r="AR244" s="293" t="s">
        <v>197</v>
      </c>
      <c r="AS244" s="321"/>
      <c r="AT244" s="318"/>
      <c r="AU244" s="318">
        <v>1</v>
      </c>
      <c r="AV244" s="317">
        <f t="shared" si="14"/>
        <v>0</v>
      </c>
      <c r="AW244" s="318" t="s">
        <v>195</v>
      </c>
      <c r="AX244" s="333"/>
      <c r="AY244" s="333"/>
      <c r="AZ244" s="320"/>
      <c r="BA244" s="174"/>
      <c r="BB244" s="174"/>
      <c r="BC244" s="174"/>
    </row>
    <row r="245" spans="1:55" ht="28" customHeight="1">
      <c r="A245" s="195">
        <v>241</v>
      </c>
      <c r="B245" s="315">
        <v>45028</v>
      </c>
      <c r="C245" s="222" t="s">
        <v>198</v>
      </c>
      <c r="D245" s="222" t="s">
        <v>199</v>
      </c>
      <c r="E245" s="222" t="s">
        <v>200</v>
      </c>
      <c r="F245" s="371" t="s">
        <v>837</v>
      </c>
      <c r="G245" s="309" t="s">
        <v>829</v>
      </c>
      <c r="H245" s="310" t="s">
        <v>129</v>
      </c>
      <c r="I245" s="311" t="s">
        <v>830</v>
      </c>
      <c r="J245" s="312" t="s">
        <v>831</v>
      </c>
      <c r="K245" s="328" t="s">
        <v>201</v>
      </c>
      <c r="L245" s="311" t="s">
        <v>159</v>
      </c>
      <c r="M245" s="311" t="s">
        <v>156</v>
      </c>
      <c r="N245" s="311" t="s">
        <v>97</v>
      </c>
      <c r="O245" s="313" t="s">
        <v>97</v>
      </c>
      <c r="P245" s="329"/>
      <c r="Q245" s="330" t="s">
        <v>843</v>
      </c>
      <c r="R245" s="154">
        <v>0</v>
      </c>
      <c r="S245" s="155">
        <f>0</f>
        <v>0</v>
      </c>
      <c r="T245" s="368">
        <v>1</v>
      </c>
      <c r="U245" s="155">
        <v>0</v>
      </c>
      <c r="V245" s="155">
        <f>0</f>
        <v>0</v>
      </c>
      <c r="W245" s="155">
        <f>0</f>
        <v>0</v>
      </c>
      <c r="X245" s="155">
        <f>0</f>
        <v>0</v>
      </c>
      <c r="Y245" s="155">
        <f>0</f>
        <v>0</v>
      </c>
      <c r="Z245" s="155">
        <f>0</f>
        <v>0</v>
      </c>
      <c r="AA245" s="155">
        <f>0</f>
        <v>0</v>
      </c>
      <c r="AB245" s="155">
        <f>0</f>
        <v>0</v>
      </c>
      <c r="AC245" s="155">
        <f>0</f>
        <v>0</v>
      </c>
      <c r="AD245" s="155">
        <f>0</f>
        <v>0</v>
      </c>
      <c r="AE245" s="155">
        <f>0</f>
        <v>0</v>
      </c>
      <c r="AF245" s="155">
        <f>0</f>
        <v>0</v>
      </c>
      <c r="AG245" s="155">
        <f>0</f>
        <v>0</v>
      </c>
      <c r="AH245" s="155">
        <f>0</f>
        <v>0</v>
      </c>
      <c r="AI245" s="155">
        <f>0</f>
        <v>0</v>
      </c>
      <c r="AJ245" s="155">
        <f>0</f>
        <v>0</v>
      </c>
      <c r="AK245" s="155">
        <f>0</f>
        <v>0</v>
      </c>
      <c r="AL245" s="219">
        <f t="shared" si="12"/>
        <v>1</v>
      </c>
      <c r="AM245" s="103"/>
      <c r="AN245" s="326">
        <f t="shared" si="13"/>
        <v>1</v>
      </c>
      <c r="AO245" s="348">
        <v>45034</v>
      </c>
      <c r="AP245" s="296" t="s">
        <v>192</v>
      </c>
      <c r="AQ245" s="292" t="s">
        <v>1522</v>
      </c>
      <c r="AR245" s="350" t="s">
        <v>194</v>
      </c>
      <c r="AS245" s="301">
        <v>45078</v>
      </c>
      <c r="AT245" s="318"/>
      <c r="AU245" s="318"/>
      <c r="AV245" s="317">
        <f t="shared" si="14"/>
        <v>1</v>
      </c>
      <c r="AW245" s="318" t="s">
        <v>195</v>
      </c>
      <c r="AX245" s="333"/>
      <c r="AY245" s="333"/>
      <c r="AZ245" s="320"/>
      <c r="BA245" s="174"/>
      <c r="BB245" s="174"/>
      <c r="BC245" s="174"/>
    </row>
    <row r="246" spans="1:55" ht="28" customHeight="1">
      <c r="A246" s="195">
        <v>242</v>
      </c>
      <c r="B246" s="315">
        <v>45028</v>
      </c>
      <c r="C246" s="222" t="s">
        <v>198</v>
      </c>
      <c r="D246" s="222" t="s">
        <v>199</v>
      </c>
      <c r="E246" s="222" t="s">
        <v>200</v>
      </c>
      <c r="F246" s="371" t="s">
        <v>837</v>
      </c>
      <c r="G246" s="309" t="s">
        <v>832</v>
      </c>
      <c r="H246" s="310" t="s">
        <v>129</v>
      </c>
      <c r="I246" s="311" t="s">
        <v>809</v>
      </c>
      <c r="J246" s="312" t="s">
        <v>833</v>
      </c>
      <c r="K246" s="328" t="s">
        <v>201</v>
      </c>
      <c r="L246" s="311" t="s">
        <v>159</v>
      </c>
      <c r="M246" s="311" t="s">
        <v>156</v>
      </c>
      <c r="N246" s="311" t="s">
        <v>97</v>
      </c>
      <c r="O246" s="313" t="s">
        <v>97</v>
      </c>
      <c r="P246" s="329"/>
      <c r="Q246" s="330" t="s">
        <v>843</v>
      </c>
      <c r="R246" s="154">
        <v>0</v>
      </c>
      <c r="S246" s="155">
        <f>0</f>
        <v>0</v>
      </c>
      <c r="T246" s="368">
        <v>2</v>
      </c>
      <c r="U246" s="155">
        <v>0</v>
      </c>
      <c r="V246" s="155">
        <f>0</f>
        <v>0</v>
      </c>
      <c r="W246" s="155">
        <f>0</f>
        <v>0</v>
      </c>
      <c r="X246" s="155">
        <f>0</f>
        <v>0</v>
      </c>
      <c r="Y246" s="155">
        <f>0</f>
        <v>0</v>
      </c>
      <c r="Z246" s="155">
        <f>0</f>
        <v>0</v>
      </c>
      <c r="AA246" s="155">
        <f>0</f>
        <v>0</v>
      </c>
      <c r="AB246" s="155">
        <f>0</f>
        <v>0</v>
      </c>
      <c r="AC246" s="155">
        <f>0</f>
        <v>0</v>
      </c>
      <c r="AD246" s="155">
        <f>0</f>
        <v>0</v>
      </c>
      <c r="AE246" s="155">
        <f>0</f>
        <v>0</v>
      </c>
      <c r="AF246" s="155">
        <f>0</f>
        <v>0</v>
      </c>
      <c r="AG246" s="155">
        <f>0</f>
        <v>0</v>
      </c>
      <c r="AH246" s="155">
        <f>0</f>
        <v>0</v>
      </c>
      <c r="AI246" s="155">
        <f>0</f>
        <v>0</v>
      </c>
      <c r="AJ246" s="155">
        <f>0</f>
        <v>0</v>
      </c>
      <c r="AK246" s="155">
        <f>0</f>
        <v>0</v>
      </c>
      <c r="AL246" s="219">
        <f t="shared" si="12"/>
        <v>2</v>
      </c>
      <c r="AM246" s="103"/>
      <c r="AN246" s="326">
        <f t="shared" si="13"/>
        <v>2</v>
      </c>
      <c r="AO246" s="347">
        <v>45029</v>
      </c>
      <c r="AP246" s="291" t="s">
        <v>192</v>
      </c>
      <c r="AQ246" s="292" t="s">
        <v>1521</v>
      </c>
      <c r="AR246" s="293" t="s">
        <v>197</v>
      </c>
      <c r="AS246" s="321"/>
      <c r="AT246" s="318"/>
      <c r="AU246" s="318">
        <v>2</v>
      </c>
      <c r="AV246" s="317">
        <f t="shared" si="14"/>
        <v>0</v>
      </c>
      <c r="AW246" s="318" t="s">
        <v>195</v>
      </c>
      <c r="AX246" s="333"/>
      <c r="AY246" s="333"/>
      <c r="AZ246" s="320"/>
      <c r="BA246" s="174"/>
      <c r="BB246" s="174"/>
      <c r="BC246" s="174"/>
    </row>
    <row r="247" spans="1:55" ht="28" customHeight="1">
      <c r="A247" s="195">
        <v>243</v>
      </c>
      <c r="B247" s="315">
        <v>45028</v>
      </c>
      <c r="C247" s="222" t="s">
        <v>198</v>
      </c>
      <c r="D247" s="222" t="s">
        <v>199</v>
      </c>
      <c r="E247" s="222" t="s">
        <v>200</v>
      </c>
      <c r="F247" s="371" t="s">
        <v>837</v>
      </c>
      <c r="G247" s="309" t="s">
        <v>834</v>
      </c>
      <c r="H247" s="310" t="s">
        <v>129</v>
      </c>
      <c r="I247" s="311" t="s">
        <v>835</v>
      </c>
      <c r="J247" s="312" t="s">
        <v>836</v>
      </c>
      <c r="K247" s="328" t="s">
        <v>201</v>
      </c>
      <c r="L247" s="311" t="s">
        <v>159</v>
      </c>
      <c r="M247" s="311" t="s">
        <v>147</v>
      </c>
      <c r="N247" s="311" t="s">
        <v>97</v>
      </c>
      <c r="O247" s="313" t="s">
        <v>97</v>
      </c>
      <c r="P247" s="329"/>
      <c r="Q247" s="330" t="s">
        <v>843</v>
      </c>
      <c r="R247" s="154">
        <v>0</v>
      </c>
      <c r="S247" s="155">
        <f>0</f>
        <v>0</v>
      </c>
      <c r="T247" s="368">
        <v>1</v>
      </c>
      <c r="U247" s="155">
        <v>0</v>
      </c>
      <c r="V247" s="155">
        <f>0</f>
        <v>0</v>
      </c>
      <c r="W247" s="155">
        <f>0</f>
        <v>0</v>
      </c>
      <c r="X247" s="155">
        <f>0</f>
        <v>0</v>
      </c>
      <c r="Y247" s="155">
        <f>0</f>
        <v>0</v>
      </c>
      <c r="Z247" s="155">
        <f>0</f>
        <v>0</v>
      </c>
      <c r="AA247" s="155">
        <f>0</f>
        <v>0</v>
      </c>
      <c r="AB247" s="155">
        <f>0</f>
        <v>0</v>
      </c>
      <c r="AC247" s="155">
        <f>0</f>
        <v>0</v>
      </c>
      <c r="AD247" s="155">
        <f>0</f>
        <v>0</v>
      </c>
      <c r="AE247" s="155">
        <f>0</f>
        <v>0</v>
      </c>
      <c r="AF247" s="155">
        <f>0</f>
        <v>0</v>
      </c>
      <c r="AG247" s="155">
        <f>0</f>
        <v>0</v>
      </c>
      <c r="AH247" s="155">
        <f>0</f>
        <v>0</v>
      </c>
      <c r="AI247" s="155">
        <f>0</f>
        <v>0</v>
      </c>
      <c r="AJ247" s="155">
        <f>0</f>
        <v>0</v>
      </c>
      <c r="AK247" s="155">
        <f>0</f>
        <v>0</v>
      </c>
      <c r="AL247" s="219">
        <f t="shared" si="12"/>
        <v>1</v>
      </c>
      <c r="AM247" s="103"/>
      <c r="AN247" s="326">
        <f t="shared" si="13"/>
        <v>1</v>
      </c>
      <c r="AO247" s="348">
        <v>45034</v>
      </c>
      <c r="AP247" s="296" t="s">
        <v>192</v>
      </c>
      <c r="AQ247" s="292" t="s">
        <v>1522</v>
      </c>
      <c r="AR247" s="350" t="s">
        <v>194</v>
      </c>
      <c r="AS247" s="301">
        <v>45078</v>
      </c>
      <c r="AT247" s="318"/>
      <c r="AU247" s="318">
        <v>1</v>
      </c>
      <c r="AV247" s="317">
        <f t="shared" si="14"/>
        <v>0</v>
      </c>
      <c r="AW247" s="318" t="s">
        <v>195</v>
      </c>
      <c r="AX247" s="333"/>
      <c r="AY247" s="333"/>
      <c r="AZ247" s="320"/>
      <c r="BA247" s="174"/>
      <c r="BB247" s="174"/>
      <c r="BC247" s="174"/>
    </row>
    <row r="248" spans="1:55" ht="28" customHeight="1">
      <c r="A248" s="195">
        <v>244</v>
      </c>
      <c r="B248" s="315">
        <v>45028</v>
      </c>
      <c r="C248" s="222" t="s">
        <v>198</v>
      </c>
      <c r="D248" s="222" t="s">
        <v>199</v>
      </c>
      <c r="E248" s="359"/>
      <c r="F248" s="371" t="s">
        <v>837</v>
      </c>
      <c r="G248" s="309" t="s">
        <v>840</v>
      </c>
      <c r="H248" s="310" t="s">
        <v>129</v>
      </c>
      <c r="I248" s="311" t="s">
        <v>839</v>
      </c>
      <c r="J248" s="312" t="s">
        <v>838</v>
      </c>
      <c r="K248" s="328" t="s">
        <v>201</v>
      </c>
      <c r="L248" s="311" t="s">
        <v>842</v>
      </c>
      <c r="M248" s="311" t="s">
        <v>841</v>
      </c>
      <c r="N248" s="311" t="s">
        <v>97</v>
      </c>
      <c r="O248" s="342" t="s">
        <v>201</v>
      </c>
      <c r="P248" s="329"/>
      <c r="Q248" s="330" t="s">
        <v>843</v>
      </c>
      <c r="R248" s="154">
        <v>0</v>
      </c>
      <c r="S248" s="155">
        <f>0</f>
        <v>0</v>
      </c>
      <c r="T248" s="368">
        <v>1</v>
      </c>
      <c r="U248" s="155">
        <v>0</v>
      </c>
      <c r="V248" s="155">
        <f>0</f>
        <v>0</v>
      </c>
      <c r="W248" s="155">
        <f>0</f>
        <v>0</v>
      </c>
      <c r="X248" s="155">
        <f>0</f>
        <v>0</v>
      </c>
      <c r="Y248" s="155">
        <f>0</f>
        <v>0</v>
      </c>
      <c r="Z248" s="155">
        <f>0</f>
        <v>0</v>
      </c>
      <c r="AA248" s="155">
        <f>0</f>
        <v>0</v>
      </c>
      <c r="AB248" s="155">
        <f>0</f>
        <v>0</v>
      </c>
      <c r="AC248" s="155">
        <f>0</f>
        <v>0</v>
      </c>
      <c r="AD248" s="155">
        <f>0</f>
        <v>0</v>
      </c>
      <c r="AE248" s="155">
        <f>0</f>
        <v>0</v>
      </c>
      <c r="AF248" s="155">
        <f>0</f>
        <v>0</v>
      </c>
      <c r="AG248" s="155">
        <f>0</f>
        <v>0</v>
      </c>
      <c r="AH248" s="155">
        <f>0</f>
        <v>0</v>
      </c>
      <c r="AI248" s="155">
        <f>0</f>
        <v>0</v>
      </c>
      <c r="AJ248" s="155">
        <f>0</f>
        <v>0</v>
      </c>
      <c r="AK248" s="155">
        <f>0</f>
        <v>0</v>
      </c>
      <c r="AL248" s="219">
        <f t="shared" si="12"/>
        <v>1</v>
      </c>
      <c r="AM248" s="103"/>
      <c r="AN248" s="326">
        <f t="shared" si="13"/>
        <v>1</v>
      </c>
      <c r="AO248" s="331">
        <v>45034</v>
      </c>
      <c r="AP248" s="296" t="s">
        <v>192</v>
      </c>
      <c r="AQ248" s="340" t="s">
        <v>1523</v>
      </c>
      <c r="AR248" s="332" t="s">
        <v>1334</v>
      </c>
      <c r="AS248" s="321"/>
      <c r="AT248" s="318"/>
      <c r="AU248" s="318"/>
      <c r="AV248" s="317">
        <f t="shared" si="14"/>
        <v>1</v>
      </c>
      <c r="AW248" s="318" t="s">
        <v>195</v>
      </c>
      <c r="AX248" s="333"/>
      <c r="AY248" s="333"/>
      <c r="AZ248" s="320"/>
      <c r="BA248" s="174"/>
      <c r="BB248" s="174"/>
      <c r="BC248" s="174"/>
    </row>
    <row r="249" spans="1:55" ht="28" customHeight="1">
      <c r="A249" s="195">
        <v>245</v>
      </c>
      <c r="B249" s="315">
        <v>45028</v>
      </c>
      <c r="C249" s="222" t="s">
        <v>198</v>
      </c>
      <c r="D249" s="222" t="s">
        <v>199</v>
      </c>
      <c r="E249" s="222" t="s">
        <v>200</v>
      </c>
      <c r="F249" s="371" t="s">
        <v>837</v>
      </c>
      <c r="G249" s="309" t="s">
        <v>844</v>
      </c>
      <c r="H249" s="310" t="s">
        <v>129</v>
      </c>
      <c r="I249" s="311" t="s">
        <v>845</v>
      </c>
      <c r="J249" s="312" t="s">
        <v>846</v>
      </c>
      <c r="K249" s="328" t="s">
        <v>97</v>
      </c>
      <c r="L249" s="311" t="s">
        <v>159</v>
      </c>
      <c r="M249" s="311" t="s">
        <v>156</v>
      </c>
      <c r="N249" s="311" t="s">
        <v>97</v>
      </c>
      <c r="O249" s="334" t="s">
        <v>97</v>
      </c>
      <c r="P249" s="329"/>
      <c r="Q249" s="330" t="s">
        <v>843</v>
      </c>
      <c r="R249" s="154">
        <v>0</v>
      </c>
      <c r="S249" s="155">
        <f>0</f>
        <v>0</v>
      </c>
      <c r="T249" s="368">
        <v>4</v>
      </c>
      <c r="U249" s="155">
        <v>0</v>
      </c>
      <c r="V249" s="155">
        <f>0</f>
        <v>0</v>
      </c>
      <c r="W249" s="155">
        <f>0</f>
        <v>0</v>
      </c>
      <c r="X249" s="155">
        <f>0</f>
        <v>0</v>
      </c>
      <c r="Y249" s="155">
        <f>0</f>
        <v>0</v>
      </c>
      <c r="Z249" s="155">
        <f>0</f>
        <v>0</v>
      </c>
      <c r="AA249" s="155">
        <f>0</f>
        <v>0</v>
      </c>
      <c r="AB249" s="155">
        <f>0</f>
        <v>0</v>
      </c>
      <c r="AC249" s="155">
        <f>0</f>
        <v>0</v>
      </c>
      <c r="AD249" s="155">
        <f>0</f>
        <v>0</v>
      </c>
      <c r="AE249" s="155">
        <f>0</f>
        <v>0</v>
      </c>
      <c r="AF249" s="155">
        <f>0</f>
        <v>0</v>
      </c>
      <c r="AG249" s="155">
        <f>0</f>
        <v>0</v>
      </c>
      <c r="AH249" s="155">
        <f>0</f>
        <v>0</v>
      </c>
      <c r="AI249" s="155">
        <f>0</f>
        <v>0</v>
      </c>
      <c r="AJ249" s="155">
        <f>0</f>
        <v>0</v>
      </c>
      <c r="AK249" s="155">
        <f>0</f>
        <v>0</v>
      </c>
      <c r="AL249" s="219">
        <f t="shared" si="12"/>
        <v>4</v>
      </c>
      <c r="AM249" s="103"/>
      <c r="AN249" s="326">
        <f t="shared" si="13"/>
        <v>4</v>
      </c>
      <c r="AO249" s="348">
        <v>45034</v>
      </c>
      <c r="AP249" s="296" t="s">
        <v>192</v>
      </c>
      <c r="AQ249" s="292" t="s">
        <v>1522</v>
      </c>
      <c r="AR249" s="350" t="s">
        <v>194</v>
      </c>
      <c r="AS249" s="301">
        <v>45078</v>
      </c>
      <c r="AT249" s="318"/>
      <c r="AU249" s="318">
        <v>4</v>
      </c>
      <c r="AV249" s="317">
        <f t="shared" si="14"/>
        <v>0</v>
      </c>
      <c r="AW249" s="318" t="s">
        <v>195</v>
      </c>
      <c r="AX249" s="333"/>
      <c r="AY249" s="333"/>
      <c r="AZ249" s="320"/>
      <c r="BA249" s="174"/>
      <c r="BB249" s="174"/>
      <c r="BC249" s="174"/>
    </row>
    <row r="250" spans="1:55" ht="28" customHeight="1">
      <c r="A250" s="195">
        <v>246</v>
      </c>
      <c r="B250" s="315">
        <v>45028</v>
      </c>
      <c r="C250" s="222" t="s">
        <v>198</v>
      </c>
      <c r="D250" s="222" t="s">
        <v>199</v>
      </c>
      <c r="E250" s="222" t="s">
        <v>200</v>
      </c>
      <c r="F250" s="371" t="s">
        <v>837</v>
      </c>
      <c r="G250" s="309" t="s">
        <v>847</v>
      </c>
      <c r="H250" s="310" t="s">
        <v>129</v>
      </c>
      <c r="I250" s="311" t="s">
        <v>848</v>
      </c>
      <c r="J250" s="312" t="s">
        <v>849</v>
      </c>
      <c r="K250" s="328" t="s">
        <v>97</v>
      </c>
      <c r="L250" s="311" t="s">
        <v>159</v>
      </c>
      <c r="M250" s="311" t="s">
        <v>864</v>
      </c>
      <c r="N250" s="311" t="s">
        <v>97</v>
      </c>
      <c r="O250" s="334" t="s">
        <v>97</v>
      </c>
      <c r="P250" s="329"/>
      <c r="Q250" s="330" t="s">
        <v>843</v>
      </c>
      <c r="R250" s="154">
        <v>0</v>
      </c>
      <c r="S250" s="155">
        <f>0</f>
        <v>0</v>
      </c>
      <c r="T250" s="368">
        <v>1</v>
      </c>
      <c r="U250" s="155">
        <v>0</v>
      </c>
      <c r="V250" s="155">
        <f>0</f>
        <v>0</v>
      </c>
      <c r="W250" s="155">
        <f>0</f>
        <v>0</v>
      </c>
      <c r="X250" s="155">
        <f>0</f>
        <v>0</v>
      </c>
      <c r="Y250" s="155">
        <f>0</f>
        <v>0</v>
      </c>
      <c r="Z250" s="155">
        <f>0</f>
        <v>0</v>
      </c>
      <c r="AA250" s="155">
        <f>0</f>
        <v>0</v>
      </c>
      <c r="AB250" s="155">
        <f>0</f>
        <v>0</v>
      </c>
      <c r="AC250" s="155">
        <f>0</f>
        <v>0</v>
      </c>
      <c r="AD250" s="155">
        <f>0</f>
        <v>0</v>
      </c>
      <c r="AE250" s="155">
        <f>0</f>
        <v>0</v>
      </c>
      <c r="AF250" s="155">
        <f>0</f>
        <v>0</v>
      </c>
      <c r="AG250" s="155">
        <f>0</f>
        <v>0</v>
      </c>
      <c r="AH250" s="155">
        <f>0</f>
        <v>0</v>
      </c>
      <c r="AI250" s="155">
        <f>0</f>
        <v>0</v>
      </c>
      <c r="AJ250" s="155">
        <f>0</f>
        <v>0</v>
      </c>
      <c r="AK250" s="155">
        <f>0</f>
        <v>0</v>
      </c>
      <c r="AL250" s="219">
        <f t="shared" si="12"/>
        <v>1</v>
      </c>
      <c r="AM250" s="103"/>
      <c r="AN250" s="326">
        <f t="shared" si="13"/>
        <v>1</v>
      </c>
      <c r="AO250" s="331">
        <v>45034</v>
      </c>
      <c r="AP250" s="296" t="s">
        <v>192</v>
      </c>
      <c r="AQ250" s="340" t="s">
        <v>1523</v>
      </c>
      <c r="AR250" s="332" t="s">
        <v>1334</v>
      </c>
      <c r="AS250" s="321"/>
      <c r="AT250" s="318"/>
      <c r="AU250" s="318"/>
      <c r="AV250" s="317">
        <f t="shared" si="14"/>
        <v>1</v>
      </c>
      <c r="AW250" s="318" t="s">
        <v>1550</v>
      </c>
      <c r="AX250" s="333"/>
      <c r="AY250" s="333"/>
      <c r="AZ250" s="320"/>
      <c r="BA250" s="174"/>
      <c r="BB250" s="174"/>
      <c r="BC250" s="174"/>
    </row>
    <row r="251" spans="1:55" ht="28" customHeight="1">
      <c r="A251" s="195">
        <v>247</v>
      </c>
      <c r="B251" s="315">
        <v>45028</v>
      </c>
      <c r="C251" s="222" t="s">
        <v>198</v>
      </c>
      <c r="D251" s="222" t="s">
        <v>199</v>
      </c>
      <c r="E251" s="222" t="s">
        <v>200</v>
      </c>
      <c r="F251" s="371" t="s">
        <v>837</v>
      </c>
      <c r="G251" s="309" t="s">
        <v>850</v>
      </c>
      <c r="H251" s="310" t="s">
        <v>129</v>
      </c>
      <c r="I251" s="311" t="s">
        <v>851</v>
      </c>
      <c r="J251" s="312" t="s">
        <v>852</v>
      </c>
      <c r="K251" s="328" t="s">
        <v>97</v>
      </c>
      <c r="L251" s="311" t="s">
        <v>159</v>
      </c>
      <c r="M251" s="311" t="s">
        <v>156</v>
      </c>
      <c r="N251" s="311" t="s">
        <v>97</v>
      </c>
      <c r="O251" s="334" t="s">
        <v>97</v>
      </c>
      <c r="P251" s="329"/>
      <c r="Q251" s="330" t="s">
        <v>843</v>
      </c>
      <c r="R251" s="154">
        <v>0</v>
      </c>
      <c r="S251" s="155">
        <f>0</f>
        <v>0</v>
      </c>
      <c r="T251" s="368">
        <v>9</v>
      </c>
      <c r="U251" s="155">
        <v>0</v>
      </c>
      <c r="V251" s="155">
        <f>0</f>
        <v>0</v>
      </c>
      <c r="W251" s="155">
        <f>0</f>
        <v>0</v>
      </c>
      <c r="X251" s="155">
        <f>0</f>
        <v>0</v>
      </c>
      <c r="Y251" s="155">
        <f>0</f>
        <v>0</v>
      </c>
      <c r="Z251" s="155">
        <f>0</f>
        <v>0</v>
      </c>
      <c r="AA251" s="155">
        <f>0</f>
        <v>0</v>
      </c>
      <c r="AB251" s="155">
        <f>0</f>
        <v>0</v>
      </c>
      <c r="AC251" s="155">
        <f>0</f>
        <v>0</v>
      </c>
      <c r="AD251" s="155">
        <f>0</f>
        <v>0</v>
      </c>
      <c r="AE251" s="155">
        <f>0</f>
        <v>0</v>
      </c>
      <c r="AF251" s="155">
        <f>0</f>
        <v>0</v>
      </c>
      <c r="AG251" s="155">
        <f>0</f>
        <v>0</v>
      </c>
      <c r="AH251" s="155">
        <f>0</f>
        <v>0</v>
      </c>
      <c r="AI251" s="155">
        <f>0</f>
        <v>0</v>
      </c>
      <c r="AJ251" s="155">
        <f>0</f>
        <v>0</v>
      </c>
      <c r="AK251" s="155">
        <f>0</f>
        <v>0</v>
      </c>
      <c r="AL251" s="219">
        <f t="shared" si="12"/>
        <v>9</v>
      </c>
      <c r="AM251" s="103"/>
      <c r="AN251" s="326">
        <f t="shared" si="13"/>
        <v>9</v>
      </c>
      <c r="AO251" s="347">
        <v>45029</v>
      </c>
      <c r="AP251" s="291" t="s">
        <v>192</v>
      </c>
      <c r="AQ251" s="292" t="s">
        <v>1521</v>
      </c>
      <c r="AR251" s="293" t="s">
        <v>197</v>
      </c>
      <c r="AS251" s="321"/>
      <c r="AT251" s="318"/>
      <c r="AU251" s="318">
        <v>9</v>
      </c>
      <c r="AV251" s="317">
        <f t="shared" si="14"/>
        <v>0</v>
      </c>
      <c r="AW251" s="318" t="s">
        <v>195</v>
      </c>
      <c r="AX251" s="333"/>
      <c r="AY251" s="333"/>
      <c r="AZ251" s="320"/>
      <c r="BA251" s="174"/>
      <c r="BB251" s="174"/>
      <c r="BC251" s="174"/>
    </row>
    <row r="252" spans="1:55" ht="28" customHeight="1">
      <c r="A252" s="195">
        <v>248</v>
      </c>
      <c r="B252" s="315">
        <v>45028</v>
      </c>
      <c r="C252" s="222" t="s">
        <v>198</v>
      </c>
      <c r="D252" s="222" t="s">
        <v>199</v>
      </c>
      <c r="E252" s="359"/>
      <c r="F252" s="371" t="s">
        <v>837</v>
      </c>
      <c r="G252" s="309" t="s">
        <v>854</v>
      </c>
      <c r="H252" s="310" t="s">
        <v>129</v>
      </c>
      <c r="I252" s="311" t="s">
        <v>853</v>
      </c>
      <c r="J252" s="312" t="s">
        <v>855</v>
      </c>
      <c r="K252" s="328" t="s">
        <v>201</v>
      </c>
      <c r="L252" s="311" t="s">
        <v>842</v>
      </c>
      <c r="M252" s="311" t="s">
        <v>841</v>
      </c>
      <c r="N252" s="311" t="s">
        <v>97</v>
      </c>
      <c r="O252" s="342" t="s">
        <v>201</v>
      </c>
      <c r="P252" s="329"/>
      <c r="Q252" s="330" t="s">
        <v>843</v>
      </c>
      <c r="R252" s="154">
        <v>0</v>
      </c>
      <c r="S252" s="155">
        <f>0</f>
        <v>0</v>
      </c>
      <c r="T252" s="368">
        <v>1</v>
      </c>
      <c r="U252" s="155">
        <v>0</v>
      </c>
      <c r="V252" s="155">
        <f>0</f>
        <v>0</v>
      </c>
      <c r="W252" s="155">
        <f>0</f>
        <v>0</v>
      </c>
      <c r="X252" s="155">
        <f>0</f>
        <v>0</v>
      </c>
      <c r="Y252" s="155">
        <f>0</f>
        <v>0</v>
      </c>
      <c r="Z252" s="155">
        <f>0</f>
        <v>0</v>
      </c>
      <c r="AA252" s="155">
        <f>0</f>
        <v>0</v>
      </c>
      <c r="AB252" s="155">
        <f>0</f>
        <v>0</v>
      </c>
      <c r="AC252" s="155">
        <f>0</f>
        <v>0</v>
      </c>
      <c r="AD252" s="155">
        <f>0</f>
        <v>0</v>
      </c>
      <c r="AE252" s="155">
        <f>0</f>
        <v>0</v>
      </c>
      <c r="AF252" s="155">
        <f>0</f>
        <v>0</v>
      </c>
      <c r="AG252" s="155">
        <f>0</f>
        <v>0</v>
      </c>
      <c r="AH252" s="155">
        <f>0</f>
        <v>0</v>
      </c>
      <c r="AI252" s="155">
        <f>0</f>
        <v>0</v>
      </c>
      <c r="AJ252" s="155">
        <f>0</f>
        <v>0</v>
      </c>
      <c r="AK252" s="155">
        <f>0</f>
        <v>0</v>
      </c>
      <c r="AL252" s="219">
        <f t="shared" si="12"/>
        <v>1</v>
      </c>
      <c r="AM252" s="103"/>
      <c r="AN252" s="326">
        <f t="shared" si="13"/>
        <v>1</v>
      </c>
      <c r="AO252" s="331">
        <v>45034</v>
      </c>
      <c r="AP252" s="291" t="s">
        <v>192</v>
      </c>
      <c r="AQ252" s="340" t="s">
        <v>1523</v>
      </c>
      <c r="AR252" s="332" t="s">
        <v>1334</v>
      </c>
      <c r="AS252" s="321"/>
      <c r="AT252" s="318"/>
      <c r="AU252" s="318"/>
      <c r="AV252" s="317">
        <f t="shared" si="14"/>
        <v>1</v>
      </c>
      <c r="AW252" s="318" t="s">
        <v>1550</v>
      </c>
      <c r="AX252" s="333"/>
      <c r="AY252" s="333"/>
      <c r="AZ252" s="320"/>
      <c r="BA252" s="174"/>
      <c r="BB252" s="174"/>
      <c r="BC252" s="174"/>
    </row>
    <row r="253" spans="1:55" ht="28" customHeight="1">
      <c r="A253" s="195">
        <v>249</v>
      </c>
      <c r="B253" s="315">
        <v>45028</v>
      </c>
      <c r="C253" s="222" t="s">
        <v>198</v>
      </c>
      <c r="D253" s="222" t="s">
        <v>199</v>
      </c>
      <c r="E253" s="222" t="s">
        <v>200</v>
      </c>
      <c r="F253" s="371" t="s">
        <v>837</v>
      </c>
      <c r="G253" s="309" t="s">
        <v>856</v>
      </c>
      <c r="H253" s="310" t="s">
        <v>129</v>
      </c>
      <c r="I253" s="311" t="s">
        <v>848</v>
      </c>
      <c r="J253" s="312" t="s">
        <v>857</v>
      </c>
      <c r="K253" s="328" t="s">
        <v>97</v>
      </c>
      <c r="L253" s="311" t="s">
        <v>159</v>
      </c>
      <c r="M253" s="311" t="s">
        <v>864</v>
      </c>
      <c r="N253" s="311" t="s">
        <v>97</v>
      </c>
      <c r="O253" s="334" t="s">
        <v>97</v>
      </c>
      <c r="P253" s="329"/>
      <c r="Q253" s="330" t="s">
        <v>843</v>
      </c>
      <c r="R253" s="154">
        <v>0</v>
      </c>
      <c r="S253" s="155">
        <f>0</f>
        <v>0</v>
      </c>
      <c r="T253" s="263">
        <v>1</v>
      </c>
      <c r="U253" s="155">
        <v>0</v>
      </c>
      <c r="V253" s="155">
        <f>0</f>
        <v>0</v>
      </c>
      <c r="W253" s="155">
        <f>0</f>
        <v>0</v>
      </c>
      <c r="X253" s="155">
        <f>0</f>
        <v>0</v>
      </c>
      <c r="Y253" s="155">
        <f>0</f>
        <v>0</v>
      </c>
      <c r="Z253" s="155">
        <f>0</f>
        <v>0</v>
      </c>
      <c r="AA253" s="155">
        <f>0</f>
        <v>0</v>
      </c>
      <c r="AB253" s="155">
        <f>0</f>
        <v>0</v>
      </c>
      <c r="AC253" s="155">
        <f>0</f>
        <v>0</v>
      </c>
      <c r="AD253" s="155">
        <f>0</f>
        <v>0</v>
      </c>
      <c r="AE253" s="155">
        <f>0</f>
        <v>0</v>
      </c>
      <c r="AF253" s="155">
        <f>0</f>
        <v>0</v>
      </c>
      <c r="AG253" s="155">
        <f>0</f>
        <v>0</v>
      </c>
      <c r="AH253" s="155">
        <f>0</f>
        <v>0</v>
      </c>
      <c r="AI253" s="155">
        <f>0</f>
        <v>0</v>
      </c>
      <c r="AJ253" s="155">
        <f>0</f>
        <v>0</v>
      </c>
      <c r="AK253" s="155">
        <f>0</f>
        <v>0</v>
      </c>
      <c r="AL253" s="219">
        <f t="shared" si="12"/>
        <v>1</v>
      </c>
      <c r="AM253" s="103"/>
      <c r="AN253" s="326">
        <f t="shared" si="13"/>
        <v>1</v>
      </c>
      <c r="AO253" s="331">
        <v>45034</v>
      </c>
      <c r="AP253" s="291" t="s">
        <v>192</v>
      </c>
      <c r="AQ253" s="340" t="s">
        <v>1523</v>
      </c>
      <c r="AR253" s="332" t="s">
        <v>1334</v>
      </c>
      <c r="AS253" s="321"/>
      <c r="AT253" s="318"/>
      <c r="AU253" s="318"/>
      <c r="AV253" s="317">
        <f t="shared" si="14"/>
        <v>1</v>
      </c>
      <c r="AW253" s="318" t="s">
        <v>1550</v>
      </c>
      <c r="AX253" s="333"/>
      <c r="AY253" s="333"/>
      <c r="AZ253" s="320"/>
      <c r="BA253" s="174"/>
      <c r="BB253" s="174"/>
      <c r="BC253" s="174"/>
    </row>
    <row r="254" spans="1:55" ht="28" customHeight="1">
      <c r="A254" s="195">
        <v>250</v>
      </c>
      <c r="B254" s="315">
        <v>45028</v>
      </c>
      <c r="C254" s="222" t="s">
        <v>198</v>
      </c>
      <c r="D254" s="222" t="s">
        <v>199</v>
      </c>
      <c r="E254" s="222" t="s">
        <v>200</v>
      </c>
      <c r="F254" s="371" t="s">
        <v>837</v>
      </c>
      <c r="G254" s="309" t="s">
        <v>858</v>
      </c>
      <c r="H254" s="310" t="s">
        <v>129</v>
      </c>
      <c r="I254" s="311" t="s">
        <v>859</v>
      </c>
      <c r="J254" s="312" t="s">
        <v>860</v>
      </c>
      <c r="K254" s="328" t="s">
        <v>97</v>
      </c>
      <c r="L254" s="311" t="s">
        <v>159</v>
      </c>
      <c r="M254" s="311" t="s">
        <v>156</v>
      </c>
      <c r="N254" s="311" t="s">
        <v>97</v>
      </c>
      <c r="O254" s="334" t="s">
        <v>97</v>
      </c>
      <c r="P254" s="329"/>
      <c r="Q254" s="330" t="s">
        <v>843</v>
      </c>
      <c r="R254" s="154">
        <v>0</v>
      </c>
      <c r="S254" s="155">
        <f>0</f>
        <v>0</v>
      </c>
      <c r="T254" s="263">
        <v>3</v>
      </c>
      <c r="U254" s="155">
        <v>0</v>
      </c>
      <c r="V254" s="155">
        <f>0</f>
        <v>0</v>
      </c>
      <c r="W254" s="155">
        <f>0</f>
        <v>0</v>
      </c>
      <c r="X254" s="155">
        <f>0</f>
        <v>0</v>
      </c>
      <c r="Y254" s="155">
        <f>0</f>
        <v>0</v>
      </c>
      <c r="Z254" s="155">
        <f>0</f>
        <v>0</v>
      </c>
      <c r="AA254" s="155">
        <f>0</f>
        <v>0</v>
      </c>
      <c r="AB254" s="155">
        <f>0</f>
        <v>0</v>
      </c>
      <c r="AC254" s="155">
        <f>0</f>
        <v>0</v>
      </c>
      <c r="AD254" s="155">
        <f>0</f>
        <v>0</v>
      </c>
      <c r="AE254" s="155">
        <f>0</f>
        <v>0</v>
      </c>
      <c r="AF254" s="155">
        <f>0</f>
        <v>0</v>
      </c>
      <c r="AG254" s="155">
        <f>0</f>
        <v>0</v>
      </c>
      <c r="AH254" s="155">
        <f>0</f>
        <v>0</v>
      </c>
      <c r="AI254" s="155">
        <f>0</f>
        <v>0</v>
      </c>
      <c r="AJ254" s="155">
        <f>0</f>
        <v>0</v>
      </c>
      <c r="AK254" s="155">
        <f>0</f>
        <v>0</v>
      </c>
      <c r="AL254" s="219">
        <f t="shared" si="12"/>
        <v>3</v>
      </c>
      <c r="AM254" s="103"/>
      <c r="AN254" s="326">
        <f t="shared" si="13"/>
        <v>3</v>
      </c>
      <c r="AO254" s="347">
        <v>45029</v>
      </c>
      <c r="AP254" s="291" t="s">
        <v>192</v>
      </c>
      <c r="AQ254" s="292" t="s">
        <v>1521</v>
      </c>
      <c r="AR254" s="293" t="s">
        <v>197</v>
      </c>
      <c r="AS254" s="321"/>
      <c r="AT254" s="318"/>
      <c r="AU254" s="318">
        <v>3</v>
      </c>
      <c r="AV254" s="317">
        <f t="shared" si="14"/>
        <v>0</v>
      </c>
      <c r="AW254" s="318" t="s">
        <v>195</v>
      </c>
      <c r="AX254" s="333"/>
      <c r="AY254" s="333"/>
      <c r="AZ254" s="320"/>
      <c r="BA254" s="174"/>
      <c r="BB254" s="174"/>
      <c r="BC254" s="174"/>
    </row>
    <row r="255" spans="1:55" ht="28" customHeight="1">
      <c r="A255" s="195">
        <v>251</v>
      </c>
      <c r="B255" s="315">
        <v>45028</v>
      </c>
      <c r="C255" s="222" t="s">
        <v>198</v>
      </c>
      <c r="D255" s="222" t="s">
        <v>199</v>
      </c>
      <c r="E255" s="366"/>
      <c r="F255" s="371" t="s">
        <v>837</v>
      </c>
      <c r="G255" s="309" t="s">
        <v>863</v>
      </c>
      <c r="H255" s="310" t="s">
        <v>129</v>
      </c>
      <c r="I255" s="311" t="s">
        <v>862</v>
      </c>
      <c r="J255" s="312" t="s">
        <v>861</v>
      </c>
      <c r="K255" s="328" t="s">
        <v>201</v>
      </c>
      <c r="L255" s="311" t="s">
        <v>842</v>
      </c>
      <c r="M255" s="311" t="s">
        <v>841</v>
      </c>
      <c r="N255" s="311" t="s">
        <v>97</v>
      </c>
      <c r="O255" s="334"/>
      <c r="P255" s="329"/>
      <c r="Q255" s="330" t="s">
        <v>843</v>
      </c>
      <c r="R255" s="154">
        <v>0</v>
      </c>
      <c r="S255" s="155">
        <f>0</f>
        <v>0</v>
      </c>
      <c r="T255" s="263">
        <v>1</v>
      </c>
      <c r="U255" s="155">
        <v>0</v>
      </c>
      <c r="V255" s="155">
        <f>0</f>
        <v>0</v>
      </c>
      <c r="W255" s="155">
        <f>0</f>
        <v>0</v>
      </c>
      <c r="X255" s="155">
        <f>0</f>
        <v>0</v>
      </c>
      <c r="Y255" s="155">
        <f>0</f>
        <v>0</v>
      </c>
      <c r="Z255" s="155">
        <f>0</f>
        <v>0</v>
      </c>
      <c r="AA255" s="155">
        <f>0</f>
        <v>0</v>
      </c>
      <c r="AB255" s="155">
        <f>0</f>
        <v>0</v>
      </c>
      <c r="AC255" s="155">
        <f>0</f>
        <v>0</v>
      </c>
      <c r="AD255" s="155">
        <f>0</f>
        <v>0</v>
      </c>
      <c r="AE255" s="155">
        <f>0</f>
        <v>0</v>
      </c>
      <c r="AF255" s="155">
        <f>0</f>
        <v>0</v>
      </c>
      <c r="AG255" s="155">
        <f>0</f>
        <v>0</v>
      </c>
      <c r="AH255" s="155">
        <f>0</f>
        <v>0</v>
      </c>
      <c r="AI255" s="155">
        <f>0</f>
        <v>0</v>
      </c>
      <c r="AJ255" s="155">
        <f>0</f>
        <v>0</v>
      </c>
      <c r="AK255" s="155">
        <f>0</f>
        <v>0</v>
      </c>
      <c r="AL255" s="219">
        <f t="shared" si="12"/>
        <v>1</v>
      </c>
      <c r="AM255" s="103"/>
      <c r="AN255" s="326">
        <f t="shared" si="13"/>
        <v>1</v>
      </c>
      <c r="AO255" s="331">
        <v>45034</v>
      </c>
      <c r="AP255" s="291" t="s">
        <v>192</v>
      </c>
      <c r="AQ255" s="340" t="s">
        <v>1523</v>
      </c>
      <c r="AR255" s="332" t="s">
        <v>1334</v>
      </c>
      <c r="AS255" s="321"/>
      <c r="AT255" s="318"/>
      <c r="AU255" s="318"/>
      <c r="AV255" s="317">
        <f t="shared" si="14"/>
        <v>1</v>
      </c>
      <c r="AW255" s="318" t="s">
        <v>1550</v>
      </c>
      <c r="AX255" s="333"/>
      <c r="AY255" s="333"/>
      <c r="AZ255" s="320"/>
      <c r="BA255" s="174"/>
      <c r="BB255" s="174"/>
      <c r="BC255" s="174"/>
    </row>
    <row r="256" spans="1:55" ht="28" customHeight="1">
      <c r="A256" s="195">
        <v>252</v>
      </c>
      <c r="B256" s="315">
        <v>45028</v>
      </c>
      <c r="C256" s="222" t="s">
        <v>198</v>
      </c>
      <c r="D256" s="222" t="s">
        <v>199</v>
      </c>
      <c r="E256" s="222" t="s">
        <v>200</v>
      </c>
      <c r="F256" s="371" t="s">
        <v>123</v>
      </c>
      <c r="G256" s="309" t="s">
        <v>866</v>
      </c>
      <c r="H256" s="310" t="s">
        <v>129</v>
      </c>
      <c r="I256" s="311" t="s">
        <v>865</v>
      </c>
      <c r="J256" s="312" t="s">
        <v>867</v>
      </c>
      <c r="K256" s="328" t="s">
        <v>201</v>
      </c>
      <c r="L256" s="311" t="s">
        <v>165</v>
      </c>
      <c r="M256" s="311" t="s">
        <v>279</v>
      </c>
      <c r="N256" s="311"/>
      <c r="O256" s="334"/>
      <c r="P256" s="329"/>
      <c r="Q256" s="330"/>
      <c r="R256" s="154">
        <v>0</v>
      </c>
      <c r="S256" s="155">
        <f>0</f>
        <v>0</v>
      </c>
      <c r="T256" s="155">
        <f>0</f>
        <v>0</v>
      </c>
      <c r="U256" s="155">
        <v>0</v>
      </c>
      <c r="V256" s="155">
        <f>0</f>
        <v>0</v>
      </c>
      <c r="W256" s="263">
        <v>1</v>
      </c>
      <c r="X256" s="155">
        <f>0</f>
        <v>0</v>
      </c>
      <c r="Y256" s="155">
        <f>0</f>
        <v>0</v>
      </c>
      <c r="Z256" s="155">
        <f>0</f>
        <v>0</v>
      </c>
      <c r="AA256" s="155">
        <f>0</f>
        <v>0</v>
      </c>
      <c r="AB256" s="155">
        <f>0</f>
        <v>0</v>
      </c>
      <c r="AC256" s="155">
        <f>0</f>
        <v>0</v>
      </c>
      <c r="AD256" s="155">
        <f>0</f>
        <v>0</v>
      </c>
      <c r="AE256" s="155">
        <f>0</f>
        <v>0</v>
      </c>
      <c r="AF256" s="155">
        <f>0</f>
        <v>0</v>
      </c>
      <c r="AG256" s="155">
        <f>0</f>
        <v>0</v>
      </c>
      <c r="AH256" s="155">
        <f>0</f>
        <v>0</v>
      </c>
      <c r="AI256" s="155">
        <f>0</f>
        <v>0</v>
      </c>
      <c r="AJ256" s="155">
        <f>0</f>
        <v>0</v>
      </c>
      <c r="AK256" s="155">
        <f>0</f>
        <v>0</v>
      </c>
      <c r="AL256" s="219">
        <f t="shared" si="12"/>
        <v>1</v>
      </c>
      <c r="AM256" s="103"/>
      <c r="AN256" s="326">
        <f t="shared" si="13"/>
        <v>1</v>
      </c>
      <c r="AO256" s="348">
        <v>45034</v>
      </c>
      <c r="AP256" s="296" t="s">
        <v>192</v>
      </c>
      <c r="AQ256" s="292" t="s">
        <v>1522</v>
      </c>
      <c r="AR256" s="350" t="s">
        <v>194</v>
      </c>
      <c r="AS256" s="301">
        <v>45078</v>
      </c>
      <c r="AT256" s="318"/>
      <c r="AU256" s="318">
        <v>1</v>
      </c>
      <c r="AV256" s="317">
        <f t="shared" si="14"/>
        <v>0</v>
      </c>
      <c r="AW256" s="318" t="s">
        <v>195</v>
      </c>
      <c r="AX256" s="333"/>
      <c r="AY256" s="333"/>
      <c r="AZ256" s="320"/>
      <c r="BA256" s="174"/>
      <c r="BB256" s="174"/>
      <c r="BC256" s="174"/>
    </row>
    <row r="257" spans="1:256" ht="28" customHeight="1">
      <c r="A257" s="271">
        <v>253</v>
      </c>
      <c r="B257" s="274">
        <v>45028</v>
      </c>
      <c r="C257" s="222" t="s">
        <v>198</v>
      </c>
      <c r="D257" s="222" t="s">
        <v>199</v>
      </c>
      <c r="E257" s="222" t="s">
        <v>200</v>
      </c>
      <c r="F257" s="265" t="s">
        <v>123</v>
      </c>
      <c r="G257" s="267" t="s">
        <v>868</v>
      </c>
      <c r="H257" s="275" t="s">
        <v>129</v>
      </c>
      <c r="I257" s="111" t="s">
        <v>237</v>
      </c>
      <c r="J257" s="269" t="s">
        <v>879</v>
      </c>
      <c r="K257" s="112" t="s">
        <v>97</v>
      </c>
      <c r="L257" s="112" t="s">
        <v>367</v>
      </c>
      <c r="M257" s="258" t="s">
        <v>237</v>
      </c>
      <c r="N257" s="111" t="s">
        <v>97</v>
      </c>
      <c r="O257" s="111" t="s">
        <v>368</v>
      </c>
      <c r="P257" s="111"/>
      <c r="Q257" s="323"/>
      <c r="R257" s="270">
        <v>1</v>
      </c>
      <c r="S257" s="155">
        <f>0</f>
        <v>0</v>
      </c>
      <c r="T257" s="155">
        <f>0</f>
        <v>0</v>
      </c>
      <c r="U257" s="155">
        <v>0</v>
      </c>
      <c r="V257" s="155">
        <f>0</f>
        <v>0</v>
      </c>
      <c r="W257" s="155">
        <f>0</f>
        <v>0</v>
      </c>
      <c r="X257" s="155">
        <f>0</f>
        <v>0</v>
      </c>
      <c r="Y257" s="155">
        <f>0</f>
        <v>0</v>
      </c>
      <c r="Z257" s="155">
        <f>0</f>
        <v>0</v>
      </c>
      <c r="AA257" s="155">
        <f>0</f>
        <v>0</v>
      </c>
      <c r="AB257" s="155">
        <f>0</f>
        <v>0</v>
      </c>
      <c r="AC257" s="155">
        <f>0</f>
        <v>0</v>
      </c>
      <c r="AD257" s="155">
        <f>0</f>
        <v>0</v>
      </c>
      <c r="AE257" s="155">
        <f>0</f>
        <v>0</v>
      </c>
      <c r="AF257" s="155">
        <f>0</f>
        <v>0</v>
      </c>
      <c r="AG257" s="155">
        <f>0</f>
        <v>0</v>
      </c>
      <c r="AH257" s="155">
        <f>0</f>
        <v>0</v>
      </c>
      <c r="AI257" s="155">
        <f>0</f>
        <v>0</v>
      </c>
      <c r="AJ257" s="155">
        <f>0</f>
        <v>0</v>
      </c>
      <c r="AK257" s="155">
        <f>0</f>
        <v>0</v>
      </c>
      <c r="AL257" s="219">
        <f t="shared" si="12"/>
        <v>1</v>
      </c>
      <c r="AM257" s="103"/>
      <c r="AN257" s="326">
        <f t="shared" si="13"/>
        <v>1</v>
      </c>
      <c r="AO257" s="276"/>
      <c r="AP257" s="188" t="s">
        <v>617</v>
      </c>
      <c r="AQ257" s="284"/>
      <c r="AR257" s="278" t="s">
        <v>616</v>
      </c>
      <c r="AS257" s="277"/>
      <c r="AT257" s="279"/>
      <c r="AU257" s="279"/>
      <c r="AV257" s="277">
        <f t="shared" si="14"/>
        <v>1</v>
      </c>
      <c r="AW257" s="279"/>
      <c r="AX257" s="324"/>
      <c r="AY257" s="324"/>
      <c r="AZ257" s="281"/>
    </row>
    <row r="258" spans="1:256" ht="28" customHeight="1">
      <c r="A258" s="271">
        <v>254</v>
      </c>
      <c r="B258" s="274">
        <v>45028</v>
      </c>
      <c r="C258" s="222" t="s">
        <v>198</v>
      </c>
      <c r="D258" s="222" t="s">
        <v>199</v>
      </c>
      <c r="E258" s="222" t="s">
        <v>200</v>
      </c>
      <c r="F258" s="266" t="s">
        <v>123</v>
      </c>
      <c r="G258" s="267" t="s">
        <v>869</v>
      </c>
      <c r="H258" s="275" t="s">
        <v>129</v>
      </c>
      <c r="I258" s="111" t="s">
        <v>237</v>
      </c>
      <c r="J258" s="269" t="s">
        <v>880</v>
      </c>
      <c r="K258" s="112" t="s">
        <v>97</v>
      </c>
      <c r="L258" s="112" t="s">
        <v>367</v>
      </c>
      <c r="M258" s="258" t="s">
        <v>237</v>
      </c>
      <c r="N258" s="111" t="s">
        <v>97</v>
      </c>
      <c r="O258" s="111" t="s">
        <v>368</v>
      </c>
      <c r="P258" s="111"/>
      <c r="Q258" s="323"/>
      <c r="R258" s="270">
        <v>1</v>
      </c>
      <c r="S258" s="155">
        <f>0</f>
        <v>0</v>
      </c>
      <c r="T258" s="155">
        <f>0</f>
        <v>0</v>
      </c>
      <c r="U258" s="155">
        <v>0</v>
      </c>
      <c r="V258" s="155">
        <f>0</f>
        <v>0</v>
      </c>
      <c r="W258" s="155">
        <f>0</f>
        <v>0</v>
      </c>
      <c r="X258" s="155">
        <f>0</f>
        <v>0</v>
      </c>
      <c r="Y258" s="155">
        <f>0</f>
        <v>0</v>
      </c>
      <c r="Z258" s="155">
        <f>0</f>
        <v>0</v>
      </c>
      <c r="AA258" s="155">
        <f>0</f>
        <v>0</v>
      </c>
      <c r="AB258" s="155">
        <f>0</f>
        <v>0</v>
      </c>
      <c r="AC258" s="155">
        <f>0</f>
        <v>0</v>
      </c>
      <c r="AD258" s="155">
        <f>0</f>
        <v>0</v>
      </c>
      <c r="AE258" s="155">
        <f>0</f>
        <v>0</v>
      </c>
      <c r="AF258" s="155">
        <f>0</f>
        <v>0</v>
      </c>
      <c r="AG258" s="155">
        <f>0</f>
        <v>0</v>
      </c>
      <c r="AH258" s="155">
        <f>0</f>
        <v>0</v>
      </c>
      <c r="AI258" s="155">
        <f>0</f>
        <v>0</v>
      </c>
      <c r="AJ258" s="155">
        <f>0</f>
        <v>0</v>
      </c>
      <c r="AK258" s="155">
        <f>0</f>
        <v>0</v>
      </c>
      <c r="AL258" s="219">
        <f t="shared" si="12"/>
        <v>1</v>
      </c>
      <c r="AM258" s="103"/>
      <c r="AN258" s="326">
        <f t="shared" si="13"/>
        <v>1</v>
      </c>
      <c r="AO258" s="276"/>
      <c r="AP258" s="188" t="s">
        <v>617</v>
      </c>
      <c r="AQ258" s="284"/>
      <c r="AR258" s="278" t="s">
        <v>616</v>
      </c>
      <c r="AS258" s="277"/>
      <c r="AT258" s="279"/>
      <c r="AU258" s="279"/>
      <c r="AV258" s="277">
        <f t="shared" si="14"/>
        <v>1</v>
      </c>
      <c r="AW258" s="279"/>
      <c r="AX258" s="324"/>
      <c r="AY258" s="324"/>
      <c r="AZ258" s="281"/>
    </row>
    <row r="259" spans="1:256" ht="28" customHeight="1">
      <c r="A259" s="271">
        <v>255</v>
      </c>
      <c r="B259" s="274">
        <v>45028</v>
      </c>
      <c r="C259" s="222" t="s">
        <v>198</v>
      </c>
      <c r="D259" s="222" t="s">
        <v>199</v>
      </c>
      <c r="E259" s="222" t="s">
        <v>200</v>
      </c>
      <c r="F259" s="265" t="s">
        <v>123</v>
      </c>
      <c r="G259" s="267" t="s">
        <v>870</v>
      </c>
      <c r="H259" s="275" t="s">
        <v>129</v>
      </c>
      <c r="I259" s="111" t="s">
        <v>237</v>
      </c>
      <c r="J259" s="269" t="s">
        <v>881</v>
      </c>
      <c r="K259" s="112" t="s">
        <v>97</v>
      </c>
      <c r="L259" s="112" t="s">
        <v>367</v>
      </c>
      <c r="M259" s="258" t="s">
        <v>237</v>
      </c>
      <c r="N259" s="111" t="s">
        <v>97</v>
      </c>
      <c r="O259" s="111" t="s">
        <v>368</v>
      </c>
      <c r="P259" s="111"/>
      <c r="Q259" s="323"/>
      <c r="R259" s="270">
        <v>1</v>
      </c>
      <c r="S259" s="155">
        <f>0</f>
        <v>0</v>
      </c>
      <c r="T259" s="155">
        <f>0</f>
        <v>0</v>
      </c>
      <c r="U259" s="155">
        <v>0</v>
      </c>
      <c r="V259" s="155">
        <f>0</f>
        <v>0</v>
      </c>
      <c r="W259" s="155">
        <f>0</f>
        <v>0</v>
      </c>
      <c r="X259" s="155">
        <f>0</f>
        <v>0</v>
      </c>
      <c r="Y259" s="155">
        <f>0</f>
        <v>0</v>
      </c>
      <c r="Z259" s="155">
        <f>0</f>
        <v>0</v>
      </c>
      <c r="AA259" s="155">
        <f>0</f>
        <v>0</v>
      </c>
      <c r="AB259" s="155">
        <f>0</f>
        <v>0</v>
      </c>
      <c r="AC259" s="155">
        <f>0</f>
        <v>0</v>
      </c>
      <c r="AD259" s="155">
        <f>0</f>
        <v>0</v>
      </c>
      <c r="AE259" s="155">
        <f>0</f>
        <v>0</v>
      </c>
      <c r="AF259" s="155">
        <f>0</f>
        <v>0</v>
      </c>
      <c r="AG259" s="155">
        <f>0</f>
        <v>0</v>
      </c>
      <c r="AH259" s="155">
        <f>0</f>
        <v>0</v>
      </c>
      <c r="AI259" s="155">
        <f>0</f>
        <v>0</v>
      </c>
      <c r="AJ259" s="155">
        <f>0</f>
        <v>0</v>
      </c>
      <c r="AK259" s="155">
        <f>0</f>
        <v>0</v>
      </c>
      <c r="AL259" s="219">
        <f t="shared" si="12"/>
        <v>1</v>
      </c>
      <c r="AM259" s="103"/>
      <c r="AN259" s="326">
        <f t="shared" si="13"/>
        <v>1</v>
      </c>
      <c r="AO259" s="276"/>
      <c r="AP259" s="188" t="s">
        <v>617</v>
      </c>
      <c r="AQ259" s="284"/>
      <c r="AR259" s="278" t="s">
        <v>616</v>
      </c>
      <c r="AS259" s="277"/>
      <c r="AT259" s="279"/>
      <c r="AU259" s="279"/>
      <c r="AV259" s="277">
        <f t="shared" si="14"/>
        <v>1</v>
      </c>
      <c r="AW259" s="279"/>
      <c r="AX259" s="324"/>
      <c r="AY259" s="324"/>
      <c r="AZ259" s="281"/>
    </row>
    <row r="260" spans="1:256" ht="28" customHeight="1">
      <c r="A260" s="271">
        <v>256</v>
      </c>
      <c r="B260" s="274">
        <v>45028</v>
      </c>
      <c r="C260" s="222" t="s">
        <v>198</v>
      </c>
      <c r="D260" s="222" t="s">
        <v>199</v>
      </c>
      <c r="E260" s="222" t="s">
        <v>200</v>
      </c>
      <c r="F260" s="265" t="s">
        <v>123</v>
      </c>
      <c r="G260" s="267" t="s">
        <v>871</v>
      </c>
      <c r="H260" s="275" t="s">
        <v>129</v>
      </c>
      <c r="I260" s="111" t="s">
        <v>237</v>
      </c>
      <c r="J260" s="269" t="s">
        <v>882</v>
      </c>
      <c r="K260" s="112" t="s">
        <v>97</v>
      </c>
      <c r="L260" s="112" t="s">
        <v>362</v>
      </c>
      <c r="M260" s="258" t="s">
        <v>237</v>
      </c>
      <c r="N260" s="111" t="s">
        <v>97</v>
      </c>
      <c r="O260" s="111" t="s">
        <v>368</v>
      </c>
      <c r="P260" s="111"/>
      <c r="Q260" s="323"/>
      <c r="R260" s="270">
        <v>1</v>
      </c>
      <c r="S260" s="155">
        <f>0</f>
        <v>0</v>
      </c>
      <c r="T260" s="155">
        <f>0</f>
        <v>0</v>
      </c>
      <c r="U260" s="155">
        <v>0</v>
      </c>
      <c r="V260" s="155">
        <f>0</f>
        <v>0</v>
      </c>
      <c r="W260" s="155">
        <f>0</f>
        <v>0</v>
      </c>
      <c r="X260" s="155">
        <f>0</f>
        <v>0</v>
      </c>
      <c r="Y260" s="155">
        <f>0</f>
        <v>0</v>
      </c>
      <c r="Z260" s="155">
        <f>0</f>
        <v>0</v>
      </c>
      <c r="AA260" s="155">
        <f>0</f>
        <v>0</v>
      </c>
      <c r="AB260" s="155">
        <f>0</f>
        <v>0</v>
      </c>
      <c r="AC260" s="155">
        <f>0</f>
        <v>0</v>
      </c>
      <c r="AD260" s="155">
        <f>0</f>
        <v>0</v>
      </c>
      <c r="AE260" s="155">
        <f>0</f>
        <v>0</v>
      </c>
      <c r="AF260" s="155">
        <f>0</f>
        <v>0</v>
      </c>
      <c r="AG260" s="155">
        <f>0</f>
        <v>0</v>
      </c>
      <c r="AH260" s="155">
        <f>0</f>
        <v>0</v>
      </c>
      <c r="AI260" s="155">
        <f>0</f>
        <v>0</v>
      </c>
      <c r="AJ260" s="155">
        <f>0</f>
        <v>0</v>
      </c>
      <c r="AK260" s="155">
        <f>0</f>
        <v>0</v>
      </c>
      <c r="AL260" s="219">
        <f t="shared" si="12"/>
        <v>1</v>
      </c>
      <c r="AM260" s="103"/>
      <c r="AN260" s="326">
        <f t="shared" si="13"/>
        <v>1</v>
      </c>
      <c r="AO260" s="276"/>
      <c r="AP260" s="188" t="s">
        <v>617</v>
      </c>
      <c r="AQ260" s="284"/>
      <c r="AR260" s="278" t="s">
        <v>616</v>
      </c>
      <c r="AS260" s="277"/>
      <c r="AT260" s="279"/>
      <c r="AU260" s="279"/>
      <c r="AV260" s="277">
        <f t="shared" si="14"/>
        <v>1</v>
      </c>
      <c r="AW260" s="279"/>
      <c r="AX260" s="324"/>
      <c r="AY260" s="324"/>
      <c r="AZ260" s="281"/>
    </row>
    <row r="261" spans="1:256" ht="28" customHeight="1">
      <c r="A261" s="271">
        <v>257</v>
      </c>
      <c r="B261" s="274">
        <v>45028</v>
      </c>
      <c r="C261" s="222" t="s">
        <v>198</v>
      </c>
      <c r="D261" s="222" t="s">
        <v>199</v>
      </c>
      <c r="E261" s="222" t="s">
        <v>200</v>
      </c>
      <c r="F261" s="266" t="s">
        <v>123</v>
      </c>
      <c r="G261" s="267" t="s">
        <v>872</v>
      </c>
      <c r="H261" s="275" t="s">
        <v>129</v>
      </c>
      <c r="I261" s="111" t="s">
        <v>237</v>
      </c>
      <c r="J261" s="269" t="s">
        <v>883</v>
      </c>
      <c r="K261" s="112" t="s">
        <v>97</v>
      </c>
      <c r="L261" s="112" t="s">
        <v>362</v>
      </c>
      <c r="M261" s="258" t="s">
        <v>237</v>
      </c>
      <c r="N261" s="111" t="s">
        <v>97</v>
      </c>
      <c r="O261" s="111" t="s">
        <v>368</v>
      </c>
      <c r="P261" s="111"/>
      <c r="Q261" s="323"/>
      <c r="R261" s="270">
        <v>1</v>
      </c>
      <c r="S261" s="155">
        <f>0</f>
        <v>0</v>
      </c>
      <c r="T261" s="155">
        <f>0</f>
        <v>0</v>
      </c>
      <c r="U261" s="155">
        <v>0</v>
      </c>
      <c r="V261" s="155">
        <f>0</f>
        <v>0</v>
      </c>
      <c r="W261" s="155">
        <f>0</f>
        <v>0</v>
      </c>
      <c r="X261" s="155">
        <f>0</f>
        <v>0</v>
      </c>
      <c r="Y261" s="155">
        <f>0</f>
        <v>0</v>
      </c>
      <c r="Z261" s="155">
        <f>0</f>
        <v>0</v>
      </c>
      <c r="AA261" s="155">
        <f>0</f>
        <v>0</v>
      </c>
      <c r="AB261" s="155">
        <f>0</f>
        <v>0</v>
      </c>
      <c r="AC261" s="155">
        <f>0</f>
        <v>0</v>
      </c>
      <c r="AD261" s="155">
        <f>0</f>
        <v>0</v>
      </c>
      <c r="AE261" s="155">
        <f>0</f>
        <v>0</v>
      </c>
      <c r="AF261" s="155">
        <f>0</f>
        <v>0</v>
      </c>
      <c r="AG261" s="155">
        <f>0</f>
        <v>0</v>
      </c>
      <c r="AH261" s="155">
        <f>0</f>
        <v>0</v>
      </c>
      <c r="AI261" s="155">
        <f>0</f>
        <v>0</v>
      </c>
      <c r="AJ261" s="155">
        <f>0</f>
        <v>0</v>
      </c>
      <c r="AK261" s="155">
        <f>0</f>
        <v>0</v>
      </c>
      <c r="AL261" s="219">
        <f t="shared" si="12"/>
        <v>1</v>
      </c>
      <c r="AM261" s="103"/>
      <c r="AN261" s="326">
        <f t="shared" si="13"/>
        <v>1</v>
      </c>
      <c r="AO261" s="276"/>
      <c r="AP261" s="188" t="s">
        <v>617</v>
      </c>
      <c r="AQ261" s="284"/>
      <c r="AR261" s="278" t="s">
        <v>616</v>
      </c>
      <c r="AS261" s="277"/>
      <c r="AT261" s="279"/>
      <c r="AU261" s="279"/>
      <c r="AV261" s="277">
        <f t="shared" si="14"/>
        <v>1</v>
      </c>
      <c r="AW261" s="279"/>
      <c r="AX261" s="324"/>
      <c r="AY261" s="324"/>
      <c r="AZ261" s="281"/>
    </row>
    <row r="262" spans="1:256" ht="28" customHeight="1">
      <c r="A262" s="271">
        <v>258</v>
      </c>
      <c r="B262" s="274">
        <v>45028</v>
      </c>
      <c r="C262" s="222" t="s">
        <v>198</v>
      </c>
      <c r="D262" s="222" t="s">
        <v>199</v>
      </c>
      <c r="E262" s="222" t="s">
        <v>200</v>
      </c>
      <c r="F262" s="265" t="s">
        <v>123</v>
      </c>
      <c r="G262" s="267" t="s">
        <v>873</v>
      </c>
      <c r="H262" s="275" t="s">
        <v>129</v>
      </c>
      <c r="I262" s="111" t="s">
        <v>237</v>
      </c>
      <c r="J262" s="269" t="s">
        <v>884</v>
      </c>
      <c r="K262" s="112" t="s">
        <v>97</v>
      </c>
      <c r="L262" s="112" t="s">
        <v>367</v>
      </c>
      <c r="M262" s="258" t="s">
        <v>237</v>
      </c>
      <c r="N262" s="111" t="s">
        <v>97</v>
      </c>
      <c r="O262" s="111" t="s">
        <v>368</v>
      </c>
      <c r="P262" s="111"/>
      <c r="Q262" s="323"/>
      <c r="R262" s="270">
        <v>1</v>
      </c>
      <c r="S262" s="155">
        <f>0</f>
        <v>0</v>
      </c>
      <c r="T262" s="155">
        <f>0</f>
        <v>0</v>
      </c>
      <c r="U262" s="155">
        <v>0</v>
      </c>
      <c r="V262" s="155">
        <f>0</f>
        <v>0</v>
      </c>
      <c r="W262" s="155">
        <f>0</f>
        <v>0</v>
      </c>
      <c r="X262" s="155">
        <f>0</f>
        <v>0</v>
      </c>
      <c r="Y262" s="155">
        <f>0</f>
        <v>0</v>
      </c>
      <c r="Z262" s="155">
        <f>0</f>
        <v>0</v>
      </c>
      <c r="AA262" s="155">
        <f>0</f>
        <v>0</v>
      </c>
      <c r="AB262" s="155">
        <f>0</f>
        <v>0</v>
      </c>
      <c r="AC262" s="155">
        <f>0</f>
        <v>0</v>
      </c>
      <c r="AD262" s="155">
        <f>0</f>
        <v>0</v>
      </c>
      <c r="AE262" s="155">
        <f>0</f>
        <v>0</v>
      </c>
      <c r="AF262" s="155">
        <f>0</f>
        <v>0</v>
      </c>
      <c r="AG262" s="155">
        <f>0</f>
        <v>0</v>
      </c>
      <c r="AH262" s="155">
        <f>0</f>
        <v>0</v>
      </c>
      <c r="AI262" s="155">
        <f>0</f>
        <v>0</v>
      </c>
      <c r="AJ262" s="155">
        <f>0</f>
        <v>0</v>
      </c>
      <c r="AK262" s="155">
        <f>0</f>
        <v>0</v>
      </c>
      <c r="AL262" s="219">
        <f t="shared" ref="AL262:AL325" si="15">SUM(R262:AK262)</f>
        <v>1</v>
      </c>
      <c r="AM262" s="103"/>
      <c r="AN262" s="326">
        <f t="shared" ref="AN262:AN325" si="16">AL262-AM262</f>
        <v>1</v>
      </c>
      <c r="AO262" s="276"/>
      <c r="AP262" s="188" t="s">
        <v>617</v>
      </c>
      <c r="AQ262" s="284"/>
      <c r="AR262" s="278" t="s">
        <v>616</v>
      </c>
      <c r="AS262" s="277"/>
      <c r="AT262" s="279"/>
      <c r="AU262" s="279"/>
      <c r="AV262" s="277">
        <f t="shared" si="14"/>
        <v>1</v>
      </c>
      <c r="AW262" s="279"/>
      <c r="AX262" s="324"/>
      <c r="AY262" s="324"/>
      <c r="AZ262" s="281"/>
    </row>
    <row r="263" spans="1:256" ht="28" customHeight="1">
      <c r="A263" s="271">
        <v>259</v>
      </c>
      <c r="B263" s="274">
        <v>45028</v>
      </c>
      <c r="C263" s="222" t="s">
        <v>198</v>
      </c>
      <c r="D263" s="222" t="s">
        <v>199</v>
      </c>
      <c r="E263" s="222" t="s">
        <v>200</v>
      </c>
      <c r="F263" s="266" t="s">
        <v>123</v>
      </c>
      <c r="G263" s="267" t="s">
        <v>874</v>
      </c>
      <c r="H263" s="275" t="s">
        <v>129</v>
      </c>
      <c r="I263" s="111" t="s">
        <v>237</v>
      </c>
      <c r="J263" s="269" t="s">
        <v>885</v>
      </c>
      <c r="K263" s="112" t="s">
        <v>97</v>
      </c>
      <c r="L263" s="112" t="s">
        <v>367</v>
      </c>
      <c r="M263" s="258" t="s">
        <v>237</v>
      </c>
      <c r="N263" s="111" t="s">
        <v>97</v>
      </c>
      <c r="O263" s="111" t="s">
        <v>368</v>
      </c>
      <c r="P263" s="111"/>
      <c r="Q263" s="323"/>
      <c r="R263" s="270">
        <v>1</v>
      </c>
      <c r="S263" s="155">
        <f>0</f>
        <v>0</v>
      </c>
      <c r="T263" s="155">
        <f>0</f>
        <v>0</v>
      </c>
      <c r="U263" s="155">
        <v>0</v>
      </c>
      <c r="V263" s="155">
        <f>0</f>
        <v>0</v>
      </c>
      <c r="W263" s="155">
        <f>0</f>
        <v>0</v>
      </c>
      <c r="X263" s="155">
        <f>0</f>
        <v>0</v>
      </c>
      <c r="Y263" s="155">
        <f>0</f>
        <v>0</v>
      </c>
      <c r="Z263" s="155">
        <f>0</f>
        <v>0</v>
      </c>
      <c r="AA263" s="155">
        <f>0</f>
        <v>0</v>
      </c>
      <c r="AB263" s="155">
        <f>0</f>
        <v>0</v>
      </c>
      <c r="AC263" s="155">
        <f>0</f>
        <v>0</v>
      </c>
      <c r="AD263" s="155">
        <f>0</f>
        <v>0</v>
      </c>
      <c r="AE263" s="155">
        <f>0</f>
        <v>0</v>
      </c>
      <c r="AF263" s="155">
        <f>0</f>
        <v>0</v>
      </c>
      <c r="AG263" s="155">
        <f>0</f>
        <v>0</v>
      </c>
      <c r="AH263" s="155">
        <f>0</f>
        <v>0</v>
      </c>
      <c r="AI263" s="155">
        <f>0</f>
        <v>0</v>
      </c>
      <c r="AJ263" s="155">
        <f>0</f>
        <v>0</v>
      </c>
      <c r="AK263" s="155">
        <f>0</f>
        <v>0</v>
      </c>
      <c r="AL263" s="219">
        <f t="shared" si="15"/>
        <v>1</v>
      </c>
      <c r="AM263" s="103"/>
      <c r="AN263" s="326">
        <f t="shared" si="16"/>
        <v>1</v>
      </c>
      <c r="AO263" s="276"/>
      <c r="AP263" s="188" t="s">
        <v>617</v>
      </c>
      <c r="AQ263" s="284"/>
      <c r="AR263" s="278" t="s">
        <v>616</v>
      </c>
      <c r="AS263" s="277"/>
      <c r="AT263" s="279"/>
      <c r="AU263" s="279"/>
      <c r="AV263" s="277">
        <f t="shared" si="14"/>
        <v>1</v>
      </c>
      <c r="AW263" s="279"/>
      <c r="AX263" s="324"/>
      <c r="AY263" s="324"/>
      <c r="AZ263" s="281"/>
    </row>
    <row r="264" spans="1:256" ht="28" customHeight="1">
      <c r="A264" s="271">
        <v>260</v>
      </c>
      <c r="B264" s="274">
        <v>45028</v>
      </c>
      <c r="C264" s="222" t="s">
        <v>198</v>
      </c>
      <c r="D264" s="222" t="s">
        <v>199</v>
      </c>
      <c r="E264" s="222" t="s">
        <v>200</v>
      </c>
      <c r="F264" s="265" t="s">
        <v>123</v>
      </c>
      <c r="G264" s="267" t="s">
        <v>875</v>
      </c>
      <c r="H264" s="275" t="s">
        <v>129</v>
      </c>
      <c r="I264" s="111" t="s">
        <v>237</v>
      </c>
      <c r="J264" s="269" t="s">
        <v>886</v>
      </c>
      <c r="K264" s="112" t="s">
        <v>97</v>
      </c>
      <c r="L264" s="112" t="s">
        <v>367</v>
      </c>
      <c r="M264" s="258" t="s">
        <v>237</v>
      </c>
      <c r="N264" s="111" t="s">
        <v>97</v>
      </c>
      <c r="O264" s="111" t="s">
        <v>368</v>
      </c>
      <c r="P264" s="111"/>
      <c r="Q264" s="323"/>
      <c r="R264" s="270">
        <v>1</v>
      </c>
      <c r="S264" s="155">
        <f>0</f>
        <v>0</v>
      </c>
      <c r="T264" s="155">
        <f>0</f>
        <v>0</v>
      </c>
      <c r="U264" s="155">
        <v>0</v>
      </c>
      <c r="V264" s="155">
        <f>0</f>
        <v>0</v>
      </c>
      <c r="W264" s="155">
        <f>0</f>
        <v>0</v>
      </c>
      <c r="X264" s="155">
        <f>0</f>
        <v>0</v>
      </c>
      <c r="Y264" s="155">
        <f>0</f>
        <v>0</v>
      </c>
      <c r="Z264" s="155">
        <f>0</f>
        <v>0</v>
      </c>
      <c r="AA264" s="155">
        <f>0</f>
        <v>0</v>
      </c>
      <c r="AB264" s="155">
        <f>0</f>
        <v>0</v>
      </c>
      <c r="AC264" s="155">
        <f>0</f>
        <v>0</v>
      </c>
      <c r="AD264" s="155">
        <f>0</f>
        <v>0</v>
      </c>
      <c r="AE264" s="155">
        <f>0</f>
        <v>0</v>
      </c>
      <c r="AF264" s="155">
        <f>0</f>
        <v>0</v>
      </c>
      <c r="AG264" s="155">
        <f>0</f>
        <v>0</v>
      </c>
      <c r="AH264" s="155">
        <f>0</f>
        <v>0</v>
      </c>
      <c r="AI264" s="155">
        <f>0</f>
        <v>0</v>
      </c>
      <c r="AJ264" s="155">
        <f>0</f>
        <v>0</v>
      </c>
      <c r="AK264" s="155">
        <f>0</f>
        <v>0</v>
      </c>
      <c r="AL264" s="219">
        <f t="shared" si="15"/>
        <v>1</v>
      </c>
      <c r="AM264" s="103"/>
      <c r="AN264" s="326">
        <f t="shared" si="16"/>
        <v>1</v>
      </c>
      <c r="AO264" s="276"/>
      <c r="AP264" s="188" t="s">
        <v>617</v>
      </c>
      <c r="AQ264" s="284"/>
      <c r="AR264" s="278" t="s">
        <v>616</v>
      </c>
      <c r="AS264" s="277"/>
      <c r="AT264" s="279"/>
      <c r="AU264" s="279"/>
      <c r="AV264" s="277">
        <f t="shared" si="14"/>
        <v>1</v>
      </c>
      <c r="AW264" s="279"/>
      <c r="AX264" s="324"/>
      <c r="AY264" s="324"/>
      <c r="AZ264" s="281"/>
    </row>
    <row r="265" spans="1:256" ht="28" customHeight="1">
      <c r="A265" s="271">
        <v>261</v>
      </c>
      <c r="B265" s="274">
        <v>45028</v>
      </c>
      <c r="C265" s="222" t="s">
        <v>198</v>
      </c>
      <c r="D265" s="222" t="s">
        <v>199</v>
      </c>
      <c r="E265" s="222" t="s">
        <v>200</v>
      </c>
      <c r="F265" s="266" t="s">
        <v>123</v>
      </c>
      <c r="G265" s="267" t="s">
        <v>876</v>
      </c>
      <c r="H265" s="275" t="s">
        <v>129</v>
      </c>
      <c r="I265" s="111" t="s">
        <v>237</v>
      </c>
      <c r="J265" s="269" t="s">
        <v>887</v>
      </c>
      <c r="K265" s="112" t="s">
        <v>97</v>
      </c>
      <c r="L265" s="112" t="s">
        <v>367</v>
      </c>
      <c r="M265" s="258" t="s">
        <v>237</v>
      </c>
      <c r="N265" s="111" t="s">
        <v>97</v>
      </c>
      <c r="O265" s="111" t="s">
        <v>368</v>
      </c>
      <c r="P265" s="111"/>
      <c r="Q265" s="323"/>
      <c r="R265" s="270">
        <v>1</v>
      </c>
      <c r="S265" s="155">
        <f>0</f>
        <v>0</v>
      </c>
      <c r="T265" s="155">
        <f>0</f>
        <v>0</v>
      </c>
      <c r="U265" s="155">
        <v>0</v>
      </c>
      <c r="V265" s="155">
        <f>0</f>
        <v>0</v>
      </c>
      <c r="W265" s="155">
        <f>0</f>
        <v>0</v>
      </c>
      <c r="X265" s="155">
        <f>0</f>
        <v>0</v>
      </c>
      <c r="Y265" s="155">
        <f>0</f>
        <v>0</v>
      </c>
      <c r="Z265" s="155">
        <f>0</f>
        <v>0</v>
      </c>
      <c r="AA265" s="155">
        <f>0</f>
        <v>0</v>
      </c>
      <c r="AB265" s="155">
        <f>0</f>
        <v>0</v>
      </c>
      <c r="AC265" s="155">
        <f>0</f>
        <v>0</v>
      </c>
      <c r="AD265" s="155">
        <f>0</f>
        <v>0</v>
      </c>
      <c r="AE265" s="155">
        <f>0</f>
        <v>0</v>
      </c>
      <c r="AF265" s="155">
        <f>0</f>
        <v>0</v>
      </c>
      <c r="AG265" s="155">
        <f>0</f>
        <v>0</v>
      </c>
      <c r="AH265" s="155">
        <f>0</f>
        <v>0</v>
      </c>
      <c r="AI265" s="155">
        <f>0</f>
        <v>0</v>
      </c>
      <c r="AJ265" s="155">
        <f>0</f>
        <v>0</v>
      </c>
      <c r="AK265" s="155">
        <f>0</f>
        <v>0</v>
      </c>
      <c r="AL265" s="219">
        <f t="shared" si="15"/>
        <v>1</v>
      </c>
      <c r="AM265" s="103"/>
      <c r="AN265" s="326">
        <f t="shared" si="16"/>
        <v>1</v>
      </c>
      <c r="AO265" s="276"/>
      <c r="AP265" s="188" t="s">
        <v>617</v>
      </c>
      <c r="AQ265" s="284"/>
      <c r="AR265" s="278" t="s">
        <v>616</v>
      </c>
      <c r="AS265" s="277"/>
      <c r="AT265" s="279"/>
      <c r="AU265" s="279"/>
      <c r="AV265" s="277">
        <f t="shared" si="14"/>
        <v>1</v>
      </c>
      <c r="AW265" s="279"/>
      <c r="AX265" s="324"/>
      <c r="AY265" s="324"/>
      <c r="AZ265" s="281"/>
    </row>
    <row r="266" spans="1:256" ht="28" customHeight="1">
      <c r="A266" s="271">
        <v>262</v>
      </c>
      <c r="B266" s="274">
        <v>45028</v>
      </c>
      <c r="C266" s="222" t="s">
        <v>198</v>
      </c>
      <c r="D266" s="222" t="s">
        <v>199</v>
      </c>
      <c r="E266" s="222" t="s">
        <v>200</v>
      </c>
      <c r="F266" s="265" t="s">
        <v>123</v>
      </c>
      <c r="G266" s="267" t="s">
        <v>877</v>
      </c>
      <c r="H266" s="275" t="s">
        <v>129</v>
      </c>
      <c r="I266" s="111" t="s">
        <v>237</v>
      </c>
      <c r="J266" s="269" t="s">
        <v>888</v>
      </c>
      <c r="K266" s="112" t="s">
        <v>97</v>
      </c>
      <c r="L266" s="112" t="s">
        <v>367</v>
      </c>
      <c r="M266" s="258" t="s">
        <v>237</v>
      </c>
      <c r="N266" s="111" t="s">
        <v>97</v>
      </c>
      <c r="O266" s="111" t="s">
        <v>368</v>
      </c>
      <c r="P266" s="111"/>
      <c r="Q266" s="323"/>
      <c r="R266" s="270">
        <v>1</v>
      </c>
      <c r="S266" s="155">
        <f>0</f>
        <v>0</v>
      </c>
      <c r="T266" s="155">
        <f>0</f>
        <v>0</v>
      </c>
      <c r="U266" s="155">
        <v>0</v>
      </c>
      <c r="V266" s="155">
        <f>0</f>
        <v>0</v>
      </c>
      <c r="W266" s="155">
        <f>0</f>
        <v>0</v>
      </c>
      <c r="X266" s="155">
        <f>0</f>
        <v>0</v>
      </c>
      <c r="Y266" s="155">
        <f>0</f>
        <v>0</v>
      </c>
      <c r="Z266" s="155">
        <f>0</f>
        <v>0</v>
      </c>
      <c r="AA266" s="155">
        <f>0</f>
        <v>0</v>
      </c>
      <c r="AB266" s="155">
        <f>0</f>
        <v>0</v>
      </c>
      <c r="AC266" s="155">
        <f>0</f>
        <v>0</v>
      </c>
      <c r="AD266" s="155">
        <f>0</f>
        <v>0</v>
      </c>
      <c r="AE266" s="155">
        <f>0</f>
        <v>0</v>
      </c>
      <c r="AF266" s="155">
        <f>0</f>
        <v>0</v>
      </c>
      <c r="AG266" s="155">
        <f>0</f>
        <v>0</v>
      </c>
      <c r="AH266" s="155">
        <f>0</f>
        <v>0</v>
      </c>
      <c r="AI266" s="155">
        <f>0</f>
        <v>0</v>
      </c>
      <c r="AJ266" s="155">
        <f>0</f>
        <v>0</v>
      </c>
      <c r="AK266" s="155">
        <f>0</f>
        <v>0</v>
      </c>
      <c r="AL266" s="219">
        <f t="shared" si="15"/>
        <v>1</v>
      </c>
      <c r="AM266" s="103"/>
      <c r="AN266" s="326">
        <f t="shared" si="16"/>
        <v>1</v>
      </c>
      <c r="AO266" s="276"/>
      <c r="AP266" s="188" t="s">
        <v>617</v>
      </c>
      <c r="AQ266" s="284"/>
      <c r="AR266" s="278" t="s">
        <v>616</v>
      </c>
      <c r="AS266" s="277"/>
      <c r="AT266" s="279"/>
      <c r="AU266" s="279"/>
      <c r="AV266" s="277">
        <f t="shared" si="14"/>
        <v>1</v>
      </c>
      <c r="AW266" s="279"/>
      <c r="AX266" s="324"/>
      <c r="AY266" s="324"/>
      <c r="AZ266" s="281"/>
    </row>
    <row r="267" spans="1:256" ht="28" customHeight="1">
      <c r="A267" s="271">
        <v>263</v>
      </c>
      <c r="B267" s="274">
        <v>45028</v>
      </c>
      <c r="C267" s="222" t="s">
        <v>198</v>
      </c>
      <c r="D267" s="222" t="s">
        <v>199</v>
      </c>
      <c r="E267" s="222" t="s">
        <v>200</v>
      </c>
      <c r="F267" s="266" t="s">
        <v>123</v>
      </c>
      <c r="G267" s="267" t="s">
        <v>878</v>
      </c>
      <c r="H267" s="275" t="s">
        <v>129</v>
      </c>
      <c r="I267" s="111" t="s">
        <v>237</v>
      </c>
      <c r="J267" s="269" t="s">
        <v>889</v>
      </c>
      <c r="K267" s="112" t="s">
        <v>97</v>
      </c>
      <c r="L267" s="112" t="s">
        <v>367</v>
      </c>
      <c r="M267" s="258" t="s">
        <v>237</v>
      </c>
      <c r="N267" s="111" t="s">
        <v>97</v>
      </c>
      <c r="O267" s="111" t="s">
        <v>368</v>
      </c>
      <c r="P267" s="111"/>
      <c r="Q267" s="323"/>
      <c r="R267" s="270">
        <v>3</v>
      </c>
      <c r="S267" s="155">
        <f>0</f>
        <v>0</v>
      </c>
      <c r="T267" s="155">
        <f>0</f>
        <v>0</v>
      </c>
      <c r="U267" s="155">
        <v>0</v>
      </c>
      <c r="V267" s="155">
        <f>0</f>
        <v>0</v>
      </c>
      <c r="W267" s="155">
        <f>0</f>
        <v>0</v>
      </c>
      <c r="X267" s="155">
        <f>0</f>
        <v>0</v>
      </c>
      <c r="Y267" s="155">
        <f>0</f>
        <v>0</v>
      </c>
      <c r="Z267" s="155">
        <f>0</f>
        <v>0</v>
      </c>
      <c r="AA267" s="155">
        <f>0</f>
        <v>0</v>
      </c>
      <c r="AB267" s="155">
        <f>0</f>
        <v>0</v>
      </c>
      <c r="AC267" s="155">
        <f>0</f>
        <v>0</v>
      </c>
      <c r="AD267" s="155">
        <f>0</f>
        <v>0</v>
      </c>
      <c r="AE267" s="155">
        <f>0</f>
        <v>0</v>
      </c>
      <c r="AF267" s="155">
        <f>0</f>
        <v>0</v>
      </c>
      <c r="AG267" s="155">
        <f>0</f>
        <v>0</v>
      </c>
      <c r="AH267" s="155">
        <f>0</f>
        <v>0</v>
      </c>
      <c r="AI267" s="155">
        <f>0</f>
        <v>0</v>
      </c>
      <c r="AJ267" s="155">
        <f>0</f>
        <v>0</v>
      </c>
      <c r="AK267" s="155">
        <f>0</f>
        <v>0</v>
      </c>
      <c r="AL267" s="219">
        <f t="shared" si="15"/>
        <v>3</v>
      </c>
      <c r="AM267" s="103"/>
      <c r="AN267" s="326">
        <f t="shared" si="16"/>
        <v>3</v>
      </c>
      <c r="AO267" s="276"/>
      <c r="AP267" s="188" t="s">
        <v>617</v>
      </c>
      <c r="AQ267" s="284"/>
      <c r="AR267" s="278" t="s">
        <v>616</v>
      </c>
      <c r="AS267" s="277"/>
      <c r="AT267" s="279"/>
      <c r="AU267" s="279"/>
      <c r="AV267" s="277">
        <f t="shared" si="14"/>
        <v>3</v>
      </c>
      <c r="AW267" s="279"/>
      <c r="AX267" s="324"/>
      <c r="AY267" s="324"/>
      <c r="AZ267" s="281"/>
    </row>
    <row r="268" spans="1:256" ht="28" customHeight="1">
      <c r="A268" s="271">
        <v>264</v>
      </c>
      <c r="B268" s="274">
        <v>45028</v>
      </c>
      <c r="C268" s="222" t="s">
        <v>198</v>
      </c>
      <c r="D268" s="222" t="s">
        <v>199</v>
      </c>
      <c r="E268" s="222" t="s">
        <v>200</v>
      </c>
      <c r="F268" s="265" t="s">
        <v>123</v>
      </c>
      <c r="G268" s="267" t="s">
        <v>892</v>
      </c>
      <c r="H268" s="275" t="s">
        <v>129</v>
      </c>
      <c r="I268" s="111" t="s">
        <v>890</v>
      </c>
      <c r="J268" s="269" t="s">
        <v>891</v>
      </c>
      <c r="K268" s="112"/>
      <c r="L268" s="112" t="s">
        <v>367</v>
      </c>
      <c r="M268" s="258" t="s">
        <v>237</v>
      </c>
      <c r="N268" s="111" t="s">
        <v>97</v>
      </c>
      <c r="O268" s="111" t="s">
        <v>368</v>
      </c>
      <c r="P268" s="111"/>
      <c r="Q268" s="323"/>
      <c r="R268" s="270">
        <v>1</v>
      </c>
      <c r="S268" s="155">
        <f>0</f>
        <v>0</v>
      </c>
      <c r="T268" s="155">
        <f>0</f>
        <v>0</v>
      </c>
      <c r="U268" s="155">
        <v>0</v>
      </c>
      <c r="V268" s="155">
        <f>0</f>
        <v>0</v>
      </c>
      <c r="W268" s="155">
        <f>0</f>
        <v>0</v>
      </c>
      <c r="X268" s="155">
        <f>0</f>
        <v>0</v>
      </c>
      <c r="Y268" s="155">
        <f>0</f>
        <v>0</v>
      </c>
      <c r="Z268" s="155">
        <f>0</f>
        <v>0</v>
      </c>
      <c r="AA268" s="155">
        <f>0</f>
        <v>0</v>
      </c>
      <c r="AB268" s="155">
        <f>0</f>
        <v>0</v>
      </c>
      <c r="AC268" s="155">
        <f>0</f>
        <v>0</v>
      </c>
      <c r="AD268" s="155">
        <f>0</f>
        <v>0</v>
      </c>
      <c r="AE268" s="155">
        <f>0</f>
        <v>0</v>
      </c>
      <c r="AF268" s="155">
        <f>0</f>
        <v>0</v>
      </c>
      <c r="AG268" s="155">
        <f>0</f>
        <v>0</v>
      </c>
      <c r="AH268" s="155">
        <f>0</f>
        <v>0</v>
      </c>
      <c r="AI268" s="155">
        <f>0</f>
        <v>0</v>
      </c>
      <c r="AJ268" s="155">
        <f>0</f>
        <v>0</v>
      </c>
      <c r="AK268" s="155">
        <f>0</f>
        <v>0</v>
      </c>
      <c r="AL268" s="219">
        <f t="shared" si="15"/>
        <v>1</v>
      </c>
      <c r="AM268" s="103"/>
      <c r="AN268" s="326">
        <f t="shared" si="16"/>
        <v>1</v>
      </c>
      <c r="AO268" s="276"/>
      <c r="AP268" s="188" t="s">
        <v>617</v>
      </c>
      <c r="AQ268" s="284"/>
      <c r="AR268" s="278" t="s">
        <v>616</v>
      </c>
      <c r="AS268" s="277"/>
      <c r="AT268" s="279"/>
      <c r="AU268" s="279"/>
      <c r="AV268" s="277">
        <f t="shared" si="14"/>
        <v>1</v>
      </c>
      <c r="AW268" s="279"/>
      <c r="AX268" s="324"/>
      <c r="AY268" s="324"/>
      <c r="AZ268" s="281"/>
      <c r="BA268" s="271"/>
      <c r="BB268" s="274"/>
      <c r="BC268" s="327"/>
      <c r="BD268" s="222"/>
      <c r="BE268" s="222"/>
      <c r="BF268" s="265"/>
      <c r="BG268" s="267"/>
      <c r="BH268" s="275"/>
      <c r="BI268" s="111"/>
      <c r="BJ268" s="269"/>
      <c r="BK268" s="112"/>
      <c r="BL268" s="112"/>
      <c r="BM268" s="111"/>
      <c r="BN268" s="111"/>
      <c r="BO268" s="111"/>
      <c r="BP268" s="111"/>
      <c r="BQ268" s="323"/>
      <c r="BR268" s="270"/>
      <c r="BS268" s="155"/>
      <c r="BT268" s="155"/>
      <c r="BU268" s="155"/>
      <c r="BV268" s="155"/>
      <c r="BW268" s="155"/>
      <c r="BX268" s="155"/>
      <c r="BY268" s="155"/>
      <c r="BZ268" s="155"/>
      <c r="CA268" s="155"/>
      <c r="CB268" s="155"/>
      <c r="CC268" s="155"/>
      <c r="CD268" s="155"/>
      <c r="CE268" s="155"/>
      <c r="CF268" s="155"/>
      <c r="CG268" s="155"/>
      <c r="CH268" s="155"/>
      <c r="CI268" s="155"/>
      <c r="CJ268" s="155"/>
      <c r="CK268" s="155"/>
      <c r="CL268" s="219"/>
      <c r="CM268" s="103"/>
      <c r="CN268" s="326"/>
      <c r="CO268" s="276"/>
      <c r="CP268" s="277"/>
      <c r="CQ268" s="284"/>
      <c r="CR268" s="278"/>
      <c r="CS268" s="277"/>
      <c r="CT268" s="279"/>
      <c r="CU268" s="279"/>
      <c r="CV268" s="277"/>
      <c r="CW268" s="279"/>
      <c r="CX268" s="324"/>
      <c r="CY268" s="324"/>
      <c r="CZ268" s="281"/>
      <c r="DA268" s="271"/>
      <c r="DB268" s="274"/>
      <c r="DC268" s="222"/>
      <c r="DD268" s="222"/>
      <c r="DE268" s="222"/>
      <c r="DF268" s="265"/>
      <c r="DG268" s="267"/>
      <c r="DH268" s="275"/>
      <c r="DI268" s="111"/>
      <c r="DJ268" s="269"/>
      <c r="DK268" s="112"/>
      <c r="DL268" s="112"/>
      <c r="DM268" s="111"/>
      <c r="DN268" s="111"/>
      <c r="DO268" s="111"/>
      <c r="DP268" s="111"/>
      <c r="DQ268" s="323"/>
      <c r="DR268" s="270"/>
      <c r="DS268" s="155"/>
      <c r="DT268" s="155"/>
      <c r="DU268" s="155"/>
      <c r="DV268" s="155"/>
      <c r="DW268" s="155"/>
      <c r="DX268" s="155"/>
      <c r="DY268" s="155"/>
      <c r="DZ268" s="155"/>
      <c r="EA268" s="155"/>
      <c r="EB268" s="155"/>
      <c r="EC268" s="155"/>
      <c r="ED268" s="155"/>
      <c r="EE268" s="155"/>
      <c r="EF268" s="155"/>
      <c r="EG268" s="155"/>
      <c r="EH268" s="155"/>
      <c r="EI268" s="155"/>
      <c r="EJ268" s="155"/>
      <c r="EK268" s="155"/>
      <c r="EL268" s="219"/>
      <c r="EM268" s="103"/>
      <c r="EN268" s="326"/>
      <c r="EO268" s="276"/>
      <c r="EP268" s="277"/>
      <c r="EQ268" s="284"/>
      <c r="ER268" s="278"/>
      <c r="ES268" s="277"/>
      <c r="ET268" s="279"/>
      <c r="EU268" s="279"/>
      <c r="EV268" s="277"/>
      <c r="EW268" s="279"/>
      <c r="EX268" s="324"/>
      <c r="EY268" s="324"/>
      <c r="EZ268" s="281"/>
      <c r="FA268" s="271"/>
      <c r="FB268" s="274"/>
      <c r="FC268" s="222"/>
      <c r="FD268" s="222"/>
      <c r="FE268" s="222"/>
      <c r="FF268" s="265"/>
      <c r="FG268" s="267"/>
      <c r="FH268" s="275"/>
      <c r="FI268" s="111"/>
      <c r="FJ268" s="269"/>
      <c r="FK268" s="112"/>
      <c r="FL268" s="112"/>
      <c r="FM268" s="111"/>
      <c r="FN268" s="111"/>
      <c r="FO268" s="111"/>
      <c r="FP268" s="111"/>
      <c r="FQ268" s="323"/>
      <c r="FR268" s="270"/>
      <c r="FS268" s="155"/>
      <c r="FT268" s="155"/>
      <c r="FU268" s="155"/>
      <c r="FV268" s="155"/>
      <c r="FW268" s="155"/>
      <c r="FX268" s="155"/>
      <c r="FY268" s="155"/>
      <c r="FZ268" s="155"/>
      <c r="GA268" s="155"/>
      <c r="GB268" s="155"/>
      <c r="GC268" s="155"/>
      <c r="GD268" s="155"/>
      <c r="GE268" s="155"/>
      <c r="GF268" s="155"/>
      <c r="GG268" s="155"/>
      <c r="GH268" s="155"/>
      <c r="GI268" s="155"/>
      <c r="GJ268" s="155"/>
      <c r="GK268" s="155"/>
      <c r="GL268" s="219"/>
      <c r="GM268" s="103"/>
      <c r="GN268" s="326"/>
      <c r="GO268" s="276"/>
      <c r="GP268" s="277"/>
      <c r="GQ268" s="284"/>
      <c r="GR268" s="278"/>
      <c r="GS268" s="277"/>
      <c r="GT268" s="279"/>
      <c r="GU268" s="279"/>
      <c r="GV268" s="277"/>
      <c r="GW268" s="279"/>
      <c r="GX268" s="324"/>
      <c r="GY268" s="324"/>
      <c r="GZ268" s="281"/>
      <c r="HA268" s="271"/>
      <c r="HB268" s="274"/>
      <c r="HC268" s="222"/>
      <c r="HD268" s="222"/>
      <c r="HE268" s="222"/>
      <c r="HF268" s="265"/>
      <c r="HG268" s="267"/>
      <c r="HH268" s="275"/>
      <c r="HI268" s="111"/>
      <c r="HJ268" s="269"/>
      <c r="HK268" s="112"/>
      <c r="HL268" s="112"/>
      <c r="HM268" s="111"/>
      <c r="HN268" s="111"/>
      <c r="HO268" s="111"/>
      <c r="HP268" s="111"/>
      <c r="HQ268" s="323"/>
      <c r="HR268" s="270"/>
      <c r="HS268" s="155"/>
      <c r="HT268" s="155"/>
      <c r="HU268" s="155"/>
      <c r="HV268" s="155"/>
      <c r="HW268" s="155"/>
      <c r="HX268" s="155"/>
      <c r="HY268" s="155"/>
      <c r="HZ268" s="155"/>
      <c r="IA268" s="155"/>
      <c r="IB268" s="155"/>
      <c r="IC268" s="155"/>
      <c r="ID268" s="155"/>
      <c r="IE268" s="155"/>
      <c r="IF268" s="155"/>
      <c r="IG268" s="155"/>
      <c r="IH268" s="155"/>
      <c r="II268" s="155"/>
      <c r="IJ268" s="155"/>
      <c r="IK268" s="155"/>
      <c r="IL268" s="219"/>
      <c r="IM268" s="103"/>
      <c r="IN268" s="326"/>
      <c r="IO268" s="276"/>
      <c r="IP268" s="277"/>
      <c r="IQ268" s="284"/>
      <c r="IR268" s="278"/>
      <c r="IS268" s="277"/>
      <c r="IT268" s="279"/>
      <c r="IU268" s="279"/>
      <c r="IV268" s="277"/>
    </row>
    <row r="269" spans="1:256" ht="28" customHeight="1">
      <c r="A269" s="195">
        <v>265</v>
      </c>
      <c r="B269" s="315">
        <v>45029</v>
      </c>
      <c r="C269" s="222" t="s">
        <v>198</v>
      </c>
      <c r="D269" s="222" t="s">
        <v>199</v>
      </c>
      <c r="E269" s="222" t="s">
        <v>200</v>
      </c>
      <c r="F269" s="371" t="s">
        <v>837</v>
      </c>
      <c r="G269" s="309" t="s">
        <v>893</v>
      </c>
      <c r="H269" s="337" t="s">
        <v>129</v>
      </c>
      <c r="I269" s="311" t="s">
        <v>894</v>
      </c>
      <c r="J269" s="312" t="s">
        <v>907</v>
      </c>
      <c r="K269" s="273" t="s">
        <v>97</v>
      </c>
      <c r="L269" s="273" t="s">
        <v>895</v>
      </c>
      <c r="M269" s="311" t="s">
        <v>279</v>
      </c>
      <c r="N269" s="311" t="s">
        <v>97</v>
      </c>
      <c r="O269" s="311" t="s">
        <v>97</v>
      </c>
      <c r="P269" s="329"/>
      <c r="Q269" s="330"/>
      <c r="R269" s="154">
        <v>0</v>
      </c>
      <c r="S269" s="155">
        <f>0</f>
        <v>0</v>
      </c>
      <c r="T269" s="263">
        <v>4</v>
      </c>
      <c r="U269" s="155">
        <v>0</v>
      </c>
      <c r="V269" s="155">
        <f>0</f>
        <v>0</v>
      </c>
      <c r="W269" s="155">
        <f>0</f>
        <v>0</v>
      </c>
      <c r="X269" s="155">
        <f>0</f>
        <v>0</v>
      </c>
      <c r="Y269" s="155">
        <f>0</f>
        <v>0</v>
      </c>
      <c r="Z269" s="155">
        <f>0</f>
        <v>0</v>
      </c>
      <c r="AA269" s="155">
        <f>0</f>
        <v>0</v>
      </c>
      <c r="AB269" s="155">
        <f>0</f>
        <v>0</v>
      </c>
      <c r="AC269" s="155">
        <f>0</f>
        <v>0</v>
      </c>
      <c r="AD269" s="155">
        <f>0</f>
        <v>0</v>
      </c>
      <c r="AE269" s="155">
        <f>0</f>
        <v>0</v>
      </c>
      <c r="AF269" s="155">
        <f>0</f>
        <v>0</v>
      </c>
      <c r="AG269" s="155">
        <f>0</f>
        <v>0</v>
      </c>
      <c r="AH269" s="155">
        <f>0</f>
        <v>0</v>
      </c>
      <c r="AI269" s="155">
        <f>0</f>
        <v>0</v>
      </c>
      <c r="AJ269" s="155">
        <f>0</f>
        <v>0</v>
      </c>
      <c r="AK269" s="155">
        <f>0</f>
        <v>0</v>
      </c>
      <c r="AL269" s="219">
        <f t="shared" si="15"/>
        <v>4</v>
      </c>
      <c r="AM269" s="103"/>
      <c r="AN269" s="326">
        <f t="shared" si="16"/>
        <v>4</v>
      </c>
      <c r="AO269" s="348">
        <v>45034</v>
      </c>
      <c r="AP269" s="296" t="s">
        <v>192</v>
      </c>
      <c r="AQ269" s="292" t="s">
        <v>1522</v>
      </c>
      <c r="AR269" s="350" t="s">
        <v>194</v>
      </c>
      <c r="AS269" s="301">
        <v>45078</v>
      </c>
      <c r="AT269" s="318"/>
      <c r="AU269" s="318">
        <v>4</v>
      </c>
      <c r="AV269" s="317">
        <f t="shared" si="14"/>
        <v>0</v>
      </c>
      <c r="AW269" s="318" t="s">
        <v>195</v>
      </c>
      <c r="AX269" s="333"/>
      <c r="AY269" s="333"/>
      <c r="AZ269" s="320"/>
      <c r="BA269" s="174"/>
      <c r="BB269" s="174"/>
      <c r="BC269" s="174"/>
    </row>
    <row r="270" spans="1:256" ht="28" customHeight="1">
      <c r="A270" s="195">
        <v>266</v>
      </c>
      <c r="B270" s="315">
        <v>45029</v>
      </c>
      <c r="C270" s="222" t="s">
        <v>198</v>
      </c>
      <c r="D270" s="222" t="s">
        <v>199</v>
      </c>
      <c r="E270" s="222" t="s">
        <v>200</v>
      </c>
      <c r="F270" s="371" t="s">
        <v>837</v>
      </c>
      <c r="G270" s="309" t="s">
        <v>896</v>
      </c>
      <c r="H270" s="337" t="s">
        <v>129</v>
      </c>
      <c r="I270" s="311" t="s">
        <v>897</v>
      </c>
      <c r="J270" s="312" t="s">
        <v>898</v>
      </c>
      <c r="K270" s="273" t="s">
        <v>97</v>
      </c>
      <c r="L270" s="273" t="s">
        <v>165</v>
      </c>
      <c r="M270" s="311" t="s">
        <v>147</v>
      </c>
      <c r="N270" s="311" t="s">
        <v>97</v>
      </c>
      <c r="O270" s="311" t="s">
        <v>224</v>
      </c>
      <c r="P270" s="329"/>
      <c r="Q270" s="330"/>
      <c r="R270" s="154">
        <v>0</v>
      </c>
      <c r="S270" s="155">
        <f>0</f>
        <v>0</v>
      </c>
      <c r="T270" s="263">
        <v>2</v>
      </c>
      <c r="U270" s="155">
        <v>0</v>
      </c>
      <c r="V270" s="155">
        <f>0</f>
        <v>0</v>
      </c>
      <c r="W270" s="155">
        <f>0</f>
        <v>0</v>
      </c>
      <c r="X270" s="155">
        <f>0</f>
        <v>0</v>
      </c>
      <c r="Y270" s="155">
        <f>0</f>
        <v>0</v>
      </c>
      <c r="Z270" s="155">
        <f>0</f>
        <v>0</v>
      </c>
      <c r="AA270" s="155">
        <f>0</f>
        <v>0</v>
      </c>
      <c r="AB270" s="155">
        <f>0</f>
        <v>0</v>
      </c>
      <c r="AC270" s="155">
        <f>0</f>
        <v>0</v>
      </c>
      <c r="AD270" s="155">
        <f>0</f>
        <v>0</v>
      </c>
      <c r="AE270" s="155">
        <f>0</f>
        <v>0</v>
      </c>
      <c r="AF270" s="155">
        <f>0</f>
        <v>0</v>
      </c>
      <c r="AG270" s="155">
        <f>0</f>
        <v>0</v>
      </c>
      <c r="AH270" s="155">
        <f>0</f>
        <v>0</v>
      </c>
      <c r="AI270" s="155">
        <f>0</f>
        <v>0</v>
      </c>
      <c r="AJ270" s="155">
        <f>0</f>
        <v>0</v>
      </c>
      <c r="AK270" s="155">
        <f>0</f>
        <v>0</v>
      </c>
      <c r="AL270" s="169">
        <f t="shared" si="15"/>
        <v>2</v>
      </c>
      <c r="AM270" s="103"/>
      <c r="AN270" s="326">
        <f t="shared" si="16"/>
        <v>2</v>
      </c>
      <c r="AO270" s="348">
        <v>45034</v>
      </c>
      <c r="AP270" s="296" t="s">
        <v>192</v>
      </c>
      <c r="AQ270" s="292" t="s">
        <v>1522</v>
      </c>
      <c r="AR270" s="350" t="s">
        <v>194</v>
      </c>
      <c r="AS270" s="301">
        <v>45078</v>
      </c>
      <c r="AT270" s="318"/>
      <c r="AU270" s="318">
        <v>2</v>
      </c>
      <c r="AV270" s="317">
        <f t="shared" ref="AV270:AV333" si="17">AN270-AU270</f>
        <v>0</v>
      </c>
      <c r="AW270" s="318" t="s">
        <v>195</v>
      </c>
      <c r="AX270" s="333"/>
      <c r="AY270" s="333"/>
      <c r="AZ270" s="320"/>
      <c r="BA270" s="174"/>
      <c r="BB270" s="174"/>
      <c r="BC270" s="174"/>
    </row>
    <row r="271" spans="1:256" ht="28" customHeight="1">
      <c r="A271" s="195">
        <v>267</v>
      </c>
      <c r="B271" s="315">
        <v>45029</v>
      </c>
      <c r="C271" s="222" t="s">
        <v>198</v>
      </c>
      <c r="D271" s="222" t="s">
        <v>199</v>
      </c>
      <c r="E271" s="222" t="s">
        <v>200</v>
      </c>
      <c r="F271" s="371" t="s">
        <v>837</v>
      </c>
      <c r="G271" s="309" t="s">
        <v>899</v>
      </c>
      <c r="H271" s="337" t="s">
        <v>129</v>
      </c>
      <c r="I271" s="311" t="s">
        <v>900</v>
      </c>
      <c r="J271" s="312" t="s">
        <v>901</v>
      </c>
      <c r="K271" s="273" t="s">
        <v>97</v>
      </c>
      <c r="L271" s="273" t="s">
        <v>165</v>
      </c>
      <c r="M271" s="311" t="s">
        <v>147</v>
      </c>
      <c r="N271" s="311" t="s">
        <v>97</v>
      </c>
      <c r="O271" s="311" t="s">
        <v>224</v>
      </c>
      <c r="P271" s="329"/>
      <c r="Q271" s="330"/>
      <c r="R271" s="154">
        <v>0</v>
      </c>
      <c r="S271" s="155">
        <f>0</f>
        <v>0</v>
      </c>
      <c r="T271" s="263">
        <v>2</v>
      </c>
      <c r="U271" s="155">
        <v>0</v>
      </c>
      <c r="V271" s="158">
        <f>0</f>
        <v>0</v>
      </c>
      <c r="W271" s="155">
        <f>0</f>
        <v>0</v>
      </c>
      <c r="X271" s="155">
        <f>0</f>
        <v>0</v>
      </c>
      <c r="Y271" s="155">
        <f>0</f>
        <v>0</v>
      </c>
      <c r="Z271" s="155">
        <f>0</f>
        <v>0</v>
      </c>
      <c r="AA271" s="155">
        <f>0</f>
        <v>0</v>
      </c>
      <c r="AB271" s="155">
        <f>0</f>
        <v>0</v>
      </c>
      <c r="AC271" s="155">
        <f>0</f>
        <v>0</v>
      </c>
      <c r="AD271" s="155">
        <f>0</f>
        <v>0</v>
      </c>
      <c r="AE271" s="155">
        <f>0</f>
        <v>0</v>
      </c>
      <c r="AF271" s="155">
        <f>0</f>
        <v>0</v>
      </c>
      <c r="AG271" s="155">
        <f>0</f>
        <v>0</v>
      </c>
      <c r="AH271" s="155">
        <f>0</f>
        <v>0</v>
      </c>
      <c r="AI271" s="155">
        <f>0</f>
        <v>0</v>
      </c>
      <c r="AJ271" s="155">
        <f>0</f>
        <v>0</v>
      </c>
      <c r="AK271" s="155">
        <f>0</f>
        <v>0</v>
      </c>
      <c r="AL271" s="219">
        <f t="shared" si="15"/>
        <v>2</v>
      </c>
      <c r="AM271" s="103"/>
      <c r="AN271" s="326">
        <f t="shared" si="16"/>
        <v>2</v>
      </c>
      <c r="AO271" s="348">
        <v>45034</v>
      </c>
      <c r="AP271" s="296" t="s">
        <v>192</v>
      </c>
      <c r="AQ271" s="292" t="s">
        <v>1522</v>
      </c>
      <c r="AR271" s="350" t="s">
        <v>194</v>
      </c>
      <c r="AS271" s="301">
        <v>45078</v>
      </c>
      <c r="AT271" s="318"/>
      <c r="AU271" s="318">
        <v>2</v>
      </c>
      <c r="AV271" s="317">
        <f t="shared" si="17"/>
        <v>0</v>
      </c>
      <c r="AW271" s="318" t="s">
        <v>195</v>
      </c>
      <c r="AX271" s="333"/>
      <c r="AY271" s="333"/>
      <c r="AZ271" s="320"/>
      <c r="BA271" s="174"/>
      <c r="BB271" s="174"/>
      <c r="BC271" s="174"/>
    </row>
    <row r="272" spans="1:256" ht="28" customHeight="1">
      <c r="A272" s="195">
        <v>268</v>
      </c>
      <c r="B272" s="315">
        <v>45029</v>
      </c>
      <c r="C272" s="222" t="s">
        <v>198</v>
      </c>
      <c r="D272" s="222" t="s">
        <v>199</v>
      </c>
      <c r="E272" s="222" t="s">
        <v>200</v>
      </c>
      <c r="F272" s="371" t="s">
        <v>837</v>
      </c>
      <c r="G272" s="309" t="s">
        <v>902</v>
      </c>
      <c r="H272" s="337" t="s">
        <v>129</v>
      </c>
      <c r="I272" s="311" t="s">
        <v>903</v>
      </c>
      <c r="J272" s="312" t="s">
        <v>904</v>
      </c>
      <c r="K272" s="273" t="s">
        <v>97</v>
      </c>
      <c r="L272" s="273" t="s">
        <v>165</v>
      </c>
      <c r="M272" s="311" t="s">
        <v>147</v>
      </c>
      <c r="N272" s="311" t="s">
        <v>97</v>
      </c>
      <c r="O272" s="311" t="s">
        <v>224</v>
      </c>
      <c r="P272" s="329"/>
      <c r="Q272" s="330"/>
      <c r="R272" s="154">
        <v>0</v>
      </c>
      <c r="S272" s="155">
        <f>0</f>
        <v>0</v>
      </c>
      <c r="T272" s="263">
        <v>2</v>
      </c>
      <c r="U272" s="155">
        <v>0</v>
      </c>
      <c r="V272" s="158">
        <f>0</f>
        <v>0</v>
      </c>
      <c r="W272" s="155">
        <f>0</f>
        <v>0</v>
      </c>
      <c r="X272" s="155">
        <f>0</f>
        <v>0</v>
      </c>
      <c r="Y272" s="155">
        <f>0</f>
        <v>0</v>
      </c>
      <c r="Z272" s="155">
        <f>0</f>
        <v>0</v>
      </c>
      <c r="AA272" s="155">
        <f>0</f>
        <v>0</v>
      </c>
      <c r="AB272" s="155">
        <f>0</f>
        <v>0</v>
      </c>
      <c r="AC272" s="155">
        <f>0</f>
        <v>0</v>
      </c>
      <c r="AD272" s="155">
        <f>0</f>
        <v>0</v>
      </c>
      <c r="AE272" s="155">
        <f>0</f>
        <v>0</v>
      </c>
      <c r="AF272" s="155">
        <f>0</f>
        <v>0</v>
      </c>
      <c r="AG272" s="155">
        <f>0</f>
        <v>0</v>
      </c>
      <c r="AH272" s="155">
        <f>0</f>
        <v>0</v>
      </c>
      <c r="AI272" s="155">
        <f>0</f>
        <v>0</v>
      </c>
      <c r="AJ272" s="155">
        <f>0</f>
        <v>0</v>
      </c>
      <c r="AK272" s="155">
        <f>0</f>
        <v>0</v>
      </c>
      <c r="AL272" s="219">
        <f t="shared" si="15"/>
        <v>2</v>
      </c>
      <c r="AM272" s="103"/>
      <c r="AN272" s="326">
        <f t="shared" si="16"/>
        <v>2</v>
      </c>
      <c r="AO272" s="348">
        <v>45034</v>
      </c>
      <c r="AP272" s="296" t="s">
        <v>192</v>
      </c>
      <c r="AQ272" s="292" t="s">
        <v>1522</v>
      </c>
      <c r="AR272" s="350" t="s">
        <v>194</v>
      </c>
      <c r="AS272" s="301">
        <v>45078</v>
      </c>
      <c r="AT272" s="318"/>
      <c r="AU272" s="318">
        <v>2</v>
      </c>
      <c r="AV272" s="317">
        <f t="shared" si="17"/>
        <v>0</v>
      </c>
      <c r="AW272" s="318" t="s">
        <v>195</v>
      </c>
      <c r="AX272" s="333"/>
      <c r="AY272" s="333"/>
      <c r="AZ272" s="320"/>
      <c r="BA272" s="174"/>
      <c r="BB272" s="174"/>
      <c r="BC272" s="174"/>
    </row>
    <row r="273" spans="1:55" ht="28" customHeight="1">
      <c r="A273" s="195">
        <v>269</v>
      </c>
      <c r="B273" s="315">
        <v>45029</v>
      </c>
      <c r="C273" s="222" t="s">
        <v>198</v>
      </c>
      <c r="D273" s="222" t="s">
        <v>199</v>
      </c>
      <c r="E273" s="222" t="s">
        <v>200</v>
      </c>
      <c r="F273" s="371" t="s">
        <v>837</v>
      </c>
      <c r="G273" s="309" t="s">
        <v>905</v>
      </c>
      <c r="H273" s="337" t="s">
        <v>129</v>
      </c>
      <c r="I273" s="311" t="s">
        <v>124</v>
      </c>
      <c r="J273" s="312" t="s">
        <v>906</v>
      </c>
      <c r="K273" s="273" t="s">
        <v>97</v>
      </c>
      <c r="L273" s="273" t="s">
        <v>895</v>
      </c>
      <c r="M273" s="311" t="s">
        <v>279</v>
      </c>
      <c r="N273" s="311" t="s">
        <v>97</v>
      </c>
      <c r="O273" s="311" t="s">
        <v>97</v>
      </c>
      <c r="P273" s="329"/>
      <c r="Q273" s="330"/>
      <c r="R273" s="154">
        <v>0</v>
      </c>
      <c r="S273" s="155">
        <f>0</f>
        <v>0</v>
      </c>
      <c r="T273" s="263">
        <v>2</v>
      </c>
      <c r="U273" s="155">
        <v>0</v>
      </c>
      <c r="V273" s="158">
        <f>0</f>
        <v>0</v>
      </c>
      <c r="W273" s="155">
        <f>0</f>
        <v>0</v>
      </c>
      <c r="X273" s="155">
        <f>0</f>
        <v>0</v>
      </c>
      <c r="Y273" s="155">
        <f>0</f>
        <v>0</v>
      </c>
      <c r="Z273" s="155">
        <f>0</f>
        <v>0</v>
      </c>
      <c r="AA273" s="155">
        <f>0</f>
        <v>0</v>
      </c>
      <c r="AB273" s="155">
        <f>0</f>
        <v>0</v>
      </c>
      <c r="AC273" s="155">
        <f>0</f>
        <v>0</v>
      </c>
      <c r="AD273" s="155">
        <f>0</f>
        <v>0</v>
      </c>
      <c r="AE273" s="155">
        <f>0</f>
        <v>0</v>
      </c>
      <c r="AF273" s="155">
        <f>0</f>
        <v>0</v>
      </c>
      <c r="AG273" s="155">
        <f>0</f>
        <v>0</v>
      </c>
      <c r="AH273" s="155">
        <f>0</f>
        <v>0</v>
      </c>
      <c r="AI273" s="155">
        <f>0</f>
        <v>0</v>
      </c>
      <c r="AJ273" s="155">
        <f>0</f>
        <v>0</v>
      </c>
      <c r="AK273" s="155">
        <f>0</f>
        <v>0</v>
      </c>
      <c r="AL273" s="219">
        <f t="shared" si="15"/>
        <v>2</v>
      </c>
      <c r="AM273" s="103"/>
      <c r="AN273" s="326">
        <f t="shared" si="16"/>
        <v>2</v>
      </c>
      <c r="AO273" s="348">
        <v>45034</v>
      </c>
      <c r="AP273" s="296" t="s">
        <v>192</v>
      </c>
      <c r="AQ273" s="292" t="s">
        <v>1522</v>
      </c>
      <c r="AR273" s="350" t="s">
        <v>194</v>
      </c>
      <c r="AS273" s="301">
        <v>45078</v>
      </c>
      <c r="AT273" s="318"/>
      <c r="AU273" s="318">
        <v>2</v>
      </c>
      <c r="AV273" s="317">
        <f t="shared" si="17"/>
        <v>0</v>
      </c>
      <c r="AW273" s="318" t="s">
        <v>195</v>
      </c>
      <c r="AX273" s="333"/>
      <c r="AY273" s="333"/>
      <c r="AZ273" s="320"/>
      <c r="BA273" s="174"/>
      <c r="BB273" s="174"/>
      <c r="BC273" s="174"/>
    </row>
    <row r="274" spans="1:55" ht="28" customHeight="1">
      <c r="A274" s="195">
        <v>270</v>
      </c>
      <c r="B274" s="315">
        <v>45029</v>
      </c>
      <c r="C274" s="222" t="s">
        <v>198</v>
      </c>
      <c r="D274" s="222" t="s">
        <v>199</v>
      </c>
      <c r="E274" s="222" t="s">
        <v>200</v>
      </c>
      <c r="F274" s="371" t="s">
        <v>837</v>
      </c>
      <c r="G274" s="309" t="s">
        <v>908</v>
      </c>
      <c r="H274" s="337" t="s">
        <v>129</v>
      </c>
      <c r="I274" s="311" t="s">
        <v>909</v>
      </c>
      <c r="J274" s="312" t="s">
        <v>910</v>
      </c>
      <c r="K274" s="273" t="s">
        <v>97</v>
      </c>
      <c r="L274" s="273" t="s">
        <v>165</v>
      </c>
      <c r="M274" s="311" t="s">
        <v>147</v>
      </c>
      <c r="N274" s="311" t="s">
        <v>97</v>
      </c>
      <c r="O274" s="311" t="s">
        <v>224</v>
      </c>
      <c r="P274" s="329"/>
      <c r="Q274" s="330"/>
      <c r="R274" s="154">
        <v>0</v>
      </c>
      <c r="S274" s="155">
        <f>0</f>
        <v>0</v>
      </c>
      <c r="T274" s="263">
        <v>1</v>
      </c>
      <c r="U274" s="155">
        <v>0</v>
      </c>
      <c r="V274" s="158">
        <f>0</f>
        <v>0</v>
      </c>
      <c r="W274" s="155">
        <f>0</f>
        <v>0</v>
      </c>
      <c r="X274" s="155">
        <f>0</f>
        <v>0</v>
      </c>
      <c r="Y274" s="155">
        <f>0</f>
        <v>0</v>
      </c>
      <c r="Z274" s="155">
        <f>0</f>
        <v>0</v>
      </c>
      <c r="AA274" s="155">
        <f>0</f>
        <v>0</v>
      </c>
      <c r="AB274" s="155">
        <f>0</f>
        <v>0</v>
      </c>
      <c r="AC274" s="155">
        <f>0</f>
        <v>0</v>
      </c>
      <c r="AD274" s="155">
        <f>0</f>
        <v>0</v>
      </c>
      <c r="AE274" s="155">
        <f>0</f>
        <v>0</v>
      </c>
      <c r="AF274" s="155">
        <f>0</f>
        <v>0</v>
      </c>
      <c r="AG274" s="155">
        <f>0</f>
        <v>0</v>
      </c>
      <c r="AH274" s="155">
        <f>0</f>
        <v>0</v>
      </c>
      <c r="AI274" s="155">
        <f>0</f>
        <v>0</v>
      </c>
      <c r="AJ274" s="155">
        <f>0</f>
        <v>0</v>
      </c>
      <c r="AK274" s="155">
        <f>0</f>
        <v>0</v>
      </c>
      <c r="AL274" s="219">
        <f t="shared" si="15"/>
        <v>1</v>
      </c>
      <c r="AM274" s="103"/>
      <c r="AN274" s="326">
        <f t="shared" si="16"/>
        <v>1</v>
      </c>
      <c r="AO274" s="348">
        <v>45034</v>
      </c>
      <c r="AP274" s="296" t="s">
        <v>192</v>
      </c>
      <c r="AQ274" s="292" t="s">
        <v>1522</v>
      </c>
      <c r="AR274" s="350" t="s">
        <v>194</v>
      </c>
      <c r="AS274" s="301">
        <v>45078</v>
      </c>
      <c r="AT274" s="318"/>
      <c r="AU274" s="318">
        <v>1</v>
      </c>
      <c r="AV274" s="317">
        <f t="shared" si="17"/>
        <v>0</v>
      </c>
      <c r="AW274" s="318" t="s">
        <v>195</v>
      </c>
      <c r="AX274" s="333"/>
      <c r="AY274" s="333"/>
      <c r="AZ274" s="320"/>
      <c r="BA274" s="174"/>
      <c r="BB274" s="174"/>
      <c r="BC274" s="174"/>
    </row>
    <row r="275" spans="1:55" ht="28" customHeight="1">
      <c r="A275" s="195">
        <v>271</v>
      </c>
      <c r="B275" s="315">
        <v>45029</v>
      </c>
      <c r="C275" s="222" t="s">
        <v>198</v>
      </c>
      <c r="D275" s="222" t="s">
        <v>199</v>
      </c>
      <c r="E275" s="222" t="s">
        <v>200</v>
      </c>
      <c r="F275" s="371" t="s">
        <v>837</v>
      </c>
      <c r="G275" s="309" t="s">
        <v>911</v>
      </c>
      <c r="H275" s="337" t="s">
        <v>129</v>
      </c>
      <c r="I275" s="311" t="s">
        <v>912</v>
      </c>
      <c r="J275" s="312" t="s">
        <v>913</v>
      </c>
      <c r="K275" s="273" t="s">
        <v>97</v>
      </c>
      <c r="L275" s="273" t="s">
        <v>165</v>
      </c>
      <c r="M275" s="311" t="s">
        <v>147</v>
      </c>
      <c r="N275" s="311" t="s">
        <v>97</v>
      </c>
      <c r="O275" s="311" t="s">
        <v>224</v>
      </c>
      <c r="P275" s="329"/>
      <c r="Q275" s="330"/>
      <c r="R275" s="154">
        <v>0</v>
      </c>
      <c r="S275" s="155">
        <f>0</f>
        <v>0</v>
      </c>
      <c r="T275" s="263">
        <v>2</v>
      </c>
      <c r="U275" s="155">
        <v>0</v>
      </c>
      <c r="V275" s="158">
        <f>0</f>
        <v>0</v>
      </c>
      <c r="W275" s="155">
        <f>0</f>
        <v>0</v>
      </c>
      <c r="X275" s="155">
        <f>0</f>
        <v>0</v>
      </c>
      <c r="Y275" s="155">
        <f>0</f>
        <v>0</v>
      </c>
      <c r="Z275" s="155">
        <f>0</f>
        <v>0</v>
      </c>
      <c r="AA275" s="155">
        <f>0</f>
        <v>0</v>
      </c>
      <c r="AB275" s="155">
        <f>0</f>
        <v>0</v>
      </c>
      <c r="AC275" s="155">
        <f>0</f>
        <v>0</v>
      </c>
      <c r="AD275" s="155">
        <f>0</f>
        <v>0</v>
      </c>
      <c r="AE275" s="155">
        <f>0</f>
        <v>0</v>
      </c>
      <c r="AF275" s="155">
        <f>0</f>
        <v>0</v>
      </c>
      <c r="AG275" s="155">
        <f>0</f>
        <v>0</v>
      </c>
      <c r="AH275" s="155">
        <f>0</f>
        <v>0</v>
      </c>
      <c r="AI275" s="155">
        <f>0</f>
        <v>0</v>
      </c>
      <c r="AJ275" s="155">
        <f>0</f>
        <v>0</v>
      </c>
      <c r="AK275" s="155">
        <f>0</f>
        <v>0</v>
      </c>
      <c r="AL275" s="219">
        <f t="shared" si="15"/>
        <v>2</v>
      </c>
      <c r="AM275" s="103"/>
      <c r="AN275" s="326">
        <f t="shared" si="16"/>
        <v>2</v>
      </c>
      <c r="AO275" s="348">
        <v>45034</v>
      </c>
      <c r="AP275" s="296" t="s">
        <v>192</v>
      </c>
      <c r="AQ275" s="292" t="s">
        <v>1522</v>
      </c>
      <c r="AR275" s="350" t="s">
        <v>194</v>
      </c>
      <c r="AS275" s="301">
        <v>45078</v>
      </c>
      <c r="AT275" s="318"/>
      <c r="AU275" s="318">
        <v>2</v>
      </c>
      <c r="AV275" s="317">
        <f t="shared" si="17"/>
        <v>0</v>
      </c>
      <c r="AW275" s="318" t="s">
        <v>195</v>
      </c>
      <c r="AX275" s="333"/>
      <c r="AY275" s="333"/>
      <c r="AZ275" s="320"/>
      <c r="BA275" s="174"/>
      <c r="BB275" s="174"/>
      <c r="BC275" s="174"/>
    </row>
    <row r="276" spans="1:55" ht="28" customHeight="1">
      <c r="A276" s="195">
        <v>272</v>
      </c>
      <c r="B276" s="315">
        <v>45029</v>
      </c>
      <c r="C276" s="222" t="s">
        <v>198</v>
      </c>
      <c r="D276" s="222" t="s">
        <v>199</v>
      </c>
      <c r="E276" s="222" t="s">
        <v>200</v>
      </c>
      <c r="F276" s="371" t="s">
        <v>837</v>
      </c>
      <c r="G276" s="309" t="s">
        <v>914</v>
      </c>
      <c r="H276" s="337" t="s">
        <v>129</v>
      </c>
      <c r="I276" s="311" t="s">
        <v>921</v>
      </c>
      <c r="J276" s="312" t="s">
        <v>915</v>
      </c>
      <c r="K276" s="273" t="s">
        <v>97</v>
      </c>
      <c r="L276" s="273" t="s">
        <v>159</v>
      </c>
      <c r="M276" s="311" t="s">
        <v>156</v>
      </c>
      <c r="N276" s="311" t="s">
        <v>97</v>
      </c>
      <c r="O276" s="311" t="s">
        <v>535</v>
      </c>
      <c r="P276" s="329"/>
      <c r="Q276" s="330"/>
      <c r="R276" s="154">
        <v>0</v>
      </c>
      <c r="S276" s="155">
        <f>0</f>
        <v>0</v>
      </c>
      <c r="T276" s="263">
        <v>1</v>
      </c>
      <c r="U276" s="155">
        <v>0</v>
      </c>
      <c r="V276" s="158">
        <f>0</f>
        <v>0</v>
      </c>
      <c r="W276" s="155">
        <f>0</f>
        <v>0</v>
      </c>
      <c r="X276" s="155">
        <f>0</f>
        <v>0</v>
      </c>
      <c r="Y276" s="155">
        <f>0</f>
        <v>0</v>
      </c>
      <c r="Z276" s="155">
        <f>0</f>
        <v>0</v>
      </c>
      <c r="AA276" s="155">
        <f>0</f>
        <v>0</v>
      </c>
      <c r="AB276" s="155">
        <f>0</f>
        <v>0</v>
      </c>
      <c r="AC276" s="155">
        <f>0</f>
        <v>0</v>
      </c>
      <c r="AD276" s="155">
        <f>0</f>
        <v>0</v>
      </c>
      <c r="AE276" s="155">
        <f>0</f>
        <v>0</v>
      </c>
      <c r="AF276" s="155">
        <f>0</f>
        <v>0</v>
      </c>
      <c r="AG276" s="155">
        <f>0</f>
        <v>0</v>
      </c>
      <c r="AH276" s="155">
        <f>0</f>
        <v>0</v>
      </c>
      <c r="AI276" s="155">
        <f>0</f>
        <v>0</v>
      </c>
      <c r="AJ276" s="155">
        <f>0</f>
        <v>0</v>
      </c>
      <c r="AK276" s="155">
        <f>0</f>
        <v>0</v>
      </c>
      <c r="AL276" s="219">
        <f t="shared" si="15"/>
        <v>1</v>
      </c>
      <c r="AM276" s="103"/>
      <c r="AN276" s="326">
        <f t="shared" si="16"/>
        <v>1</v>
      </c>
      <c r="AO276" s="290">
        <v>45034</v>
      </c>
      <c r="AP276" s="291" t="s">
        <v>192</v>
      </c>
      <c r="AQ276" s="292" t="s">
        <v>1520</v>
      </c>
      <c r="AR276" s="293" t="s">
        <v>197</v>
      </c>
      <c r="AS276" s="321"/>
      <c r="AT276" s="318"/>
      <c r="AU276" s="318">
        <v>1</v>
      </c>
      <c r="AV276" s="317">
        <f t="shared" si="17"/>
        <v>0</v>
      </c>
      <c r="AW276" s="318" t="s">
        <v>195</v>
      </c>
      <c r="AX276" s="333"/>
      <c r="AY276" s="333"/>
      <c r="AZ276" s="320"/>
      <c r="BA276" s="174"/>
      <c r="BB276" s="174"/>
      <c r="BC276" s="174"/>
    </row>
    <row r="277" spans="1:55" ht="28" customHeight="1">
      <c r="A277" s="271">
        <v>273</v>
      </c>
      <c r="B277" s="274">
        <v>45029</v>
      </c>
      <c r="C277" s="222" t="s">
        <v>198</v>
      </c>
      <c r="D277" s="222" t="s">
        <v>199</v>
      </c>
      <c r="E277" s="222" t="s">
        <v>200</v>
      </c>
      <c r="F277" s="265" t="s">
        <v>837</v>
      </c>
      <c r="G277" s="267" t="s">
        <v>916</v>
      </c>
      <c r="H277" s="275" t="s">
        <v>129</v>
      </c>
      <c r="I277" s="111" t="s">
        <v>917</v>
      </c>
      <c r="J277" s="269" t="s">
        <v>918</v>
      </c>
      <c r="K277" s="112"/>
      <c r="L277" s="112" t="s">
        <v>922</v>
      </c>
      <c r="M277" s="111" t="s">
        <v>919</v>
      </c>
      <c r="N277" s="111"/>
      <c r="O277" s="111" t="s">
        <v>920</v>
      </c>
      <c r="P277" s="325"/>
      <c r="Q277" s="323"/>
      <c r="R277" s="154">
        <v>0</v>
      </c>
      <c r="S277" s="155">
        <f>0</f>
        <v>0</v>
      </c>
      <c r="T277" s="263">
        <v>2</v>
      </c>
      <c r="U277" s="155">
        <v>0</v>
      </c>
      <c r="V277" s="158">
        <f>0</f>
        <v>0</v>
      </c>
      <c r="W277" s="155">
        <f>0</f>
        <v>0</v>
      </c>
      <c r="X277" s="155">
        <f>0</f>
        <v>0</v>
      </c>
      <c r="Y277" s="155">
        <f>0</f>
        <v>0</v>
      </c>
      <c r="Z277" s="155">
        <f>0</f>
        <v>0</v>
      </c>
      <c r="AA277" s="155">
        <f>0</f>
        <v>0</v>
      </c>
      <c r="AB277" s="155">
        <f>0</f>
        <v>0</v>
      </c>
      <c r="AC277" s="155">
        <f>0</f>
        <v>0</v>
      </c>
      <c r="AD277" s="155">
        <f>0</f>
        <v>0</v>
      </c>
      <c r="AE277" s="155">
        <f>0</f>
        <v>0</v>
      </c>
      <c r="AF277" s="155">
        <f>0</f>
        <v>0</v>
      </c>
      <c r="AG277" s="155">
        <f>0</f>
        <v>0</v>
      </c>
      <c r="AH277" s="155">
        <f>0</f>
        <v>0</v>
      </c>
      <c r="AI277" s="155">
        <f>0</f>
        <v>0</v>
      </c>
      <c r="AJ277" s="155">
        <f>0</f>
        <v>0</v>
      </c>
      <c r="AK277" s="155">
        <f>0</f>
        <v>0</v>
      </c>
      <c r="AL277" s="219">
        <f t="shared" si="15"/>
        <v>2</v>
      </c>
      <c r="AM277" s="103"/>
      <c r="AN277" s="326">
        <f t="shared" si="16"/>
        <v>2</v>
      </c>
      <c r="AO277" s="276"/>
      <c r="AP277" s="188" t="s">
        <v>617</v>
      </c>
      <c r="AQ277" s="284"/>
      <c r="AR277" s="278" t="s">
        <v>961</v>
      </c>
      <c r="AS277" s="277"/>
      <c r="AT277" s="279"/>
      <c r="AU277" s="279"/>
      <c r="AV277" s="277">
        <f t="shared" si="17"/>
        <v>2</v>
      </c>
      <c r="AW277" s="279"/>
      <c r="AX277" s="324"/>
      <c r="AY277" s="324"/>
      <c r="AZ277" s="281"/>
    </row>
    <row r="278" spans="1:55" ht="28" customHeight="1">
      <c r="A278" s="195">
        <v>274</v>
      </c>
      <c r="B278" s="315">
        <v>45029</v>
      </c>
      <c r="C278" s="222" t="s">
        <v>198</v>
      </c>
      <c r="D278" s="222" t="s">
        <v>199</v>
      </c>
      <c r="E278" s="222" t="s">
        <v>200</v>
      </c>
      <c r="F278" s="371" t="s">
        <v>837</v>
      </c>
      <c r="G278" s="309" t="s">
        <v>923</v>
      </c>
      <c r="H278" s="337" t="s">
        <v>129</v>
      </c>
      <c r="I278" s="311" t="s">
        <v>924</v>
      </c>
      <c r="J278" s="312" t="s">
        <v>925</v>
      </c>
      <c r="K278" s="273" t="s">
        <v>97</v>
      </c>
      <c r="L278" s="273" t="s">
        <v>159</v>
      </c>
      <c r="M278" s="311" t="s">
        <v>156</v>
      </c>
      <c r="N278" s="311" t="s">
        <v>97</v>
      </c>
      <c r="O278" s="311" t="s">
        <v>204</v>
      </c>
      <c r="P278" s="329"/>
      <c r="Q278" s="330"/>
      <c r="R278" s="154">
        <v>0</v>
      </c>
      <c r="S278" s="155">
        <f>0</f>
        <v>0</v>
      </c>
      <c r="T278" s="263">
        <v>2</v>
      </c>
      <c r="U278" s="155">
        <v>0</v>
      </c>
      <c r="V278" s="158">
        <f>0</f>
        <v>0</v>
      </c>
      <c r="W278" s="155">
        <f>0</f>
        <v>0</v>
      </c>
      <c r="X278" s="155">
        <f>0</f>
        <v>0</v>
      </c>
      <c r="Y278" s="155">
        <f>0</f>
        <v>0</v>
      </c>
      <c r="Z278" s="155">
        <f>0</f>
        <v>0</v>
      </c>
      <c r="AA278" s="155">
        <f>0</f>
        <v>0</v>
      </c>
      <c r="AB278" s="155">
        <f>0</f>
        <v>0</v>
      </c>
      <c r="AC278" s="155">
        <f>0</f>
        <v>0</v>
      </c>
      <c r="AD278" s="155">
        <f>0</f>
        <v>0</v>
      </c>
      <c r="AE278" s="155">
        <f>0</f>
        <v>0</v>
      </c>
      <c r="AF278" s="155">
        <f>0</f>
        <v>0</v>
      </c>
      <c r="AG278" s="155">
        <f>0</f>
        <v>0</v>
      </c>
      <c r="AH278" s="155">
        <f>0</f>
        <v>0</v>
      </c>
      <c r="AI278" s="155">
        <f>0</f>
        <v>0</v>
      </c>
      <c r="AJ278" s="155">
        <f>0</f>
        <v>0</v>
      </c>
      <c r="AK278" s="155">
        <f>0</f>
        <v>0</v>
      </c>
      <c r="AL278" s="219">
        <f t="shared" si="15"/>
        <v>2</v>
      </c>
      <c r="AM278" s="103"/>
      <c r="AN278" s="326">
        <f t="shared" si="16"/>
        <v>2</v>
      </c>
      <c r="AO278" s="290">
        <v>45034</v>
      </c>
      <c r="AP278" s="291" t="s">
        <v>192</v>
      </c>
      <c r="AQ278" s="292" t="s">
        <v>1520</v>
      </c>
      <c r="AR278" s="293" t="s">
        <v>197</v>
      </c>
      <c r="AS278" s="321"/>
      <c r="AT278" s="318"/>
      <c r="AU278" s="318">
        <v>2</v>
      </c>
      <c r="AV278" s="317">
        <f t="shared" si="17"/>
        <v>0</v>
      </c>
      <c r="AW278" s="318" t="s">
        <v>195</v>
      </c>
      <c r="AX278" s="333"/>
      <c r="AY278" s="333"/>
      <c r="AZ278" s="320"/>
      <c r="BA278" s="174"/>
      <c r="BB278" s="174"/>
      <c r="BC278" s="174"/>
    </row>
    <row r="279" spans="1:55" ht="28" customHeight="1">
      <c r="A279" s="195">
        <v>275</v>
      </c>
      <c r="B279" s="315">
        <v>45029</v>
      </c>
      <c r="C279" s="222" t="s">
        <v>198</v>
      </c>
      <c r="D279" s="222" t="s">
        <v>199</v>
      </c>
      <c r="E279" s="222" t="s">
        <v>200</v>
      </c>
      <c r="F279" s="371" t="s">
        <v>837</v>
      </c>
      <c r="G279" s="309" t="s">
        <v>926</v>
      </c>
      <c r="H279" s="337" t="s">
        <v>129</v>
      </c>
      <c r="I279" s="311" t="s">
        <v>927</v>
      </c>
      <c r="J279" s="312" t="s">
        <v>928</v>
      </c>
      <c r="K279" s="273" t="s">
        <v>97</v>
      </c>
      <c r="L279" s="273" t="s">
        <v>159</v>
      </c>
      <c r="M279" s="311" t="s">
        <v>156</v>
      </c>
      <c r="N279" s="311" t="s">
        <v>97</v>
      </c>
      <c r="O279" s="311" t="s">
        <v>535</v>
      </c>
      <c r="P279" s="329"/>
      <c r="Q279" s="330"/>
      <c r="R279" s="154">
        <v>0</v>
      </c>
      <c r="S279" s="155">
        <f>0</f>
        <v>0</v>
      </c>
      <c r="T279" s="263">
        <v>2</v>
      </c>
      <c r="U279" s="155">
        <v>0</v>
      </c>
      <c r="V279" s="158">
        <f>0</f>
        <v>0</v>
      </c>
      <c r="W279" s="155">
        <f>0</f>
        <v>0</v>
      </c>
      <c r="X279" s="155">
        <f>0</f>
        <v>0</v>
      </c>
      <c r="Y279" s="155">
        <f>0</f>
        <v>0</v>
      </c>
      <c r="Z279" s="155">
        <f>0</f>
        <v>0</v>
      </c>
      <c r="AA279" s="155">
        <f>0</f>
        <v>0</v>
      </c>
      <c r="AB279" s="155">
        <f>0</f>
        <v>0</v>
      </c>
      <c r="AC279" s="155">
        <f>0</f>
        <v>0</v>
      </c>
      <c r="AD279" s="155">
        <f>0</f>
        <v>0</v>
      </c>
      <c r="AE279" s="155">
        <f>0</f>
        <v>0</v>
      </c>
      <c r="AF279" s="155">
        <f>0</f>
        <v>0</v>
      </c>
      <c r="AG279" s="155">
        <f>0</f>
        <v>0</v>
      </c>
      <c r="AH279" s="155">
        <f>0</f>
        <v>0</v>
      </c>
      <c r="AI279" s="155">
        <f>0</f>
        <v>0</v>
      </c>
      <c r="AJ279" s="155">
        <f>0</f>
        <v>0</v>
      </c>
      <c r="AK279" s="155">
        <f>0</f>
        <v>0</v>
      </c>
      <c r="AL279" s="219">
        <f t="shared" si="15"/>
        <v>2</v>
      </c>
      <c r="AM279" s="103"/>
      <c r="AN279" s="326">
        <f t="shared" si="16"/>
        <v>2</v>
      </c>
      <c r="AO279" s="290">
        <v>45034</v>
      </c>
      <c r="AP279" s="291" t="s">
        <v>192</v>
      </c>
      <c r="AQ279" s="292" t="s">
        <v>1520</v>
      </c>
      <c r="AR279" s="293" t="s">
        <v>197</v>
      </c>
      <c r="AS279" s="321"/>
      <c r="AT279" s="318"/>
      <c r="AU279" s="318">
        <v>2</v>
      </c>
      <c r="AV279" s="317">
        <f t="shared" si="17"/>
        <v>0</v>
      </c>
      <c r="AW279" s="318" t="s">
        <v>195</v>
      </c>
      <c r="AX279" s="333"/>
      <c r="AY279" s="333"/>
      <c r="AZ279" s="320"/>
      <c r="BA279" s="174"/>
      <c r="BB279" s="174"/>
      <c r="BC279" s="174"/>
    </row>
    <row r="280" spans="1:55" ht="28" customHeight="1">
      <c r="A280" s="195">
        <v>276</v>
      </c>
      <c r="B280" s="315">
        <v>45029</v>
      </c>
      <c r="C280" s="222" t="s">
        <v>198</v>
      </c>
      <c r="D280" s="222" t="s">
        <v>199</v>
      </c>
      <c r="E280" s="222" t="s">
        <v>200</v>
      </c>
      <c r="F280" s="371" t="s">
        <v>837</v>
      </c>
      <c r="G280" s="309" t="s">
        <v>929</v>
      </c>
      <c r="H280" s="337" t="s">
        <v>129</v>
      </c>
      <c r="I280" s="311" t="s">
        <v>950</v>
      </c>
      <c r="J280" s="312" t="s">
        <v>951</v>
      </c>
      <c r="K280" s="273" t="s">
        <v>97</v>
      </c>
      <c r="L280" s="273" t="s">
        <v>159</v>
      </c>
      <c r="M280" s="311" t="s">
        <v>156</v>
      </c>
      <c r="N280" s="311" t="s">
        <v>97</v>
      </c>
      <c r="O280" s="311" t="s">
        <v>535</v>
      </c>
      <c r="P280" s="329"/>
      <c r="Q280" s="330"/>
      <c r="R280" s="154">
        <v>0</v>
      </c>
      <c r="S280" s="155">
        <f>0</f>
        <v>0</v>
      </c>
      <c r="T280" s="263">
        <v>1</v>
      </c>
      <c r="U280" s="155">
        <v>0</v>
      </c>
      <c r="V280" s="158">
        <f>0</f>
        <v>0</v>
      </c>
      <c r="W280" s="155">
        <f>0</f>
        <v>0</v>
      </c>
      <c r="X280" s="155">
        <f>0</f>
        <v>0</v>
      </c>
      <c r="Y280" s="155">
        <f>0</f>
        <v>0</v>
      </c>
      <c r="Z280" s="155">
        <f>0</f>
        <v>0</v>
      </c>
      <c r="AA280" s="155">
        <f>0</f>
        <v>0</v>
      </c>
      <c r="AB280" s="155">
        <f>0</f>
        <v>0</v>
      </c>
      <c r="AC280" s="155">
        <f>0</f>
        <v>0</v>
      </c>
      <c r="AD280" s="155">
        <f>0</f>
        <v>0</v>
      </c>
      <c r="AE280" s="155">
        <f>0</f>
        <v>0</v>
      </c>
      <c r="AF280" s="155">
        <f>0</f>
        <v>0</v>
      </c>
      <c r="AG280" s="155">
        <f>0</f>
        <v>0</v>
      </c>
      <c r="AH280" s="155">
        <f>0</f>
        <v>0</v>
      </c>
      <c r="AI280" s="155">
        <f>0</f>
        <v>0</v>
      </c>
      <c r="AJ280" s="155">
        <f>0</f>
        <v>0</v>
      </c>
      <c r="AK280" s="155">
        <f>0</f>
        <v>0</v>
      </c>
      <c r="AL280" s="219">
        <f t="shared" si="15"/>
        <v>1</v>
      </c>
      <c r="AM280" s="103"/>
      <c r="AN280" s="326">
        <f t="shared" si="16"/>
        <v>1</v>
      </c>
      <c r="AO280" s="290">
        <v>45034</v>
      </c>
      <c r="AP280" s="291" t="s">
        <v>192</v>
      </c>
      <c r="AQ280" s="292" t="s">
        <v>1520</v>
      </c>
      <c r="AR280" s="293" t="s">
        <v>197</v>
      </c>
      <c r="AS280" s="321"/>
      <c r="AT280" s="318"/>
      <c r="AU280" s="318">
        <v>1</v>
      </c>
      <c r="AV280" s="317">
        <f t="shared" si="17"/>
        <v>0</v>
      </c>
      <c r="AW280" s="318" t="s">
        <v>195</v>
      </c>
      <c r="AX280" s="333"/>
      <c r="AY280" s="333"/>
      <c r="AZ280" s="320"/>
      <c r="BA280" s="174"/>
      <c r="BB280" s="174"/>
      <c r="BC280" s="174"/>
    </row>
    <row r="281" spans="1:55" ht="28" customHeight="1">
      <c r="A281" s="195">
        <v>277</v>
      </c>
      <c r="B281" s="315">
        <v>45029</v>
      </c>
      <c r="C281" s="222" t="s">
        <v>198</v>
      </c>
      <c r="D281" s="222" t="s">
        <v>199</v>
      </c>
      <c r="E281" s="222" t="s">
        <v>200</v>
      </c>
      <c r="F281" s="371" t="s">
        <v>837</v>
      </c>
      <c r="G281" s="309" t="s">
        <v>930</v>
      </c>
      <c r="H281" s="337" t="s">
        <v>129</v>
      </c>
      <c r="I281" s="311" t="s">
        <v>952</v>
      </c>
      <c r="J281" s="312" t="s">
        <v>931</v>
      </c>
      <c r="K281" s="273" t="s">
        <v>97</v>
      </c>
      <c r="L281" s="273" t="s">
        <v>159</v>
      </c>
      <c r="M281" s="311" t="s">
        <v>156</v>
      </c>
      <c r="N281" s="311" t="s">
        <v>97</v>
      </c>
      <c r="O281" s="311" t="s">
        <v>535</v>
      </c>
      <c r="P281" s="329"/>
      <c r="Q281" s="330"/>
      <c r="R281" s="154">
        <v>0</v>
      </c>
      <c r="S281" s="155">
        <f>0</f>
        <v>0</v>
      </c>
      <c r="T281" s="263">
        <v>4</v>
      </c>
      <c r="U281" s="155">
        <v>0</v>
      </c>
      <c r="V281" s="158">
        <f>0</f>
        <v>0</v>
      </c>
      <c r="W281" s="155">
        <f>0</f>
        <v>0</v>
      </c>
      <c r="X281" s="155">
        <f>0</f>
        <v>0</v>
      </c>
      <c r="Y281" s="155">
        <f>0</f>
        <v>0</v>
      </c>
      <c r="Z281" s="155">
        <f>0</f>
        <v>0</v>
      </c>
      <c r="AA281" s="155">
        <f>0</f>
        <v>0</v>
      </c>
      <c r="AB281" s="155">
        <f>0</f>
        <v>0</v>
      </c>
      <c r="AC281" s="155">
        <f>0</f>
        <v>0</v>
      </c>
      <c r="AD281" s="155">
        <f>0</f>
        <v>0</v>
      </c>
      <c r="AE281" s="155">
        <f>0</f>
        <v>0</v>
      </c>
      <c r="AF281" s="155">
        <f>0</f>
        <v>0</v>
      </c>
      <c r="AG281" s="155">
        <f>0</f>
        <v>0</v>
      </c>
      <c r="AH281" s="155">
        <f>0</f>
        <v>0</v>
      </c>
      <c r="AI281" s="155">
        <f>0</f>
        <v>0</v>
      </c>
      <c r="AJ281" s="155">
        <f>0</f>
        <v>0</v>
      </c>
      <c r="AK281" s="155">
        <f>0</f>
        <v>0</v>
      </c>
      <c r="AL281" s="219">
        <f t="shared" si="15"/>
        <v>4</v>
      </c>
      <c r="AM281" s="103"/>
      <c r="AN281" s="326">
        <f t="shared" si="16"/>
        <v>4</v>
      </c>
      <c r="AO281" s="290">
        <v>45034</v>
      </c>
      <c r="AP281" s="291" t="s">
        <v>192</v>
      </c>
      <c r="AQ281" s="292" t="s">
        <v>1520</v>
      </c>
      <c r="AR281" s="293" t="s">
        <v>197</v>
      </c>
      <c r="AS281" s="321"/>
      <c r="AT281" s="318"/>
      <c r="AU281" s="318">
        <v>4</v>
      </c>
      <c r="AV281" s="317">
        <f t="shared" si="17"/>
        <v>0</v>
      </c>
      <c r="AW281" s="318" t="s">
        <v>195</v>
      </c>
      <c r="AX281" s="333"/>
      <c r="AY281" s="333"/>
      <c r="AZ281" s="320"/>
      <c r="BA281" s="174"/>
      <c r="BB281" s="174"/>
      <c r="BC281" s="174"/>
    </row>
    <row r="282" spans="1:55" ht="28" customHeight="1">
      <c r="A282" s="195">
        <v>278</v>
      </c>
      <c r="B282" s="315">
        <v>45029</v>
      </c>
      <c r="C282" s="222" t="s">
        <v>198</v>
      </c>
      <c r="D282" s="222" t="s">
        <v>199</v>
      </c>
      <c r="E282" s="222" t="s">
        <v>200</v>
      </c>
      <c r="F282" s="371" t="s">
        <v>837</v>
      </c>
      <c r="G282" s="309" t="s">
        <v>932</v>
      </c>
      <c r="H282" s="337" t="s">
        <v>129</v>
      </c>
      <c r="I282" s="311" t="s">
        <v>933</v>
      </c>
      <c r="J282" s="312" t="s">
        <v>934</v>
      </c>
      <c r="K282" s="273" t="s">
        <v>97</v>
      </c>
      <c r="L282" s="273" t="s">
        <v>159</v>
      </c>
      <c r="M282" s="311" t="s">
        <v>156</v>
      </c>
      <c r="N282" s="311" t="s">
        <v>97</v>
      </c>
      <c r="O282" s="311" t="s">
        <v>535</v>
      </c>
      <c r="P282" s="329"/>
      <c r="Q282" s="330"/>
      <c r="R282" s="154">
        <v>0</v>
      </c>
      <c r="S282" s="155">
        <f>0</f>
        <v>0</v>
      </c>
      <c r="T282" s="263">
        <v>2</v>
      </c>
      <c r="U282" s="155">
        <v>0</v>
      </c>
      <c r="V282" s="158">
        <f>0</f>
        <v>0</v>
      </c>
      <c r="W282" s="155">
        <f>0</f>
        <v>0</v>
      </c>
      <c r="X282" s="155">
        <f>0</f>
        <v>0</v>
      </c>
      <c r="Y282" s="155">
        <f>0</f>
        <v>0</v>
      </c>
      <c r="Z282" s="155">
        <f>0</f>
        <v>0</v>
      </c>
      <c r="AA282" s="155">
        <f>0</f>
        <v>0</v>
      </c>
      <c r="AB282" s="155">
        <f>0</f>
        <v>0</v>
      </c>
      <c r="AC282" s="155">
        <f>0</f>
        <v>0</v>
      </c>
      <c r="AD282" s="155">
        <f>0</f>
        <v>0</v>
      </c>
      <c r="AE282" s="155">
        <f>0</f>
        <v>0</v>
      </c>
      <c r="AF282" s="155">
        <f>0</f>
        <v>0</v>
      </c>
      <c r="AG282" s="155">
        <f>0</f>
        <v>0</v>
      </c>
      <c r="AH282" s="155">
        <f>0</f>
        <v>0</v>
      </c>
      <c r="AI282" s="155">
        <f>0</f>
        <v>0</v>
      </c>
      <c r="AJ282" s="155">
        <f>0</f>
        <v>0</v>
      </c>
      <c r="AK282" s="155">
        <f>0</f>
        <v>0</v>
      </c>
      <c r="AL282" s="219">
        <f t="shared" si="15"/>
        <v>2</v>
      </c>
      <c r="AM282" s="103"/>
      <c r="AN282" s="326">
        <f t="shared" si="16"/>
        <v>2</v>
      </c>
      <c r="AO282" s="290">
        <v>45034</v>
      </c>
      <c r="AP282" s="291" t="s">
        <v>192</v>
      </c>
      <c r="AQ282" s="292" t="s">
        <v>1520</v>
      </c>
      <c r="AR282" s="293" t="s">
        <v>197</v>
      </c>
      <c r="AS282" s="321"/>
      <c r="AT282" s="318"/>
      <c r="AU282" s="318">
        <v>2</v>
      </c>
      <c r="AV282" s="317">
        <f t="shared" si="17"/>
        <v>0</v>
      </c>
      <c r="AW282" s="318" t="s">
        <v>195</v>
      </c>
      <c r="AX282" s="333"/>
      <c r="AY282" s="333"/>
      <c r="AZ282" s="320"/>
      <c r="BA282" s="174"/>
      <c r="BB282" s="174"/>
      <c r="BC282" s="174"/>
    </row>
    <row r="283" spans="1:55" ht="28" customHeight="1">
      <c r="A283" s="195">
        <v>279</v>
      </c>
      <c r="B283" s="315">
        <v>45029</v>
      </c>
      <c r="C283" s="222" t="s">
        <v>198</v>
      </c>
      <c r="D283" s="222" t="s">
        <v>199</v>
      </c>
      <c r="E283" s="222" t="s">
        <v>200</v>
      </c>
      <c r="F283" s="371" t="s">
        <v>837</v>
      </c>
      <c r="G283" s="309" t="s">
        <v>935</v>
      </c>
      <c r="H283" s="337" t="s">
        <v>129</v>
      </c>
      <c r="I283" s="311" t="s">
        <v>936</v>
      </c>
      <c r="J283" s="312" t="s">
        <v>937</v>
      </c>
      <c r="K283" s="273" t="s">
        <v>97</v>
      </c>
      <c r="L283" s="273" t="s">
        <v>159</v>
      </c>
      <c r="M283" s="311" t="s">
        <v>156</v>
      </c>
      <c r="N283" s="311" t="s">
        <v>97</v>
      </c>
      <c r="O283" s="311" t="s">
        <v>535</v>
      </c>
      <c r="P283" s="329"/>
      <c r="Q283" s="330"/>
      <c r="R283" s="154">
        <v>0</v>
      </c>
      <c r="S283" s="155">
        <f>0</f>
        <v>0</v>
      </c>
      <c r="T283" s="263">
        <v>2</v>
      </c>
      <c r="U283" s="155">
        <v>0</v>
      </c>
      <c r="V283" s="158">
        <f>0</f>
        <v>0</v>
      </c>
      <c r="W283" s="155">
        <f>0</f>
        <v>0</v>
      </c>
      <c r="X283" s="155">
        <f>0</f>
        <v>0</v>
      </c>
      <c r="Y283" s="155">
        <f>0</f>
        <v>0</v>
      </c>
      <c r="Z283" s="155">
        <f>0</f>
        <v>0</v>
      </c>
      <c r="AA283" s="155">
        <f>0</f>
        <v>0</v>
      </c>
      <c r="AB283" s="155">
        <f>0</f>
        <v>0</v>
      </c>
      <c r="AC283" s="155">
        <f>0</f>
        <v>0</v>
      </c>
      <c r="AD283" s="155">
        <f>0</f>
        <v>0</v>
      </c>
      <c r="AE283" s="155">
        <f>0</f>
        <v>0</v>
      </c>
      <c r="AF283" s="155">
        <f>0</f>
        <v>0</v>
      </c>
      <c r="AG283" s="155">
        <f>0</f>
        <v>0</v>
      </c>
      <c r="AH283" s="155">
        <f>0</f>
        <v>0</v>
      </c>
      <c r="AI283" s="155">
        <f>0</f>
        <v>0</v>
      </c>
      <c r="AJ283" s="155">
        <f>0</f>
        <v>0</v>
      </c>
      <c r="AK283" s="155">
        <f>0</f>
        <v>0</v>
      </c>
      <c r="AL283" s="219">
        <f t="shared" si="15"/>
        <v>2</v>
      </c>
      <c r="AM283" s="103"/>
      <c r="AN283" s="326">
        <f t="shared" si="16"/>
        <v>2</v>
      </c>
      <c r="AO283" s="290">
        <v>45034</v>
      </c>
      <c r="AP283" s="291" t="s">
        <v>192</v>
      </c>
      <c r="AQ283" s="292" t="s">
        <v>1520</v>
      </c>
      <c r="AR283" s="293" t="s">
        <v>197</v>
      </c>
      <c r="AS283" s="321"/>
      <c r="AT283" s="318"/>
      <c r="AU283" s="318">
        <v>2</v>
      </c>
      <c r="AV283" s="317">
        <f t="shared" si="17"/>
        <v>0</v>
      </c>
      <c r="AW283" s="318" t="s">
        <v>195</v>
      </c>
      <c r="AX283" s="333"/>
      <c r="AY283" s="333"/>
      <c r="AZ283" s="320"/>
      <c r="BA283" s="174"/>
      <c r="BB283" s="174"/>
      <c r="BC283" s="174"/>
    </row>
    <row r="284" spans="1:55" ht="28" customHeight="1">
      <c r="A284" s="195">
        <v>280</v>
      </c>
      <c r="B284" s="315">
        <v>45029</v>
      </c>
      <c r="C284" s="222" t="s">
        <v>198</v>
      </c>
      <c r="D284" s="222" t="s">
        <v>199</v>
      </c>
      <c r="E284" s="222" t="s">
        <v>200</v>
      </c>
      <c r="F284" s="371" t="s">
        <v>837</v>
      </c>
      <c r="G284" s="309" t="s">
        <v>938</v>
      </c>
      <c r="H284" s="337" t="s">
        <v>129</v>
      </c>
      <c r="I284" s="311" t="s">
        <v>939</v>
      </c>
      <c r="J284" s="312" t="s">
        <v>940</v>
      </c>
      <c r="K284" s="273" t="s">
        <v>97</v>
      </c>
      <c r="L284" s="273" t="s">
        <v>165</v>
      </c>
      <c r="M284" s="311" t="s">
        <v>147</v>
      </c>
      <c r="N284" s="311" t="s">
        <v>97</v>
      </c>
      <c r="O284" s="311" t="s">
        <v>224</v>
      </c>
      <c r="P284" s="329"/>
      <c r="Q284" s="330"/>
      <c r="R284" s="154">
        <v>0</v>
      </c>
      <c r="S284" s="155">
        <f>0</f>
        <v>0</v>
      </c>
      <c r="T284" s="263">
        <v>1</v>
      </c>
      <c r="U284" s="155">
        <v>0</v>
      </c>
      <c r="V284" s="158">
        <f>0</f>
        <v>0</v>
      </c>
      <c r="W284" s="155">
        <f>0</f>
        <v>0</v>
      </c>
      <c r="X284" s="155">
        <f>0</f>
        <v>0</v>
      </c>
      <c r="Y284" s="155">
        <f>0</f>
        <v>0</v>
      </c>
      <c r="Z284" s="155">
        <f>0</f>
        <v>0</v>
      </c>
      <c r="AA284" s="155">
        <f>0</f>
        <v>0</v>
      </c>
      <c r="AB284" s="155">
        <f>0</f>
        <v>0</v>
      </c>
      <c r="AC284" s="155">
        <f>0</f>
        <v>0</v>
      </c>
      <c r="AD284" s="155">
        <f>0</f>
        <v>0</v>
      </c>
      <c r="AE284" s="155">
        <f>0</f>
        <v>0</v>
      </c>
      <c r="AF284" s="155">
        <f>0</f>
        <v>0</v>
      </c>
      <c r="AG284" s="155">
        <f>0</f>
        <v>0</v>
      </c>
      <c r="AH284" s="155">
        <f>0</f>
        <v>0</v>
      </c>
      <c r="AI284" s="155">
        <f>0</f>
        <v>0</v>
      </c>
      <c r="AJ284" s="155">
        <f>0</f>
        <v>0</v>
      </c>
      <c r="AK284" s="155">
        <f>0</f>
        <v>0</v>
      </c>
      <c r="AL284" s="219">
        <f t="shared" si="15"/>
        <v>1</v>
      </c>
      <c r="AM284" s="103"/>
      <c r="AN284" s="326">
        <f t="shared" si="16"/>
        <v>1</v>
      </c>
      <c r="AO284" s="348">
        <v>45034</v>
      </c>
      <c r="AP284" s="296" t="s">
        <v>192</v>
      </c>
      <c r="AQ284" s="292" t="s">
        <v>1522</v>
      </c>
      <c r="AR284" s="350" t="s">
        <v>194</v>
      </c>
      <c r="AS284" s="301">
        <v>45078</v>
      </c>
      <c r="AT284" s="318"/>
      <c r="AU284" s="318">
        <v>1</v>
      </c>
      <c r="AV284" s="317">
        <f t="shared" si="17"/>
        <v>0</v>
      </c>
      <c r="AW284" s="318" t="s">
        <v>195</v>
      </c>
      <c r="AX284" s="333"/>
      <c r="AY284" s="333"/>
      <c r="AZ284" s="320"/>
      <c r="BA284" s="174"/>
      <c r="BB284" s="174"/>
      <c r="BC284" s="174"/>
    </row>
    <row r="285" spans="1:55" ht="28" customHeight="1">
      <c r="A285" s="195">
        <v>281</v>
      </c>
      <c r="B285" s="315">
        <v>45029</v>
      </c>
      <c r="C285" s="222" t="s">
        <v>198</v>
      </c>
      <c r="D285" s="222" t="s">
        <v>199</v>
      </c>
      <c r="E285" s="222" t="s">
        <v>200</v>
      </c>
      <c r="F285" s="371" t="s">
        <v>837</v>
      </c>
      <c r="G285" s="309" t="s">
        <v>941</v>
      </c>
      <c r="H285" s="337" t="s">
        <v>129</v>
      </c>
      <c r="I285" s="311" t="s">
        <v>942</v>
      </c>
      <c r="J285" s="312" t="s">
        <v>943</v>
      </c>
      <c r="K285" s="273" t="s">
        <v>97</v>
      </c>
      <c r="L285" s="273" t="s">
        <v>165</v>
      </c>
      <c r="M285" s="311" t="s">
        <v>147</v>
      </c>
      <c r="N285" s="311" t="s">
        <v>97</v>
      </c>
      <c r="O285" s="311" t="s">
        <v>224</v>
      </c>
      <c r="P285" s="329"/>
      <c r="Q285" s="330"/>
      <c r="R285" s="154">
        <v>0</v>
      </c>
      <c r="S285" s="155">
        <f>0</f>
        <v>0</v>
      </c>
      <c r="T285" s="263">
        <v>2</v>
      </c>
      <c r="U285" s="155">
        <v>0</v>
      </c>
      <c r="V285" s="158">
        <f>0</f>
        <v>0</v>
      </c>
      <c r="W285" s="155">
        <f>0</f>
        <v>0</v>
      </c>
      <c r="X285" s="155">
        <f>0</f>
        <v>0</v>
      </c>
      <c r="Y285" s="155">
        <f>0</f>
        <v>0</v>
      </c>
      <c r="Z285" s="155">
        <f>0</f>
        <v>0</v>
      </c>
      <c r="AA285" s="155">
        <f>0</f>
        <v>0</v>
      </c>
      <c r="AB285" s="155">
        <f>0</f>
        <v>0</v>
      </c>
      <c r="AC285" s="155">
        <f>0</f>
        <v>0</v>
      </c>
      <c r="AD285" s="155">
        <f>0</f>
        <v>0</v>
      </c>
      <c r="AE285" s="155">
        <f>0</f>
        <v>0</v>
      </c>
      <c r="AF285" s="155">
        <f>0</f>
        <v>0</v>
      </c>
      <c r="AG285" s="155">
        <f>0</f>
        <v>0</v>
      </c>
      <c r="AH285" s="155">
        <f>0</f>
        <v>0</v>
      </c>
      <c r="AI285" s="155">
        <f>0</f>
        <v>0</v>
      </c>
      <c r="AJ285" s="155">
        <f>0</f>
        <v>0</v>
      </c>
      <c r="AK285" s="155">
        <f>0</f>
        <v>0</v>
      </c>
      <c r="AL285" s="219">
        <f t="shared" si="15"/>
        <v>2</v>
      </c>
      <c r="AM285" s="103"/>
      <c r="AN285" s="326">
        <f t="shared" si="16"/>
        <v>2</v>
      </c>
      <c r="AO285" s="348">
        <v>45034</v>
      </c>
      <c r="AP285" s="296" t="s">
        <v>192</v>
      </c>
      <c r="AQ285" s="292" t="s">
        <v>1522</v>
      </c>
      <c r="AR285" s="350" t="s">
        <v>194</v>
      </c>
      <c r="AS285" s="301">
        <v>45078</v>
      </c>
      <c r="AT285" s="318"/>
      <c r="AU285" s="318">
        <v>2</v>
      </c>
      <c r="AV285" s="317">
        <f t="shared" si="17"/>
        <v>0</v>
      </c>
      <c r="AW285" s="318" t="s">
        <v>195</v>
      </c>
      <c r="AX285" s="333"/>
      <c r="AY285" s="333"/>
      <c r="AZ285" s="320"/>
      <c r="BA285" s="174"/>
      <c r="BB285" s="174"/>
      <c r="BC285" s="174"/>
    </row>
    <row r="286" spans="1:55" ht="28" customHeight="1">
      <c r="A286" s="195">
        <v>282</v>
      </c>
      <c r="B286" s="315">
        <v>45029</v>
      </c>
      <c r="C286" s="222" t="s">
        <v>198</v>
      </c>
      <c r="D286" s="222" t="s">
        <v>199</v>
      </c>
      <c r="E286" s="222" t="s">
        <v>200</v>
      </c>
      <c r="F286" s="371" t="s">
        <v>837</v>
      </c>
      <c r="G286" s="309" t="s">
        <v>944</v>
      </c>
      <c r="H286" s="337" t="s">
        <v>129</v>
      </c>
      <c r="I286" s="311" t="s">
        <v>945</v>
      </c>
      <c r="J286" s="312" t="s">
        <v>946</v>
      </c>
      <c r="K286" s="273" t="s">
        <v>97</v>
      </c>
      <c r="L286" s="273" t="s">
        <v>165</v>
      </c>
      <c r="M286" s="311" t="s">
        <v>279</v>
      </c>
      <c r="N286" s="311" t="s">
        <v>97</v>
      </c>
      <c r="O286" s="311" t="s">
        <v>224</v>
      </c>
      <c r="P286" s="329"/>
      <c r="Q286" s="330"/>
      <c r="R286" s="154">
        <v>0</v>
      </c>
      <c r="S286" s="155">
        <f>0</f>
        <v>0</v>
      </c>
      <c r="T286" s="263">
        <v>2</v>
      </c>
      <c r="U286" s="155">
        <v>0</v>
      </c>
      <c r="V286" s="158">
        <f>0</f>
        <v>0</v>
      </c>
      <c r="W286" s="155">
        <f>0</f>
        <v>0</v>
      </c>
      <c r="X286" s="155">
        <f>0</f>
        <v>0</v>
      </c>
      <c r="Y286" s="155">
        <f>0</f>
        <v>0</v>
      </c>
      <c r="Z286" s="155">
        <f>0</f>
        <v>0</v>
      </c>
      <c r="AA286" s="155">
        <f>0</f>
        <v>0</v>
      </c>
      <c r="AB286" s="155">
        <f>0</f>
        <v>0</v>
      </c>
      <c r="AC286" s="155">
        <f>0</f>
        <v>0</v>
      </c>
      <c r="AD286" s="155">
        <f>0</f>
        <v>0</v>
      </c>
      <c r="AE286" s="155">
        <f>0</f>
        <v>0</v>
      </c>
      <c r="AF286" s="155">
        <f>0</f>
        <v>0</v>
      </c>
      <c r="AG286" s="155">
        <f>0</f>
        <v>0</v>
      </c>
      <c r="AH286" s="155">
        <f>0</f>
        <v>0</v>
      </c>
      <c r="AI286" s="155">
        <f>0</f>
        <v>0</v>
      </c>
      <c r="AJ286" s="155">
        <f>0</f>
        <v>0</v>
      </c>
      <c r="AK286" s="155">
        <f>0</f>
        <v>0</v>
      </c>
      <c r="AL286" s="219">
        <f t="shared" si="15"/>
        <v>2</v>
      </c>
      <c r="AM286" s="103"/>
      <c r="AN286" s="326">
        <f t="shared" si="16"/>
        <v>2</v>
      </c>
      <c r="AO286" s="348">
        <v>45034</v>
      </c>
      <c r="AP286" s="296" t="s">
        <v>192</v>
      </c>
      <c r="AQ286" s="292" t="s">
        <v>1522</v>
      </c>
      <c r="AR286" s="350" t="s">
        <v>194</v>
      </c>
      <c r="AS286" s="301">
        <v>45078</v>
      </c>
      <c r="AT286" s="318"/>
      <c r="AU286" s="318">
        <v>2</v>
      </c>
      <c r="AV286" s="317">
        <f t="shared" si="17"/>
        <v>0</v>
      </c>
      <c r="AW286" s="318" t="s">
        <v>195</v>
      </c>
      <c r="AX286" s="333"/>
      <c r="AY286" s="333"/>
      <c r="AZ286" s="320"/>
      <c r="BA286" s="174"/>
      <c r="BB286" s="174"/>
      <c r="BC286" s="174"/>
    </row>
    <row r="287" spans="1:55" ht="28" customHeight="1">
      <c r="A287" s="195">
        <v>283</v>
      </c>
      <c r="B287" s="315">
        <v>45029</v>
      </c>
      <c r="C287" s="222" t="s">
        <v>198</v>
      </c>
      <c r="D287" s="222" t="s">
        <v>199</v>
      </c>
      <c r="E287" s="222" t="s">
        <v>200</v>
      </c>
      <c r="F287" s="371" t="s">
        <v>837</v>
      </c>
      <c r="G287" s="309" t="s">
        <v>947</v>
      </c>
      <c r="H287" s="337" t="s">
        <v>129</v>
      </c>
      <c r="I287" s="311" t="s">
        <v>948</v>
      </c>
      <c r="J287" s="312" t="s">
        <v>949</v>
      </c>
      <c r="K287" s="273" t="s">
        <v>97</v>
      </c>
      <c r="L287" s="273" t="s">
        <v>165</v>
      </c>
      <c r="M287" s="311" t="s">
        <v>147</v>
      </c>
      <c r="N287" s="311" t="s">
        <v>97</v>
      </c>
      <c r="O287" s="311" t="s">
        <v>224</v>
      </c>
      <c r="P287" s="329"/>
      <c r="Q287" s="330"/>
      <c r="R287" s="154">
        <v>0</v>
      </c>
      <c r="S287" s="155">
        <f>0</f>
        <v>0</v>
      </c>
      <c r="T287" s="263">
        <v>1</v>
      </c>
      <c r="U287" s="155">
        <v>0</v>
      </c>
      <c r="V287" s="158">
        <f>0</f>
        <v>0</v>
      </c>
      <c r="W287" s="155">
        <f>0</f>
        <v>0</v>
      </c>
      <c r="X287" s="155">
        <f>0</f>
        <v>0</v>
      </c>
      <c r="Y287" s="155">
        <f>0</f>
        <v>0</v>
      </c>
      <c r="Z287" s="155">
        <f>0</f>
        <v>0</v>
      </c>
      <c r="AA287" s="155">
        <f>0</f>
        <v>0</v>
      </c>
      <c r="AB287" s="155">
        <f>0</f>
        <v>0</v>
      </c>
      <c r="AC287" s="155">
        <f>0</f>
        <v>0</v>
      </c>
      <c r="AD287" s="155">
        <f>0</f>
        <v>0</v>
      </c>
      <c r="AE287" s="155">
        <f>0</f>
        <v>0</v>
      </c>
      <c r="AF287" s="155">
        <f>0</f>
        <v>0</v>
      </c>
      <c r="AG287" s="155">
        <f>0</f>
        <v>0</v>
      </c>
      <c r="AH287" s="155">
        <f>0</f>
        <v>0</v>
      </c>
      <c r="AI287" s="155">
        <f>0</f>
        <v>0</v>
      </c>
      <c r="AJ287" s="155">
        <f>0</f>
        <v>0</v>
      </c>
      <c r="AK287" s="155">
        <f>0</f>
        <v>0</v>
      </c>
      <c r="AL287" s="219">
        <f t="shared" si="15"/>
        <v>1</v>
      </c>
      <c r="AM287" s="103"/>
      <c r="AN287" s="326">
        <f t="shared" si="16"/>
        <v>1</v>
      </c>
      <c r="AO287" s="348">
        <v>45034</v>
      </c>
      <c r="AP287" s="296" t="s">
        <v>192</v>
      </c>
      <c r="AQ287" s="292" t="s">
        <v>1522</v>
      </c>
      <c r="AR287" s="350" t="s">
        <v>194</v>
      </c>
      <c r="AS287" s="301">
        <v>45078</v>
      </c>
      <c r="AT287" s="318"/>
      <c r="AU287" s="318">
        <v>1</v>
      </c>
      <c r="AV287" s="317">
        <f t="shared" si="17"/>
        <v>0</v>
      </c>
      <c r="AW287" s="318" t="s">
        <v>195</v>
      </c>
      <c r="AX287" s="333"/>
      <c r="AY287" s="333"/>
      <c r="AZ287" s="320"/>
      <c r="BA287" s="174"/>
      <c r="BB287" s="174"/>
      <c r="BC287" s="174"/>
    </row>
    <row r="288" spans="1:55" ht="28" customHeight="1">
      <c r="A288" s="195">
        <v>284</v>
      </c>
      <c r="B288" s="315">
        <v>45029</v>
      </c>
      <c r="C288" s="222" t="s">
        <v>198</v>
      </c>
      <c r="D288" s="359"/>
      <c r="E288" s="222" t="s">
        <v>200</v>
      </c>
      <c r="F288" s="371" t="s">
        <v>837</v>
      </c>
      <c r="G288" s="309" t="s">
        <v>953</v>
      </c>
      <c r="H288" s="337" t="s">
        <v>129</v>
      </c>
      <c r="I288" s="311" t="s">
        <v>954</v>
      </c>
      <c r="J288" s="312" t="s">
        <v>955</v>
      </c>
      <c r="K288" s="273" t="s">
        <v>97</v>
      </c>
      <c r="L288" s="273" t="s">
        <v>956</v>
      </c>
      <c r="M288" s="311" t="s">
        <v>147</v>
      </c>
      <c r="N288" s="311" t="s">
        <v>97</v>
      </c>
      <c r="O288" s="311" t="s">
        <v>97</v>
      </c>
      <c r="P288" s="329"/>
      <c r="Q288" s="330"/>
      <c r="R288" s="154">
        <v>0</v>
      </c>
      <c r="S288" s="155">
        <f>0</f>
        <v>0</v>
      </c>
      <c r="T288" s="263">
        <v>1</v>
      </c>
      <c r="U288" s="155">
        <v>0</v>
      </c>
      <c r="V288" s="158">
        <f>0</f>
        <v>0</v>
      </c>
      <c r="W288" s="155">
        <f>0</f>
        <v>0</v>
      </c>
      <c r="X288" s="155">
        <f>0</f>
        <v>0</v>
      </c>
      <c r="Y288" s="155">
        <f>0</f>
        <v>0</v>
      </c>
      <c r="Z288" s="155">
        <f>0</f>
        <v>0</v>
      </c>
      <c r="AA288" s="155">
        <f>0</f>
        <v>0</v>
      </c>
      <c r="AB288" s="155">
        <f>0</f>
        <v>0</v>
      </c>
      <c r="AC288" s="155">
        <f>0</f>
        <v>0</v>
      </c>
      <c r="AD288" s="155">
        <f>0</f>
        <v>0</v>
      </c>
      <c r="AE288" s="155">
        <f>0</f>
        <v>0</v>
      </c>
      <c r="AF288" s="155">
        <f>0</f>
        <v>0</v>
      </c>
      <c r="AG288" s="155">
        <f>0</f>
        <v>0</v>
      </c>
      <c r="AH288" s="155">
        <f>0</f>
        <v>0</v>
      </c>
      <c r="AI288" s="155">
        <f>0</f>
        <v>0</v>
      </c>
      <c r="AJ288" s="155">
        <f>0</f>
        <v>0</v>
      </c>
      <c r="AK288" s="155">
        <f>0</f>
        <v>0</v>
      </c>
      <c r="AL288" s="219">
        <f t="shared" si="15"/>
        <v>1</v>
      </c>
      <c r="AM288" s="103"/>
      <c r="AN288" s="326">
        <f t="shared" si="16"/>
        <v>1</v>
      </c>
      <c r="AO288" s="348">
        <v>45034</v>
      </c>
      <c r="AP288" s="296" t="s">
        <v>192</v>
      </c>
      <c r="AQ288" s="292" t="s">
        <v>1522</v>
      </c>
      <c r="AR288" s="350" t="s">
        <v>194</v>
      </c>
      <c r="AS288" s="301">
        <v>45078</v>
      </c>
      <c r="AT288" s="318"/>
      <c r="AU288" s="318"/>
      <c r="AV288" s="317">
        <f t="shared" si="17"/>
        <v>1</v>
      </c>
      <c r="AW288" s="318" t="s">
        <v>195</v>
      </c>
      <c r="AX288" s="333"/>
      <c r="AY288" s="333"/>
      <c r="AZ288" s="320"/>
      <c r="BA288" s="174"/>
      <c r="BB288" s="174"/>
      <c r="BC288" s="174"/>
    </row>
    <row r="289" spans="1:55" ht="28" customHeight="1">
      <c r="A289" s="195">
        <v>285</v>
      </c>
      <c r="B289" s="315">
        <v>45029</v>
      </c>
      <c r="C289" s="222" t="s">
        <v>198</v>
      </c>
      <c r="D289" s="222" t="s">
        <v>199</v>
      </c>
      <c r="E289" s="222" t="s">
        <v>200</v>
      </c>
      <c r="F289" s="371" t="s">
        <v>837</v>
      </c>
      <c r="G289" s="309" t="s">
        <v>957</v>
      </c>
      <c r="H289" s="337" t="s">
        <v>129</v>
      </c>
      <c r="I289" s="311" t="s">
        <v>958</v>
      </c>
      <c r="J289" s="312" t="s">
        <v>959</v>
      </c>
      <c r="K289" s="273" t="s">
        <v>97</v>
      </c>
      <c r="L289" s="273" t="s">
        <v>960</v>
      </c>
      <c r="M289" s="311" t="s">
        <v>147</v>
      </c>
      <c r="N289" s="311" t="s">
        <v>97</v>
      </c>
      <c r="O289" s="311" t="s">
        <v>97</v>
      </c>
      <c r="P289" s="329"/>
      <c r="Q289" s="330"/>
      <c r="R289" s="154">
        <v>0</v>
      </c>
      <c r="S289" s="155">
        <f>0</f>
        <v>0</v>
      </c>
      <c r="T289" s="263">
        <v>1</v>
      </c>
      <c r="U289" s="155">
        <v>0</v>
      </c>
      <c r="V289" s="158">
        <f>0</f>
        <v>0</v>
      </c>
      <c r="W289" s="155">
        <f>0</f>
        <v>0</v>
      </c>
      <c r="X289" s="155">
        <f>0</f>
        <v>0</v>
      </c>
      <c r="Y289" s="155">
        <f>0</f>
        <v>0</v>
      </c>
      <c r="Z289" s="155">
        <f>0</f>
        <v>0</v>
      </c>
      <c r="AA289" s="155">
        <f>0</f>
        <v>0</v>
      </c>
      <c r="AB289" s="155">
        <f>0</f>
        <v>0</v>
      </c>
      <c r="AC289" s="155">
        <f>0</f>
        <v>0</v>
      </c>
      <c r="AD289" s="155">
        <f>0</f>
        <v>0</v>
      </c>
      <c r="AE289" s="155">
        <f>0</f>
        <v>0</v>
      </c>
      <c r="AF289" s="155">
        <f>0</f>
        <v>0</v>
      </c>
      <c r="AG289" s="155">
        <f>0</f>
        <v>0</v>
      </c>
      <c r="AH289" s="155">
        <f>0</f>
        <v>0</v>
      </c>
      <c r="AI289" s="155">
        <f>0</f>
        <v>0</v>
      </c>
      <c r="AJ289" s="155">
        <f>0</f>
        <v>0</v>
      </c>
      <c r="AK289" s="155">
        <f>0</f>
        <v>0</v>
      </c>
      <c r="AL289" s="219">
        <f t="shared" si="15"/>
        <v>1</v>
      </c>
      <c r="AM289" s="103"/>
      <c r="AN289" s="326">
        <f t="shared" si="16"/>
        <v>1</v>
      </c>
      <c r="AO289" s="348">
        <v>45034</v>
      </c>
      <c r="AP289" s="296" t="s">
        <v>192</v>
      </c>
      <c r="AQ289" s="292" t="s">
        <v>1522</v>
      </c>
      <c r="AR289" s="350" t="s">
        <v>194</v>
      </c>
      <c r="AS289" s="301">
        <v>45078</v>
      </c>
      <c r="AT289" s="318"/>
      <c r="AU289" s="318"/>
      <c r="AV289" s="317">
        <f t="shared" si="17"/>
        <v>1</v>
      </c>
      <c r="AW289" s="318" t="s">
        <v>195</v>
      </c>
      <c r="AX289" s="333"/>
      <c r="AY289" s="333"/>
      <c r="AZ289" s="320"/>
      <c r="BA289" s="174"/>
      <c r="BB289" s="174"/>
      <c r="BC289" s="174"/>
    </row>
    <row r="290" spans="1:55" ht="28" customHeight="1">
      <c r="A290" s="195">
        <v>286</v>
      </c>
      <c r="B290" s="315">
        <v>45030</v>
      </c>
      <c r="C290" s="222" t="s">
        <v>198</v>
      </c>
      <c r="D290" s="222" t="s">
        <v>199</v>
      </c>
      <c r="E290" s="222" t="s">
        <v>200</v>
      </c>
      <c r="F290" s="371" t="s">
        <v>837</v>
      </c>
      <c r="G290" s="309" t="s">
        <v>962</v>
      </c>
      <c r="H290" s="337" t="s">
        <v>129</v>
      </c>
      <c r="I290" s="311" t="s">
        <v>174</v>
      </c>
      <c r="J290" s="312" t="s">
        <v>963</v>
      </c>
      <c r="K290" s="273" t="s">
        <v>97</v>
      </c>
      <c r="L290" s="273" t="s">
        <v>168</v>
      </c>
      <c r="M290" s="311" t="s">
        <v>147</v>
      </c>
      <c r="N290" s="311" t="s">
        <v>97</v>
      </c>
      <c r="O290" s="311" t="s">
        <v>169</v>
      </c>
      <c r="P290" s="329"/>
      <c r="Q290" s="330"/>
      <c r="R290" s="154">
        <v>0</v>
      </c>
      <c r="S290" s="155">
        <f>0</f>
        <v>0</v>
      </c>
      <c r="T290" s="263">
        <v>1</v>
      </c>
      <c r="U290" s="155">
        <v>0</v>
      </c>
      <c r="V290" s="158">
        <f>0</f>
        <v>0</v>
      </c>
      <c r="W290" s="155">
        <f>0</f>
        <v>0</v>
      </c>
      <c r="X290" s="155">
        <f>0</f>
        <v>0</v>
      </c>
      <c r="Y290" s="155">
        <f>0</f>
        <v>0</v>
      </c>
      <c r="Z290" s="155">
        <f>0</f>
        <v>0</v>
      </c>
      <c r="AA290" s="155">
        <f>0</f>
        <v>0</v>
      </c>
      <c r="AB290" s="155">
        <f>0</f>
        <v>0</v>
      </c>
      <c r="AC290" s="155">
        <f>0</f>
        <v>0</v>
      </c>
      <c r="AD290" s="155">
        <f>0</f>
        <v>0</v>
      </c>
      <c r="AE290" s="155">
        <f>0</f>
        <v>0</v>
      </c>
      <c r="AF290" s="155">
        <f>0</f>
        <v>0</v>
      </c>
      <c r="AG290" s="155">
        <f>0</f>
        <v>0</v>
      </c>
      <c r="AH290" s="155">
        <f>0</f>
        <v>0</v>
      </c>
      <c r="AI290" s="155">
        <f>0</f>
        <v>0</v>
      </c>
      <c r="AJ290" s="155">
        <f>0</f>
        <v>0</v>
      </c>
      <c r="AK290" s="155">
        <f>0</f>
        <v>0</v>
      </c>
      <c r="AL290" s="219">
        <f t="shared" si="15"/>
        <v>1</v>
      </c>
      <c r="AM290" s="103"/>
      <c r="AN290" s="326">
        <f t="shared" si="16"/>
        <v>1</v>
      </c>
      <c r="AO290" s="348">
        <v>45034</v>
      </c>
      <c r="AP290" s="296" t="s">
        <v>192</v>
      </c>
      <c r="AQ290" s="292" t="s">
        <v>1522</v>
      </c>
      <c r="AR290" s="350" t="s">
        <v>194</v>
      </c>
      <c r="AS290" s="301">
        <v>45078</v>
      </c>
      <c r="AT290" s="318"/>
      <c r="AU290" s="318">
        <v>1</v>
      </c>
      <c r="AV290" s="317">
        <f t="shared" si="17"/>
        <v>0</v>
      </c>
      <c r="AW290" s="318" t="s">
        <v>195</v>
      </c>
      <c r="AX290" s="333"/>
      <c r="AY290" s="333"/>
      <c r="AZ290" s="320"/>
      <c r="BA290" s="174"/>
      <c r="BB290" s="174"/>
      <c r="BC290" s="174"/>
    </row>
    <row r="291" spans="1:55" ht="28" customHeight="1">
      <c r="A291" s="195">
        <v>287</v>
      </c>
      <c r="B291" s="315">
        <v>45030</v>
      </c>
      <c r="C291" s="222" t="s">
        <v>198</v>
      </c>
      <c r="D291" s="222" t="s">
        <v>199</v>
      </c>
      <c r="E291" s="222" t="s">
        <v>200</v>
      </c>
      <c r="F291" s="371" t="s">
        <v>837</v>
      </c>
      <c r="G291" s="309" t="s">
        <v>964</v>
      </c>
      <c r="H291" s="337" t="s">
        <v>129</v>
      </c>
      <c r="I291" s="311" t="s">
        <v>965</v>
      </c>
      <c r="J291" s="312" t="s">
        <v>966</v>
      </c>
      <c r="K291" s="273" t="s">
        <v>97</v>
      </c>
      <c r="L291" s="273" t="s">
        <v>159</v>
      </c>
      <c r="M291" s="311" t="s">
        <v>156</v>
      </c>
      <c r="N291" s="311" t="s">
        <v>97</v>
      </c>
      <c r="O291" s="311" t="s">
        <v>535</v>
      </c>
      <c r="P291" s="329"/>
      <c r="Q291" s="330"/>
      <c r="R291" s="154">
        <v>0</v>
      </c>
      <c r="S291" s="155">
        <f>0</f>
        <v>0</v>
      </c>
      <c r="T291" s="263">
        <v>1</v>
      </c>
      <c r="U291" s="155">
        <v>0</v>
      </c>
      <c r="V291" s="158">
        <f>0</f>
        <v>0</v>
      </c>
      <c r="W291" s="155">
        <f>0</f>
        <v>0</v>
      </c>
      <c r="X291" s="155">
        <f>0</f>
        <v>0</v>
      </c>
      <c r="Y291" s="155">
        <f>0</f>
        <v>0</v>
      </c>
      <c r="Z291" s="155">
        <f>0</f>
        <v>0</v>
      </c>
      <c r="AA291" s="155">
        <f>0</f>
        <v>0</v>
      </c>
      <c r="AB291" s="155">
        <f>0</f>
        <v>0</v>
      </c>
      <c r="AC291" s="155">
        <f>0</f>
        <v>0</v>
      </c>
      <c r="AD291" s="155">
        <f>0</f>
        <v>0</v>
      </c>
      <c r="AE291" s="155">
        <f>0</f>
        <v>0</v>
      </c>
      <c r="AF291" s="155">
        <f>0</f>
        <v>0</v>
      </c>
      <c r="AG291" s="155">
        <f>0</f>
        <v>0</v>
      </c>
      <c r="AH291" s="155">
        <f>0</f>
        <v>0</v>
      </c>
      <c r="AI291" s="155">
        <f>0</f>
        <v>0</v>
      </c>
      <c r="AJ291" s="155">
        <f>0</f>
        <v>0</v>
      </c>
      <c r="AK291" s="155">
        <f>0</f>
        <v>0</v>
      </c>
      <c r="AL291" s="219">
        <f t="shared" si="15"/>
        <v>1</v>
      </c>
      <c r="AM291" s="103"/>
      <c r="AN291" s="326">
        <f t="shared" si="16"/>
        <v>1</v>
      </c>
      <c r="AO291" s="290">
        <v>45034</v>
      </c>
      <c r="AP291" s="291" t="s">
        <v>192</v>
      </c>
      <c r="AQ291" s="292" t="s">
        <v>1520</v>
      </c>
      <c r="AR291" s="293" t="s">
        <v>197</v>
      </c>
      <c r="AS291" s="321"/>
      <c r="AT291" s="318"/>
      <c r="AU291" s="318">
        <v>1</v>
      </c>
      <c r="AV291" s="317">
        <f t="shared" si="17"/>
        <v>0</v>
      </c>
      <c r="AW291" s="318" t="s">
        <v>195</v>
      </c>
      <c r="AX291" s="333"/>
      <c r="AY291" s="333"/>
      <c r="AZ291" s="320"/>
      <c r="BA291" s="174"/>
      <c r="BB291" s="174"/>
      <c r="BC291" s="174"/>
    </row>
    <row r="292" spans="1:55" ht="28" customHeight="1">
      <c r="A292" s="195">
        <v>288</v>
      </c>
      <c r="B292" s="315">
        <v>45030</v>
      </c>
      <c r="C292" s="222" t="s">
        <v>198</v>
      </c>
      <c r="D292" s="222" t="s">
        <v>199</v>
      </c>
      <c r="E292" s="222" t="s">
        <v>200</v>
      </c>
      <c r="F292" s="371" t="s">
        <v>837</v>
      </c>
      <c r="G292" s="309" t="s">
        <v>967</v>
      </c>
      <c r="H292" s="337" t="s">
        <v>129</v>
      </c>
      <c r="I292" s="311" t="s">
        <v>968</v>
      </c>
      <c r="J292" s="312" t="s">
        <v>969</v>
      </c>
      <c r="K292" s="273" t="s">
        <v>97</v>
      </c>
      <c r="L292" s="273" t="s">
        <v>165</v>
      </c>
      <c r="M292" s="311" t="s">
        <v>147</v>
      </c>
      <c r="N292" s="311" t="s">
        <v>97</v>
      </c>
      <c r="O292" s="311" t="s">
        <v>224</v>
      </c>
      <c r="P292" s="329"/>
      <c r="Q292" s="330"/>
      <c r="R292" s="154">
        <v>0</v>
      </c>
      <c r="S292" s="155">
        <f>0</f>
        <v>0</v>
      </c>
      <c r="T292" s="263">
        <v>1</v>
      </c>
      <c r="U292" s="155">
        <v>0</v>
      </c>
      <c r="V292" s="158">
        <f>0</f>
        <v>0</v>
      </c>
      <c r="W292" s="155">
        <f>0</f>
        <v>0</v>
      </c>
      <c r="X292" s="155">
        <f>0</f>
        <v>0</v>
      </c>
      <c r="Y292" s="155">
        <f>0</f>
        <v>0</v>
      </c>
      <c r="Z292" s="155">
        <f>0</f>
        <v>0</v>
      </c>
      <c r="AA292" s="155">
        <f>0</f>
        <v>0</v>
      </c>
      <c r="AB292" s="155">
        <f>0</f>
        <v>0</v>
      </c>
      <c r="AC292" s="155">
        <f>0</f>
        <v>0</v>
      </c>
      <c r="AD292" s="155">
        <f>0</f>
        <v>0</v>
      </c>
      <c r="AE292" s="155">
        <f>0</f>
        <v>0</v>
      </c>
      <c r="AF292" s="155">
        <f>0</f>
        <v>0</v>
      </c>
      <c r="AG292" s="155">
        <f>0</f>
        <v>0</v>
      </c>
      <c r="AH292" s="155">
        <f>0</f>
        <v>0</v>
      </c>
      <c r="AI292" s="155">
        <f>0</f>
        <v>0</v>
      </c>
      <c r="AJ292" s="155">
        <f>0</f>
        <v>0</v>
      </c>
      <c r="AK292" s="155">
        <f>0</f>
        <v>0</v>
      </c>
      <c r="AL292" s="219">
        <f t="shared" si="15"/>
        <v>1</v>
      </c>
      <c r="AM292" s="103"/>
      <c r="AN292" s="326">
        <f t="shared" si="16"/>
        <v>1</v>
      </c>
      <c r="AO292" s="348">
        <v>45034</v>
      </c>
      <c r="AP292" s="296" t="s">
        <v>192</v>
      </c>
      <c r="AQ292" s="292" t="s">
        <v>1522</v>
      </c>
      <c r="AR292" s="350" t="s">
        <v>194</v>
      </c>
      <c r="AS292" s="301">
        <v>45078</v>
      </c>
      <c r="AT292" s="318"/>
      <c r="AU292" s="318">
        <v>1</v>
      </c>
      <c r="AV292" s="317">
        <f t="shared" si="17"/>
        <v>0</v>
      </c>
      <c r="AW292" s="318" t="s">
        <v>195</v>
      </c>
      <c r="AX292" s="333"/>
      <c r="AY292" s="333"/>
      <c r="AZ292" s="320"/>
      <c r="BA292" s="174"/>
      <c r="BB292" s="174"/>
      <c r="BC292" s="174"/>
    </row>
    <row r="293" spans="1:55" ht="28" customHeight="1">
      <c r="A293" s="195">
        <v>289</v>
      </c>
      <c r="B293" s="315">
        <v>45030</v>
      </c>
      <c r="C293" s="222" t="s">
        <v>198</v>
      </c>
      <c r="D293" s="222" t="s">
        <v>199</v>
      </c>
      <c r="E293" s="222" t="s">
        <v>200</v>
      </c>
      <c r="F293" s="371" t="s">
        <v>837</v>
      </c>
      <c r="G293" s="309" t="s">
        <v>970</v>
      </c>
      <c r="H293" s="337" t="s">
        <v>129</v>
      </c>
      <c r="I293" s="311" t="s">
        <v>971</v>
      </c>
      <c r="J293" s="312" t="s">
        <v>972</v>
      </c>
      <c r="K293" s="273" t="s">
        <v>97</v>
      </c>
      <c r="L293" s="273" t="s">
        <v>165</v>
      </c>
      <c r="M293" s="311" t="s">
        <v>147</v>
      </c>
      <c r="N293" s="311" t="s">
        <v>97</v>
      </c>
      <c r="O293" s="311" t="s">
        <v>224</v>
      </c>
      <c r="P293" s="329"/>
      <c r="Q293" s="330"/>
      <c r="R293" s="154">
        <v>0</v>
      </c>
      <c r="S293" s="155">
        <f>0</f>
        <v>0</v>
      </c>
      <c r="T293" s="263">
        <v>1</v>
      </c>
      <c r="U293" s="155">
        <v>0</v>
      </c>
      <c r="V293" s="158">
        <f>0</f>
        <v>0</v>
      </c>
      <c r="W293" s="155">
        <f>0</f>
        <v>0</v>
      </c>
      <c r="X293" s="155">
        <f>0</f>
        <v>0</v>
      </c>
      <c r="Y293" s="155">
        <f>0</f>
        <v>0</v>
      </c>
      <c r="Z293" s="155">
        <f>0</f>
        <v>0</v>
      </c>
      <c r="AA293" s="155">
        <f>0</f>
        <v>0</v>
      </c>
      <c r="AB293" s="155">
        <f>0</f>
        <v>0</v>
      </c>
      <c r="AC293" s="155">
        <f>0</f>
        <v>0</v>
      </c>
      <c r="AD293" s="155">
        <f>0</f>
        <v>0</v>
      </c>
      <c r="AE293" s="155">
        <f>0</f>
        <v>0</v>
      </c>
      <c r="AF293" s="155">
        <f>0</f>
        <v>0</v>
      </c>
      <c r="AG293" s="155">
        <f>0</f>
        <v>0</v>
      </c>
      <c r="AH293" s="155">
        <f>0</f>
        <v>0</v>
      </c>
      <c r="AI293" s="155">
        <f>0</f>
        <v>0</v>
      </c>
      <c r="AJ293" s="155">
        <f>0</f>
        <v>0</v>
      </c>
      <c r="AK293" s="155">
        <f>0</f>
        <v>0</v>
      </c>
      <c r="AL293" s="169">
        <f t="shared" si="15"/>
        <v>1</v>
      </c>
      <c r="AM293" s="103"/>
      <c r="AN293" s="326">
        <f t="shared" si="16"/>
        <v>1</v>
      </c>
      <c r="AO293" s="348">
        <v>45034</v>
      </c>
      <c r="AP293" s="296" t="s">
        <v>192</v>
      </c>
      <c r="AQ293" s="292" t="s">
        <v>1522</v>
      </c>
      <c r="AR293" s="350" t="s">
        <v>194</v>
      </c>
      <c r="AS293" s="301">
        <v>45078</v>
      </c>
      <c r="AT293" s="318"/>
      <c r="AU293" s="318">
        <v>1</v>
      </c>
      <c r="AV293" s="317">
        <f t="shared" si="17"/>
        <v>0</v>
      </c>
      <c r="AW293" s="318" t="s">
        <v>195</v>
      </c>
      <c r="AX293" s="333"/>
      <c r="AY293" s="333"/>
      <c r="AZ293" s="320"/>
      <c r="BA293" s="174"/>
      <c r="BB293" s="174"/>
      <c r="BC293" s="174"/>
    </row>
    <row r="294" spans="1:55" ht="28" customHeight="1">
      <c r="A294" s="195">
        <v>290</v>
      </c>
      <c r="B294" s="315">
        <v>45030</v>
      </c>
      <c r="C294" s="222" t="s">
        <v>198</v>
      </c>
      <c r="D294" s="222" t="s">
        <v>199</v>
      </c>
      <c r="E294" s="222" t="s">
        <v>200</v>
      </c>
      <c r="F294" s="371" t="s">
        <v>837</v>
      </c>
      <c r="G294" s="309" t="s">
        <v>973</v>
      </c>
      <c r="H294" s="337" t="s">
        <v>129</v>
      </c>
      <c r="I294" s="311" t="s">
        <v>974</v>
      </c>
      <c r="J294" s="312" t="s">
        <v>975</v>
      </c>
      <c r="K294" s="273" t="s">
        <v>97</v>
      </c>
      <c r="L294" s="273" t="s">
        <v>234</v>
      </c>
      <c r="M294" s="311" t="s">
        <v>156</v>
      </c>
      <c r="N294" s="311" t="s">
        <v>97</v>
      </c>
      <c r="O294" s="311" t="s">
        <v>97</v>
      </c>
      <c r="P294" s="329"/>
      <c r="Q294" s="330"/>
      <c r="R294" s="154">
        <v>0</v>
      </c>
      <c r="S294" s="155">
        <f>0</f>
        <v>0</v>
      </c>
      <c r="T294" s="263">
        <v>4</v>
      </c>
      <c r="U294" s="155">
        <v>0</v>
      </c>
      <c r="V294" s="158">
        <f>0</f>
        <v>0</v>
      </c>
      <c r="W294" s="155">
        <f>0</f>
        <v>0</v>
      </c>
      <c r="X294" s="155">
        <f>0</f>
        <v>0</v>
      </c>
      <c r="Y294" s="155">
        <f>0</f>
        <v>0</v>
      </c>
      <c r="Z294" s="155">
        <f>0</f>
        <v>0</v>
      </c>
      <c r="AA294" s="155">
        <f>0</f>
        <v>0</v>
      </c>
      <c r="AB294" s="155">
        <f>0</f>
        <v>0</v>
      </c>
      <c r="AC294" s="155">
        <f>0</f>
        <v>0</v>
      </c>
      <c r="AD294" s="155">
        <f>0</f>
        <v>0</v>
      </c>
      <c r="AE294" s="155">
        <f>0</f>
        <v>0</v>
      </c>
      <c r="AF294" s="155">
        <f>0</f>
        <v>0</v>
      </c>
      <c r="AG294" s="155">
        <f>0</f>
        <v>0</v>
      </c>
      <c r="AH294" s="155">
        <f>0</f>
        <v>0</v>
      </c>
      <c r="AI294" s="155">
        <f>0</f>
        <v>0</v>
      </c>
      <c r="AJ294" s="155">
        <f>0</f>
        <v>0</v>
      </c>
      <c r="AK294" s="155">
        <f>0</f>
        <v>0</v>
      </c>
      <c r="AL294" s="219">
        <f t="shared" si="15"/>
        <v>4</v>
      </c>
      <c r="AM294" s="103"/>
      <c r="AN294" s="326">
        <f t="shared" si="16"/>
        <v>4</v>
      </c>
      <c r="AO294" s="290">
        <v>45034</v>
      </c>
      <c r="AP294" s="291" t="s">
        <v>192</v>
      </c>
      <c r="AQ294" s="292" t="s">
        <v>1520</v>
      </c>
      <c r="AR294" s="293" t="s">
        <v>197</v>
      </c>
      <c r="AS294" s="321"/>
      <c r="AT294" s="318"/>
      <c r="AU294" s="318">
        <v>4</v>
      </c>
      <c r="AV294" s="317">
        <f t="shared" si="17"/>
        <v>0</v>
      </c>
      <c r="AW294" s="318" t="s">
        <v>195</v>
      </c>
      <c r="AX294" s="333"/>
      <c r="AY294" s="333"/>
      <c r="AZ294" s="320"/>
      <c r="BA294" s="174"/>
      <c r="BB294" s="174"/>
      <c r="BC294" s="174"/>
    </row>
    <row r="295" spans="1:55" ht="28" customHeight="1">
      <c r="A295" s="195">
        <v>291</v>
      </c>
      <c r="B295" s="315">
        <v>45030</v>
      </c>
      <c r="C295" s="222" t="s">
        <v>198</v>
      </c>
      <c r="D295" s="222" t="s">
        <v>199</v>
      </c>
      <c r="E295" s="222" t="s">
        <v>200</v>
      </c>
      <c r="F295" s="371" t="s">
        <v>837</v>
      </c>
      <c r="G295" s="309" t="s">
        <v>976</v>
      </c>
      <c r="H295" s="337" t="s">
        <v>129</v>
      </c>
      <c r="I295" s="311" t="s">
        <v>977</v>
      </c>
      <c r="J295" s="312" t="s">
        <v>978</v>
      </c>
      <c r="K295" s="273" t="s">
        <v>97</v>
      </c>
      <c r="L295" s="273" t="s">
        <v>165</v>
      </c>
      <c r="M295" s="311" t="s">
        <v>147</v>
      </c>
      <c r="N295" s="311" t="s">
        <v>97</v>
      </c>
      <c r="O295" s="311" t="s">
        <v>224</v>
      </c>
      <c r="P295" s="329"/>
      <c r="Q295" s="330"/>
      <c r="R295" s="154">
        <v>0</v>
      </c>
      <c r="S295" s="155">
        <f>0</f>
        <v>0</v>
      </c>
      <c r="T295" s="263">
        <v>1</v>
      </c>
      <c r="U295" s="155">
        <v>0</v>
      </c>
      <c r="V295" s="158">
        <f>0</f>
        <v>0</v>
      </c>
      <c r="W295" s="155">
        <f>0</f>
        <v>0</v>
      </c>
      <c r="X295" s="155">
        <f>0</f>
        <v>0</v>
      </c>
      <c r="Y295" s="155">
        <f>0</f>
        <v>0</v>
      </c>
      <c r="Z295" s="155">
        <f>0</f>
        <v>0</v>
      </c>
      <c r="AA295" s="155">
        <f>0</f>
        <v>0</v>
      </c>
      <c r="AB295" s="155">
        <f>0</f>
        <v>0</v>
      </c>
      <c r="AC295" s="155">
        <f>0</f>
        <v>0</v>
      </c>
      <c r="AD295" s="155">
        <f>0</f>
        <v>0</v>
      </c>
      <c r="AE295" s="155">
        <f>0</f>
        <v>0</v>
      </c>
      <c r="AF295" s="155">
        <f>0</f>
        <v>0</v>
      </c>
      <c r="AG295" s="155">
        <f>0</f>
        <v>0</v>
      </c>
      <c r="AH295" s="155">
        <f>0</f>
        <v>0</v>
      </c>
      <c r="AI295" s="155">
        <f>0</f>
        <v>0</v>
      </c>
      <c r="AJ295" s="155">
        <f>0</f>
        <v>0</v>
      </c>
      <c r="AK295" s="155">
        <f>0</f>
        <v>0</v>
      </c>
      <c r="AL295" s="219">
        <f t="shared" si="15"/>
        <v>1</v>
      </c>
      <c r="AM295" s="103"/>
      <c r="AN295" s="326">
        <f t="shared" si="16"/>
        <v>1</v>
      </c>
      <c r="AO295" s="348">
        <v>45034</v>
      </c>
      <c r="AP295" s="296" t="s">
        <v>192</v>
      </c>
      <c r="AQ295" s="292" t="s">
        <v>1522</v>
      </c>
      <c r="AR295" s="350" t="s">
        <v>194</v>
      </c>
      <c r="AS295" s="301">
        <v>45078</v>
      </c>
      <c r="AT295" s="318"/>
      <c r="AU295" s="318"/>
      <c r="AV295" s="317">
        <f t="shared" si="17"/>
        <v>1</v>
      </c>
      <c r="AW295" s="318" t="s">
        <v>195</v>
      </c>
      <c r="AX295" s="333"/>
      <c r="AY295" s="333"/>
      <c r="AZ295" s="320"/>
      <c r="BA295" s="174"/>
      <c r="BB295" s="174"/>
      <c r="BC295" s="174"/>
    </row>
    <row r="296" spans="1:55" ht="28" customHeight="1">
      <c r="A296" s="195">
        <v>292</v>
      </c>
      <c r="B296" s="315">
        <v>45030</v>
      </c>
      <c r="C296" s="222" t="s">
        <v>198</v>
      </c>
      <c r="D296" s="222" t="s">
        <v>199</v>
      </c>
      <c r="E296" s="222" t="s">
        <v>200</v>
      </c>
      <c r="F296" s="371" t="s">
        <v>837</v>
      </c>
      <c r="G296" s="309" t="s">
        <v>979</v>
      </c>
      <c r="H296" s="337" t="s">
        <v>129</v>
      </c>
      <c r="I296" s="311" t="s">
        <v>980</v>
      </c>
      <c r="J296" s="312" t="s">
        <v>981</v>
      </c>
      <c r="K296" s="273" t="s">
        <v>97</v>
      </c>
      <c r="L296" s="273" t="s">
        <v>165</v>
      </c>
      <c r="M296" s="311" t="s">
        <v>147</v>
      </c>
      <c r="N296" s="311" t="s">
        <v>97</v>
      </c>
      <c r="O296" s="311" t="s">
        <v>224</v>
      </c>
      <c r="P296" s="329"/>
      <c r="Q296" s="330"/>
      <c r="R296" s="154">
        <v>0</v>
      </c>
      <c r="S296" s="155">
        <f>0</f>
        <v>0</v>
      </c>
      <c r="T296" s="263">
        <v>1</v>
      </c>
      <c r="U296" s="155">
        <v>0</v>
      </c>
      <c r="V296" s="158">
        <f>0</f>
        <v>0</v>
      </c>
      <c r="W296" s="155">
        <f>0</f>
        <v>0</v>
      </c>
      <c r="X296" s="155">
        <f>0</f>
        <v>0</v>
      </c>
      <c r="Y296" s="155">
        <f>0</f>
        <v>0</v>
      </c>
      <c r="Z296" s="155">
        <f>0</f>
        <v>0</v>
      </c>
      <c r="AA296" s="155">
        <f>0</f>
        <v>0</v>
      </c>
      <c r="AB296" s="155">
        <f>0</f>
        <v>0</v>
      </c>
      <c r="AC296" s="155">
        <f>0</f>
        <v>0</v>
      </c>
      <c r="AD296" s="155">
        <f>0</f>
        <v>0</v>
      </c>
      <c r="AE296" s="155">
        <f>0</f>
        <v>0</v>
      </c>
      <c r="AF296" s="155">
        <f>0</f>
        <v>0</v>
      </c>
      <c r="AG296" s="155">
        <f>0</f>
        <v>0</v>
      </c>
      <c r="AH296" s="155">
        <f>0</f>
        <v>0</v>
      </c>
      <c r="AI296" s="155">
        <f>0</f>
        <v>0</v>
      </c>
      <c r="AJ296" s="155">
        <f>0</f>
        <v>0</v>
      </c>
      <c r="AK296" s="155">
        <f>0</f>
        <v>0</v>
      </c>
      <c r="AL296" s="219">
        <f t="shared" si="15"/>
        <v>1</v>
      </c>
      <c r="AM296" s="103"/>
      <c r="AN296" s="326">
        <f t="shared" si="16"/>
        <v>1</v>
      </c>
      <c r="AO296" s="348">
        <v>45034</v>
      </c>
      <c r="AP296" s="296" t="s">
        <v>192</v>
      </c>
      <c r="AQ296" s="292" t="s">
        <v>1522</v>
      </c>
      <c r="AR296" s="350" t="s">
        <v>194</v>
      </c>
      <c r="AS296" s="301">
        <v>45078</v>
      </c>
      <c r="AT296" s="318"/>
      <c r="AU296" s="318">
        <v>1</v>
      </c>
      <c r="AV296" s="317">
        <f t="shared" si="17"/>
        <v>0</v>
      </c>
      <c r="AW296" s="318" t="s">
        <v>195</v>
      </c>
      <c r="AX296" s="333"/>
      <c r="AY296" s="333"/>
      <c r="AZ296" s="320"/>
      <c r="BA296" s="174"/>
      <c r="BB296" s="174"/>
      <c r="BC296" s="174"/>
    </row>
    <row r="297" spans="1:55" ht="28" customHeight="1">
      <c r="A297" s="195">
        <v>293</v>
      </c>
      <c r="B297" s="315">
        <v>45030</v>
      </c>
      <c r="C297" s="222" t="s">
        <v>198</v>
      </c>
      <c r="D297" s="222" t="s">
        <v>199</v>
      </c>
      <c r="E297" s="222" t="s">
        <v>200</v>
      </c>
      <c r="F297" s="371" t="s">
        <v>837</v>
      </c>
      <c r="G297" s="309" t="s">
        <v>982</v>
      </c>
      <c r="H297" s="337" t="s">
        <v>129</v>
      </c>
      <c r="I297" s="311" t="s">
        <v>983</v>
      </c>
      <c r="J297" s="312" t="s">
        <v>984</v>
      </c>
      <c r="K297" s="273" t="s">
        <v>97</v>
      </c>
      <c r="L297" s="273" t="s">
        <v>165</v>
      </c>
      <c r="M297" s="311" t="s">
        <v>147</v>
      </c>
      <c r="N297" s="311" t="s">
        <v>97</v>
      </c>
      <c r="O297" s="311" t="s">
        <v>224</v>
      </c>
      <c r="P297" s="329"/>
      <c r="Q297" s="330"/>
      <c r="R297" s="154">
        <v>0</v>
      </c>
      <c r="S297" s="155">
        <f>0</f>
        <v>0</v>
      </c>
      <c r="T297" s="263">
        <v>2</v>
      </c>
      <c r="U297" s="155">
        <v>0</v>
      </c>
      <c r="V297" s="158">
        <f>0</f>
        <v>0</v>
      </c>
      <c r="W297" s="155">
        <f>0</f>
        <v>0</v>
      </c>
      <c r="X297" s="155">
        <f>0</f>
        <v>0</v>
      </c>
      <c r="Y297" s="155">
        <f>0</f>
        <v>0</v>
      </c>
      <c r="Z297" s="155">
        <f>0</f>
        <v>0</v>
      </c>
      <c r="AA297" s="155">
        <f>0</f>
        <v>0</v>
      </c>
      <c r="AB297" s="155">
        <f>0</f>
        <v>0</v>
      </c>
      <c r="AC297" s="155">
        <f>0</f>
        <v>0</v>
      </c>
      <c r="AD297" s="155">
        <f>0</f>
        <v>0</v>
      </c>
      <c r="AE297" s="155">
        <f>0</f>
        <v>0</v>
      </c>
      <c r="AF297" s="155">
        <f>0</f>
        <v>0</v>
      </c>
      <c r="AG297" s="155">
        <f>0</f>
        <v>0</v>
      </c>
      <c r="AH297" s="155">
        <f>0</f>
        <v>0</v>
      </c>
      <c r="AI297" s="155">
        <f>0</f>
        <v>0</v>
      </c>
      <c r="AJ297" s="155">
        <f>0</f>
        <v>0</v>
      </c>
      <c r="AK297" s="155">
        <f>0</f>
        <v>0</v>
      </c>
      <c r="AL297" s="219">
        <f t="shared" si="15"/>
        <v>2</v>
      </c>
      <c r="AM297" s="103"/>
      <c r="AN297" s="326">
        <f t="shared" si="16"/>
        <v>2</v>
      </c>
      <c r="AO297" s="348">
        <v>45034</v>
      </c>
      <c r="AP297" s="296" t="s">
        <v>192</v>
      </c>
      <c r="AQ297" s="292" t="s">
        <v>1522</v>
      </c>
      <c r="AR297" s="350" t="s">
        <v>194</v>
      </c>
      <c r="AS297" s="301">
        <v>45078</v>
      </c>
      <c r="AT297" s="318"/>
      <c r="AU297" s="318">
        <v>2</v>
      </c>
      <c r="AV297" s="317">
        <f t="shared" si="17"/>
        <v>0</v>
      </c>
      <c r="AW297" s="318" t="s">
        <v>195</v>
      </c>
      <c r="AX297" s="333"/>
      <c r="AY297" s="333"/>
      <c r="AZ297" s="320"/>
      <c r="BA297" s="174"/>
      <c r="BB297" s="174"/>
      <c r="BC297" s="174"/>
    </row>
    <row r="298" spans="1:55" ht="28" customHeight="1">
      <c r="A298" s="195">
        <v>294</v>
      </c>
      <c r="B298" s="315">
        <v>45030</v>
      </c>
      <c r="C298" s="222" t="s">
        <v>198</v>
      </c>
      <c r="D298" s="222" t="s">
        <v>199</v>
      </c>
      <c r="E298" s="222" t="s">
        <v>200</v>
      </c>
      <c r="F298" s="371" t="s">
        <v>837</v>
      </c>
      <c r="G298" s="309" t="s">
        <v>985</v>
      </c>
      <c r="H298" s="337" t="s">
        <v>129</v>
      </c>
      <c r="I298" s="311" t="s">
        <v>977</v>
      </c>
      <c r="J298" s="312" t="s">
        <v>986</v>
      </c>
      <c r="K298" s="273" t="s">
        <v>97</v>
      </c>
      <c r="L298" s="273" t="s">
        <v>165</v>
      </c>
      <c r="M298" s="311" t="s">
        <v>147</v>
      </c>
      <c r="N298" s="311" t="s">
        <v>97</v>
      </c>
      <c r="O298" s="311" t="s">
        <v>224</v>
      </c>
      <c r="P298" s="329"/>
      <c r="Q298" s="330"/>
      <c r="R298" s="154">
        <v>0</v>
      </c>
      <c r="S298" s="155">
        <f>0</f>
        <v>0</v>
      </c>
      <c r="T298" s="263">
        <v>1</v>
      </c>
      <c r="U298" s="155">
        <v>0</v>
      </c>
      <c r="V298" s="158">
        <f>0</f>
        <v>0</v>
      </c>
      <c r="W298" s="155">
        <f>0</f>
        <v>0</v>
      </c>
      <c r="X298" s="155">
        <f>0</f>
        <v>0</v>
      </c>
      <c r="Y298" s="155">
        <f>0</f>
        <v>0</v>
      </c>
      <c r="Z298" s="155">
        <f>0</f>
        <v>0</v>
      </c>
      <c r="AA298" s="155">
        <f>0</f>
        <v>0</v>
      </c>
      <c r="AB298" s="155">
        <f>0</f>
        <v>0</v>
      </c>
      <c r="AC298" s="155">
        <f>0</f>
        <v>0</v>
      </c>
      <c r="AD298" s="155">
        <f>0</f>
        <v>0</v>
      </c>
      <c r="AE298" s="155">
        <f>0</f>
        <v>0</v>
      </c>
      <c r="AF298" s="155">
        <f>0</f>
        <v>0</v>
      </c>
      <c r="AG298" s="155">
        <f>0</f>
        <v>0</v>
      </c>
      <c r="AH298" s="155">
        <f>0</f>
        <v>0</v>
      </c>
      <c r="AI298" s="155">
        <f>0</f>
        <v>0</v>
      </c>
      <c r="AJ298" s="155">
        <f>0</f>
        <v>0</v>
      </c>
      <c r="AK298" s="155">
        <f>0</f>
        <v>0</v>
      </c>
      <c r="AL298" s="219">
        <f t="shared" si="15"/>
        <v>1</v>
      </c>
      <c r="AM298" s="103"/>
      <c r="AN298" s="326">
        <f t="shared" si="16"/>
        <v>1</v>
      </c>
      <c r="AO298" s="348">
        <v>45034</v>
      </c>
      <c r="AP298" s="296" t="s">
        <v>192</v>
      </c>
      <c r="AQ298" s="292" t="s">
        <v>1522</v>
      </c>
      <c r="AR298" s="350" t="s">
        <v>194</v>
      </c>
      <c r="AS298" s="301">
        <v>45078</v>
      </c>
      <c r="AT298" s="318"/>
      <c r="AU298" s="318">
        <v>1</v>
      </c>
      <c r="AV298" s="317">
        <f t="shared" si="17"/>
        <v>0</v>
      </c>
      <c r="AW298" s="318" t="s">
        <v>195</v>
      </c>
      <c r="AX298" s="333"/>
      <c r="AY298" s="333"/>
      <c r="AZ298" s="320"/>
      <c r="BA298" s="174"/>
      <c r="BB298" s="174"/>
      <c r="BC298" s="174"/>
    </row>
    <row r="299" spans="1:55" ht="28" customHeight="1">
      <c r="A299" s="195">
        <v>295</v>
      </c>
      <c r="B299" s="315">
        <v>45030</v>
      </c>
      <c r="C299" s="222" t="s">
        <v>198</v>
      </c>
      <c r="D299" s="222" t="s">
        <v>199</v>
      </c>
      <c r="E299" s="222" t="s">
        <v>200</v>
      </c>
      <c r="F299" s="371" t="s">
        <v>837</v>
      </c>
      <c r="G299" s="309" t="s">
        <v>987</v>
      </c>
      <c r="H299" s="337" t="s">
        <v>129</v>
      </c>
      <c r="I299" s="311" t="s">
        <v>988</v>
      </c>
      <c r="J299" s="312" t="s">
        <v>989</v>
      </c>
      <c r="K299" s="273" t="s">
        <v>97</v>
      </c>
      <c r="L299" s="273" t="s">
        <v>168</v>
      </c>
      <c r="M299" s="311" t="s">
        <v>147</v>
      </c>
      <c r="N299" s="311" t="s">
        <v>677</v>
      </c>
      <c r="O299" s="311" t="s">
        <v>169</v>
      </c>
      <c r="P299" s="329"/>
      <c r="Q299" s="330"/>
      <c r="R299" s="154">
        <v>0</v>
      </c>
      <c r="S299" s="155">
        <f>0</f>
        <v>0</v>
      </c>
      <c r="T299" s="263">
        <v>1</v>
      </c>
      <c r="U299" s="155">
        <v>0</v>
      </c>
      <c r="V299" s="158">
        <f>0</f>
        <v>0</v>
      </c>
      <c r="W299" s="155">
        <f>0</f>
        <v>0</v>
      </c>
      <c r="X299" s="155">
        <f>0</f>
        <v>0</v>
      </c>
      <c r="Y299" s="155">
        <f>0</f>
        <v>0</v>
      </c>
      <c r="Z299" s="155">
        <f>0</f>
        <v>0</v>
      </c>
      <c r="AA299" s="155">
        <f>0</f>
        <v>0</v>
      </c>
      <c r="AB299" s="155">
        <f>0</f>
        <v>0</v>
      </c>
      <c r="AC299" s="155">
        <f>0</f>
        <v>0</v>
      </c>
      <c r="AD299" s="155">
        <f>0</f>
        <v>0</v>
      </c>
      <c r="AE299" s="155">
        <f>0</f>
        <v>0</v>
      </c>
      <c r="AF299" s="155">
        <f>0</f>
        <v>0</v>
      </c>
      <c r="AG299" s="155">
        <f>0</f>
        <v>0</v>
      </c>
      <c r="AH299" s="155">
        <f>0</f>
        <v>0</v>
      </c>
      <c r="AI299" s="155">
        <f>0</f>
        <v>0</v>
      </c>
      <c r="AJ299" s="155">
        <f>0</f>
        <v>0</v>
      </c>
      <c r="AK299" s="155">
        <f>0</f>
        <v>0</v>
      </c>
      <c r="AL299" s="219">
        <f t="shared" si="15"/>
        <v>1</v>
      </c>
      <c r="AM299" s="103"/>
      <c r="AN299" s="326">
        <f t="shared" si="16"/>
        <v>1</v>
      </c>
      <c r="AO299" s="348">
        <v>45034</v>
      </c>
      <c r="AP299" s="296" t="s">
        <v>192</v>
      </c>
      <c r="AQ299" s="292" t="s">
        <v>1522</v>
      </c>
      <c r="AR299" s="350" t="s">
        <v>194</v>
      </c>
      <c r="AS299" s="301">
        <v>45078</v>
      </c>
      <c r="AT299" s="318"/>
      <c r="AU299" s="318">
        <v>1</v>
      </c>
      <c r="AV299" s="317">
        <f t="shared" si="17"/>
        <v>0</v>
      </c>
      <c r="AW299" s="318" t="s">
        <v>195</v>
      </c>
      <c r="AX299" s="333"/>
      <c r="AY299" s="333"/>
      <c r="AZ299" s="320"/>
      <c r="BA299" s="174"/>
      <c r="BB299" s="174"/>
      <c r="BC299" s="174"/>
    </row>
    <row r="300" spans="1:55" ht="28" customHeight="1">
      <c r="A300" s="195">
        <v>296</v>
      </c>
      <c r="B300" s="315">
        <v>45030</v>
      </c>
      <c r="C300" s="222" t="s">
        <v>198</v>
      </c>
      <c r="D300" s="222" t="s">
        <v>199</v>
      </c>
      <c r="E300" s="222" t="s">
        <v>200</v>
      </c>
      <c r="F300" s="371" t="s">
        <v>837</v>
      </c>
      <c r="G300" s="309" t="s">
        <v>990</v>
      </c>
      <c r="H300" s="337" t="s">
        <v>129</v>
      </c>
      <c r="I300" s="311" t="s">
        <v>991</v>
      </c>
      <c r="J300" s="312" t="s">
        <v>992</v>
      </c>
      <c r="K300" s="273" t="s">
        <v>97</v>
      </c>
      <c r="L300" s="273" t="s">
        <v>168</v>
      </c>
      <c r="M300" s="311" t="s">
        <v>147</v>
      </c>
      <c r="N300" s="311" t="s">
        <v>97</v>
      </c>
      <c r="O300" s="311" t="s">
        <v>169</v>
      </c>
      <c r="P300" s="329"/>
      <c r="Q300" s="330"/>
      <c r="R300" s="154">
        <v>0</v>
      </c>
      <c r="S300" s="155">
        <f>0</f>
        <v>0</v>
      </c>
      <c r="T300" s="263">
        <v>4</v>
      </c>
      <c r="U300" s="155">
        <v>0</v>
      </c>
      <c r="V300" s="158">
        <f>0</f>
        <v>0</v>
      </c>
      <c r="W300" s="155">
        <f>0</f>
        <v>0</v>
      </c>
      <c r="X300" s="155">
        <f>0</f>
        <v>0</v>
      </c>
      <c r="Y300" s="155">
        <f>0</f>
        <v>0</v>
      </c>
      <c r="Z300" s="155">
        <f>0</f>
        <v>0</v>
      </c>
      <c r="AA300" s="155">
        <f>0</f>
        <v>0</v>
      </c>
      <c r="AB300" s="155">
        <f>0</f>
        <v>0</v>
      </c>
      <c r="AC300" s="155">
        <f>0</f>
        <v>0</v>
      </c>
      <c r="AD300" s="155">
        <f>0</f>
        <v>0</v>
      </c>
      <c r="AE300" s="155">
        <f>0</f>
        <v>0</v>
      </c>
      <c r="AF300" s="155">
        <f>0</f>
        <v>0</v>
      </c>
      <c r="AG300" s="155">
        <f>0</f>
        <v>0</v>
      </c>
      <c r="AH300" s="155">
        <f>0</f>
        <v>0</v>
      </c>
      <c r="AI300" s="155">
        <f>0</f>
        <v>0</v>
      </c>
      <c r="AJ300" s="155">
        <f>0</f>
        <v>0</v>
      </c>
      <c r="AK300" s="155">
        <f>0</f>
        <v>0</v>
      </c>
      <c r="AL300" s="219">
        <f t="shared" si="15"/>
        <v>4</v>
      </c>
      <c r="AM300" s="103"/>
      <c r="AN300" s="326">
        <f t="shared" si="16"/>
        <v>4</v>
      </c>
      <c r="AO300" s="348">
        <v>45034</v>
      </c>
      <c r="AP300" s="296" t="s">
        <v>192</v>
      </c>
      <c r="AQ300" s="292" t="s">
        <v>1522</v>
      </c>
      <c r="AR300" s="350" t="s">
        <v>194</v>
      </c>
      <c r="AS300" s="301">
        <v>45078</v>
      </c>
      <c r="AT300" s="318"/>
      <c r="AU300" s="318">
        <v>4</v>
      </c>
      <c r="AV300" s="317">
        <f t="shared" si="17"/>
        <v>0</v>
      </c>
      <c r="AW300" s="318" t="s">
        <v>195</v>
      </c>
      <c r="AX300" s="333"/>
      <c r="AY300" s="333"/>
      <c r="AZ300" s="320"/>
      <c r="BA300" s="174"/>
      <c r="BB300" s="174"/>
      <c r="BC300" s="174"/>
    </row>
    <row r="301" spans="1:55" ht="28" customHeight="1">
      <c r="A301" s="195">
        <v>297</v>
      </c>
      <c r="B301" s="315">
        <v>45030</v>
      </c>
      <c r="C301" s="222" t="s">
        <v>198</v>
      </c>
      <c r="D301" s="222" t="s">
        <v>199</v>
      </c>
      <c r="E301" s="222" t="s">
        <v>200</v>
      </c>
      <c r="F301" s="371" t="s">
        <v>837</v>
      </c>
      <c r="G301" s="309" t="s">
        <v>993</v>
      </c>
      <c r="H301" s="337" t="s">
        <v>129</v>
      </c>
      <c r="I301" s="311" t="s">
        <v>994</v>
      </c>
      <c r="J301" s="312" t="s">
        <v>995</v>
      </c>
      <c r="K301" s="273" t="s">
        <v>97</v>
      </c>
      <c r="L301" s="273" t="s">
        <v>996</v>
      </c>
      <c r="M301" s="311" t="s">
        <v>147</v>
      </c>
      <c r="N301" s="311" t="s">
        <v>97</v>
      </c>
      <c r="O301" s="311" t="s">
        <v>169</v>
      </c>
      <c r="P301" s="329"/>
      <c r="Q301" s="330"/>
      <c r="R301" s="154">
        <v>0</v>
      </c>
      <c r="S301" s="155">
        <f>0</f>
        <v>0</v>
      </c>
      <c r="T301" s="263">
        <v>1</v>
      </c>
      <c r="U301" s="155">
        <v>0</v>
      </c>
      <c r="V301" s="158">
        <f>0</f>
        <v>0</v>
      </c>
      <c r="W301" s="155">
        <f>0</f>
        <v>0</v>
      </c>
      <c r="X301" s="155">
        <f>0</f>
        <v>0</v>
      </c>
      <c r="Y301" s="155">
        <f>0</f>
        <v>0</v>
      </c>
      <c r="Z301" s="155">
        <f>0</f>
        <v>0</v>
      </c>
      <c r="AA301" s="155">
        <f>0</f>
        <v>0</v>
      </c>
      <c r="AB301" s="155">
        <f>0</f>
        <v>0</v>
      </c>
      <c r="AC301" s="155">
        <f>0</f>
        <v>0</v>
      </c>
      <c r="AD301" s="155">
        <f>0</f>
        <v>0</v>
      </c>
      <c r="AE301" s="155">
        <f>0</f>
        <v>0</v>
      </c>
      <c r="AF301" s="155">
        <f>0</f>
        <v>0</v>
      </c>
      <c r="AG301" s="155">
        <f>0</f>
        <v>0</v>
      </c>
      <c r="AH301" s="155">
        <f>0</f>
        <v>0</v>
      </c>
      <c r="AI301" s="155">
        <f>0</f>
        <v>0</v>
      </c>
      <c r="AJ301" s="155">
        <f>0</f>
        <v>0</v>
      </c>
      <c r="AK301" s="155">
        <f>0</f>
        <v>0</v>
      </c>
      <c r="AL301" s="219">
        <f t="shared" si="15"/>
        <v>1</v>
      </c>
      <c r="AM301" s="103"/>
      <c r="AN301" s="326">
        <f t="shared" si="16"/>
        <v>1</v>
      </c>
      <c r="AO301" s="348">
        <v>45034</v>
      </c>
      <c r="AP301" s="296" t="s">
        <v>192</v>
      </c>
      <c r="AQ301" s="292" t="s">
        <v>1522</v>
      </c>
      <c r="AR301" s="350" t="s">
        <v>194</v>
      </c>
      <c r="AS301" s="301">
        <v>45078</v>
      </c>
      <c r="AT301" s="318"/>
      <c r="AU301" s="318">
        <v>1</v>
      </c>
      <c r="AV301" s="317">
        <f t="shared" si="17"/>
        <v>0</v>
      </c>
      <c r="AW301" s="318" t="s">
        <v>195</v>
      </c>
      <c r="AX301" s="333"/>
      <c r="AY301" s="333"/>
      <c r="AZ301" s="320"/>
      <c r="BA301" s="174"/>
      <c r="BB301" s="174"/>
      <c r="BC301" s="174"/>
    </row>
    <row r="302" spans="1:55" ht="28" customHeight="1">
      <c r="A302" s="195">
        <v>298</v>
      </c>
      <c r="B302" s="315">
        <v>45030</v>
      </c>
      <c r="C302" s="222" t="s">
        <v>198</v>
      </c>
      <c r="D302" s="222" t="s">
        <v>199</v>
      </c>
      <c r="E302" s="222" t="s">
        <v>200</v>
      </c>
      <c r="F302" s="371" t="s">
        <v>837</v>
      </c>
      <c r="G302" s="309" t="s">
        <v>997</v>
      </c>
      <c r="H302" s="337" t="s">
        <v>129</v>
      </c>
      <c r="I302" s="311" t="s">
        <v>968</v>
      </c>
      <c r="J302" s="312" t="s">
        <v>998</v>
      </c>
      <c r="K302" s="273" t="s">
        <v>97</v>
      </c>
      <c r="L302" s="273" t="s">
        <v>999</v>
      </c>
      <c r="M302" s="311" t="s">
        <v>147</v>
      </c>
      <c r="N302" s="311" t="s">
        <v>677</v>
      </c>
      <c r="O302" s="311" t="s">
        <v>169</v>
      </c>
      <c r="P302" s="329"/>
      <c r="Q302" s="330"/>
      <c r="R302" s="154">
        <v>0</v>
      </c>
      <c r="S302" s="155">
        <f>0</f>
        <v>0</v>
      </c>
      <c r="T302" s="263">
        <v>1</v>
      </c>
      <c r="U302" s="155">
        <v>0</v>
      </c>
      <c r="V302" s="158">
        <f>0</f>
        <v>0</v>
      </c>
      <c r="W302" s="155">
        <f>0</f>
        <v>0</v>
      </c>
      <c r="X302" s="155">
        <f>0</f>
        <v>0</v>
      </c>
      <c r="Y302" s="155">
        <f>0</f>
        <v>0</v>
      </c>
      <c r="Z302" s="155">
        <f>0</f>
        <v>0</v>
      </c>
      <c r="AA302" s="155">
        <f>0</f>
        <v>0</v>
      </c>
      <c r="AB302" s="155">
        <f>0</f>
        <v>0</v>
      </c>
      <c r="AC302" s="155">
        <f>0</f>
        <v>0</v>
      </c>
      <c r="AD302" s="155">
        <f>0</f>
        <v>0</v>
      </c>
      <c r="AE302" s="155">
        <f>0</f>
        <v>0</v>
      </c>
      <c r="AF302" s="155">
        <f>0</f>
        <v>0</v>
      </c>
      <c r="AG302" s="155">
        <f>0</f>
        <v>0</v>
      </c>
      <c r="AH302" s="155">
        <f>0</f>
        <v>0</v>
      </c>
      <c r="AI302" s="155">
        <f>0</f>
        <v>0</v>
      </c>
      <c r="AJ302" s="155">
        <f>0</f>
        <v>0</v>
      </c>
      <c r="AK302" s="155">
        <f>0</f>
        <v>0</v>
      </c>
      <c r="AL302" s="219">
        <f t="shared" si="15"/>
        <v>1</v>
      </c>
      <c r="AM302" s="103"/>
      <c r="AN302" s="326">
        <f t="shared" si="16"/>
        <v>1</v>
      </c>
      <c r="AO302" s="348">
        <v>45034</v>
      </c>
      <c r="AP302" s="296" t="s">
        <v>192</v>
      </c>
      <c r="AQ302" s="292" t="s">
        <v>1522</v>
      </c>
      <c r="AR302" s="350" t="s">
        <v>194</v>
      </c>
      <c r="AS302" s="301">
        <v>45078</v>
      </c>
      <c r="AT302" s="318"/>
      <c r="AU302" s="318">
        <v>1</v>
      </c>
      <c r="AV302" s="317">
        <f t="shared" si="17"/>
        <v>0</v>
      </c>
      <c r="AW302" s="318" t="s">
        <v>195</v>
      </c>
      <c r="AX302" s="333"/>
      <c r="AY302" s="333"/>
      <c r="AZ302" s="320"/>
      <c r="BA302" s="174"/>
      <c r="BB302" s="174"/>
      <c r="BC302" s="174"/>
    </row>
    <row r="303" spans="1:55" ht="28" customHeight="1">
      <c r="A303" s="195">
        <v>299</v>
      </c>
      <c r="B303" s="315">
        <v>45030</v>
      </c>
      <c r="C303" s="222" t="s">
        <v>198</v>
      </c>
      <c r="D303" s="222" t="s">
        <v>199</v>
      </c>
      <c r="E303" s="222" t="s">
        <v>200</v>
      </c>
      <c r="F303" s="371" t="s">
        <v>837</v>
      </c>
      <c r="G303" s="309" t="s">
        <v>1000</v>
      </c>
      <c r="H303" s="337" t="s">
        <v>129</v>
      </c>
      <c r="I303" s="311" t="s">
        <v>1022</v>
      </c>
      <c r="J303" s="312" t="s">
        <v>1001</v>
      </c>
      <c r="K303" s="273" t="s">
        <v>97</v>
      </c>
      <c r="L303" s="273" t="s">
        <v>960</v>
      </c>
      <c r="M303" s="311" t="s">
        <v>147</v>
      </c>
      <c r="N303" s="311"/>
      <c r="O303" s="311" t="s">
        <v>97</v>
      </c>
      <c r="P303" s="329"/>
      <c r="Q303" s="330"/>
      <c r="R303" s="154">
        <v>0</v>
      </c>
      <c r="S303" s="155">
        <f>0</f>
        <v>0</v>
      </c>
      <c r="T303" s="263">
        <v>1</v>
      </c>
      <c r="U303" s="155">
        <v>0</v>
      </c>
      <c r="V303" s="158">
        <f>0</f>
        <v>0</v>
      </c>
      <c r="W303" s="155">
        <f>0</f>
        <v>0</v>
      </c>
      <c r="X303" s="155">
        <f>0</f>
        <v>0</v>
      </c>
      <c r="Y303" s="155">
        <f>0</f>
        <v>0</v>
      </c>
      <c r="Z303" s="155">
        <f>0</f>
        <v>0</v>
      </c>
      <c r="AA303" s="155">
        <f>0</f>
        <v>0</v>
      </c>
      <c r="AB303" s="155">
        <f>0</f>
        <v>0</v>
      </c>
      <c r="AC303" s="155">
        <f>0</f>
        <v>0</v>
      </c>
      <c r="AD303" s="155">
        <f>0</f>
        <v>0</v>
      </c>
      <c r="AE303" s="155">
        <f>0</f>
        <v>0</v>
      </c>
      <c r="AF303" s="155">
        <f>0</f>
        <v>0</v>
      </c>
      <c r="AG303" s="155">
        <f>0</f>
        <v>0</v>
      </c>
      <c r="AH303" s="155">
        <f>0</f>
        <v>0</v>
      </c>
      <c r="AI303" s="155">
        <f>0</f>
        <v>0</v>
      </c>
      <c r="AJ303" s="155">
        <f>0</f>
        <v>0</v>
      </c>
      <c r="AK303" s="155">
        <f>0</f>
        <v>0</v>
      </c>
      <c r="AL303" s="219">
        <f t="shared" si="15"/>
        <v>1</v>
      </c>
      <c r="AM303" s="103"/>
      <c r="AN303" s="326">
        <f t="shared" si="16"/>
        <v>1</v>
      </c>
      <c r="AO303" s="348">
        <v>45034</v>
      </c>
      <c r="AP303" s="296" t="s">
        <v>192</v>
      </c>
      <c r="AQ303" s="292" t="s">
        <v>1522</v>
      </c>
      <c r="AR303" s="350" t="s">
        <v>194</v>
      </c>
      <c r="AS303" s="301">
        <v>45078</v>
      </c>
      <c r="AT303" s="318"/>
      <c r="AU303" s="318">
        <v>1</v>
      </c>
      <c r="AV303" s="317">
        <f t="shared" si="17"/>
        <v>0</v>
      </c>
      <c r="AW303" s="318" t="s">
        <v>1550</v>
      </c>
      <c r="AX303" s="333"/>
      <c r="AY303" s="333"/>
      <c r="AZ303" s="320"/>
      <c r="BA303" s="174"/>
      <c r="BB303" s="174"/>
      <c r="BC303" s="174"/>
    </row>
    <row r="304" spans="1:55" ht="28" customHeight="1">
      <c r="A304" s="195">
        <v>300</v>
      </c>
      <c r="B304" s="315">
        <v>45030</v>
      </c>
      <c r="C304" s="222" t="s">
        <v>198</v>
      </c>
      <c r="D304" s="222" t="s">
        <v>199</v>
      </c>
      <c r="E304" s="222" t="s">
        <v>200</v>
      </c>
      <c r="F304" s="371" t="s">
        <v>837</v>
      </c>
      <c r="G304" s="309" t="s">
        <v>1002</v>
      </c>
      <c r="H304" s="337" t="s">
        <v>129</v>
      </c>
      <c r="I304" s="311" t="s">
        <v>1003</v>
      </c>
      <c r="J304" s="312" t="s">
        <v>1004</v>
      </c>
      <c r="K304" s="273" t="s">
        <v>97</v>
      </c>
      <c r="L304" s="273" t="s">
        <v>996</v>
      </c>
      <c r="M304" s="311" t="s">
        <v>147</v>
      </c>
      <c r="N304" s="311" t="s">
        <v>97</v>
      </c>
      <c r="O304" s="311" t="s">
        <v>169</v>
      </c>
      <c r="P304" s="329"/>
      <c r="Q304" s="330"/>
      <c r="R304" s="154">
        <v>0</v>
      </c>
      <c r="S304" s="155">
        <f>0</f>
        <v>0</v>
      </c>
      <c r="T304" s="263">
        <v>1</v>
      </c>
      <c r="U304" s="155">
        <v>0</v>
      </c>
      <c r="V304" s="158">
        <f>0</f>
        <v>0</v>
      </c>
      <c r="W304" s="155">
        <f>0</f>
        <v>0</v>
      </c>
      <c r="X304" s="155">
        <f>0</f>
        <v>0</v>
      </c>
      <c r="Y304" s="155">
        <f>0</f>
        <v>0</v>
      </c>
      <c r="Z304" s="155">
        <f>0</f>
        <v>0</v>
      </c>
      <c r="AA304" s="155">
        <f>0</f>
        <v>0</v>
      </c>
      <c r="AB304" s="155">
        <f>0</f>
        <v>0</v>
      </c>
      <c r="AC304" s="155">
        <f>0</f>
        <v>0</v>
      </c>
      <c r="AD304" s="155">
        <f>0</f>
        <v>0</v>
      </c>
      <c r="AE304" s="155">
        <f>0</f>
        <v>0</v>
      </c>
      <c r="AF304" s="155">
        <f>0</f>
        <v>0</v>
      </c>
      <c r="AG304" s="155">
        <f>0</f>
        <v>0</v>
      </c>
      <c r="AH304" s="155">
        <f>0</f>
        <v>0</v>
      </c>
      <c r="AI304" s="155">
        <f>0</f>
        <v>0</v>
      </c>
      <c r="AJ304" s="155">
        <f>0</f>
        <v>0</v>
      </c>
      <c r="AK304" s="155">
        <f>0</f>
        <v>0</v>
      </c>
      <c r="AL304" s="219">
        <f t="shared" si="15"/>
        <v>1</v>
      </c>
      <c r="AM304" s="103"/>
      <c r="AN304" s="326">
        <f t="shared" si="16"/>
        <v>1</v>
      </c>
      <c r="AO304" s="348">
        <v>45034</v>
      </c>
      <c r="AP304" s="296" t="s">
        <v>192</v>
      </c>
      <c r="AQ304" s="292" t="s">
        <v>1522</v>
      </c>
      <c r="AR304" s="350" t="s">
        <v>194</v>
      </c>
      <c r="AS304" s="301">
        <v>45078</v>
      </c>
      <c r="AT304" s="318"/>
      <c r="AU304" s="318">
        <v>1</v>
      </c>
      <c r="AV304" s="317">
        <f t="shared" si="17"/>
        <v>0</v>
      </c>
      <c r="AW304" s="318" t="s">
        <v>195</v>
      </c>
      <c r="AX304" s="333"/>
      <c r="AY304" s="333"/>
      <c r="AZ304" s="320"/>
      <c r="BA304" s="174"/>
      <c r="BB304" s="174"/>
      <c r="BC304" s="174"/>
    </row>
    <row r="305" spans="1:55" ht="28" customHeight="1">
      <c r="A305" s="195">
        <v>301</v>
      </c>
      <c r="B305" s="315">
        <v>45030</v>
      </c>
      <c r="C305" s="222" t="s">
        <v>198</v>
      </c>
      <c r="D305" s="222" t="s">
        <v>199</v>
      </c>
      <c r="E305" s="222" t="s">
        <v>200</v>
      </c>
      <c r="F305" s="371" t="s">
        <v>837</v>
      </c>
      <c r="G305" s="309" t="s">
        <v>1005</v>
      </c>
      <c r="H305" s="337" t="s">
        <v>129</v>
      </c>
      <c r="I305" s="311" t="s">
        <v>1006</v>
      </c>
      <c r="J305" s="312" t="s">
        <v>1007</v>
      </c>
      <c r="K305" s="273" t="s">
        <v>97</v>
      </c>
      <c r="L305" s="273" t="s">
        <v>996</v>
      </c>
      <c r="M305" s="311" t="s">
        <v>147</v>
      </c>
      <c r="N305" s="311" t="s">
        <v>97</v>
      </c>
      <c r="O305" s="311" t="s">
        <v>169</v>
      </c>
      <c r="P305" s="329"/>
      <c r="Q305" s="330"/>
      <c r="R305" s="154">
        <v>0</v>
      </c>
      <c r="S305" s="155">
        <f>0</f>
        <v>0</v>
      </c>
      <c r="T305" s="263">
        <v>1</v>
      </c>
      <c r="U305" s="155">
        <v>0</v>
      </c>
      <c r="V305" s="158">
        <f>0</f>
        <v>0</v>
      </c>
      <c r="W305" s="155">
        <f>0</f>
        <v>0</v>
      </c>
      <c r="X305" s="155">
        <f>0</f>
        <v>0</v>
      </c>
      <c r="Y305" s="155">
        <f>0</f>
        <v>0</v>
      </c>
      <c r="Z305" s="155">
        <f>0</f>
        <v>0</v>
      </c>
      <c r="AA305" s="155">
        <f>0</f>
        <v>0</v>
      </c>
      <c r="AB305" s="155">
        <f>0</f>
        <v>0</v>
      </c>
      <c r="AC305" s="155">
        <f>0</f>
        <v>0</v>
      </c>
      <c r="AD305" s="155">
        <f>0</f>
        <v>0</v>
      </c>
      <c r="AE305" s="155">
        <f>0</f>
        <v>0</v>
      </c>
      <c r="AF305" s="155">
        <f>0</f>
        <v>0</v>
      </c>
      <c r="AG305" s="155">
        <f>0</f>
        <v>0</v>
      </c>
      <c r="AH305" s="155">
        <f>0</f>
        <v>0</v>
      </c>
      <c r="AI305" s="155">
        <f>0</f>
        <v>0</v>
      </c>
      <c r="AJ305" s="155">
        <f>0</f>
        <v>0</v>
      </c>
      <c r="AK305" s="155">
        <f>0</f>
        <v>0</v>
      </c>
      <c r="AL305" s="219">
        <f t="shared" si="15"/>
        <v>1</v>
      </c>
      <c r="AM305" s="103"/>
      <c r="AN305" s="326">
        <f t="shared" si="16"/>
        <v>1</v>
      </c>
      <c r="AO305" s="348">
        <v>45034</v>
      </c>
      <c r="AP305" s="296" t="s">
        <v>192</v>
      </c>
      <c r="AQ305" s="292" t="s">
        <v>1522</v>
      </c>
      <c r="AR305" s="350" t="s">
        <v>194</v>
      </c>
      <c r="AS305" s="301">
        <v>45078</v>
      </c>
      <c r="AT305" s="318"/>
      <c r="AU305" s="318">
        <v>1</v>
      </c>
      <c r="AV305" s="317">
        <f t="shared" si="17"/>
        <v>0</v>
      </c>
      <c r="AW305" s="318" t="s">
        <v>195</v>
      </c>
      <c r="AX305" s="333"/>
      <c r="AY305" s="333"/>
      <c r="AZ305" s="320"/>
      <c r="BA305" s="174"/>
      <c r="BB305" s="174"/>
      <c r="BC305" s="174"/>
    </row>
    <row r="306" spans="1:55" ht="28" customHeight="1">
      <c r="A306" s="195">
        <v>302</v>
      </c>
      <c r="B306" s="315">
        <v>45030</v>
      </c>
      <c r="C306" s="222" t="s">
        <v>198</v>
      </c>
      <c r="D306" s="222" t="s">
        <v>199</v>
      </c>
      <c r="E306" s="222" t="s">
        <v>200</v>
      </c>
      <c r="F306" s="371" t="s">
        <v>837</v>
      </c>
      <c r="G306" s="309" t="s">
        <v>1008</v>
      </c>
      <c r="H306" s="337" t="s">
        <v>129</v>
      </c>
      <c r="I306" s="311" t="s">
        <v>835</v>
      </c>
      <c r="J306" s="312" t="s">
        <v>1009</v>
      </c>
      <c r="K306" s="273" t="s">
        <v>97</v>
      </c>
      <c r="L306" s="273" t="s">
        <v>999</v>
      </c>
      <c r="M306" s="311" t="s">
        <v>147</v>
      </c>
      <c r="N306" s="311" t="s">
        <v>677</v>
      </c>
      <c r="O306" s="311" t="s">
        <v>169</v>
      </c>
      <c r="P306" s="329"/>
      <c r="Q306" s="330"/>
      <c r="R306" s="154">
        <v>0</v>
      </c>
      <c r="S306" s="155">
        <f>0</f>
        <v>0</v>
      </c>
      <c r="T306" s="263">
        <v>1</v>
      </c>
      <c r="U306" s="155">
        <v>0</v>
      </c>
      <c r="V306" s="158">
        <f>0</f>
        <v>0</v>
      </c>
      <c r="W306" s="155">
        <f>0</f>
        <v>0</v>
      </c>
      <c r="X306" s="155">
        <f>0</f>
        <v>0</v>
      </c>
      <c r="Y306" s="155">
        <f>0</f>
        <v>0</v>
      </c>
      <c r="Z306" s="155">
        <f>0</f>
        <v>0</v>
      </c>
      <c r="AA306" s="155">
        <f>0</f>
        <v>0</v>
      </c>
      <c r="AB306" s="155">
        <f>0</f>
        <v>0</v>
      </c>
      <c r="AC306" s="155">
        <f>0</f>
        <v>0</v>
      </c>
      <c r="AD306" s="155">
        <f>0</f>
        <v>0</v>
      </c>
      <c r="AE306" s="155">
        <f>0</f>
        <v>0</v>
      </c>
      <c r="AF306" s="155">
        <f>0</f>
        <v>0</v>
      </c>
      <c r="AG306" s="155">
        <f>0</f>
        <v>0</v>
      </c>
      <c r="AH306" s="155">
        <f>0</f>
        <v>0</v>
      </c>
      <c r="AI306" s="155">
        <f>0</f>
        <v>0</v>
      </c>
      <c r="AJ306" s="155">
        <f>0</f>
        <v>0</v>
      </c>
      <c r="AK306" s="155">
        <f>0</f>
        <v>0</v>
      </c>
      <c r="AL306" s="219">
        <f t="shared" si="15"/>
        <v>1</v>
      </c>
      <c r="AM306" s="103"/>
      <c r="AN306" s="326">
        <f t="shared" si="16"/>
        <v>1</v>
      </c>
      <c r="AO306" s="348">
        <v>45034</v>
      </c>
      <c r="AP306" s="296" t="s">
        <v>192</v>
      </c>
      <c r="AQ306" s="292" t="s">
        <v>1522</v>
      </c>
      <c r="AR306" s="350" t="s">
        <v>194</v>
      </c>
      <c r="AS306" s="301">
        <v>45078</v>
      </c>
      <c r="AT306" s="318"/>
      <c r="AU306" s="318">
        <v>1</v>
      </c>
      <c r="AV306" s="317">
        <f t="shared" si="17"/>
        <v>0</v>
      </c>
      <c r="AW306" s="318" t="s">
        <v>195</v>
      </c>
      <c r="AX306" s="333"/>
      <c r="AY306" s="333"/>
      <c r="AZ306" s="320"/>
      <c r="BA306" s="174"/>
      <c r="BB306" s="174"/>
      <c r="BC306" s="174"/>
    </row>
    <row r="307" spans="1:55" ht="28" customHeight="1">
      <c r="A307" s="195">
        <v>303</v>
      </c>
      <c r="B307" s="315">
        <v>45030</v>
      </c>
      <c r="C307" s="222" t="s">
        <v>198</v>
      </c>
      <c r="D307" s="222" t="s">
        <v>199</v>
      </c>
      <c r="E307" s="222" t="s">
        <v>200</v>
      </c>
      <c r="F307" s="371" t="s">
        <v>837</v>
      </c>
      <c r="G307" s="309" t="s">
        <v>1010</v>
      </c>
      <c r="H307" s="337" t="s">
        <v>129</v>
      </c>
      <c r="I307" s="311" t="s">
        <v>1011</v>
      </c>
      <c r="J307" s="312" t="s">
        <v>1012</v>
      </c>
      <c r="K307" s="273" t="s">
        <v>97</v>
      </c>
      <c r="L307" s="273" t="s">
        <v>996</v>
      </c>
      <c r="M307" s="311" t="s">
        <v>147</v>
      </c>
      <c r="N307" s="311" t="s">
        <v>97</v>
      </c>
      <c r="O307" s="311" t="s">
        <v>169</v>
      </c>
      <c r="P307" s="329"/>
      <c r="Q307" s="330"/>
      <c r="R307" s="154">
        <v>0</v>
      </c>
      <c r="S307" s="155">
        <f>0</f>
        <v>0</v>
      </c>
      <c r="T307" s="263">
        <v>1</v>
      </c>
      <c r="U307" s="155">
        <v>0</v>
      </c>
      <c r="V307" s="158">
        <f>0</f>
        <v>0</v>
      </c>
      <c r="W307" s="155">
        <f>0</f>
        <v>0</v>
      </c>
      <c r="X307" s="155">
        <f>0</f>
        <v>0</v>
      </c>
      <c r="Y307" s="155">
        <f>0</f>
        <v>0</v>
      </c>
      <c r="Z307" s="155">
        <f>0</f>
        <v>0</v>
      </c>
      <c r="AA307" s="155">
        <f>0</f>
        <v>0</v>
      </c>
      <c r="AB307" s="155">
        <f>0</f>
        <v>0</v>
      </c>
      <c r="AC307" s="155">
        <f>0</f>
        <v>0</v>
      </c>
      <c r="AD307" s="155">
        <f>0</f>
        <v>0</v>
      </c>
      <c r="AE307" s="155">
        <f>0</f>
        <v>0</v>
      </c>
      <c r="AF307" s="155">
        <f>0</f>
        <v>0</v>
      </c>
      <c r="AG307" s="155">
        <f>0</f>
        <v>0</v>
      </c>
      <c r="AH307" s="155">
        <f>0</f>
        <v>0</v>
      </c>
      <c r="AI307" s="155">
        <f>0</f>
        <v>0</v>
      </c>
      <c r="AJ307" s="155">
        <f>0</f>
        <v>0</v>
      </c>
      <c r="AK307" s="155">
        <f>0</f>
        <v>0</v>
      </c>
      <c r="AL307" s="219">
        <f t="shared" si="15"/>
        <v>1</v>
      </c>
      <c r="AM307" s="103"/>
      <c r="AN307" s="326">
        <f t="shared" si="16"/>
        <v>1</v>
      </c>
      <c r="AO307" s="348">
        <v>45034</v>
      </c>
      <c r="AP307" s="296" t="s">
        <v>192</v>
      </c>
      <c r="AQ307" s="292" t="s">
        <v>1522</v>
      </c>
      <c r="AR307" s="350" t="s">
        <v>194</v>
      </c>
      <c r="AS307" s="301">
        <v>45078</v>
      </c>
      <c r="AT307" s="318"/>
      <c r="AU307" s="318">
        <v>1</v>
      </c>
      <c r="AV307" s="317">
        <f t="shared" si="17"/>
        <v>0</v>
      </c>
      <c r="AW307" s="318" t="s">
        <v>195</v>
      </c>
      <c r="AX307" s="333"/>
      <c r="AY307" s="333"/>
      <c r="AZ307" s="320"/>
      <c r="BA307" s="174"/>
      <c r="BB307" s="174"/>
      <c r="BC307" s="174"/>
    </row>
    <row r="308" spans="1:55" ht="28" customHeight="1">
      <c r="A308" s="195">
        <v>304</v>
      </c>
      <c r="B308" s="315">
        <v>45030</v>
      </c>
      <c r="C308" s="222" t="s">
        <v>198</v>
      </c>
      <c r="D308" s="222" t="s">
        <v>199</v>
      </c>
      <c r="E308" s="222" t="s">
        <v>200</v>
      </c>
      <c r="F308" s="371" t="s">
        <v>837</v>
      </c>
      <c r="G308" s="309" t="s">
        <v>1013</v>
      </c>
      <c r="H308" s="337" t="s">
        <v>129</v>
      </c>
      <c r="I308" s="311" t="s">
        <v>1014</v>
      </c>
      <c r="J308" s="312" t="s">
        <v>1015</v>
      </c>
      <c r="K308" s="273" t="s">
        <v>97</v>
      </c>
      <c r="L308" s="273" t="s">
        <v>999</v>
      </c>
      <c r="M308" s="311" t="s">
        <v>147</v>
      </c>
      <c r="N308" s="311" t="s">
        <v>677</v>
      </c>
      <c r="O308" s="311" t="s">
        <v>169</v>
      </c>
      <c r="P308" s="329"/>
      <c r="Q308" s="330"/>
      <c r="R308" s="154">
        <v>0</v>
      </c>
      <c r="S308" s="155">
        <f>0</f>
        <v>0</v>
      </c>
      <c r="T308" s="263">
        <v>1</v>
      </c>
      <c r="U308" s="155">
        <v>0</v>
      </c>
      <c r="V308" s="158">
        <f>0</f>
        <v>0</v>
      </c>
      <c r="W308" s="155">
        <f>0</f>
        <v>0</v>
      </c>
      <c r="X308" s="155">
        <f>0</f>
        <v>0</v>
      </c>
      <c r="Y308" s="155">
        <f>0</f>
        <v>0</v>
      </c>
      <c r="Z308" s="155">
        <f>0</f>
        <v>0</v>
      </c>
      <c r="AA308" s="155">
        <f>0</f>
        <v>0</v>
      </c>
      <c r="AB308" s="155">
        <f>0</f>
        <v>0</v>
      </c>
      <c r="AC308" s="155">
        <f>0</f>
        <v>0</v>
      </c>
      <c r="AD308" s="155">
        <f>0</f>
        <v>0</v>
      </c>
      <c r="AE308" s="155">
        <f>0</f>
        <v>0</v>
      </c>
      <c r="AF308" s="155">
        <f>0</f>
        <v>0</v>
      </c>
      <c r="AG308" s="155">
        <f>0</f>
        <v>0</v>
      </c>
      <c r="AH308" s="155">
        <f>0</f>
        <v>0</v>
      </c>
      <c r="AI308" s="155">
        <f>0</f>
        <v>0</v>
      </c>
      <c r="AJ308" s="155">
        <f>0</f>
        <v>0</v>
      </c>
      <c r="AK308" s="155">
        <f>0</f>
        <v>0</v>
      </c>
      <c r="AL308" s="219">
        <f t="shared" si="15"/>
        <v>1</v>
      </c>
      <c r="AM308" s="103"/>
      <c r="AN308" s="326">
        <f t="shared" si="16"/>
        <v>1</v>
      </c>
      <c r="AO308" s="348">
        <v>45034</v>
      </c>
      <c r="AP308" s="296" t="s">
        <v>192</v>
      </c>
      <c r="AQ308" s="292" t="s">
        <v>1522</v>
      </c>
      <c r="AR308" s="350" t="s">
        <v>194</v>
      </c>
      <c r="AS308" s="301">
        <v>45078</v>
      </c>
      <c r="AT308" s="318"/>
      <c r="AU308" s="318">
        <v>1</v>
      </c>
      <c r="AV308" s="317">
        <f t="shared" si="17"/>
        <v>0</v>
      </c>
      <c r="AW308" s="318" t="s">
        <v>195</v>
      </c>
      <c r="AX308" s="333"/>
      <c r="AY308" s="333"/>
      <c r="AZ308" s="320"/>
      <c r="BA308" s="174"/>
      <c r="BB308" s="174"/>
      <c r="BC308" s="174"/>
    </row>
    <row r="309" spans="1:55" ht="28" customHeight="1">
      <c r="A309" s="195">
        <v>305</v>
      </c>
      <c r="B309" s="315">
        <v>45030</v>
      </c>
      <c r="C309" s="222" t="s">
        <v>198</v>
      </c>
      <c r="D309" s="222" t="s">
        <v>199</v>
      </c>
      <c r="E309" s="222" t="s">
        <v>200</v>
      </c>
      <c r="F309" s="371" t="s">
        <v>837</v>
      </c>
      <c r="G309" s="309" t="s">
        <v>1016</v>
      </c>
      <c r="H309" s="337" t="s">
        <v>129</v>
      </c>
      <c r="I309" s="311" t="s">
        <v>1017</v>
      </c>
      <c r="J309" s="312" t="s">
        <v>1018</v>
      </c>
      <c r="K309" s="273" t="s">
        <v>97</v>
      </c>
      <c r="L309" s="273" t="s">
        <v>996</v>
      </c>
      <c r="M309" s="311" t="s">
        <v>147</v>
      </c>
      <c r="N309" s="311" t="s">
        <v>97</v>
      </c>
      <c r="O309" s="311" t="s">
        <v>169</v>
      </c>
      <c r="P309" s="329"/>
      <c r="Q309" s="330"/>
      <c r="R309" s="154">
        <v>0</v>
      </c>
      <c r="S309" s="155">
        <f>0</f>
        <v>0</v>
      </c>
      <c r="T309" s="263">
        <v>1</v>
      </c>
      <c r="U309" s="155">
        <v>0</v>
      </c>
      <c r="V309" s="158">
        <f>0</f>
        <v>0</v>
      </c>
      <c r="W309" s="155">
        <f>0</f>
        <v>0</v>
      </c>
      <c r="X309" s="155">
        <f>0</f>
        <v>0</v>
      </c>
      <c r="Y309" s="155">
        <f>0</f>
        <v>0</v>
      </c>
      <c r="Z309" s="155">
        <f>0</f>
        <v>0</v>
      </c>
      <c r="AA309" s="155">
        <f>0</f>
        <v>0</v>
      </c>
      <c r="AB309" s="155">
        <f>0</f>
        <v>0</v>
      </c>
      <c r="AC309" s="155">
        <f>0</f>
        <v>0</v>
      </c>
      <c r="AD309" s="155">
        <f>0</f>
        <v>0</v>
      </c>
      <c r="AE309" s="155">
        <f>0</f>
        <v>0</v>
      </c>
      <c r="AF309" s="155">
        <f>0</f>
        <v>0</v>
      </c>
      <c r="AG309" s="155">
        <f>0</f>
        <v>0</v>
      </c>
      <c r="AH309" s="155">
        <f>0</f>
        <v>0</v>
      </c>
      <c r="AI309" s="155">
        <f>0</f>
        <v>0</v>
      </c>
      <c r="AJ309" s="155">
        <f>0</f>
        <v>0</v>
      </c>
      <c r="AK309" s="155">
        <f>0</f>
        <v>0</v>
      </c>
      <c r="AL309" s="219">
        <f t="shared" si="15"/>
        <v>1</v>
      </c>
      <c r="AM309" s="103"/>
      <c r="AN309" s="326">
        <f t="shared" si="16"/>
        <v>1</v>
      </c>
      <c r="AO309" s="348">
        <v>45034</v>
      </c>
      <c r="AP309" s="296" t="s">
        <v>192</v>
      </c>
      <c r="AQ309" s="292" t="s">
        <v>1522</v>
      </c>
      <c r="AR309" s="350" t="s">
        <v>194</v>
      </c>
      <c r="AS309" s="301">
        <v>45078</v>
      </c>
      <c r="AT309" s="318"/>
      <c r="AU309" s="318">
        <v>1</v>
      </c>
      <c r="AV309" s="317">
        <f t="shared" si="17"/>
        <v>0</v>
      </c>
      <c r="AW309" s="318" t="s">
        <v>195</v>
      </c>
      <c r="AX309" s="333"/>
      <c r="AY309" s="333"/>
      <c r="AZ309" s="320"/>
      <c r="BA309" s="174"/>
      <c r="BB309" s="174"/>
      <c r="BC309" s="174"/>
    </row>
    <row r="310" spans="1:55" ht="28" customHeight="1">
      <c r="A310" s="195">
        <v>306</v>
      </c>
      <c r="B310" s="315">
        <v>45030</v>
      </c>
      <c r="C310" s="222" t="s">
        <v>198</v>
      </c>
      <c r="D310" s="222" t="s">
        <v>199</v>
      </c>
      <c r="E310" s="222" t="s">
        <v>200</v>
      </c>
      <c r="F310" s="371" t="s">
        <v>837</v>
      </c>
      <c r="G310" s="309" t="s">
        <v>1019</v>
      </c>
      <c r="H310" s="337" t="s">
        <v>129</v>
      </c>
      <c r="I310" s="311" t="s">
        <v>1020</v>
      </c>
      <c r="J310" s="312" t="s">
        <v>1021</v>
      </c>
      <c r="K310" s="273" t="s">
        <v>97</v>
      </c>
      <c r="L310" s="273" t="s">
        <v>165</v>
      </c>
      <c r="M310" s="311" t="s">
        <v>147</v>
      </c>
      <c r="N310" s="311" t="s">
        <v>97</v>
      </c>
      <c r="O310" s="311" t="s">
        <v>224</v>
      </c>
      <c r="P310" s="329"/>
      <c r="Q310" s="330"/>
      <c r="R310" s="154">
        <v>0</v>
      </c>
      <c r="S310" s="155">
        <f>0</f>
        <v>0</v>
      </c>
      <c r="T310" s="263">
        <v>1</v>
      </c>
      <c r="U310" s="155">
        <v>0</v>
      </c>
      <c r="V310" s="158">
        <f>0</f>
        <v>0</v>
      </c>
      <c r="W310" s="155">
        <f>0</f>
        <v>0</v>
      </c>
      <c r="X310" s="155">
        <f>0</f>
        <v>0</v>
      </c>
      <c r="Y310" s="155">
        <f>0</f>
        <v>0</v>
      </c>
      <c r="Z310" s="155">
        <f>0</f>
        <v>0</v>
      </c>
      <c r="AA310" s="155">
        <f>0</f>
        <v>0</v>
      </c>
      <c r="AB310" s="155">
        <f>0</f>
        <v>0</v>
      </c>
      <c r="AC310" s="155">
        <f>0</f>
        <v>0</v>
      </c>
      <c r="AD310" s="155">
        <f>0</f>
        <v>0</v>
      </c>
      <c r="AE310" s="155">
        <f>0</f>
        <v>0</v>
      </c>
      <c r="AF310" s="155">
        <f>0</f>
        <v>0</v>
      </c>
      <c r="AG310" s="155">
        <f>0</f>
        <v>0</v>
      </c>
      <c r="AH310" s="155">
        <f>0</f>
        <v>0</v>
      </c>
      <c r="AI310" s="155">
        <f>0</f>
        <v>0</v>
      </c>
      <c r="AJ310" s="155">
        <f>0</f>
        <v>0</v>
      </c>
      <c r="AK310" s="155">
        <f>0</f>
        <v>0</v>
      </c>
      <c r="AL310" s="169">
        <f t="shared" si="15"/>
        <v>1</v>
      </c>
      <c r="AM310" s="103"/>
      <c r="AN310" s="326">
        <f t="shared" si="16"/>
        <v>1</v>
      </c>
      <c r="AO310" s="348">
        <v>45034</v>
      </c>
      <c r="AP310" s="296" t="s">
        <v>192</v>
      </c>
      <c r="AQ310" s="292" t="s">
        <v>1522</v>
      </c>
      <c r="AR310" s="350" t="s">
        <v>194</v>
      </c>
      <c r="AS310" s="301">
        <v>45078</v>
      </c>
      <c r="AT310" s="318"/>
      <c r="AU310" s="318">
        <v>1</v>
      </c>
      <c r="AV310" s="317">
        <f t="shared" si="17"/>
        <v>0</v>
      </c>
      <c r="AW310" s="318" t="s">
        <v>195</v>
      </c>
      <c r="AX310" s="333"/>
      <c r="AY310" s="333"/>
      <c r="AZ310" s="320"/>
      <c r="BA310" s="174"/>
      <c r="BB310" s="174"/>
      <c r="BC310" s="174"/>
    </row>
    <row r="311" spans="1:55" ht="28" customHeight="1">
      <c r="A311" s="195">
        <v>307</v>
      </c>
      <c r="B311" s="315">
        <v>45030</v>
      </c>
      <c r="C311" s="222" t="s">
        <v>198</v>
      </c>
      <c r="D311" s="222" t="s">
        <v>199</v>
      </c>
      <c r="E311" s="222" t="s">
        <v>200</v>
      </c>
      <c r="F311" s="371" t="s">
        <v>837</v>
      </c>
      <c r="G311" s="309" t="s">
        <v>1023</v>
      </c>
      <c r="H311" s="337" t="s">
        <v>129</v>
      </c>
      <c r="I311" s="311" t="s">
        <v>1024</v>
      </c>
      <c r="J311" s="312" t="s">
        <v>1025</v>
      </c>
      <c r="K311" s="273" t="s">
        <v>97</v>
      </c>
      <c r="L311" s="273" t="s">
        <v>159</v>
      </c>
      <c r="M311" s="311" t="s">
        <v>156</v>
      </c>
      <c r="N311" s="311" t="s">
        <v>97</v>
      </c>
      <c r="O311" s="311" t="s">
        <v>535</v>
      </c>
      <c r="P311" s="329"/>
      <c r="Q311" s="330"/>
      <c r="R311" s="154">
        <v>0</v>
      </c>
      <c r="S311" s="155">
        <f>0</f>
        <v>0</v>
      </c>
      <c r="T311" s="263">
        <v>1</v>
      </c>
      <c r="U311" s="158"/>
      <c r="V311" s="158">
        <f>0</f>
        <v>0</v>
      </c>
      <c r="W311" s="155">
        <f>0</f>
        <v>0</v>
      </c>
      <c r="X311" s="155">
        <f>0</f>
        <v>0</v>
      </c>
      <c r="Y311" s="155">
        <f>0</f>
        <v>0</v>
      </c>
      <c r="Z311" s="155">
        <f>0</f>
        <v>0</v>
      </c>
      <c r="AA311" s="155">
        <f>0</f>
        <v>0</v>
      </c>
      <c r="AB311" s="155">
        <f>0</f>
        <v>0</v>
      </c>
      <c r="AC311" s="155">
        <f>0</f>
        <v>0</v>
      </c>
      <c r="AD311" s="155">
        <f>0</f>
        <v>0</v>
      </c>
      <c r="AE311" s="155">
        <f>0</f>
        <v>0</v>
      </c>
      <c r="AF311" s="155">
        <f>0</f>
        <v>0</v>
      </c>
      <c r="AG311" s="155">
        <f>0</f>
        <v>0</v>
      </c>
      <c r="AH311" s="155">
        <f>0</f>
        <v>0</v>
      </c>
      <c r="AI311" s="155">
        <f>0</f>
        <v>0</v>
      </c>
      <c r="AJ311" s="155">
        <f>0</f>
        <v>0</v>
      </c>
      <c r="AK311" s="155">
        <f>0</f>
        <v>0</v>
      </c>
      <c r="AL311" s="219">
        <f t="shared" si="15"/>
        <v>1</v>
      </c>
      <c r="AM311" s="103"/>
      <c r="AN311" s="326">
        <f t="shared" si="16"/>
        <v>1</v>
      </c>
      <c r="AO311" s="290">
        <v>45034</v>
      </c>
      <c r="AP311" s="291" t="s">
        <v>192</v>
      </c>
      <c r="AQ311" s="292" t="s">
        <v>1520</v>
      </c>
      <c r="AR311" s="293" t="s">
        <v>197</v>
      </c>
      <c r="AS311" s="321"/>
      <c r="AT311" s="318"/>
      <c r="AU311" s="318">
        <v>1</v>
      </c>
      <c r="AV311" s="317">
        <f t="shared" si="17"/>
        <v>0</v>
      </c>
      <c r="AW311" s="318" t="s">
        <v>195</v>
      </c>
      <c r="AX311" s="319"/>
      <c r="AY311" s="319"/>
      <c r="AZ311" s="320"/>
      <c r="BA311" s="174"/>
      <c r="BB311" s="174"/>
      <c r="BC311" s="174"/>
    </row>
    <row r="312" spans="1:55" ht="28" customHeight="1">
      <c r="A312" s="195">
        <v>308</v>
      </c>
      <c r="B312" s="315">
        <v>45030</v>
      </c>
      <c r="C312" s="222" t="s">
        <v>198</v>
      </c>
      <c r="D312" s="222" t="s">
        <v>199</v>
      </c>
      <c r="E312" s="222" t="s">
        <v>200</v>
      </c>
      <c r="F312" s="371" t="s">
        <v>837</v>
      </c>
      <c r="G312" s="309" t="s">
        <v>1026</v>
      </c>
      <c r="H312" s="337" t="s">
        <v>129</v>
      </c>
      <c r="I312" s="311" t="s">
        <v>1027</v>
      </c>
      <c r="J312" s="312" t="s">
        <v>1028</v>
      </c>
      <c r="K312" s="273"/>
      <c r="L312" s="273" t="s">
        <v>159</v>
      </c>
      <c r="M312" s="311" t="s">
        <v>156</v>
      </c>
      <c r="N312" s="311"/>
      <c r="O312" s="311" t="s">
        <v>535</v>
      </c>
      <c r="P312" s="329"/>
      <c r="Q312" s="330"/>
      <c r="R312" s="154">
        <v>0</v>
      </c>
      <c r="S312" s="155">
        <f>0</f>
        <v>0</v>
      </c>
      <c r="T312" s="263">
        <v>2</v>
      </c>
      <c r="U312" s="158"/>
      <c r="V312" s="158">
        <f>0</f>
        <v>0</v>
      </c>
      <c r="W312" s="155">
        <f>0</f>
        <v>0</v>
      </c>
      <c r="X312" s="155">
        <f>0</f>
        <v>0</v>
      </c>
      <c r="Y312" s="155">
        <f>0</f>
        <v>0</v>
      </c>
      <c r="Z312" s="155">
        <f>0</f>
        <v>0</v>
      </c>
      <c r="AA312" s="155">
        <f>0</f>
        <v>0</v>
      </c>
      <c r="AB312" s="155">
        <f>0</f>
        <v>0</v>
      </c>
      <c r="AC312" s="155">
        <f>0</f>
        <v>0</v>
      </c>
      <c r="AD312" s="155">
        <f>0</f>
        <v>0</v>
      </c>
      <c r="AE312" s="155">
        <f>0</f>
        <v>0</v>
      </c>
      <c r="AF312" s="155">
        <f>0</f>
        <v>0</v>
      </c>
      <c r="AG312" s="155">
        <f>0</f>
        <v>0</v>
      </c>
      <c r="AH312" s="155">
        <f>0</f>
        <v>0</v>
      </c>
      <c r="AI312" s="155">
        <f>0</f>
        <v>0</v>
      </c>
      <c r="AJ312" s="155">
        <f>0</f>
        <v>0</v>
      </c>
      <c r="AK312" s="155">
        <f>0</f>
        <v>0</v>
      </c>
      <c r="AL312" s="219">
        <f t="shared" si="15"/>
        <v>2</v>
      </c>
      <c r="AM312" s="103"/>
      <c r="AN312" s="326">
        <f t="shared" si="16"/>
        <v>2</v>
      </c>
      <c r="AO312" s="290">
        <v>45034</v>
      </c>
      <c r="AP312" s="291" t="s">
        <v>192</v>
      </c>
      <c r="AQ312" s="292" t="s">
        <v>1520</v>
      </c>
      <c r="AR312" s="293" t="s">
        <v>197</v>
      </c>
      <c r="AS312" s="321"/>
      <c r="AT312" s="318"/>
      <c r="AU312" s="318">
        <v>2</v>
      </c>
      <c r="AV312" s="317">
        <f t="shared" si="17"/>
        <v>0</v>
      </c>
      <c r="AW312" s="318" t="s">
        <v>195</v>
      </c>
      <c r="AX312" s="319"/>
      <c r="AY312" s="319"/>
      <c r="AZ312" s="320"/>
      <c r="BA312" s="174"/>
      <c r="BB312" s="174"/>
      <c r="BC312" s="174"/>
    </row>
    <row r="313" spans="1:55" ht="28" customHeight="1">
      <c r="A313" s="195">
        <v>309</v>
      </c>
      <c r="B313" s="315">
        <v>45030</v>
      </c>
      <c r="C313" s="222" t="s">
        <v>198</v>
      </c>
      <c r="D313" s="222" t="s">
        <v>199</v>
      </c>
      <c r="E313" s="222" t="s">
        <v>200</v>
      </c>
      <c r="F313" s="371" t="s">
        <v>837</v>
      </c>
      <c r="G313" s="309" t="s">
        <v>1029</v>
      </c>
      <c r="H313" s="337" t="s">
        <v>129</v>
      </c>
      <c r="I313" s="311" t="s">
        <v>1030</v>
      </c>
      <c r="J313" s="312" t="s">
        <v>1031</v>
      </c>
      <c r="K313" s="273"/>
      <c r="L313" s="273" t="s">
        <v>159</v>
      </c>
      <c r="M313" s="311" t="s">
        <v>156</v>
      </c>
      <c r="N313" s="311"/>
      <c r="O313" s="311" t="s">
        <v>535</v>
      </c>
      <c r="P313" s="329"/>
      <c r="Q313" s="330"/>
      <c r="R313" s="154">
        <v>0</v>
      </c>
      <c r="S313" s="155">
        <f>0</f>
        <v>0</v>
      </c>
      <c r="T313" s="263">
        <v>2</v>
      </c>
      <c r="U313" s="158"/>
      <c r="V313" s="158">
        <f>0</f>
        <v>0</v>
      </c>
      <c r="W313" s="155">
        <f>0</f>
        <v>0</v>
      </c>
      <c r="X313" s="155">
        <f>0</f>
        <v>0</v>
      </c>
      <c r="Y313" s="155">
        <f>0</f>
        <v>0</v>
      </c>
      <c r="Z313" s="155">
        <f>0</f>
        <v>0</v>
      </c>
      <c r="AA313" s="155">
        <f>0</f>
        <v>0</v>
      </c>
      <c r="AB313" s="155">
        <f>0</f>
        <v>0</v>
      </c>
      <c r="AC313" s="155">
        <f>0</f>
        <v>0</v>
      </c>
      <c r="AD313" s="155">
        <f>0</f>
        <v>0</v>
      </c>
      <c r="AE313" s="155">
        <f>0</f>
        <v>0</v>
      </c>
      <c r="AF313" s="155">
        <f>0</f>
        <v>0</v>
      </c>
      <c r="AG313" s="155">
        <f>0</f>
        <v>0</v>
      </c>
      <c r="AH313" s="155">
        <f>0</f>
        <v>0</v>
      </c>
      <c r="AI313" s="155">
        <f>0</f>
        <v>0</v>
      </c>
      <c r="AJ313" s="155">
        <f>0</f>
        <v>0</v>
      </c>
      <c r="AK313" s="155">
        <f>0</f>
        <v>0</v>
      </c>
      <c r="AL313" s="219">
        <f t="shared" si="15"/>
        <v>2</v>
      </c>
      <c r="AM313" s="103"/>
      <c r="AN313" s="326">
        <f t="shared" si="16"/>
        <v>2</v>
      </c>
      <c r="AO313" s="290">
        <v>45034</v>
      </c>
      <c r="AP313" s="291" t="s">
        <v>192</v>
      </c>
      <c r="AQ313" s="292" t="s">
        <v>1520</v>
      </c>
      <c r="AR313" s="293" t="s">
        <v>197</v>
      </c>
      <c r="AS313" s="321"/>
      <c r="AT313" s="318"/>
      <c r="AU313" s="318">
        <v>2</v>
      </c>
      <c r="AV313" s="317">
        <f t="shared" si="17"/>
        <v>0</v>
      </c>
      <c r="AW313" s="318" t="s">
        <v>195</v>
      </c>
      <c r="AX313" s="319"/>
      <c r="AY313" s="319"/>
      <c r="AZ313" s="320"/>
      <c r="BA313" s="174"/>
      <c r="BB313" s="174"/>
      <c r="BC313" s="174"/>
    </row>
    <row r="314" spans="1:55" ht="28" customHeight="1">
      <c r="A314" s="195">
        <v>310</v>
      </c>
      <c r="B314" s="315">
        <v>45030</v>
      </c>
      <c r="C314" s="222" t="s">
        <v>198</v>
      </c>
      <c r="D314" s="222" t="s">
        <v>199</v>
      </c>
      <c r="E314" s="222" t="s">
        <v>200</v>
      </c>
      <c r="F314" s="371" t="s">
        <v>837</v>
      </c>
      <c r="G314" s="309" t="s">
        <v>1032</v>
      </c>
      <c r="H314" s="337" t="s">
        <v>129</v>
      </c>
      <c r="I314" s="311" t="s">
        <v>1033</v>
      </c>
      <c r="J314" s="312" t="s">
        <v>1034</v>
      </c>
      <c r="K314" s="273"/>
      <c r="L314" s="273" t="s">
        <v>159</v>
      </c>
      <c r="M314" s="311" t="s">
        <v>156</v>
      </c>
      <c r="N314" s="311"/>
      <c r="O314" s="311" t="s">
        <v>535</v>
      </c>
      <c r="P314" s="329"/>
      <c r="Q314" s="330"/>
      <c r="R314" s="154">
        <v>0</v>
      </c>
      <c r="S314" s="155">
        <f>0</f>
        <v>0</v>
      </c>
      <c r="T314" s="263">
        <v>1</v>
      </c>
      <c r="U314" s="158"/>
      <c r="V314" s="158">
        <f>0</f>
        <v>0</v>
      </c>
      <c r="W314" s="155">
        <f>0</f>
        <v>0</v>
      </c>
      <c r="X314" s="155">
        <f>0</f>
        <v>0</v>
      </c>
      <c r="Y314" s="155">
        <f>0</f>
        <v>0</v>
      </c>
      <c r="Z314" s="155">
        <f>0</f>
        <v>0</v>
      </c>
      <c r="AA314" s="155">
        <f>0</f>
        <v>0</v>
      </c>
      <c r="AB314" s="155">
        <f>0</f>
        <v>0</v>
      </c>
      <c r="AC314" s="155">
        <f>0</f>
        <v>0</v>
      </c>
      <c r="AD314" s="155">
        <f>0</f>
        <v>0</v>
      </c>
      <c r="AE314" s="155">
        <f>0</f>
        <v>0</v>
      </c>
      <c r="AF314" s="155">
        <f>0</f>
        <v>0</v>
      </c>
      <c r="AG314" s="155">
        <f>0</f>
        <v>0</v>
      </c>
      <c r="AH314" s="155">
        <f>0</f>
        <v>0</v>
      </c>
      <c r="AI314" s="155">
        <f>0</f>
        <v>0</v>
      </c>
      <c r="AJ314" s="155">
        <f>0</f>
        <v>0</v>
      </c>
      <c r="AK314" s="155">
        <f>0</f>
        <v>0</v>
      </c>
      <c r="AL314" s="219">
        <f t="shared" si="15"/>
        <v>1</v>
      </c>
      <c r="AM314" s="103"/>
      <c r="AN314" s="326">
        <f t="shared" si="16"/>
        <v>1</v>
      </c>
      <c r="AO314" s="290">
        <v>45034</v>
      </c>
      <c r="AP314" s="291" t="s">
        <v>192</v>
      </c>
      <c r="AQ314" s="292" t="s">
        <v>1520</v>
      </c>
      <c r="AR314" s="293" t="s">
        <v>197</v>
      </c>
      <c r="AS314" s="321"/>
      <c r="AT314" s="318"/>
      <c r="AU314" s="318">
        <v>1</v>
      </c>
      <c r="AV314" s="317">
        <f t="shared" si="17"/>
        <v>0</v>
      </c>
      <c r="AW314" s="318" t="s">
        <v>195</v>
      </c>
      <c r="AX314" s="319"/>
      <c r="AY314" s="319"/>
      <c r="AZ314" s="320"/>
      <c r="BA314" s="174"/>
      <c r="BB314" s="174"/>
      <c r="BC314" s="174"/>
    </row>
    <row r="315" spans="1:55" ht="28" customHeight="1">
      <c r="A315" s="195">
        <v>311</v>
      </c>
      <c r="B315" s="315">
        <v>45030</v>
      </c>
      <c r="C315" s="222" t="s">
        <v>198</v>
      </c>
      <c r="D315" s="222" t="s">
        <v>199</v>
      </c>
      <c r="E315" s="222" t="s">
        <v>200</v>
      </c>
      <c r="F315" s="371" t="s">
        <v>837</v>
      </c>
      <c r="G315" s="309" t="s">
        <v>1035</v>
      </c>
      <c r="H315" s="337" t="s">
        <v>129</v>
      </c>
      <c r="I315" s="311" t="s">
        <v>271</v>
      </c>
      <c r="J315" s="312" t="s">
        <v>1036</v>
      </c>
      <c r="K315" s="273"/>
      <c r="L315" s="273" t="s">
        <v>159</v>
      </c>
      <c r="M315" s="311" t="s">
        <v>156</v>
      </c>
      <c r="N315" s="311"/>
      <c r="O315" s="311" t="s">
        <v>535</v>
      </c>
      <c r="P315" s="329"/>
      <c r="Q315" s="330"/>
      <c r="R315" s="154">
        <v>0</v>
      </c>
      <c r="S315" s="155">
        <f>0</f>
        <v>0</v>
      </c>
      <c r="T315" s="263">
        <v>1</v>
      </c>
      <c r="U315" s="158"/>
      <c r="V315" s="158">
        <f>0</f>
        <v>0</v>
      </c>
      <c r="W315" s="155">
        <f>0</f>
        <v>0</v>
      </c>
      <c r="X315" s="155">
        <f>0</f>
        <v>0</v>
      </c>
      <c r="Y315" s="155">
        <f>0</f>
        <v>0</v>
      </c>
      <c r="Z315" s="155">
        <f>0</f>
        <v>0</v>
      </c>
      <c r="AA315" s="155">
        <f>0</f>
        <v>0</v>
      </c>
      <c r="AB315" s="155">
        <f>0</f>
        <v>0</v>
      </c>
      <c r="AC315" s="155">
        <f>0</f>
        <v>0</v>
      </c>
      <c r="AD315" s="155">
        <f>0</f>
        <v>0</v>
      </c>
      <c r="AE315" s="155">
        <f>0</f>
        <v>0</v>
      </c>
      <c r="AF315" s="155">
        <f>0</f>
        <v>0</v>
      </c>
      <c r="AG315" s="155">
        <f>0</f>
        <v>0</v>
      </c>
      <c r="AH315" s="155">
        <f>0</f>
        <v>0</v>
      </c>
      <c r="AI315" s="155">
        <f>0</f>
        <v>0</v>
      </c>
      <c r="AJ315" s="155">
        <f>0</f>
        <v>0</v>
      </c>
      <c r="AK315" s="155">
        <f>0</f>
        <v>0</v>
      </c>
      <c r="AL315" s="219">
        <f t="shared" si="15"/>
        <v>1</v>
      </c>
      <c r="AM315" s="103"/>
      <c r="AN315" s="326">
        <f t="shared" si="16"/>
        <v>1</v>
      </c>
      <c r="AO315" s="290">
        <v>45034</v>
      </c>
      <c r="AP315" s="291" t="s">
        <v>192</v>
      </c>
      <c r="AQ315" s="292" t="s">
        <v>1520</v>
      </c>
      <c r="AR315" s="293" t="s">
        <v>197</v>
      </c>
      <c r="AS315" s="321"/>
      <c r="AT315" s="318"/>
      <c r="AU315" s="318">
        <v>1</v>
      </c>
      <c r="AV315" s="317">
        <f t="shared" si="17"/>
        <v>0</v>
      </c>
      <c r="AW315" s="318" t="s">
        <v>195</v>
      </c>
      <c r="AX315" s="319"/>
      <c r="AY315" s="319"/>
      <c r="AZ315" s="320"/>
      <c r="BA315" s="174"/>
      <c r="BB315" s="174"/>
      <c r="BC315" s="174"/>
    </row>
    <row r="316" spans="1:55" ht="28" customHeight="1">
      <c r="A316" s="195">
        <v>312</v>
      </c>
      <c r="B316" s="315">
        <v>45030</v>
      </c>
      <c r="C316" s="365"/>
      <c r="D316" s="365"/>
      <c r="E316" s="365"/>
      <c r="F316" s="371" t="s">
        <v>837</v>
      </c>
      <c r="G316" s="309" t="s">
        <v>1037</v>
      </c>
      <c r="H316" s="337" t="s">
        <v>129</v>
      </c>
      <c r="I316" s="311" t="s">
        <v>271</v>
      </c>
      <c r="J316" s="312" t="s">
        <v>1038</v>
      </c>
      <c r="K316" s="273" t="s">
        <v>97</v>
      </c>
      <c r="L316" s="273" t="s">
        <v>159</v>
      </c>
      <c r="M316" s="311" t="s">
        <v>156</v>
      </c>
      <c r="N316" s="311" t="s">
        <v>97</v>
      </c>
      <c r="O316" s="311" t="s">
        <v>535</v>
      </c>
      <c r="P316" s="329"/>
      <c r="Q316" s="330"/>
      <c r="R316" s="154">
        <v>0</v>
      </c>
      <c r="S316" s="155">
        <f>0</f>
        <v>0</v>
      </c>
      <c r="T316" s="263">
        <v>1</v>
      </c>
      <c r="U316" s="158"/>
      <c r="V316" s="158">
        <f>0</f>
        <v>0</v>
      </c>
      <c r="W316" s="155">
        <f>0</f>
        <v>0</v>
      </c>
      <c r="X316" s="155">
        <f>0</f>
        <v>0</v>
      </c>
      <c r="Y316" s="155">
        <f>0</f>
        <v>0</v>
      </c>
      <c r="Z316" s="155">
        <f>0</f>
        <v>0</v>
      </c>
      <c r="AA316" s="155">
        <f>0</f>
        <v>0</v>
      </c>
      <c r="AB316" s="155">
        <f>0</f>
        <v>0</v>
      </c>
      <c r="AC316" s="155">
        <f>0</f>
        <v>0</v>
      </c>
      <c r="AD316" s="155">
        <f>0</f>
        <v>0</v>
      </c>
      <c r="AE316" s="155">
        <f>0</f>
        <v>0</v>
      </c>
      <c r="AF316" s="155">
        <f>0</f>
        <v>0</v>
      </c>
      <c r="AG316" s="155">
        <f>0</f>
        <v>0</v>
      </c>
      <c r="AH316" s="155">
        <f>0</f>
        <v>0</v>
      </c>
      <c r="AI316" s="155">
        <f>0</f>
        <v>0</v>
      </c>
      <c r="AJ316" s="155">
        <f>0</f>
        <v>0</v>
      </c>
      <c r="AK316" s="155">
        <f>0</f>
        <v>0</v>
      </c>
      <c r="AL316" s="219">
        <f t="shared" si="15"/>
        <v>1</v>
      </c>
      <c r="AM316" s="103"/>
      <c r="AN316" s="326">
        <f t="shared" si="16"/>
        <v>1</v>
      </c>
      <c r="AO316" s="290">
        <v>45034</v>
      </c>
      <c r="AP316" s="291" t="s">
        <v>192</v>
      </c>
      <c r="AQ316" s="292" t="s">
        <v>1520</v>
      </c>
      <c r="AR316" s="293" t="s">
        <v>197</v>
      </c>
      <c r="AS316" s="321"/>
      <c r="AT316" s="318"/>
      <c r="AU316" s="318">
        <v>1</v>
      </c>
      <c r="AV316" s="317">
        <f t="shared" si="17"/>
        <v>0</v>
      </c>
      <c r="AW316" s="318" t="s">
        <v>195</v>
      </c>
      <c r="AX316" s="319"/>
      <c r="AY316" s="319"/>
      <c r="AZ316" s="320"/>
      <c r="BA316" s="174"/>
      <c r="BB316" s="174"/>
      <c r="BC316" s="174"/>
    </row>
    <row r="317" spans="1:55" ht="28" customHeight="1">
      <c r="A317" s="195">
        <v>313</v>
      </c>
      <c r="B317" s="315">
        <v>45030</v>
      </c>
      <c r="C317" s="222" t="s">
        <v>198</v>
      </c>
      <c r="D317" s="222" t="s">
        <v>199</v>
      </c>
      <c r="E317" s="222" t="s">
        <v>200</v>
      </c>
      <c r="F317" s="371" t="s">
        <v>837</v>
      </c>
      <c r="G317" s="309" t="s">
        <v>1039</v>
      </c>
      <c r="H317" s="337" t="s">
        <v>129</v>
      </c>
      <c r="I317" s="311" t="s">
        <v>1040</v>
      </c>
      <c r="J317" s="312" t="s">
        <v>1041</v>
      </c>
      <c r="K317" s="273" t="s">
        <v>97</v>
      </c>
      <c r="L317" s="273" t="s">
        <v>159</v>
      </c>
      <c r="M317" s="311" t="s">
        <v>156</v>
      </c>
      <c r="N317" s="311" t="s">
        <v>97</v>
      </c>
      <c r="O317" s="311" t="s">
        <v>535</v>
      </c>
      <c r="P317" s="329"/>
      <c r="Q317" s="330"/>
      <c r="R317" s="154">
        <v>0</v>
      </c>
      <c r="S317" s="155">
        <f>0</f>
        <v>0</v>
      </c>
      <c r="T317" s="263">
        <v>1</v>
      </c>
      <c r="U317" s="158"/>
      <c r="V317" s="158">
        <f>0</f>
        <v>0</v>
      </c>
      <c r="W317" s="155">
        <f>0</f>
        <v>0</v>
      </c>
      <c r="X317" s="155">
        <f>0</f>
        <v>0</v>
      </c>
      <c r="Y317" s="155">
        <f>0</f>
        <v>0</v>
      </c>
      <c r="Z317" s="155">
        <f>0</f>
        <v>0</v>
      </c>
      <c r="AA317" s="155">
        <f>0</f>
        <v>0</v>
      </c>
      <c r="AB317" s="155">
        <f>0</f>
        <v>0</v>
      </c>
      <c r="AC317" s="155">
        <f>0</f>
        <v>0</v>
      </c>
      <c r="AD317" s="155">
        <f>0</f>
        <v>0</v>
      </c>
      <c r="AE317" s="155">
        <f>0</f>
        <v>0</v>
      </c>
      <c r="AF317" s="155">
        <f>0</f>
        <v>0</v>
      </c>
      <c r="AG317" s="155">
        <f>0</f>
        <v>0</v>
      </c>
      <c r="AH317" s="155">
        <f>0</f>
        <v>0</v>
      </c>
      <c r="AI317" s="155">
        <f>0</f>
        <v>0</v>
      </c>
      <c r="AJ317" s="155">
        <f>0</f>
        <v>0</v>
      </c>
      <c r="AK317" s="155">
        <f>0</f>
        <v>0</v>
      </c>
      <c r="AL317" s="219">
        <f t="shared" si="15"/>
        <v>1</v>
      </c>
      <c r="AM317" s="103"/>
      <c r="AN317" s="326">
        <f t="shared" si="16"/>
        <v>1</v>
      </c>
      <c r="AO317" s="290">
        <v>45034</v>
      </c>
      <c r="AP317" s="291" t="s">
        <v>192</v>
      </c>
      <c r="AQ317" s="292" t="s">
        <v>1520</v>
      </c>
      <c r="AR317" s="293" t="s">
        <v>197</v>
      </c>
      <c r="AS317" s="321"/>
      <c r="AT317" s="318"/>
      <c r="AU317" s="318">
        <v>1</v>
      </c>
      <c r="AV317" s="317">
        <f t="shared" si="17"/>
        <v>0</v>
      </c>
      <c r="AW317" s="318" t="s">
        <v>195</v>
      </c>
      <c r="AX317" s="319"/>
      <c r="AY317" s="319"/>
      <c r="AZ317" s="320"/>
      <c r="BA317" s="174"/>
      <c r="BB317" s="174"/>
      <c r="BC317" s="174"/>
    </row>
    <row r="318" spans="1:55" ht="28" customHeight="1">
      <c r="A318" s="195">
        <v>314</v>
      </c>
      <c r="B318" s="315">
        <v>45030</v>
      </c>
      <c r="C318" s="222" t="s">
        <v>198</v>
      </c>
      <c r="D318" s="222" t="s">
        <v>199</v>
      </c>
      <c r="E318" s="222" t="s">
        <v>200</v>
      </c>
      <c r="F318" s="371" t="s">
        <v>837</v>
      </c>
      <c r="G318" s="309" t="s">
        <v>1042</v>
      </c>
      <c r="H318" s="337" t="s">
        <v>129</v>
      </c>
      <c r="I318" s="311" t="s">
        <v>1043</v>
      </c>
      <c r="J318" s="312" t="s">
        <v>1044</v>
      </c>
      <c r="K318" s="273" t="s">
        <v>97</v>
      </c>
      <c r="L318" s="273" t="s">
        <v>159</v>
      </c>
      <c r="M318" s="311" t="s">
        <v>156</v>
      </c>
      <c r="N318" s="311" t="s">
        <v>97</v>
      </c>
      <c r="O318" s="311" t="s">
        <v>535</v>
      </c>
      <c r="P318" s="329"/>
      <c r="Q318" s="330"/>
      <c r="R318" s="154">
        <v>0</v>
      </c>
      <c r="S318" s="155">
        <f>0</f>
        <v>0</v>
      </c>
      <c r="T318" s="263">
        <v>1</v>
      </c>
      <c r="U318" s="156"/>
      <c r="V318" s="156">
        <f>0</f>
        <v>0</v>
      </c>
      <c r="W318" s="155">
        <f>0</f>
        <v>0</v>
      </c>
      <c r="X318" s="155">
        <f>0</f>
        <v>0</v>
      </c>
      <c r="Y318" s="155">
        <f>0</f>
        <v>0</v>
      </c>
      <c r="Z318" s="155">
        <f>0</f>
        <v>0</v>
      </c>
      <c r="AA318" s="155">
        <f>0</f>
        <v>0</v>
      </c>
      <c r="AB318" s="155">
        <f>0</f>
        <v>0</v>
      </c>
      <c r="AC318" s="155">
        <f>0</f>
        <v>0</v>
      </c>
      <c r="AD318" s="155">
        <f>0</f>
        <v>0</v>
      </c>
      <c r="AE318" s="155">
        <f>0</f>
        <v>0</v>
      </c>
      <c r="AF318" s="155">
        <f>0</f>
        <v>0</v>
      </c>
      <c r="AG318" s="155">
        <f>0</f>
        <v>0</v>
      </c>
      <c r="AH318" s="155">
        <f>0</f>
        <v>0</v>
      </c>
      <c r="AI318" s="155">
        <f>0</f>
        <v>0</v>
      </c>
      <c r="AJ318" s="155">
        <f>0</f>
        <v>0</v>
      </c>
      <c r="AK318" s="155">
        <f>0</f>
        <v>0</v>
      </c>
      <c r="AL318" s="219">
        <f t="shared" si="15"/>
        <v>1</v>
      </c>
      <c r="AM318" s="103"/>
      <c r="AN318" s="326">
        <f t="shared" si="16"/>
        <v>1</v>
      </c>
      <c r="AO318" s="290">
        <v>45034</v>
      </c>
      <c r="AP318" s="291" t="s">
        <v>192</v>
      </c>
      <c r="AQ318" s="292" t="s">
        <v>1520</v>
      </c>
      <c r="AR318" s="293" t="s">
        <v>197</v>
      </c>
      <c r="AS318" s="321"/>
      <c r="AT318" s="318"/>
      <c r="AU318" s="318">
        <v>1</v>
      </c>
      <c r="AV318" s="317">
        <f t="shared" si="17"/>
        <v>0</v>
      </c>
      <c r="AW318" s="318" t="s">
        <v>195</v>
      </c>
      <c r="AX318" s="319"/>
      <c r="AY318" s="319"/>
      <c r="AZ318" s="341"/>
      <c r="BA318" s="174"/>
      <c r="BB318" s="174"/>
      <c r="BC318" s="174"/>
    </row>
    <row r="319" spans="1:55" ht="28" customHeight="1">
      <c r="A319" s="195">
        <v>315</v>
      </c>
      <c r="B319" s="315">
        <v>45030</v>
      </c>
      <c r="C319" s="222" t="s">
        <v>198</v>
      </c>
      <c r="D319" s="222" t="s">
        <v>199</v>
      </c>
      <c r="E319" s="222" t="s">
        <v>200</v>
      </c>
      <c r="F319" s="371" t="s">
        <v>837</v>
      </c>
      <c r="G319" s="309" t="s">
        <v>1045</v>
      </c>
      <c r="H319" s="337" t="s">
        <v>129</v>
      </c>
      <c r="I319" s="311" t="s">
        <v>1046</v>
      </c>
      <c r="J319" s="312" t="s">
        <v>1047</v>
      </c>
      <c r="K319" s="273" t="s">
        <v>97</v>
      </c>
      <c r="L319" s="273" t="s">
        <v>159</v>
      </c>
      <c r="M319" s="311" t="s">
        <v>156</v>
      </c>
      <c r="N319" s="311" t="s">
        <v>97</v>
      </c>
      <c r="O319" s="311" t="s">
        <v>535</v>
      </c>
      <c r="P319" s="329"/>
      <c r="Q319" s="330"/>
      <c r="R319" s="154">
        <v>0</v>
      </c>
      <c r="S319" s="155">
        <f>0</f>
        <v>0</v>
      </c>
      <c r="T319" s="263">
        <v>1</v>
      </c>
      <c r="U319" s="158"/>
      <c r="V319" s="158">
        <f>0</f>
        <v>0</v>
      </c>
      <c r="W319" s="155">
        <f>0</f>
        <v>0</v>
      </c>
      <c r="X319" s="155">
        <f>0</f>
        <v>0</v>
      </c>
      <c r="Y319" s="155">
        <f>0</f>
        <v>0</v>
      </c>
      <c r="Z319" s="155">
        <f>0</f>
        <v>0</v>
      </c>
      <c r="AA319" s="155">
        <f>0</f>
        <v>0</v>
      </c>
      <c r="AB319" s="155">
        <f>0</f>
        <v>0</v>
      </c>
      <c r="AC319" s="155">
        <f>0</f>
        <v>0</v>
      </c>
      <c r="AD319" s="155">
        <f>0</f>
        <v>0</v>
      </c>
      <c r="AE319" s="155">
        <f>0</f>
        <v>0</v>
      </c>
      <c r="AF319" s="155">
        <f>0</f>
        <v>0</v>
      </c>
      <c r="AG319" s="155">
        <f>0</f>
        <v>0</v>
      </c>
      <c r="AH319" s="155">
        <f>0</f>
        <v>0</v>
      </c>
      <c r="AI319" s="155">
        <f>0</f>
        <v>0</v>
      </c>
      <c r="AJ319" s="155">
        <f>0</f>
        <v>0</v>
      </c>
      <c r="AK319" s="155">
        <f>0</f>
        <v>0</v>
      </c>
      <c r="AL319" s="219">
        <f t="shared" si="15"/>
        <v>1</v>
      </c>
      <c r="AM319" s="103"/>
      <c r="AN319" s="326">
        <f t="shared" si="16"/>
        <v>1</v>
      </c>
      <c r="AO319" s="290">
        <v>45034</v>
      </c>
      <c r="AP319" s="291" t="s">
        <v>192</v>
      </c>
      <c r="AQ319" s="292" t="s">
        <v>1520</v>
      </c>
      <c r="AR319" s="293" t="s">
        <v>197</v>
      </c>
      <c r="AS319" s="321"/>
      <c r="AT319" s="318"/>
      <c r="AU319" s="318">
        <v>1</v>
      </c>
      <c r="AV319" s="317">
        <f t="shared" si="17"/>
        <v>0</v>
      </c>
      <c r="AW319" s="318" t="s">
        <v>195</v>
      </c>
      <c r="AX319" s="319"/>
      <c r="AY319" s="319"/>
      <c r="AZ319" s="320"/>
      <c r="BA319" s="174"/>
      <c r="BB319" s="174"/>
      <c r="BC319" s="174"/>
    </row>
    <row r="320" spans="1:55" ht="28" customHeight="1">
      <c r="A320" s="195">
        <v>316</v>
      </c>
      <c r="B320" s="315">
        <v>45030</v>
      </c>
      <c r="C320" s="222" t="s">
        <v>198</v>
      </c>
      <c r="D320" s="222" t="s">
        <v>199</v>
      </c>
      <c r="E320" s="222" t="s">
        <v>200</v>
      </c>
      <c r="F320" s="371" t="s">
        <v>837</v>
      </c>
      <c r="G320" s="309" t="s">
        <v>1048</v>
      </c>
      <c r="H320" s="337" t="s">
        <v>129</v>
      </c>
      <c r="I320" s="311" t="s">
        <v>1049</v>
      </c>
      <c r="J320" s="312" t="s">
        <v>1050</v>
      </c>
      <c r="K320" s="273" t="s">
        <v>97</v>
      </c>
      <c r="L320" s="273" t="s">
        <v>165</v>
      </c>
      <c r="M320" s="311" t="s">
        <v>147</v>
      </c>
      <c r="N320" s="311" t="s">
        <v>97</v>
      </c>
      <c r="O320" s="311" t="s">
        <v>224</v>
      </c>
      <c r="P320" s="329"/>
      <c r="Q320" s="330"/>
      <c r="R320" s="154">
        <v>0</v>
      </c>
      <c r="S320" s="155">
        <f>0</f>
        <v>0</v>
      </c>
      <c r="T320" s="263">
        <v>1</v>
      </c>
      <c r="U320" s="156"/>
      <c r="V320" s="156">
        <f>0</f>
        <v>0</v>
      </c>
      <c r="W320" s="155">
        <f>0</f>
        <v>0</v>
      </c>
      <c r="X320" s="155">
        <f>0</f>
        <v>0</v>
      </c>
      <c r="Y320" s="155">
        <f>0</f>
        <v>0</v>
      </c>
      <c r="Z320" s="155">
        <f>0</f>
        <v>0</v>
      </c>
      <c r="AA320" s="155">
        <f>0</f>
        <v>0</v>
      </c>
      <c r="AB320" s="155">
        <f>0</f>
        <v>0</v>
      </c>
      <c r="AC320" s="155">
        <f>0</f>
        <v>0</v>
      </c>
      <c r="AD320" s="155">
        <f>0</f>
        <v>0</v>
      </c>
      <c r="AE320" s="155">
        <f>0</f>
        <v>0</v>
      </c>
      <c r="AF320" s="155">
        <f>0</f>
        <v>0</v>
      </c>
      <c r="AG320" s="155">
        <f>0</f>
        <v>0</v>
      </c>
      <c r="AH320" s="155">
        <f>0</f>
        <v>0</v>
      </c>
      <c r="AI320" s="155">
        <f>0</f>
        <v>0</v>
      </c>
      <c r="AJ320" s="155">
        <f>0</f>
        <v>0</v>
      </c>
      <c r="AK320" s="155">
        <f>0</f>
        <v>0</v>
      </c>
      <c r="AL320" s="219">
        <f t="shared" si="15"/>
        <v>1</v>
      </c>
      <c r="AM320" s="103"/>
      <c r="AN320" s="326">
        <f t="shared" si="16"/>
        <v>1</v>
      </c>
      <c r="AO320" s="348">
        <v>45034</v>
      </c>
      <c r="AP320" s="296" t="s">
        <v>192</v>
      </c>
      <c r="AQ320" s="292" t="s">
        <v>1522</v>
      </c>
      <c r="AR320" s="350" t="s">
        <v>194</v>
      </c>
      <c r="AS320" s="301">
        <v>45078</v>
      </c>
      <c r="AT320" s="318"/>
      <c r="AU320" s="318">
        <v>1</v>
      </c>
      <c r="AV320" s="317">
        <f t="shared" si="17"/>
        <v>0</v>
      </c>
      <c r="AW320" s="318" t="s">
        <v>195</v>
      </c>
      <c r="AX320" s="319"/>
      <c r="AY320" s="319"/>
      <c r="AZ320" s="341"/>
      <c r="BA320" s="174"/>
      <c r="BB320" s="174"/>
      <c r="BC320" s="174"/>
    </row>
    <row r="321" spans="1:55" ht="28" customHeight="1">
      <c r="A321" s="195">
        <v>317</v>
      </c>
      <c r="B321" s="315">
        <v>45030</v>
      </c>
      <c r="C321" s="359"/>
      <c r="D321" s="359"/>
      <c r="E321" s="359"/>
      <c r="F321" s="371" t="s">
        <v>837</v>
      </c>
      <c r="G321" s="309" t="s">
        <v>1051</v>
      </c>
      <c r="H321" s="337" t="s">
        <v>1052</v>
      </c>
      <c r="I321" s="311" t="s">
        <v>1053</v>
      </c>
      <c r="J321" s="312" t="s">
        <v>1054</v>
      </c>
      <c r="K321" s="273" t="s">
        <v>1051</v>
      </c>
      <c r="L321" s="273" t="s">
        <v>1055</v>
      </c>
      <c r="M321" s="311" t="s">
        <v>194</v>
      </c>
      <c r="N321" s="311" t="s">
        <v>1082</v>
      </c>
      <c r="O321" s="311" t="s">
        <v>169</v>
      </c>
      <c r="P321" s="329"/>
      <c r="Q321" s="330"/>
      <c r="R321" s="154">
        <v>0</v>
      </c>
      <c r="S321" s="155">
        <f>0</f>
        <v>0</v>
      </c>
      <c r="T321" s="263">
        <v>1</v>
      </c>
      <c r="U321" s="158"/>
      <c r="V321" s="158">
        <f>0</f>
        <v>0</v>
      </c>
      <c r="W321" s="155">
        <f>0</f>
        <v>0</v>
      </c>
      <c r="X321" s="155">
        <f>0</f>
        <v>0</v>
      </c>
      <c r="Y321" s="155">
        <f>0</f>
        <v>0</v>
      </c>
      <c r="Z321" s="155">
        <f>0</f>
        <v>0</v>
      </c>
      <c r="AA321" s="155">
        <f>0</f>
        <v>0</v>
      </c>
      <c r="AB321" s="155">
        <f>0</f>
        <v>0</v>
      </c>
      <c r="AC321" s="155">
        <f>0</f>
        <v>0</v>
      </c>
      <c r="AD321" s="155">
        <f>0</f>
        <v>0</v>
      </c>
      <c r="AE321" s="155">
        <f>0</f>
        <v>0</v>
      </c>
      <c r="AF321" s="155">
        <f>0</f>
        <v>0</v>
      </c>
      <c r="AG321" s="155">
        <f>0</f>
        <v>0</v>
      </c>
      <c r="AH321" s="155">
        <f>0</f>
        <v>0</v>
      </c>
      <c r="AI321" s="155">
        <f>0</f>
        <v>0</v>
      </c>
      <c r="AJ321" s="155">
        <f>0</f>
        <v>0</v>
      </c>
      <c r="AK321" s="155">
        <f>0</f>
        <v>0</v>
      </c>
      <c r="AL321" s="219">
        <f t="shared" si="15"/>
        <v>1</v>
      </c>
      <c r="AM321" s="103"/>
      <c r="AN321" s="326">
        <f t="shared" si="16"/>
        <v>1</v>
      </c>
      <c r="AO321" s="348">
        <v>45034</v>
      </c>
      <c r="AP321" s="296" t="s">
        <v>192</v>
      </c>
      <c r="AQ321" s="292" t="s">
        <v>1522</v>
      </c>
      <c r="AR321" s="350" t="s">
        <v>194</v>
      </c>
      <c r="AS321" s="301">
        <v>45078</v>
      </c>
      <c r="AT321" s="318"/>
      <c r="AU321" s="318">
        <v>1</v>
      </c>
      <c r="AV321" s="317">
        <f t="shared" si="17"/>
        <v>0</v>
      </c>
      <c r="AW321" s="318" t="s">
        <v>195</v>
      </c>
      <c r="AX321" s="319"/>
      <c r="AY321" s="319"/>
      <c r="AZ321" s="320"/>
      <c r="BA321" s="174"/>
      <c r="BB321" s="174"/>
      <c r="BC321" s="174"/>
    </row>
    <row r="322" spans="1:55" ht="28" customHeight="1">
      <c r="A322" s="195">
        <v>318</v>
      </c>
      <c r="B322" s="315">
        <v>45030</v>
      </c>
      <c r="C322" s="222" t="s">
        <v>198</v>
      </c>
      <c r="D322" s="222" t="s">
        <v>199</v>
      </c>
      <c r="E322" s="222" t="s">
        <v>200</v>
      </c>
      <c r="F322" s="371" t="s">
        <v>837</v>
      </c>
      <c r="G322" s="309" t="s">
        <v>1056</v>
      </c>
      <c r="H322" s="337" t="s">
        <v>129</v>
      </c>
      <c r="I322" s="311" t="s">
        <v>1057</v>
      </c>
      <c r="J322" s="312" t="s">
        <v>1058</v>
      </c>
      <c r="K322" s="273" t="s">
        <v>97</v>
      </c>
      <c r="L322" s="273" t="s">
        <v>159</v>
      </c>
      <c r="M322" s="311" t="s">
        <v>156</v>
      </c>
      <c r="N322" s="311" t="s">
        <v>97</v>
      </c>
      <c r="O322" s="311" t="s">
        <v>204</v>
      </c>
      <c r="P322" s="329"/>
      <c r="Q322" s="330"/>
      <c r="R322" s="154">
        <v>0</v>
      </c>
      <c r="S322" s="155">
        <f>0</f>
        <v>0</v>
      </c>
      <c r="T322" s="263">
        <v>1</v>
      </c>
      <c r="U322" s="158"/>
      <c r="V322" s="158">
        <f>0</f>
        <v>0</v>
      </c>
      <c r="W322" s="155">
        <f>0</f>
        <v>0</v>
      </c>
      <c r="X322" s="155">
        <f>0</f>
        <v>0</v>
      </c>
      <c r="Y322" s="155">
        <f>0</f>
        <v>0</v>
      </c>
      <c r="Z322" s="155">
        <f>0</f>
        <v>0</v>
      </c>
      <c r="AA322" s="155">
        <f>0</f>
        <v>0</v>
      </c>
      <c r="AB322" s="155">
        <f>0</f>
        <v>0</v>
      </c>
      <c r="AC322" s="155">
        <f>0</f>
        <v>0</v>
      </c>
      <c r="AD322" s="155">
        <f>0</f>
        <v>0</v>
      </c>
      <c r="AE322" s="155">
        <f>0</f>
        <v>0</v>
      </c>
      <c r="AF322" s="155">
        <f>0</f>
        <v>0</v>
      </c>
      <c r="AG322" s="155">
        <f>0</f>
        <v>0</v>
      </c>
      <c r="AH322" s="155">
        <f>0</f>
        <v>0</v>
      </c>
      <c r="AI322" s="155">
        <f>0</f>
        <v>0</v>
      </c>
      <c r="AJ322" s="155">
        <f>0</f>
        <v>0</v>
      </c>
      <c r="AK322" s="155">
        <f>0</f>
        <v>0</v>
      </c>
      <c r="AL322" s="219">
        <f t="shared" si="15"/>
        <v>1</v>
      </c>
      <c r="AM322" s="103"/>
      <c r="AN322" s="326">
        <f t="shared" si="16"/>
        <v>1</v>
      </c>
      <c r="AO322" s="290">
        <v>45034</v>
      </c>
      <c r="AP322" s="291" t="s">
        <v>192</v>
      </c>
      <c r="AQ322" s="292" t="s">
        <v>1520</v>
      </c>
      <c r="AR322" s="293" t="s">
        <v>197</v>
      </c>
      <c r="AS322" s="321"/>
      <c r="AT322" s="318"/>
      <c r="AU322" s="318">
        <v>1</v>
      </c>
      <c r="AV322" s="317">
        <f t="shared" si="17"/>
        <v>0</v>
      </c>
      <c r="AW322" s="318" t="s">
        <v>195</v>
      </c>
      <c r="AX322" s="319"/>
      <c r="AY322" s="319"/>
      <c r="AZ322" s="320"/>
      <c r="BA322" s="174"/>
      <c r="BB322" s="174"/>
      <c r="BC322" s="174"/>
    </row>
    <row r="323" spans="1:55" ht="28" customHeight="1">
      <c r="A323" s="195">
        <v>319</v>
      </c>
      <c r="B323" s="315">
        <v>45030</v>
      </c>
      <c r="C323" s="222" t="s">
        <v>198</v>
      </c>
      <c r="D323" s="222" t="s">
        <v>199</v>
      </c>
      <c r="E323" s="222" t="s">
        <v>200</v>
      </c>
      <c r="F323" s="371" t="s">
        <v>837</v>
      </c>
      <c r="G323" s="309" t="s">
        <v>1059</v>
      </c>
      <c r="H323" s="337" t="s">
        <v>129</v>
      </c>
      <c r="I323" s="311" t="s">
        <v>271</v>
      </c>
      <c r="J323" s="312" t="s">
        <v>1060</v>
      </c>
      <c r="K323" s="273" t="s">
        <v>97</v>
      </c>
      <c r="L323" s="273" t="s">
        <v>159</v>
      </c>
      <c r="M323" s="311" t="s">
        <v>156</v>
      </c>
      <c r="N323" s="311" t="s">
        <v>97</v>
      </c>
      <c r="O323" s="311" t="s">
        <v>535</v>
      </c>
      <c r="P323" s="329"/>
      <c r="Q323" s="330"/>
      <c r="R323" s="154">
        <v>0</v>
      </c>
      <c r="S323" s="155">
        <f>0</f>
        <v>0</v>
      </c>
      <c r="T323" s="263">
        <v>1</v>
      </c>
      <c r="U323" s="158"/>
      <c r="V323" s="158">
        <f>0</f>
        <v>0</v>
      </c>
      <c r="W323" s="155">
        <f>0</f>
        <v>0</v>
      </c>
      <c r="X323" s="155">
        <f>0</f>
        <v>0</v>
      </c>
      <c r="Y323" s="155">
        <f>0</f>
        <v>0</v>
      </c>
      <c r="Z323" s="155">
        <f>0</f>
        <v>0</v>
      </c>
      <c r="AA323" s="155">
        <f>0</f>
        <v>0</v>
      </c>
      <c r="AB323" s="155">
        <f>0</f>
        <v>0</v>
      </c>
      <c r="AC323" s="155">
        <f>0</f>
        <v>0</v>
      </c>
      <c r="AD323" s="155">
        <f>0</f>
        <v>0</v>
      </c>
      <c r="AE323" s="155">
        <f>0</f>
        <v>0</v>
      </c>
      <c r="AF323" s="155">
        <f>0</f>
        <v>0</v>
      </c>
      <c r="AG323" s="155">
        <f>0</f>
        <v>0</v>
      </c>
      <c r="AH323" s="155">
        <f>0</f>
        <v>0</v>
      </c>
      <c r="AI323" s="155">
        <f>0</f>
        <v>0</v>
      </c>
      <c r="AJ323" s="155">
        <f>0</f>
        <v>0</v>
      </c>
      <c r="AK323" s="155">
        <f>0</f>
        <v>0</v>
      </c>
      <c r="AL323" s="219">
        <f t="shared" si="15"/>
        <v>1</v>
      </c>
      <c r="AM323" s="103"/>
      <c r="AN323" s="326">
        <f t="shared" si="16"/>
        <v>1</v>
      </c>
      <c r="AO323" s="290">
        <v>45034</v>
      </c>
      <c r="AP323" s="291" t="s">
        <v>192</v>
      </c>
      <c r="AQ323" s="292" t="s">
        <v>1520</v>
      </c>
      <c r="AR323" s="293" t="s">
        <v>197</v>
      </c>
      <c r="AS323" s="321"/>
      <c r="AT323" s="318"/>
      <c r="AU323" s="318">
        <v>1</v>
      </c>
      <c r="AV323" s="317">
        <f t="shared" si="17"/>
        <v>0</v>
      </c>
      <c r="AW323" s="318" t="s">
        <v>195</v>
      </c>
      <c r="AX323" s="319"/>
      <c r="AY323" s="319"/>
      <c r="AZ323" s="320"/>
      <c r="BA323" s="174"/>
      <c r="BB323" s="174"/>
      <c r="BC323" s="174"/>
    </row>
    <row r="324" spans="1:55" ht="28" customHeight="1">
      <c r="A324" s="271">
        <v>320</v>
      </c>
      <c r="B324" s="274">
        <v>45030</v>
      </c>
      <c r="C324" s="222" t="s">
        <v>198</v>
      </c>
      <c r="D324" s="222" t="s">
        <v>199</v>
      </c>
      <c r="E324" s="222" t="s">
        <v>200</v>
      </c>
      <c r="F324" s="265" t="s">
        <v>837</v>
      </c>
      <c r="G324" s="267" t="s">
        <v>1061</v>
      </c>
      <c r="H324" s="275" t="s">
        <v>129</v>
      </c>
      <c r="I324" s="111" t="s">
        <v>237</v>
      </c>
      <c r="J324" s="269" t="s">
        <v>1062</v>
      </c>
      <c r="K324" s="112" t="s">
        <v>97</v>
      </c>
      <c r="L324" s="112" t="s">
        <v>367</v>
      </c>
      <c r="M324" s="258" t="s">
        <v>237</v>
      </c>
      <c r="N324" s="111" t="s">
        <v>97</v>
      </c>
      <c r="O324" s="111" t="s">
        <v>368</v>
      </c>
      <c r="P324" s="325"/>
      <c r="Q324" s="323"/>
      <c r="R324" s="154">
        <v>0</v>
      </c>
      <c r="S324" s="155">
        <f>0</f>
        <v>0</v>
      </c>
      <c r="T324" s="263">
        <v>1</v>
      </c>
      <c r="U324" s="158"/>
      <c r="V324" s="158">
        <f>0</f>
        <v>0</v>
      </c>
      <c r="W324" s="155">
        <f>0</f>
        <v>0</v>
      </c>
      <c r="X324" s="155">
        <f>0</f>
        <v>0</v>
      </c>
      <c r="Y324" s="155">
        <f>0</f>
        <v>0</v>
      </c>
      <c r="Z324" s="155">
        <f>0</f>
        <v>0</v>
      </c>
      <c r="AA324" s="155">
        <f>0</f>
        <v>0</v>
      </c>
      <c r="AB324" s="155">
        <f>0</f>
        <v>0</v>
      </c>
      <c r="AC324" s="155">
        <f>0</f>
        <v>0</v>
      </c>
      <c r="AD324" s="155">
        <f>0</f>
        <v>0</v>
      </c>
      <c r="AE324" s="155">
        <f>0</f>
        <v>0</v>
      </c>
      <c r="AF324" s="155">
        <f>0</f>
        <v>0</v>
      </c>
      <c r="AG324" s="155">
        <f>0</f>
        <v>0</v>
      </c>
      <c r="AH324" s="155">
        <f>0</f>
        <v>0</v>
      </c>
      <c r="AI324" s="155">
        <f>0</f>
        <v>0</v>
      </c>
      <c r="AJ324" s="155">
        <f>0</f>
        <v>0</v>
      </c>
      <c r="AK324" s="155">
        <f>0</f>
        <v>0</v>
      </c>
      <c r="AL324" s="219">
        <f t="shared" si="15"/>
        <v>1</v>
      </c>
      <c r="AM324" s="103"/>
      <c r="AN324" s="326">
        <f t="shared" si="16"/>
        <v>1</v>
      </c>
      <c r="AO324" s="276"/>
      <c r="AP324" s="188" t="s">
        <v>617</v>
      </c>
      <c r="AQ324" s="284"/>
      <c r="AR324" s="278" t="s">
        <v>1335</v>
      </c>
      <c r="AS324" s="277"/>
      <c r="AT324" s="279"/>
      <c r="AU324" s="279"/>
      <c r="AV324" s="277">
        <f t="shared" si="17"/>
        <v>1</v>
      </c>
      <c r="AW324" s="279"/>
      <c r="AX324" s="280"/>
      <c r="AY324" s="280"/>
      <c r="AZ324" s="281"/>
    </row>
    <row r="325" spans="1:55" ht="28" customHeight="1">
      <c r="A325" s="195">
        <v>321</v>
      </c>
      <c r="B325" s="315">
        <v>45030</v>
      </c>
      <c r="C325" s="222" t="s">
        <v>198</v>
      </c>
      <c r="D325" s="222" t="s">
        <v>199</v>
      </c>
      <c r="E325" s="222" t="s">
        <v>200</v>
      </c>
      <c r="F325" s="371" t="s">
        <v>837</v>
      </c>
      <c r="G325" s="309" t="s">
        <v>1063</v>
      </c>
      <c r="H325" s="337" t="s">
        <v>129</v>
      </c>
      <c r="I325" s="311" t="s">
        <v>821</v>
      </c>
      <c r="J325" s="312" t="s">
        <v>1064</v>
      </c>
      <c r="K325" s="273" t="s">
        <v>97</v>
      </c>
      <c r="L325" s="273" t="s">
        <v>165</v>
      </c>
      <c r="M325" s="311" t="s">
        <v>147</v>
      </c>
      <c r="N325" s="311" t="s">
        <v>97</v>
      </c>
      <c r="O325" s="311" t="s">
        <v>224</v>
      </c>
      <c r="P325" s="329"/>
      <c r="Q325" s="330"/>
      <c r="R325" s="154">
        <v>0</v>
      </c>
      <c r="S325" s="155">
        <f>0</f>
        <v>0</v>
      </c>
      <c r="T325" s="263">
        <v>1</v>
      </c>
      <c r="U325" s="158"/>
      <c r="V325" s="158">
        <f>0</f>
        <v>0</v>
      </c>
      <c r="W325" s="155">
        <f>0</f>
        <v>0</v>
      </c>
      <c r="X325" s="155">
        <f>0</f>
        <v>0</v>
      </c>
      <c r="Y325" s="155">
        <f>0</f>
        <v>0</v>
      </c>
      <c r="Z325" s="155">
        <f>0</f>
        <v>0</v>
      </c>
      <c r="AA325" s="155">
        <f>0</f>
        <v>0</v>
      </c>
      <c r="AB325" s="155">
        <f>0</f>
        <v>0</v>
      </c>
      <c r="AC325" s="155">
        <f>0</f>
        <v>0</v>
      </c>
      <c r="AD325" s="155">
        <f>0</f>
        <v>0</v>
      </c>
      <c r="AE325" s="155">
        <f>0</f>
        <v>0</v>
      </c>
      <c r="AF325" s="155">
        <f>0</f>
        <v>0</v>
      </c>
      <c r="AG325" s="155">
        <f>0</f>
        <v>0</v>
      </c>
      <c r="AH325" s="155">
        <f>0</f>
        <v>0</v>
      </c>
      <c r="AI325" s="155">
        <f>0</f>
        <v>0</v>
      </c>
      <c r="AJ325" s="155">
        <f>0</f>
        <v>0</v>
      </c>
      <c r="AK325" s="155">
        <f>0</f>
        <v>0</v>
      </c>
      <c r="AL325" s="219">
        <f t="shared" si="15"/>
        <v>1</v>
      </c>
      <c r="AM325" s="103"/>
      <c r="AN325" s="326">
        <f t="shared" si="16"/>
        <v>1</v>
      </c>
      <c r="AO325" s="348">
        <v>45034</v>
      </c>
      <c r="AP325" s="296" t="s">
        <v>192</v>
      </c>
      <c r="AQ325" s="292" t="s">
        <v>1522</v>
      </c>
      <c r="AR325" s="350" t="s">
        <v>194</v>
      </c>
      <c r="AS325" s="301">
        <v>45078</v>
      </c>
      <c r="AT325" s="318"/>
      <c r="AU325" s="318">
        <v>1</v>
      </c>
      <c r="AV325" s="317">
        <f t="shared" si="17"/>
        <v>0</v>
      </c>
      <c r="AW325" s="318" t="s">
        <v>195</v>
      </c>
      <c r="AX325" s="319"/>
      <c r="AY325" s="319"/>
      <c r="AZ325" s="320"/>
      <c r="BA325" s="174"/>
      <c r="BB325" s="174"/>
      <c r="BC325" s="174"/>
    </row>
    <row r="326" spans="1:55" ht="28" customHeight="1">
      <c r="A326" s="195">
        <v>322</v>
      </c>
      <c r="B326" s="315">
        <v>45030</v>
      </c>
      <c r="C326" s="365"/>
      <c r="D326" s="365"/>
      <c r="E326" s="365"/>
      <c r="F326" s="371" t="s">
        <v>837</v>
      </c>
      <c r="G326" s="309" t="s">
        <v>1063</v>
      </c>
      <c r="H326" s="337" t="s">
        <v>129</v>
      </c>
      <c r="I326" s="311" t="s">
        <v>821</v>
      </c>
      <c r="J326" s="312" t="s">
        <v>1065</v>
      </c>
      <c r="K326" s="273" t="s">
        <v>97</v>
      </c>
      <c r="L326" s="273" t="s">
        <v>165</v>
      </c>
      <c r="M326" s="311" t="s">
        <v>147</v>
      </c>
      <c r="N326" s="311" t="s">
        <v>97</v>
      </c>
      <c r="O326" s="311" t="s">
        <v>224</v>
      </c>
      <c r="P326" s="329"/>
      <c r="Q326" s="330"/>
      <c r="R326" s="154">
        <v>0</v>
      </c>
      <c r="S326" s="155">
        <f>0</f>
        <v>0</v>
      </c>
      <c r="T326" s="263">
        <v>1</v>
      </c>
      <c r="U326" s="158"/>
      <c r="V326" s="158">
        <f>0</f>
        <v>0</v>
      </c>
      <c r="W326" s="155">
        <f>0</f>
        <v>0</v>
      </c>
      <c r="X326" s="155">
        <f>0</f>
        <v>0</v>
      </c>
      <c r="Y326" s="155">
        <f>0</f>
        <v>0</v>
      </c>
      <c r="Z326" s="155">
        <f>0</f>
        <v>0</v>
      </c>
      <c r="AA326" s="155">
        <f>0</f>
        <v>0</v>
      </c>
      <c r="AB326" s="155">
        <f>0</f>
        <v>0</v>
      </c>
      <c r="AC326" s="155">
        <f>0</f>
        <v>0</v>
      </c>
      <c r="AD326" s="155">
        <f>0</f>
        <v>0</v>
      </c>
      <c r="AE326" s="155">
        <f>0</f>
        <v>0</v>
      </c>
      <c r="AF326" s="155">
        <f>0</f>
        <v>0</v>
      </c>
      <c r="AG326" s="155">
        <f>0</f>
        <v>0</v>
      </c>
      <c r="AH326" s="155">
        <f>0</f>
        <v>0</v>
      </c>
      <c r="AI326" s="155">
        <f>0</f>
        <v>0</v>
      </c>
      <c r="AJ326" s="155">
        <f>0</f>
        <v>0</v>
      </c>
      <c r="AK326" s="155">
        <f>0</f>
        <v>0</v>
      </c>
      <c r="AL326" s="219">
        <f t="shared" ref="AL326:AL389" si="18">SUM(R326:AK326)</f>
        <v>1</v>
      </c>
      <c r="AM326" s="103"/>
      <c r="AN326" s="326">
        <f t="shared" ref="AN326:AN389" si="19">AL326-AM326</f>
        <v>1</v>
      </c>
      <c r="AO326" s="348">
        <v>45034</v>
      </c>
      <c r="AP326" s="296" t="s">
        <v>192</v>
      </c>
      <c r="AQ326" s="292" t="s">
        <v>1522</v>
      </c>
      <c r="AR326" s="350" t="s">
        <v>194</v>
      </c>
      <c r="AS326" s="301">
        <v>45078</v>
      </c>
      <c r="AT326" s="318"/>
      <c r="AU326" s="318">
        <v>1</v>
      </c>
      <c r="AV326" s="317">
        <f t="shared" si="17"/>
        <v>0</v>
      </c>
      <c r="AW326" s="318" t="s">
        <v>195</v>
      </c>
      <c r="AX326" s="319"/>
      <c r="AY326" s="319"/>
      <c r="AZ326" s="320"/>
      <c r="BA326" s="174"/>
      <c r="BB326" s="174"/>
      <c r="BC326" s="174"/>
    </row>
    <row r="327" spans="1:55" ht="28" customHeight="1">
      <c r="A327" s="195">
        <v>323</v>
      </c>
      <c r="B327" s="315">
        <v>45030</v>
      </c>
      <c r="C327" s="222" t="s">
        <v>198</v>
      </c>
      <c r="D327" s="222" t="s">
        <v>199</v>
      </c>
      <c r="E327" s="222" t="s">
        <v>200</v>
      </c>
      <c r="F327" s="371" t="s">
        <v>837</v>
      </c>
      <c r="G327" s="309" t="s">
        <v>1066</v>
      </c>
      <c r="H327" s="337" t="s">
        <v>129</v>
      </c>
      <c r="I327" s="311" t="s">
        <v>1083</v>
      </c>
      <c r="J327" s="312" t="s">
        <v>1067</v>
      </c>
      <c r="K327" s="273" t="s">
        <v>97</v>
      </c>
      <c r="L327" s="273" t="s">
        <v>165</v>
      </c>
      <c r="M327" s="311" t="s">
        <v>147</v>
      </c>
      <c r="N327" s="311" t="s">
        <v>97</v>
      </c>
      <c r="O327" s="311" t="s">
        <v>224</v>
      </c>
      <c r="P327" s="329"/>
      <c r="Q327" s="330"/>
      <c r="R327" s="154">
        <v>0</v>
      </c>
      <c r="S327" s="155">
        <f>0</f>
        <v>0</v>
      </c>
      <c r="T327" s="263">
        <v>1</v>
      </c>
      <c r="U327" s="158"/>
      <c r="V327" s="158">
        <f>0</f>
        <v>0</v>
      </c>
      <c r="W327" s="155">
        <f>0</f>
        <v>0</v>
      </c>
      <c r="X327" s="155">
        <f>0</f>
        <v>0</v>
      </c>
      <c r="Y327" s="155">
        <f>0</f>
        <v>0</v>
      </c>
      <c r="Z327" s="155">
        <f>0</f>
        <v>0</v>
      </c>
      <c r="AA327" s="155">
        <f>0</f>
        <v>0</v>
      </c>
      <c r="AB327" s="155">
        <f>0</f>
        <v>0</v>
      </c>
      <c r="AC327" s="155">
        <f>0</f>
        <v>0</v>
      </c>
      <c r="AD327" s="155">
        <f>0</f>
        <v>0</v>
      </c>
      <c r="AE327" s="155">
        <f>0</f>
        <v>0</v>
      </c>
      <c r="AF327" s="155">
        <f>0</f>
        <v>0</v>
      </c>
      <c r="AG327" s="155">
        <f>0</f>
        <v>0</v>
      </c>
      <c r="AH327" s="155">
        <f>0</f>
        <v>0</v>
      </c>
      <c r="AI327" s="155">
        <f>0</f>
        <v>0</v>
      </c>
      <c r="AJ327" s="155">
        <f>0</f>
        <v>0</v>
      </c>
      <c r="AK327" s="155">
        <f>0</f>
        <v>0</v>
      </c>
      <c r="AL327" s="219">
        <f t="shared" si="18"/>
        <v>1</v>
      </c>
      <c r="AM327" s="103"/>
      <c r="AN327" s="326">
        <f t="shared" si="19"/>
        <v>1</v>
      </c>
      <c r="AO327" s="348">
        <v>45034</v>
      </c>
      <c r="AP327" s="296" t="s">
        <v>192</v>
      </c>
      <c r="AQ327" s="292" t="s">
        <v>1522</v>
      </c>
      <c r="AR327" s="350" t="s">
        <v>194</v>
      </c>
      <c r="AS327" s="301">
        <v>45078</v>
      </c>
      <c r="AT327" s="318"/>
      <c r="AU327" s="318">
        <v>1</v>
      </c>
      <c r="AV327" s="317">
        <f t="shared" si="17"/>
        <v>0</v>
      </c>
      <c r="AW327" s="318" t="s">
        <v>195</v>
      </c>
      <c r="AX327" s="319"/>
      <c r="AY327" s="319"/>
      <c r="AZ327" s="320"/>
      <c r="BA327" s="174"/>
      <c r="BB327" s="174"/>
      <c r="BC327" s="174"/>
    </row>
    <row r="328" spans="1:55" ht="28" customHeight="1">
      <c r="A328" s="195">
        <v>324</v>
      </c>
      <c r="B328" s="315">
        <v>45030</v>
      </c>
      <c r="C328" s="365"/>
      <c r="D328" s="365"/>
      <c r="E328" s="365"/>
      <c r="F328" s="371" t="s">
        <v>837</v>
      </c>
      <c r="G328" s="309" t="s">
        <v>1066</v>
      </c>
      <c r="H328" s="337" t="s">
        <v>129</v>
      </c>
      <c r="I328" s="311" t="s">
        <v>1083</v>
      </c>
      <c r="J328" s="312" t="s">
        <v>1068</v>
      </c>
      <c r="K328" s="273" t="s">
        <v>97</v>
      </c>
      <c r="L328" s="273" t="s">
        <v>165</v>
      </c>
      <c r="M328" s="311" t="s">
        <v>147</v>
      </c>
      <c r="N328" s="311" t="s">
        <v>97</v>
      </c>
      <c r="O328" s="311" t="s">
        <v>224</v>
      </c>
      <c r="P328" s="329"/>
      <c r="Q328" s="330"/>
      <c r="R328" s="154">
        <v>0</v>
      </c>
      <c r="S328" s="155">
        <f>0</f>
        <v>0</v>
      </c>
      <c r="T328" s="263">
        <v>1</v>
      </c>
      <c r="U328" s="158"/>
      <c r="V328" s="158">
        <f>0</f>
        <v>0</v>
      </c>
      <c r="W328" s="155">
        <f>0</f>
        <v>0</v>
      </c>
      <c r="X328" s="155">
        <f>0</f>
        <v>0</v>
      </c>
      <c r="Y328" s="155">
        <f>0</f>
        <v>0</v>
      </c>
      <c r="Z328" s="155">
        <f>0</f>
        <v>0</v>
      </c>
      <c r="AA328" s="155">
        <f>0</f>
        <v>0</v>
      </c>
      <c r="AB328" s="155">
        <f>0</f>
        <v>0</v>
      </c>
      <c r="AC328" s="155">
        <f>0</f>
        <v>0</v>
      </c>
      <c r="AD328" s="155">
        <f>0</f>
        <v>0</v>
      </c>
      <c r="AE328" s="155">
        <f>0</f>
        <v>0</v>
      </c>
      <c r="AF328" s="155">
        <f>0</f>
        <v>0</v>
      </c>
      <c r="AG328" s="155">
        <f>0</f>
        <v>0</v>
      </c>
      <c r="AH328" s="155">
        <f>0</f>
        <v>0</v>
      </c>
      <c r="AI328" s="155">
        <f>0</f>
        <v>0</v>
      </c>
      <c r="AJ328" s="155">
        <f>0</f>
        <v>0</v>
      </c>
      <c r="AK328" s="155">
        <f>0</f>
        <v>0</v>
      </c>
      <c r="AL328" s="219">
        <f t="shared" si="18"/>
        <v>1</v>
      </c>
      <c r="AM328" s="103"/>
      <c r="AN328" s="326">
        <f t="shared" si="19"/>
        <v>1</v>
      </c>
      <c r="AO328" s="348">
        <v>45034</v>
      </c>
      <c r="AP328" s="296" t="s">
        <v>192</v>
      </c>
      <c r="AQ328" s="292" t="s">
        <v>1522</v>
      </c>
      <c r="AR328" s="350" t="s">
        <v>194</v>
      </c>
      <c r="AS328" s="301">
        <v>45078</v>
      </c>
      <c r="AT328" s="318"/>
      <c r="AU328" s="318">
        <v>1</v>
      </c>
      <c r="AV328" s="317">
        <f t="shared" si="17"/>
        <v>0</v>
      </c>
      <c r="AW328" s="318" t="s">
        <v>195</v>
      </c>
      <c r="AX328" s="319"/>
      <c r="AY328" s="319"/>
      <c r="AZ328" s="320"/>
      <c r="BA328" s="174"/>
      <c r="BB328" s="174"/>
      <c r="BC328" s="174"/>
    </row>
    <row r="329" spans="1:55" ht="28" customHeight="1">
      <c r="A329" s="195">
        <v>325</v>
      </c>
      <c r="B329" s="315">
        <v>45030</v>
      </c>
      <c r="C329" s="222" t="s">
        <v>198</v>
      </c>
      <c r="D329" s="222" t="s">
        <v>199</v>
      </c>
      <c r="E329" s="222" t="s">
        <v>200</v>
      </c>
      <c r="F329" s="371" t="s">
        <v>837</v>
      </c>
      <c r="G329" s="309" t="s">
        <v>1069</v>
      </c>
      <c r="H329" s="337" t="s">
        <v>129</v>
      </c>
      <c r="I329" s="311" t="s">
        <v>991</v>
      </c>
      <c r="J329" s="312" t="s">
        <v>1070</v>
      </c>
      <c r="K329" s="273" t="s">
        <v>97</v>
      </c>
      <c r="L329" s="273" t="s">
        <v>168</v>
      </c>
      <c r="M329" s="311" t="s">
        <v>147</v>
      </c>
      <c r="N329" s="311" t="s">
        <v>1082</v>
      </c>
      <c r="O329" s="311" t="s">
        <v>169</v>
      </c>
      <c r="P329" s="329"/>
      <c r="Q329" s="330"/>
      <c r="R329" s="154">
        <v>0</v>
      </c>
      <c r="S329" s="155">
        <f>0</f>
        <v>0</v>
      </c>
      <c r="T329" s="263">
        <v>1</v>
      </c>
      <c r="U329" s="158"/>
      <c r="V329" s="158">
        <f>0</f>
        <v>0</v>
      </c>
      <c r="W329" s="155">
        <f>0</f>
        <v>0</v>
      </c>
      <c r="X329" s="155">
        <f>0</f>
        <v>0</v>
      </c>
      <c r="Y329" s="155">
        <f>0</f>
        <v>0</v>
      </c>
      <c r="Z329" s="155">
        <f>0</f>
        <v>0</v>
      </c>
      <c r="AA329" s="155">
        <f>0</f>
        <v>0</v>
      </c>
      <c r="AB329" s="155">
        <f>0</f>
        <v>0</v>
      </c>
      <c r="AC329" s="155">
        <f>0</f>
        <v>0</v>
      </c>
      <c r="AD329" s="155">
        <f>0</f>
        <v>0</v>
      </c>
      <c r="AE329" s="155">
        <f>0</f>
        <v>0</v>
      </c>
      <c r="AF329" s="155">
        <f>0</f>
        <v>0</v>
      </c>
      <c r="AG329" s="155">
        <f>0</f>
        <v>0</v>
      </c>
      <c r="AH329" s="155">
        <f>0</f>
        <v>0</v>
      </c>
      <c r="AI329" s="155">
        <f>0</f>
        <v>0</v>
      </c>
      <c r="AJ329" s="155">
        <f>0</f>
        <v>0</v>
      </c>
      <c r="AK329" s="155">
        <f>0</f>
        <v>0</v>
      </c>
      <c r="AL329" s="219">
        <f t="shared" si="18"/>
        <v>1</v>
      </c>
      <c r="AM329" s="103"/>
      <c r="AN329" s="326">
        <f t="shared" si="19"/>
        <v>1</v>
      </c>
      <c r="AO329" s="348">
        <v>45034</v>
      </c>
      <c r="AP329" s="296" t="s">
        <v>192</v>
      </c>
      <c r="AQ329" s="292" t="s">
        <v>1522</v>
      </c>
      <c r="AR329" s="350" t="s">
        <v>194</v>
      </c>
      <c r="AS329" s="301">
        <v>45078</v>
      </c>
      <c r="AT329" s="318"/>
      <c r="AU329" s="318"/>
      <c r="AV329" s="317">
        <f t="shared" si="17"/>
        <v>1</v>
      </c>
      <c r="AW329" s="318" t="s">
        <v>195</v>
      </c>
      <c r="AX329" s="319"/>
      <c r="AY329" s="319"/>
      <c r="AZ329" s="320"/>
      <c r="BA329" s="174"/>
      <c r="BB329" s="174"/>
      <c r="BC329" s="174"/>
    </row>
    <row r="330" spans="1:55" ht="28" customHeight="1">
      <c r="A330" s="195">
        <v>326</v>
      </c>
      <c r="B330" s="315">
        <v>45030</v>
      </c>
      <c r="C330" s="222" t="s">
        <v>198</v>
      </c>
      <c r="D330" s="222" t="s">
        <v>199</v>
      </c>
      <c r="E330" s="222" t="s">
        <v>200</v>
      </c>
      <c r="F330" s="371" t="s">
        <v>837</v>
      </c>
      <c r="G330" s="309" t="s">
        <v>1071</v>
      </c>
      <c r="H330" s="337" t="s">
        <v>129</v>
      </c>
      <c r="I330" s="311" t="s">
        <v>1072</v>
      </c>
      <c r="J330" s="312" t="s">
        <v>1073</v>
      </c>
      <c r="K330" s="273" t="s">
        <v>97</v>
      </c>
      <c r="L330" s="273" t="s">
        <v>168</v>
      </c>
      <c r="M330" s="311" t="s">
        <v>147</v>
      </c>
      <c r="N330" s="311" t="s">
        <v>677</v>
      </c>
      <c r="O330" s="311" t="s">
        <v>169</v>
      </c>
      <c r="P330" s="329"/>
      <c r="Q330" s="330"/>
      <c r="R330" s="154">
        <v>0</v>
      </c>
      <c r="S330" s="155">
        <f>0</f>
        <v>0</v>
      </c>
      <c r="T330" s="263">
        <v>1</v>
      </c>
      <c r="U330" s="158"/>
      <c r="V330" s="158">
        <f>0</f>
        <v>0</v>
      </c>
      <c r="W330" s="155">
        <f>0</f>
        <v>0</v>
      </c>
      <c r="X330" s="155">
        <f>0</f>
        <v>0</v>
      </c>
      <c r="Y330" s="155">
        <f>0</f>
        <v>0</v>
      </c>
      <c r="Z330" s="155">
        <f>0</f>
        <v>0</v>
      </c>
      <c r="AA330" s="155">
        <f>0</f>
        <v>0</v>
      </c>
      <c r="AB330" s="155">
        <f>0</f>
        <v>0</v>
      </c>
      <c r="AC330" s="155">
        <f>0</f>
        <v>0</v>
      </c>
      <c r="AD330" s="155">
        <f>0</f>
        <v>0</v>
      </c>
      <c r="AE330" s="155">
        <f>0</f>
        <v>0</v>
      </c>
      <c r="AF330" s="155">
        <f>0</f>
        <v>0</v>
      </c>
      <c r="AG330" s="155">
        <f>0</f>
        <v>0</v>
      </c>
      <c r="AH330" s="155">
        <f>0</f>
        <v>0</v>
      </c>
      <c r="AI330" s="155">
        <f>0</f>
        <v>0</v>
      </c>
      <c r="AJ330" s="155">
        <f>0</f>
        <v>0</v>
      </c>
      <c r="AK330" s="155">
        <f>0</f>
        <v>0</v>
      </c>
      <c r="AL330" s="219">
        <f t="shared" si="18"/>
        <v>1</v>
      </c>
      <c r="AM330" s="103"/>
      <c r="AN330" s="326">
        <f t="shared" si="19"/>
        <v>1</v>
      </c>
      <c r="AO330" s="348">
        <v>45034</v>
      </c>
      <c r="AP330" s="296" t="s">
        <v>192</v>
      </c>
      <c r="AQ330" s="292" t="s">
        <v>1522</v>
      </c>
      <c r="AR330" s="350" t="s">
        <v>194</v>
      </c>
      <c r="AS330" s="301">
        <v>45078</v>
      </c>
      <c r="AT330" s="318"/>
      <c r="AU330" s="318">
        <v>1</v>
      </c>
      <c r="AV330" s="317">
        <f t="shared" si="17"/>
        <v>0</v>
      </c>
      <c r="AW330" s="318" t="s">
        <v>195</v>
      </c>
      <c r="AX330" s="319"/>
      <c r="AY330" s="319"/>
      <c r="AZ330" s="320"/>
      <c r="BA330" s="174"/>
      <c r="BB330" s="174"/>
      <c r="BC330" s="174"/>
    </row>
    <row r="331" spans="1:55" ht="28" customHeight="1">
      <c r="A331" s="195">
        <v>327</v>
      </c>
      <c r="B331" s="315">
        <v>45030</v>
      </c>
      <c r="C331" s="222" t="s">
        <v>198</v>
      </c>
      <c r="D331" s="222" t="s">
        <v>199</v>
      </c>
      <c r="E331" s="222" t="s">
        <v>200</v>
      </c>
      <c r="F331" s="371" t="s">
        <v>837</v>
      </c>
      <c r="G331" s="309" t="s">
        <v>1074</v>
      </c>
      <c r="H331" s="337" t="s">
        <v>129</v>
      </c>
      <c r="I331" s="311" t="s">
        <v>329</v>
      </c>
      <c r="J331" s="312" t="s">
        <v>1075</v>
      </c>
      <c r="K331" s="273" t="s">
        <v>97</v>
      </c>
      <c r="L331" s="273" t="s">
        <v>168</v>
      </c>
      <c r="M331" s="311" t="s">
        <v>147</v>
      </c>
      <c r="N331" s="311" t="s">
        <v>97</v>
      </c>
      <c r="O331" s="311" t="s">
        <v>169</v>
      </c>
      <c r="P331" s="329"/>
      <c r="Q331" s="330"/>
      <c r="R331" s="154">
        <v>0</v>
      </c>
      <c r="S331" s="155">
        <f>0</f>
        <v>0</v>
      </c>
      <c r="T331" s="263">
        <v>1</v>
      </c>
      <c r="U331" s="158"/>
      <c r="V331" s="158">
        <f>0</f>
        <v>0</v>
      </c>
      <c r="W331" s="155">
        <f>0</f>
        <v>0</v>
      </c>
      <c r="X331" s="155">
        <f>0</f>
        <v>0</v>
      </c>
      <c r="Y331" s="155">
        <f>0</f>
        <v>0</v>
      </c>
      <c r="Z331" s="155">
        <f>0</f>
        <v>0</v>
      </c>
      <c r="AA331" s="155">
        <f>0</f>
        <v>0</v>
      </c>
      <c r="AB331" s="155">
        <f>0</f>
        <v>0</v>
      </c>
      <c r="AC331" s="155">
        <f>0</f>
        <v>0</v>
      </c>
      <c r="AD331" s="155">
        <f>0</f>
        <v>0</v>
      </c>
      <c r="AE331" s="155">
        <f>0</f>
        <v>0</v>
      </c>
      <c r="AF331" s="155">
        <f>0</f>
        <v>0</v>
      </c>
      <c r="AG331" s="155">
        <f>0</f>
        <v>0</v>
      </c>
      <c r="AH331" s="155">
        <f>0</f>
        <v>0</v>
      </c>
      <c r="AI331" s="155">
        <f>0</f>
        <v>0</v>
      </c>
      <c r="AJ331" s="155">
        <f>0</f>
        <v>0</v>
      </c>
      <c r="AK331" s="155">
        <f>0</f>
        <v>0</v>
      </c>
      <c r="AL331" s="219">
        <f t="shared" si="18"/>
        <v>1</v>
      </c>
      <c r="AM331" s="103"/>
      <c r="AN331" s="326">
        <f t="shared" si="19"/>
        <v>1</v>
      </c>
      <c r="AO331" s="348">
        <v>45034</v>
      </c>
      <c r="AP331" s="296" t="s">
        <v>192</v>
      </c>
      <c r="AQ331" s="292" t="s">
        <v>1522</v>
      </c>
      <c r="AR331" s="350" t="s">
        <v>194</v>
      </c>
      <c r="AS331" s="301">
        <v>45078</v>
      </c>
      <c r="AT331" s="318"/>
      <c r="AU331" s="318">
        <v>1</v>
      </c>
      <c r="AV331" s="317">
        <f t="shared" si="17"/>
        <v>0</v>
      </c>
      <c r="AW331" s="318" t="s">
        <v>195</v>
      </c>
      <c r="AX331" s="319"/>
      <c r="AY331" s="319"/>
      <c r="AZ331" s="320"/>
      <c r="BA331" s="174"/>
      <c r="BB331" s="174"/>
      <c r="BC331" s="174"/>
    </row>
    <row r="332" spans="1:55" ht="28" customHeight="1">
      <c r="A332" s="195">
        <v>328</v>
      </c>
      <c r="B332" s="315">
        <v>45030</v>
      </c>
      <c r="C332" s="374" t="s">
        <v>198</v>
      </c>
      <c r="D332" s="374" t="s">
        <v>199</v>
      </c>
      <c r="E332" s="374" t="s">
        <v>200</v>
      </c>
      <c r="F332" s="371" t="s">
        <v>837</v>
      </c>
      <c r="G332" s="309" t="s">
        <v>1076</v>
      </c>
      <c r="H332" s="337" t="s">
        <v>129</v>
      </c>
      <c r="I332" s="311" t="s">
        <v>1077</v>
      </c>
      <c r="J332" s="312" t="s">
        <v>1078</v>
      </c>
      <c r="K332" s="112" t="s">
        <v>97</v>
      </c>
      <c r="L332" s="273" t="s">
        <v>168</v>
      </c>
      <c r="M332" s="311" t="s">
        <v>147</v>
      </c>
      <c r="N332" s="311" t="s">
        <v>97</v>
      </c>
      <c r="O332" s="311" t="s">
        <v>169</v>
      </c>
      <c r="P332" s="329"/>
      <c r="Q332" s="323"/>
      <c r="R332" s="154">
        <v>0</v>
      </c>
      <c r="S332" s="155">
        <f>0</f>
        <v>0</v>
      </c>
      <c r="T332" s="263">
        <v>1</v>
      </c>
      <c r="U332" s="158"/>
      <c r="V332" s="158">
        <f>0</f>
        <v>0</v>
      </c>
      <c r="W332" s="155">
        <f>0</f>
        <v>0</v>
      </c>
      <c r="X332" s="155">
        <f>0</f>
        <v>0</v>
      </c>
      <c r="Y332" s="155">
        <f>0</f>
        <v>0</v>
      </c>
      <c r="Z332" s="155">
        <f>0</f>
        <v>0</v>
      </c>
      <c r="AA332" s="155">
        <f>0</f>
        <v>0</v>
      </c>
      <c r="AB332" s="155">
        <f>0</f>
        <v>0</v>
      </c>
      <c r="AC332" s="155">
        <f>0</f>
        <v>0</v>
      </c>
      <c r="AD332" s="155">
        <f>0</f>
        <v>0</v>
      </c>
      <c r="AE332" s="155">
        <f>0</f>
        <v>0</v>
      </c>
      <c r="AF332" s="155">
        <f>0</f>
        <v>0</v>
      </c>
      <c r="AG332" s="155">
        <f>0</f>
        <v>0</v>
      </c>
      <c r="AH332" s="155">
        <f>0</f>
        <v>0</v>
      </c>
      <c r="AI332" s="155">
        <f>0</f>
        <v>0</v>
      </c>
      <c r="AJ332" s="155">
        <f>0</f>
        <v>0</v>
      </c>
      <c r="AK332" s="155">
        <f>0</f>
        <v>0</v>
      </c>
      <c r="AL332" s="219">
        <f t="shared" si="18"/>
        <v>1</v>
      </c>
      <c r="AM332" s="103"/>
      <c r="AN332" s="375">
        <f t="shared" si="19"/>
        <v>1</v>
      </c>
      <c r="AO332" s="331">
        <v>45061</v>
      </c>
      <c r="AP332" s="372" t="s">
        <v>192</v>
      </c>
      <c r="AQ332" s="340" t="s">
        <v>1544</v>
      </c>
      <c r="AR332" s="332" t="s">
        <v>194</v>
      </c>
      <c r="AS332" s="317"/>
      <c r="AT332" s="318"/>
      <c r="AU332" s="318">
        <v>1</v>
      </c>
      <c r="AV332" s="317">
        <f t="shared" si="17"/>
        <v>0</v>
      </c>
      <c r="AW332" s="318" t="s">
        <v>195</v>
      </c>
      <c r="AX332" s="319"/>
      <c r="AY332" s="319"/>
      <c r="AZ332" s="320"/>
    </row>
    <row r="333" spans="1:55" ht="28" customHeight="1">
      <c r="A333" s="195">
        <v>329</v>
      </c>
      <c r="B333" s="315">
        <v>45030</v>
      </c>
      <c r="C333" s="222" t="s">
        <v>198</v>
      </c>
      <c r="D333" s="222" t="s">
        <v>199</v>
      </c>
      <c r="E333" s="222" t="s">
        <v>200</v>
      </c>
      <c r="F333" s="371" t="s">
        <v>837</v>
      </c>
      <c r="G333" s="309" t="s">
        <v>1079</v>
      </c>
      <c r="H333" s="337" t="s">
        <v>129</v>
      </c>
      <c r="I333" s="311" t="s">
        <v>1080</v>
      </c>
      <c r="J333" s="312" t="s">
        <v>1081</v>
      </c>
      <c r="K333" s="273"/>
      <c r="L333" s="273" t="s">
        <v>234</v>
      </c>
      <c r="M333" s="311" t="s">
        <v>156</v>
      </c>
      <c r="N333" s="311" t="s">
        <v>97</v>
      </c>
      <c r="O333" s="311" t="s">
        <v>97</v>
      </c>
      <c r="P333" s="329"/>
      <c r="Q333" s="330"/>
      <c r="R333" s="154">
        <v>0</v>
      </c>
      <c r="S333" s="155">
        <f>0</f>
        <v>0</v>
      </c>
      <c r="T333" s="263">
        <v>1</v>
      </c>
      <c r="U333" s="156"/>
      <c r="V333" s="156">
        <f>0</f>
        <v>0</v>
      </c>
      <c r="W333" s="155">
        <f>0</f>
        <v>0</v>
      </c>
      <c r="X333" s="155">
        <f>0</f>
        <v>0</v>
      </c>
      <c r="Y333" s="155">
        <f>0</f>
        <v>0</v>
      </c>
      <c r="Z333" s="155">
        <f>0</f>
        <v>0</v>
      </c>
      <c r="AA333" s="155">
        <f>0</f>
        <v>0</v>
      </c>
      <c r="AB333" s="155">
        <f>0</f>
        <v>0</v>
      </c>
      <c r="AC333" s="155">
        <f>0</f>
        <v>0</v>
      </c>
      <c r="AD333" s="155">
        <f>0</f>
        <v>0</v>
      </c>
      <c r="AE333" s="155">
        <f>0</f>
        <v>0</v>
      </c>
      <c r="AF333" s="155">
        <f>0</f>
        <v>0</v>
      </c>
      <c r="AG333" s="155">
        <f>0</f>
        <v>0</v>
      </c>
      <c r="AH333" s="155">
        <f>0</f>
        <v>0</v>
      </c>
      <c r="AI333" s="155">
        <f>0</f>
        <v>0</v>
      </c>
      <c r="AJ333" s="155">
        <f>0</f>
        <v>0</v>
      </c>
      <c r="AK333" s="155">
        <f>0</f>
        <v>0</v>
      </c>
      <c r="AL333" s="219">
        <f t="shared" si="18"/>
        <v>1</v>
      </c>
      <c r="AM333" s="103"/>
      <c r="AN333" s="326">
        <f t="shared" si="19"/>
        <v>1</v>
      </c>
      <c r="AO333" s="290">
        <v>45034</v>
      </c>
      <c r="AP333" s="291" t="s">
        <v>192</v>
      </c>
      <c r="AQ333" s="292" t="s">
        <v>1520</v>
      </c>
      <c r="AR333" s="293" t="s">
        <v>197</v>
      </c>
      <c r="AS333" s="321"/>
      <c r="AT333" s="318"/>
      <c r="AU333" s="318">
        <v>1</v>
      </c>
      <c r="AV333" s="317">
        <f t="shared" si="17"/>
        <v>0</v>
      </c>
      <c r="AW333" s="318" t="s">
        <v>195</v>
      </c>
      <c r="AX333" s="319"/>
      <c r="AY333" s="319"/>
      <c r="AZ333" s="341"/>
      <c r="BA333" s="174"/>
      <c r="BB333" s="174"/>
      <c r="BC333" s="174"/>
    </row>
    <row r="334" spans="1:55" ht="28" customHeight="1">
      <c r="A334" s="195">
        <v>330</v>
      </c>
      <c r="B334" s="315">
        <v>45030</v>
      </c>
      <c r="C334" s="359"/>
      <c r="D334" s="359"/>
      <c r="E334" s="359"/>
      <c r="F334" s="371" t="s">
        <v>837</v>
      </c>
      <c r="G334" s="309" t="s">
        <v>1051</v>
      </c>
      <c r="H334" s="337" t="s">
        <v>1052</v>
      </c>
      <c r="I334" s="311" t="s">
        <v>1053</v>
      </c>
      <c r="J334" s="312" t="s">
        <v>1054</v>
      </c>
      <c r="K334" s="273" t="s">
        <v>1051</v>
      </c>
      <c r="L334" s="273" t="s">
        <v>1055</v>
      </c>
      <c r="M334" s="311" t="s">
        <v>194</v>
      </c>
      <c r="N334" s="311" t="s">
        <v>1082</v>
      </c>
      <c r="O334" s="311" t="s">
        <v>169</v>
      </c>
      <c r="P334" s="329"/>
      <c r="Q334" s="330"/>
      <c r="R334" s="154">
        <v>0</v>
      </c>
      <c r="S334" s="155">
        <f>0</f>
        <v>0</v>
      </c>
      <c r="T334" s="263">
        <v>2</v>
      </c>
      <c r="U334" s="158"/>
      <c r="V334" s="158">
        <f>0</f>
        <v>0</v>
      </c>
      <c r="W334" s="155">
        <f>0</f>
        <v>0</v>
      </c>
      <c r="X334" s="155">
        <f>0</f>
        <v>0</v>
      </c>
      <c r="Y334" s="155">
        <f>0</f>
        <v>0</v>
      </c>
      <c r="Z334" s="155">
        <f>0</f>
        <v>0</v>
      </c>
      <c r="AA334" s="155">
        <f>0</f>
        <v>0</v>
      </c>
      <c r="AB334" s="155">
        <f>0</f>
        <v>0</v>
      </c>
      <c r="AC334" s="155">
        <f>0</f>
        <v>0</v>
      </c>
      <c r="AD334" s="155">
        <f>0</f>
        <v>0</v>
      </c>
      <c r="AE334" s="155">
        <f>0</f>
        <v>0</v>
      </c>
      <c r="AF334" s="155">
        <f>0</f>
        <v>0</v>
      </c>
      <c r="AG334" s="155">
        <f>0</f>
        <v>0</v>
      </c>
      <c r="AH334" s="155">
        <f>0</f>
        <v>0</v>
      </c>
      <c r="AI334" s="155">
        <f>0</f>
        <v>0</v>
      </c>
      <c r="AJ334" s="155">
        <f>0</f>
        <v>0</v>
      </c>
      <c r="AK334" s="155">
        <f>0</f>
        <v>0</v>
      </c>
      <c r="AL334" s="219">
        <f t="shared" si="18"/>
        <v>2</v>
      </c>
      <c r="AM334" s="103"/>
      <c r="AN334" s="326">
        <f t="shared" si="19"/>
        <v>2</v>
      </c>
      <c r="AO334" s="348">
        <v>45034</v>
      </c>
      <c r="AP334" s="296" t="s">
        <v>192</v>
      </c>
      <c r="AQ334" s="292" t="s">
        <v>1522</v>
      </c>
      <c r="AR334" s="350" t="s">
        <v>194</v>
      </c>
      <c r="AS334" s="301">
        <v>45078</v>
      </c>
      <c r="AT334" s="318"/>
      <c r="AU334" s="318">
        <v>2</v>
      </c>
      <c r="AV334" s="317">
        <f t="shared" ref="AV334:AV397" si="20">AN334-AU334</f>
        <v>0</v>
      </c>
      <c r="AW334" s="318" t="s">
        <v>195</v>
      </c>
      <c r="AX334" s="333"/>
      <c r="AY334" s="333"/>
      <c r="AZ334" s="320"/>
      <c r="BA334" s="174"/>
      <c r="BB334" s="174"/>
      <c r="BC334" s="174"/>
    </row>
    <row r="335" spans="1:55" ht="28" customHeight="1">
      <c r="A335" s="195">
        <v>331</v>
      </c>
      <c r="B335" s="315">
        <v>45030</v>
      </c>
      <c r="C335" s="222" t="s">
        <v>198</v>
      </c>
      <c r="D335" s="222" t="s">
        <v>199</v>
      </c>
      <c r="E335" s="222" t="s">
        <v>200</v>
      </c>
      <c r="F335" s="371" t="s">
        <v>837</v>
      </c>
      <c r="G335" s="309" t="s">
        <v>1084</v>
      </c>
      <c r="H335" s="337" t="s">
        <v>129</v>
      </c>
      <c r="I335" s="311" t="s">
        <v>1085</v>
      </c>
      <c r="J335" s="312" t="s">
        <v>1086</v>
      </c>
      <c r="K335" s="273" t="s">
        <v>97</v>
      </c>
      <c r="L335" s="273" t="s">
        <v>159</v>
      </c>
      <c r="M335" s="311" t="s">
        <v>156</v>
      </c>
      <c r="N335" s="311" t="s">
        <v>97</v>
      </c>
      <c r="O335" s="311" t="s">
        <v>535</v>
      </c>
      <c r="P335" s="329"/>
      <c r="Q335" s="330"/>
      <c r="R335" s="154">
        <v>0</v>
      </c>
      <c r="S335" s="155">
        <f>0</f>
        <v>0</v>
      </c>
      <c r="T335" s="263">
        <v>1</v>
      </c>
      <c r="U335" s="158"/>
      <c r="V335" s="158">
        <f>0</f>
        <v>0</v>
      </c>
      <c r="W335" s="155">
        <f>0</f>
        <v>0</v>
      </c>
      <c r="X335" s="155">
        <f>0</f>
        <v>0</v>
      </c>
      <c r="Y335" s="155">
        <f>0</f>
        <v>0</v>
      </c>
      <c r="Z335" s="155">
        <f>0</f>
        <v>0</v>
      </c>
      <c r="AA335" s="155">
        <f>0</f>
        <v>0</v>
      </c>
      <c r="AB335" s="155">
        <f>0</f>
        <v>0</v>
      </c>
      <c r="AC335" s="155">
        <f>0</f>
        <v>0</v>
      </c>
      <c r="AD335" s="155">
        <f>0</f>
        <v>0</v>
      </c>
      <c r="AE335" s="155">
        <f>0</f>
        <v>0</v>
      </c>
      <c r="AF335" s="155">
        <f>0</f>
        <v>0</v>
      </c>
      <c r="AG335" s="155">
        <f>0</f>
        <v>0</v>
      </c>
      <c r="AH335" s="155">
        <f>0</f>
        <v>0</v>
      </c>
      <c r="AI335" s="155">
        <f>0</f>
        <v>0</v>
      </c>
      <c r="AJ335" s="155">
        <f>0</f>
        <v>0</v>
      </c>
      <c r="AK335" s="155">
        <f>0</f>
        <v>0</v>
      </c>
      <c r="AL335" s="219">
        <f t="shared" si="18"/>
        <v>1</v>
      </c>
      <c r="AM335" s="103"/>
      <c r="AN335" s="326">
        <f t="shared" si="19"/>
        <v>1</v>
      </c>
      <c r="AO335" s="290">
        <v>45034</v>
      </c>
      <c r="AP335" s="291" t="s">
        <v>192</v>
      </c>
      <c r="AQ335" s="292" t="s">
        <v>1520</v>
      </c>
      <c r="AR335" s="293" t="s">
        <v>197</v>
      </c>
      <c r="AS335" s="321"/>
      <c r="AT335" s="318"/>
      <c r="AU335" s="318">
        <v>1</v>
      </c>
      <c r="AV335" s="317">
        <f t="shared" si="20"/>
        <v>0</v>
      </c>
      <c r="AW335" s="318" t="s">
        <v>195</v>
      </c>
      <c r="AX335" s="333"/>
      <c r="AY335" s="333"/>
      <c r="AZ335" s="320"/>
      <c r="BA335" s="174"/>
      <c r="BB335" s="174"/>
      <c r="BC335" s="174"/>
    </row>
    <row r="336" spans="1:55" ht="28" customHeight="1">
      <c r="A336" s="195">
        <v>332</v>
      </c>
      <c r="B336" s="315">
        <v>45030</v>
      </c>
      <c r="C336" s="222" t="s">
        <v>198</v>
      </c>
      <c r="D336" s="222" t="s">
        <v>199</v>
      </c>
      <c r="E336" s="222" t="s">
        <v>200</v>
      </c>
      <c r="F336" s="371" t="s">
        <v>837</v>
      </c>
      <c r="G336" s="309" t="s">
        <v>1087</v>
      </c>
      <c r="H336" s="337" t="s">
        <v>129</v>
      </c>
      <c r="I336" s="311" t="s">
        <v>1271</v>
      </c>
      <c r="J336" s="312" t="s">
        <v>1088</v>
      </c>
      <c r="K336" s="273" t="s">
        <v>97</v>
      </c>
      <c r="L336" s="273" t="s">
        <v>165</v>
      </c>
      <c r="M336" s="311" t="s">
        <v>147</v>
      </c>
      <c r="N336" s="311" t="s">
        <v>97</v>
      </c>
      <c r="O336" s="311" t="s">
        <v>224</v>
      </c>
      <c r="P336" s="329"/>
      <c r="Q336" s="330"/>
      <c r="R336" s="154">
        <v>0</v>
      </c>
      <c r="S336" s="155">
        <f>0</f>
        <v>0</v>
      </c>
      <c r="T336" s="263">
        <v>1</v>
      </c>
      <c r="U336" s="158"/>
      <c r="V336" s="158">
        <f>0</f>
        <v>0</v>
      </c>
      <c r="W336" s="155">
        <f>0</f>
        <v>0</v>
      </c>
      <c r="X336" s="155">
        <f>0</f>
        <v>0</v>
      </c>
      <c r="Y336" s="155">
        <f>0</f>
        <v>0</v>
      </c>
      <c r="Z336" s="155">
        <f>0</f>
        <v>0</v>
      </c>
      <c r="AA336" s="155">
        <f>0</f>
        <v>0</v>
      </c>
      <c r="AB336" s="155">
        <f>0</f>
        <v>0</v>
      </c>
      <c r="AC336" s="155">
        <f>0</f>
        <v>0</v>
      </c>
      <c r="AD336" s="155">
        <f>0</f>
        <v>0</v>
      </c>
      <c r="AE336" s="155">
        <f>0</f>
        <v>0</v>
      </c>
      <c r="AF336" s="155">
        <f>0</f>
        <v>0</v>
      </c>
      <c r="AG336" s="155">
        <f>0</f>
        <v>0</v>
      </c>
      <c r="AH336" s="155">
        <f>0</f>
        <v>0</v>
      </c>
      <c r="AI336" s="155">
        <f>0</f>
        <v>0</v>
      </c>
      <c r="AJ336" s="155">
        <f>0</f>
        <v>0</v>
      </c>
      <c r="AK336" s="155">
        <f>0</f>
        <v>0</v>
      </c>
      <c r="AL336" s="219">
        <f t="shared" si="18"/>
        <v>1</v>
      </c>
      <c r="AM336" s="103"/>
      <c r="AN336" s="326">
        <f t="shared" si="19"/>
        <v>1</v>
      </c>
      <c r="AO336" s="348">
        <v>45034</v>
      </c>
      <c r="AP336" s="296" t="s">
        <v>192</v>
      </c>
      <c r="AQ336" s="292" t="s">
        <v>1522</v>
      </c>
      <c r="AR336" s="350" t="s">
        <v>194</v>
      </c>
      <c r="AS336" s="301">
        <v>45078</v>
      </c>
      <c r="AT336" s="318"/>
      <c r="AU336" s="318">
        <v>1</v>
      </c>
      <c r="AV336" s="317">
        <f t="shared" si="20"/>
        <v>0</v>
      </c>
      <c r="AW336" s="318" t="s">
        <v>195</v>
      </c>
      <c r="AX336" s="333"/>
      <c r="AY336" s="333"/>
      <c r="AZ336" s="320"/>
      <c r="BA336" s="174"/>
      <c r="BB336" s="174"/>
      <c r="BC336" s="174"/>
    </row>
    <row r="337" spans="1:55" ht="28" customHeight="1">
      <c r="A337" s="195">
        <v>333</v>
      </c>
      <c r="B337" s="315">
        <v>45030</v>
      </c>
      <c r="C337" s="222" t="s">
        <v>198</v>
      </c>
      <c r="D337" s="222" t="s">
        <v>199</v>
      </c>
      <c r="E337" s="222" t="s">
        <v>200</v>
      </c>
      <c r="F337" s="371" t="s">
        <v>837</v>
      </c>
      <c r="G337" s="309" t="s">
        <v>1089</v>
      </c>
      <c r="H337" s="337" t="s">
        <v>129</v>
      </c>
      <c r="I337" s="311" t="s">
        <v>1090</v>
      </c>
      <c r="J337" s="312" t="s">
        <v>1091</v>
      </c>
      <c r="K337" s="273" t="s">
        <v>97</v>
      </c>
      <c r="L337" s="273" t="s">
        <v>165</v>
      </c>
      <c r="M337" s="311" t="s">
        <v>279</v>
      </c>
      <c r="N337" s="311" t="s">
        <v>97</v>
      </c>
      <c r="O337" s="311" t="s">
        <v>296</v>
      </c>
      <c r="P337" s="329"/>
      <c r="Q337" s="330"/>
      <c r="R337" s="154">
        <v>0</v>
      </c>
      <c r="S337" s="155">
        <f>0</f>
        <v>0</v>
      </c>
      <c r="T337" s="263">
        <v>1</v>
      </c>
      <c r="U337" s="158"/>
      <c r="V337" s="158">
        <f>0</f>
        <v>0</v>
      </c>
      <c r="W337" s="155">
        <f>0</f>
        <v>0</v>
      </c>
      <c r="X337" s="155">
        <f>0</f>
        <v>0</v>
      </c>
      <c r="Y337" s="155">
        <f>0</f>
        <v>0</v>
      </c>
      <c r="Z337" s="155">
        <f>0</f>
        <v>0</v>
      </c>
      <c r="AA337" s="155">
        <f>0</f>
        <v>0</v>
      </c>
      <c r="AB337" s="155">
        <f>0</f>
        <v>0</v>
      </c>
      <c r="AC337" s="155">
        <f>0</f>
        <v>0</v>
      </c>
      <c r="AD337" s="155">
        <f>0</f>
        <v>0</v>
      </c>
      <c r="AE337" s="155">
        <f>0</f>
        <v>0</v>
      </c>
      <c r="AF337" s="155">
        <f>0</f>
        <v>0</v>
      </c>
      <c r="AG337" s="155">
        <f>0</f>
        <v>0</v>
      </c>
      <c r="AH337" s="155">
        <f>0</f>
        <v>0</v>
      </c>
      <c r="AI337" s="155">
        <f>0</f>
        <v>0</v>
      </c>
      <c r="AJ337" s="155">
        <f>0</f>
        <v>0</v>
      </c>
      <c r="AK337" s="155">
        <f>0</f>
        <v>0</v>
      </c>
      <c r="AL337" s="219">
        <f t="shared" si="18"/>
        <v>1</v>
      </c>
      <c r="AM337" s="103"/>
      <c r="AN337" s="326">
        <f t="shared" si="19"/>
        <v>1</v>
      </c>
      <c r="AO337" s="348">
        <v>45034</v>
      </c>
      <c r="AP337" s="296" t="s">
        <v>192</v>
      </c>
      <c r="AQ337" s="292" t="s">
        <v>1522</v>
      </c>
      <c r="AR337" s="350" t="s">
        <v>194</v>
      </c>
      <c r="AS337" s="301">
        <v>45078</v>
      </c>
      <c r="AT337" s="318"/>
      <c r="AU337" s="318">
        <v>1</v>
      </c>
      <c r="AV337" s="317">
        <f t="shared" si="20"/>
        <v>0</v>
      </c>
      <c r="AW337" s="318" t="s">
        <v>195</v>
      </c>
      <c r="AX337" s="333"/>
      <c r="AY337" s="333"/>
      <c r="AZ337" s="320"/>
      <c r="BA337" s="174"/>
      <c r="BB337" s="174"/>
      <c r="BC337" s="174"/>
    </row>
    <row r="338" spans="1:55" ht="28" customHeight="1">
      <c r="A338" s="195">
        <v>334</v>
      </c>
      <c r="B338" s="315">
        <v>45030</v>
      </c>
      <c r="C338" s="222" t="s">
        <v>198</v>
      </c>
      <c r="D338" s="222" t="s">
        <v>199</v>
      </c>
      <c r="E338" s="222" t="s">
        <v>200</v>
      </c>
      <c r="F338" s="371" t="s">
        <v>837</v>
      </c>
      <c r="G338" s="309" t="s">
        <v>1092</v>
      </c>
      <c r="H338" s="337" t="s">
        <v>129</v>
      </c>
      <c r="I338" s="311" t="s">
        <v>1272</v>
      </c>
      <c r="J338" s="312" t="s">
        <v>1093</v>
      </c>
      <c r="K338" s="273" t="s">
        <v>97</v>
      </c>
      <c r="L338" s="273" t="s">
        <v>165</v>
      </c>
      <c r="M338" s="311" t="s">
        <v>279</v>
      </c>
      <c r="N338" s="311" t="s">
        <v>97</v>
      </c>
      <c r="O338" s="311" t="s">
        <v>1094</v>
      </c>
      <c r="P338" s="329"/>
      <c r="Q338" s="330"/>
      <c r="R338" s="154">
        <v>0</v>
      </c>
      <c r="S338" s="155">
        <f>0</f>
        <v>0</v>
      </c>
      <c r="T338" s="263">
        <v>1</v>
      </c>
      <c r="U338" s="158"/>
      <c r="V338" s="158">
        <f>0</f>
        <v>0</v>
      </c>
      <c r="W338" s="155">
        <f>0</f>
        <v>0</v>
      </c>
      <c r="X338" s="155">
        <f>0</f>
        <v>0</v>
      </c>
      <c r="Y338" s="155">
        <f>0</f>
        <v>0</v>
      </c>
      <c r="Z338" s="155">
        <f>0</f>
        <v>0</v>
      </c>
      <c r="AA338" s="155">
        <f>0</f>
        <v>0</v>
      </c>
      <c r="AB338" s="155">
        <f>0</f>
        <v>0</v>
      </c>
      <c r="AC338" s="155">
        <f>0</f>
        <v>0</v>
      </c>
      <c r="AD338" s="155">
        <f>0</f>
        <v>0</v>
      </c>
      <c r="AE338" s="155">
        <f>0</f>
        <v>0</v>
      </c>
      <c r="AF338" s="155">
        <f>0</f>
        <v>0</v>
      </c>
      <c r="AG338" s="155">
        <f>0</f>
        <v>0</v>
      </c>
      <c r="AH338" s="155">
        <f>0</f>
        <v>0</v>
      </c>
      <c r="AI338" s="155">
        <f>0</f>
        <v>0</v>
      </c>
      <c r="AJ338" s="155">
        <f>0</f>
        <v>0</v>
      </c>
      <c r="AK338" s="155">
        <f>0</f>
        <v>0</v>
      </c>
      <c r="AL338" s="219">
        <f t="shared" si="18"/>
        <v>1</v>
      </c>
      <c r="AM338" s="103"/>
      <c r="AN338" s="326">
        <f t="shared" si="19"/>
        <v>1</v>
      </c>
      <c r="AO338" s="348">
        <v>45034</v>
      </c>
      <c r="AP338" s="296" t="s">
        <v>192</v>
      </c>
      <c r="AQ338" s="292" t="s">
        <v>1522</v>
      </c>
      <c r="AR338" s="350" t="s">
        <v>194</v>
      </c>
      <c r="AS338" s="301">
        <v>45078</v>
      </c>
      <c r="AT338" s="318"/>
      <c r="AU338" s="318">
        <v>1</v>
      </c>
      <c r="AV338" s="317">
        <f t="shared" si="20"/>
        <v>0</v>
      </c>
      <c r="AW338" s="318" t="s">
        <v>195</v>
      </c>
      <c r="AX338" s="333"/>
      <c r="AY338" s="333"/>
      <c r="AZ338" s="320"/>
      <c r="BA338" s="174"/>
      <c r="BB338" s="174"/>
      <c r="BC338" s="174"/>
    </row>
    <row r="339" spans="1:55" ht="28" customHeight="1">
      <c r="A339" s="195">
        <v>335</v>
      </c>
      <c r="B339" s="315">
        <v>45030</v>
      </c>
      <c r="C339" s="222" t="s">
        <v>198</v>
      </c>
      <c r="D339" s="222" t="s">
        <v>199</v>
      </c>
      <c r="E339" s="222" t="s">
        <v>200</v>
      </c>
      <c r="F339" s="371" t="s">
        <v>837</v>
      </c>
      <c r="G339" s="309" t="s">
        <v>1095</v>
      </c>
      <c r="H339" s="337" t="s">
        <v>129</v>
      </c>
      <c r="I339" s="311" t="s">
        <v>1096</v>
      </c>
      <c r="J339" s="312" t="s">
        <v>1097</v>
      </c>
      <c r="K339" s="273" t="s">
        <v>97</v>
      </c>
      <c r="L339" s="273" t="s">
        <v>176</v>
      </c>
      <c r="M339" s="311" t="s">
        <v>147</v>
      </c>
      <c r="N339" s="311" t="s">
        <v>97</v>
      </c>
      <c r="O339" s="311" t="s">
        <v>224</v>
      </c>
      <c r="P339" s="329"/>
      <c r="Q339" s="330"/>
      <c r="R339" s="154">
        <v>0</v>
      </c>
      <c r="S339" s="155">
        <f>0</f>
        <v>0</v>
      </c>
      <c r="T339" s="263">
        <v>1</v>
      </c>
      <c r="U339" s="158"/>
      <c r="V339" s="158">
        <f>0</f>
        <v>0</v>
      </c>
      <c r="W339" s="155">
        <f>0</f>
        <v>0</v>
      </c>
      <c r="X339" s="155">
        <f>0</f>
        <v>0</v>
      </c>
      <c r="Y339" s="155">
        <f>0</f>
        <v>0</v>
      </c>
      <c r="Z339" s="155">
        <f>0</f>
        <v>0</v>
      </c>
      <c r="AA339" s="155">
        <f>0</f>
        <v>0</v>
      </c>
      <c r="AB339" s="155">
        <f>0</f>
        <v>0</v>
      </c>
      <c r="AC339" s="155">
        <f>0</f>
        <v>0</v>
      </c>
      <c r="AD339" s="155">
        <f>0</f>
        <v>0</v>
      </c>
      <c r="AE339" s="155">
        <f>0</f>
        <v>0</v>
      </c>
      <c r="AF339" s="155">
        <f>0</f>
        <v>0</v>
      </c>
      <c r="AG339" s="155">
        <f>0</f>
        <v>0</v>
      </c>
      <c r="AH339" s="155">
        <f>0</f>
        <v>0</v>
      </c>
      <c r="AI339" s="155">
        <f>0</f>
        <v>0</v>
      </c>
      <c r="AJ339" s="155">
        <f>0</f>
        <v>0</v>
      </c>
      <c r="AK339" s="155">
        <f>0</f>
        <v>0</v>
      </c>
      <c r="AL339" s="219">
        <f t="shared" si="18"/>
        <v>1</v>
      </c>
      <c r="AM339" s="103"/>
      <c r="AN339" s="326">
        <f t="shared" si="19"/>
        <v>1</v>
      </c>
      <c r="AO339" s="348">
        <v>45034</v>
      </c>
      <c r="AP339" s="296" t="s">
        <v>192</v>
      </c>
      <c r="AQ339" s="292" t="s">
        <v>1522</v>
      </c>
      <c r="AR339" s="350" t="s">
        <v>194</v>
      </c>
      <c r="AS339" s="301">
        <v>45078</v>
      </c>
      <c r="AT339" s="318"/>
      <c r="AU339" s="318">
        <v>1</v>
      </c>
      <c r="AV339" s="317">
        <f t="shared" si="20"/>
        <v>0</v>
      </c>
      <c r="AW339" s="318" t="s">
        <v>195</v>
      </c>
      <c r="AX339" s="333"/>
      <c r="AY339" s="333"/>
      <c r="AZ339" s="320"/>
      <c r="BA339" s="174"/>
      <c r="BB339" s="174"/>
      <c r="BC339" s="174"/>
    </row>
    <row r="340" spans="1:55" ht="28" customHeight="1">
      <c r="A340" s="195">
        <v>336</v>
      </c>
      <c r="B340" s="315">
        <v>45030</v>
      </c>
      <c r="C340" s="222" t="s">
        <v>198</v>
      </c>
      <c r="D340" s="222" t="s">
        <v>199</v>
      </c>
      <c r="E340" s="222" t="s">
        <v>200</v>
      </c>
      <c r="F340" s="371" t="s">
        <v>837</v>
      </c>
      <c r="G340" s="309" t="s">
        <v>1098</v>
      </c>
      <c r="H340" s="337" t="s">
        <v>129</v>
      </c>
      <c r="I340" s="311" t="s">
        <v>1099</v>
      </c>
      <c r="J340" s="312" t="s">
        <v>1100</v>
      </c>
      <c r="K340" s="273" t="s">
        <v>97</v>
      </c>
      <c r="L340" s="273" t="s">
        <v>159</v>
      </c>
      <c r="M340" s="311" t="s">
        <v>156</v>
      </c>
      <c r="N340" s="311" t="s">
        <v>97</v>
      </c>
      <c r="O340" s="311" t="s">
        <v>204</v>
      </c>
      <c r="P340" s="329"/>
      <c r="Q340" s="330"/>
      <c r="R340" s="154">
        <v>0</v>
      </c>
      <c r="S340" s="155">
        <f>0</f>
        <v>0</v>
      </c>
      <c r="T340" s="263">
        <v>2</v>
      </c>
      <c r="U340" s="158"/>
      <c r="V340" s="158">
        <f>0</f>
        <v>0</v>
      </c>
      <c r="W340" s="155">
        <f>0</f>
        <v>0</v>
      </c>
      <c r="X340" s="155">
        <f>0</f>
        <v>0</v>
      </c>
      <c r="Y340" s="155">
        <f>0</f>
        <v>0</v>
      </c>
      <c r="Z340" s="155">
        <f>0</f>
        <v>0</v>
      </c>
      <c r="AA340" s="155">
        <f>0</f>
        <v>0</v>
      </c>
      <c r="AB340" s="155">
        <f>0</f>
        <v>0</v>
      </c>
      <c r="AC340" s="155">
        <f>0</f>
        <v>0</v>
      </c>
      <c r="AD340" s="155">
        <f>0</f>
        <v>0</v>
      </c>
      <c r="AE340" s="155">
        <f>0</f>
        <v>0</v>
      </c>
      <c r="AF340" s="155">
        <f>0</f>
        <v>0</v>
      </c>
      <c r="AG340" s="155">
        <f>0</f>
        <v>0</v>
      </c>
      <c r="AH340" s="155">
        <f>0</f>
        <v>0</v>
      </c>
      <c r="AI340" s="155">
        <f>0</f>
        <v>0</v>
      </c>
      <c r="AJ340" s="155">
        <f>0</f>
        <v>0</v>
      </c>
      <c r="AK340" s="155">
        <f>0</f>
        <v>0</v>
      </c>
      <c r="AL340" s="219">
        <f t="shared" si="18"/>
        <v>2</v>
      </c>
      <c r="AM340" s="103"/>
      <c r="AN340" s="326">
        <f t="shared" si="19"/>
        <v>2</v>
      </c>
      <c r="AO340" s="290">
        <v>45034</v>
      </c>
      <c r="AP340" s="291" t="s">
        <v>192</v>
      </c>
      <c r="AQ340" s="292" t="s">
        <v>1520</v>
      </c>
      <c r="AR340" s="293" t="s">
        <v>197</v>
      </c>
      <c r="AS340" s="321"/>
      <c r="AT340" s="318"/>
      <c r="AU340" s="318">
        <v>2</v>
      </c>
      <c r="AV340" s="317">
        <f t="shared" si="20"/>
        <v>0</v>
      </c>
      <c r="AW340" s="318" t="s">
        <v>195</v>
      </c>
      <c r="AX340" s="333"/>
      <c r="AY340" s="333"/>
      <c r="AZ340" s="320"/>
      <c r="BA340" s="174"/>
      <c r="BB340" s="174"/>
      <c r="BC340" s="174"/>
    </row>
    <row r="341" spans="1:55" ht="28" customHeight="1">
      <c r="A341" s="195">
        <v>337</v>
      </c>
      <c r="B341" s="315">
        <v>45030</v>
      </c>
      <c r="C341" s="222" t="s">
        <v>198</v>
      </c>
      <c r="D341" s="222" t="s">
        <v>199</v>
      </c>
      <c r="E341" s="222" t="s">
        <v>200</v>
      </c>
      <c r="F341" s="371" t="s">
        <v>837</v>
      </c>
      <c r="G341" s="309" t="s">
        <v>1101</v>
      </c>
      <c r="H341" s="337" t="s">
        <v>129</v>
      </c>
      <c r="I341" s="311" t="s">
        <v>1102</v>
      </c>
      <c r="J341" s="312" t="s">
        <v>1103</v>
      </c>
      <c r="K341" s="273" t="s">
        <v>97</v>
      </c>
      <c r="L341" s="273" t="s">
        <v>165</v>
      </c>
      <c r="M341" s="311" t="s">
        <v>147</v>
      </c>
      <c r="N341" s="311" t="s">
        <v>97</v>
      </c>
      <c r="O341" s="311" t="s">
        <v>587</v>
      </c>
      <c r="P341" s="329"/>
      <c r="Q341" s="330"/>
      <c r="R341" s="154">
        <v>0</v>
      </c>
      <c r="S341" s="155">
        <f>0</f>
        <v>0</v>
      </c>
      <c r="T341" s="263">
        <v>2</v>
      </c>
      <c r="U341" s="158"/>
      <c r="V341" s="158">
        <f>0</f>
        <v>0</v>
      </c>
      <c r="W341" s="155">
        <f>0</f>
        <v>0</v>
      </c>
      <c r="X341" s="155">
        <f>0</f>
        <v>0</v>
      </c>
      <c r="Y341" s="155">
        <f>0</f>
        <v>0</v>
      </c>
      <c r="Z341" s="155">
        <f>0</f>
        <v>0</v>
      </c>
      <c r="AA341" s="155">
        <f>0</f>
        <v>0</v>
      </c>
      <c r="AB341" s="155">
        <f>0</f>
        <v>0</v>
      </c>
      <c r="AC341" s="155">
        <f>0</f>
        <v>0</v>
      </c>
      <c r="AD341" s="155">
        <f>0</f>
        <v>0</v>
      </c>
      <c r="AE341" s="155">
        <f>0</f>
        <v>0</v>
      </c>
      <c r="AF341" s="155">
        <f>0</f>
        <v>0</v>
      </c>
      <c r="AG341" s="155">
        <f>0</f>
        <v>0</v>
      </c>
      <c r="AH341" s="155">
        <f>0</f>
        <v>0</v>
      </c>
      <c r="AI341" s="155">
        <f>0</f>
        <v>0</v>
      </c>
      <c r="AJ341" s="155">
        <f>0</f>
        <v>0</v>
      </c>
      <c r="AK341" s="155">
        <f>0</f>
        <v>0</v>
      </c>
      <c r="AL341" s="219">
        <f t="shared" si="18"/>
        <v>2</v>
      </c>
      <c r="AM341" s="103"/>
      <c r="AN341" s="326">
        <f t="shared" si="19"/>
        <v>2</v>
      </c>
      <c r="AO341" s="348">
        <v>45034</v>
      </c>
      <c r="AP341" s="296" t="s">
        <v>192</v>
      </c>
      <c r="AQ341" s="292" t="s">
        <v>1522</v>
      </c>
      <c r="AR341" s="350" t="s">
        <v>194</v>
      </c>
      <c r="AS341" s="301">
        <v>45078</v>
      </c>
      <c r="AT341" s="318"/>
      <c r="AU341" s="318">
        <v>2</v>
      </c>
      <c r="AV341" s="317">
        <f t="shared" si="20"/>
        <v>0</v>
      </c>
      <c r="AW341" s="318" t="s">
        <v>195</v>
      </c>
      <c r="AX341" s="333"/>
      <c r="AY341" s="333"/>
      <c r="AZ341" s="320"/>
      <c r="BA341" s="174"/>
      <c r="BB341" s="174"/>
      <c r="BC341" s="174"/>
    </row>
    <row r="342" spans="1:55" ht="28" customHeight="1">
      <c r="A342" s="195">
        <v>338</v>
      </c>
      <c r="B342" s="315">
        <v>45030</v>
      </c>
      <c r="C342" s="222" t="s">
        <v>198</v>
      </c>
      <c r="D342" s="222" t="s">
        <v>199</v>
      </c>
      <c r="E342" s="222" t="s">
        <v>200</v>
      </c>
      <c r="F342" s="371" t="s">
        <v>837</v>
      </c>
      <c r="G342" s="309" t="s">
        <v>1104</v>
      </c>
      <c r="H342" s="337" t="s">
        <v>129</v>
      </c>
      <c r="I342" s="311" t="s">
        <v>1105</v>
      </c>
      <c r="J342" s="312" t="s">
        <v>1106</v>
      </c>
      <c r="K342" s="273" t="s">
        <v>97</v>
      </c>
      <c r="L342" s="273" t="s">
        <v>165</v>
      </c>
      <c r="M342" s="311" t="s">
        <v>147</v>
      </c>
      <c r="N342" s="311" t="s">
        <v>97</v>
      </c>
      <c r="O342" s="311" t="s">
        <v>224</v>
      </c>
      <c r="P342" s="329"/>
      <c r="Q342" s="330"/>
      <c r="R342" s="154">
        <v>0</v>
      </c>
      <c r="S342" s="155">
        <f>0</f>
        <v>0</v>
      </c>
      <c r="T342" s="263">
        <v>2</v>
      </c>
      <c r="U342" s="158"/>
      <c r="V342" s="158">
        <f>0</f>
        <v>0</v>
      </c>
      <c r="W342" s="155">
        <f>0</f>
        <v>0</v>
      </c>
      <c r="X342" s="155">
        <f>0</f>
        <v>0</v>
      </c>
      <c r="Y342" s="155">
        <f>0</f>
        <v>0</v>
      </c>
      <c r="Z342" s="155">
        <f>0</f>
        <v>0</v>
      </c>
      <c r="AA342" s="155">
        <f>0</f>
        <v>0</v>
      </c>
      <c r="AB342" s="155">
        <f>0</f>
        <v>0</v>
      </c>
      <c r="AC342" s="155">
        <f>0</f>
        <v>0</v>
      </c>
      <c r="AD342" s="155">
        <f>0</f>
        <v>0</v>
      </c>
      <c r="AE342" s="155">
        <f>0</f>
        <v>0</v>
      </c>
      <c r="AF342" s="155">
        <f>0</f>
        <v>0</v>
      </c>
      <c r="AG342" s="155">
        <f>0</f>
        <v>0</v>
      </c>
      <c r="AH342" s="155">
        <f>0</f>
        <v>0</v>
      </c>
      <c r="AI342" s="155">
        <f>0</f>
        <v>0</v>
      </c>
      <c r="AJ342" s="155">
        <f>0</f>
        <v>0</v>
      </c>
      <c r="AK342" s="155">
        <f>0</f>
        <v>0</v>
      </c>
      <c r="AL342" s="219">
        <f t="shared" si="18"/>
        <v>2</v>
      </c>
      <c r="AM342" s="103"/>
      <c r="AN342" s="326">
        <f t="shared" si="19"/>
        <v>2</v>
      </c>
      <c r="AO342" s="348">
        <v>45034</v>
      </c>
      <c r="AP342" s="296" t="s">
        <v>192</v>
      </c>
      <c r="AQ342" s="292" t="s">
        <v>1522</v>
      </c>
      <c r="AR342" s="350" t="s">
        <v>194</v>
      </c>
      <c r="AS342" s="301">
        <v>45078</v>
      </c>
      <c r="AT342" s="318"/>
      <c r="AU342" s="318">
        <v>2</v>
      </c>
      <c r="AV342" s="317">
        <f t="shared" si="20"/>
        <v>0</v>
      </c>
      <c r="AW342" s="318" t="s">
        <v>195</v>
      </c>
      <c r="AX342" s="333"/>
      <c r="AY342" s="333"/>
      <c r="AZ342" s="320"/>
      <c r="BA342" s="174"/>
      <c r="BB342" s="174"/>
      <c r="BC342" s="174"/>
    </row>
    <row r="343" spans="1:55" ht="28" customHeight="1">
      <c r="A343" s="195">
        <v>339</v>
      </c>
      <c r="B343" s="315">
        <v>45030</v>
      </c>
      <c r="C343" s="222" t="s">
        <v>198</v>
      </c>
      <c r="D343" s="222" t="s">
        <v>199</v>
      </c>
      <c r="E343" s="222" t="s">
        <v>200</v>
      </c>
      <c r="F343" s="371" t="s">
        <v>837</v>
      </c>
      <c r="G343" s="309" t="s">
        <v>1107</v>
      </c>
      <c r="H343" s="337" t="s">
        <v>129</v>
      </c>
      <c r="I343" s="311" t="s">
        <v>1108</v>
      </c>
      <c r="J343" s="312" t="s">
        <v>1109</v>
      </c>
      <c r="K343" s="273" t="s">
        <v>97</v>
      </c>
      <c r="L343" s="273" t="s">
        <v>168</v>
      </c>
      <c r="M343" s="311" t="s">
        <v>147</v>
      </c>
      <c r="N343" s="311" t="s">
        <v>97</v>
      </c>
      <c r="O343" s="311" t="s">
        <v>169</v>
      </c>
      <c r="P343" s="329"/>
      <c r="Q343" s="330"/>
      <c r="R343" s="154">
        <v>0</v>
      </c>
      <c r="S343" s="155">
        <f>0</f>
        <v>0</v>
      </c>
      <c r="T343" s="263">
        <v>4</v>
      </c>
      <c r="U343" s="158"/>
      <c r="V343" s="158">
        <f>0</f>
        <v>0</v>
      </c>
      <c r="W343" s="155">
        <f>0</f>
        <v>0</v>
      </c>
      <c r="X343" s="155">
        <f>0</f>
        <v>0</v>
      </c>
      <c r="Y343" s="155">
        <f>0</f>
        <v>0</v>
      </c>
      <c r="Z343" s="155">
        <f>0</f>
        <v>0</v>
      </c>
      <c r="AA343" s="155">
        <f>0</f>
        <v>0</v>
      </c>
      <c r="AB343" s="155">
        <f>0</f>
        <v>0</v>
      </c>
      <c r="AC343" s="155">
        <f>0</f>
        <v>0</v>
      </c>
      <c r="AD343" s="155">
        <f>0</f>
        <v>0</v>
      </c>
      <c r="AE343" s="155">
        <f>0</f>
        <v>0</v>
      </c>
      <c r="AF343" s="155">
        <f>0</f>
        <v>0</v>
      </c>
      <c r="AG343" s="155">
        <f>0</f>
        <v>0</v>
      </c>
      <c r="AH343" s="155">
        <f>0</f>
        <v>0</v>
      </c>
      <c r="AI343" s="155">
        <f>0</f>
        <v>0</v>
      </c>
      <c r="AJ343" s="155">
        <f>0</f>
        <v>0</v>
      </c>
      <c r="AK343" s="155">
        <f>0</f>
        <v>0</v>
      </c>
      <c r="AL343" s="219">
        <f t="shared" si="18"/>
        <v>4</v>
      </c>
      <c r="AM343" s="103"/>
      <c r="AN343" s="326">
        <f t="shared" si="19"/>
        <v>4</v>
      </c>
      <c r="AO343" s="348">
        <v>45034</v>
      </c>
      <c r="AP343" s="296" t="s">
        <v>192</v>
      </c>
      <c r="AQ343" s="292" t="s">
        <v>1522</v>
      </c>
      <c r="AR343" s="350" t="s">
        <v>194</v>
      </c>
      <c r="AS343" s="301">
        <v>45078</v>
      </c>
      <c r="AT343" s="318"/>
      <c r="AU343" s="318">
        <v>4</v>
      </c>
      <c r="AV343" s="317">
        <f t="shared" si="20"/>
        <v>0</v>
      </c>
      <c r="AW343" s="318" t="s">
        <v>195</v>
      </c>
      <c r="AX343" s="333"/>
      <c r="AY343" s="333"/>
      <c r="AZ343" s="320"/>
      <c r="BA343" s="174"/>
      <c r="BB343" s="174"/>
      <c r="BC343" s="174"/>
    </row>
    <row r="344" spans="1:55" ht="28" customHeight="1">
      <c r="A344" s="195">
        <v>340</v>
      </c>
      <c r="B344" s="315">
        <v>45030</v>
      </c>
      <c r="C344" s="222" t="s">
        <v>198</v>
      </c>
      <c r="D344" s="222" t="s">
        <v>199</v>
      </c>
      <c r="E344" s="222" t="s">
        <v>200</v>
      </c>
      <c r="F344" s="371" t="s">
        <v>837</v>
      </c>
      <c r="G344" s="309" t="s">
        <v>1110</v>
      </c>
      <c r="H344" s="337" t="s">
        <v>129</v>
      </c>
      <c r="I344" s="311" t="s">
        <v>174</v>
      </c>
      <c r="J344" s="312" t="s">
        <v>1111</v>
      </c>
      <c r="K344" s="273" t="s">
        <v>97</v>
      </c>
      <c r="L344" s="273" t="s">
        <v>999</v>
      </c>
      <c r="M344" s="311" t="s">
        <v>147</v>
      </c>
      <c r="N344" s="311" t="s">
        <v>97</v>
      </c>
      <c r="O344" s="311" t="s">
        <v>169</v>
      </c>
      <c r="P344" s="329"/>
      <c r="Q344" s="330"/>
      <c r="R344" s="154">
        <v>0</v>
      </c>
      <c r="S344" s="155">
        <f>0</f>
        <v>0</v>
      </c>
      <c r="T344" s="263">
        <v>4</v>
      </c>
      <c r="U344" s="158"/>
      <c r="V344" s="158">
        <f>0</f>
        <v>0</v>
      </c>
      <c r="W344" s="155">
        <f>0</f>
        <v>0</v>
      </c>
      <c r="X344" s="155">
        <f>0</f>
        <v>0</v>
      </c>
      <c r="Y344" s="155">
        <f>0</f>
        <v>0</v>
      </c>
      <c r="Z344" s="155">
        <f>0</f>
        <v>0</v>
      </c>
      <c r="AA344" s="155">
        <f>0</f>
        <v>0</v>
      </c>
      <c r="AB344" s="155">
        <f>0</f>
        <v>0</v>
      </c>
      <c r="AC344" s="155">
        <f>0</f>
        <v>0</v>
      </c>
      <c r="AD344" s="155">
        <f>0</f>
        <v>0</v>
      </c>
      <c r="AE344" s="155">
        <f>0</f>
        <v>0</v>
      </c>
      <c r="AF344" s="155">
        <f>0</f>
        <v>0</v>
      </c>
      <c r="AG344" s="155">
        <f>0</f>
        <v>0</v>
      </c>
      <c r="AH344" s="155">
        <f>0</f>
        <v>0</v>
      </c>
      <c r="AI344" s="155">
        <f>0</f>
        <v>0</v>
      </c>
      <c r="AJ344" s="155">
        <f>0</f>
        <v>0</v>
      </c>
      <c r="AK344" s="155">
        <f>0</f>
        <v>0</v>
      </c>
      <c r="AL344" s="219">
        <f t="shared" si="18"/>
        <v>4</v>
      </c>
      <c r="AM344" s="103"/>
      <c r="AN344" s="326">
        <f t="shared" si="19"/>
        <v>4</v>
      </c>
      <c r="AO344" s="348">
        <v>45034</v>
      </c>
      <c r="AP344" s="296" t="s">
        <v>192</v>
      </c>
      <c r="AQ344" s="292" t="s">
        <v>1522</v>
      </c>
      <c r="AR344" s="350" t="s">
        <v>194</v>
      </c>
      <c r="AS344" s="301">
        <v>45078</v>
      </c>
      <c r="AT344" s="318"/>
      <c r="AU344" s="318">
        <v>4</v>
      </c>
      <c r="AV344" s="317">
        <f t="shared" si="20"/>
        <v>0</v>
      </c>
      <c r="AW344" s="318" t="s">
        <v>195</v>
      </c>
      <c r="AX344" s="333"/>
      <c r="AY344" s="333"/>
      <c r="AZ344" s="320"/>
      <c r="BA344" s="174"/>
      <c r="BB344" s="174"/>
      <c r="BC344" s="174"/>
    </row>
    <row r="345" spans="1:55" ht="28" customHeight="1">
      <c r="A345" s="195">
        <v>341</v>
      </c>
      <c r="B345" s="315">
        <v>45030</v>
      </c>
      <c r="C345" s="222" t="s">
        <v>198</v>
      </c>
      <c r="D345" s="222" t="s">
        <v>199</v>
      </c>
      <c r="E345" s="222" t="s">
        <v>200</v>
      </c>
      <c r="F345" s="371" t="s">
        <v>837</v>
      </c>
      <c r="G345" s="309" t="s">
        <v>1112</v>
      </c>
      <c r="H345" s="337" t="s">
        <v>129</v>
      </c>
      <c r="I345" s="311" t="s">
        <v>1113</v>
      </c>
      <c r="J345" s="312" t="s">
        <v>1114</v>
      </c>
      <c r="K345" s="273" t="s">
        <v>97</v>
      </c>
      <c r="L345" s="273" t="s">
        <v>159</v>
      </c>
      <c r="M345" s="311" t="s">
        <v>156</v>
      </c>
      <c r="N345" s="311" t="s">
        <v>97</v>
      </c>
      <c r="O345" s="311" t="s">
        <v>535</v>
      </c>
      <c r="P345" s="329"/>
      <c r="Q345" s="330"/>
      <c r="R345" s="154">
        <v>0</v>
      </c>
      <c r="S345" s="155">
        <f>0</f>
        <v>0</v>
      </c>
      <c r="T345" s="263">
        <v>2</v>
      </c>
      <c r="U345" s="158"/>
      <c r="V345" s="158">
        <f>0</f>
        <v>0</v>
      </c>
      <c r="W345" s="155">
        <f>0</f>
        <v>0</v>
      </c>
      <c r="X345" s="155">
        <f>0</f>
        <v>0</v>
      </c>
      <c r="Y345" s="155">
        <f>0</f>
        <v>0</v>
      </c>
      <c r="Z345" s="155">
        <f>0</f>
        <v>0</v>
      </c>
      <c r="AA345" s="155">
        <f>0</f>
        <v>0</v>
      </c>
      <c r="AB345" s="155">
        <f>0</f>
        <v>0</v>
      </c>
      <c r="AC345" s="155">
        <f>0</f>
        <v>0</v>
      </c>
      <c r="AD345" s="155">
        <f>0</f>
        <v>0</v>
      </c>
      <c r="AE345" s="155">
        <f>0</f>
        <v>0</v>
      </c>
      <c r="AF345" s="155">
        <f>0</f>
        <v>0</v>
      </c>
      <c r="AG345" s="155">
        <f>0</f>
        <v>0</v>
      </c>
      <c r="AH345" s="155">
        <f>0</f>
        <v>0</v>
      </c>
      <c r="AI345" s="155">
        <f>0</f>
        <v>0</v>
      </c>
      <c r="AJ345" s="155">
        <f>0</f>
        <v>0</v>
      </c>
      <c r="AK345" s="155">
        <f>0</f>
        <v>0</v>
      </c>
      <c r="AL345" s="219">
        <f t="shared" si="18"/>
        <v>2</v>
      </c>
      <c r="AM345" s="103"/>
      <c r="AN345" s="326">
        <f t="shared" si="19"/>
        <v>2</v>
      </c>
      <c r="AO345" s="290">
        <v>45034</v>
      </c>
      <c r="AP345" s="291" t="s">
        <v>192</v>
      </c>
      <c r="AQ345" s="292" t="s">
        <v>1520</v>
      </c>
      <c r="AR345" s="293" t="s">
        <v>197</v>
      </c>
      <c r="AS345" s="321"/>
      <c r="AT345" s="318"/>
      <c r="AU345" s="318">
        <v>2</v>
      </c>
      <c r="AV345" s="317">
        <f t="shared" si="20"/>
        <v>0</v>
      </c>
      <c r="AW345" s="318" t="s">
        <v>195</v>
      </c>
      <c r="AX345" s="333"/>
      <c r="AY345" s="333"/>
      <c r="AZ345" s="320"/>
      <c r="BA345" s="174"/>
      <c r="BB345" s="174"/>
      <c r="BC345" s="174"/>
    </row>
    <row r="346" spans="1:55" ht="28" customHeight="1">
      <c r="A346" s="195">
        <v>342</v>
      </c>
      <c r="B346" s="315">
        <v>45030</v>
      </c>
      <c r="C346" s="365"/>
      <c r="D346" s="365"/>
      <c r="E346" s="365"/>
      <c r="F346" s="371" t="s">
        <v>837</v>
      </c>
      <c r="G346" s="309" t="s">
        <v>1112</v>
      </c>
      <c r="H346" s="337" t="s">
        <v>129</v>
      </c>
      <c r="I346" s="311" t="s">
        <v>1113</v>
      </c>
      <c r="J346" s="312" t="s">
        <v>1115</v>
      </c>
      <c r="K346" s="273" t="s">
        <v>97</v>
      </c>
      <c r="L346" s="273" t="s">
        <v>159</v>
      </c>
      <c r="M346" s="311" t="s">
        <v>156</v>
      </c>
      <c r="N346" s="311" t="s">
        <v>97</v>
      </c>
      <c r="O346" s="311" t="s">
        <v>535</v>
      </c>
      <c r="P346" s="329"/>
      <c r="Q346" s="330"/>
      <c r="R346" s="154">
        <v>0</v>
      </c>
      <c r="S346" s="155">
        <f>0</f>
        <v>0</v>
      </c>
      <c r="T346" s="263">
        <v>2</v>
      </c>
      <c r="U346" s="158"/>
      <c r="V346" s="158">
        <f>0</f>
        <v>0</v>
      </c>
      <c r="W346" s="155">
        <f>0</f>
        <v>0</v>
      </c>
      <c r="X346" s="155">
        <f>0</f>
        <v>0</v>
      </c>
      <c r="Y346" s="155">
        <f>0</f>
        <v>0</v>
      </c>
      <c r="Z346" s="155">
        <f>0</f>
        <v>0</v>
      </c>
      <c r="AA346" s="155">
        <f>0</f>
        <v>0</v>
      </c>
      <c r="AB346" s="155">
        <f>0</f>
        <v>0</v>
      </c>
      <c r="AC346" s="155">
        <f>0</f>
        <v>0</v>
      </c>
      <c r="AD346" s="155">
        <f>0</f>
        <v>0</v>
      </c>
      <c r="AE346" s="155">
        <f>0</f>
        <v>0</v>
      </c>
      <c r="AF346" s="155">
        <f>0</f>
        <v>0</v>
      </c>
      <c r="AG346" s="155">
        <f>0</f>
        <v>0</v>
      </c>
      <c r="AH346" s="155">
        <f>0</f>
        <v>0</v>
      </c>
      <c r="AI346" s="155">
        <f>0</f>
        <v>0</v>
      </c>
      <c r="AJ346" s="155">
        <f>0</f>
        <v>0</v>
      </c>
      <c r="AK346" s="155">
        <f>0</f>
        <v>0</v>
      </c>
      <c r="AL346" s="219">
        <f t="shared" si="18"/>
        <v>2</v>
      </c>
      <c r="AM346" s="103"/>
      <c r="AN346" s="326">
        <f t="shared" si="19"/>
        <v>2</v>
      </c>
      <c r="AO346" s="290">
        <v>45034</v>
      </c>
      <c r="AP346" s="291" t="s">
        <v>192</v>
      </c>
      <c r="AQ346" s="292" t="s">
        <v>1520</v>
      </c>
      <c r="AR346" s="293" t="s">
        <v>197</v>
      </c>
      <c r="AS346" s="321"/>
      <c r="AT346" s="318"/>
      <c r="AU346" s="318">
        <v>2</v>
      </c>
      <c r="AV346" s="317">
        <f t="shared" si="20"/>
        <v>0</v>
      </c>
      <c r="AW346" s="318" t="s">
        <v>195</v>
      </c>
      <c r="AX346" s="333"/>
      <c r="AY346" s="333"/>
      <c r="AZ346" s="320"/>
      <c r="BA346" s="174"/>
      <c r="BB346" s="174"/>
      <c r="BC346" s="174"/>
    </row>
    <row r="347" spans="1:55" ht="28" customHeight="1">
      <c r="A347" s="195">
        <v>343</v>
      </c>
      <c r="B347" s="315">
        <v>45030</v>
      </c>
      <c r="C347" s="222" t="s">
        <v>198</v>
      </c>
      <c r="D347" s="222" t="s">
        <v>199</v>
      </c>
      <c r="E347" s="222" t="s">
        <v>200</v>
      </c>
      <c r="F347" s="371" t="s">
        <v>837</v>
      </c>
      <c r="G347" s="309" t="s">
        <v>1116</v>
      </c>
      <c r="H347" s="337" t="s">
        <v>129</v>
      </c>
      <c r="I347" s="311" t="s">
        <v>1273</v>
      </c>
      <c r="J347" s="312" t="s">
        <v>1117</v>
      </c>
      <c r="K347" s="273" t="s">
        <v>97</v>
      </c>
      <c r="L347" s="273" t="s">
        <v>159</v>
      </c>
      <c r="M347" s="311" t="s">
        <v>156</v>
      </c>
      <c r="N347" s="311" t="s">
        <v>97</v>
      </c>
      <c r="O347" s="311" t="s">
        <v>204</v>
      </c>
      <c r="P347" s="329"/>
      <c r="Q347" s="330"/>
      <c r="R347" s="154">
        <v>0</v>
      </c>
      <c r="S347" s="155">
        <f>0</f>
        <v>0</v>
      </c>
      <c r="T347" s="263">
        <v>2</v>
      </c>
      <c r="U347" s="158"/>
      <c r="V347" s="158">
        <f>0</f>
        <v>0</v>
      </c>
      <c r="W347" s="155">
        <f>0</f>
        <v>0</v>
      </c>
      <c r="X347" s="155">
        <f>0</f>
        <v>0</v>
      </c>
      <c r="Y347" s="155">
        <f>0</f>
        <v>0</v>
      </c>
      <c r="Z347" s="155">
        <f>0</f>
        <v>0</v>
      </c>
      <c r="AA347" s="155">
        <f>0</f>
        <v>0</v>
      </c>
      <c r="AB347" s="155">
        <f>0</f>
        <v>0</v>
      </c>
      <c r="AC347" s="155">
        <f>0</f>
        <v>0</v>
      </c>
      <c r="AD347" s="155">
        <f>0</f>
        <v>0</v>
      </c>
      <c r="AE347" s="155">
        <f>0</f>
        <v>0</v>
      </c>
      <c r="AF347" s="155">
        <f>0</f>
        <v>0</v>
      </c>
      <c r="AG347" s="155">
        <f>0</f>
        <v>0</v>
      </c>
      <c r="AH347" s="155">
        <f>0</f>
        <v>0</v>
      </c>
      <c r="AI347" s="155">
        <f>0</f>
        <v>0</v>
      </c>
      <c r="AJ347" s="155">
        <f>0</f>
        <v>0</v>
      </c>
      <c r="AK347" s="155">
        <f>0</f>
        <v>0</v>
      </c>
      <c r="AL347" s="219">
        <f t="shared" si="18"/>
        <v>2</v>
      </c>
      <c r="AM347" s="103"/>
      <c r="AN347" s="326">
        <f t="shared" si="19"/>
        <v>2</v>
      </c>
      <c r="AO347" s="290">
        <v>45034</v>
      </c>
      <c r="AP347" s="291" t="s">
        <v>192</v>
      </c>
      <c r="AQ347" s="292" t="s">
        <v>1520</v>
      </c>
      <c r="AR347" s="293" t="s">
        <v>197</v>
      </c>
      <c r="AS347" s="321"/>
      <c r="AT347" s="318"/>
      <c r="AU347" s="318">
        <v>2</v>
      </c>
      <c r="AV347" s="317">
        <f t="shared" si="20"/>
        <v>0</v>
      </c>
      <c r="AW347" s="318" t="s">
        <v>195</v>
      </c>
      <c r="AX347" s="333"/>
      <c r="AY347" s="333"/>
      <c r="AZ347" s="320"/>
      <c r="BA347" s="174"/>
      <c r="BB347" s="174"/>
      <c r="BC347" s="174"/>
    </row>
    <row r="348" spans="1:55" ht="28" customHeight="1">
      <c r="A348" s="195">
        <v>344</v>
      </c>
      <c r="B348" s="315">
        <v>45030</v>
      </c>
      <c r="C348" s="222" t="s">
        <v>198</v>
      </c>
      <c r="D348" s="222" t="s">
        <v>199</v>
      </c>
      <c r="E348" s="222" t="s">
        <v>200</v>
      </c>
      <c r="F348" s="371" t="s">
        <v>837</v>
      </c>
      <c r="G348" s="309" t="s">
        <v>1118</v>
      </c>
      <c r="H348" s="337" t="s">
        <v>129</v>
      </c>
      <c r="I348" s="311" t="s">
        <v>1119</v>
      </c>
      <c r="J348" s="312" t="s">
        <v>1120</v>
      </c>
      <c r="K348" s="273"/>
      <c r="L348" s="273" t="s">
        <v>159</v>
      </c>
      <c r="M348" s="311" t="s">
        <v>156</v>
      </c>
      <c r="N348" s="311"/>
      <c r="O348" s="311" t="s">
        <v>535</v>
      </c>
      <c r="P348" s="329"/>
      <c r="Q348" s="330"/>
      <c r="R348" s="154">
        <v>0</v>
      </c>
      <c r="S348" s="155">
        <f>0</f>
        <v>0</v>
      </c>
      <c r="T348" s="263">
        <v>2</v>
      </c>
      <c r="U348" s="158"/>
      <c r="V348" s="158">
        <f>0</f>
        <v>0</v>
      </c>
      <c r="W348" s="155">
        <f>0</f>
        <v>0</v>
      </c>
      <c r="X348" s="155">
        <f>0</f>
        <v>0</v>
      </c>
      <c r="Y348" s="155">
        <f>0</f>
        <v>0</v>
      </c>
      <c r="Z348" s="155">
        <f>0</f>
        <v>0</v>
      </c>
      <c r="AA348" s="155">
        <f>0</f>
        <v>0</v>
      </c>
      <c r="AB348" s="155">
        <f>0</f>
        <v>0</v>
      </c>
      <c r="AC348" s="155">
        <f>0</f>
        <v>0</v>
      </c>
      <c r="AD348" s="155">
        <f>0</f>
        <v>0</v>
      </c>
      <c r="AE348" s="155">
        <f>0</f>
        <v>0</v>
      </c>
      <c r="AF348" s="155">
        <f>0</f>
        <v>0</v>
      </c>
      <c r="AG348" s="155">
        <f>0</f>
        <v>0</v>
      </c>
      <c r="AH348" s="155">
        <f>0</f>
        <v>0</v>
      </c>
      <c r="AI348" s="155">
        <f>0</f>
        <v>0</v>
      </c>
      <c r="AJ348" s="155">
        <f>0</f>
        <v>0</v>
      </c>
      <c r="AK348" s="155">
        <f>0</f>
        <v>0</v>
      </c>
      <c r="AL348" s="219">
        <f t="shared" si="18"/>
        <v>2</v>
      </c>
      <c r="AM348" s="103"/>
      <c r="AN348" s="326">
        <f t="shared" si="19"/>
        <v>2</v>
      </c>
      <c r="AO348" s="290">
        <v>45034</v>
      </c>
      <c r="AP348" s="291" t="s">
        <v>192</v>
      </c>
      <c r="AQ348" s="292" t="s">
        <v>1520</v>
      </c>
      <c r="AR348" s="293" t="s">
        <v>197</v>
      </c>
      <c r="AS348" s="321"/>
      <c r="AT348" s="318"/>
      <c r="AU348" s="318">
        <v>2</v>
      </c>
      <c r="AV348" s="317">
        <f t="shared" si="20"/>
        <v>0</v>
      </c>
      <c r="AW348" s="318" t="s">
        <v>195</v>
      </c>
      <c r="AX348" s="333"/>
      <c r="AY348" s="333"/>
      <c r="AZ348" s="320"/>
      <c r="BA348" s="174"/>
      <c r="BB348" s="174"/>
      <c r="BC348" s="174"/>
    </row>
    <row r="349" spans="1:55" ht="28" customHeight="1">
      <c r="A349" s="271">
        <v>345</v>
      </c>
      <c r="B349" s="274">
        <v>45030</v>
      </c>
      <c r="C349" s="222" t="s">
        <v>198</v>
      </c>
      <c r="D349" s="222" t="s">
        <v>199</v>
      </c>
      <c r="E349" s="222" t="s">
        <v>200</v>
      </c>
      <c r="F349" s="265" t="s">
        <v>837</v>
      </c>
      <c r="G349" s="267" t="s">
        <v>916</v>
      </c>
      <c r="H349" s="275" t="s">
        <v>129</v>
      </c>
      <c r="I349" s="111" t="s">
        <v>917</v>
      </c>
      <c r="J349" s="269" t="s">
        <v>918</v>
      </c>
      <c r="K349" s="112"/>
      <c r="L349" s="112" t="s">
        <v>1121</v>
      </c>
      <c r="M349" s="111" t="s">
        <v>919</v>
      </c>
      <c r="N349" s="111"/>
      <c r="O349" s="111" t="s">
        <v>920</v>
      </c>
      <c r="P349" s="325"/>
      <c r="Q349" s="323"/>
      <c r="R349" s="154">
        <v>0</v>
      </c>
      <c r="S349" s="155">
        <f>0</f>
        <v>0</v>
      </c>
      <c r="T349" s="263">
        <v>1</v>
      </c>
      <c r="U349" s="158"/>
      <c r="V349" s="158">
        <f>0</f>
        <v>0</v>
      </c>
      <c r="W349" s="155">
        <f>0</f>
        <v>0</v>
      </c>
      <c r="X349" s="155">
        <f>0</f>
        <v>0</v>
      </c>
      <c r="Y349" s="155">
        <f>0</f>
        <v>0</v>
      </c>
      <c r="Z349" s="155">
        <f>0</f>
        <v>0</v>
      </c>
      <c r="AA349" s="155">
        <f>0</f>
        <v>0</v>
      </c>
      <c r="AB349" s="155">
        <f>0</f>
        <v>0</v>
      </c>
      <c r="AC349" s="155">
        <f>0</f>
        <v>0</v>
      </c>
      <c r="AD349" s="155">
        <f>0</f>
        <v>0</v>
      </c>
      <c r="AE349" s="155">
        <f>0</f>
        <v>0</v>
      </c>
      <c r="AF349" s="155">
        <f>0</f>
        <v>0</v>
      </c>
      <c r="AG349" s="155">
        <f>0</f>
        <v>0</v>
      </c>
      <c r="AH349" s="155">
        <f>0</f>
        <v>0</v>
      </c>
      <c r="AI349" s="155">
        <f>0</f>
        <v>0</v>
      </c>
      <c r="AJ349" s="155">
        <f>0</f>
        <v>0</v>
      </c>
      <c r="AK349" s="155">
        <f>0</f>
        <v>0</v>
      </c>
      <c r="AL349" s="219">
        <f t="shared" si="18"/>
        <v>1</v>
      </c>
      <c r="AM349" s="103"/>
      <c r="AN349" s="326">
        <f t="shared" si="19"/>
        <v>1</v>
      </c>
      <c r="AO349" s="276"/>
      <c r="AP349" s="277" t="s">
        <v>617</v>
      </c>
      <c r="AQ349" s="284"/>
      <c r="AR349" s="278" t="s">
        <v>961</v>
      </c>
      <c r="AS349" s="277"/>
      <c r="AT349" s="279"/>
      <c r="AU349" s="279"/>
      <c r="AV349" s="277">
        <f t="shared" si="20"/>
        <v>1</v>
      </c>
      <c r="AW349" s="279"/>
      <c r="AX349" s="324"/>
      <c r="AY349" s="324"/>
      <c r="AZ349" s="281"/>
    </row>
    <row r="350" spans="1:55" ht="28" customHeight="1">
      <c r="A350" s="195">
        <v>346</v>
      </c>
      <c r="B350" s="315">
        <v>45030</v>
      </c>
      <c r="C350" s="222" t="s">
        <v>198</v>
      </c>
      <c r="D350" s="222" t="s">
        <v>199</v>
      </c>
      <c r="E350" s="222" t="s">
        <v>200</v>
      </c>
      <c r="F350" s="371" t="s">
        <v>837</v>
      </c>
      <c r="G350" s="309" t="s">
        <v>1122</v>
      </c>
      <c r="H350" s="337" t="s">
        <v>129</v>
      </c>
      <c r="I350" s="311" t="s">
        <v>1099</v>
      </c>
      <c r="J350" s="312" t="s">
        <v>1123</v>
      </c>
      <c r="K350" s="273" t="s">
        <v>97</v>
      </c>
      <c r="L350" s="273" t="s">
        <v>159</v>
      </c>
      <c r="M350" s="311" t="s">
        <v>156</v>
      </c>
      <c r="N350" s="311" t="s">
        <v>97</v>
      </c>
      <c r="O350" s="311" t="s">
        <v>204</v>
      </c>
      <c r="P350" s="329"/>
      <c r="Q350" s="330"/>
      <c r="R350" s="154">
        <v>0</v>
      </c>
      <c r="S350" s="155">
        <f>0</f>
        <v>0</v>
      </c>
      <c r="T350" s="263">
        <v>2</v>
      </c>
      <c r="U350" s="158"/>
      <c r="V350" s="158">
        <f>0</f>
        <v>0</v>
      </c>
      <c r="W350" s="155">
        <f>0</f>
        <v>0</v>
      </c>
      <c r="X350" s="155">
        <f>0</f>
        <v>0</v>
      </c>
      <c r="Y350" s="155">
        <f>0</f>
        <v>0</v>
      </c>
      <c r="Z350" s="155">
        <f>0</f>
        <v>0</v>
      </c>
      <c r="AA350" s="155">
        <f>0</f>
        <v>0</v>
      </c>
      <c r="AB350" s="155">
        <f>0</f>
        <v>0</v>
      </c>
      <c r="AC350" s="155">
        <f>0</f>
        <v>0</v>
      </c>
      <c r="AD350" s="155">
        <f>0</f>
        <v>0</v>
      </c>
      <c r="AE350" s="155">
        <f>0</f>
        <v>0</v>
      </c>
      <c r="AF350" s="155">
        <f>0</f>
        <v>0</v>
      </c>
      <c r="AG350" s="155">
        <f>0</f>
        <v>0</v>
      </c>
      <c r="AH350" s="155">
        <f>0</f>
        <v>0</v>
      </c>
      <c r="AI350" s="155">
        <f>0</f>
        <v>0</v>
      </c>
      <c r="AJ350" s="155">
        <f>0</f>
        <v>0</v>
      </c>
      <c r="AK350" s="155">
        <f>0</f>
        <v>0</v>
      </c>
      <c r="AL350" s="219">
        <f t="shared" si="18"/>
        <v>2</v>
      </c>
      <c r="AM350" s="103"/>
      <c r="AN350" s="326">
        <f t="shared" si="19"/>
        <v>2</v>
      </c>
      <c r="AO350" s="290">
        <v>45034</v>
      </c>
      <c r="AP350" s="291" t="s">
        <v>192</v>
      </c>
      <c r="AQ350" s="292" t="s">
        <v>1520</v>
      </c>
      <c r="AR350" s="293" t="s">
        <v>197</v>
      </c>
      <c r="AS350" s="321"/>
      <c r="AT350" s="318"/>
      <c r="AU350" s="318">
        <v>2</v>
      </c>
      <c r="AV350" s="317">
        <f t="shared" si="20"/>
        <v>0</v>
      </c>
      <c r="AW350" s="318" t="s">
        <v>195</v>
      </c>
      <c r="AX350" s="333"/>
      <c r="AY350" s="333"/>
      <c r="AZ350" s="320"/>
      <c r="BA350" s="174"/>
      <c r="BB350" s="174"/>
      <c r="BC350" s="174"/>
    </row>
    <row r="351" spans="1:55" ht="28" customHeight="1">
      <c r="A351" s="195">
        <v>347</v>
      </c>
      <c r="B351" s="315">
        <v>45030</v>
      </c>
      <c r="C351" s="222" t="s">
        <v>198</v>
      </c>
      <c r="D351" s="222" t="s">
        <v>199</v>
      </c>
      <c r="E351" s="222" t="s">
        <v>200</v>
      </c>
      <c r="F351" s="371" t="s">
        <v>837</v>
      </c>
      <c r="G351" s="309" t="s">
        <v>1124</v>
      </c>
      <c r="H351" s="337" t="s">
        <v>129</v>
      </c>
      <c r="I351" s="311" t="s">
        <v>1125</v>
      </c>
      <c r="J351" s="312" t="s">
        <v>1126</v>
      </c>
      <c r="K351" s="273"/>
      <c r="L351" s="273" t="s">
        <v>159</v>
      </c>
      <c r="M351" s="311" t="s">
        <v>156</v>
      </c>
      <c r="N351" s="311"/>
      <c r="O351" s="311" t="s">
        <v>535</v>
      </c>
      <c r="P351" s="329"/>
      <c r="Q351" s="330"/>
      <c r="R351" s="154">
        <v>0</v>
      </c>
      <c r="S351" s="155">
        <f>0</f>
        <v>0</v>
      </c>
      <c r="T351" s="263">
        <v>1</v>
      </c>
      <c r="U351" s="158"/>
      <c r="V351" s="158">
        <f>0</f>
        <v>0</v>
      </c>
      <c r="W351" s="155">
        <f>0</f>
        <v>0</v>
      </c>
      <c r="X351" s="155">
        <f>0</f>
        <v>0</v>
      </c>
      <c r="Y351" s="155">
        <f>0</f>
        <v>0</v>
      </c>
      <c r="Z351" s="155">
        <f>0</f>
        <v>0</v>
      </c>
      <c r="AA351" s="155">
        <f>0</f>
        <v>0</v>
      </c>
      <c r="AB351" s="155">
        <f>0</f>
        <v>0</v>
      </c>
      <c r="AC351" s="155">
        <f>0</f>
        <v>0</v>
      </c>
      <c r="AD351" s="155">
        <f>0</f>
        <v>0</v>
      </c>
      <c r="AE351" s="155">
        <f>0</f>
        <v>0</v>
      </c>
      <c r="AF351" s="155">
        <f>0</f>
        <v>0</v>
      </c>
      <c r="AG351" s="155">
        <f>0</f>
        <v>0</v>
      </c>
      <c r="AH351" s="155">
        <f>0</f>
        <v>0</v>
      </c>
      <c r="AI351" s="155">
        <f>0</f>
        <v>0</v>
      </c>
      <c r="AJ351" s="155">
        <f>0</f>
        <v>0</v>
      </c>
      <c r="AK351" s="155">
        <f>0</f>
        <v>0</v>
      </c>
      <c r="AL351" s="219">
        <f t="shared" si="18"/>
        <v>1</v>
      </c>
      <c r="AM351" s="103"/>
      <c r="AN351" s="326">
        <f t="shared" si="19"/>
        <v>1</v>
      </c>
      <c r="AO351" s="290">
        <v>45034</v>
      </c>
      <c r="AP351" s="291" t="s">
        <v>192</v>
      </c>
      <c r="AQ351" s="292" t="s">
        <v>1520</v>
      </c>
      <c r="AR351" s="293" t="s">
        <v>197</v>
      </c>
      <c r="AS351" s="321"/>
      <c r="AT351" s="318"/>
      <c r="AU351" s="318">
        <v>1</v>
      </c>
      <c r="AV351" s="317">
        <f t="shared" si="20"/>
        <v>0</v>
      </c>
      <c r="AW351" s="318" t="s">
        <v>195</v>
      </c>
      <c r="AX351" s="333"/>
      <c r="AY351" s="333"/>
      <c r="AZ351" s="320"/>
      <c r="BA351" s="174"/>
      <c r="BB351" s="174"/>
      <c r="BC351" s="174"/>
    </row>
    <row r="352" spans="1:55" ht="28" customHeight="1">
      <c r="A352" s="195">
        <v>348</v>
      </c>
      <c r="B352" s="315">
        <v>45030</v>
      </c>
      <c r="C352" s="365"/>
      <c r="D352" s="365"/>
      <c r="E352" s="365"/>
      <c r="F352" s="371" t="s">
        <v>837</v>
      </c>
      <c r="G352" s="309" t="s">
        <v>1124</v>
      </c>
      <c r="H352" s="337" t="s">
        <v>129</v>
      </c>
      <c r="I352" s="311" t="s">
        <v>1125</v>
      </c>
      <c r="J352" s="312" t="s">
        <v>1127</v>
      </c>
      <c r="K352" s="273"/>
      <c r="L352" s="273" t="s">
        <v>159</v>
      </c>
      <c r="M352" s="311" t="s">
        <v>156</v>
      </c>
      <c r="N352" s="311"/>
      <c r="O352" s="311" t="s">
        <v>535</v>
      </c>
      <c r="P352" s="329"/>
      <c r="Q352" s="330"/>
      <c r="R352" s="154">
        <v>0</v>
      </c>
      <c r="S352" s="155">
        <f>0</f>
        <v>0</v>
      </c>
      <c r="T352" s="263">
        <v>1</v>
      </c>
      <c r="U352" s="158"/>
      <c r="V352" s="158">
        <f>0</f>
        <v>0</v>
      </c>
      <c r="W352" s="155">
        <f>0</f>
        <v>0</v>
      </c>
      <c r="X352" s="155">
        <f>0</f>
        <v>0</v>
      </c>
      <c r="Y352" s="155">
        <f>0</f>
        <v>0</v>
      </c>
      <c r="Z352" s="155">
        <f>0</f>
        <v>0</v>
      </c>
      <c r="AA352" s="155">
        <f>0</f>
        <v>0</v>
      </c>
      <c r="AB352" s="155">
        <f>0</f>
        <v>0</v>
      </c>
      <c r="AC352" s="155">
        <f>0</f>
        <v>0</v>
      </c>
      <c r="AD352" s="155">
        <f>0</f>
        <v>0</v>
      </c>
      <c r="AE352" s="155">
        <f>0</f>
        <v>0</v>
      </c>
      <c r="AF352" s="155">
        <f>0</f>
        <v>0</v>
      </c>
      <c r="AG352" s="155">
        <f>0</f>
        <v>0</v>
      </c>
      <c r="AH352" s="155">
        <f>0</f>
        <v>0</v>
      </c>
      <c r="AI352" s="155">
        <f>0</f>
        <v>0</v>
      </c>
      <c r="AJ352" s="155">
        <f>0</f>
        <v>0</v>
      </c>
      <c r="AK352" s="155">
        <f>0</f>
        <v>0</v>
      </c>
      <c r="AL352" s="219">
        <f t="shared" si="18"/>
        <v>1</v>
      </c>
      <c r="AM352" s="103"/>
      <c r="AN352" s="326">
        <f t="shared" si="19"/>
        <v>1</v>
      </c>
      <c r="AO352" s="290">
        <v>45034</v>
      </c>
      <c r="AP352" s="291" t="s">
        <v>192</v>
      </c>
      <c r="AQ352" s="292" t="s">
        <v>1520</v>
      </c>
      <c r="AR352" s="293" t="s">
        <v>197</v>
      </c>
      <c r="AS352" s="321"/>
      <c r="AT352" s="318"/>
      <c r="AU352" s="318">
        <v>1</v>
      </c>
      <c r="AV352" s="317">
        <f t="shared" si="20"/>
        <v>0</v>
      </c>
      <c r="AW352" s="318" t="s">
        <v>195</v>
      </c>
      <c r="AX352" s="333"/>
      <c r="AY352" s="333"/>
      <c r="AZ352" s="320"/>
      <c r="BA352" s="174"/>
      <c r="BB352" s="174"/>
      <c r="BC352" s="174"/>
    </row>
    <row r="353" spans="1:55" ht="28" customHeight="1">
      <c r="A353" s="195">
        <v>349</v>
      </c>
      <c r="B353" s="315">
        <v>45030</v>
      </c>
      <c r="C353" s="222" t="s">
        <v>198</v>
      </c>
      <c r="D353" s="222" t="s">
        <v>199</v>
      </c>
      <c r="E353" s="222" t="s">
        <v>200</v>
      </c>
      <c r="F353" s="371" t="s">
        <v>837</v>
      </c>
      <c r="G353" s="309" t="s">
        <v>1128</v>
      </c>
      <c r="H353" s="337" t="s">
        <v>129</v>
      </c>
      <c r="I353" s="311" t="s">
        <v>1129</v>
      </c>
      <c r="J353" s="312" t="s">
        <v>1130</v>
      </c>
      <c r="K353" s="273" t="s">
        <v>97</v>
      </c>
      <c r="L353" s="273" t="s">
        <v>159</v>
      </c>
      <c r="M353" s="311" t="s">
        <v>156</v>
      </c>
      <c r="N353" s="311" t="s">
        <v>97</v>
      </c>
      <c r="O353" s="311" t="s">
        <v>204</v>
      </c>
      <c r="P353" s="329"/>
      <c r="Q353" s="330"/>
      <c r="R353" s="154">
        <v>0</v>
      </c>
      <c r="S353" s="155">
        <f>0</f>
        <v>0</v>
      </c>
      <c r="T353" s="263">
        <v>1</v>
      </c>
      <c r="U353" s="158"/>
      <c r="V353" s="158">
        <f>0</f>
        <v>0</v>
      </c>
      <c r="W353" s="155">
        <f>0</f>
        <v>0</v>
      </c>
      <c r="X353" s="155">
        <f>0</f>
        <v>0</v>
      </c>
      <c r="Y353" s="155">
        <f>0</f>
        <v>0</v>
      </c>
      <c r="Z353" s="155">
        <f>0</f>
        <v>0</v>
      </c>
      <c r="AA353" s="155">
        <f>0</f>
        <v>0</v>
      </c>
      <c r="AB353" s="155">
        <f>0</f>
        <v>0</v>
      </c>
      <c r="AC353" s="155">
        <f>0</f>
        <v>0</v>
      </c>
      <c r="AD353" s="155">
        <f>0</f>
        <v>0</v>
      </c>
      <c r="AE353" s="155">
        <f>0</f>
        <v>0</v>
      </c>
      <c r="AF353" s="155">
        <f>0</f>
        <v>0</v>
      </c>
      <c r="AG353" s="155">
        <f>0</f>
        <v>0</v>
      </c>
      <c r="AH353" s="155">
        <f>0</f>
        <v>0</v>
      </c>
      <c r="AI353" s="155">
        <f>0</f>
        <v>0</v>
      </c>
      <c r="AJ353" s="155">
        <f>0</f>
        <v>0</v>
      </c>
      <c r="AK353" s="155">
        <f>0</f>
        <v>0</v>
      </c>
      <c r="AL353" s="219">
        <f t="shared" si="18"/>
        <v>1</v>
      </c>
      <c r="AM353" s="103"/>
      <c r="AN353" s="326">
        <f t="shared" si="19"/>
        <v>1</v>
      </c>
      <c r="AO353" s="290">
        <v>45034</v>
      </c>
      <c r="AP353" s="291" t="s">
        <v>192</v>
      </c>
      <c r="AQ353" s="292" t="s">
        <v>1520</v>
      </c>
      <c r="AR353" s="293" t="s">
        <v>197</v>
      </c>
      <c r="AS353" s="321"/>
      <c r="AT353" s="318"/>
      <c r="AU353" s="318">
        <v>1</v>
      </c>
      <c r="AV353" s="317">
        <f t="shared" si="20"/>
        <v>0</v>
      </c>
      <c r="AW353" s="318" t="s">
        <v>195</v>
      </c>
      <c r="AX353" s="333"/>
      <c r="AY353" s="333"/>
      <c r="AZ353" s="320"/>
      <c r="BA353" s="174"/>
      <c r="BB353" s="174"/>
      <c r="BC353" s="174"/>
    </row>
    <row r="354" spans="1:55" ht="28" customHeight="1">
      <c r="A354" s="195">
        <v>350</v>
      </c>
      <c r="B354" s="315">
        <v>45030</v>
      </c>
      <c r="C354" s="365"/>
      <c r="D354" s="365"/>
      <c r="E354" s="365"/>
      <c r="F354" s="371" t="s">
        <v>837</v>
      </c>
      <c r="G354" s="309" t="s">
        <v>1128</v>
      </c>
      <c r="H354" s="337" t="s">
        <v>129</v>
      </c>
      <c r="I354" s="311" t="s">
        <v>1129</v>
      </c>
      <c r="J354" s="312" t="s">
        <v>1131</v>
      </c>
      <c r="K354" s="273" t="s">
        <v>97</v>
      </c>
      <c r="L354" s="273" t="s">
        <v>159</v>
      </c>
      <c r="M354" s="311" t="s">
        <v>156</v>
      </c>
      <c r="N354" s="311" t="s">
        <v>97</v>
      </c>
      <c r="O354" s="311" t="s">
        <v>204</v>
      </c>
      <c r="P354" s="329"/>
      <c r="Q354" s="330"/>
      <c r="R354" s="154">
        <v>0</v>
      </c>
      <c r="S354" s="155">
        <f>0</f>
        <v>0</v>
      </c>
      <c r="T354" s="263">
        <v>1</v>
      </c>
      <c r="U354" s="158"/>
      <c r="V354" s="158">
        <f>0</f>
        <v>0</v>
      </c>
      <c r="W354" s="155">
        <f>0</f>
        <v>0</v>
      </c>
      <c r="X354" s="155">
        <f>0</f>
        <v>0</v>
      </c>
      <c r="Y354" s="155">
        <f>0</f>
        <v>0</v>
      </c>
      <c r="Z354" s="155">
        <f>0</f>
        <v>0</v>
      </c>
      <c r="AA354" s="155">
        <f>0</f>
        <v>0</v>
      </c>
      <c r="AB354" s="155">
        <f>0</f>
        <v>0</v>
      </c>
      <c r="AC354" s="155">
        <f>0</f>
        <v>0</v>
      </c>
      <c r="AD354" s="155">
        <f>0</f>
        <v>0</v>
      </c>
      <c r="AE354" s="155">
        <f>0</f>
        <v>0</v>
      </c>
      <c r="AF354" s="155">
        <f>0</f>
        <v>0</v>
      </c>
      <c r="AG354" s="155">
        <f>0</f>
        <v>0</v>
      </c>
      <c r="AH354" s="155">
        <f>0</f>
        <v>0</v>
      </c>
      <c r="AI354" s="155">
        <f>0</f>
        <v>0</v>
      </c>
      <c r="AJ354" s="155">
        <f>0</f>
        <v>0</v>
      </c>
      <c r="AK354" s="155">
        <f>0</f>
        <v>0</v>
      </c>
      <c r="AL354" s="219">
        <f t="shared" si="18"/>
        <v>1</v>
      </c>
      <c r="AM354" s="103"/>
      <c r="AN354" s="326">
        <f t="shared" si="19"/>
        <v>1</v>
      </c>
      <c r="AO354" s="290">
        <v>45034</v>
      </c>
      <c r="AP354" s="291" t="s">
        <v>192</v>
      </c>
      <c r="AQ354" s="292" t="s">
        <v>1520</v>
      </c>
      <c r="AR354" s="293" t="s">
        <v>197</v>
      </c>
      <c r="AS354" s="321"/>
      <c r="AT354" s="318"/>
      <c r="AU354" s="318">
        <v>1</v>
      </c>
      <c r="AV354" s="317">
        <f t="shared" si="20"/>
        <v>0</v>
      </c>
      <c r="AW354" s="318" t="s">
        <v>195</v>
      </c>
      <c r="AX354" s="333"/>
      <c r="AY354" s="333"/>
      <c r="AZ354" s="320"/>
      <c r="BA354" s="174"/>
      <c r="BB354" s="174"/>
      <c r="BC354" s="174"/>
    </row>
    <row r="355" spans="1:55" ht="28" customHeight="1">
      <c r="A355" s="195">
        <v>351</v>
      </c>
      <c r="B355" s="315">
        <v>45030</v>
      </c>
      <c r="C355" s="222" t="s">
        <v>198</v>
      </c>
      <c r="D355" s="222" t="s">
        <v>199</v>
      </c>
      <c r="E355" s="222" t="s">
        <v>200</v>
      </c>
      <c r="F355" s="371" t="s">
        <v>837</v>
      </c>
      <c r="G355" s="309" t="s">
        <v>1132</v>
      </c>
      <c r="H355" s="337" t="s">
        <v>129</v>
      </c>
      <c r="I355" s="311" t="s">
        <v>1133</v>
      </c>
      <c r="J355" s="312" t="s">
        <v>1134</v>
      </c>
      <c r="K355" s="273" t="s">
        <v>97</v>
      </c>
      <c r="L355" s="273" t="s">
        <v>159</v>
      </c>
      <c r="M355" s="311" t="s">
        <v>156</v>
      </c>
      <c r="N355" s="311" t="s">
        <v>97</v>
      </c>
      <c r="O355" s="311" t="s">
        <v>535</v>
      </c>
      <c r="P355" s="329"/>
      <c r="Q355" s="330"/>
      <c r="R355" s="154">
        <v>0</v>
      </c>
      <c r="S355" s="155">
        <f>0</f>
        <v>0</v>
      </c>
      <c r="T355" s="263">
        <v>1</v>
      </c>
      <c r="U355" s="158"/>
      <c r="V355" s="158">
        <f>0</f>
        <v>0</v>
      </c>
      <c r="W355" s="155">
        <f>0</f>
        <v>0</v>
      </c>
      <c r="X355" s="155">
        <f>0</f>
        <v>0</v>
      </c>
      <c r="Y355" s="155">
        <f>0</f>
        <v>0</v>
      </c>
      <c r="Z355" s="155">
        <f>0</f>
        <v>0</v>
      </c>
      <c r="AA355" s="155">
        <f>0</f>
        <v>0</v>
      </c>
      <c r="AB355" s="155">
        <f>0</f>
        <v>0</v>
      </c>
      <c r="AC355" s="155">
        <f>0</f>
        <v>0</v>
      </c>
      <c r="AD355" s="155">
        <f>0</f>
        <v>0</v>
      </c>
      <c r="AE355" s="155">
        <f>0</f>
        <v>0</v>
      </c>
      <c r="AF355" s="155">
        <f>0</f>
        <v>0</v>
      </c>
      <c r="AG355" s="155">
        <f>0</f>
        <v>0</v>
      </c>
      <c r="AH355" s="155">
        <f>0</f>
        <v>0</v>
      </c>
      <c r="AI355" s="155">
        <f>0</f>
        <v>0</v>
      </c>
      <c r="AJ355" s="155">
        <f>0</f>
        <v>0</v>
      </c>
      <c r="AK355" s="155">
        <f>0</f>
        <v>0</v>
      </c>
      <c r="AL355" s="219">
        <f t="shared" si="18"/>
        <v>1</v>
      </c>
      <c r="AM355" s="103"/>
      <c r="AN355" s="326">
        <f t="shared" si="19"/>
        <v>1</v>
      </c>
      <c r="AO355" s="290">
        <v>45034</v>
      </c>
      <c r="AP355" s="291" t="s">
        <v>192</v>
      </c>
      <c r="AQ355" s="292" t="s">
        <v>1520</v>
      </c>
      <c r="AR355" s="293" t="s">
        <v>197</v>
      </c>
      <c r="AS355" s="321"/>
      <c r="AT355" s="318"/>
      <c r="AU355" s="318">
        <v>1</v>
      </c>
      <c r="AV355" s="317">
        <f t="shared" si="20"/>
        <v>0</v>
      </c>
      <c r="AW355" s="318" t="s">
        <v>195</v>
      </c>
      <c r="AX355" s="333"/>
      <c r="AY355" s="333"/>
      <c r="AZ355" s="320"/>
      <c r="BA355" s="174"/>
      <c r="BB355" s="174"/>
      <c r="BC355" s="174"/>
    </row>
    <row r="356" spans="1:55" ht="28" customHeight="1">
      <c r="A356" s="195">
        <v>352</v>
      </c>
      <c r="B356" s="315">
        <v>45030</v>
      </c>
      <c r="C356" s="222" t="s">
        <v>198</v>
      </c>
      <c r="D356" s="222" t="s">
        <v>199</v>
      </c>
      <c r="E356" s="222" t="s">
        <v>200</v>
      </c>
      <c r="F356" s="371" t="s">
        <v>837</v>
      </c>
      <c r="G356" s="309" t="s">
        <v>1135</v>
      </c>
      <c r="H356" s="337" t="s">
        <v>129</v>
      </c>
      <c r="I356" s="311" t="s">
        <v>1136</v>
      </c>
      <c r="J356" s="312" t="s">
        <v>1137</v>
      </c>
      <c r="K356" s="273"/>
      <c r="L356" s="273" t="s">
        <v>159</v>
      </c>
      <c r="M356" s="311" t="s">
        <v>156</v>
      </c>
      <c r="N356" s="311"/>
      <c r="O356" s="311" t="s">
        <v>535</v>
      </c>
      <c r="P356" s="329"/>
      <c r="Q356" s="330"/>
      <c r="R356" s="154">
        <v>0</v>
      </c>
      <c r="S356" s="155">
        <f>0</f>
        <v>0</v>
      </c>
      <c r="T356" s="263">
        <v>2</v>
      </c>
      <c r="U356" s="158"/>
      <c r="V356" s="158">
        <f>0</f>
        <v>0</v>
      </c>
      <c r="W356" s="155">
        <f>0</f>
        <v>0</v>
      </c>
      <c r="X356" s="155">
        <f>0</f>
        <v>0</v>
      </c>
      <c r="Y356" s="155">
        <f>0</f>
        <v>0</v>
      </c>
      <c r="Z356" s="155">
        <f>0</f>
        <v>0</v>
      </c>
      <c r="AA356" s="155">
        <f>0</f>
        <v>0</v>
      </c>
      <c r="AB356" s="155">
        <f>0</f>
        <v>0</v>
      </c>
      <c r="AC356" s="155">
        <f>0</f>
        <v>0</v>
      </c>
      <c r="AD356" s="155">
        <f>0</f>
        <v>0</v>
      </c>
      <c r="AE356" s="155">
        <f>0</f>
        <v>0</v>
      </c>
      <c r="AF356" s="155">
        <f>0</f>
        <v>0</v>
      </c>
      <c r="AG356" s="155">
        <f>0</f>
        <v>0</v>
      </c>
      <c r="AH356" s="155">
        <f>0</f>
        <v>0</v>
      </c>
      <c r="AI356" s="155">
        <f>0</f>
        <v>0</v>
      </c>
      <c r="AJ356" s="155">
        <f>0</f>
        <v>0</v>
      </c>
      <c r="AK356" s="155">
        <f>0</f>
        <v>0</v>
      </c>
      <c r="AL356" s="219">
        <f t="shared" si="18"/>
        <v>2</v>
      </c>
      <c r="AM356" s="103"/>
      <c r="AN356" s="326">
        <f t="shared" si="19"/>
        <v>2</v>
      </c>
      <c r="AO356" s="290">
        <v>45034</v>
      </c>
      <c r="AP356" s="291" t="s">
        <v>192</v>
      </c>
      <c r="AQ356" s="292" t="s">
        <v>1520</v>
      </c>
      <c r="AR356" s="293" t="s">
        <v>197</v>
      </c>
      <c r="AS356" s="321"/>
      <c r="AT356" s="318"/>
      <c r="AU356" s="318">
        <v>2</v>
      </c>
      <c r="AV356" s="317">
        <f t="shared" si="20"/>
        <v>0</v>
      </c>
      <c r="AW356" s="318" t="s">
        <v>195</v>
      </c>
      <c r="AX356" s="333"/>
      <c r="AY356" s="333"/>
      <c r="AZ356" s="320"/>
      <c r="BA356" s="174"/>
      <c r="BB356" s="174"/>
      <c r="BC356" s="174"/>
    </row>
    <row r="357" spans="1:55" ht="28" customHeight="1">
      <c r="A357" s="195">
        <v>353</v>
      </c>
      <c r="B357" s="315">
        <v>45030</v>
      </c>
      <c r="C357" s="222" t="s">
        <v>198</v>
      </c>
      <c r="D357" s="222" t="s">
        <v>199</v>
      </c>
      <c r="E357" s="222" t="s">
        <v>200</v>
      </c>
      <c r="F357" s="371" t="s">
        <v>837</v>
      </c>
      <c r="G357" s="309" t="s">
        <v>1138</v>
      </c>
      <c r="H357" s="337" t="s">
        <v>129</v>
      </c>
      <c r="I357" s="311" t="s">
        <v>1139</v>
      </c>
      <c r="J357" s="312" t="s">
        <v>1140</v>
      </c>
      <c r="K357" s="273" t="s">
        <v>97</v>
      </c>
      <c r="L357" s="273" t="s">
        <v>159</v>
      </c>
      <c r="M357" s="311" t="s">
        <v>156</v>
      </c>
      <c r="N357" s="311" t="s">
        <v>97</v>
      </c>
      <c r="O357" s="311" t="s">
        <v>204</v>
      </c>
      <c r="P357" s="329"/>
      <c r="Q357" s="330"/>
      <c r="R357" s="154">
        <v>0</v>
      </c>
      <c r="S357" s="155">
        <f>0</f>
        <v>0</v>
      </c>
      <c r="T357" s="263">
        <v>1</v>
      </c>
      <c r="U357" s="158"/>
      <c r="V357" s="158">
        <f>0</f>
        <v>0</v>
      </c>
      <c r="W357" s="155">
        <f>0</f>
        <v>0</v>
      </c>
      <c r="X357" s="155">
        <f>0</f>
        <v>0</v>
      </c>
      <c r="Y357" s="155">
        <f>0</f>
        <v>0</v>
      </c>
      <c r="Z357" s="155">
        <f>0</f>
        <v>0</v>
      </c>
      <c r="AA357" s="155">
        <f>0</f>
        <v>0</v>
      </c>
      <c r="AB357" s="155">
        <f>0</f>
        <v>0</v>
      </c>
      <c r="AC357" s="155">
        <f>0</f>
        <v>0</v>
      </c>
      <c r="AD357" s="155">
        <f>0</f>
        <v>0</v>
      </c>
      <c r="AE357" s="155">
        <f>0</f>
        <v>0</v>
      </c>
      <c r="AF357" s="155">
        <f>0</f>
        <v>0</v>
      </c>
      <c r="AG357" s="155">
        <f>0</f>
        <v>0</v>
      </c>
      <c r="AH357" s="155">
        <f>0</f>
        <v>0</v>
      </c>
      <c r="AI357" s="155">
        <f>0</f>
        <v>0</v>
      </c>
      <c r="AJ357" s="155">
        <f>0</f>
        <v>0</v>
      </c>
      <c r="AK357" s="155">
        <f>0</f>
        <v>0</v>
      </c>
      <c r="AL357" s="219">
        <f t="shared" si="18"/>
        <v>1</v>
      </c>
      <c r="AM357" s="103"/>
      <c r="AN357" s="326">
        <f t="shared" si="19"/>
        <v>1</v>
      </c>
      <c r="AO357" s="290">
        <v>45034</v>
      </c>
      <c r="AP357" s="291" t="s">
        <v>192</v>
      </c>
      <c r="AQ357" s="292" t="s">
        <v>1520</v>
      </c>
      <c r="AR357" s="293" t="s">
        <v>197</v>
      </c>
      <c r="AS357" s="321"/>
      <c r="AT357" s="318"/>
      <c r="AU357" s="318">
        <v>1</v>
      </c>
      <c r="AV357" s="317">
        <f t="shared" si="20"/>
        <v>0</v>
      </c>
      <c r="AW357" s="318" t="s">
        <v>195</v>
      </c>
      <c r="AX357" s="333"/>
      <c r="AY357" s="333"/>
      <c r="AZ357" s="320"/>
      <c r="BA357" s="174"/>
      <c r="BB357" s="174"/>
      <c r="BC357" s="174"/>
    </row>
    <row r="358" spans="1:55" ht="28" customHeight="1">
      <c r="A358" s="195">
        <v>354</v>
      </c>
      <c r="B358" s="315">
        <v>45030</v>
      </c>
      <c r="C358" s="222" t="s">
        <v>198</v>
      </c>
      <c r="D358" s="222" t="s">
        <v>199</v>
      </c>
      <c r="E358" s="222" t="s">
        <v>200</v>
      </c>
      <c r="F358" s="371" t="s">
        <v>837</v>
      </c>
      <c r="G358" s="309" t="s">
        <v>1141</v>
      </c>
      <c r="H358" s="337" t="s">
        <v>129</v>
      </c>
      <c r="I358" s="311" t="s">
        <v>329</v>
      </c>
      <c r="J358" s="312" t="s">
        <v>1142</v>
      </c>
      <c r="K358" s="273" t="s">
        <v>97</v>
      </c>
      <c r="L358" s="273" t="s">
        <v>159</v>
      </c>
      <c r="M358" s="311" t="s">
        <v>156</v>
      </c>
      <c r="N358" s="311" t="s">
        <v>97</v>
      </c>
      <c r="O358" s="311" t="s">
        <v>204</v>
      </c>
      <c r="P358" s="329"/>
      <c r="Q358" s="330"/>
      <c r="R358" s="154">
        <v>0</v>
      </c>
      <c r="S358" s="155">
        <f>0</f>
        <v>0</v>
      </c>
      <c r="T358" s="263">
        <v>1</v>
      </c>
      <c r="U358" s="158"/>
      <c r="V358" s="158">
        <f>0</f>
        <v>0</v>
      </c>
      <c r="W358" s="155">
        <f>0</f>
        <v>0</v>
      </c>
      <c r="X358" s="155">
        <f>0</f>
        <v>0</v>
      </c>
      <c r="Y358" s="155">
        <f>0</f>
        <v>0</v>
      </c>
      <c r="Z358" s="155">
        <f>0</f>
        <v>0</v>
      </c>
      <c r="AA358" s="155">
        <f>0</f>
        <v>0</v>
      </c>
      <c r="AB358" s="155">
        <f>0</f>
        <v>0</v>
      </c>
      <c r="AC358" s="155">
        <f>0</f>
        <v>0</v>
      </c>
      <c r="AD358" s="155">
        <f>0</f>
        <v>0</v>
      </c>
      <c r="AE358" s="155">
        <f>0</f>
        <v>0</v>
      </c>
      <c r="AF358" s="155">
        <f>0</f>
        <v>0</v>
      </c>
      <c r="AG358" s="155">
        <f>0</f>
        <v>0</v>
      </c>
      <c r="AH358" s="155">
        <f>0</f>
        <v>0</v>
      </c>
      <c r="AI358" s="155">
        <f>0</f>
        <v>0</v>
      </c>
      <c r="AJ358" s="155">
        <f>0</f>
        <v>0</v>
      </c>
      <c r="AK358" s="155">
        <f>0</f>
        <v>0</v>
      </c>
      <c r="AL358" s="219">
        <f t="shared" si="18"/>
        <v>1</v>
      </c>
      <c r="AM358" s="103"/>
      <c r="AN358" s="326">
        <f t="shared" si="19"/>
        <v>1</v>
      </c>
      <c r="AO358" s="290">
        <v>45034</v>
      </c>
      <c r="AP358" s="291" t="s">
        <v>192</v>
      </c>
      <c r="AQ358" s="292" t="s">
        <v>1520</v>
      </c>
      <c r="AR358" s="293" t="s">
        <v>197</v>
      </c>
      <c r="AS358" s="321"/>
      <c r="AT358" s="318"/>
      <c r="AU358" s="318">
        <v>1</v>
      </c>
      <c r="AV358" s="317">
        <f t="shared" si="20"/>
        <v>0</v>
      </c>
      <c r="AW358" s="318" t="s">
        <v>195</v>
      </c>
      <c r="AX358" s="333"/>
      <c r="AY358" s="333"/>
      <c r="AZ358" s="320"/>
      <c r="BA358" s="174"/>
      <c r="BB358" s="174"/>
      <c r="BC358" s="174"/>
    </row>
    <row r="359" spans="1:55" ht="28" customHeight="1">
      <c r="A359" s="195">
        <v>355</v>
      </c>
      <c r="B359" s="315">
        <v>45030</v>
      </c>
      <c r="C359" s="365"/>
      <c r="D359" s="365"/>
      <c r="E359" s="365"/>
      <c r="F359" s="371" t="s">
        <v>837</v>
      </c>
      <c r="G359" s="309" t="s">
        <v>1141</v>
      </c>
      <c r="H359" s="337" t="s">
        <v>129</v>
      </c>
      <c r="I359" s="311" t="s">
        <v>329</v>
      </c>
      <c r="J359" s="312" t="s">
        <v>1143</v>
      </c>
      <c r="K359" s="273" t="s">
        <v>97</v>
      </c>
      <c r="L359" s="273" t="s">
        <v>159</v>
      </c>
      <c r="M359" s="311" t="s">
        <v>156</v>
      </c>
      <c r="N359" s="311" t="s">
        <v>97</v>
      </c>
      <c r="O359" s="311" t="s">
        <v>204</v>
      </c>
      <c r="P359" s="329"/>
      <c r="Q359" s="330"/>
      <c r="R359" s="154">
        <v>0</v>
      </c>
      <c r="S359" s="155">
        <f>0</f>
        <v>0</v>
      </c>
      <c r="T359" s="263">
        <v>1</v>
      </c>
      <c r="U359" s="158"/>
      <c r="V359" s="158">
        <f>0</f>
        <v>0</v>
      </c>
      <c r="W359" s="155">
        <f>0</f>
        <v>0</v>
      </c>
      <c r="X359" s="155">
        <f>0</f>
        <v>0</v>
      </c>
      <c r="Y359" s="155">
        <f>0</f>
        <v>0</v>
      </c>
      <c r="Z359" s="155">
        <f>0</f>
        <v>0</v>
      </c>
      <c r="AA359" s="155">
        <f>0</f>
        <v>0</v>
      </c>
      <c r="AB359" s="155">
        <f>0</f>
        <v>0</v>
      </c>
      <c r="AC359" s="155">
        <f>0</f>
        <v>0</v>
      </c>
      <c r="AD359" s="155">
        <f>0</f>
        <v>0</v>
      </c>
      <c r="AE359" s="155">
        <f>0</f>
        <v>0</v>
      </c>
      <c r="AF359" s="155">
        <f>0</f>
        <v>0</v>
      </c>
      <c r="AG359" s="155">
        <f>0</f>
        <v>0</v>
      </c>
      <c r="AH359" s="155">
        <f>0</f>
        <v>0</v>
      </c>
      <c r="AI359" s="155">
        <f>0</f>
        <v>0</v>
      </c>
      <c r="AJ359" s="155">
        <f>0</f>
        <v>0</v>
      </c>
      <c r="AK359" s="155">
        <f>0</f>
        <v>0</v>
      </c>
      <c r="AL359" s="219">
        <f t="shared" si="18"/>
        <v>1</v>
      </c>
      <c r="AM359" s="103"/>
      <c r="AN359" s="326">
        <f t="shared" si="19"/>
        <v>1</v>
      </c>
      <c r="AO359" s="290">
        <v>45034</v>
      </c>
      <c r="AP359" s="291" t="s">
        <v>192</v>
      </c>
      <c r="AQ359" s="292" t="s">
        <v>1520</v>
      </c>
      <c r="AR359" s="293" t="s">
        <v>197</v>
      </c>
      <c r="AS359" s="321"/>
      <c r="AT359" s="318"/>
      <c r="AU359" s="318">
        <v>1</v>
      </c>
      <c r="AV359" s="317">
        <f t="shared" si="20"/>
        <v>0</v>
      </c>
      <c r="AW359" s="318" t="s">
        <v>195</v>
      </c>
      <c r="AX359" s="333"/>
      <c r="AY359" s="333"/>
      <c r="AZ359" s="320"/>
      <c r="BA359" s="174"/>
      <c r="BB359" s="174"/>
      <c r="BC359" s="174"/>
    </row>
    <row r="360" spans="1:55" ht="28" customHeight="1">
      <c r="A360" s="195">
        <v>356</v>
      </c>
      <c r="B360" s="315">
        <v>45030</v>
      </c>
      <c r="C360" s="222" t="s">
        <v>198</v>
      </c>
      <c r="D360" s="222" t="s">
        <v>199</v>
      </c>
      <c r="E360" s="222" t="s">
        <v>200</v>
      </c>
      <c r="F360" s="371" t="s">
        <v>837</v>
      </c>
      <c r="G360" s="309" t="s">
        <v>1144</v>
      </c>
      <c r="H360" s="337" t="s">
        <v>129</v>
      </c>
      <c r="I360" s="311" t="s">
        <v>1145</v>
      </c>
      <c r="J360" s="312" t="s">
        <v>1146</v>
      </c>
      <c r="K360" s="273" t="s">
        <v>97</v>
      </c>
      <c r="L360" s="273" t="s">
        <v>159</v>
      </c>
      <c r="M360" s="311" t="s">
        <v>156</v>
      </c>
      <c r="N360" s="311" t="s">
        <v>97</v>
      </c>
      <c r="O360" s="311" t="s">
        <v>204</v>
      </c>
      <c r="P360" s="329"/>
      <c r="Q360" s="330"/>
      <c r="R360" s="154">
        <v>0</v>
      </c>
      <c r="S360" s="155">
        <f>0</f>
        <v>0</v>
      </c>
      <c r="T360" s="263">
        <v>1</v>
      </c>
      <c r="U360" s="158"/>
      <c r="V360" s="158">
        <f>0</f>
        <v>0</v>
      </c>
      <c r="W360" s="155">
        <f>0</f>
        <v>0</v>
      </c>
      <c r="X360" s="155">
        <f>0</f>
        <v>0</v>
      </c>
      <c r="Y360" s="155">
        <f>0</f>
        <v>0</v>
      </c>
      <c r="Z360" s="155">
        <f>0</f>
        <v>0</v>
      </c>
      <c r="AA360" s="155">
        <f>0</f>
        <v>0</v>
      </c>
      <c r="AB360" s="155">
        <f>0</f>
        <v>0</v>
      </c>
      <c r="AC360" s="155">
        <f>0</f>
        <v>0</v>
      </c>
      <c r="AD360" s="155">
        <f>0</f>
        <v>0</v>
      </c>
      <c r="AE360" s="155">
        <f>0</f>
        <v>0</v>
      </c>
      <c r="AF360" s="155">
        <f>0</f>
        <v>0</v>
      </c>
      <c r="AG360" s="155">
        <f>0</f>
        <v>0</v>
      </c>
      <c r="AH360" s="155">
        <f>0</f>
        <v>0</v>
      </c>
      <c r="AI360" s="155">
        <f>0</f>
        <v>0</v>
      </c>
      <c r="AJ360" s="155">
        <f>0</f>
        <v>0</v>
      </c>
      <c r="AK360" s="155">
        <f>0</f>
        <v>0</v>
      </c>
      <c r="AL360" s="219">
        <f t="shared" si="18"/>
        <v>1</v>
      </c>
      <c r="AM360" s="103"/>
      <c r="AN360" s="326">
        <f t="shared" si="19"/>
        <v>1</v>
      </c>
      <c r="AO360" s="290">
        <v>45034</v>
      </c>
      <c r="AP360" s="291" t="s">
        <v>192</v>
      </c>
      <c r="AQ360" s="292" t="s">
        <v>1520</v>
      </c>
      <c r="AR360" s="293" t="s">
        <v>197</v>
      </c>
      <c r="AS360" s="321"/>
      <c r="AT360" s="318"/>
      <c r="AU360" s="318">
        <v>1</v>
      </c>
      <c r="AV360" s="317">
        <f t="shared" si="20"/>
        <v>0</v>
      </c>
      <c r="AW360" s="318" t="s">
        <v>195</v>
      </c>
      <c r="AX360" s="333"/>
      <c r="AY360" s="333"/>
      <c r="AZ360" s="320"/>
      <c r="BA360" s="174"/>
      <c r="BB360" s="174"/>
      <c r="BC360" s="174"/>
    </row>
    <row r="361" spans="1:55" ht="28" customHeight="1">
      <c r="A361" s="195">
        <v>357</v>
      </c>
      <c r="B361" s="315">
        <v>45030</v>
      </c>
      <c r="C361" s="222" t="s">
        <v>198</v>
      </c>
      <c r="D361" s="222" t="s">
        <v>199</v>
      </c>
      <c r="E361" s="222" t="s">
        <v>200</v>
      </c>
      <c r="F361" s="371" t="s">
        <v>837</v>
      </c>
      <c r="G361" s="309" t="s">
        <v>1147</v>
      </c>
      <c r="H361" s="337" t="s">
        <v>129</v>
      </c>
      <c r="I361" s="311" t="s">
        <v>1148</v>
      </c>
      <c r="J361" s="312" t="s">
        <v>1149</v>
      </c>
      <c r="K361" s="273" t="s">
        <v>97</v>
      </c>
      <c r="L361" s="273" t="s">
        <v>159</v>
      </c>
      <c r="M361" s="311" t="s">
        <v>156</v>
      </c>
      <c r="N361" s="311" t="s">
        <v>97</v>
      </c>
      <c r="O361" s="311" t="s">
        <v>535</v>
      </c>
      <c r="P361" s="329"/>
      <c r="Q361" s="330"/>
      <c r="R361" s="154">
        <v>0</v>
      </c>
      <c r="S361" s="155">
        <f>0</f>
        <v>0</v>
      </c>
      <c r="T361" s="263">
        <v>1</v>
      </c>
      <c r="U361" s="158"/>
      <c r="V361" s="158">
        <f>0</f>
        <v>0</v>
      </c>
      <c r="W361" s="155">
        <f>0</f>
        <v>0</v>
      </c>
      <c r="X361" s="155">
        <f>0</f>
        <v>0</v>
      </c>
      <c r="Y361" s="155">
        <f>0</f>
        <v>0</v>
      </c>
      <c r="Z361" s="155">
        <f>0</f>
        <v>0</v>
      </c>
      <c r="AA361" s="155">
        <f>0</f>
        <v>0</v>
      </c>
      <c r="AB361" s="155">
        <f>0</f>
        <v>0</v>
      </c>
      <c r="AC361" s="155">
        <f>0</f>
        <v>0</v>
      </c>
      <c r="AD361" s="155">
        <f>0</f>
        <v>0</v>
      </c>
      <c r="AE361" s="155">
        <f>0</f>
        <v>0</v>
      </c>
      <c r="AF361" s="155">
        <f>0</f>
        <v>0</v>
      </c>
      <c r="AG361" s="155">
        <f>0</f>
        <v>0</v>
      </c>
      <c r="AH361" s="155">
        <f>0</f>
        <v>0</v>
      </c>
      <c r="AI361" s="155">
        <f>0</f>
        <v>0</v>
      </c>
      <c r="AJ361" s="155">
        <f>0</f>
        <v>0</v>
      </c>
      <c r="AK361" s="155">
        <f>0</f>
        <v>0</v>
      </c>
      <c r="AL361" s="219">
        <f t="shared" si="18"/>
        <v>1</v>
      </c>
      <c r="AM361" s="103"/>
      <c r="AN361" s="326">
        <f t="shared" si="19"/>
        <v>1</v>
      </c>
      <c r="AO361" s="290">
        <v>45034</v>
      </c>
      <c r="AP361" s="291" t="s">
        <v>192</v>
      </c>
      <c r="AQ361" s="292" t="s">
        <v>1520</v>
      </c>
      <c r="AR361" s="293" t="s">
        <v>197</v>
      </c>
      <c r="AS361" s="321"/>
      <c r="AT361" s="318"/>
      <c r="AU361" s="318">
        <v>1</v>
      </c>
      <c r="AV361" s="317">
        <f t="shared" si="20"/>
        <v>0</v>
      </c>
      <c r="AW361" s="318" t="s">
        <v>195</v>
      </c>
      <c r="AX361" s="333"/>
      <c r="AY361" s="333"/>
      <c r="AZ361" s="320"/>
      <c r="BA361" s="174"/>
      <c r="BB361" s="174"/>
      <c r="BC361" s="174"/>
    </row>
    <row r="362" spans="1:55" ht="28" customHeight="1">
      <c r="A362" s="195">
        <v>358</v>
      </c>
      <c r="B362" s="315">
        <v>45030</v>
      </c>
      <c r="C362" s="222" t="s">
        <v>198</v>
      </c>
      <c r="D362" s="222" t="s">
        <v>199</v>
      </c>
      <c r="E362" s="222" t="s">
        <v>200</v>
      </c>
      <c r="F362" s="371" t="s">
        <v>837</v>
      </c>
      <c r="G362" s="309" t="s">
        <v>1150</v>
      </c>
      <c r="H362" s="337" t="s">
        <v>129</v>
      </c>
      <c r="I362" s="311" t="s">
        <v>1151</v>
      </c>
      <c r="J362" s="312" t="s">
        <v>1152</v>
      </c>
      <c r="K362" s="273" t="s">
        <v>97</v>
      </c>
      <c r="L362" s="273" t="s">
        <v>159</v>
      </c>
      <c r="M362" s="311" t="s">
        <v>156</v>
      </c>
      <c r="N362" s="311" t="s">
        <v>97</v>
      </c>
      <c r="O362" s="311" t="s">
        <v>204</v>
      </c>
      <c r="P362" s="329"/>
      <c r="Q362" s="330"/>
      <c r="R362" s="154">
        <v>0</v>
      </c>
      <c r="S362" s="155">
        <f>0</f>
        <v>0</v>
      </c>
      <c r="T362" s="263">
        <v>2</v>
      </c>
      <c r="U362" s="158"/>
      <c r="V362" s="158">
        <f>0</f>
        <v>0</v>
      </c>
      <c r="W362" s="155">
        <f>0</f>
        <v>0</v>
      </c>
      <c r="X362" s="155">
        <f>0</f>
        <v>0</v>
      </c>
      <c r="Y362" s="155">
        <f>0</f>
        <v>0</v>
      </c>
      <c r="Z362" s="155">
        <f>0</f>
        <v>0</v>
      </c>
      <c r="AA362" s="155">
        <f>0</f>
        <v>0</v>
      </c>
      <c r="AB362" s="155">
        <f>0</f>
        <v>0</v>
      </c>
      <c r="AC362" s="155">
        <f>0</f>
        <v>0</v>
      </c>
      <c r="AD362" s="155">
        <f>0</f>
        <v>0</v>
      </c>
      <c r="AE362" s="155">
        <f>0</f>
        <v>0</v>
      </c>
      <c r="AF362" s="155">
        <f>0</f>
        <v>0</v>
      </c>
      <c r="AG362" s="155">
        <f>0</f>
        <v>0</v>
      </c>
      <c r="AH362" s="155">
        <f>0</f>
        <v>0</v>
      </c>
      <c r="AI362" s="155">
        <f>0</f>
        <v>0</v>
      </c>
      <c r="AJ362" s="155">
        <f>0</f>
        <v>0</v>
      </c>
      <c r="AK362" s="155">
        <f>0</f>
        <v>0</v>
      </c>
      <c r="AL362" s="219">
        <f t="shared" si="18"/>
        <v>2</v>
      </c>
      <c r="AM362" s="103"/>
      <c r="AN362" s="326">
        <f t="shared" si="19"/>
        <v>2</v>
      </c>
      <c r="AO362" s="290">
        <v>45034</v>
      </c>
      <c r="AP362" s="291" t="s">
        <v>192</v>
      </c>
      <c r="AQ362" s="292" t="s">
        <v>1520</v>
      </c>
      <c r="AR362" s="293" t="s">
        <v>197</v>
      </c>
      <c r="AS362" s="321"/>
      <c r="AT362" s="318"/>
      <c r="AU362" s="318">
        <v>2</v>
      </c>
      <c r="AV362" s="317">
        <f t="shared" si="20"/>
        <v>0</v>
      </c>
      <c r="AW362" s="318" t="s">
        <v>195</v>
      </c>
      <c r="AX362" s="333"/>
      <c r="AY362" s="333"/>
      <c r="AZ362" s="320"/>
      <c r="BA362" s="174"/>
      <c r="BB362" s="174"/>
      <c r="BC362" s="174"/>
    </row>
    <row r="363" spans="1:55" ht="28" customHeight="1">
      <c r="A363" s="195">
        <v>359</v>
      </c>
      <c r="B363" s="315">
        <v>45030</v>
      </c>
      <c r="C363" s="222" t="s">
        <v>198</v>
      </c>
      <c r="D363" s="222" t="s">
        <v>199</v>
      </c>
      <c r="E363" s="222" t="s">
        <v>200</v>
      </c>
      <c r="F363" s="371" t="s">
        <v>837</v>
      </c>
      <c r="G363" s="309" t="s">
        <v>1153</v>
      </c>
      <c r="H363" s="337" t="s">
        <v>129</v>
      </c>
      <c r="I363" s="311" t="s">
        <v>1154</v>
      </c>
      <c r="J363" s="312" t="s">
        <v>1155</v>
      </c>
      <c r="K363" s="273" t="s">
        <v>97</v>
      </c>
      <c r="L363" s="273" t="s">
        <v>159</v>
      </c>
      <c r="M363" s="311" t="s">
        <v>156</v>
      </c>
      <c r="N363" s="311" t="s">
        <v>97</v>
      </c>
      <c r="O363" s="311" t="s">
        <v>535</v>
      </c>
      <c r="P363" s="329"/>
      <c r="Q363" s="330"/>
      <c r="R363" s="154">
        <v>0</v>
      </c>
      <c r="S363" s="155">
        <f>0</f>
        <v>0</v>
      </c>
      <c r="T363" s="263">
        <v>1</v>
      </c>
      <c r="U363" s="158"/>
      <c r="V363" s="158">
        <f>0</f>
        <v>0</v>
      </c>
      <c r="W363" s="155">
        <f>0</f>
        <v>0</v>
      </c>
      <c r="X363" s="155">
        <f>0</f>
        <v>0</v>
      </c>
      <c r="Y363" s="155">
        <f>0</f>
        <v>0</v>
      </c>
      <c r="Z363" s="155">
        <f>0</f>
        <v>0</v>
      </c>
      <c r="AA363" s="155">
        <f>0</f>
        <v>0</v>
      </c>
      <c r="AB363" s="155">
        <f>0</f>
        <v>0</v>
      </c>
      <c r="AC363" s="155">
        <f>0</f>
        <v>0</v>
      </c>
      <c r="AD363" s="155">
        <f>0</f>
        <v>0</v>
      </c>
      <c r="AE363" s="155">
        <f>0</f>
        <v>0</v>
      </c>
      <c r="AF363" s="155">
        <f>0</f>
        <v>0</v>
      </c>
      <c r="AG363" s="155">
        <f>0</f>
        <v>0</v>
      </c>
      <c r="AH363" s="155">
        <f>0</f>
        <v>0</v>
      </c>
      <c r="AI363" s="155">
        <f>0</f>
        <v>0</v>
      </c>
      <c r="AJ363" s="155">
        <f>0</f>
        <v>0</v>
      </c>
      <c r="AK363" s="155">
        <f>0</f>
        <v>0</v>
      </c>
      <c r="AL363" s="219">
        <f t="shared" si="18"/>
        <v>1</v>
      </c>
      <c r="AM363" s="103"/>
      <c r="AN363" s="326">
        <f t="shared" si="19"/>
        <v>1</v>
      </c>
      <c r="AO363" s="290">
        <v>45034</v>
      </c>
      <c r="AP363" s="291" t="s">
        <v>192</v>
      </c>
      <c r="AQ363" s="292" t="s">
        <v>1520</v>
      </c>
      <c r="AR363" s="293" t="s">
        <v>197</v>
      </c>
      <c r="AS363" s="321"/>
      <c r="AT363" s="318"/>
      <c r="AU363" s="318">
        <v>1</v>
      </c>
      <c r="AV363" s="317">
        <f t="shared" si="20"/>
        <v>0</v>
      </c>
      <c r="AW363" s="318" t="s">
        <v>195</v>
      </c>
      <c r="AX363" s="333"/>
      <c r="AY363" s="333"/>
      <c r="AZ363" s="320"/>
      <c r="BA363" s="174"/>
      <c r="BB363" s="174"/>
      <c r="BC363" s="174"/>
    </row>
    <row r="364" spans="1:55" ht="28" customHeight="1">
      <c r="A364" s="195">
        <v>360</v>
      </c>
      <c r="B364" s="315">
        <v>45030</v>
      </c>
      <c r="C364" s="222" t="s">
        <v>198</v>
      </c>
      <c r="D364" s="222" t="s">
        <v>199</v>
      </c>
      <c r="E364" s="222" t="s">
        <v>200</v>
      </c>
      <c r="F364" s="371" t="s">
        <v>837</v>
      </c>
      <c r="G364" s="309" t="s">
        <v>1156</v>
      </c>
      <c r="H364" s="337" t="s">
        <v>129</v>
      </c>
      <c r="I364" s="311" t="s">
        <v>1274</v>
      </c>
      <c r="J364" s="312" t="s">
        <v>1157</v>
      </c>
      <c r="K364" s="273" t="s">
        <v>97</v>
      </c>
      <c r="L364" s="273" t="s">
        <v>159</v>
      </c>
      <c r="M364" s="311" t="s">
        <v>156</v>
      </c>
      <c r="N364" s="311" t="s">
        <v>97</v>
      </c>
      <c r="O364" s="311" t="s">
        <v>535</v>
      </c>
      <c r="P364" s="329"/>
      <c r="Q364" s="330"/>
      <c r="R364" s="154">
        <v>0</v>
      </c>
      <c r="S364" s="155">
        <f>0</f>
        <v>0</v>
      </c>
      <c r="T364" s="263">
        <v>1</v>
      </c>
      <c r="U364" s="158"/>
      <c r="V364" s="158">
        <f>0</f>
        <v>0</v>
      </c>
      <c r="W364" s="155">
        <f>0</f>
        <v>0</v>
      </c>
      <c r="X364" s="155">
        <f>0</f>
        <v>0</v>
      </c>
      <c r="Y364" s="155">
        <f>0</f>
        <v>0</v>
      </c>
      <c r="Z364" s="155">
        <f>0</f>
        <v>0</v>
      </c>
      <c r="AA364" s="155">
        <f>0</f>
        <v>0</v>
      </c>
      <c r="AB364" s="155">
        <f>0</f>
        <v>0</v>
      </c>
      <c r="AC364" s="155">
        <f>0</f>
        <v>0</v>
      </c>
      <c r="AD364" s="155">
        <f>0</f>
        <v>0</v>
      </c>
      <c r="AE364" s="155">
        <f>0</f>
        <v>0</v>
      </c>
      <c r="AF364" s="155">
        <f>0</f>
        <v>0</v>
      </c>
      <c r="AG364" s="155">
        <f>0</f>
        <v>0</v>
      </c>
      <c r="AH364" s="155">
        <f>0</f>
        <v>0</v>
      </c>
      <c r="AI364" s="155">
        <f>0</f>
        <v>0</v>
      </c>
      <c r="AJ364" s="155">
        <f>0</f>
        <v>0</v>
      </c>
      <c r="AK364" s="155">
        <f>0</f>
        <v>0</v>
      </c>
      <c r="AL364" s="219">
        <f t="shared" si="18"/>
        <v>1</v>
      </c>
      <c r="AM364" s="103"/>
      <c r="AN364" s="326">
        <f t="shared" si="19"/>
        <v>1</v>
      </c>
      <c r="AO364" s="290">
        <v>45034</v>
      </c>
      <c r="AP364" s="291" t="s">
        <v>192</v>
      </c>
      <c r="AQ364" s="292" t="s">
        <v>1520</v>
      </c>
      <c r="AR364" s="293" t="s">
        <v>197</v>
      </c>
      <c r="AS364" s="321"/>
      <c r="AT364" s="318"/>
      <c r="AU364" s="318">
        <v>1</v>
      </c>
      <c r="AV364" s="317">
        <f t="shared" si="20"/>
        <v>0</v>
      </c>
      <c r="AW364" s="318" t="s">
        <v>195</v>
      </c>
      <c r="AX364" s="333"/>
      <c r="AY364" s="333"/>
      <c r="AZ364" s="320"/>
      <c r="BA364" s="174"/>
      <c r="BB364" s="174"/>
      <c r="BC364" s="174"/>
    </row>
    <row r="365" spans="1:55" ht="28" customHeight="1">
      <c r="A365" s="195">
        <v>361</v>
      </c>
      <c r="B365" s="315">
        <v>45030</v>
      </c>
      <c r="C365" s="222" t="s">
        <v>198</v>
      </c>
      <c r="D365" s="222" t="s">
        <v>199</v>
      </c>
      <c r="E365" s="222" t="s">
        <v>200</v>
      </c>
      <c r="F365" s="371" t="s">
        <v>837</v>
      </c>
      <c r="G365" s="309" t="s">
        <v>1158</v>
      </c>
      <c r="H365" s="337" t="s">
        <v>129</v>
      </c>
      <c r="I365" s="311" t="s">
        <v>1275</v>
      </c>
      <c r="J365" s="312" t="s">
        <v>1159</v>
      </c>
      <c r="K365" s="273" t="s">
        <v>97</v>
      </c>
      <c r="L365" s="273" t="s">
        <v>159</v>
      </c>
      <c r="M365" s="311" t="s">
        <v>156</v>
      </c>
      <c r="N365" s="311" t="s">
        <v>97</v>
      </c>
      <c r="O365" s="311" t="s">
        <v>535</v>
      </c>
      <c r="P365" s="329"/>
      <c r="Q365" s="330"/>
      <c r="R365" s="154">
        <v>0</v>
      </c>
      <c r="S365" s="155">
        <f>0</f>
        <v>0</v>
      </c>
      <c r="T365" s="263">
        <v>1</v>
      </c>
      <c r="U365" s="158"/>
      <c r="V365" s="158">
        <f>0</f>
        <v>0</v>
      </c>
      <c r="W365" s="155">
        <f>0</f>
        <v>0</v>
      </c>
      <c r="X365" s="155">
        <f>0</f>
        <v>0</v>
      </c>
      <c r="Y365" s="155">
        <f>0</f>
        <v>0</v>
      </c>
      <c r="Z365" s="155">
        <f>0</f>
        <v>0</v>
      </c>
      <c r="AA365" s="155">
        <f>0</f>
        <v>0</v>
      </c>
      <c r="AB365" s="155">
        <f>0</f>
        <v>0</v>
      </c>
      <c r="AC365" s="155">
        <f>0</f>
        <v>0</v>
      </c>
      <c r="AD365" s="155">
        <f>0</f>
        <v>0</v>
      </c>
      <c r="AE365" s="155">
        <f>0</f>
        <v>0</v>
      </c>
      <c r="AF365" s="155">
        <f>0</f>
        <v>0</v>
      </c>
      <c r="AG365" s="155">
        <f>0</f>
        <v>0</v>
      </c>
      <c r="AH365" s="155">
        <f>0</f>
        <v>0</v>
      </c>
      <c r="AI365" s="155">
        <f>0</f>
        <v>0</v>
      </c>
      <c r="AJ365" s="155">
        <f>0</f>
        <v>0</v>
      </c>
      <c r="AK365" s="155">
        <f>0</f>
        <v>0</v>
      </c>
      <c r="AL365" s="219">
        <f t="shared" si="18"/>
        <v>1</v>
      </c>
      <c r="AM365" s="103"/>
      <c r="AN365" s="326">
        <f t="shared" si="19"/>
        <v>1</v>
      </c>
      <c r="AO365" s="290">
        <v>45034</v>
      </c>
      <c r="AP365" s="291" t="s">
        <v>192</v>
      </c>
      <c r="AQ365" s="292" t="s">
        <v>1520</v>
      </c>
      <c r="AR365" s="293" t="s">
        <v>197</v>
      </c>
      <c r="AS365" s="321"/>
      <c r="AT365" s="318"/>
      <c r="AU365" s="318">
        <v>1</v>
      </c>
      <c r="AV365" s="317">
        <f t="shared" si="20"/>
        <v>0</v>
      </c>
      <c r="AW365" s="318" t="s">
        <v>195</v>
      </c>
      <c r="AX365" s="333"/>
      <c r="AY365" s="333"/>
      <c r="AZ365" s="320"/>
      <c r="BA365" s="174"/>
      <c r="BB365" s="174"/>
      <c r="BC365" s="174"/>
    </row>
    <row r="366" spans="1:55" ht="28" customHeight="1">
      <c r="A366" s="195">
        <v>362</v>
      </c>
      <c r="B366" s="315">
        <v>45030</v>
      </c>
      <c r="C366" s="222" t="s">
        <v>198</v>
      </c>
      <c r="D366" s="222" t="s">
        <v>199</v>
      </c>
      <c r="E366" s="222" t="s">
        <v>200</v>
      </c>
      <c r="F366" s="371" t="s">
        <v>837</v>
      </c>
      <c r="G366" s="309" t="s">
        <v>1160</v>
      </c>
      <c r="H366" s="337" t="s">
        <v>129</v>
      </c>
      <c r="I366" s="311" t="s">
        <v>1276</v>
      </c>
      <c r="J366" s="312" t="s">
        <v>1161</v>
      </c>
      <c r="K366" s="273" t="s">
        <v>97</v>
      </c>
      <c r="L366" s="273" t="s">
        <v>159</v>
      </c>
      <c r="M366" s="311" t="s">
        <v>156</v>
      </c>
      <c r="N366" s="311" t="s">
        <v>97</v>
      </c>
      <c r="O366" s="311" t="s">
        <v>535</v>
      </c>
      <c r="P366" s="329"/>
      <c r="Q366" s="330"/>
      <c r="R366" s="154">
        <v>0</v>
      </c>
      <c r="S366" s="155">
        <f>0</f>
        <v>0</v>
      </c>
      <c r="T366" s="263">
        <v>1</v>
      </c>
      <c r="U366" s="158"/>
      <c r="V366" s="158">
        <f>0</f>
        <v>0</v>
      </c>
      <c r="W366" s="155">
        <f>0</f>
        <v>0</v>
      </c>
      <c r="X366" s="155">
        <f>0</f>
        <v>0</v>
      </c>
      <c r="Y366" s="155">
        <f>0</f>
        <v>0</v>
      </c>
      <c r="Z366" s="155">
        <f>0</f>
        <v>0</v>
      </c>
      <c r="AA366" s="155">
        <f>0</f>
        <v>0</v>
      </c>
      <c r="AB366" s="155">
        <f>0</f>
        <v>0</v>
      </c>
      <c r="AC366" s="155">
        <f>0</f>
        <v>0</v>
      </c>
      <c r="AD366" s="155">
        <f>0</f>
        <v>0</v>
      </c>
      <c r="AE366" s="155">
        <f>0</f>
        <v>0</v>
      </c>
      <c r="AF366" s="155">
        <f>0</f>
        <v>0</v>
      </c>
      <c r="AG366" s="155">
        <f>0</f>
        <v>0</v>
      </c>
      <c r="AH366" s="155">
        <f>0</f>
        <v>0</v>
      </c>
      <c r="AI366" s="155">
        <f>0</f>
        <v>0</v>
      </c>
      <c r="AJ366" s="155">
        <f>0</f>
        <v>0</v>
      </c>
      <c r="AK366" s="155">
        <f>0</f>
        <v>0</v>
      </c>
      <c r="AL366" s="219">
        <f t="shared" si="18"/>
        <v>1</v>
      </c>
      <c r="AM366" s="103"/>
      <c r="AN366" s="326">
        <f t="shared" si="19"/>
        <v>1</v>
      </c>
      <c r="AO366" s="290">
        <v>45034</v>
      </c>
      <c r="AP366" s="291" t="s">
        <v>192</v>
      </c>
      <c r="AQ366" s="292" t="s">
        <v>1520</v>
      </c>
      <c r="AR366" s="293" t="s">
        <v>197</v>
      </c>
      <c r="AS366" s="321"/>
      <c r="AT366" s="318"/>
      <c r="AU366" s="318">
        <v>1</v>
      </c>
      <c r="AV366" s="317">
        <f t="shared" si="20"/>
        <v>0</v>
      </c>
      <c r="AW366" s="318" t="s">
        <v>195</v>
      </c>
      <c r="AX366" s="333"/>
      <c r="AY366" s="333"/>
      <c r="AZ366" s="320"/>
      <c r="BA366" s="174"/>
      <c r="BB366" s="174"/>
      <c r="BC366" s="174"/>
    </row>
    <row r="367" spans="1:55" ht="28" customHeight="1">
      <c r="A367" s="195">
        <v>363</v>
      </c>
      <c r="B367" s="315">
        <v>45030</v>
      </c>
      <c r="C367" s="222" t="s">
        <v>198</v>
      </c>
      <c r="D367" s="222" t="s">
        <v>199</v>
      </c>
      <c r="E367" s="222" t="s">
        <v>200</v>
      </c>
      <c r="F367" s="371" t="s">
        <v>837</v>
      </c>
      <c r="G367" s="309" t="s">
        <v>1162</v>
      </c>
      <c r="H367" s="337" t="s">
        <v>129</v>
      </c>
      <c r="I367" s="311" t="s">
        <v>1277</v>
      </c>
      <c r="J367" s="312" t="s">
        <v>1163</v>
      </c>
      <c r="K367" s="273" t="s">
        <v>97</v>
      </c>
      <c r="L367" s="273" t="s">
        <v>159</v>
      </c>
      <c r="M367" s="311" t="s">
        <v>156</v>
      </c>
      <c r="N367" s="311" t="s">
        <v>97</v>
      </c>
      <c r="O367" s="311" t="s">
        <v>535</v>
      </c>
      <c r="P367" s="329"/>
      <c r="Q367" s="330"/>
      <c r="R367" s="154">
        <v>0</v>
      </c>
      <c r="S367" s="155">
        <f>0</f>
        <v>0</v>
      </c>
      <c r="T367" s="263">
        <v>1</v>
      </c>
      <c r="U367" s="158"/>
      <c r="V367" s="158">
        <f>0</f>
        <v>0</v>
      </c>
      <c r="W367" s="155">
        <f>0</f>
        <v>0</v>
      </c>
      <c r="X367" s="155">
        <f>0</f>
        <v>0</v>
      </c>
      <c r="Y367" s="155">
        <f>0</f>
        <v>0</v>
      </c>
      <c r="Z367" s="155">
        <f>0</f>
        <v>0</v>
      </c>
      <c r="AA367" s="155">
        <f>0</f>
        <v>0</v>
      </c>
      <c r="AB367" s="155">
        <f>0</f>
        <v>0</v>
      </c>
      <c r="AC367" s="155">
        <f>0</f>
        <v>0</v>
      </c>
      <c r="AD367" s="155">
        <f>0</f>
        <v>0</v>
      </c>
      <c r="AE367" s="155">
        <f>0</f>
        <v>0</v>
      </c>
      <c r="AF367" s="155">
        <f>0</f>
        <v>0</v>
      </c>
      <c r="AG367" s="155">
        <f>0</f>
        <v>0</v>
      </c>
      <c r="AH367" s="155">
        <f>0</f>
        <v>0</v>
      </c>
      <c r="AI367" s="155">
        <f>0</f>
        <v>0</v>
      </c>
      <c r="AJ367" s="155">
        <f>0</f>
        <v>0</v>
      </c>
      <c r="AK367" s="155">
        <f>0</f>
        <v>0</v>
      </c>
      <c r="AL367" s="219">
        <f t="shared" si="18"/>
        <v>1</v>
      </c>
      <c r="AM367" s="103"/>
      <c r="AN367" s="326">
        <f t="shared" si="19"/>
        <v>1</v>
      </c>
      <c r="AO367" s="290">
        <v>45034</v>
      </c>
      <c r="AP367" s="291" t="s">
        <v>192</v>
      </c>
      <c r="AQ367" s="292" t="s">
        <v>1520</v>
      </c>
      <c r="AR367" s="293" t="s">
        <v>197</v>
      </c>
      <c r="AS367" s="321"/>
      <c r="AT367" s="318"/>
      <c r="AU367" s="318">
        <v>1</v>
      </c>
      <c r="AV367" s="317">
        <f t="shared" si="20"/>
        <v>0</v>
      </c>
      <c r="AW367" s="318" t="s">
        <v>195</v>
      </c>
      <c r="AX367" s="333"/>
      <c r="AY367" s="333"/>
      <c r="AZ367" s="320"/>
      <c r="BA367" s="174"/>
      <c r="BB367" s="174"/>
      <c r="BC367" s="174"/>
    </row>
    <row r="368" spans="1:55" ht="28" customHeight="1">
      <c r="A368" s="195">
        <v>364</v>
      </c>
      <c r="B368" s="315">
        <v>45030</v>
      </c>
      <c r="C368" s="222" t="s">
        <v>198</v>
      </c>
      <c r="D368" s="222" t="s">
        <v>199</v>
      </c>
      <c r="E368" s="222" t="s">
        <v>200</v>
      </c>
      <c r="F368" s="371" t="s">
        <v>837</v>
      </c>
      <c r="G368" s="309" t="s">
        <v>1164</v>
      </c>
      <c r="H368" s="337" t="s">
        <v>129</v>
      </c>
      <c r="I368" s="311" t="s">
        <v>1278</v>
      </c>
      <c r="J368" s="312" t="s">
        <v>1165</v>
      </c>
      <c r="K368" s="273" t="s">
        <v>97</v>
      </c>
      <c r="L368" s="273" t="s">
        <v>159</v>
      </c>
      <c r="M368" s="311" t="s">
        <v>156</v>
      </c>
      <c r="N368" s="311" t="s">
        <v>97</v>
      </c>
      <c r="O368" s="311" t="s">
        <v>535</v>
      </c>
      <c r="P368" s="329"/>
      <c r="Q368" s="330"/>
      <c r="R368" s="154">
        <v>0</v>
      </c>
      <c r="S368" s="155">
        <f>0</f>
        <v>0</v>
      </c>
      <c r="T368" s="263">
        <v>1</v>
      </c>
      <c r="U368" s="158"/>
      <c r="V368" s="158">
        <f>0</f>
        <v>0</v>
      </c>
      <c r="W368" s="155">
        <f>0</f>
        <v>0</v>
      </c>
      <c r="X368" s="155">
        <f>0</f>
        <v>0</v>
      </c>
      <c r="Y368" s="155">
        <f>0</f>
        <v>0</v>
      </c>
      <c r="Z368" s="155">
        <f>0</f>
        <v>0</v>
      </c>
      <c r="AA368" s="155">
        <f>0</f>
        <v>0</v>
      </c>
      <c r="AB368" s="155">
        <f>0</f>
        <v>0</v>
      </c>
      <c r="AC368" s="155">
        <f>0</f>
        <v>0</v>
      </c>
      <c r="AD368" s="155">
        <f>0</f>
        <v>0</v>
      </c>
      <c r="AE368" s="155">
        <f>0</f>
        <v>0</v>
      </c>
      <c r="AF368" s="155">
        <f>0</f>
        <v>0</v>
      </c>
      <c r="AG368" s="155">
        <f>0</f>
        <v>0</v>
      </c>
      <c r="AH368" s="155">
        <f>0</f>
        <v>0</v>
      </c>
      <c r="AI368" s="155">
        <f>0</f>
        <v>0</v>
      </c>
      <c r="AJ368" s="155">
        <f>0</f>
        <v>0</v>
      </c>
      <c r="AK368" s="155">
        <f>0</f>
        <v>0</v>
      </c>
      <c r="AL368" s="219">
        <f t="shared" si="18"/>
        <v>1</v>
      </c>
      <c r="AM368" s="103"/>
      <c r="AN368" s="326">
        <f t="shared" si="19"/>
        <v>1</v>
      </c>
      <c r="AO368" s="290">
        <v>45034</v>
      </c>
      <c r="AP368" s="291" t="s">
        <v>192</v>
      </c>
      <c r="AQ368" s="292" t="s">
        <v>1520</v>
      </c>
      <c r="AR368" s="293" t="s">
        <v>197</v>
      </c>
      <c r="AS368" s="321"/>
      <c r="AT368" s="318"/>
      <c r="AU368" s="318">
        <v>1</v>
      </c>
      <c r="AV368" s="317">
        <f t="shared" si="20"/>
        <v>0</v>
      </c>
      <c r="AW368" s="318" t="s">
        <v>195</v>
      </c>
      <c r="AX368" s="333"/>
      <c r="AY368" s="333"/>
      <c r="AZ368" s="320"/>
      <c r="BA368" s="174"/>
      <c r="BB368" s="174"/>
      <c r="BC368" s="174"/>
    </row>
    <row r="369" spans="1:55" ht="28" customHeight="1">
      <c r="A369" s="195">
        <v>365</v>
      </c>
      <c r="B369" s="315">
        <v>45030</v>
      </c>
      <c r="C369" s="222" t="s">
        <v>198</v>
      </c>
      <c r="D369" s="222" t="s">
        <v>199</v>
      </c>
      <c r="E369" s="222" t="s">
        <v>200</v>
      </c>
      <c r="F369" s="371" t="s">
        <v>837</v>
      </c>
      <c r="G369" s="309" t="s">
        <v>1166</v>
      </c>
      <c r="H369" s="337" t="s">
        <v>129</v>
      </c>
      <c r="I369" s="311" t="s">
        <v>1279</v>
      </c>
      <c r="J369" s="312" t="s">
        <v>1167</v>
      </c>
      <c r="K369" s="273" t="s">
        <v>97</v>
      </c>
      <c r="L369" s="273" t="s">
        <v>159</v>
      </c>
      <c r="M369" s="311" t="s">
        <v>156</v>
      </c>
      <c r="N369" s="311" t="s">
        <v>97</v>
      </c>
      <c r="O369" s="311" t="s">
        <v>535</v>
      </c>
      <c r="P369" s="329"/>
      <c r="Q369" s="330"/>
      <c r="R369" s="154">
        <v>0</v>
      </c>
      <c r="S369" s="155">
        <f>0</f>
        <v>0</v>
      </c>
      <c r="T369" s="263">
        <v>1</v>
      </c>
      <c r="U369" s="158"/>
      <c r="V369" s="158">
        <f>0</f>
        <v>0</v>
      </c>
      <c r="W369" s="155">
        <f>0</f>
        <v>0</v>
      </c>
      <c r="X369" s="155">
        <f>0</f>
        <v>0</v>
      </c>
      <c r="Y369" s="155">
        <f>0</f>
        <v>0</v>
      </c>
      <c r="Z369" s="155">
        <f>0</f>
        <v>0</v>
      </c>
      <c r="AA369" s="155">
        <f>0</f>
        <v>0</v>
      </c>
      <c r="AB369" s="155">
        <f>0</f>
        <v>0</v>
      </c>
      <c r="AC369" s="155">
        <f>0</f>
        <v>0</v>
      </c>
      <c r="AD369" s="155">
        <f>0</f>
        <v>0</v>
      </c>
      <c r="AE369" s="155">
        <f>0</f>
        <v>0</v>
      </c>
      <c r="AF369" s="155">
        <f>0</f>
        <v>0</v>
      </c>
      <c r="AG369" s="155">
        <f>0</f>
        <v>0</v>
      </c>
      <c r="AH369" s="155">
        <f>0</f>
        <v>0</v>
      </c>
      <c r="AI369" s="155">
        <f>0</f>
        <v>0</v>
      </c>
      <c r="AJ369" s="155">
        <f>0</f>
        <v>0</v>
      </c>
      <c r="AK369" s="155">
        <f>0</f>
        <v>0</v>
      </c>
      <c r="AL369" s="219">
        <f t="shared" si="18"/>
        <v>1</v>
      </c>
      <c r="AM369" s="103"/>
      <c r="AN369" s="326">
        <f t="shared" si="19"/>
        <v>1</v>
      </c>
      <c r="AO369" s="290">
        <v>45034</v>
      </c>
      <c r="AP369" s="291" t="s">
        <v>192</v>
      </c>
      <c r="AQ369" s="292" t="s">
        <v>1520</v>
      </c>
      <c r="AR369" s="293" t="s">
        <v>197</v>
      </c>
      <c r="AS369" s="321"/>
      <c r="AT369" s="318"/>
      <c r="AU369" s="318">
        <v>1</v>
      </c>
      <c r="AV369" s="317">
        <f t="shared" si="20"/>
        <v>0</v>
      </c>
      <c r="AW369" s="318" t="s">
        <v>195</v>
      </c>
      <c r="AX369" s="333"/>
      <c r="AY369" s="333"/>
      <c r="AZ369" s="320"/>
      <c r="BA369" s="174"/>
      <c r="BB369" s="174"/>
      <c r="BC369" s="174"/>
    </row>
    <row r="370" spans="1:55" ht="28" customHeight="1">
      <c r="A370" s="195">
        <v>366</v>
      </c>
      <c r="B370" s="315">
        <v>45030</v>
      </c>
      <c r="C370" s="222" t="s">
        <v>198</v>
      </c>
      <c r="D370" s="222" t="s">
        <v>199</v>
      </c>
      <c r="E370" s="222" t="s">
        <v>200</v>
      </c>
      <c r="F370" s="371" t="s">
        <v>837</v>
      </c>
      <c r="G370" s="309" t="s">
        <v>1168</v>
      </c>
      <c r="H370" s="337" t="s">
        <v>129</v>
      </c>
      <c r="I370" s="311" t="s">
        <v>1169</v>
      </c>
      <c r="J370" s="312" t="s">
        <v>1170</v>
      </c>
      <c r="K370" s="273" t="s">
        <v>97</v>
      </c>
      <c r="L370" s="273" t="s">
        <v>159</v>
      </c>
      <c r="M370" s="311" t="s">
        <v>156</v>
      </c>
      <c r="N370" s="311" t="s">
        <v>97</v>
      </c>
      <c r="O370" s="311" t="s">
        <v>535</v>
      </c>
      <c r="P370" s="329"/>
      <c r="Q370" s="330"/>
      <c r="R370" s="154">
        <v>0</v>
      </c>
      <c r="S370" s="155">
        <f>0</f>
        <v>0</v>
      </c>
      <c r="T370" s="263">
        <v>1</v>
      </c>
      <c r="U370" s="158"/>
      <c r="V370" s="158">
        <f>0</f>
        <v>0</v>
      </c>
      <c r="W370" s="155">
        <f>0</f>
        <v>0</v>
      </c>
      <c r="X370" s="155">
        <f>0</f>
        <v>0</v>
      </c>
      <c r="Y370" s="155">
        <f>0</f>
        <v>0</v>
      </c>
      <c r="Z370" s="155">
        <f>0</f>
        <v>0</v>
      </c>
      <c r="AA370" s="155">
        <f>0</f>
        <v>0</v>
      </c>
      <c r="AB370" s="155">
        <f>0</f>
        <v>0</v>
      </c>
      <c r="AC370" s="155">
        <f>0</f>
        <v>0</v>
      </c>
      <c r="AD370" s="155">
        <f>0</f>
        <v>0</v>
      </c>
      <c r="AE370" s="155">
        <f>0</f>
        <v>0</v>
      </c>
      <c r="AF370" s="155">
        <f>0</f>
        <v>0</v>
      </c>
      <c r="AG370" s="155">
        <f>0</f>
        <v>0</v>
      </c>
      <c r="AH370" s="155">
        <f>0</f>
        <v>0</v>
      </c>
      <c r="AI370" s="155">
        <f>0</f>
        <v>0</v>
      </c>
      <c r="AJ370" s="155">
        <f>0</f>
        <v>0</v>
      </c>
      <c r="AK370" s="155">
        <f>0</f>
        <v>0</v>
      </c>
      <c r="AL370" s="219">
        <f t="shared" si="18"/>
        <v>1</v>
      </c>
      <c r="AM370" s="103"/>
      <c r="AN370" s="326">
        <f t="shared" si="19"/>
        <v>1</v>
      </c>
      <c r="AO370" s="290">
        <v>45034</v>
      </c>
      <c r="AP370" s="291" t="s">
        <v>192</v>
      </c>
      <c r="AQ370" s="292" t="s">
        <v>1520</v>
      </c>
      <c r="AR370" s="293" t="s">
        <v>197</v>
      </c>
      <c r="AS370" s="321"/>
      <c r="AT370" s="318"/>
      <c r="AU370" s="318">
        <v>1</v>
      </c>
      <c r="AV370" s="317">
        <f t="shared" si="20"/>
        <v>0</v>
      </c>
      <c r="AW370" s="318" t="s">
        <v>195</v>
      </c>
      <c r="AX370" s="333"/>
      <c r="AY370" s="333"/>
      <c r="AZ370" s="320"/>
      <c r="BA370" s="174"/>
      <c r="BB370" s="174"/>
      <c r="BC370" s="174"/>
    </row>
    <row r="371" spans="1:55" ht="28" customHeight="1">
      <c r="A371" s="195">
        <v>367</v>
      </c>
      <c r="B371" s="315">
        <v>45030</v>
      </c>
      <c r="C371" s="222" t="s">
        <v>198</v>
      </c>
      <c r="D371" s="222" t="s">
        <v>199</v>
      </c>
      <c r="E371" s="222" t="s">
        <v>200</v>
      </c>
      <c r="F371" s="371" t="s">
        <v>837</v>
      </c>
      <c r="G371" s="309" t="s">
        <v>1171</v>
      </c>
      <c r="H371" s="337" t="s">
        <v>129</v>
      </c>
      <c r="I371" s="311" t="s">
        <v>1172</v>
      </c>
      <c r="J371" s="312" t="s">
        <v>1173</v>
      </c>
      <c r="K371" s="273" t="s">
        <v>97</v>
      </c>
      <c r="L371" s="273" t="s">
        <v>159</v>
      </c>
      <c r="M371" s="311" t="s">
        <v>156</v>
      </c>
      <c r="N371" s="311" t="s">
        <v>97</v>
      </c>
      <c r="O371" s="311" t="s">
        <v>535</v>
      </c>
      <c r="P371" s="329"/>
      <c r="Q371" s="330"/>
      <c r="R371" s="154">
        <v>0</v>
      </c>
      <c r="S371" s="155">
        <f>0</f>
        <v>0</v>
      </c>
      <c r="T371" s="263">
        <v>1</v>
      </c>
      <c r="U371" s="158"/>
      <c r="V371" s="158">
        <f>0</f>
        <v>0</v>
      </c>
      <c r="W371" s="155">
        <f>0</f>
        <v>0</v>
      </c>
      <c r="X371" s="155">
        <f>0</f>
        <v>0</v>
      </c>
      <c r="Y371" s="155">
        <f>0</f>
        <v>0</v>
      </c>
      <c r="Z371" s="155">
        <f>0</f>
        <v>0</v>
      </c>
      <c r="AA371" s="155">
        <f>0</f>
        <v>0</v>
      </c>
      <c r="AB371" s="155">
        <f>0</f>
        <v>0</v>
      </c>
      <c r="AC371" s="155">
        <f>0</f>
        <v>0</v>
      </c>
      <c r="AD371" s="155">
        <f>0</f>
        <v>0</v>
      </c>
      <c r="AE371" s="155">
        <f>0</f>
        <v>0</v>
      </c>
      <c r="AF371" s="155">
        <f>0</f>
        <v>0</v>
      </c>
      <c r="AG371" s="155">
        <f>0</f>
        <v>0</v>
      </c>
      <c r="AH371" s="155">
        <f>0</f>
        <v>0</v>
      </c>
      <c r="AI371" s="155">
        <f>0</f>
        <v>0</v>
      </c>
      <c r="AJ371" s="155">
        <f>0</f>
        <v>0</v>
      </c>
      <c r="AK371" s="155">
        <f>0</f>
        <v>0</v>
      </c>
      <c r="AL371" s="219">
        <f t="shared" si="18"/>
        <v>1</v>
      </c>
      <c r="AM371" s="103"/>
      <c r="AN371" s="326">
        <f t="shared" si="19"/>
        <v>1</v>
      </c>
      <c r="AO371" s="290">
        <v>45034</v>
      </c>
      <c r="AP371" s="291" t="s">
        <v>192</v>
      </c>
      <c r="AQ371" s="292" t="s">
        <v>1520</v>
      </c>
      <c r="AR371" s="293" t="s">
        <v>197</v>
      </c>
      <c r="AS371" s="321"/>
      <c r="AT371" s="318"/>
      <c r="AU371" s="318">
        <v>1</v>
      </c>
      <c r="AV371" s="317">
        <f t="shared" si="20"/>
        <v>0</v>
      </c>
      <c r="AW371" s="318" t="s">
        <v>195</v>
      </c>
      <c r="AX371" s="333"/>
      <c r="AY371" s="333"/>
      <c r="AZ371" s="320"/>
      <c r="BA371" s="174"/>
      <c r="BB371" s="174"/>
      <c r="BC371" s="174"/>
    </row>
    <row r="372" spans="1:55" ht="28" customHeight="1">
      <c r="A372" s="195">
        <v>368</v>
      </c>
      <c r="B372" s="315">
        <v>45030</v>
      </c>
      <c r="C372" s="222" t="s">
        <v>198</v>
      </c>
      <c r="D372" s="222" t="s">
        <v>199</v>
      </c>
      <c r="E372" s="222" t="s">
        <v>200</v>
      </c>
      <c r="F372" s="371" t="s">
        <v>837</v>
      </c>
      <c r="G372" s="309" t="s">
        <v>1174</v>
      </c>
      <c r="H372" s="337" t="s">
        <v>129</v>
      </c>
      <c r="I372" s="311" t="s">
        <v>1148</v>
      </c>
      <c r="J372" s="312" t="s">
        <v>1175</v>
      </c>
      <c r="K372" s="273" t="s">
        <v>97</v>
      </c>
      <c r="L372" s="273" t="s">
        <v>159</v>
      </c>
      <c r="M372" s="311" t="s">
        <v>156</v>
      </c>
      <c r="N372" s="311" t="s">
        <v>97</v>
      </c>
      <c r="O372" s="311" t="s">
        <v>535</v>
      </c>
      <c r="P372" s="329"/>
      <c r="Q372" s="330"/>
      <c r="R372" s="154">
        <v>0</v>
      </c>
      <c r="S372" s="155">
        <f>0</f>
        <v>0</v>
      </c>
      <c r="T372" s="263">
        <v>1</v>
      </c>
      <c r="U372" s="158"/>
      <c r="V372" s="158">
        <f>0</f>
        <v>0</v>
      </c>
      <c r="W372" s="155">
        <f>0</f>
        <v>0</v>
      </c>
      <c r="X372" s="155">
        <f>0</f>
        <v>0</v>
      </c>
      <c r="Y372" s="155">
        <f>0</f>
        <v>0</v>
      </c>
      <c r="Z372" s="155">
        <f>0</f>
        <v>0</v>
      </c>
      <c r="AA372" s="155">
        <f>0</f>
        <v>0</v>
      </c>
      <c r="AB372" s="155">
        <f>0</f>
        <v>0</v>
      </c>
      <c r="AC372" s="155">
        <f>0</f>
        <v>0</v>
      </c>
      <c r="AD372" s="155">
        <f>0</f>
        <v>0</v>
      </c>
      <c r="AE372" s="155">
        <f>0</f>
        <v>0</v>
      </c>
      <c r="AF372" s="155">
        <f>0</f>
        <v>0</v>
      </c>
      <c r="AG372" s="155">
        <f>0</f>
        <v>0</v>
      </c>
      <c r="AH372" s="155">
        <f>0</f>
        <v>0</v>
      </c>
      <c r="AI372" s="155">
        <f>0</f>
        <v>0</v>
      </c>
      <c r="AJ372" s="155">
        <f>0</f>
        <v>0</v>
      </c>
      <c r="AK372" s="155">
        <f>0</f>
        <v>0</v>
      </c>
      <c r="AL372" s="219">
        <f t="shared" si="18"/>
        <v>1</v>
      </c>
      <c r="AM372" s="103"/>
      <c r="AN372" s="326">
        <f t="shared" si="19"/>
        <v>1</v>
      </c>
      <c r="AO372" s="290">
        <v>45034</v>
      </c>
      <c r="AP372" s="291" t="s">
        <v>192</v>
      </c>
      <c r="AQ372" s="292" t="s">
        <v>1520</v>
      </c>
      <c r="AR372" s="293" t="s">
        <v>197</v>
      </c>
      <c r="AS372" s="321"/>
      <c r="AT372" s="318"/>
      <c r="AU372" s="318">
        <v>1</v>
      </c>
      <c r="AV372" s="317">
        <f t="shared" si="20"/>
        <v>0</v>
      </c>
      <c r="AW372" s="318" t="s">
        <v>195</v>
      </c>
      <c r="AX372" s="333"/>
      <c r="AY372" s="333"/>
      <c r="AZ372" s="320"/>
      <c r="BA372" s="174"/>
      <c r="BB372" s="174"/>
      <c r="BC372" s="174"/>
    </row>
    <row r="373" spans="1:55" ht="28" customHeight="1">
      <c r="A373" s="195">
        <v>369</v>
      </c>
      <c r="B373" s="315">
        <v>45030</v>
      </c>
      <c r="C373" s="222" t="s">
        <v>198</v>
      </c>
      <c r="D373" s="222" t="s">
        <v>199</v>
      </c>
      <c r="E373" s="222" t="s">
        <v>200</v>
      </c>
      <c r="F373" s="371" t="s">
        <v>837</v>
      </c>
      <c r="G373" s="309" t="s">
        <v>1176</v>
      </c>
      <c r="H373" s="337" t="s">
        <v>129</v>
      </c>
      <c r="I373" s="311" t="s">
        <v>1169</v>
      </c>
      <c r="J373" s="312" t="s">
        <v>1177</v>
      </c>
      <c r="K373" s="273" t="s">
        <v>97</v>
      </c>
      <c r="L373" s="273" t="s">
        <v>159</v>
      </c>
      <c r="M373" s="311" t="s">
        <v>156</v>
      </c>
      <c r="N373" s="311" t="s">
        <v>97</v>
      </c>
      <c r="O373" s="311" t="s">
        <v>535</v>
      </c>
      <c r="P373" s="329"/>
      <c r="Q373" s="330"/>
      <c r="R373" s="154">
        <v>0</v>
      </c>
      <c r="S373" s="155">
        <f>0</f>
        <v>0</v>
      </c>
      <c r="T373" s="263">
        <v>1</v>
      </c>
      <c r="U373" s="158"/>
      <c r="V373" s="158">
        <f>0</f>
        <v>0</v>
      </c>
      <c r="W373" s="155">
        <f>0</f>
        <v>0</v>
      </c>
      <c r="X373" s="155">
        <f>0</f>
        <v>0</v>
      </c>
      <c r="Y373" s="155">
        <f>0</f>
        <v>0</v>
      </c>
      <c r="Z373" s="155">
        <f>0</f>
        <v>0</v>
      </c>
      <c r="AA373" s="155">
        <f>0</f>
        <v>0</v>
      </c>
      <c r="AB373" s="155">
        <f>0</f>
        <v>0</v>
      </c>
      <c r="AC373" s="155">
        <f>0</f>
        <v>0</v>
      </c>
      <c r="AD373" s="155">
        <f>0</f>
        <v>0</v>
      </c>
      <c r="AE373" s="155">
        <f>0</f>
        <v>0</v>
      </c>
      <c r="AF373" s="155">
        <f>0</f>
        <v>0</v>
      </c>
      <c r="AG373" s="155">
        <f>0</f>
        <v>0</v>
      </c>
      <c r="AH373" s="155">
        <f>0</f>
        <v>0</v>
      </c>
      <c r="AI373" s="155">
        <f>0</f>
        <v>0</v>
      </c>
      <c r="AJ373" s="155">
        <f>0</f>
        <v>0</v>
      </c>
      <c r="AK373" s="155">
        <f>0</f>
        <v>0</v>
      </c>
      <c r="AL373" s="219">
        <f t="shared" si="18"/>
        <v>1</v>
      </c>
      <c r="AM373" s="103"/>
      <c r="AN373" s="326">
        <f t="shared" si="19"/>
        <v>1</v>
      </c>
      <c r="AO373" s="290">
        <v>45034</v>
      </c>
      <c r="AP373" s="291" t="s">
        <v>192</v>
      </c>
      <c r="AQ373" s="292" t="s">
        <v>1520</v>
      </c>
      <c r="AR373" s="293" t="s">
        <v>197</v>
      </c>
      <c r="AS373" s="321"/>
      <c r="AT373" s="318"/>
      <c r="AU373" s="318">
        <v>1</v>
      </c>
      <c r="AV373" s="317">
        <f t="shared" si="20"/>
        <v>0</v>
      </c>
      <c r="AW373" s="318" t="s">
        <v>195</v>
      </c>
      <c r="AX373" s="333"/>
      <c r="AY373" s="333"/>
      <c r="AZ373" s="320"/>
      <c r="BA373" s="174"/>
      <c r="BB373" s="174"/>
      <c r="BC373" s="174"/>
    </row>
    <row r="374" spans="1:55" ht="28" customHeight="1">
      <c r="A374" s="195">
        <v>370</v>
      </c>
      <c r="B374" s="315">
        <v>45030</v>
      </c>
      <c r="C374" s="222" t="s">
        <v>198</v>
      </c>
      <c r="D374" s="222" t="s">
        <v>199</v>
      </c>
      <c r="E374" s="222" t="s">
        <v>200</v>
      </c>
      <c r="F374" s="371" t="s">
        <v>837</v>
      </c>
      <c r="G374" s="309" t="s">
        <v>1178</v>
      </c>
      <c r="H374" s="337" t="s">
        <v>129</v>
      </c>
      <c r="I374" s="311" t="s">
        <v>1172</v>
      </c>
      <c r="J374" s="312" t="s">
        <v>1179</v>
      </c>
      <c r="K374" s="273" t="s">
        <v>97</v>
      </c>
      <c r="L374" s="273" t="s">
        <v>159</v>
      </c>
      <c r="M374" s="311" t="s">
        <v>156</v>
      </c>
      <c r="N374" s="311" t="s">
        <v>97</v>
      </c>
      <c r="O374" s="311" t="s">
        <v>535</v>
      </c>
      <c r="P374" s="329"/>
      <c r="Q374" s="330"/>
      <c r="R374" s="154">
        <v>0</v>
      </c>
      <c r="S374" s="155">
        <f>0</f>
        <v>0</v>
      </c>
      <c r="T374" s="263">
        <v>1</v>
      </c>
      <c r="U374" s="158"/>
      <c r="V374" s="158">
        <f>0</f>
        <v>0</v>
      </c>
      <c r="W374" s="155">
        <f>0</f>
        <v>0</v>
      </c>
      <c r="X374" s="155">
        <f>0</f>
        <v>0</v>
      </c>
      <c r="Y374" s="155">
        <f>0</f>
        <v>0</v>
      </c>
      <c r="Z374" s="155">
        <f>0</f>
        <v>0</v>
      </c>
      <c r="AA374" s="155">
        <f>0</f>
        <v>0</v>
      </c>
      <c r="AB374" s="155">
        <f>0</f>
        <v>0</v>
      </c>
      <c r="AC374" s="155">
        <f>0</f>
        <v>0</v>
      </c>
      <c r="AD374" s="155">
        <f>0</f>
        <v>0</v>
      </c>
      <c r="AE374" s="155">
        <f>0</f>
        <v>0</v>
      </c>
      <c r="AF374" s="155">
        <f>0</f>
        <v>0</v>
      </c>
      <c r="AG374" s="155">
        <f>0</f>
        <v>0</v>
      </c>
      <c r="AH374" s="155">
        <f>0</f>
        <v>0</v>
      </c>
      <c r="AI374" s="155">
        <f>0</f>
        <v>0</v>
      </c>
      <c r="AJ374" s="155">
        <f>0</f>
        <v>0</v>
      </c>
      <c r="AK374" s="155">
        <f>0</f>
        <v>0</v>
      </c>
      <c r="AL374" s="219">
        <f t="shared" si="18"/>
        <v>1</v>
      </c>
      <c r="AM374" s="103"/>
      <c r="AN374" s="326">
        <f t="shared" si="19"/>
        <v>1</v>
      </c>
      <c r="AO374" s="290">
        <v>45034</v>
      </c>
      <c r="AP374" s="291" t="s">
        <v>192</v>
      </c>
      <c r="AQ374" s="292" t="s">
        <v>1520</v>
      </c>
      <c r="AR374" s="293" t="s">
        <v>197</v>
      </c>
      <c r="AS374" s="321"/>
      <c r="AT374" s="318"/>
      <c r="AU374" s="318">
        <v>1</v>
      </c>
      <c r="AV374" s="317">
        <f t="shared" si="20"/>
        <v>0</v>
      </c>
      <c r="AW374" s="318" t="s">
        <v>195</v>
      </c>
      <c r="AX374" s="333"/>
      <c r="AY374" s="333"/>
      <c r="AZ374" s="320"/>
      <c r="BA374" s="174"/>
      <c r="BB374" s="174"/>
      <c r="BC374" s="174"/>
    </row>
    <row r="375" spans="1:55" ht="28" customHeight="1">
      <c r="A375" s="195">
        <v>371</v>
      </c>
      <c r="B375" s="315">
        <v>45030</v>
      </c>
      <c r="C375" s="222" t="s">
        <v>198</v>
      </c>
      <c r="D375" s="222" t="s">
        <v>199</v>
      </c>
      <c r="E375" s="222" t="s">
        <v>200</v>
      </c>
      <c r="F375" s="371" t="s">
        <v>837</v>
      </c>
      <c r="G375" s="309" t="s">
        <v>1180</v>
      </c>
      <c r="H375" s="337" t="s">
        <v>129</v>
      </c>
      <c r="I375" s="311" t="s">
        <v>1181</v>
      </c>
      <c r="J375" s="312" t="s">
        <v>1182</v>
      </c>
      <c r="K375" s="273" t="s">
        <v>97</v>
      </c>
      <c r="L375" s="273" t="s">
        <v>159</v>
      </c>
      <c r="M375" s="311" t="s">
        <v>156</v>
      </c>
      <c r="N375" s="311" t="s">
        <v>97</v>
      </c>
      <c r="O375" s="311" t="s">
        <v>535</v>
      </c>
      <c r="P375" s="329"/>
      <c r="Q375" s="330"/>
      <c r="R375" s="154">
        <v>0</v>
      </c>
      <c r="S375" s="155">
        <f>0</f>
        <v>0</v>
      </c>
      <c r="T375" s="263">
        <v>1</v>
      </c>
      <c r="U375" s="158"/>
      <c r="V375" s="158">
        <f>0</f>
        <v>0</v>
      </c>
      <c r="W375" s="155">
        <f>0</f>
        <v>0</v>
      </c>
      <c r="X375" s="155">
        <f>0</f>
        <v>0</v>
      </c>
      <c r="Y375" s="155">
        <f>0</f>
        <v>0</v>
      </c>
      <c r="Z375" s="155">
        <f>0</f>
        <v>0</v>
      </c>
      <c r="AA375" s="155">
        <f>0</f>
        <v>0</v>
      </c>
      <c r="AB375" s="155">
        <f>0</f>
        <v>0</v>
      </c>
      <c r="AC375" s="155">
        <f>0</f>
        <v>0</v>
      </c>
      <c r="AD375" s="155">
        <f>0</f>
        <v>0</v>
      </c>
      <c r="AE375" s="155">
        <f>0</f>
        <v>0</v>
      </c>
      <c r="AF375" s="155">
        <f>0</f>
        <v>0</v>
      </c>
      <c r="AG375" s="155">
        <f>0</f>
        <v>0</v>
      </c>
      <c r="AH375" s="155">
        <f>0</f>
        <v>0</v>
      </c>
      <c r="AI375" s="155">
        <f>0</f>
        <v>0</v>
      </c>
      <c r="AJ375" s="155">
        <f>0</f>
        <v>0</v>
      </c>
      <c r="AK375" s="155">
        <f>0</f>
        <v>0</v>
      </c>
      <c r="AL375" s="219">
        <f t="shared" si="18"/>
        <v>1</v>
      </c>
      <c r="AM375" s="103"/>
      <c r="AN375" s="326">
        <f t="shared" si="19"/>
        <v>1</v>
      </c>
      <c r="AO375" s="290">
        <v>45034</v>
      </c>
      <c r="AP375" s="291" t="s">
        <v>192</v>
      </c>
      <c r="AQ375" s="292" t="s">
        <v>1520</v>
      </c>
      <c r="AR375" s="293" t="s">
        <v>197</v>
      </c>
      <c r="AS375" s="321"/>
      <c r="AT375" s="318"/>
      <c r="AU375" s="318">
        <v>1</v>
      </c>
      <c r="AV375" s="317">
        <f t="shared" si="20"/>
        <v>0</v>
      </c>
      <c r="AW375" s="318" t="s">
        <v>195</v>
      </c>
      <c r="AX375" s="333"/>
      <c r="AY375" s="333"/>
      <c r="AZ375" s="320"/>
      <c r="BA375" s="174"/>
      <c r="BB375" s="174"/>
      <c r="BC375" s="174"/>
    </row>
    <row r="376" spans="1:55" ht="28" customHeight="1">
      <c r="A376" s="195">
        <v>372</v>
      </c>
      <c r="B376" s="315">
        <v>45030</v>
      </c>
      <c r="C376" s="222" t="s">
        <v>198</v>
      </c>
      <c r="D376" s="222" t="s">
        <v>199</v>
      </c>
      <c r="E376" s="222" t="s">
        <v>200</v>
      </c>
      <c r="F376" s="371" t="s">
        <v>837</v>
      </c>
      <c r="G376" s="309" t="s">
        <v>1183</v>
      </c>
      <c r="H376" s="337" t="s">
        <v>129</v>
      </c>
      <c r="I376" s="311" t="s">
        <v>1184</v>
      </c>
      <c r="J376" s="312" t="s">
        <v>1185</v>
      </c>
      <c r="K376" s="273" t="s">
        <v>97</v>
      </c>
      <c r="L376" s="273" t="s">
        <v>159</v>
      </c>
      <c r="M376" s="311" t="s">
        <v>156</v>
      </c>
      <c r="N376" s="311" t="s">
        <v>97</v>
      </c>
      <c r="O376" s="311" t="s">
        <v>535</v>
      </c>
      <c r="P376" s="329"/>
      <c r="Q376" s="330"/>
      <c r="R376" s="154">
        <v>0</v>
      </c>
      <c r="S376" s="155">
        <f>0</f>
        <v>0</v>
      </c>
      <c r="T376" s="263">
        <v>1</v>
      </c>
      <c r="U376" s="158"/>
      <c r="V376" s="158">
        <f>0</f>
        <v>0</v>
      </c>
      <c r="W376" s="155">
        <f>0</f>
        <v>0</v>
      </c>
      <c r="X376" s="155">
        <f>0</f>
        <v>0</v>
      </c>
      <c r="Y376" s="155">
        <f>0</f>
        <v>0</v>
      </c>
      <c r="Z376" s="155">
        <f>0</f>
        <v>0</v>
      </c>
      <c r="AA376" s="155">
        <f>0</f>
        <v>0</v>
      </c>
      <c r="AB376" s="155">
        <f>0</f>
        <v>0</v>
      </c>
      <c r="AC376" s="155">
        <f>0</f>
        <v>0</v>
      </c>
      <c r="AD376" s="155">
        <f>0</f>
        <v>0</v>
      </c>
      <c r="AE376" s="155">
        <f>0</f>
        <v>0</v>
      </c>
      <c r="AF376" s="155">
        <f>0</f>
        <v>0</v>
      </c>
      <c r="AG376" s="155">
        <f>0</f>
        <v>0</v>
      </c>
      <c r="AH376" s="155">
        <f>0</f>
        <v>0</v>
      </c>
      <c r="AI376" s="155">
        <f>0</f>
        <v>0</v>
      </c>
      <c r="AJ376" s="155">
        <f>0</f>
        <v>0</v>
      </c>
      <c r="AK376" s="155">
        <f>0</f>
        <v>0</v>
      </c>
      <c r="AL376" s="219">
        <f t="shared" si="18"/>
        <v>1</v>
      </c>
      <c r="AM376" s="103"/>
      <c r="AN376" s="326">
        <f t="shared" si="19"/>
        <v>1</v>
      </c>
      <c r="AO376" s="290">
        <v>45034</v>
      </c>
      <c r="AP376" s="291" t="s">
        <v>192</v>
      </c>
      <c r="AQ376" s="292" t="s">
        <v>1520</v>
      </c>
      <c r="AR376" s="293" t="s">
        <v>197</v>
      </c>
      <c r="AS376" s="321"/>
      <c r="AT376" s="318"/>
      <c r="AU376" s="318">
        <v>1</v>
      </c>
      <c r="AV376" s="317">
        <f t="shared" si="20"/>
        <v>0</v>
      </c>
      <c r="AW376" s="318" t="s">
        <v>195</v>
      </c>
      <c r="AX376" s="333"/>
      <c r="AY376" s="333"/>
      <c r="AZ376" s="320"/>
      <c r="BA376" s="174"/>
      <c r="BB376" s="174"/>
      <c r="BC376" s="174"/>
    </row>
    <row r="377" spans="1:55" ht="28" customHeight="1">
      <c r="A377" s="195">
        <v>373</v>
      </c>
      <c r="B377" s="315">
        <v>45030</v>
      </c>
      <c r="C377" s="222" t="s">
        <v>198</v>
      </c>
      <c r="D377" s="222" t="s">
        <v>199</v>
      </c>
      <c r="E377" s="222" t="s">
        <v>200</v>
      </c>
      <c r="F377" s="371" t="s">
        <v>837</v>
      </c>
      <c r="G377" s="309" t="s">
        <v>1186</v>
      </c>
      <c r="H377" s="337" t="s">
        <v>129</v>
      </c>
      <c r="I377" s="311" t="s">
        <v>1187</v>
      </c>
      <c r="J377" s="312" t="s">
        <v>1188</v>
      </c>
      <c r="K377" s="273" t="s">
        <v>97</v>
      </c>
      <c r="L377" s="273" t="s">
        <v>159</v>
      </c>
      <c r="M377" s="311" t="s">
        <v>156</v>
      </c>
      <c r="N377" s="311" t="s">
        <v>97</v>
      </c>
      <c r="O377" s="311" t="s">
        <v>535</v>
      </c>
      <c r="P377" s="329"/>
      <c r="Q377" s="330"/>
      <c r="R377" s="154">
        <v>0</v>
      </c>
      <c r="S377" s="155">
        <f>0</f>
        <v>0</v>
      </c>
      <c r="T377" s="263">
        <v>1</v>
      </c>
      <c r="U377" s="158"/>
      <c r="V377" s="158">
        <f>0</f>
        <v>0</v>
      </c>
      <c r="W377" s="155">
        <f>0</f>
        <v>0</v>
      </c>
      <c r="X377" s="155">
        <f>0</f>
        <v>0</v>
      </c>
      <c r="Y377" s="155">
        <f>0</f>
        <v>0</v>
      </c>
      <c r="Z377" s="155">
        <f>0</f>
        <v>0</v>
      </c>
      <c r="AA377" s="155">
        <f>0</f>
        <v>0</v>
      </c>
      <c r="AB377" s="155">
        <f>0</f>
        <v>0</v>
      </c>
      <c r="AC377" s="155">
        <f>0</f>
        <v>0</v>
      </c>
      <c r="AD377" s="155">
        <f>0</f>
        <v>0</v>
      </c>
      <c r="AE377" s="155">
        <f>0</f>
        <v>0</v>
      </c>
      <c r="AF377" s="155">
        <f>0</f>
        <v>0</v>
      </c>
      <c r="AG377" s="155">
        <f>0</f>
        <v>0</v>
      </c>
      <c r="AH377" s="155">
        <f>0</f>
        <v>0</v>
      </c>
      <c r="AI377" s="155">
        <f>0</f>
        <v>0</v>
      </c>
      <c r="AJ377" s="155">
        <f>0</f>
        <v>0</v>
      </c>
      <c r="AK377" s="155">
        <f>0</f>
        <v>0</v>
      </c>
      <c r="AL377" s="219">
        <f t="shared" si="18"/>
        <v>1</v>
      </c>
      <c r="AM377" s="103"/>
      <c r="AN377" s="326">
        <f t="shared" si="19"/>
        <v>1</v>
      </c>
      <c r="AO377" s="290">
        <v>45034</v>
      </c>
      <c r="AP377" s="291" t="s">
        <v>192</v>
      </c>
      <c r="AQ377" s="292" t="s">
        <v>1520</v>
      </c>
      <c r="AR377" s="293" t="s">
        <v>197</v>
      </c>
      <c r="AS377" s="321"/>
      <c r="AT377" s="318"/>
      <c r="AU377" s="318">
        <v>1</v>
      </c>
      <c r="AV377" s="317">
        <f t="shared" si="20"/>
        <v>0</v>
      </c>
      <c r="AW377" s="318" t="s">
        <v>195</v>
      </c>
      <c r="AX377" s="333"/>
      <c r="AY377" s="333"/>
      <c r="AZ377" s="320"/>
      <c r="BA377" s="174"/>
      <c r="BB377" s="174"/>
      <c r="BC377" s="174"/>
    </row>
    <row r="378" spans="1:55" ht="28" customHeight="1">
      <c r="A378" s="195">
        <v>374</v>
      </c>
      <c r="B378" s="315">
        <v>45030</v>
      </c>
      <c r="C378" s="222" t="s">
        <v>198</v>
      </c>
      <c r="D378" s="222" t="s">
        <v>199</v>
      </c>
      <c r="E378" s="222" t="s">
        <v>200</v>
      </c>
      <c r="F378" s="371" t="s">
        <v>837</v>
      </c>
      <c r="G378" s="309" t="s">
        <v>1189</v>
      </c>
      <c r="H378" s="337" t="s">
        <v>129</v>
      </c>
      <c r="I378" s="311" t="s">
        <v>1154</v>
      </c>
      <c r="J378" s="312" t="s">
        <v>1190</v>
      </c>
      <c r="K378" s="273" t="s">
        <v>97</v>
      </c>
      <c r="L378" s="273" t="s">
        <v>159</v>
      </c>
      <c r="M378" s="311" t="s">
        <v>156</v>
      </c>
      <c r="N378" s="311" t="s">
        <v>97</v>
      </c>
      <c r="O378" s="311" t="s">
        <v>535</v>
      </c>
      <c r="P378" s="329"/>
      <c r="Q378" s="330"/>
      <c r="R378" s="154">
        <v>0</v>
      </c>
      <c r="S378" s="155">
        <f>0</f>
        <v>0</v>
      </c>
      <c r="T378" s="263">
        <v>1</v>
      </c>
      <c r="U378" s="158"/>
      <c r="V378" s="158">
        <f>0</f>
        <v>0</v>
      </c>
      <c r="W378" s="155">
        <f>0</f>
        <v>0</v>
      </c>
      <c r="X378" s="155">
        <f>0</f>
        <v>0</v>
      </c>
      <c r="Y378" s="155">
        <f>0</f>
        <v>0</v>
      </c>
      <c r="Z378" s="155">
        <f>0</f>
        <v>0</v>
      </c>
      <c r="AA378" s="155">
        <f>0</f>
        <v>0</v>
      </c>
      <c r="AB378" s="155">
        <f>0</f>
        <v>0</v>
      </c>
      <c r="AC378" s="155">
        <f>0</f>
        <v>0</v>
      </c>
      <c r="AD378" s="155">
        <f>0</f>
        <v>0</v>
      </c>
      <c r="AE378" s="155">
        <f>0</f>
        <v>0</v>
      </c>
      <c r="AF378" s="155">
        <f>0</f>
        <v>0</v>
      </c>
      <c r="AG378" s="155">
        <f>0</f>
        <v>0</v>
      </c>
      <c r="AH378" s="155">
        <f>0</f>
        <v>0</v>
      </c>
      <c r="AI378" s="155">
        <f>0</f>
        <v>0</v>
      </c>
      <c r="AJ378" s="155">
        <f>0</f>
        <v>0</v>
      </c>
      <c r="AK378" s="155">
        <f>0</f>
        <v>0</v>
      </c>
      <c r="AL378" s="219">
        <f t="shared" si="18"/>
        <v>1</v>
      </c>
      <c r="AM378" s="103"/>
      <c r="AN378" s="326">
        <f t="shared" si="19"/>
        <v>1</v>
      </c>
      <c r="AO378" s="290">
        <v>45034</v>
      </c>
      <c r="AP378" s="291" t="s">
        <v>192</v>
      </c>
      <c r="AQ378" s="292" t="s">
        <v>1520</v>
      </c>
      <c r="AR378" s="293" t="s">
        <v>197</v>
      </c>
      <c r="AS378" s="321"/>
      <c r="AT378" s="318"/>
      <c r="AU378" s="318">
        <v>1</v>
      </c>
      <c r="AV378" s="317">
        <f t="shared" si="20"/>
        <v>0</v>
      </c>
      <c r="AW378" s="318" t="s">
        <v>195</v>
      </c>
      <c r="AX378" s="333"/>
      <c r="AY378" s="333"/>
      <c r="AZ378" s="320"/>
      <c r="BA378" s="174"/>
      <c r="BB378" s="174"/>
      <c r="BC378" s="174"/>
    </row>
    <row r="379" spans="1:55" ht="28" customHeight="1">
      <c r="A379" s="195">
        <v>375</v>
      </c>
      <c r="B379" s="315">
        <v>45030</v>
      </c>
      <c r="C379" s="222" t="s">
        <v>198</v>
      </c>
      <c r="D379" s="222" t="s">
        <v>199</v>
      </c>
      <c r="E379" s="222" t="s">
        <v>200</v>
      </c>
      <c r="F379" s="371" t="s">
        <v>837</v>
      </c>
      <c r="G379" s="309" t="s">
        <v>1191</v>
      </c>
      <c r="H379" s="337" t="s">
        <v>129</v>
      </c>
      <c r="I379" s="311" t="s">
        <v>1192</v>
      </c>
      <c r="J379" s="312" t="s">
        <v>1193</v>
      </c>
      <c r="K379" s="273" t="s">
        <v>97</v>
      </c>
      <c r="L379" s="273" t="s">
        <v>159</v>
      </c>
      <c r="M379" s="311" t="s">
        <v>156</v>
      </c>
      <c r="N379" s="311" t="s">
        <v>97</v>
      </c>
      <c r="O379" s="311" t="s">
        <v>535</v>
      </c>
      <c r="P379" s="329"/>
      <c r="Q379" s="330"/>
      <c r="R379" s="154">
        <v>0</v>
      </c>
      <c r="S379" s="155">
        <f>0</f>
        <v>0</v>
      </c>
      <c r="T379" s="263">
        <v>1</v>
      </c>
      <c r="U379" s="158"/>
      <c r="V379" s="158">
        <f>0</f>
        <v>0</v>
      </c>
      <c r="W379" s="155">
        <f>0</f>
        <v>0</v>
      </c>
      <c r="X379" s="155">
        <f>0</f>
        <v>0</v>
      </c>
      <c r="Y379" s="155">
        <f>0</f>
        <v>0</v>
      </c>
      <c r="Z379" s="155">
        <f>0</f>
        <v>0</v>
      </c>
      <c r="AA379" s="155">
        <f>0</f>
        <v>0</v>
      </c>
      <c r="AB379" s="155">
        <f>0</f>
        <v>0</v>
      </c>
      <c r="AC379" s="155">
        <f>0</f>
        <v>0</v>
      </c>
      <c r="AD379" s="155">
        <f>0</f>
        <v>0</v>
      </c>
      <c r="AE379" s="155">
        <f>0</f>
        <v>0</v>
      </c>
      <c r="AF379" s="155">
        <f>0</f>
        <v>0</v>
      </c>
      <c r="AG379" s="155">
        <f>0</f>
        <v>0</v>
      </c>
      <c r="AH379" s="155">
        <f>0</f>
        <v>0</v>
      </c>
      <c r="AI379" s="155">
        <f>0</f>
        <v>0</v>
      </c>
      <c r="AJ379" s="155">
        <f>0</f>
        <v>0</v>
      </c>
      <c r="AK379" s="155">
        <f>0</f>
        <v>0</v>
      </c>
      <c r="AL379" s="219">
        <f t="shared" si="18"/>
        <v>1</v>
      </c>
      <c r="AM379" s="103"/>
      <c r="AN379" s="326">
        <f t="shared" si="19"/>
        <v>1</v>
      </c>
      <c r="AO379" s="290">
        <v>45034</v>
      </c>
      <c r="AP379" s="291" t="s">
        <v>192</v>
      </c>
      <c r="AQ379" s="292" t="s">
        <v>1520</v>
      </c>
      <c r="AR379" s="293" t="s">
        <v>197</v>
      </c>
      <c r="AS379" s="321"/>
      <c r="AT379" s="318"/>
      <c r="AU379" s="318">
        <v>1</v>
      </c>
      <c r="AV379" s="317">
        <f t="shared" si="20"/>
        <v>0</v>
      </c>
      <c r="AW379" s="318" t="s">
        <v>195</v>
      </c>
      <c r="AX379" s="333"/>
      <c r="AY379" s="333"/>
      <c r="AZ379" s="320"/>
      <c r="BA379" s="174"/>
      <c r="BB379" s="174"/>
      <c r="BC379" s="174"/>
    </row>
    <row r="380" spans="1:55" ht="28" customHeight="1">
      <c r="A380" s="195">
        <v>376</v>
      </c>
      <c r="B380" s="315">
        <v>45030</v>
      </c>
      <c r="C380" s="222" t="s">
        <v>198</v>
      </c>
      <c r="D380" s="222" t="s">
        <v>199</v>
      </c>
      <c r="E380" s="222" t="s">
        <v>200</v>
      </c>
      <c r="F380" s="371" t="s">
        <v>837</v>
      </c>
      <c r="G380" s="309" t="s">
        <v>1194</v>
      </c>
      <c r="H380" s="337" t="s">
        <v>129</v>
      </c>
      <c r="I380" s="311" t="s">
        <v>1195</v>
      </c>
      <c r="J380" s="312" t="s">
        <v>1196</v>
      </c>
      <c r="K380" s="273" t="s">
        <v>97</v>
      </c>
      <c r="L380" s="273" t="s">
        <v>159</v>
      </c>
      <c r="M380" s="311" t="s">
        <v>156</v>
      </c>
      <c r="N380" s="311" t="s">
        <v>97</v>
      </c>
      <c r="O380" s="311" t="s">
        <v>535</v>
      </c>
      <c r="P380" s="329"/>
      <c r="Q380" s="330"/>
      <c r="R380" s="154">
        <v>0</v>
      </c>
      <c r="S380" s="155">
        <f>0</f>
        <v>0</v>
      </c>
      <c r="T380" s="263">
        <v>1</v>
      </c>
      <c r="U380" s="158"/>
      <c r="V380" s="158">
        <f>0</f>
        <v>0</v>
      </c>
      <c r="W380" s="155">
        <f>0</f>
        <v>0</v>
      </c>
      <c r="X380" s="155">
        <f>0</f>
        <v>0</v>
      </c>
      <c r="Y380" s="155">
        <f>0</f>
        <v>0</v>
      </c>
      <c r="Z380" s="155">
        <f>0</f>
        <v>0</v>
      </c>
      <c r="AA380" s="155">
        <f>0</f>
        <v>0</v>
      </c>
      <c r="AB380" s="155">
        <f>0</f>
        <v>0</v>
      </c>
      <c r="AC380" s="155">
        <f>0</f>
        <v>0</v>
      </c>
      <c r="AD380" s="155">
        <f>0</f>
        <v>0</v>
      </c>
      <c r="AE380" s="155">
        <f>0</f>
        <v>0</v>
      </c>
      <c r="AF380" s="155">
        <f>0</f>
        <v>0</v>
      </c>
      <c r="AG380" s="155">
        <f>0</f>
        <v>0</v>
      </c>
      <c r="AH380" s="155">
        <f>0</f>
        <v>0</v>
      </c>
      <c r="AI380" s="155">
        <f>0</f>
        <v>0</v>
      </c>
      <c r="AJ380" s="155">
        <f>0</f>
        <v>0</v>
      </c>
      <c r="AK380" s="155">
        <f>0</f>
        <v>0</v>
      </c>
      <c r="AL380" s="219">
        <f t="shared" si="18"/>
        <v>1</v>
      </c>
      <c r="AM380" s="103"/>
      <c r="AN380" s="326">
        <f t="shared" si="19"/>
        <v>1</v>
      </c>
      <c r="AO380" s="290">
        <v>45034</v>
      </c>
      <c r="AP380" s="291" t="s">
        <v>192</v>
      </c>
      <c r="AQ380" s="292" t="s">
        <v>1520</v>
      </c>
      <c r="AR380" s="293" t="s">
        <v>197</v>
      </c>
      <c r="AS380" s="321"/>
      <c r="AT380" s="318"/>
      <c r="AU380" s="318">
        <v>1</v>
      </c>
      <c r="AV380" s="317">
        <f t="shared" si="20"/>
        <v>0</v>
      </c>
      <c r="AW380" s="318" t="s">
        <v>195</v>
      </c>
      <c r="AX380" s="333"/>
      <c r="AY380" s="333"/>
      <c r="AZ380" s="320"/>
      <c r="BA380" s="174"/>
      <c r="BB380" s="174"/>
      <c r="BC380" s="174"/>
    </row>
    <row r="381" spans="1:55" ht="28" customHeight="1">
      <c r="A381" s="195">
        <v>377</v>
      </c>
      <c r="B381" s="315">
        <v>45030</v>
      </c>
      <c r="C381" s="222" t="s">
        <v>198</v>
      </c>
      <c r="D381" s="222" t="s">
        <v>199</v>
      </c>
      <c r="E381" s="222" t="s">
        <v>200</v>
      </c>
      <c r="F381" s="371" t="s">
        <v>837</v>
      </c>
      <c r="G381" s="309" t="s">
        <v>1197</v>
      </c>
      <c r="H381" s="337" t="s">
        <v>129</v>
      </c>
      <c r="I381" s="311" t="s">
        <v>1198</v>
      </c>
      <c r="J381" s="312" t="s">
        <v>1199</v>
      </c>
      <c r="K381" s="273" t="s">
        <v>97</v>
      </c>
      <c r="L381" s="273" t="s">
        <v>159</v>
      </c>
      <c r="M381" s="311" t="s">
        <v>156</v>
      </c>
      <c r="N381" s="311" t="s">
        <v>97</v>
      </c>
      <c r="O381" s="311" t="s">
        <v>535</v>
      </c>
      <c r="P381" s="329"/>
      <c r="Q381" s="330"/>
      <c r="R381" s="154">
        <v>0</v>
      </c>
      <c r="S381" s="155">
        <f>0</f>
        <v>0</v>
      </c>
      <c r="T381" s="263">
        <v>1</v>
      </c>
      <c r="U381" s="158"/>
      <c r="V381" s="158">
        <f>0</f>
        <v>0</v>
      </c>
      <c r="W381" s="155">
        <f>0</f>
        <v>0</v>
      </c>
      <c r="X381" s="155">
        <f>0</f>
        <v>0</v>
      </c>
      <c r="Y381" s="155">
        <f>0</f>
        <v>0</v>
      </c>
      <c r="Z381" s="155">
        <f>0</f>
        <v>0</v>
      </c>
      <c r="AA381" s="155">
        <f>0</f>
        <v>0</v>
      </c>
      <c r="AB381" s="155">
        <f>0</f>
        <v>0</v>
      </c>
      <c r="AC381" s="155">
        <f>0</f>
        <v>0</v>
      </c>
      <c r="AD381" s="155">
        <f>0</f>
        <v>0</v>
      </c>
      <c r="AE381" s="155">
        <f>0</f>
        <v>0</v>
      </c>
      <c r="AF381" s="155">
        <f>0</f>
        <v>0</v>
      </c>
      <c r="AG381" s="155">
        <f>0</f>
        <v>0</v>
      </c>
      <c r="AH381" s="155">
        <f>0</f>
        <v>0</v>
      </c>
      <c r="AI381" s="155">
        <f>0</f>
        <v>0</v>
      </c>
      <c r="AJ381" s="155">
        <f>0</f>
        <v>0</v>
      </c>
      <c r="AK381" s="155">
        <f>0</f>
        <v>0</v>
      </c>
      <c r="AL381" s="219">
        <f t="shared" si="18"/>
        <v>1</v>
      </c>
      <c r="AM381" s="103"/>
      <c r="AN381" s="326">
        <f t="shared" si="19"/>
        <v>1</v>
      </c>
      <c r="AO381" s="290">
        <v>45034</v>
      </c>
      <c r="AP381" s="291" t="s">
        <v>192</v>
      </c>
      <c r="AQ381" s="292" t="s">
        <v>1520</v>
      </c>
      <c r="AR381" s="293" t="s">
        <v>197</v>
      </c>
      <c r="AS381" s="321"/>
      <c r="AT381" s="318"/>
      <c r="AU381" s="318">
        <v>1</v>
      </c>
      <c r="AV381" s="317">
        <f t="shared" si="20"/>
        <v>0</v>
      </c>
      <c r="AW381" s="318" t="s">
        <v>195</v>
      </c>
      <c r="AX381" s="333"/>
      <c r="AY381" s="333"/>
      <c r="AZ381" s="320"/>
      <c r="BA381" s="174"/>
      <c r="BB381" s="174"/>
      <c r="BC381" s="174"/>
    </row>
    <row r="382" spans="1:55" ht="28" customHeight="1">
      <c r="A382" s="195">
        <v>378</v>
      </c>
      <c r="B382" s="315">
        <v>45030</v>
      </c>
      <c r="C382" s="222" t="s">
        <v>198</v>
      </c>
      <c r="D382" s="222" t="s">
        <v>199</v>
      </c>
      <c r="E382" s="222" t="s">
        <v>200</v>
      </c>
      <c r="F382" s="371" t="s">
        <v>837</v>
      </c>
      <c r="G382" s="309" t="s">
        <v>1200</v>
      </c>
      <c r="H382" s="337" t="s">
        <v>129</v>
      </c>
      <c r="I382" s="311" t="s">
        <v>1201</v>
      </c>
      <c r="J382" s="312" t="s">
        <v>1202</v>
      </c>
      <c r="K382" s="273" t="s">
        <v>97</v>
      </c>
      <c r="L382" s="273" t="s">
        <v>159</v>
      </c>
      <c r="M382" s="311" t="s">
        <v>156</v>
      </c>
      <c r="N382" s="311" t="s">
        <v>97</v>
      </c>
      <c r="O382" s="311" t="s">
        <v>535</v>
      </c>
      <c r="P382" s="329"/>
      <c r="Q382" s="330"/>
      <c r="R382" s="154">
        <v>0</v>
      </c>
      <c r="S382" s="155">
        <f>0</f>
        <v>0</v>
      </c>
      <c r="T382" s="263">
        <v>1</v>
      </c>
      <c r="U382" s="158"/>
      <c r="V382" s="158">
        <f>0</f>
        <v>0</v>
      </c>
      <c r="W382" s="155">
        <f>0</f>
        <v>0</v>
      </c>
      <c r="X382" s="155">
        <f>0</f>
        <v>0</v>
      </c>
      <c r="Y382" s="155">
        <f>0</f>
        <v>0</v>
      </c>
      <c r="Z382" s="155">
        <f>0</f>
        <v>0</v>
      </c>
      <c r="AA382" s="155">
        <f>0</f>
        <v>0</v>
      </c>
      <c r="AB382" s="155">
        <f>0</f>
        <v>0</v>
      </c>
      <c r="AC382" s="155">
        <f>0</f>
        <v>0</v>
      </c>
      <c r="AD382" s="155">
        <f>0</f>
        <v>0</v>
      </c>
      <c r="AE382" s="155">
        <f>0</f>
        <v>0</v>
      </c>
      <c r="AF382" s="155">
        <f>0</f>
        <v>0</v>
      </c>
      <c r="AG382" s="155">
        <f>0</f>
        <v>0</v>
      </c>
      <c r="AH382" s="155">
        <f>0</f>
        <v>0</v>
      </c>
      <c r="AI382" s="155">
        <f>0</f>
        <v>0</v>
      </c>
      <c r="AJ382" s="155">
        <f>0</f>
        <v>0</v>
      </c>
      <c r="AK382" s="155">
        <f>0</f>
        <v>0</v>
      </c>
      <c r="AL382" s="219">
        <f t="shared" si="18"/>
        <v>1</v>
      </c>
      <c r="AM382" s="103"/>
      <c r="AN382" s="326">
        <f t="shared" si="19"/>
        <v>1</v>
      </c>
      <c r="AO382" s="290">
        <v>45034</v>
      </c>
      <c r="AP382" s="291" t="s">
        <v>192</v>
      </c>
      <c r="AQ382" s="292" t="s">
        <v>1520</v>
      </c>
      <c r="AR382" s="293" t="s">
        <v>197</v>
      </c>
      <c r="AS382" s="321"/>
      <c r="AT382" s="318"/>
      <c r="AU382" s="318">
        <v>1</v>
      </c>
      <c r="AV382" s="317">
        <f t="shared" si="20"/>
        <v>0</v>
      </c>
      <c r="AW382" s="318" t="s">
        <v>195</v>
      </c>
      <c r="AX382" s="333"/>
      <c r="AY382" s="333"/>
      <c r="AZ382" s="320"/>
      <c r="BA382" s="174"/>
      <c r="BB382" s="174"/>
      <c r="BC382" s="174"/>
    </row>
    <row r="383" spans="1:55" ht="28" customHeight="1">
      <c r="A383" s="195">
        <v>379</v>
      </c>
      <c r="B383" s="315">
        <v>45030</v>
      </c>
      <c r="C383" s="222" t="s">
        <v>198</v>
      </c>
      <c r="D383" s="222" t="s">
        <v>199</v>
      </c>
      <c r="E383" s="222" t="s">
        <v>200</v>
      </c>
      <c r="F383" s="371" t="s">
        <v>837</v>
      </c>
      <c r="G383" s="309" t="s">
        <v>1203</v>
      </c>
      <c r="H383" s="337" t="s">
        <v>129</v>
      </c>
      <c r="I383" s="311" t="s">
        <v>1204</v>
      </c>
      <c r="J383" s="312" t="s">
        <v>1205</v>
      </c>
      <c r="K383" s="273" t="s">
        <v>97</v>
      </c>
      <c r="L383" s="273" t="s">
        <v>159</v>
      </c>
      <c r="M383" s="311" t="s">
        <v>156</v>
      </c>
      <c r="N383" s="311" t="s">
        <v>97</v>
      </c>
      <c r="O383" s="311" t="s">
        <v>535</v>
      </c>
      <c r="P383" s="329"/>
      <c r="Q383" s="330"/>
      <c r="R383" s="154">
        <v>0</v>
      </c>
      <c r="S383" s="155">
        <f>0</f>
        <v>0</v>
      </c>
      <c r="T383" s="263">
        <v>1</v>
      </c>
      <c r="U383" s="158"/>
      <c r="V383" s="158">
        <f>0</f>
        <v>0</v>
      </c>
      <c r="W383" s="155">
        <f>0</f>
        <v>0</v>
      </c>
      <c r="X383" s="155">
        <f>0</f>
        <v>0</v>
      </c>
      <c r="Y383" s="155">
        <f>0</f>
        <v>0</v>
      </c>
      <c r="Z383" s="155">
        <f>0</f>
        <v>0</v>
      </c>
      <c r="AA383" s="155">
        <f>0</f>
        <v>0</v>
      </c>
      <c r="AB383" s="155">
        <f>0</f>
        <v>0</v>
      </c>
      <c r="AC383" s="155">
        <f>0</f>
        <v>0</v>
      </c>
      <c r="AD383" s="155">
        <f>0</f>
        <v>0</v>
      </c>
      <c r="AE383" s="155">
        <f>0</f>
        <v>0</v>
      </c>
      <c r="AF383" s="155">
        <f>0</f>
        <v>0</v>
      </c>
      <c r="AG383" s="155">
        <f>0</f>
        <v>0</v>
      </c>
      <c r="AH383" s="155">
        <f>0</f>
        <v>0</v>
      </c>
      <c r="AI383" s="155">
        <f>0</f>
        <v>0</v>
      </c>
      <c r="AJ383" s="155">
        <f>0</f>
        <v>0</v>
      </c>
      <c r="AK383" s="155">
        <f>0</f>
        <v>0</v>
      </c>
      <c r="AL383" s="219">
        <f t="shared" si="18"/>
        <v>1</v>
      </c>
      <c r="AM383" s="103"/>
      <c r="AN383" s="326">
        <f t="shared" si="19"/>
        <v>1</v>
      </c>
      <c r="AO383" s="290">
        <v>45034</v>
      </c>
      <c r="AP383" s="291" t="s">
        <v>192</v>
      </c>
      <c r="AQ383" s="292" t="s">
        <v>1520</v>
      </c>
      <c r="AR383" s="293" t="s">
        <v>197</v>
      </c>
      <c r="AS383" s="321"/>
      <c r="AT383" s="318"/>
      <c r="AU383" s="318">
        <v>1</v>
      </c>
      <c r="AV383" s="317">
        <f t="shared" si="20"/>
        <v>0</v>
      </c>
      <c r="AW383" s="318" t="s">
        <v>195</v>
      </c>
      <c r="AX383" s="333"/>
      <c r="AY383" s="333"/>
      <c r="AZ383" s="320"/>
      <c r="BA383" s="174"/>
      <c r="BB383" s="174"/>
      <c r="BC383" s="174"/>
    </row>
    <row r="384" spans="1:55" ht="28" customHeight="1">
      <c r="A384" s="195">
        <v>380</v>
      </c>
      <c r="B384" s="315">
        <v>45030</v>
      </c>
      <c r="C384" s="222" t="s">
        <v>198</v>
      </c>
      <c r="D384" s="222" t="s">
        <v>199</v>
      </c>
      <c r="E384" s="222" t="s">
        <v>200</v>
      </c>
      <c r="F384" s="371" t="s">
        <v>837</v>
      </c>
      <c r="G384" s="309" t="s">
        <v>1206</v>
      </c>
      <c r="H384" s="337" t="s">
        <v>129</v>
      </c>
      <c r="I384" s="311" t="s">
        <v>1207</v>
      </c>
      <c r="J384" s="312" t="s">
        <v>1208</v>
      </c>
      <c r="K384" s="273" t="s">
        <v>97</v>
      </c>
      <c r="L384" s="273" t="s">
        <v>159</v>
      </c>
      <c r="M384" s="311" t="s">
        <v>156</v>
      </c>
      <c r="N384" s="311" t="s">
        <v>97</v>
      </c>
      <c r="O384" s="311" t="s">
        <v>535</v>
      </c>
      <c r="P384" s="329"/>
      <c r="Q384" s="330"/>
      <c r="R384" s="154">
        <v>0</v>
      </c>
      <c r="S384" s="155">
        <f>0</f>
        <v>0</v>
      </c>
      <c r="T384" s="263">
        <v>1</v>
      </c>
      <c r="U384" s="158"/>
      <c r="V384" s="158">
        <f>0</f>
        <v>0</v>
      </c>
      <c r="W384" s="155">
        <f>0</f>
        <v>0</v>
      </c>
      <c r="X384" s="155">
        <f>0</f>
        <v>0</v>
      </c>
      <c r="Y384" s="155">
        <f>0</f>
        <v>0</v>
      </c>
      <c r="Z384" s="155">
        <f>0</f>
        <v>0</v>
      </c>
      <c r="AA384" s="155">
        <f>0</f>
        <v>0</v>
      </c>
      <c r="AB384" s="155">
        <f>0</f>
        <v>0</v>
      </c>
      <c r="AC384" s="155">
        <f>0</f>
        <v>0</v>
      </c>
      <c r="AD384" s="155">
        <f>0</f>
        <v>0</v>
      </c>
      <c r="AE384" s="155">
        <f>0</f>
        <v>0</v>
      </c>
      <c r="AF384" s="155">
        <f>0</f>
        <v>0</v>
      </c>
      <c r="AG384" s="155">
        <f>0</f>
        <v>0</v>
      </c>
      <c r="AH384" s="155">
        <f>0</f>
        <v>0</v>
      </c>
      <c r="AI384" s="155">
        <f>0</f>
        <v>0</v>
      </c>
      <c r="AJ384" s="155">
        <f>0</f>
        <v>0</v>
      </c>
      <c r="AK384" s="155">
        <f>0</f>
        <v>0</v>
      </c>
      <c r="AL384" s="219">
        <f t="shared" si="18"/>
        <v>1</v>
      </c>
      <c r="AM384" s="103"/>
      <c r="AN384" s="326">
        <f t="shared" si="19"/>
        <v>1</v>
      </c>
      <c r="AO384" s="290">
        <v>45034</v>
      </c>
      <c r="AP384" s="291" t="s">
        <v>192</v>
      </c>
      <c r="AQ384" s="292" t="s">
        <v>1520</v>
      </c>
      <c r="AR384" s="293" t="s">
        <v>197</v>
      </c>
      <c r="AS384" s="321"/>
      <c r="AT384" s="318"/>
      <c r="AU384" s="318">
        <v>1</v>
      </c>
      <c r="AV384" s="317">
        <f t="shared" si="20"/>
        <v>0</v>
      </c>
      <c r="AW384" s="318" t="s">
        <v>195</v>
      </c>
      <c r="AX384" s="333"/>
      <c r="AY384" s="333"/>
      <c r="AZ384" s="320"/>
      <c r="BA384" s="174"/>
      <c r="BB384" s="174"/>
      <c r="BC384" s="174"/>
    </row>
    <row r="385" spans="1:55" ht="28" customHeight="1">
      <c r="A385" s="195">
        <v>381</v>
      </c>
      <c r="B385" s="315">
        <v>45030</v>
      </c>
      <c r="C385" s="222" t="s">
        <v>198</v>
      </c>
      <c r="D385" s="222" t="s">
        <v>199</v>
      </c>
      <c r="E385" s="222" t="s">
        <v>200</v>
      </c>
      <c r="F385" s="371" t="s">
        <v>837</v>
      </c>
      <c r="G385" s="309" t="s">
        <v>1209</v>
      </c>
      <c r="H385" s="337" t="s">
        <v>129</v>
      </c>
      <c r="I385" s="311" t="s">
        <v>1210</v>
      </c>
      <c r="J385" s="312" t="s">
        <v>1211</v>
      </c>
      <c r="K385" s="273" t="s">
        <v>97</v>
      </c>
      <c r="L385" s="273" t="s">
        <v>159</v>
      </c>
      <c r="M385" s="311" t="s">
        <v>156</v>
      </c>
      <c r="N385" s="311" t="s">
        <v>97</v>
      </c>
      <c r="O385" s="311" t="s">
        <v>535</v>
      </c>
      <c r="P385" s="329"/>
      <c r="Q385" s="330"/>
      <c r="R385" s="154">
        <v>0</v>
      </c>
      <c r="S385" s="155">
        <f>0</f>
        <v>0</v>
      </c>
      <c r="T385" s="263">
        <v>1</v>
      </c>
      <c r="U385" s="158"/>
      <c r="V385" s="158">
        <f>0</f>
        <v>0</v>
      </c>
      <c r="W385" s="155">
        <f>0</f>
        <v>0</v>
      </c>
      <c r="X385" s="155">
        <f>0</f>
        <v>0</v>
      </c>
      <c r="Y385" s="155">
        <f>0</f>
        <v>0</v>
      </c>
      <c r="Z385" s="155">
        <f>0</f>
        <v>0</v>
      </c>
      <c r="AA385" s="155">
        <f>0</f>
        <v>0</v>
      </c>
      <c r="AB385" s="155">
        <f>0</f>
        <v>0</v>
      </c>
      <c r="AC385" s="155">
        <f>0</f>
        <v>0</v>
      </c>
      <c r="AD385" s="155">
        <f>0</f>
        <v>0</v>
      </c>
      <c r="AE385" s="155">
        <f>0</f>
        <v>0</v>
      </c>
      <c r="AF385" s="155">
        <f>0</f>
        <v>0</v>
      </c>
      <c r="AG385" s="155">
        <f>0</f>
        <v>0</v>
      </c>
      <c r="AH385" s="155">
        <f>0</f>
        <v>0</v>
      </c>
      <c r="AI385" s="155">
        <f>0</f>
        <v>0</v>
      </c>
      <c r="AJ385" s="155">
        <f>0</f>
        <v>0</v>
      </c>
      <c r="AK385" s="155">
        <f>0</f>
        <v>0</v>
      </c>
      <c r="AL385" s="219">
        <f t="shared" si="18"/>
        <v>1</v>
      </c>
      <c r="AM385" s="103"/>
      <c r="AN385" s="326">
        <f t="shared" si="19"/>
        <v>1</v>
      </c>
      <c r="AO385" s="290">
        <v>45034</v>
      </c>
      <c r="AP385" s="291" t="s">
        <v>192</v>
      </c>
      <c r="AQ385" s="292" t="s">
        <v>1520</v>
      </c>
      <c r="AR385" s="293" t="s">
        <v>197</v>
      </c>
      <c r="AS385" s="321"/>
      <c r="AT385" s="318"/>
      <c r="AU385" s="318">
        <v>1</v>
      </c>
      <c r="AV385" s="317">
        <f t="shared" si="20"/>
        <v>0</v>
      </c>
      <c r="AW385" s="318" t="s">
        <v>195</v>
      </c>
      <c r="AX385" s="333"/>
      <c r="AY385" s="333"/>
      <c r="AZ385" s="320"/>
      <c r="BA385" s="174"/>
      <c r="BB385" s="174"/>
      <c r="BC385" s="174"/>
    </row>
    <row r="386" spans="1:55" ht="28" customHeight="1">
      <c r="A386" s="195">
        <v>382</v>
      </c>
      <c r="B386" s="315">
        <v>45030</v>
      </c>
      <c r="C386" s="222" t="s">
        <v>198</v>
      </c>
      <c r="D386" s="222" t="s">
        <v>199</v>
      </c>
      <c r="E386" s="222" t="s">
        <v>200</v>
      </c>
      <c r="F386" s="371" t="s">
        <v>837</v>
      </c>
      <c r="G386" s="309" t="s">
        <v>1212</v>
      </c>
      <c r="H386" s="337" t="s">
        <v>129</v>
      </c>
      <c r="I386" s="311" t="s">
        <v>1148</v>
      </c>
      <c r="J386" s="312" t="s">
        <v>1213</v>
      </c>
      <c r="K386" s="273" t="s">
        <v>97</v>
      </c>
      <c r="L386" s="273" t="s">
        <v>159</v>
      </c>
      <c r="M386" s="311" t="s">
        <v>156</v>
      </c>
      <c r="N386" s="311" t="s">
        <v>97</v>
      </c>
      <c r="O386" s="311" t="s">
        <v>535</v>
      </c>
      <c r="P386" s="329"/>
      <c r="Q386" s="330"/>
      <c r="R386" s="154">
        <v>0</v>
      </c>
      <c r="S386" s="155">
        <f>0</f>
        <v>0</v>
      </c>
      <c r="T386" s="263">
        <v>1</v>
      </c>
      <c r="U386" s="158"/>
      <c r="V386" s="158">
        <f>0</f>
        <v>0</v>
      </c>
      <c r="W386" s="155">
        <f>0</f>
        <v>0</v>
      </c>
      <c r="X386" s="155">
        <f>0</f>
        <v>0</v>
      </c>
      <c r="Y386" s="155">
        <f>0</f>
        <v>0</v>
      </c>
      <c r="Z386" s="155">
        <f>0</f>
        <v>0</v>
      </c>
      <c r="AA386" s="155">
        <f>0</f>
        <v>0</v>
      </c>
      <c r="AB386" s="155">
        <f>0</f>
        <v>0</v>
      </c>
      <c r="AC386" s="155">
        <f>0</f>
        <v>0</v>
      </c>
      <c r="AD386" s="155">
        <f>0</f>
        <v>0</v>
      </c>
      <c r="AE386" s="155">
        <f>0</f>
        <v>0</v>
      </c>
      <c r="AF386" s="155">
        <f>0</f>
        <v>0</v>
      </c>
      <c r="AG386" s="155">
        <f>0</f>
        <v>0</v>
      </c>
      <c r="AH386" s="155">
        <f>0</f>
        <v>0</v>
      </c>
      <c r="AI386" s="155">
        <f>0</f>
        <v>0</v>
      </c>
      <c r="AJ386" s="155">
        <f>0</f>
        <v>0</v>
      </c>
      <c r="AK386" s="155">
        <f>0</f>
        <v>0</v>
      </c>
      <c r="AL386" s="219">
        <f t="shared" si="18"/>
        <v>1</v>
      </c>
      <c r="AM386" s="103"/>
      <c r="AN386" s="326">
        <f t="shared" si="19"/>
        <v>1</v>
      </c>
      <c r="AO386" s="290">
        <v>45034</v>
      </c>
      <c r="AP386" s="291" t="s">
        <v>192</v>
      </c>
      <c r="AQ386" s="292" t="s">
        <v>1520</v>
      </c>
      <c r="AR386" s="293" t="s">
        <v>197</v>
      </c>
      <c r="AS386" s="321"/>
      <c r="AT386" s="318"/>
      <c r="AU386" s="318">
        <v>1</v>
      </c>
      <c r="AV386" s="317">
        <f t="shared" si="20"/>
        <v>0</v>
      </c>
      <c r="AW386" s="318" t="s">
        <v>195</v>
      </c>
      <c r="AX386" s="333"/>
      <c r="AY386" s="333"/>
      <c r="AZ386" s="320"/>
      <c r="BA386" s="174"/>
      <c r="BB386" s="174"/>
      <c r="BC386" s="174"/>
    </row>
    <row r="387" spans="1:55" ht="28" customHeight="1">
      <c r="A387" s="195">
        <v>383</v>
      </c>
      <c r="B387" s="315">
        <v>45030</v>
      </c>
      <c r="C387" s="222" t="s">
        <v>198</v>
      </c>
      <c r="D387" s="222" t="s">
        <v>199</v>
      </c>
      <c r="E387" s="222" t="s">
        <v>200</v>
      </c>
      <c r="F387" s="371" t="s">
        <v>837</v>
      </c>
      <c r="G387" s="309" t="s">
        <v>1214</v>
      </c>
      <c r="H387" s="337" t="s">
        <v>129</v>
      </c>
      <c r="I387" s="311" t="s">
        <v>1215</v>
      </c>
      <c r="J387" s="312" t="s">
        <v>1216</v>
      </c>
      <c r="K387" s="273" t="s">
        <v>97</v>
      </c>
      <c r="L387" s="273" t="s">
        <v>159</v>
      </c>
      <c r="M387" s="311" t="s">
        <v>156</v>
      </c>
      <c r="N387" s="311" t="s">
        <v>97</v>
      </c>
      <c r="O387" s="311" t="s">
        <v>535</v>
      </c>
      <c r="P387" s="329"/>
      <c r="Q387" s="330"/>
      <c r="R387" s="154">
        <v>0</v>
      </c>
      <c r="S387" s="155">
        <f>0</f>
        <v>0</v>
      </c>
      <c r="T387" s="263">
        <v>1</v>
      </c>
      <c r="U387" s="158"/>
      <c r="V387" s="158">
        <f>0</f>
        <v>0</v>
      </c>
      <c r="W387" s="155">
        <f>0</f>
        <v>0</v>
      </c>
      <c r="X387" s="155">
        <f>0</f>
        <v>0</v>
      </c>
      <c r="Y387" s="155">
        <f>0</f>
        <v>0</v>
      </c>
      <c r="Z387" s="155">
        <f>0</f>
        <v>0</v>
      </c>
      <c r="AA387" s="155">
        <f>0</f>
        <v>0</v>
      </c>
      <c r="AB387" s="155">
        <f>0</f>
        <v>0</v>
      </c>
      <c r="AC387" s="155">
        <f>0</f>
        <v>0</v>
      </c>
      <c r="AD387" s="155">
        <f>0</f>
        <v>0</v>
      </c>
      <c r="AE387" s="155">
        <f>0</f>
        <v>0</v>
      </c>
      <c r="AF387" s="155">
        <f>0</f>
        <v>0</v>
      </c>
      <c r="AG387" s="155">
        <f>0</f>
        <v>0</v>
      </c>
      <c r="AH387" s="155">
        <f>0</f>
        <v>0</v>
      </c>
      <c r="AI387" s="155">
        <f>0</f>
        <v>0</v>
      </c>
      <c r="AJ387" s="155">
        <f>0</f>
        <v>0</v>
      </c>
      <c r="AK387" s="155">
        <f>0</f>
        <v>0</v>
      </c>
      <c r="AL387" s="219">
        <f t="shared" si="18"/>
        <v>1</v>
      </c>
      <c r="AM387" s="103"/>
      <c r="AN387" s="326">
        <f t="shared" si="19"/>
        <v>1</v>
      </c>
      <c r="AO387" s="290">
        <v>45034</v>
      </c>
      <c r="AP387" s="291" t="s">
        <v>192</v>
      </c>
      <c r="AQ387" s="292" t="s">
        <v>1520</v>
      </c>
      <c r="AR387" s="293" t="s">
        <v>197</v>
      </c>
      <c r="AS387" s="321"/>
      <c r="AT387" s="318"/>
      <c r="AU387" s="318">
        <v>1</v>
      </c>
      <c r="AV387" s="317">
        <f t="shared" si="20"/>
        <v>0</v>
      </c>
      <c r="AW387" s="318" t="s">
        <v>195</v>
      </c>
      <c r="AX387" s="333"/>
      <c r="AY387" s="333"/>
      <c r="AZ387" s="320"/>
      <c r="BA387" s="174"/>
      <c r="BB387" s="174"/>
      <c r="BC387" s="174"/>
    </row>
    <row r="388" spans="1:55" ht="28" customHeight="1">
      <c r="A388" s="195">
        <v>384</v>
      </c>
      <c r="B388" s="315">
        <v>45030</v>
      </c>
      <c r="C388" s="222" t="s">
        <v>198</v>
      </c>
      <c r="D388" s="222" t="s">
        <v>199</v>
      </c>
      <c r="E388" s="222" t="s">
        <v>200</v>
      </c>
      <c r="F388" s="371" t="s">
        <v>837</v>
      </c>
      <c r="G388" s="309" t="s">
        <v>1217</v>
      </c>
      <c r="H388" s="337" t="s">
        <v>129</v>
      </c>
      <c r="I388" s="311" t="s">
        <v>1218</v>
      </c>
      <c r="J388" s="312" t="s">
        <v>1219</v>
      </c>
      <c r="K388" s="273" t="s">
        <v>97</v>
      </c>
      <c r="L388" s="273" t="s">
        <v>159</v>
      </c>
      <c r="M388" s="311" t="s">
        <v>156</v>
      </c>
      <c r="N388" s="311" t="s">
        <v>97</v>
      </c>
      <c r="O388" s="311" t="s">
        <v>535</v>
      </c>
      <c r="P388" s="329"/>
      <c r="Q388" s="330"/>
      <c r="R388" s="154">
        <v>0</v>
      </c>
      <c r="S388" s="155">
        <f>0</f>
        <v>0</v>
      </c>
      <c r="T388" s="263">
        <v>1</v>
      </c>
      <c r="U388" s="158"/>
      <c r="V388" s="158">
        <f>0</f>
        <v>0</v>
      </c>
      <c r="W388" s="155">
        <f>0</f>
        <v>0</v>
      </c>
      <c r="X388" s="155">
        <f>0</f>
        <v>0</v>
      </c>
      <c r="Y388" s="155">
        <f>0</f>
        <v>0</v>
      </c>
      <c r="Z388" s="155">
        <f>0</f>
        <v>0</v>
      </c>
      <c r="AA388" s="155">
        <f>0</f>
        <v>0</v>
      </c>
      <c r="AB388" s="155">
        <f>0</f>
        <v>0</v>
      </c>
      <c r="AC388" s="155">
        <f>0</f>
        <v>0</v>
      </c>
      <c r="AD388" s="155">
        <f>0</f>
        <v>0</v>
      </c>
      <c r="AE388" s="155">
        <f>0</f>
        <v>0</v>
      </c>
      <c r="AF388" s="155">
        <f>0</f>
        <v>0</v>
      </c>
      <c r="AG388" s="155">
        <f>0</f>
        <v>0</v>
      </c>
      <c r="AH388" s="155">
        <f>0</f>
        <v>0</v>
      </c>
      <c r="AI388" s="155">
        <f>0</f>
        <v>0</v>
      </c>
      <c r="AJ388" s="155">
        <f>0</f>
        <v>0</v>
      </c>
      <c r="AK388" s="155">
        <f>0</f>
        <v>0</v>
      </c>
      <c r="AL388" s="219">
        <f t="shared" si="18"/>
        <v>1</v>
      </c>
      <c r="AM388" s="103"/>
      <c r="AN388" s="326">
        <f t="shared" si="19"/>
        <v>1</v>
      </c>
      <c r="AO388" s="290">
        <v>45034</v>
      </c>
      <c r="AP388" s="291" t="s">
        <v>192</v>
      </c>
      <c r="AQ388" s="292" t="s">
        <v>1520</v>
      </c>
      <c r="AR388" s="293" t="s">
        <v>197</v>
      </c>
      <c r="AS388" s="321"/>
      <c r="AT388" s="318"/>
      <c r="AU388" s="318">
        <v>1</v>
      </c>
      <c r="AV388" s="317">
        <f t="shared" si="20"/>
        <v>0</v>
      </c>
      <c r="AW388" s="318" t="s">
        <v>195</v>
      </c>
      <c r="AX388" s="333"/>
      <c r="AY388" s="333"/>
      <c r="AZ388" s="320"/>
      <c r="BA388" s="174"/>
      <c r="BB388" s="174"/>
      <c r="BC388" s="174"/>
    </row>
    <row r="389" spans="1:55" ht="28" customHeight="1">
      <c r="A389" s="195">
        <v>385</v>
      </c>
      <c r="B389" s="315">
        <v>45030</v>
      </c>
      <c r="C389" s="222" t="s">
        <v>198</v>
      </c>
      <c r="D389" s="222" t="s">
        <v>199</v>
      </c>
      <c r="E389" s="222" t="s">
        <v>200</v>
      </c>
      <c r="F389" s="371" t="s">
        <v>837</v>
      </c>
      <c r="G389" s="309" t="s">
        <v>1220</v>
      </c>
      <c r="H389" s="337" t="s">
        <v>129</v>
      </c>
      <c r="I389" s="311" t="s">
        <v>1221</v>
      </c>
      <c r="J389" s="312" t="s">
        <v>1222</v>
      </c>
      <c r="K389" s="273" t="s">
        <v>97</v>
      </c>
      <c r="L389" s="273" t="s">
        <v>159</v>
      </c>
      <c r="M389" s="311" t="s">
        <v>156</v>
      </c>
      <c r="N389" s="311" t="s">
        <v>97</v>
      </c>
      <c r="O389" s="311" t="s">
        <v>535</v>
      </c>
      <c r="P389" s="329"/>
      <c r="Q389" s="330"/>
      <c r="R389" s="154">
        <v>0</v>
      </c>
      <c r="S389" s="155">
        <f>0</f>
        <v>0</v>
      </c>
      <c r="T389" s="263">
        <v>1</v>
      </c>
      <c r="U389" s="158"/>
      <c r="V389" s="158">
        <f>0</f>
        <v>0</v>
      </c>
      <c r="W389" s="155">
        <f>0</f>
        <v>0</v>
      </c>
      <c r="X389" s="155">
        <f>0</f>
        <v>0</v>
      </c>
      <c r="Y389" s="155">
        <f>0</f>
        <v>0</v>
      </c>
      <c r="Z389" s="155">
        <f>0</f>
        <v>0</v>
      </c>
      <c r="AA389" s="155">
        <f>0</f>
        <v>0</v>
      </c>
      <c r="AB389" s="155">
        <f>0</f>
        <v>0</v>
      </c>
      <c r="AC389" s="155">
        <f>0</f>
        <v>0</v>
      </c>
      <c r="AD389" s="155">
        <f>0</f>
        <v>0</v>
      </c>
      <c r="AE389" s="155">
        <f>0</f>
        <v>0</v>
      </c>
      <c r="AF389" s="155">
        <f>0</f>
        <v>0</v>
      </c>
      <c r="AG389" s="155">
        <f>0</f>
        <v>0</v>
      </c>
      <c r="AH389" s="155">
        <f>0</f>
        <v>0</v>
      </c>
      <c r="AI389" s="155">
        <f>0</f>
        <v>0</v>
      </c>
      <c r="AJ389" s="155">
        <f>0</f>
        <v>0</v>
      </c>
      <c r="AK389" s="155">
        <f>0</f>
        <v>0</v>
      </c>
      <c r="AL389" s="219">
        <f t="shared" si="18"/>
        <v>1</v>
      </c>
      <c r="AM389" s="103"/>
      <c r="AN389" s="326">
        <f t="shared" si="19"/>
        <v>1</v>
      </c>
      <c r="AO389" s="290">
        <v>45034</v>
      </c>
      <c r="AP389" s="291" t="s">
        <v>192</v>
      </c>
      <c r="AQ389" s="292" t="s">
        <v>1520</v>
      </c>
      <c r="AR389" s="293" t="s">
        <v>197</v>
      </c>
      <c r="AS389" s="321"/>
      <c r="AT389" s="318"/>
      <c r="AU389" s="318">
        <v>1</v>
      </c>
      <c r="AV389" s="317">
        <f t="shared" si="20"/>
        <v>0</v>
      </c>
      <c r="AW389" s="318" t="s">
        <v>195</v>
      </c>
      <c r="AX389" s="333"/>
      <c r="AY389" s="333"/>
      <c r="AZ389" s="320"/>
      <c r="BA389" s="174"/>
      <c r="BB389" s="174"/>
      <c r="BC389" s="174"/>
    </row>
    <row r="390" spans="1:55" ht="28" customHeight="1">
      <c r="A390" s="195">
        <v>386</v>
      </c>
      <c r="B390" s="315">
        <v>45030</v>
      </c>
      <c r="C390" s="222" t="s">
        <v>198</v>
      </c>
      <c r="D390" s="222" t="s">
        <v>199</v>
      </c>
      <c r="E390" s="222" t="s">
        <v>200</v>
      </c>
      <c r="F390" s="371" t="s">
        <v>837</v>
      </c>
      <c r="G390" s="309" t="s">
        <v>1223</v>
      </c>
      <c r="H390" s="337" t="s">
        <v>129</v>
      </c>
      <c r="I390" s="311" t="s">
        <v>1224</v>
      </c>
      <c r="J390" s="312" t="s">
        <v>1225</v>
      </c>
      <c r="K390" s="273" t="s">
        <v>97</v>
      </c>
      <c r="L390" s="273" t="s">
        <v>159</v>
      </c>
      <c r="M390" s="311" t="s">
        <v>156</v>
      </c>
      <c r="N390" s="311" t="s">
        <v>97</v>
      </c>
      <c r="O390" s="311" t="s">
        <v>535</v>
      </c>
      <c r="P390" s="329"/>
      <c r="Q390" s="330"/>
      <c r="R390" s="154">
        <v>0</v>
      </c>
      <c r="S390" s="155">
        <f>0</f>
        <v>0</v>
      </c>
      <c r="T390" s="263">
        <v>1</v>
      </c>
      <c r="U390" s="158"/>
      <c r="V390" s="158">
        <f>0</f>
        <v>0</v>
      </c>
      <c r="W390" s="155">
        <f>0</f>
        <v>0</v>
      </c>
      <c r="X390" s="155">
        <f>0</f>
        <v>0</v>
      </c>
      <c r="Y390" s="155">
        <f>0</f>
        <v>0</v>
      </c>
      <c r="Z390" s="155">
        <f>0</f>
        <v>0</v>
      </c>
      <c r="AA390" s="155">
        <f>0</f>
        <v>0</v>
      </c>
      <c r="AB390" s="155">
        <f>0</f>
        <v>0</v>
      </c>
      <c r="AC390" s="155">
        <f>0</f>
        <v>0</v>
      </c>
      <c r="AD390" s="155">
        <f>0</f>
        <v>0</v>
      </c>
      <c r="AE390" s="155">
        <f>0</f>
        <v>0</v>
      </c>
      <c r="AF390" s="155">
        <f>0</f>
        <v>0</v>
      </c>
      <c r="AG390" s="155">
        <f>0</f>
        <v>0</v>
      </c>
      <c r="AH390" s="155">
        <f>0</f>
        <v>0</v>
      </c>
      <c r="AI390" s="155">
        <f>0</f>
        <v>0</v>
      </c>
      <c r="AJ390" s="155">
        <f>0</f>
        <v>0</v>
      </c>
      <c r="AK390" s="155">
        <f>0</f>
        <v>0</v>
      </c>
      <c r="AL390" s="219">
        <f t="shared" ref="AL390:AL453" si="21">SUM(R390:AK390)</f>
        <v>1</v>
      </c>
      <c r="AM390" s="103"/>
      <c r="AN390" s="326">
        <f t="shared" ref="AN390:AN453" si="22">AL390-AM390</f>
        <v>1</v>
      </c>
      <c r="AO390" s="290">
        <v>45034</v>
      </c>
      <c r="AP390" s="291" t="s">
        <v>192</v>
      </c>
      <c r="AQ390" s="292" t="s">
        <v>1520</v>
      </c>
      <c r="AR390" s="293" t="s">
        <v>197</v>
      </c>
      <c r="AS390" s="321"/>
      <c r="AT390" s="318"/>
      <c r="AU390" s="318">
        <v>1</v>
      </c>
      <c r="AV390" s="317">
        <f t="shared" si="20"/>
        <v>0</v>
      </c>
      <c r="AW390" s="318" t="s">
        <v>195</v>
      </c>
      <c r="AX390" s="333"/>
      <c r="AY390" s="333"/>
      <c r="AZ390" s="320"/>
      <c r="BA390" s="174"/>
      <c r="BB390" s="174"/>
      <c r="BC390" s="174"/>
    </row>
    <row r="391" spans="1:55" ht="28" customHeight="1">
      <c r="A391" s="195">
        <v>387</v>
      </c>
      <c r="B391" s="315">
        <v>45030</v>
      </c>
      <c r="C391" s="222" t="s">
        <v>198</v>
      </c>
      <c r="D391" s="222" t="s">
        <v>199</v>
      </c>
      <c r="E391" s="222" t="s">
        <v>200</v>
      </c>
      <c r="F391" s="371" t="s">
        <v>837</v>
      </c>
      <c r="G391" s="309" t="s">
        <v>1226</v>
      </c>
      <c r="H391" s="337" t="s">
        <v>129</v>
      </c>
      <c r="I391" s="311" t="s">
        <v>1227</v>
      </c>
      <c r="J391" s="312" t="s">
        <v>1228</v>
      </c>
      <c r="K391" s="273" t="s">
        <v>97</v>
      </c>
      <c r="L391" s="273" t="s">
        <v>159</v>
      </c>
      <c r="M391" s="311" t="s">
        <v>156</v>
      </c>
      <c r="N391" s="311" t="s">
        <v>97</v>
      </c>
      <c r="O391" s="311" t="s">
        <v>535</v>
      </c>
      <c r="P391" s="329"/>
      <c r="Q391" s="330"/>
      <c r="R391" s="154">
        <v>0</v>
      </c>
      <c r="S391" s="155">
        <f>0</f>
        <v>0</v>
      </c>
      <c r="T391" s="263">
        <v>1</v>
      </c>
      <c r="U391" s="158"/>
      <c r="V391" s="158">
        <f>0</f>
        <v>0</v>
      </c>
      <c r="W391" s="155">
        <f>0</f>
        <v>0</v>
      </c>
      <c r="X391" s="155">
        <f>0</f>
        <v>0</v>
      </c>
      <c r="Y391" s="155">
        <f>0</f>
        <v>0</v>
      </c>
      <c r="Z391" s="155">
        <f>0</f>
        <v>0</v>
      </c>
      <c r="AA391" s="155">
        <f>0</f>
        <v>0</v>
      </c>
      <c r="AB391" s="155">
        <f>0</f>
        <v>0</v>
      </c>
      <c r="AC391" s="155">
        <f>0</f>
        <v>0</v>
      </c>
      <c r="AD391" s="155">
        <f>0</f>
        <v>0</v>
      </c>
      <c r="AE391" s="155">
        <f>0</f>
        <v>0</v>
      </c>
      <c r="AF391" s="155">
        <f>0</f>
        <v>0</v>
      </c>
      <c r="AG391" s="155">
        <f>0</f>
        <v>0</v>
      </c>
      <c r="AH391" s="155">
        <f>0</f>
        <v>0</v>
      </c>
      <c r="AI391" s="155">
        <f>0</f>
        <v>0</v>
      </c>
      <c r="AJ391" s="155">
        <f>0</f>
        <v>0</v>
      </c>
      <c r="AK391" s="155">
        <f>0</f>
        <v>0</v>
      </c>
      <c r="AL391" s="219">
        <f t="shared" si="21"/>
        <v>1</v>
      </c>
      <c r="AM391" s="103"/>
      <c r="AN391" s="326">
        <f t="shared" si="22"/>
        <v>1</v>
      </c>
      <c r="AO391" s="290">
        <v>45034</v>
      </c>
      <c r="AP391" s="291" t="s">
        <v>192</v>
      </c>
      <c r="AQ391" s="292" t="s">
        <v>1520</v>
      </c>
      <c r="AR391" s="293" t="s">
        <v>197</v>
      </c>
      <c r="AS391" s="321"/>
      <c r="AT391" s="318"/>
      <c r="AU391" s="318">
        <v>1</v>
      </c>
      <c r="AV391" s="317">
        <f t="shared" si="20"/>
        <v>0</v>
      </c>
      <c r="AW391" s="318" t="s">
        <v>195</v>
      </c>
      <c r="AX391" s="333"/>
      <c r="AY391" s="333"/>
      <c r="AZ391" s="320"/>
      <c r="BA391" s="174"/>
      <c r="BB391" s="174"/>
      <c r="BC391" s="174"/>
    </row>
    <row r="392" spans="1:55" ht="28" customHeight="1">
      <c r="A392" s="195">
        <v>388</v>
      </c>
      <c r="B392" s="315">
        <v>45030</v>
      </c>
      <c r="C392" s="222" t="s">
        <v>198</v>
      </c>
      <c r="D392" s="222" t="s">
        <v>199</v>
      </c>
      <c r="E392" s="222" t="s">
        <v>200</v>
      </c>
      <c r="F392" s="371" t="s">
        <v>837</v>
      </c>
      <c r="G392" s="309" t="s">
        <v>1229</v>
      </c>
      <c r="H392" s="337" t="s">
        <v>129</v>
      </c>
      <c r="I392" s="311" t="s">
        <v>1230</v>
      </c>
      <c r="J392" s="312" t="s">
        <v>1231</v>
      </c>
      <c r="K392" s="273" t="s">
        <v>97</v>
      </c>
      <c r="L392" s="273" t="s">
        <v>159</v>
      </c>
      <c r="M392" s="311" t="s">
        <v>156</v>
      </c>
      <c r="N392" s="311" t="s">
        <v>97</v>
      </c>
      <c r="O392" s="311" t="s">
        <v>535</v>
      </c>
      <c r="P392" s="329"/>
      <c r="Q392" s="330"/>
      <c r="R392" s="154">
        <v>0</v>
      </c>
      <c r="S392" s="155">
        <f>0</f>
        <v>0</v>
      </c>
      <c r="T392" s="263">
        <v>1</v>
      </c>
      <c r="U392" s="158"/>
      <c r="V392" s="158">
        <f>0</f>
        <v>0</v>
      </c>
      <c r="W392" s="155">
        <f>0</f>
        <v>0</v>
      </c>
      <c r="X392" s="155">
        <f>0</f>
        <v>0</v>
      </c>
      <c r="Y392" s="155">
        <f>0</f>
        <v>0</v>
      </c>
      <c r="Z392" s="155">
        <f>0</f>
        <v>0</v>
      </c>
      <c r="AA392" s="155">
        <f>0</f>
        <v>0</v>
      </c>
      <c r="AB392" s="155">
        <f>0</f>
        <v>0</v>
      </c>
      <c r="AC392" s="155">
        <f>0</f>
        <v>0</v>
      </c>
      <c r="AD392" s="155">
        <f>0</f>
        <v>0</v>
      </c>
      <c r="AE392" s="155">
        <f>0</f>
        <v>0</v>
      </c>
      <c r="AF392" s="155">
        <f>0</f>
        <v>0</v>
      </c>
      <c r="AG392" s="155">
        <f>0</f>
        <v>0</v>
      </c>
      <c r="AH392" s="155">
        <f>0</f>
        <v>0</v>
      </c>
      <c r="AI392" s="155">
        <f>0</f>
        <v>0</v>
      </c>
      <c r="AJ392" s="155">
        <f>0</f>
        <v>0</v>
      </c>
      <c r="AK392" s="155">
        <f>0</f>
        <v>0</v>
      </c>
      <c r="AL392" s="219">
        <f t="shared" si="21"/>
        <v>1</v>
      </c>
      <c r="AM392" s="103"/>
      <c r="AN392" s="326">
        <f t="shared" si="22"/>
        <v>1</v>
      </c>
      <c r="AO392" s="290">
        <v>45034</v>
      </c>
      <c r="AP392" s="291" t="s">
        <v>192</v>
      </c>
      <c r="AQ392" s="292" t="s">
        <v>1520</v>
      </c>
      <c r="AR392" s="293" t="s">
        <v>197</v>
      </c>
      <c r="AS392" s="321"/>
      <c r="AT392" s="318"/>
      <c r="AU392" s="318">
        <v>1</v>
      </c>
      <c r="AV392" s="317">
        <f t="shared" si="20"/>
        <v>0</v>
      </c>
      <c r="AW392" s="318" t="s">
        <v>195</v>
      </c>
      <c r="AX392" s="333"/>
      <c r="AY392" s="333"/>
      <c r="AZ392" s="320"/>
      <c r="BA392" s="174"/>
      <c r="BB392" s="174"/>
      <c r="BC392" s="174"/>
    </row>
    <row r="393" spans="1:55" ht="28" customHeight="1">
      <c r="A393" s="195">
        <v>389</v>
      </c>
      <c r="B393" s="315">
        <v>45030</v>
      </c>
      <c r="C393" s="222" t="s">
        <v>198</v>
      </c>
      <c r="D393" s="222" t="s">
        <v>199</v>
      </c>
      <c r="E393" s="222" t="s">
        <v>200</v>
      </c>
      <c r="F393" s="371" t="s">
        <v>837</v>
      </c>
      <c r="G393" s="309" t="s">
        <v>1232</v>
      </c>
      <c r="H393" s="337" t="s">
        <v>129</v>
      </c>
      <c r="I393" s="311" t="s">
        <v>1233</v>
      </c>
      <c r="J393" s="312" t="s">
        <v>1234</v>
      </c>
      <c r="K393" s="273" t="s">
        <v>97</v>
      </c>
      <c r="L393" s="273" t="s">
        <v>159</v>
      </c>
      <c r="M393" s="311" t="s">
        <v>156</v>
      </c>
      <c r="N393" s="311" t="s">
        <v>97</v>
      </c>
      <c r="O393" s="311" t="s">
        <v>1235</v>
      </c>
      <c r="P393" s="329"/>
      <c r="Q393" s="330"/>
      <c r="R393" s="154">
        <v>0</v>
      </c>
      <c r="S393" s="155">
        <f>0</f>
        <v>0</v>
      </c>
      <c r="T393" s="263">
        <v>1</v>
      </c>
      <c r="U393" s="158"/>
      <c r="V393" s="158">
        <f>0</f>
        <v>0</v>
      </c>
      <c r="W393" s="155">
        <f>0</f>
        <v>0</v>
      </c>
      <c r="X393" s="155">
        <f>0</f>
        <v>0</v>
      </c>
      <c r="Y393" s="155">
        <f>0</f>
        <v>0</v>
      </c>
      <c r="Z393" s="155">
        <f>0</f>
        <v>0</v>
      </c>
      <c r="AA393" s="155">
        <f>0</f>
        <v>0</v>
      </c>
      <c r="AB393" s="155">
        <f>0</f>
        <v>0</v>
      </c>
      <c r="AC393" s="155">
        <f>0</f>
        <v>0</v>
      </c>
      <c r="AD393" s="155">
        <f>0</f>
        <v>0</v>
      </c>
      <c r="AE393" s="155">
        <f>0</f>
        <v>0</v>
      </c>
      <c r="AF393" s="155">
        <f>0</f>
        <v>0</v>
      </c>
      <c r="AG393" s="155">
        <f>0</f>
        <v>0</v>
      </c>
      <c r="AH393" s="155">
        <f>0</f>
        <v>0</v>
      </c>
      <c r="AI393" s="155">
        <f>0</f>
        <v>0</v>
      </c>
      <c r="AJ393" s="155">
        <f>0</f>
        <v>0</v>
      </c>
      <c r="AK393" s="155">
        <f>0</f>
        <v>0</v>
      </c>
      <c r="AL393" s="219">
        <f t="shared" si="21"/>
        <v>1</v>
      </c>
      <c r="AM393" s="103"/>
      <c r="AN393" s="326">
        <f t="shared" si="22"/>
        <v>1</v>
      </c>
      <c r="AO393" s="290">
        <v>45034</v>
      </c>
      <c r="AP393" s="291" t="s">
        <v>192</v>
      </c>
      <c r="AQ393" s="292" t="s">
        <v>1520</v>
      </c>
      <c r="AR393" s="293" t="s">
        <v>197</v>
      </c>
      <c r="AS393" s="321"/>
      <c r="AT393" s="318"/>
      <c r="AU393" s="318">
        <v>1</v>
      </c>
      <c r="AV393" s="317">
        <f t="shared" si="20"/>
        <v>0</v>
      </c>
      <c r="AW393" s="318" t="s">
        <v>195</v>
      </c>
      <c r="AX393" s="333"/>
      <c r="AY393" s="333"/>
      <c r="AZ393" s="320"/>
      <c r="BA393" s="174"/>
      <c r="BB393" s="174"/>
      <c r="BC393" s="174"/>
    </row>
    <row r="394" spans="1:55" ht="28" customHeight="1">
      <c r="A394" s="195">
        <v>390</v>
      </c>
      <c r="B394" s="315">
        <v>45030</v>
      </c>
      <c r="C394" s="222" t="s">
        <v>198</v>
      </c>
      <c r="D394" s="222" t="s">
        <v>199</v>
      </c>
      <c r="E394" s="222" t="s">
        <v>200</v>
      </c>
      <c r="F394" s="371" t="s">
        <v>837</v>
      </c>
      <c r="G394" s="309" t="s">
        <v>1236</v>
      </c>
      <c r="H394" s="337" t="s">
        <v>129</v>
      </c>
      <c r="I394" s="311" t="s">
        <v>1237</v>
      </c>
      <c r="J394" s="312" t="s">
        <v>1238</v>
      </c>
      <c r="K394" s="273" t="s">
        <v>97</v>
      </c>
      <c r="L394" s="273" t="s">
        <v>159</v>
      </c>
      <c r="M394" s="311" t="s">
        <v>156</v>
      </c>
      <c r="N394" s="311" t="s">
        <v>97</v>
      </c>
      <c r="O394" s="311" t="s">
        <v>535</v>
      </c>
      <c r="P394" s="329"/>
      <c r="Q394" s="330"/>
      <c r="R394" s="154">
        <v>0</v>
      </c>
      <c r="S394" s="155">
        <f>0</f>
        <v>0</v>
      </c>
      <c r="T394" s="263">
        <v>1</v>
      </c>
      <c r="U394" s="158"/>
      <c r="V394" s="158">
        <f>0</f>
        <v>0</v>
      </c>
      <c r="W394" s="155">
        <f>0</f>
        <v>0</v>
      </c>
      <c r="X394" s="155">
        <f>0</f>
        <v>0</v>
      </c>
      <c r="Y394" s="155">
        <f>0</f>
        <v>0</v>
      </c>
      <c r="Z394" s="155">
        <f>0</f>
        <v>0</v>
      </c>
      <c r="AA394" s="155">
        <f>0</f>
        <v>0</v>
      </c>
      <c r="AB394" s="155">
        <f>0</f>
        <v>0</v>
      </c>
      <c r="AC394" s="155">
        <f>0</f>
        <v>0</v>
      </c>
      <c r="AD394" s="155">
        <f>0</f>
        <v>0</v>
      </c>
      <c r="AE394" s="155">
        <f>0</f>
        <v>0</v>
      </c>
      <c r="AF394" s="155">
        <f>0</f>
        <v>0</v>
      </c>
      <c r="AG394" s="155">
        <f>0</f>
        <v>0</v>
      </c>
      <c r="AH394" s="155">
        <f>0</f>
        <v>0</v>
      </c>
      <c r="AI394" s="155">
        <f>0</f>
        <v>0</v>
      </c>
      <c r="AJ394" s="155">
        <f>0</f>
        <v>0</v>
      </c>
      <c r="AK394" s="155">
        <f>0</f>
        <v>0</v>
      </c>
      <c r="AL394" s="219">
        <f t="shared" si="21"/>
        <v>1</v>
      </c>
      <c r="AM394" s="103"/>
      <c r="AN394" s="326">
        <f t="shared" si="22"/>
        <v>1</v>
      </c>
      <c r="AO394" s="290">
        <v>45034</v>
      </c>
      <c r="AP394" s="291" t="s">
        <v>192</v>
      </c>
      <c r="AQ394" s="292" t="s">
        <v>1520</v>
      </c>
      <c r="AR394" s="293" t="s">
        <v>197</v>
      </c>
      <c r="AS394" s="321"/>
      <c r="AT394" s="318"/>
      <c r="AU394" s="318">
        <v>1</v>
      </c>
      <c r="AV394" s="317">
        <f t="shared" si="20"/>
        <v>0</v>
      </c>
      <c r="AW394" s="318" t="s">
        <v>195</v>
      </c>
      <c r="AX394" s="333"/>
      <c r="AY394" s="333"/>
      <c r="AZ394" s="320"/>
      <c r="BA394" s="174"/>
      <c r="BB394" s="174"/>
      <c r="BC394" s="174"/>
    </row>
    <row r="395" spans="1:55" ht="28" customHeight="1">
      <c r="A395" s="195">
        <v>391</v>
      </c>
      <c r="B395" s="315">
        <v>45030</v>
      </c>
      <c r="C395" s="222" t="s">
        <v>198</v>
      </c>
      <c r="D395" s="222" t="s">
        <v>199</v>
      </c>
      <c r="E395" s="222" t="s">
        <v>200</v>
      </c>
      <c r="F395" s="371" t="s">
        <v>837</v>
      </c>
      <c r="G395" s="309" t="s">
        <v>1239</v>
      </c>
      <c r="H395" s="337" t="s">
        <v>129</v>
      </c>
      <c r="I395" s="311" t="s">
        <v>1085</v>
      </c>
      <c r="J395" s="312" t="s">
        <v>1240</v>
      </c>
      <c r="K395" s="273" t="s">
        <v>97</v>
      </c>
      <c r="L395" s="273" t="s">
        <v>159</v>
      </c>
      <c r="M395" s="311" t="s">
        <v>156</v>
      </c>
      <c r="N395" s="311" t="s">
        <v>97</v>
      </c>
      <c r="O395" s="311" t="s">
        <v>535</v>
      </c>
      <c r="P395" s="329"/>
      <c r="Q395" s="330"/>
      <c r="R395" s="154">
        <v>0</v>
      </c>
      <c r="S395" s="155">
        <f>0</f>
        <v>0</v>
      </c>
      <c r="T395" s="263">
        <v>1</v>
      </c>
      <c r="U395" s="158"/>
      <c r="V395" s="158">
        <f>0</f>
        <v>0</v>
      </c>
      <c r="W395" s="155">
        <f>0</f>
        <v>0</v>
      </c>
      <c r="X395" s="155">
        <f>0</f>
        <v>0</v>
      </c>
      <c r="Y395" s="155">
        <f>0</f>
        <v>0</v>
      </c>
      <c r="Z395" s="155">
        <f>0</f>
        <v>0</v>
      </c>
      <c r="AA395" s="155">
        <f>0</f>
        <v>0</v>
      </c>
      <c r="AB395" s="155">
        <f>0</f>
        <v>0</v>
      </c>
      <c r="AC395" s="155">
        <f>0</f>
        <v>0</v>
      </c>
      <c r="AD395" s="155">
        <f>0</f>
        <v>0</v>
      </c>
      <c r="AE395" s="155">
        <f>0</f>
        <v>0</v>
      </c>
      <c r="AF395" s="155">
        <f>0</f>
        <v>0</v>
      </c>
      <c r="AG395" s="155">
        <f>0</f>
        <v>0</v>
      </c>
      <c r="AH395" s="155">
        <f>0</f>
        <v>0</v>
      </c>
      <c r="AI395" s="155">
        <f>0</f>
        <v>0</v>
      </c>
      <c r="AJ395" s="155">
        <f>0</f>
        <v>0</v>
      </c>
      <c r="AK395" s="155">
        <f>0</f>
        <v>0</v>
      </c>
      <c r="AL395" s="219">
        <f t="shared" si="21"/>
        <v>1</v>
      </c>
      <c r="AM395" s="103"/>
      <c r="AN395" s="326">
        <f t="shared" si="22"/>
        <v>1</v>
      </c>
      <c r="AO395" s="290">
        <v>45034</v>
      </c>
      <c r="AP395" s="291" t="s">
        <v>192</v>
      </c>
      <c r="AQ395" s="292" t="s">
        <v>1520</v>
      </c>
      <c r="AR395" s="293" t="s">
        <v>197</v>
      </c>
      <c r="AS395" s="321"/>
      <c r="AT395" s="318"/>
      <c r="AU395" s="318">
        <v>1</v>
      </c>
      <c r="AV395" s="317">
        <f t="shared" si="20"/>
        <v>0</v>
      </c>
      <c r="AW395" s="318" t="s">
        <v>195</v>
      </c>
      <c r="AX395" s="333"/>
      <c r="AY395" s="333"/>
      <c r="AZ395" s="320"/>
      <c r="BA395" s="174"/>
      <c r="BB395" s="174"/>
      <c r="BC395" s="174"/>
    </row>
    <row r="396" spans="1:55" ht="28" customHeight="1">
      <c r="A396" s="195">
        <v>392</v>
      </c>
      <c r="B396" s="315">
        <v>45030</v>
      </c>
      <c r="C396" s="222" t="s">
        <v>198</v>
      </c>
      <c r="D396" s="222" t="s">
        <v>199</v>
      </c>
      <c r="E396" s="222" t="s">
        <v>200</v>
      </c>
      <c r="F396" s="371" t="s">
        <v>837</v>
      </c>
      <c r="G396" s="309" t="s">
        <v>1241</v>
      </c>
      <c r="H396" s="337" t="s">
        <v>129</v>
      </c>
      <c r="I396" s="311" t="s">
        <v>1085</v>
      </c>
      <c r="J396" s="312" t="s">
        <v>1242</v>
      </c>
      <c r="K396" s="273" t="s">
        <v>97</v>
      </c>
      <c r="L396" s="273" t="s">
        <v>159</v>
      </c>
      <c r="M396" s="311" t="s">
        <v>156</v>
      </c>
      <c r="N396" s="311" t="s">
        <v>97</v>
      </c>
      <c r="O396" s="311" t="s">
        <v>535</v>
      </c>
      <c r="P396" s="329"/>
      <c r="Q396" s="330"/>
      <c r="R396" s="154">
        <v>0</v>
      </c>
      <c r="S396" s="155">
        <f>0</f>
        <v>0</v>
      </c>
      <c r="T396" s="263">
        <v>1</v>
      </c>
      <c r="U396" s="158"/>
      <c r="V396" s="158">
        <f>0</f>
        <v>0</v>
      </c>
      <c r="W396" s="155">
        <f>0</f>
        <v>0</v>
      </c>
      <c r="X396" s="155">
        <f>0</f>
        <v>0</v>
      </c>
      <c r="Y396" s="155">
        <f>0</f>
        <v>0</v>
      </c>
      <c r="Z396" s="155">
        <f>0</f>
        <v>0</v>
      </c>
      <c r="AA396" s="155">
        <f>0</f>
        <v>0</v>
      </c>
      <c r="AB396" s="155">
        <f>0</f>
        <v>0</v>
      </c>
      <c r="AC396" s="155">
        <f>0</f>
        <v>0</v>
      </c>
      <c r="AD396" s="155">
        <f>0</f>
        <v>0</v>
      </c>
      <c r="AE396" s="155">
        <f>0</f>
        <v>0</v>
      </c>
      <c r="AF396" s="155">
        <f>0</f>
        <v>0</v>
      </c>
      <c r="AG396" s="155">
        <f>0</f>
        <v>0</v>
      </c>
      <c r="AH396" s="155">
        <f>0</f>
        <v>0</v>
      </c>
      <c r="AI396" s="155">
        <f>0</f>
        <v>0</v>
      </c>
      <c r="AJ396" s="155">
        <f>0</f>
        <v>0</v>
      </c>
      <c r="AK396" s="155">
        <f>0</f>
        <v>0</v>
      </c>
      <c r="AL396" s="219">
        <f t="shared" si="21"/>
        <v>1</v>
      </c>
      <c r="AM396" s="103"/>
      <c r="AN396" s="326">
        <f t="shared" si="22"/>
        <v>1</v>
      </c>
      <c r="AO396" s="290">
        <v>45034</v>
      </c>
      <c r="AP396" s="291" t="s">
        <v>192</v>
      </c>
      <c r="AQ396" s="292" t="s">
        <v>1520</v>
      </c>
      <c r="AR396" s="293" t="s">
        <v>197</v>
      </c>
      <c r="AS396" s="321"/>
      <c r="AT396" s="318"/>
      <c r="AU396" s="318">
        <v>1</v>
      </c>
      <c r="AV396" s="317">
        <f t="shared" si="20"/>
        <v>0</v>
      </c>
      <c r="AW396" s="318" t="s">
        <v>195</v>
      </c>
      <c r="AX396" s="333"/>
      <c r="AY396" s="333"/>
      <c r="AZ396" s="320"/>
      <c r="BA396" s="174"/>
      <c r="BB396" s="174"/>
      <c r="BC396" s="174"/>
    </row>
    <row r="397" spans="1:55" ht="28" customHeight="1">
      <c r="A397" s="195">
        <v>393</v>
      </c>
      <c r="B397" s="315">
        <v>45030</v>
      </c>
      <c r="C397" s="222" t="s">
        <v>198</v>
      </c>
      <c r="D397" s="222" t="s">
        <v>199</v>
      </c>
      <c r="E397" s="222" t="s">
        <v>200</v>
      </c>
      <c r="F397" s="371" t="s">
        <v>837</v>
      </c>
      <c r="G397" s="309" t="s">
        <v>1243</v>
      </c>
      <c r="H397" s="337" t="s">
        <v>129</v>
      </c>
      <c r="I397" s="311" t="s">
        <v>1244</v>
      </c>
      <c r="J397" s="312" t="s">
        <v>1245</v>
      </c>
      <c r="K397" s="273"/>
      <c r="L397" s="273" t="s">
        <v>159</v>
      </c>
      <c r="M397" s="311" t="s">
        <v>156</v>
      </c>
      <c r="N397" s="311"/>
      <c r="O397" s="311" t="s">
        <v>535</v>
      </c>
      <c r="P397" s="329"/>
      <c r="Q397" s="330"/>
      <c r="R397" s="154">
        <v>0</v>
      </c>
      <c r="S397" s="155">
        <f>0</f>
        <v>0</v>
      </c>
      <c r="T397" s="263">
        <v>1</v>
      </c>
      <c r="U397" s="158"/>
      <c r="V397" s="158">
        <f>0</f>
        <v>0</v>
      </c>
      <c r="W397" s="155">
        <f>0</f>
        <v>0</v>
      </c>
      <c r="X397" s="155">
        <f>0</f>
        <v>0</v>
      </c>
      <c r="Y397" s="155">
        <f>0</f>
        <v>0</v>
      </c>
      <c r="Z397" s="155">
        <f>0</f>
        <v>0</v>
      </c>
      <c r="AA397" s="155">
        <f>0</f>
        <v>0</v>
      </c>
      <c r="AB397" s="155">
        <f>0</f>
        <v>0</v>
      </c>
      <c r="AC397" s="155">
        <f>0</f>
        <v>0</v>
      </c>
      <c r="AD397" s="155">
        <f>0</f>
        <v>0</v>
      </c>
      <c r="AE397" s="155">
        <f>0</f>
        <v>0</v>
      </c>
      <c r="AF397" s="155">
        <f>0</f>
        <v>0</v>
      </c>
      <c r="AG397" s="155">
        <f>0</f>
        <v>0</v>
      </c>
      <c r="AH397" s="155">
        <f>0</f>
        <v>0</v>
      </c>
      <c r="AI397" s="155">
        <f>0</f>
        <v>0</v>
      </c>
      <c r="AJ397" s="155">
        <f>0</f>
        <v>0</v>
      </c>
      <c r="AK397" s="155">
        <f>0</f>
        <v>0</v>
      </c>
      <c r="AL397" s="219">
        <f t="shared" si="21"/>
        <v>1</v>
      </c>
      <c r="AM397" s="103"/>
      <c r="AN397" s="326">
        <f t="shared" si="22"/>
        <v>1</v>
      </c>
      <c r="AO397" s="290">
        <v>45034</v>
      </c>
      <c r="AP397" s="291" t="s">
        <v>192</v>
      </c>
      <c r="AQ397" s="292" t="s">
        <v>1520</v>
      </c>
      <c r="AR397" s="293" t="s">
        <v>197</v>
      </c>
      <c r="AS397" s="321"/>
      <c r="AT397" s="318"/>
      <c r="AU397" s="318">
        <v>1</v>
      </c>
      <c r="AV397" s="317">
        <f t="shared" si="20"/>
        <v>0</v>
      </c>
      <c r="AW397" s="318" t="s">
        <v>195</v>
      </c>
      <c r="AX397" s="333"/>
      <c r="AY397" s="333"/>
      <c r="AZ397" s="320"/>
      <c r="BA397" s="174"/>
      <c r="BB397" s="174"/>
      <c r="BC397" s="174"/>
    </row>
    <row r="398" spans="1:55" ht="28" customHeight="1">
      <c r="A398" s="195">
        <v>394</v>
      </c>
      <c r="B398" s="315">
        <v>45030</v>
      </c>
      <c r="C398" s="222" t="s">
        <v>198</v>
      </c>
      <c r="D398" s="222" t="s">
        <v>199</v>
      </c>
      <c r="E398" s="222" t="s">
        <v>200</v>
      </c>
      <c r="F398" s="371" t="s">
        <v>837</v>
      </c>
      <c r="G398" s="309" t="s">
        <v>1246</v>
      </c>
      <c r="H398" s="337" t="s">
        <v>129</v>
      </c>
      <c r="I398" s="311" t="s">
        <v>1247</v>
      </c>
      <c r="J398" s="312" t="s">
        <v>1248</v>
      </c>
      <c r="K398" s="273" t="s">
        <v>97</v>
      </c>
      <c r="L398" s="273" t="s">
        <v>159</v>
      </c>
      <c r="M398" s="311" t="s">
        <v>156</v>
      </c>
      <c r="N398" s="311" t="s">
        <v>97</v>
      </c>
      <c r="O398" s="311" t="s">
        <v>535</v>
      </c>
      <c r="P398" s="329"/>
      <c r="Q398" s="330"/>
      <c r="R398" s="154">
        <v>0</v>
      </c>
      <c r="S398" s="155">
        <f>0</f>
        <v>0</v>
      </c>
      <c r="T398" s="263">
        <v>2</v>
      </c>
      <c r="U398" s="158"/>
      <c r="V398" s="158">
        <f>0</f>
        <v>0</v>
      </c>
      <c r="W398" s="155">
        <f>0</f>
        <v>0</v>
      </c>
      <c r="X398" s="155">
        <f>0</f>
        <v>0</v>
      </c>
      <c r="Y398" s="155">
        <f>0</f>
        <v>0</v>
      </c>
      <c r="Z398" s="155">
        <f>0</f>
        <v>0</v>
      </c>
      <c r="AA398" s="155">
        <f>0</f>
        <v>0</v>
      </c>
      <c r="AB398" s="155">
        <f>0</f>
        <v>0</v>
      </c>
      <c r="AC398" s="155">
        <f>0</f>
        <v>0</v>
      </c>
      <c r="AD398" s="155">
        <f>0</f>
        <v>0</v>
      </c>
      <c r="AE398" s="155">
        <f>0</f>
        <v>0</v>
      </c>
      <c r="AF398" s="155">
        <f>0</f>
        <v>0</v>
      </c>
      <c r="AG398" s="155">
        <f>0</f>
        <v>0</v>
      </c>
      <c r="AH398" s="155">
        <f>0</f>
        <v>0</v>
      </c>
      <c r="AI398" s="155">
        <f>0</f>
        <v>0</v>
      </c>
      <c r="AJ398" s="155">
        <f>0</f>
        <v>0</v>
      </c>
      <c r="AK398" s="155">
        <f>0</f>
        <v>0</v>
      </c>
      <c r="AL398" s="219">
        <f t="shared" si="21"/>
        <v>2</v>
      </c>
      <c r="AM398" s="103"/>
      <c r="AN398" s="326">
        <f t="shared" si="22"/>
        <v>2</v>
      </c>
      <c r="AO398" s="290">
        <v>45034</v>
      </c>
      <c r="AP398" s="291" t="s">
        <v>192</v>
      </c>
      <c r="AQ398" s="292" t="s">
        <v>1520</v>
      </c>
      <c r="AR398" s="293" t="s">
        <v>197</v>
      </c>
      <c r="AS398" s="321"/>
      <c r="AT398" s="318"/>
      <c r="AU398" s="318">
        <v>2</v>
      </c>
      <c r="AV398" s="317">
        <f t="shared" ref="AV398:AV461" si="23">AN398-AU398</f>
        <v>0</v>
      </c>
      <c r="AW398" s="318" t="s">
        <v>195</v>
      </c>
      <c r="AX398" s="333"/>
      <c r="AY398" s="333"/>
      <c r="AZ398" s="320"/>
      <c r="BA398" s="174"/>
      <c r="BB398" s="174"/>
      <c r="BC398" s="174"/>
    </row>
    <row r="399" spans="1:55" ht="28" customHeight="1">
      <c r="A399" s="195">
        <v>395</v>
      </c>
      <c r="B399" s="315">
        <v>45030</v>
      </c>
      <c r="C399" s="222" t="s">
        <v>198</v>
      </c>
      <c r="D399" s="222" t="s">
        <v>199</v>
      </c>
      <c r="E399" s="222" t="s">
        <v>200</v>
      </c>
      <c r="F399" s="371" t="s">
        <v>837</v>
      </c>
      <c r="G399" s="309" t="s">
        <v>1249</v>
      </c>
      <c r="H399" s="337" t="s">
        <v>129</v>
      </c>
      <c r="I399" s="311" t="s">
        <v>1148</v>
      </c>
      <c r="J399" s="312" t="s">
        <v>1250</v>
      </c>
      <c r="K399" s="273" t="s">
        <v>97</v>
      </c>
      <c r="L399" s="273" t="s">
        <v>159</v>
      </c>
      <c r="M399" s="311" t="s">
        <v>156</v>
      </c>
      <c r="N399" s="311" t="s">
        <v>97</v>
      </c>
      <c r="O399" s="311" t="s">
        <v>535</v>
      </c>
      <c r="P399" s="329"/>
      <c r="Q399" s="330"/>
      <c r="R399" s="154">
        <v>0</v>
      </c>
      <c r="S399" s="155">
        <f>0</f>
        <v>0</v>
      </c>
      <c r="T399" s="263">
        <v>1</v>
      </c>
      <c r="U399" s="158"/>
      <c r="V399" s="158">
        <f>0</f>
        <v>0</v>
      </c>
      <c r="W399" s="155">
        <f>0</f>
        <v>0</v>
      </c>
      <c r="X399" s="155">
        <f>0</f>
        <v>0</v>
      </c>
      <c r="Y399" s="155">
        <f>0</f>
        <v>0</v>
      </c>
      <c r="Z399" s="155">
        <f>0</f>
        <v>0</v>
      </c>
      <c r="AA399" s="155">
        <f>0</f>
        <v>0</v>
      </c>
      <c r="AB399" s="155">
        <f>0</f>
        <v>0</v>
      </c>
      <c r="AC399" s="155">
        <f>0</f>
        <v>0</v>
      </c>
      <c r="AD399" s="155">
        <f>0</f>
        <v>0</v>
      </c>
      <c r="AE399" s="155">
        <f>0</f>
        <v>0</v>
      </c>
      <c r="AF399" s="155">
        <f>0</f>
        <v>0</v>
      </c>
      <c r="AG399" s="155">
        <f>0</f>
        <v>0</v>
      </c>
      <c r="AH399" s="155">
        <f>0</f>
        <v>0</v>
      </c>
      <c r="AI399" s="155">
        <f>0</f>
        <v>0</v>
      </c>
      <c r="AJ399" s="155">
        <f>0</f>
        <v>0</v>
      </c>
      <c r="AK399" s="155">
        <f>0</f>
        <v>0</v>
      </c>
      <c r="AL399" s="219">
        <f t="shared" si="21"/>
        <v>1</v>
      </c>
      <c r="AM399" s="103"/>
      <c r="AN399" s="326">
        <f t="shared" si="22"/>
        <v>1</v>
      </c>
      <c r="AO399" s="290">
        <v>45034</v>
      </c>
      <c r="AP399" s="291" t="s">
        <v>192</v>
      </c>
      <c r="AQ399" s="292" t="s">
        <v>1520</v>
      </c>
      <c r="AR399" s="293" t="s">
        <v>197</v>
      </c>
      <c r="AS399" s="321"/>
      <c r="AT399" s="318"/>
      <c r="AU399" s="318">
        <v>1</v>
      </c>
      <c r="AV399" s="317">
        <f t="shared" si="23"/>
        <v>0</v>
      </c>
      <c r="AW399" s="318" t="s">
        <v>195</v>
      </c>
      <c r="AX399" s="333"/>
      <c r="AY399" s="333"/>
      <c r="AZ399" s="320"/>
      <c r="BA399" s="174"/>
      <c r="BB399" s="174"/>
      <c r="BC399" s="174"/>
    </row>
    <row r="400" spans="1:55" ht="28" customHeight="1">
      <c r="A400" s="195">
        <v>396</v>
      </c>
      <c r="B400" s="315">
        <v>45030</v>
      </c>
      <c r="C400" s="222" t="s">
        <v>198</v>
      </c>
      <c r="D400" s="222" t="s">
        <v>199</v>
      </c>
      <c r="E400" s="222" t="s">
        <v>200</v>
      </c>
      <c r="F400" s="371" t="s">
        <v>837</v>
      </c>
      <c r="G400" s="309" t="s">
        <v>1251</v>
      </c>
      <c r="H400" s="337" t="s">
        <v>129</v>
      </c>
      <c r="I400" s="311" t="s">
        <v>1252</v>
      </c>
      <c r="J400" s="312" t="s">
        <v>1253</v>
      </c>
      <c r="K400" s="273" t="s">
        <v>97</v>
      </c>
      <c r="L400" s="273" t="s">
        <v>165</v>
      </c>
      <c r="M400" s="311" t="s">
        <v>147</v>
      </c>
      <c r="N400" s="311" t="s">
        <v>97</v>
      </c>
      <c r="O400" s="311" t="s">
        <v>224</v>
      </c>
      <c r="P400" s="329"/>
      <c r="Q400" s="330"/>
      <c r="R400" s="154">
        <v>0</v>
      </c>
      <c r="S400" s="155">
        <f>0</f>
        <v>0</v>
      </c>
      <c r="T400" s="263">
        <v>1</v>
      </c>
      <c r="U400" s="158"/>
      <c r="V400" s="158">
        <f>0</f>
        <v>0</v>
      </c>
      <c r="W400" s="155">
        <f>0</f>
        <v>0</v>
      </c>
      <c r="X400" s="155">
        <f>0</f>
        <v>0</v>
      </c>
      <c r="Y400" s="155">
        <f>0</f>
        <v>0</v>
      </c>
      <c r="Z400" s="155">
        <f>0</f>
        <v>0</v>
      </c>
      <c r="AA400" s="155">
        <f>0</f>
        <v>0</v>
      </c>
      <c r="AB400" s="155">
        <f>0</f>
        <v>0</v>
      </c>
      <c r="AC400" s="155">
        <f>0</f>
        <v>0</v>
      </c>
      <c r="AD400" s="155">
        <f>0</f>
        <v>0</v>
      </c>
      <c r="AE400" s="155">
        <f>0</f>
        <v>0</v>
      </c>
      <c r="AF400" s="155">
        <f>0</f>
        <v>0</v>
      </c>
      <c r="AG400" s="155">
        <f>0</f>
        <v>0</v>
      </c>
      <c r="AH400" s="155">
        <f>0</f>
        <v>0</v>
      </c>
      <c r="AI400" s="155">
        <f>0</f>
        <v>0</v>
      </c>
      <c r="AJ400" s="155">
        <f>0</f>
        <v>0</v>
      </c>
      <c r="AK400" s="155">
        <f>0</f>
        <v>0</v>
      </c>
      <c r="AL400" s="219">
        <f t="shared" si="21"/>
        <v>1</v>
      </c>
      <c r="AM400" s="103"/>
      <c r="AN400" s="326">
        <f t="shared" si="22"/>
        <v>1</v>
      </c>
      <c r="AO400" s="348">
        <v>45034</v>
      </c>
      <c r="AP400" s="296" t="s">
        <v>192</v>
      </c>
      <c r="AQ400" s="292" t="s">
        <v>1522</v>
      </c>
      <c r="AR400" s="350" t="s">
        <v>194</v>
      </c>
      <c r="AS400" s="301">
        <v>45078</v>
      </c>
      <c r="AT400" s="318"/>
      <c r="AU400" s="318">
        <v>1</v>
      </c>
      <c r="AV400" s="317">
        <f t="shared" si="23"/>
        <v>0</v>
      </c>
      <c r="AW400" s="318" t="s">
        <v>195</v>
      </c>
      <c r="AX400" s="333"/>
      <c r="AY400" s="333"/>
      <c r="AZ400" s="320"/>
      <c r="BA400" s="174"/>
      <c r="BB400" s="174"/>
      <c r="BC400" s="174"/>
    </row>
    <row r="401" spans="1:55" ht="28" customHeight="1">
      <c r="A401" s="195">
        <v>397</v>
      </c>
      <c r="B401" s="315">
        <v>45030</v>
      </c>
      <c r="C401" s="222" t="s">
        <v>198</v>
      </c>
      <c r="D401" s="222" t="s">
        <v>199</v>
      </c>
      <c r="E401" s="222" t="s">
        <v>200</v>
      </c>
      <c r="F401" s="371" t="s">
        <v>837</v>
      </c>
      <c r="G401" s="309" t="s">
        <v>1254</v>
      </c>
      <c r="H401" s="337" t="s">
        <v>129</v>
      </c>
      <c r="I401" s="311" t="s">
        <v>1255</v>
      </c>
      <c r="J401" s="312" t="s">
        <v>1256</v>
      </c>
      <c r="K401" s="273" t="s">
        <v>97</v>
      </c>
      <c r="L401" s="273" t="s">
        <v>165</v>
      </c>
      <c r="M401" s="311" t="s">
        <v>147</v>
      </c>
      <c r="N401" s="311" t="s">
        <v>97</v>
      </c>
      <c r="O401" s="311" t="s">
        <v>224</v>
      </c>
      <c r="P401" s="329"/>
      <c r="Q401" s="330"/>
      <c r="R401" s="154">
        <v>0</v>
      </c>
      <c r="S401" s="155">
        <f>0</f>
        <v>0</v>
      </c>
      <c r="T401" s="263">
        <v>1</v>
      </c>
      <c r="U401" s="158"/>
      <c r="V401" s="158">
        <f>0</f>
        <v>0</v>
      </c>
      <c r="W401" s="155">
        <f>0</f>
        <v>0</v>
      </c>
      <c r="X401" s="155">
        <f>0</f>
        <v>0</v>
      </c>
      <c r="Y401" s="155">
        <f>0</f>
        <v>0</v>
      </c>
      <c r="Z401" s="155">
        <f>0</f>
        <v>0</v>
      </c>
      <c r="AA401" s="155">
        <f>0</f>
        <v>0</v>
      </c>
      <c r="AB401" s="155">
        <f>0</f>
        <v>0</v>
      </c>
      <c r="AC401" s="155">
        <f>0</f>
        <v>0</v>
      </c>
      <c r="AD401" s="155">
        <f>0</f>
        <v>0</v>
      </c>
      <c r="AE401" s="155">
        <f>0</f>
        <v>0</v>
      </c>
      <c r="AF401" s="155">
        <f>0</f>
        <v>0</v>
      </c>
      <c r="AG401" s="155">
        <f>0</f>
        <v>0</v>
      </c>
      <c r="AH401" s="155">
        <f>0</f>
        <v>0</v>
      </c>
      <c r="AI401" s="155">
        <f>0</f>
        <v>0</v>
      </c>
      <c r="AJ401" s="155">
        <f>0</f>
        <v>0</v>
      </c>
      <c r="AK401" s="155">
        <f>0</f>
        <v>0</v>
      </c>
      <c r="AL401" s="219">
        <f t="shared" si="21"/>
        <v>1</v>
      </c>
      <c r="AM401" s="103"/>
      <c r="AN401" s="326">
        <f t="shared" si="22"/>
        <v>1</v>
      </c>
      <c r="AO401" s="348">
        <v>45034</v>
      </c>
      <c r="AP401" s="296" t="s">
        <v>192</v>
      </c>
      <c r="AQ401" s="292" t="s">
        <v>1522</v>
      </c>
      <c r="AR401" s="350" t="s">
        <v>194</v>
      </c>
      <c r="AS401" s="301">
        <v>45078</v>
      </c>
      <c r="AT401" s="318"/>
      <c r="AU401" s="318">
        <v>1</v>
      </c>
      <c r="AV401" s="317">
        <f t="shared" si="23"/>
        <v>0</v>
      </c>
      <c r="AW401" s="318" t="s">
        <v>195</v>
      </c>
      <c r="AX401" s="333"/>
      <c r="AY401" s="333"/>
      <c r="AZ401" s="320"/>
      <c r="BA401" s="174"/>
      <c r="BB401" s="174"/>
      <c r="BC401" s="174"/>
    </row>
    <row r="402" spans="1:55" ht="28" customHeight="1">
      <c r="A402" s="195">
        <v>398</v>
      </c>
      <c r="B402" s="315">
        <v>45030</v>
      </c>
      <c r="C402" s="222" t="s">
        <v>198</v>
      </c>
      <c r="D402" s="222" t="s">
        <v>199</v>
      </c>
      <c r="E402" s="222" t="s">
        <v>200</v>
      </c>
      <c r="F402" s="371" t="s">
        <v>837</v>
      </c>
      <c r="G402" s="309" t="s">
        <v>1257</v>
      </c>
      <c r="H402" s="337" t="s">
        <v>129</v>
      </c>
      <c r="I402" s="311" t="s">
        <v>1258</v>
      </c>
      <c r="J402" s="312" t="s">
        <v>1259</v>
      </c>
      <c r="K402" s="273" t="s">
        <v>97</v>
      </c>
      <c r="L402" s="273" t="s">
        <v>165</v>
      </c>
      <c r="M402" s="311" t="s">
        <v>147</v>
      </c>
      <c r="N402" s="311" t="s">
        <v>97</v>
      </c>
      <c r="O402" s="311" t="s">
        <v>224</v>
      </c>
      <c r="P402" s="329"/>
      <c r="Q402" s="330"/>
      <c r="R402" s="154">
        <v>0</v>
      </c>
      <c r="S402" s="155">
        <f>0</f>
        <v>0</v>
      </c>
      <c r="T402" s="263">
        <v>1</v>
      </c>
      <c r="U402" s="158"/>
      <c r="V402" s="158">
        <f>0</f>
        <v>0</v>
      </c>
      <c r="W402" s="155">
        <f>0</f>
        <v>0</v>
      </c>
      <c r="X402" s="155">
        <f>0</f>
        <v>0</v>
      </c>
      <c r="Y402" s="155">
        <f>0</f>
        <v>0</v>
      </c>
      <c r="Z402" s="155">
        <f>0</f>
        <v>0</v>
      </c>
      <c r="AA402" s="155">
        <f>0</f>
        <v>0</v>
      </c>
      <c r="AB402" s="155">
        <f>0</f>
        <v>0</v>
      </c>
      <c r="AC402" s="155">
        <f>0</f>
        <v>0</v>
      </c>
      <c r="AD402" s="155">
        <f>0</f>
        <v>0</v>
      </c>
      <c r="AE402" s="155">
        <f>0</f>
        <v>0</v>
      </c>
      <c r="AF402" s="155">
        <f>0</f>
        <v>0</v>
      </c>
      <c r="AG402" s="155">
        <f>0</f>
        <v>0</v>
      </c>
      <c r="AH402" s="155">
        <f>0</f>
        <v>0</v>
      </c>
      <c r="AI402" s="155">
        <f>0</f>
        <v>0</v>
      </c>
      <c r="AJ402" s="155">
        <f>0</f>
        <v>0</v>
      </c>
      <c r="AK402" s="155">
        <f>0</f>
        <v>0</v>
      </c>
      <c r="AL402" s="219">
        <f t="shared" si="21"/>
        <v>1</v>
      </c>
      <c r="AM402" s="103"/>
      <c r="AN402" s="326">
        <f t="shared" si="22"/>
        <v>1</v>
      </c>
      <c r="AO402" s="348">
        <v>45034</v>
      </c>
      <c r="AP402" s="296" t="s">
        <v>192</v>
      </c>
      <c r="AQ402" s="292" t="s">
        <v>1522</v>
      </c>
      <c r="AR402" s="350" t="s">
        <v>194</v>
      </c>
      <c r="AS402" s="301">
        <v>45078</v>
      </c>
      <c r="AT402" s="318"/>
      <c r="AU402" s="318">
        <v>1</v>
      </c>
      <c r="AV402" s="317">
        <f t="shared" si="23"/>
        <v>0</v>
      </c>
      <c r="AW402" s="318" t="s">
        <v>195</v>
      </c>
      <c r="AX402" s="333"/>
      <c r="AY402" s="333"/>
      <c r="AZ402" s="320"/>
      <c r="BA402" s="174"/>
      <c r="BB402" s="174"/>
      <c r="BC402" s="174"/>
    </row>
    <row r="403" spans="1:55" ht="28" customHeight="1">
      <c r="A403" s="195">
        <v>399</v>
      </c>
      <c r="B403" s="315">
        <v>45030</v>
      </c>
      <c r="C403" s="222" t="s">
        <v>198</v>
      </c>
      <c r="D403" s="222" t="s">
        <v>199</v>
      </c>
      <c r="E403" s="222" t="s">
        <v>200</v>
      </c>
      <c r="F403" s="371" t="s">
        <v>837</v>
      </c>
      <c r="G403" s="309" t="s">
        <v>1260</v>
      </c>
      <c r="H403" s="337" t="s">
        <v>129</v>
      </c>
      <c r="I403" s="311" t="s">
        <v>1261</v>
      </c>
      <c r="J403" s="312" t="s">
        <v>1262</v>
      </c>
      <c r="K403" s="273" t="s">
        <v>97</v>
      </c>
      <c r="L403" s="273" t="s">
        <v>165</v>
      </c>
      <c r="M403" s="311" t="s">
        <v>147</v>
      </c>
      <c r="N403" s="311" t="s">
        <v>97</v>
      </c>
      <c r="O403" s="311" t="s">
        <v>224</v>
      </c>
      <c r="P403" s="329"/>
      <c r="Q403" s="330"/>
      <c r="R403" s="154">
        <v>0</v>
      </c>
      <c r="S403" s="155">
        <f>0</f>
        <v>0</v>
      </c>
      <c r="T403" s="263">
        <v>2</v>
      </c>
      <c r="U403" s="158"/>
      <c r="V403" s="158">
        <f>0</f>
        <v>0</v>
      </c>
      <c r="W403" s="155">
        <f>0</f>
        <v>0</v>
      </c>
      <c r="X403" s="155">
        <f>0</f>
        <v>0</v>
      </c>
      <c r="Y403" s="155">
        <f>0</f>
        <v>0</v>
      </c>
      <c r="Z403" s="155">
        <f>0</f>
        <v>0</v>
      </c>
      <c r="AA403" s="155">
        <f>0</f>
        <v>0</v>
      </c>
      <c r="AB403" s="155">
        <f>0</f>
        <v>0</v>
      </c>
      <c r="AC403" s="155">
        <f>0</f>
        <v>0</v>
      </c>
      <c r="AD403" s="155">
        <f>0</f>
        <v>0</v>
      </c>
      <c r="AE403" s="155">
        <f>0</f>
        <v>0</v>
      </c>
      <c r="AF403" s="155">
        <f>0</f>
        <v>0</v>
      </c>
      <c r="AG403" s="155">
        <f>0</f>
        <v>0</v>
      </c>
      <c r="AH403" s="155">
        <f>0</f>
        <v>0</v>
      </c>
      <c r="AI403" s="155">
        <f>0</f>
        <v>0</v>
      </c>
      <c r="AJ403" s="155">
        <f>0</f>
        <v>0</v>
      </c>
      <c r="AK403" s="155">
        <f>0</f>
        <v>0</v>
      </c>
      <c r="AL403" s="219">
        <f t="shared" si="21"/>
        <v>2</v>
      </c>
      <c r="AM403" s="103"/>
      <c r="AN403" s="326">
        <f t="shared" si="22"/>
        <v>2</v>
      </c>
      <c r="AO403" s="348">
        <v>45034</v>
      </c>
      <c r="AP403" s="296" t="s">
        <v>192</v>
      </c>
      <c r="AQ403" s="292" t="s">
        <v>1522</v>
      </c>
      <c r="AR403" s="350" t="s">
        <v>194</v>
      </c>
      <c r="AS403" s="301">
        <v>45078</v>
      </c>
      <c r="AT403" s="318"/>
      <c r="AU403" s="318">
        <v>2</v>
      </c>
      <c r="AV403" s="317">
        <f t="shared" si="23"/>
        <v>0</v>
      </c>
      <c r="AW403" s="318" t="s">
        <v>195</v>
      </c>
      <c r="AX403" s="333"/>
      <c r="AY403" s="333"/>
      <c r="AZ403" s="320"/>
      <c r="BA403" s="174"/>
      <c r="BB403" s="174"/>
      <c r="BC403" s="174"/>
    </row>
    <row r="404" spans="1:55" ht="28" customHeight="1">
      <c r="A404" s="195">
        <v>400</v>
      </c>
      <c r="B404" s="315">
        <v>45030</v>
      </c>
      <c r="C404" s="222" t="s">
        <v>198</v>
      </c>
      <c r="D404" s="222" t="s">
        <v>199</v>
      </c>
      <c r="E404" s="222" t="s">
        <v>200</v>
      </c>
      <c r="F404" s="371" t="s">
        <v>837</v>
      </c>
      <c r="G404" s="309" t="s">
        <v>1263</v>
      </c>
      <c r="H404" s="337" t="s">
        <v>129</v>
      </c>
      <c r="I404" s="311" t="s">
        <v>1264</v>
      </c>
      <c r="J404" s="312" t="s">
        <v>1265</v>
      </c>
      <c r="K404" s="273" t="s">
        <v>97</v>
      </c>
      <c r="L404" s="273" t="s">
        <v>165</v>
      </c>
      <c r="M404" s="311" t="s">
        <v>147</v>
      </c>
      <c r="N404" s="311" t="s">
        <v>97</v>
      </c>
      <c r="O404" s="311" t="s">
        <v>224</v>
      </c>
      <c r="P404" s="329"/>
      <c r="Q404" s="330"/>
      <c r="R404" s="154">
        <v>0</v>
      </c>
      <c r="S404" s="155">
        <f>0</f>
        <v>0</v>
      </c>
      <c r="T404" s="263">
        <v>1</v>
      </c>
      <c r="U404" s="158"/>
      <c r="V404" s="158">
        <f>0</f>
        <v>0</v>
      </c>
      <c r="W404" s="155">
        <f>0</f>
        <v>0</v>
      </c>
      <c r="X404" s="155">
        <f>0</f>
        <v>0</v>
      </c>
      <c r="Y404" s="155">
        <f>0</f>
        <v>0</v>
      </c>
      <c r="Z404" s="155">
        <f>0</f>
        <v>0</v>
      </c>
      <c r="AA404" s="155">
        <f>0</f>
        <v>0</v>
      </c>
      <c r="AB404" s="155">
        <f>0</f>
        <v>0</v>
      </c>
      <c r="AC404" s="155">
        <f>0</f>
        <v>0</v>
      </c>
      <c r="AD404" s="155">
        <f>0</f>
        <v>0</v>
      </c>
      <c r="AE404" s="155">
        <f>0</f>
        <v>0</v>
      </c>
      <c r="AF404" s="155">
        <f>0</f>
        <v>0</v>
      </c>
      <c r="AG404" s="155">
        <f>0</f>
        <v>0</v>
      </c>
      <c r="AH404" s="155">
        <f>0</f>
        <v>0</v>
      </c>
      <c r="AI404" s="155">
        <f>0</f>
        <v>0</v>
      </c>
      <c r="AJ404" s="155">
        <f>0</f>
        <v>0</v>
      </c>
      <c r="AK404" s="155">
        <f>0</f>
        <v>0</v>
      </c>
      <c r="AL404" s="219">
        <f t="shared" si="21"/>
        <v>1</v>
      </c>
      <c r="AM404" s="103"/>
      <c r="AN404" s="326">
        <f t="shared" si="22"/>
        <v>1</v>
      </c>
      <c r="AO404" s="348">
        <v>45034</v>
      </c>
      <c r="AP404" s="296" t="s">
        <v>192</v>
      </c>
      <c r="AQ404" s="292" t="s">
        <v>1522</v>
      </c>
      <c r="AR404" s="350" t="s">
        <v>194</v>
      </c>
      <c r="AS404" s="301">
        <v>45078</v>
      </c>
      <c r="AT404" s="318"/>
      <c r="AU404" s="318">
        <v>1</v>
      </c>
      <c r="AV404" s="317">
        <f t="shared" si="23"/>
        <v>0</v>
      </c>
      <c r="AW404" s="318" t="s">
        <v>195</v>
      </c>
      <c r="AX404" s="333"/>
      <c r="AY404" s="333"/>
      <c r="AZ404" s="320"/>
      <c r="BA404" s="174"/>
      <c r="BB404" s="174"/>
      <c r="BC404" s="174"/>
    </row>
    <row r="405" spans="1:55" ht="28" customHeight="1">
      <c r="A405" s="195">
        <v>401</v>
      </c>
      <c r="B405" s="315">
        <v>45030</v>
      </c>
      <c r="C405" s="222" t="s">
        <v>198</v>
      </c>
      <c r="D405" s="222" t="s">
        <v>199</v>
      </c>
      <c r="E405" s="222" t="s">
        <v>200</v>
      </c>
      <c r="F405" s="371" t="s">
        <v>837</v>
      </c>
      <c r="G405" s="309" t="s">
        <v>1266</v>
      </c>
      <c r="H405" s="337" t="s">
        <v>129</v>
      </c>
      <c r="I405" s="311" t="s">
        <v>1267</v>
      </c>
      <c r="J405" s="312" t="s">
        <v>1268</v>
      </c>
      <c r="K405" s="273" t="s">
        <v>97</v>
      </c>
      <c r="L405" s="273" t="s">
        <v>168</v>
      </c>
      <c r="M405" s="311" t="s">
        <v>147</v>
      </c>
      <c r="N405" s="311" t="s">
        <v>97</v>
      </c>
      <c r="O405" s="311" t="s">
        <v>169</v>
      </c>
      <c r="P405" s="329"/>
      <c r="Q405" s="330"/>
      <c r="R405" s="154">
        <v>0</v>
      </c>
      <c r="S405" s="155">
        <f>0</f>
        <v>0</v>
      </c>
      <c r="T405" s="263">
        <v>2</v>
      </c>
      <c r="U405" s="158"/>
      <c r="V405" s="158">
        <f>0</f>
        <v>0</v>
      </c>
      <c r="W405" s="155">
        <f>0</f>
        <v>0</v>
      </c>
      <c r="X405" s="155">
        <f>0</f>
        <v>0</v>
      </c>
      <c r="Y405" s="155">
        <f>0</f>
        <v>0</v>
      </c>
      <c r="Z405" s="155">
        <f>0</f>
        <v>0</v>
      </c>
      <c r="AA405" s="155">
        <f>0</f>
        <v>0</v>
      </c>
      <c r="AB405" s="155">
        <f>0</f>
        <v>0</v>
      </c>
      <c r="AC405" s="155">
        <f>0</f>
        <v>0</v>
      </c>
      <c r="AD405" s="155">
        <f>0</f>
        <v>0</v>
      </c>
      <c r="AE405" s="155">
        <f>0</f>
        <v>0</v>
      </c>
      <c r="AF405" s="155">
        <f>0</f>
        <v>0</v>
      </c>
      <c r="AG405" s="155">
        <f>0</f>
        <v>0</v>
      </c>
      <c r="AH405" s="155">
        <f>0</f>
        <v>0</v>
      </c>
      <c r="AI405" s="155">
        <f>0</f>
        <v>0</v>
      </c>
      <c r="AJ405" s="155">
        <f>0</f>
        <v>0</v>
      </c>
      <c r="AK405" s="155">
        <f>0</f>
        <v>0</v>
      </c>
      <c r="AL405" s="219">
        <f t="shared" si="21"/>
        <v>2</v>
      </c>
      <c r="AM405" s="103"/>
      <c r="AN405" s="326">
        <f t="shared" si="22"/>
        <v>2</v>
      </c>
      <c r="AO405" s="348">
        <v>45034</v>
      </c>
      <c r="AP405" s="296" t="s">
        <v>192</v>
      </c>
      <c r="AQ405" s="292" t="s">
        <v>1522</v>
      </c>
      <c r="AR405" s="350" t="s">
        <v>194</v>
      </c>
      <c r="AS405" s="301">
        <v>45078</v>
      </c>
      <c r="AT405" s="318"/>
      <c r="AU405" s="318">
        <v>2</v>
      </c>
      <c r="AV405" s="317">
        <f t="shared" si="23"/>
        <v>0</v>
      </c>
      <c r="AW405" s="318" t="s">
        <v>195</v>
      </c>
      <c r="AX405" s="333"/>
      <c r="AY405" s="333"/>
      <c r="AZ405" s="320"/>
      <c r="BA405" s="174"/>
      <c r="BB405" s="174"/>
      <c r="BC405" s="174"/>
    </row>
    <row r="406" spans="1:55" ht="28" customHeight="1">
      <c r="A406" s="195">
        <v>402</v>
      </c>
      <c r="B406" s="315">
        <v>45030</v>
      </c>
      <c r="C406" s="374" t="s">
        <v>198</v>
      </c>
      <c r="D406" s="374" t="s">
        <v>199</v>
      </c>
      <c r="E406" s="374" t="s">
        <v>200</v>
      </c>
      <c r="F406" s="371" t="s">
        <v>837</v>
      </c>
      <c r="G406" s="309" t="s">
        <v>1269</v>
      </c>
      <c r="H406" s="337" t="s">
        <v>129</v>
      </c>
      <c r="I406" s="311" t="s">
        <v>812</v>
      </c>
      <c r="J406" s="312" t="s">
        <v>1270</v>
      </c>
      <c r="K406" s="112" t="s">
        <v>97</v>
      </c>
      <c r="L406" s="273" t="s">
        <v>168</v>
      </c>
      <c r="M406" s="311" t="s">
        <v>147</v>
      </c>
      <c r="N406" s="311" t="s">
        <v>97</v>
      </c>
      <c r="O406" s="311" t="s">
        <v>169</v>
      </c>
      <c r="P406" s="329"/>
      <c r="Q406" s="323"/>
      <c r="R406" s="154">
        <v>0</v>
      </c>
      <c r="S406" s="155">
        <f>0</f>
        <v>0</v>
      </c>
      <c r="T406" s="263">
        <v>1</v>
      </c>
      <c r="U406" s="156"/>
      <c r="V406" s="156">
        <f>0</f>
        <v>0</v>
      </c>
      <c r="W406" s="155">
        <f>0</f>
        <v>0</v>
      </c>
      <c r="X406" s="155">
        <f>0</f>
        <v>0</v>
      </c>
      <c r="Y406" s="155">
        <f>0</f>
        <v>0</v>
      </c>
      <c r="Z406" s="155">
        <f>0</f>
        <v>0</v>
      </c>
      <c r="AA406" s="155">
        <f>0</f>
        <v>0</v>
      </c>
      <c r="AB406" s="155">
        <f>0</f>
        <v>0</v>
      </c>
      <c r="AC406" s="155">
        <f>0</f>
        <v>0</v>
      </c>
      <c r="AD406" s="155">
        <f>0</f>
        <v>0</v>
      </c>
      <c r="AE406" s="155">
        <f>0</f>
        <v>0</v>
      </c>
      <c r="AF406" s="155">
        <f>0</f>
        <v>0</v>
      </c>
      <c r="AG406" s="155">
        <f>0</f>
        <v>0</v>
      </c>
      <c r="AH406" s="155">
        <f>0</f>
        <v>0</v>
      </c>
      <c r="AI406" s="155">
        <f>0</f>
        <v>0</v>
      </c>
      <c r="AJ406" s="155">
        <f>0</f>
        <v>0</v>
      </c>
      <c r="AK406" s="155">
        <f>0</f>
        <v>0</v>
      </c>
      <c r="AL406" s="219">
        <f t="shared" si="21"/>
        <v>1</v>
      </c>
      <c r="AM406" s="103"/>
      <c r="AN406" s="375">
        <f t="shared" si="22"/>
        <v>1</v>
      </c>
      <c r="AO406" s="331">
        <v>45061</v>
      </c>
      <c r="AP406" s="372" t="s">
        <v>192</v>
      </c>
      <c r="AQ406" s="340" t="s">
        <v>1545</v>
      </c>
      <c r="AR406" s="332" t="s">
        <v>766</v>
      </c>
      <c r="AS406" s="317"/>
      <c r="AT406" s="318"/>
      <c r="AU406" s="318"/>
      <c r="AV406" s="317">
        <f t="shared" si="23"/>
        <v>1</v>
      </c>
      <c r="AW406" s="318" t="s">
        <v>195</v>
      </c>
      <c r="AX406" s="333"/>
      <c r="AY406" s="333"/>
      <c r="AZ406" s="341"/>
    </row>
    <row r="407" spans="1:55" ht="28" customHeight="1">
      <c r="A407" s="195">
        <v>403</v>
      </c>
      <c r="B407" s="315">
        <v>45030</v>
      </c>
      <c r="C407" s="322"/>
      <c r="D407" s="322"/>
      <c r="E407" s="322"/>
      <c r="F407" s="371" t="s">
        <v>123</v>
      </c>
      <c r="G407" s="309" t="s">
        <v>214</v>
      </c>
      <c r="H407" s="337" t="s">
        <v>556</v>
      </c>
      <c r="I407" s="311" t="s">
        <v>215</v>
      </c>
      <c r="J407" s="312" t="s">
        <v>1281</v>
      </c>
      <c r="K407" s="273" t="s">
        <v>97</v>
      </c>
      <c r="L407" s="273" t="s">
        <v>159</v>
      </c>
      <c r="M407" s="311" t="s">
        <v>156</v>
      </c>
      <c r="N407" s="311" t="s">
        <v>97</v>
      </c>
      <c r="O407" s="311" t="s">
        <v>204</v>
      </c>
      <c r="P407" s="329"/>
      <c r="Q407" s="330" t="s">
        <v>289</v>
      </c>
      <c r="R407" s="154">
        <v>0</v>
      </c>
      <c r="S407" s="155">
        <f>0</f>
        <v>0</v>
      </c>
      <c r="T407" s="155">
        <f>0</f>
        <v>0</v>
      </c>
      <c r="U407" s="155">
        <f>0</f>
        <v>0</v>
      </c>
      <c r="V407" s="155">
        <f>0</f>
        <v>0</v>
      </c>
      <c r="W407" s="263">
        <v>1</v>
      </c>
      <c r="X407" s="155">
        <f>0</f>
        <v>0</v>
      </c>
      <c r="Y407" s="155">
        <f>0</f>
        <v>0</v>
      </c>
      <c r="Z407" s="155">
        <f>0</f>
        <v>0</v>
      </c>
      <c r="AA407" s="155">
        <f>0</f>
        <v>0</v>
      </c>
      <c r="AB407" s="155">
        <f>0</f>
        <v>0</v>
      </c>
      <c r="AC407" s="155">
        <f>0</f>
        <v>0</v>
      </c>
      <c r="AD407" s="155">
        <f>0</f>
        <v>0</v>
      </c>
      <c r="AE407" s="155">
        <f>0</f>
        <v>0</v>
      </c>
      <c r="AF407" s="155">
        <f>0</f>
        <v>0</v>
      </c>
      <c r="AG407" s="155">
        <f>0</f>
        <v>0</v>
      </c>
      <c r="AH407" s="155">
        <f>0</f>
        <v>0</v>
      </c>
      <c r="AI407" s="155">
        <f>0</f>
        <v>0</v>
      </c>
      <c r="AJ407" s="155">
        <f>0</f>
        <v>0</v>
      </c>
      <c r="AK407" s="155">
        <f>0</f>
        <v>0</v>
      </c>
      <c r="AL407" s="219">
        <f t="shared" si="21"/>
        <v>1</v>
      </c>
      <c r="AM407" s="103"/>
      <c r="AN407" s="326">
        <f t="shared" si="22"/>
        <v>1</v>
      </c>
      <c r="AO407" s="290">
        <v>45034</v>
      </c>
      <c r="AP407" s="291" t="s">
        <v>192</v>
      </c>
      <c r="AQ407" s="292" t="s">
        <v>1520</v>
      </c>
      <c r="AR407" s="293" t="s">
        <v>197</v>
      </c>
      <c r="AS407" s="321"/>
      <c r="AT407" s="318"/>
      <c r="AU407" s="318">
        <v>1</v>
      </c>
      <c r="AV407" s="317">
        <f t="shared" si="23"/>
        <v>0</v>
      </c>
      <c r="AW407" s="318" t="s">
        <v>195</v>
      </c>
      <c r="AX407" s="333"/>
      <c r="AY407" s="333"/>
      <c r="AZ407" s="320"/>
      <c r="BA407" s="174"/>
      <c r="BB407" s="174"/>
      <c r="BC407" s="174"/>
    </row>
    <row r="408" spans="1:55" ht="28" customHeight="1">
      <c r="A408" s="195">
        <v>404</v>
      </c>
      <c r="B408" s="315">
        <v>45030</v>
      </c>
      <c r="C408" s="222" t="s">
        <v>198</v>
      </c>
      <c r="D408" s="222" t="s">
        <v>199</v>
      </c>
      <c r="E408" s="222" t="s">
        <v>200</v>
      </c>
      <c r="F408" s="371" t="s">
        <v>123</v>
      </c>
      <c r="G408" s="309" t="s">
        <v>1286</v>
      </c>
      <c r="H408" s="337" t="s">
        <v>129</v>
      </c>
      <c r="I408" s="311" t="s">
        <v>1287</v>
      </c>
      <c r="J408" s="312" t="s">
        <v>1285</v>
      </c>
      <c r="K408" s="273"/>
      <c r="L408" s="273" t="s">
        <v>159</v>
      </c>
      <c r="M408" s="311" t="s">
        <v>156</v>
      </c>
      <c r="N408" s="311" t="s">
        <v>97</v>
      </c>
      <c r="O408" s="311" t="s">
        <v>204</v>
      </c>
      <c r="P408" s="329"/>
      <c r="Q408" s="330" t="s">
        <v>1288</v>
      </c>
      <c r="R408" s="154">
        <v>0</v>
      </c>
      <c r="S408" s="155">
        <f>0</f>
        <v>0</v>
      </c>
      <c r="T408" s="155">
        <f>0</f>
        <v>0</v>
      </c>
      <c r="U408" s="155">
        <f>0</f>
        <v>0</v>
      </c>
      <c r="V408" s="155">
        <f>0</f>
        <v>0</v>
      </c>
      <c r="W408" s="263">
        <v>1</v>
      </c>
      <c r="X408" s="155">
        <f>0</f>
        <v>0</v>
      </c>
      <c r="Y408" s="155">
        <f>0</f>
        <v>0</v>
      </c>
      <c r="Z408" s="155">
        <f>0</f>
        <v>0</v>
      </c>
      <c r="AA408" s="155">
        <f>0</f>
        <v>0</v>
      </c>
      <c r="AB408" s="155">
        <f>0</f>
        <v>0</v>
      </c>
      <c r="AC408" s="155">
        <f>0</f>
        <v>0</v>
      </c>
      <c r="AD408" s="155">
        <f>0</f>
        <v>0</v>
      </c>
      <c r="AE408" s="155">
        <f>0</f>
        <v>0</v>
      </c>
      <c r="AF408" s="155">
        <f>0</f>
        <v>0</v>
      </c>
      <c r="AG408" s="155">
        <f>0</f>
        <v>0</v>
      </c>
      <c r="AH408" s="155">
        <f>0</f>
        <v>0</v>
      </c>
      <c r="AI408" s="155">
        <f>0</f>
        <v>0</v>
      </c>
      <c r="AJ408" s="155">
        <f>0</f>
        <v>0</v>
      </c>
      <c r="AK408" s="155">
        <f>0</f>
        <v>0</v>
      </c>
      <c r="AL408" s="219">
        <f t="shared" si="21"/>
        <v>1</v>
      </c>
      <c r="AM408" s="103"/>
      <c r="AN408" s="326">
        <f t="shared" si="22"/>
        <v>1</v>
      </c>
      <c r="AO408" s="290">
        <v>45034</v>
      </c>
      <c r="AP408" s="291" t="s">
        <v>192</v>
      </c>
      <c r="AQ408" s="292" t="s">
        <v>1520</v>
      </c>
      <c r="AR408" s="293" t="s">
        <v>197</v>
      </c>
      <c r="AS408" s="321"/>
      <c r="AT408" s="318"/>
      <c r="AU408" s="318">
        <v>1</v>
      </c>
      <c r="AV408" s="317">
        <f t="shared" si="23"/>
        <v>0</v>
      </c>
      <c r="AW408" s="318" t="s">
        <v>195</v>
      </c>
      <c r="AX408" s="333"/>
      <c r="AY408" s="333"/>
      <c r="AZ408" s="341"/>
      <c r="BA408" s="174"/>
      <c r="BB408" s="174"/>
      <c r="BC408" s="174"/>
    </row>
    <row r="409" spans="1:55" ht="28" customHeight="1">
      <c r="A409" s="195">
        <v>405</v>
      </c>
      <c r="B409" s="315">
        <v>45030</v>
      </c>
      <c r="C409" s="322"/>
      <c r="D409" s="322"/>
      <c r="E409" s="322"/>
      <c r="F409" s="371" t="s">
        <v>123</v>
      </c>
      <c r="G409" s="309" t="s">
        <v>1286</v>
      </c>
      <c r="H409" s="337" t="s">
        <v>129</v>
      </c>
      <c r="I409" s="311" t="s">
        <v>1287</v>
      </c>
      <c r="J409" s="312" t="s">
        <v>1289</v>
      </c>
      <c r="K409" s="273"/>
      <c r="L409" s="273" t="s">
        <v>159</v>
      </c>
      <c r="M409" s="311" t="s">
        <v>156</v>
      </c>
      <c r="N409" s="311" t="s">
        <v>97</v>
      </c>
      <c r="O409" s="311" t="s">
        <v>204</v>
      </c>
      <c r="P409" s="329"/>
      <c r="Q409" s="330" t="s">
        <v>1288</v>
      </c>
      <c r="R409" s="154">
        <v>0</v>
      </c>
      <c r="S409" s="155">
        <f>0</f>
        <v>0</v>
      </c>
      <c r="T409" s="155">
        <f>0</f>
        <v>0</v>
      </c>
      <c r="U409" s="155">
        <f>0</f>
        <v>0</v>
      </c>
      <c r="V409" s="155">
        <f>0</f>
        <v>0</v>
      </c>
      <c r="W409" s="263">
        <v>1</v>
      </c>
      <c r="X409" s="155">
        <f>0</f>
        <v>0</v>
      </c>
      <c r="Y409" s="155">
        <f>0</f>
        <v>0</v>
      </c>
      <c r="Z409" s="155">
        <f>0</f>
        <v>0</v>
      </c>
      <c r="AA409" s="155">
        <f>0</f>
        <v>0</v>
      </c>
      <c r="AB409" s="155">
        <f>0</f>
        <v>0</v>
      </c>
      <c r="AC409" s="155">
        <f>0</f>
        <v>0</v>
      </c>
      <c r="AD409" s="155">
        <f>0</f>
        <v>0</v>
      </c>
      <c r="AE409" s="155">
        <f>0</f>
        <v>0</v>
      </c>
      <c r="AF409" s="155">
        <f>0</f>
        <v>0</v>
      </c>
      <c r="AG409" s="155">
        <f>0</f>
        <v>0</v>
      </c>
      <c r="AH409" s="155">
        <f>0</f>
        <v>0</v>
      </c>
      <c r="AI409" s="155">
        <f>0</f>
        <v>0</v>
      </c>
      <c r="AJ409" s="155">
        <f>0</f>
        <v>0</v>
      </c>
      <c r="AK409" s="155">
        <f>0</f>
        <v>0</v>
      </c>
      <c r="AL409" s="219">
        <f t="shared" si="21"/>
        <v>1</v>
      </c>
      <c r="AM409" s="103"/>
      <c r="AN409" s="326">
        <f t="shared" si="22"/>
        <v>1</v>
      </c>
      <c r="AO409" s="290">
        <v>45034</v>
      </c>
      <c r="AP409" s="291" t="s">
        <v>192</v>
      </c>
      <c r="AQ409" s="292" t="s">
        <v>1520</v>
      </c>
      <c r="AR409" s="293" t="s">
        <v>197</v>
      </c>
      <c r="AS409" s="321"/>
      <c r="AT409" s="318"/>
      <c r="AU409" s="318">
        <v>1</v>
      </c>
      <c r="AV409" s="317">
        <f t="shared" si="23"/>
        <v>0</v>
      </c>
      <c r="AW409" s="318" t="s">
        <v>195</v>
      </c>
      <c r="AX409" s="333"/>
      <c r="AY409" s="333"/>
      <c r="AZ409" s="320"/>
      <c r="BA409" s="174"/>
      <c r="BB409" s="174"/>
      <c r="BC409" s="174"/>
    </row>
    <row r="410" spans="1:55" ht="28" customHeight="1">
      <c r="A410" s="195">
        <v>406</v>
      </c>
      <c r="B410" s="315">
        <v>45030</v>
      </c>
      <c r="C410" s="222" t="s">
        <v>198</v>
      </c>
      <c r="D410" s="222" t="s">
        <v>199</v>
      </c>
      <c r="E410" s="222" t="s">
        <v>200</v>
      </c>
      <c r="F410" s="371" t="s">
        <v>123</v>
      </c>
      <c r="G410" s="309" t="s">
        <v>1293</v>
      </c>
      <c r="H410" s="337" t="s">
        <v>129</v>
      </c>
      <c r="I410" s="311" t="s">
        <v>401</v>
      </c>
      <c r="J410" s="312" t="s">
        <v>1290</v>
      </c>
      <c r="K410" s="273"/>
      <c r="L410" s="273" t="s">
        <v>165</v>
      </c>
      <c r="M410" s="311" t="s">
        <v>279</v>
      </c>
      <c r="N410" s="311"/>
      <c r="O410" s="311" t="s">
        <v>224</v>
      </c>
      <c r="P410" s="329"/>
      <c r="Q410" s="330" t="s">
        <v>1288</v>
      </c>
      <c r="R410" s="154">
        <v>0</v>
      </c>
      <c r="S410" s="155">
        <f>0</f>
        <v>0</v>
      </c>
      <c r="T410" s="155">
        <f>0</f>
        <v>0</v>
      </c>
      <c r="U410" s="155">
        <f>0</f>
        <v>0</v>
      </c>
      <c r="V410" s="155">
        <f>0</f>
        <v>0</v>
      </c>
      <c r="W410" s="263">
        <v>1</v>
      </c>
      <c r="X410" s="155">
        <f>0</f>
        <v>0</v>
      </c>
      <c r="Y410" s="155">
        <f>0</f>
        <v>0</v>
      </c>
      <c r="Z410" s="155">
        <f>0</f>
        <v>0</v>
      </c>
      <c r="AA410" s="155">
        <f>0</f>
        <v>0</v>
      </c>
      <c r="AB410" s="155">
        <f>0</f>
        <v>0</v>
      </c>
      <c r="AC410" s="155">
        <f>0</f>
        <v>0</v>
      </c>
      <c r="AD410" s="155">
        <f>0</f>
        <v>0</v>
      </c>
      <c r="AE410" s="155">
        <f>0</f>
        <v>0</v>
      </c>
      <c r="AF410" s="155">
        <f>0</f>
        <v>0</v>
      </c>
      <c r="AG410" s="155">
        <f>0</f>
        <v>0</v>
      </c>
      <c r="AH410" s="155">
        <f>0</f>
        <v>0</v>
      </c>
      <c r="AI410" s="155">
        <f>0</f>
        <v>0</v>
      </c>
      <c r="AJ410" s="155">
        <f>0</f>
        <v>0</v>
      </c>
      <c r="AK410" s="155">
        <f>0</f>
        <v>0</v>
      </c>
      <c r="AL410" s="219">
        <f t="shared" si="21"/>
        <v>1</v>
      </c>
      <c r="AM410" s="103"/>
      <c r="AN410" s="326">
        <f t="shared" si="22"/>
        <v>1</v>
      </c>
      <c r="AO410" s="348">
        <v>45034</v>
      </c>
      <c r="AP410" s="296" t="s">
        <v>192</v>
      </c>
      <c r="AQ410" s="292" t="s">
        <v>1522</v>
      </c>
      <c r="AR410" s="350" t="s">
        <v>194</v>
      </c>
      <c r="AS410" s="301">
        <v>45078</v>
      </c>
      <c r="AT410" s="318"/>
      <c r="AU410" s="318">
        <v>1</v>
      </c>
      <c r="AV410" s="317">
        <f t="shared" si="23"/>
        <v>0</v>
      </c>
      <c r="AW410" s="318" t="s">
        <v>195</v>
      </c>
      <c r="AX410" s="333"/>
      <c r="AY410" s="333"/>
      <c r="AZ410" s="341"/>
      <c r="BA410" s="174"/>
      <c r="BB410" s="174"/>
      <c r="BC410" s="174"/>
    </row>
    <row r="411" spans="1:55" ht="28" customHeight="1">
      <c r="A411" s="195">
        <v>407</v>
      </c>
      <c r="B411" s="315">
        <v>45030</v>
      </c>
      <c r="C411" s="322"/>
      <c r="D411" s="322"/>
      <c r="E411" s="322"/>
      <c r="F411" s="371" t="s">
        <v>123</v>
      </c>
      <c r="G411" s="309" t="s">
        <v>1293</v>
      </c>
      <c r="H411" s="337" t="s">
        <v>129</v>
      </c>
      <c r="I411" s="311" t="s">
        <v>401</v>
      </c>
      <c r="J411" s="312" t="s">
        <v>1291</v>
      </c>
      <c r="K411" s="273"/>
      <c r="L411" s="273" t="s">
        <v>1292</v>
      </c>
      <c r="M411" s="311" t="s">
        <v>279</v>
      </c>
      <c r="N411" s="311"/>
      <c r="O411" s="311" t="s">
        <v>224</v>
      </c>
      <c r="P411" s="329"/>
      <c r="Q411" s="330" t="s">
        <v>1288</v>
      </c>
      <c r="R411" s="154">
        <v>0</v>
      </c>
      <c r="S411" s="155">
        <f>0</f>
        <v>0</v>
      </c>
      <c r="T411" s="155">
        <f>0</f>
        <v>0</v>
      </c>
      <c r="U411" s="155">
        <f>0</f>
        <v>0</v>
      </c>
      <c r="V411" s="155">
        <f>0</f>
        <v>0</v>
      </c>
      <c r="W411" s="263">
        <v>1</v>
      </c>
      <c r="X411" s="155">
        <f>0</f>
        <v>0</v>
      </c>
      <c r="Y411" s="155">
        <f>0</f>
        <v>0</v>
      </c>
      <c r="Z411" s="155">
        <f>0</f>
        <v>0</v>
      </c>
      <c r="AA411" s="155">
        <f>0</f>
        <v>0</v>
      </c>
      <c r="AB411" s="155">
        <f>0</f>
        <v>0</v>
      </c>
      <c r="AC411" s="155">
        <f>0</f>
        <v>0</v>
      </c>
      <c r="AD411" s="155">
        <f>0</f>
        <v>0</v>
      </c>
      <c r="AE411" s="155">
        <f>0</f>
        <v>0</v>
      </c>
      <c r="AF411" s="155">
        <f>0</f>
        <v>0</v>
      </c>
      <c r="AG411" s="155">
        <f>0</f>
        <v>0</v>
      </c>
      <c r="AH411" s="155">
        <f>0</f>
        <v>0</v>
      </c>
      <c r="AI411" s="155">
        <f>0</f>
        <v>0</v>
      </c>
      <c r="AJ411" s="155">
        <f>0</f>
        <v>0</v>
      </c>
      <c r="AK411" s="155">
        <f>0</f>
        <v>0</v>
      </c>
      <c r="AL411" s="219">
        <f t="shared" si="21"/>
        <v>1</v>
      </c>
      <c r="AM411" s="103"/>
      <c r="AN411" s="326">
        <f t="shared" si="22"/>
        <v>1</v>
      </c>
      <c r="AO411" s="348">
        <v>45034</v>
      </c>
      <c r="AP411" s="296" t="s">
        <v>192</v>
      </c>
      <c r="AQ411" s="292" t="s">
        <v>1522</v>
      </c>
      <c r="AR411" s="350" t="s">
        <v>194</v>
      </c>
      <c r="AS411" s="301">
        <v>45078</v>
      </c>
      <c r="AT411" s="318"/>
      <c r="AU411" s="318">
        <v>1</v>
      </c>
      <c r="AV411" s="317">
        <f t="shared" si="23"/>
        <v>0</v>
      </c>
      <c r="AW411" s="318" t="s">
        <v>195</v>
      </c>
      <c r="AX411" s="333"/>
      <c r="AY411" s="333"/>
      <c r="AZ411" s="320"/>
      <c r="BA411" s="174"/>
      <c r="BB411" s="174"/>
      <c r="BC411" s="174"/>
    </row>
    <row r="412" spans="1:55" ht="28" customHeight="1">
      <c r="A412" s="195">
        <v>408</v>
      </c>
      <c r="B412" s="315">
        <v>45030</v>
      </c>
      <c r="C412" s="222" t="s">
        <v>198</v>
      </c>
      <c r="D412" s="222" t="s">
        <v>199</v>
      </c>
      <c r="E412" s="222" t="s">
        <v>200</v>
      </c>
      <c r="F412" s="371" t="s">
        <v>123</v>
      </c>
      <c r="G412" s="309" t="s">
        <v>1294</v>
      </c>
      <c r="H412" s="337" t="s">
        <v>129</v>
      </c>
      <c r="I412" s="311" t="s">
        <v>166</v>
      </c>
      <c r="J412" s="312" t="s">
        <v>1295</v>
      </c>
      <c r="K412" s="273" t="s">
        <v>97</v>
      </c>
      <c r="L412" s="273" t="s">
        <v>308</v>
      </c>
      <c r="M412" s="311" t="s">
        <v>147</v>
      </c>
      <c r="N412" s="311" t="s">
        <v>97</v>
      </c>
      <c r="O412" s="311" t="s">
        <v>97</v>
      </c>
      <c r="P412" s="329" t="s">
        <v>1519</v>
      </c>
      <c r="Q412" s="330" t="s">
        <v>1296</v>
      </c>
      <c r="R412" s="154">
        <v>0</v>
      </c>
      <c r="S412" s="263">
        <v>20</v>
      </c>
      <c r="T412" s="155">
        <f>0</f>
        <v>0</v>
      </c>
      <c r="U412" s="155">
        <f>0</f>
        <v>0</v>
      </c>
      <c r="V412" s="155">
        <f>0</f>
        <v>0</v>
      </c>
      <c r="W412" s="155">
        <f>0</f>
        <v>0</v>
      </c>
      <c r="X412" s="155">
        <f>0</f>
        <v>0</v>
      </c>
      <c r="Y412" s="155">
        <f>0</f>
        <v>0</v>
      </c>
      <c r="Z412" s="155">
        <f>0</f>
        <v>0</v>
      </c>
      <c r="AA412" s="155">
        <f>0</f>
        <v>0</v>
      </c>
      <c r="AB412" s="155">
        <f>0</f>
        <v>0</v>
      </c>
      <c r="AC412" s="155">
        <f>0</f>
        <v>0</v>
      </c>
      <c r="AD412" s="155">
        <f>0</f>
        <v>0</v>
      </c>
      <c r="AE412" s="155">
        <f>0</f>
        <v>0</v>
      </c>
      <c r="AF412" s="155">
        <f>0</f>
        <v>0</v>
      </c>
      <c r="AG412" s="155">
        <f>0</f>
        <v>0</v>
      </c>
      <c r="AH412" s="155">
        <f>0</f>
        <v>0</v>
      </c>
      <c r="AI412" s="155">
        <f>0</f>
        <v>0</v>
      </c>
      <c r="AJ412" s="155">
        <f>0</f>
        <v>0</v>
      </c>
      <c r="AK412" s="155">
        <f>0</f>
        <v>0</v>
      </c>
      <c r="AL412" s="219">
        <f t="shared" si="21"/>
        <v>20</v>
      </c>
      <c r="AM412" s="103"/>
      <c r="AN412" s="326">
        <f t="shared" si="22"/>
        <v>20</v>
      </c>
      <c r="AO412" s="348">
        <v>45034</v>
      </c>
      <c r="AP412" s="296" t="s">
        <v>192</v>
      </c>
      <c r="AQ412" s="292" t="s">
        <v>1522</v>
      </c>
      <c r="AR412" s="350" t="s">
        <v>194</v>
      </c>
      <c r="AS412" s="301">
        <v>45078</v>
      </c>
      <c r="AT412" s="318"/>
      <c r="AU412" s="318">
        <v>20</v>
      </c>
      <c r="AV412" s="317">
        <f t="shared" si="23"/>
        <v>0</v>
      </c>
      <c r="AW412" s="318" t="s">
        <v>195</v>
      </c>
      <c r="AX412" s="333"/>
      <c r="AY412" s="333"/>
      <c r="AZ412" s="341"/>
      <c r="BA412" s="174"/>
      <c r="BB412" s="174"/>
      <c r="BC412" s="174"/>
    </row>
    <row r="413" spans="1:55" ht="28" customHeight="1">
      <c r="A413" s="195">
        <v>409</v>
      </c>
      <c r="B413" s="315">
        <v>45030</v>
      </c>
      <c r="C413" s="222" t="s">
        <v>198</v>
      </c>
      <c r="D413" s="222" t="s">
        <v>199</v>
      </c>
      <c r="E413" s="222" t="s">
        <v>200</v>
      </c>
      <c r="F413" s="371" t="s">
        <v>123</v>
      </c>
      <c r="G413" s="309" t="s">
        <v>1297</v>
      </c>
      <c r="H413" s="337" t="s">
        <v>129</v>
      </c>
      <c r="I413" s="311" t="s">
        <v>1298</v>
      </c>
      <c r="J413" s="312" t="s">
        <v>1299</v>
      </c>
      <c r="K413" s="273" t="s">
        <v>97</v>
      </c>
      <c r="L413" s="273" t="s">
        <v>895</v>
      </c>
      <c r="M413" s="311" t="s">
        <v>147</v>
      </c>
      <c r="N413" s="311" t="s">
        <v>677</v>
      </c>
      <c r="O413" s="311" t="s">
        <v>97</v>
      </c>
      <c r="P413" s="329" t="s">
        <v>1518</v>
      </c>
      <c r="Q413" s="330" t="s">
        <v>1296</v>
      </c>
      <c r="R413" s="154">
        <v>0</v>
      </c>
      <c r="S413" s="263">
        <v>40</v>
      </c>
      <c r="T413" s="155">
        <f>0</f>
        <v>0</v>
      </c>
      <c r="U413" s="155">
        <f>0</f>
        <v>0</v>
      </c>
      <c r="V413" s="155">
        <f>0</f>
        <v>0</v>
      </c>
      <c r="W413" s="155">
        <f>0</f>
        <v>0</v>
      </c>
      <c r="X413" s="155">
        <f>0</f>
        <v>0</v>
      </c>
      <c r="Y413" s="155">
        <f>0</f>
        <v>0</v>
      </c>
      <c r="Z413" s="155">
        <f>0</f>
        <v>0</v>
      </c>
      <c r="AA413" s="155">
        <f>0</f>
        <v>0</v>
      </c>
      <c r="AB413" s="155">
        <f>0</f>
        <v>0</v>
      </c>
      <c r="AC413" s="155">
        <f>0</f>
        <v>0</v>
      </c>
      <c r="AD413" s="155">
        <f>0</f>
        <v>0</v>
      </c>
      <c r="AE413" s="155">
        <f>0</f>
        <v>0</v>
      </c>
      <c r="AF413" s="155">
        <f>0</f>
        <v>0</v>
      </c>
      <c r="AG413" s="155">
        <f>0</f>
        <v>0</v>
      </c>
      <c r="AH413" s="155">
        <f>0</f>
        <v>0</v>
      </c>
      <c r="AI413" s="155">
        <f>0</f>
        <v>0</v>
      </c>
      <c r="AJ413" s="155">
        <f>0</f>
        <v>0</v>
      </c>
      <c r="AK413" s="155">
        <f>0</f>
        <v>0</v>
      </c>
      <c r="AL413" s="219">
        <f t="shared" si="21"/>
        <v>40</v>
      </c>
      <c r="AM413" s="103"/>
      <c r="AN413" s="326">
        <f t="shared" si="22"/>
        <v>40</v>
      </c>
      <c r="AO413" s="348">
        <v>45034</v>
      </c>
      <c r="AP413" s="296" t="s">
        <v>192</v>
      </c>
      <c r="AQ413" s="292" t="s">
        <v>1522</v>
      </c>
      <c r="AR413" s="350" t="s">
        <v>194</v>
      </c>
      <c r="AS413" s="301">
        <v>45078</v>
      </c>
      <c r="AT413" s="318"/>
      <c r="AU413" s="318">
        <v>36</v>
      </c>
      <c r="AV413" s="317">
        <f t="shared" si="23"/>
        <v>4</v>
      </c>
      <c r="AW413" s="318" t="s">
        <v>195</v>
      </c>
      <c r="AX413" s="333"/>
      <c r="AY413" s="333"/>
      <c r="AZ413" s="320"/>
      <c r="BA413" s="174"/>
      <c r="BB413" s="174"/>
      <c r="BC413" s="174"/>
    </row>
    <row r="414" spans="1:55" ht="28" customHeight="1">
      <c r="A414" s="195">
        <v>410</v>
      </c>
      <c r="B414" s="315">
        <v>45030</v>
      </c>
      <c r="C414" s="222" t="s">
        <v>198</v>
      </c>
      <c r="D414" s="222" t="s">
        <v>199</v>
      </c>
      <c r="E414" s="222" t="s">
        <v>200</v>
      </c>
      <c r="F414" s="371" t="s">
        <v>123</v>
      </c>
      <c r="G414" s="309" t="s">
        <v>1300</v>
      </c>
      <c r="H414" s="337" t="s">
        <v>129</v>
      </c>
      <c r="I414" s="311" t="s">
        <v>240</v>
      </c>
      <c r="J414" s="312" t="s">
        <v>1301</v>
      </c>
      <c r="K414" s="273" t="s">
        <v>97</v>
      </c>
      <c r="L414" s="273" t="s">
        <v>146</v>
      </c>
      <c r="M414" s="311" t="s">
        <v>147</v>
      </c>
      <c r="N414" s="311" t="s">
        <v>97</v>
      </c>
      <c r="O414" s="311" t="s">
        <v>148</v>
      </c>
      <c r="P414" s="329" t="s">
        <v>1517</v>
      </c>
      <c r="Q414" s="330" t="s">
        <v>1296</v>
      </c>
      <c r="R414" s="154">
        <v>0</v>
      </c>
      <c r="S414" s="263">
        <v>10</v>
      </c>
      <c r="T414" s="155">
        <f>0</f>
        <v>0</v>
      </c>
      <c r="U414" s="155">
        <f>0</f>
        <v>0</v>
      </c>
      <c r="V414" s="155">
        <f>0</f>
        <v>0</v>
      </c>
      <c r="W414" s="155">
        <f>0</f>
        <v>0</v>
      </c>
      <c r="X414" s="155">
        <f>0</f>
        <v>0</v>
      </c>
      <c r="Y414" s="155">
        <f>0</f>
        <v>0</v>
      </c>
      <c r="Z414" s="155">
        <f>0</f>
        <v>0</v>
      </c>
      <c r="AA414" s="155">
        <f>0</f>
        <v>0</v>
      </c>
      <c r="AB414" s="155">
        <f>0</f>
        <v>0</v>
      </c>
      <c r="AC414" s="155">
        <f>0</f>
        <v>0</v>
      </c>
      <c r="AD414" s="155">
        <f>0</f>
        <v>0</v>
      </c>
      <c r="AE414" s="155">
        <f>0</f>
        <v>0</v>
      </c>
      <c r="AF414" s="155">
        <f>0</f>
        <v>0</v>
      </c>
      <c r="AG414" s="155">
        <f>0</f>
        <v>0</v>
      </c>
      <c r="AH414" s="155">
        <f>0</f>
        <v>0</v>
      </c>
      <c r="AI414" s="155">
        <f>0</f>
        <v>0</v>
      </c>
      <c r="AJ414" s="155">
        <f>0</f>
        <v>0</v>
      </c>
      <c r="AK414" s="155">
        <f>0</f>
        <v>0</v>
      </c>
      <c r="AL414" s="219">
        <f t="shared" si="21"/>
        <v>10</v>
      </c>
      <c r="AM414" s="103"/>
      <c r="AN414" s="326">
        <f t="shared" si="22"/>
        <v>10</v>
      </c>
      <c r="AO414" s="348">
        <v>45034</v>
      </c>
      <c r="AP414" s="296" t="s">
        <v>192</v>
      </c>
      <c r="AQ414" s="292" t="s">
        <v>1522</v>
      </c>
      <c r="AR414" s="350" t="s">
        <v>194</v>
      </c>
      <c r="AS414" s="301">
        <v>45078</v>
      </c>
      <c r="AT414" s="318"/>
      <c r="AU414" s="318">
        <v>10</v>
      </c>
      <c r="AV414" s="317">
        <f t="shared" si="23"/>
        <v>0</v>
      </c>
      <c r="AW414" s="318" t="s">
        <v>195</v>
      </c>
      <c r="AX414" s="333"/>
      <c r="AY414" s="333"/>
      <c r="AZ414" s="341"/>
      <c r="BA414" s="174"/>
      <c r="BB414" s="174"/>
      <c r="BC414" s="174"/>
    </row>
    <row r="415" spans="1:55" ht="28" customHeight="1">
      <c r="A415" s="195">
        <v>411</v>
      </c>
      <c r="B415" s="315">
        <v>45030</v>
      </c>
      <c r="C415" s="322"/>
      <c r="D415" s="322"/>
      <c r="E415" s="322"/>
      <c r="F415" s="371" t="s">
        <v>123</v>
      </c>
      <c r="G415" s="309" t="s">
        <v>1300</v>
      </c>
      <c r="H415" s="337" t="s">
        <v>129</v>
      </c>
      <c r="I415" s="311" t="s">
        <v>240</v>
      </c>
      <c r="J415" s="312" t="s">
        <v>1302</v>
      </c>
      <c r="K415" s="273" t="s">
        <v>97</v>
      </c>
      <c r="L415" s="273" t="s">
        <v>146</v>
      </c>
      <c r="M415" s="311" t="s">
        <v>147</v>
      </c>
      <c r="N415" s="311" t="s">
        <v>97</v>
      </c>
      <c r="O415" s="311" t="s">
        <v>148</v>
      </c>
      <c r="P415" s="329" t="s">
        <v>1517</v>
      </c>
      <c r="Q415" s="330" t="s">
        <v>1296</v>
      </c>
      <c r="R415" s="154">
        <v>0</v>
      </c>
      <c r="S415" s="263">
        <v>10</v>
      </c>
      <c r="T415" s="155">
        <f>0</f>
        <v>0</v>
      </c>
      <c r="U415" s="155">
        <f>0</f>
        <v>0</v>
      </c>
      <c r="V415" s="155">
        <f>0</f>
        <v>0</v>
      </c>
      <c r="W415" s="155">
        <f>0</f>
        <v>0</v>
      </c>
      <c r="X415" s="155">
        <f>0</f>
        <v>0</v>
      </c>
      <c r="Y415" s="155">
        <f>0</f>
        <v>0</v>
      </c>
      <c r="Z415" s="155">
        <f>0</f>
        <v>0</v>
      </c>
      <c r="AA415" s="155">
        <f>0</f>
        <v>0</v>
      </c>
      <c r="AB415" s="155">
        <f>0</f>
        <v>0</v>
      </c>
      <c r="AC415" s="155">
        <f>0</f>
        <v>0</v>
      </c>
      <c r="AD415" s="155">
        <f>0</f>
        <v>0</v>
      </c>
      <c r="AE415" s="155">
        <f>0</f>
        <v>0</v>
      </c>
      <c r="AF415" s="155">
        <f>0</f>
        <v>0</v>
      </c>
      <c r="AG415" s="155">
        <f>0</f>
        <v>0</v>
      </c>
      <c r="AH415" s="155">
        <f>0</f>
        <v>0</v>
      </c>
      <c r="AI415" s="155">
        <f>0</f>
        <v>0</v>
      </c>
      <c r="AJ415" s="155">
        <f>0</f>
        <v>0</v>
      </c>
      <c r="AK415" s="155">
        <f>0</f>
        <v>0</v>
      </c>
      <c r="AL415" s="219">
        <f t="shared" si="21"/>
        <v>10</v>
      </c>
      <c r="AM415" s="103"/>
      <c r="AN415" s="326">
        <f t="shared" si="22"/>
        <v>10</v>
      </c>
      <c r="AO415" s="348">
        <v>45034</v>
      </c>
      <c r="AP415" s="296" t="s">
        <v>192</v>
      </c>
      <c r="AQ415" s="292" t="s">
        <v>1522</v>
      </c>
      <c r="AR415" s="350" t="s">
        <v>194</v>
      </c>
      <c r="AS415" s="301">
        <v>45078</v>
      </c>
      <c r="AT415" s="318"/>
      <c r="AU415" s="318">
        <v>10</v>
      </c>
      <c r="AV415" s="317">
        <f t="shared" si="23"/>
        <v>0</v>
      </c>
      <c r="AW415" s="318" t="s">
        <v>195</v>
      </c>
      <c r="AX415" s="333"/>
      <c r="AY415" s="333"/>
      <c r="AZ415" s="320"/>
      <c r="BA415" s="174"/>
      <c r="BB415" s="174"/>
      <c r="BC415" s="174"/>
    </row>
    <row r="416" spans="1:55" ht="28" customHeight="1">
      <c r="A416" s="195">
        <v>412</v>
      </c>
      <c r="B416" s="315">
        <v>45030</v>
      </c>
      <c r="C416" s="222" t="s">
        <v>198</v>
      </c>
      <c r="D416" s="222" t="s">
        <v>199</v>
      </c>
      <c r="E416" s="222" t="s">
        <v>200</v>
      </c>
      <c r="F416" s="371" t="s">
        <v>123</v>
      </c>
      <c r="G416" s="309" t="s">
        <v>1303</v>
      </c>
      <c r="H416" s="337" t="s">
        <v>129</v>
      </c>
      <c r="I416" s="311" t="s">
        <v>1304</v>
      </c>
      <c r="J416" s="312" t="s">
        <v>1305</v>
      </c>
      <c r="K416" s="273" t="s">
        <v>97</v>
      </c>
      <c r="L416" s="273" t="s">
        <v>1306</v>
      </c>
      <c r="M416" s="311" t="s">
        <v>147</v>
      </c>
      <c r="N416" s="311" t="s">
        <v>97</v>
      </c>
      <c r="O416" s="311" t="s">
        <v>1307</v>
      </c>
      <c r="P416" s="329"/>
      <c r="Q416" s="330" t="s">
        <v>1296</v>
      </c>
      <c r="R416" s="154">
        <v>0</v>
      </c>
      <c r="S416" s="263">
        <v>10</v>
      </c>
      <c r="T416" s="155">
        <f>0</f>
        <v>0</v>
      </c>
      <c r="U416" s="155">
        <f>0</f>
        <v>0</v>
      </c>
      <c r="V416" s="155">
        <f>0</f>
        <v>0</v>
      </c>
      <c r="W416" s="155">
        <f>0</f>
        <v>0</v>
      </c>
      <c r="X416" s="155">
        <f>0</f>
        <v>0</v>
      </c>
      <c r="Y416" s="155">
        <f>0</f>
        <v>0</v>
      </c>
      <c r="Z416" s="155">
        <f>0</f>
        <v>0</v>
      </c>
      <c r="AA416" s="155">
        <f>0</f>
        <v>0</v>
      </c>
      <c r="AB416" s="155">
        <f>0</f>
        <v>0</v>
      </c>
      <c r="AC416" s="155">
        <f>0</f>
        <v>0</v>
      </c>
      <c r="AD416" s="155">
        <f>0</f>
        <v>0</v>
      </c>
      <c r="AE416" s="155">
        <f>0</f>
        <v>0</v>
      </c>
      <c r="AF416" s="155">
        <f>0</f>
        <v>0</v>
      </c>
      <c r="AG416" s="155">
        <f>0</f>
        <v>0</v>
      </c>
      <c r="AH416" s="155">
        <f>0</f>
        <v>0</v>
      </c>
      <c r="AI416" s="155">
        <f>0</f>
        <v>0</v>
      </c>
      <c r="AJ416" s="155">
        <f>0</f>
        <v>0</v>
      </c>
      <c r="AK416" s="155">
        <f>0</f>
        <v>0</v>
      </c>
      <c r="AL416" s="219">
        <f t="shared" si="21"/>
        <v>10</v>
      </c>
      <c r="AM416" s="103"/>
      <c r="AN416" s="326">
        <f t="shared" si="22"/>
        <v>10</v>
      </c>
      <c r="AO416" s="348">
        <v>45034</v>
      </c>
      <c r="AP416" s="296" t="s">
        <v>192</v>
      </c>
      <c r="AQ416" s="292" t="s">
        <v>1522</v>
      </c>
      <c r="AR416" s="350" t="s">
        <v>194</v>
      </c>
      <c r="AS416" s="301">
        <v>45078</v>
      </c>
      <c r="AT416" s="318"/>
      <c r="AU416" s="318">
        <v>10</v>
      </c>
      <c r="AV416" s="317">
        <f t="shared" si="23"/>
        <v>0</v>
      </c>
      <c r="AW416" s="318" t="s">
        <v>195</v>
      </c>
      <c r="AX416" s="333"/>
      <c r="AY416" s="333"/>
      <c r="AZ416" s="341"/>
      <c r="BA416" s="174"/>
      <c r="BB416" s="174"/>
      <c r="BC416" s="174"/>
    </row>
    <row r="417" spans="1:55" ht="28" customHeight="1">
      <c r="A417" s="195">
        <v>413</v>
      </c>
      <c r="B417" s="315">
        <v>45030</v>
      </c>
      <c r="C417" s="374" t="s">
        <v>198</v>
      </c>
      <c r="D417" s="374" t="s">
        <v>199</v>
      </c>
      <c r="E417" s="374" t="s">
        <v>200</v>
      </c>
      <c r="F417" s="371" t="s">
        <v>123</v>
      </c>
      <c r="G417" s="309" t="s">
        <v>1308</v>
      </c>
      <c r="H417" s="337" t="s">
        <v>129</v>
      </c>
      <c r="I417" s="311" t="s">
        <v>1309</v>
      </c>
      <c r="J417" s="312" t="s">
        <v>1310</v>
      </c>
      <c r="K417" s="112" t="s">
        <v>97</v>
      </c>
      <c r="L417" s="273" t="s">
        <v>165</v>
      </c>
      <c r="M417" s="311" t="s">
        <v>147</v>
      </c>
      <c r="N417" s="311" t="s">
        <v>97</v>
      </c>
      <c r="O417" s="311" t="s">
        <v>1311</v>
      </c>
      <c r="P417" s="329"/>
      <c r="Q417" s="323" t="s">
        <v>1296</v>
      </c>
      <c r="R417" s="154">
        <v>0</v>
      </c>
      <c r="S417" s="263">
        <v>10</v>
      </c>
      <c r="T417" s="155">
        <f>0</f>
        <v>0</v>
      </c>
      <c r="U417" s="155">
        <f>0</f>
        <v>0</v>
      </c>
      <c r="V417" s="155">
        <f>0</f>
        <v>0</v>
      </c>
      <c r="W417" s="155">
        <f>0</f>
        <v>0</v>
      </c>
      <c r="X417" s="155">
        <f>0</f>
        <v>0</v>
      </c>
      <c r="Y417" s="155">
        <f>0</f>
        <v>0</v>
      </c>
      <c r="Z417" s="155">
        <f>0</f>
        <v>0</v>
      </c>
      <c r="AA417" s="155">
        <f>0</f>
        <v>0</v>
      </c>
      <c r="AB417" s="155">
        <f>0</f>
        <v>0</v>
      </c>
      <c r="AC417" s="155">
        <f>0</f>
        <v>0</v>
      </c>
      <c r="AD417" s="155">
        <f>0</f>
        <v>0</v>
      </c>
      <c r="AE417" s="155">
        <f>0</f>
        <v>0</v>
      </c>
      <c r="AF417" s="155">
        <f>0</f>
        <v>0</v>
      </c>
      <c r="AG417" s="155">
        <f>0</f>
        <v>0</v>
      </c>
      <c r="AH417" s="155">
        <f>0</f>
        <v>0</v>
      </c>
      <c r="AI417" s="155">
        <f>0</f>
        <v>0</v>
      </c>
      <c r="AJ417" s="155">
        <f>0</f>
        <v>0</v>
      </c>
      <c r="AK417" s="155">
        <f>0</f>
        <v>0</v>
      </c>
      <c r="AL417" s="219">
        <f t="shared" si="21"/>
        <v>10</v>
      </c>
      <c r="AM417" s="103">
        <v>9</v>
      </c>
      <c r="AN417" s="375">
        <f t="shared" si="22"/>
        <v>1</v>
      </c>
      <c r="AO417" s="331">
        <v>45057</v>
      </c>
      <c r="AP417" s="317" t="s">
        <v>192</v>
      </c>
      <c r="AQ417" s="340" t="s">
        <v>1542</v>
      </c>
      <c r="AR417" s="332" t="s">
        <v>194</v>
      </c>
      <c r="AS417" s="317"/>
      <c r="AT417" s="318"/>
      <c r="AU417" s="318"/>
      <c r="AV417" s="317">
        <f t="shared" si="23"/>
        <v>1</v>
      </c>
      <c r="AW417" s="318" t="s">
        <v>195</v>
      </c>
      <c r="AX417" s="333"/>
      <c r="AY417" s="333"/>
      <c r="AZ417" s="320"/>
    </row>
    <row r="418" spans="1:55" ht="28" customHeight="1">
      <c r="A418" s="195">
        <v>414</v>
      </c>
      <c r="B418" s="315">
        <v>45030</v>
      </c>
      <c r="C418" s="222" t="s">
        <v>198</v>
      </c>
      <c r="D418" s="222" t="s">
        <v>199</v>
      </c>
      <c r="E418" s="222" t="s">
        <v>200</v>
      </c>
      <c r="F418" s="371" t="s">
        <v>123</v>
      </c>
      <c r="G418" s="309" t="s">
        <v>1312</v>
      </c>
      <c r="H418" s="337" t="s">
        <v>129</v>
      </c>
      <c r="I418" s="311" t="s">
        <v>1313</v>
      </c>
      <c r="J418" s="312" t="s">
        <v>1314</v>
      </c>
      <c r="K418" s="273" t="s">
        <v>97</v>
      </c>
      <c r="L418" s="273" t="s">
        <v>543</v>
      </c>
      <c r="M418" s="311" t="s">
        <v>544</v>
      </c>
      <c r="N418" s="311" t="s">
        <v>97</v>
      </c>
      <c r="O418" s="311" t="s">
        <v>1307</v>
      </c>
      <c r="P418" s="329"/>
      <c r="Q418" s="330" t="s">
        <v>1296</v>
      </c>
      <c r="R418" s="154">
        <v>0</v>
      </c>
      <c r="S418" s="263">
        <v>10</v>
      </c>
      <c r="T418" s="155">
        <f>0</f>
        <v>0</v>
      </c>
      <c r="U418" s="155">
        <f>0</f>
        <v>0</v>
      </c>
      <c r="V418" s="155">
        <f>0</f>
        <v>0</v>
      </c>
      <c r="W418" s="155">
        <f>0</f>
        <v>0</v>
      </c>
      <c r="X418" s="155">
        <f>0</f>
        <v>0</v>
      </c>
      <c r="Y418" s="155">
        <f>0</f>
        <v>0</v>
      </c>
      <c r="Z418" s="155">
        <f>0</f>
        <v>0</v>
      </c>
      <c r="AA418" s="155">
        <f>0</f>
        <v>0</v>
      </c>
      <c r="AB418" s="155">
        <f>0</f>
        <v>0</v>
      </c>
      <c r="AC418" s="155">
        <f>0</f>
        <v>0</v>
      </c>
      <c r="AD418" s="155">
        <f>0</f>
        <v>0</v>
      </c>
      <c r="AE418" s="155">
        <f>0</f>
        <v>0</v>
      </c>
      <c r="AF418" s="155">
        <f>0</f>
        <v>0</v>
      </c>
      <c r="AG418" s="155">
        <f>0</f>
        <v>0</v>
      </c>
      <c r="AH418" s="155">
        <f>0</f>
        <v>0</v>
      </c>
      <c r="AI418" s="155">
        <f>0</f>
        <v>0</v>
      </c>
      <c r="AJ418" s="155">
        <f>0</f>
        <v>0</v>
      </c>
      <c r="AK418" s="155">
        <f>0</f>
        <v>0</v>
      </c>
      <c r="AL418" s="219">
        <f t="shared" si="21"/>
        <v>10</v>
      </c>
      <c r="AM418" s="103"/>
      <c r="AN418" s="326">
        <f t="shared" si="22"/>
        <v>10</v>
      </c>
      <c r="AO418" s="348">
        <v>45034</v>
      </c>
      <c r="AP418" s="296" t="s">
        <v>192</v>
      </c>
      <c r="AQ418" s="292" t="s">
        <v>1522</v>
      </c>
      <c r="AR418" s="350" t="s">
        <v>194</v>
      </c>
      <c r="AS418" s="301">
        <v>45078</v>
      </c>
      <c r="AT418" s="318"/>
      <c r="AU418" s="318">
        <v>10</v>
      </c>
      <c r="AV418" s="317">
        <f t="shared" si="23"/>
        <v>0</v>
      </c>
      <c r="AW418" s="318" t="s">
        <v>195</v>
      </c>
      <c r="AX418" s="333"/>
      <c r="AY418" s="333"/>
      <c r="AZ418" s="341"/>
      <c r="BA418" s="174"/>
      <c r="BB418" s="174"/>
      <c r="BC418" s="174"/>
    </row>
    <row r="419" spans="1:55" ht="28" customHeight="1">
      <c r="A419" s="195">
        <v>415</v>
      </c>
      <c r="B419" s="315">
        <v>45030</v>
      </c>
      <c r="C419" s="374" t="s">
        <v>198</v>
      </c>
      <c r="D419" s="374" t="s">
        <v>199</v>
      </c>
      <c r="E419" s="374" t="s">
        <v>200</v>
      </c>
      <c r="F419" s="371" t="s">
        <v>123</v>
      </c>
      <c r="G419" s="309" t="s">
        <v>1315</v>
      </c>
      <c r="H419" s="337" t="s">
        <v>129</v>
      </c>
      <c r="I419" s="311" t="s">
        <v>1316</v>
      </c>
      <c r="J419" s="312" t="s">
        <v>1317</v>
      </c>
      <c r="K419" s="112" t="s">
        <v>97</v>
      </c>
      <c r="L419" s="273" t="s">
        <v>234</v>
      </c>
      <c r="M419" s="311" t="s">
        <v>156</v>
      </c>
      <c r="N419" s="311" t="s">
        <v>97</v>
      </c>
      <c r="O419" s="311" t="s">
        <v>97</v>
      </c>
      <c r="P419" s="329"/>
      <c r="Q419" s="323" t="s">
        <v>1296</v>
      </c>
      <c r="R419" s="154">
        <v>0</v>
      </c>
      <c r="S419" s="263">
        <v>10</v>
      </c>
      <c r="T419" s="155">
        <f>0</f>
        <v>0</v>
      </c>
      <c r="U419" s="155">
        <f>0</f>
        <v>0</v>
      </c>
      <c r="V419" s="155">
        <f>0</f>
        <v>0</v>
      </c>
      <c r="W419" s="155">
        <f>0</f>
        <v>0</v>
      </c>
      <c r="X419" s="155">
        <f>0</f>
        <v>0</v>
      </c>
      <c r="Y419" s="155">
        <f>0</f>
        <v>0</v>
      </c>
      <c r="Z419" s="155">
        <f>0</f>
        <v>0</v>
      </c>
      <c r="AA419" s="155">
        <f>0</f>
        <v>0</v>
      </c>
      <c r="AB419" s="155">
        <f>0</f>
        <v>0</v>
      </c>
      <c r="AC419" s="155">
        <f>0</f>
        <v>0</v>
      </c>
      <c r="AD419" s="155">
        <f>0</f>
        <v>0</v>
      </c>
      <c r="AE419" s="155">
        <f>0</f>
        <v>0</v>
      </c>
      <c r="AF419" s="155">
        <f>0</f>
        <v>0</v>
      </c>
      <c r="AG419" s="155">
        <f>0</f>
        <v>0</v>
      </c>
      <c r="AH419" s="155">
        <f>0</f>
        <v>0</v>
      </c>
      <c r="AI419" s="155">
        <f>0</f>
        <v>0</v>
      </c>
      <c r="AJ419" s="155">
        <f>0</f>
        <v>0</v>
      </c>
      <c r="AK419" s="155">
        <f>0</f>
        <v>0</v>
      </c>
      <c r="AL419" s="219">
        <f t="shared" si="21"/>
        <v>10</v>
      </c>
      <c r="AM419" s="103"/>
      <c r="AN419" s="375">
        <f t="shared" si="22"/>
        <v>10</v>
      </c>
      <c r="AO419" s="331">
        <v>45057</v>
      </c>
      <c r="AP419" s="317" t="s">
        <v>192</v>
      </c>
      <c r="AQ419" s="340" t="s">
        <v>1543</v>
      </c>
      <c r="AR419" s="332" t="s">
        <v>197</v>
      </c>
      <c r="AS419" s="317"/>
      <c r="AT419" s="318"/>
      <c r="AU419" s="318">
        <v>10</v>
      </c>
      <c r="AV419" s="317">
        <f t="shared" si="23"/>
        <v>0</v>
      </c>
      <c r="AW419" s="318" t="s">
        <v>195</v>
      </c>
      <c r="AX419" s="333"/>
      <c r="AY419" s="333"/>
      <c r="AZ419" s="320"/>
    </row>
    <row r="420" spans="1:55" ht="28" customHeight="1">
      <c r="A420" s="195">
        <v>416</v>
      </c>
      <c r="B420" s="315">
        <v>45030</v>
      </c>
      <c r="C420" s="374" t="s">
        <v>198</v>
      </c>
      <c r="D420" s="374" t="s">
        <v>199</v>
      </c>
      <c r="E420" s="374" t="s">
        <v>200</v>
      </c>
      <c r="F420" s="371" t="s">
        <v>123</v>
      </c>
      <c r="G420" s="309" t="s">
        <v>1318</v>
      </c>
      <c r="H420" s="337" t="s">
        <v>129</v>
      </c>
      <c r="I420" s="311" t="s">
        <v>1319</v>
      </c>
      <c r="J420" s="312" t="s">
        <v>1320</v>
      </c>
      <c r="K420" s="112" t="s">
        <v>97</v>
      </c>
      <c r="L420" s="273" t="s">
        <v>234</v>
      </c>
      <c r="M420" s="311" t="s">
        <v>156</v>
      </c>
      <c r="N420" s="311" t="s">
        <v>97</v>
      </c>
      <c r="O420" s="311" t="s">
        <v>97</v>
      </c>
      <c r="P420" s="329"/>
      <c r="Q420" s="323" t="s">
        <v>1296</v>
      </c>
      <c r="R420" s="154">
        <v>0</v>
      </c>
      <c r="S420" s="263">
        <v>10</v>
      </c>
      <c r="T420" s="155">
        <f>0</f>
        <v>0</v>
      </c>
      <c r="U420" s="155">
        <f>0</f>
        <v>0</v>
      </c>
      <c r="V420" s="155">
        <f>0</f>
        <v>0</v>
      </c>
      <c r="W420" s="155">
        <f>0</f>
        <v>0</v>
      </c>
      <c r="X420" s="155">
        <f>0</f>
        <v>0</v>
      </c>
      <c r="Y420" s="155">
        <f>0</f>
        <v>0</v>
      </c>
      <c r="Z420" s="155">
        <f>0</f>
        <v>0</v>
      </c>
      <c r="AA420" s="155">
        <f>0</f>
        <v>0</v>
      </c>
      <c r="AB420" s="155">
        <f>0</f>
        <v>0</v>
      </c>
      <c r="AC420" s="155">
        <f>0</f>
        <v>0</v>
      </c>
      <c r="AD420" s="155">
        <f>0</f>
        <v>0</v>
      </c>
      <c r="AE420" s="155">
        <f>0</f>
        <v>0</v>
      </c>
      <c r="AF420" s="155">
        <f>0</f>
        <v>0</v>
      </c>
      <c r="AG420" s="155">
        <f>0</f>
        <v>0</v>
      </c>
      <c r="AH420" s="155">
        <f>0</f>
        <v>0</v>
      </c>
      <c r="AI420" s="155">
        <f>0</f>
        <v>0</v>
      </c>
      <c r="AJ420" s="155">
        <f>0</f>
        <v>0</v>
      </c>
      <c r="AK420" s="155">
        <f>0</f>
        <v>0</v>
      </c>
      <c r="AL420" s="219">
        <f t="shared" si="21"/>
        <v>10</v>
      </c>
      <c r="AM420" s="103"/>
      <c r="AN420" s="375">
        <f t="shared" si="22"/>
        <v>10</v>
      </c>
      <c r="AO420" s="331">
        <v>45057</v>
      </c>
      <c r="AP420" s="317" t="s">
        <v>192</v>
      </c>
      <c r="AQ420" s="340" t="s">
        <v>1543</v>
      </c>
      <c r="AR420" s="332" t="s">
        <v>197</v>
      </c>
      <c r="AS420" s="317"/>
      <c r="AT420" s="318"/>
      <c r="AU420" s="318">
        <v>10</v>
      </c>
      <c r="AV420" s="317">
        <f t="shared" si="23"/>
        <v>0</v>
      </c>
      <c r="AW420" s="318" t="s">
        <v>195</v>
      </c>
      <c r="AX420" s="333"/>
      <c r="AY420" s="333"/>
      <c r="AZ420" s="341"/>
    </row>
    <row r="421" spans="1:55" ht="28" customHeight="1">
      <c r="A421" s="195">
        <v>417</v>
      </c>
      <c r="B421" s="315">
        <v>45030</v>
      </c>
      <c r="C421" s="222" t="s">
        <v>198</v>
      </c>
      <c r="D421" s="222" t="s">
        <v>199</v>
      </c>
      <c r="E421" s="222" t="s">
        <v>200</v>
      </c>
      <c r="F421" s="371" t="s">
        <v>123</v>
      </c>
      <c r="G421" s="309" t="s">
        <v>1321</v>
      </c>
      <c r="H421" s="337" t="s">
        <v>129</v>
      </c>
      <c r="I421" s="311" t="s">
        <v>521</v>
      </c>
      <c r="J421" s="312" t="s">
        <v>1322</v>
      </c>
      <c r="K421" s="273" t="s">
        <v>97</v>
      </c>
      <c r="L421" s="273" t="s">
        <v>159</v>
      </c>
      <c r="M421" s="311" t="s">
        <v>156</v>
      </c>
      <c r="N421" s="311" t="s">
        <v>97</v>
      </c>
      <c r="O421" s="311" t="s">
        <v>160</v>
      </c>
      <c r="P421" s="329"/>
      <c r="Q421" s="330" t="s">
        <v>1296</v>
      </c>
      <c r="R421" s="154">
        <v>0</v>
      </c>
      <c r="S421" s="263">
        <v>6</v>
      </c>
      <c r="T421" s="155">
        <f>0</f>
        <v>0</v>
      </c>
      <c r="U421" s="155">
        <f>0</f>
        <v>0</v>
      </c>
      <c r="V421" s="155">
        <f>0</f>
        <v>0</v>
      </c>
      <c r="W421" s="155">
        <f>0</f>
        <v>0</v>
      </c>
      <c r="X421" s="155">
        <f>0</f>
        <v>0</v>
      </c>
      <c r="Y421" s="155">
        <f>0</f>
        <v>0</v>
      </c>
      <c r="Z421" s="155">
        <f>0</f>
        <v>0</v>
      </c>
      <c r="AA421" s="155">
        <f>0</f>
        <v>0</v>
      </c>
      <c r="AB421" s="155">
        <f>0</f>
        <v>0</v>
      </c>
      <c r="AC421" s="155">
        <f>0</f>
        <v>0</v>
      </c>
      <c r="AD421" s="155">
        <f>0</f>
        <v>0</v>
      </c>
      <c r="AE421" s="155">
        <f>0</f>
        <v>0</v>
      </c>
      <c r="AF421" s="155">
        <f>0</f>
        <v>0</v>
      </c>
      <c r="AG421" s="155">
        <f>0</f>
        <v>0</v>
      </c>
      <c r="AH421" s="155">
        <f>0</f>
        <v>0</v>
      </c>
      <c r="AI421" s="155">
        <f>0</f>
        <v>0</v>
      </c>
      <c r="AJ421" s="155">
        <f>0</f>
        <v>0</v>
      </c>
      <c r="AK421" s="155">
        <f>0</f>
        <v>0</v>
      </c>
      <c r="AL421" s="219">
        <f t="shared" si="21"/>
        <v>6</v>
      </c>
      <c r="AM421" s="103"/>
      <c r="AN421" s="326">
        <f t="shared" si="22"/>
        <v>6</v>
      </c>
      <c r="AO421" s="290">
        <v>45034</v>
      </c>
      <c r="AP421" s="291" t="s">
        <v>192</v>
      </c>
      <c r="AQ421" s="292" t="s">
        <v>1520</v>
      </c>
      <c r="AR421" s="293" t="s">
        <v>197</v>
      </c>
      <c r="AS421" s="321"/>
      <c r="AT421" s="318"/>
      <c r="AU421" s="318">
        <v>6</v>
      </c>
      <c r="AV421" s="317">
        <f t="shared" si="23"/>
        <v>0</v>
      </c>
      <c r="AW421" s="318" t="s">
        <v>195</v>
      </c>
      <c r="AX421" s="333"/>
      <c r="AY421" s="333"/>
      <c r="AZ421" s="320"/>
      <c r="BA421" s="174"/>
      <c r="BB421" s="174"/>
      <c r="BC421" s="174"/>
    </row>
    <row r="422" spans="1:55" ht="28" customHeight="1">
      <c r="A422" s="195">
        <v>418</v>
      </c>
      <c r="B422" s="315">
        <v>45030</v>
      </c>
      <c r="C422" s="222" t="s">
        <v>198</v>
      </c>
      <c r="D422" s="222" t="s">
        <v>199</v>
      </c>
      <c r="E422" s="222" t="s">
        <v>200</v>
      </c>
      <c r="F422" s="371" t="s">
        <v>123</v>
      </c>
      <c r="G422" s="309" t="s">
        <v>1323</v>
      </c>
      <c r="H422" s="337" t="s">
        <v>129</v>
      </c>
      <c r="I422" s="311" t="s">
        <v>521</v>
      </c>
      <c r="J422" s="312" t="s">
        <v>1324</v>
      </c>
      <c r="K422" s="273" t="s">
        <v>97</v>
      </c>
      <c r="L422" s="273" t="s">
        <v>543</v>
      </c>
      <c r="M422" s="311" t="s">
        <v>544</v>
      </c>
      <c r="N422" s="311" t="s">
        <v>97</v>
      </c>
      <c r="O422" s="311" t="s">
        <v>1307</v>
      </c>
      <c r="P422" s="329"/>
      <c r="Q422" s="330" t="s">
        <v>1296</v>
      </c>
      <c r="R422" s="154">
        <v>0</v>
      </c>
      <c r="S422" s="263">
        <v>6</v>
      </c>
      <c r="T422" s="155">
        <f>0</f>
        <v>0</v>
      </c>
      <c r="U422" s="155">
        <f>0</f>
        <v>0</v>
      </c>
      <c r="V422" s="155">
        <f>0</f>
        <v>0</v>
      </c>
      <c r="W422" s="155">
        <f>0</f>
        <v>0</v>
      </c>
      <c r="X422" s="155">
        <f>0</f>
        <v>0</v>
      </c>
      <c r="Y422" s="155">
        <f>0</f>
        <v>0</v>
      </c>
      <c r="Z422" s="155">
        <f>0</f>
        <v>0</v>
      </c>
      <c r="AA422" s="155">
        <f>0</f>
        <v>0</v>
      </c>
      <c r="AB422" s="155">
        <f>0</f>
        <v>0</v>
      </c>
      <c r="AC422" s="155">
        <f>0</f>
        <v>0</v>
      </c>
      <c r="AD422" s="155">
        <f>0</f>
        <v>0</v>
      </c>
      <c r="AE422" s="155">
        <f>0</f>
        <v>0</v>
      </c>
      <c r="AF422" s="155">
        <f>0</f>
        <v>0</v>
      </c>
      <c r="AG422" s="155">
        <f>0</f>
        <v>0</v>
      </c>
      <c r="AH422" s="155">
        <f>0</f>
        <v>0</v>
      </c>
      <c r="AI422" s="155">
        <f>0</f>
        <v>0</v>
      </c>
      <c r="AJ422" s="155">
        <f>0</f>
        <v>0</v>
      </c>
      <c r="AK422" s="155">
        <f>0</f>
        <v>0</v>
      </c>
      <c r="AL422" s="219">
        <f t="shared" si="21"/>
        <v>6</v>
      </c>
      <c r="AM422" s="103"/>
      <c r="AN422" s="326">
        <f t="shared" si="22"/>
        <v>6</v>
      </c>
      <c r="AO422" s="348">
        <v>45034</v>
      </c>
      <c r="AP422" s="296" t="s">
        <v>192</v>
      </c>
      <c r="AQ422" s="292" t="s">
        <v>1522</v>
      </c>
      <c r="AR422" s="350" t="s">
        <v>194</v>
      </c>
      <c r="AS422" s="301">
        <v>45078</v>
      </c>
      <c r="AT422" s="318"/>
      <c r="AU422" s="318">
        <v>6</v>
      </c>
      <c r="AV422" s="317">
        <f t="shared" si="23"/>
        <v>0</v>
      </c>
      <c r="AW422" s="318" t="s">
        <v>195</v>
      </c>
      <c r="AX422" s="333"/>
      <c r="AY422" s="333"/>
      <c r="AZ422" s="341"/>
      <c r="BA422" s="174"/>
      <c r="BB422" s="174"/>
      <c r="BC422" s="174"/>
    </row>
    <row r="423" spans="1:55" ht="28" customHeight="1">
      <c r="A423" s="195">
        <v>419</v>
      </c>
      <c r="B423" s="315">
        <v>45030</v>
      </c>
      <c r="C423" s="222" t="s">
        <v>198</v>
      </c>
      <c r="D423" s="222" t="s">
        <v>199</v>
      </c>
      <c r="E423" s="222" t="s">
        <v>200</v>
      </c>
      <c r="F423" s="371" t="s">
        <v>123</v>
      </c>
      <c r="G423" s="309" t="s">
        <v>1325</v>
      </c>
      <c r="H423" s="337" t="s">
        <v>129</v>
      </c>
      <c r="I423" s="311" t="s">
        <v>521</v>
      </c>
      <c r="J423" s="312" t="s">
        <v>1326</v>
      </c>
      <c r="K423" s="273" t="s">
        <v>97</v>
      </c>
      <c r="L423" s="273" t="s">
        <v>543</v>
      </c>
      <c r="M423" s="311" t="s">
        <v>544</v>
      </c>
      <c r="N423" s="311" t="s">
        <v>97</v>
      </c>
      <c r="O423" s="311" t="s">
        <v>1307</v>
      </c>
      <c r="P423" s="329"/>
      <c r="Q423" s="330" t="s">
        <v>1296</v>
      </c>
      <c r="R423" s="154">
        <v>0</v>
      </c>
      <c r="S423" s="263">
        <v>6</v>
      </c>
      <c r="T423" s="155">
        <f>0</f>
        <v>0</v>
      </c>
      <c r="U423" s="155">
        <f>0</f>
        <v>0</v>
      </c>
      <c r="V423" s="155">
        <f>0</f>
        <v>0</v>
      </c>
      <c r="W423" s="155">
        <f>0</f>
        <v>0</v>
      </c>
      <c r="X423" s="155">
        <f>0</f>
        <v>0</v>
      </c>
      <c r="Y423" s="155">
        <f>0</f>
        <v>0</v>
      </c>
      <c r="Z423" s="155">
        <f>0</f>
        <v>0</v>
      </c>
      <c r="AA423" s="155">
        <f>0</f>
        <v>0</v>
      </c>
      <c r="AB423" s="155">
        <f>0</f>
        <v>0</v>
      </c>
      <c r="AC423" s="155">
        <f>0</f>
        <v>0</v>
      </c>
      <c r="AD423" s="155">
        <f>0</f>
        <v>0</v>
      </c>
      <c r="AE423" s="155">
        <f>0</f>
        <v>0</v>
      </c>
      <c r="AF423" s="155">
        <f>0</f>
        <v>0</v>
      </c>
      <c r="AG423" s="155">
        <f>0</f>
        <v>0</v>
      </c>
      <c r="AH423" s="155">
        <f>0</f>
        <v>0</v>
      </c>
      <c r="AI423" s="155">
        <f>0</f>
        <v>0</v>
      </c>
      <c r="AJ423" s="155">
        <f>0</f>
        <v>0</v>
      </c>
      <c r="AK423" s="155">
        <f>0</f>
        <v>0</v>
      </c>
      <c r="AL423" s="219">
        <f t="shared" si="21"/>
        <v>6</v>
      </c>
      <c r="AM423" s="103"/>
      <c r="AN423" s="326">
        <f t="shared" si="22"/>
        <v>6</v>
      </c>
      <c r="AO423" s="348">
        <v>45034</v>
      </c>
      <c r="AP423" s="296" t="s">
        <v>192</v>
      </c>
      <c r="AQ423" s="292" t="s">
        <v>1522</v>
      </c>
      <c r="AR423" s="350" t="s">
        <v>194</v>
      </c>
      <c r="AS423" s="301">
        <v>45078</v>
      </c>
      <c r="AT423" s="318"/>
      <c r="AU423" s="318">
        <v>6</v>
      </c>
      <c r="AV423" s="317">
        <f t="shared" si="23"/>
        <v>0</v>
      </c>
      <c r="AW423" s="318" t="s">
        <v>195</v>
      </c>
      <c r="AX423" s="333"/>
      <c r="AY423" s="333"/>
      <c r="AZ423" s="320"/>
      <c r="BA423" s="174"/>
      <c r="BB423" s="174"/>
      <c r="BC423" s="174"/>
    </row>
    <row r="424" spans="1:55" ht="28" customHeight="1">
      <c r="A424" s="195">
        <v>420</v>
      </c>
      <c r="B424" s="315">
        <v>45030</v>
      </c>
      <c r="C424" s="222" t="s">
        <v>198</v>
      </c>
      <c r="D424" s="222" t="s">
        <v>199</v>
      </c>
      <c r="E424" s="222" t="s">
        <v>200</v>
      </c>
      <c r="F424" s="371" t="s">
        <v>123</v>
      </c>
      <c r="G424" s="309" t="s">
        <v>1331</v>
      </c>
      <c r="H424" s="337" t="s">
        <v>129</v>
      </c>
      <c r="I424" s="311" t="s">
        <v>1329</v>
      </c>
      <c r="J424" s="312" t="s">
        <v>1328</v>
      </c>
      <c r="K424" s="273"/>
      <c r="L424" s="273" t="s">
        <v>676</v>
      </c>
      <c r="M424" s="311" t="s">
        <v>279</v>
      </c>
      <c r="N424" s="311" t="s">
        <v>1333</v>
      </c>
      <c r="O424" s="311"/>
      <c r="P424" s="329"/>
      <c r="Q424" s="330" t="s">
        <v>1296</v>
      </c>
      <c r="R424" s="154">
        <v>0</v>
      </c>
      <c r="S424" s="263">
        <v>1</v>
      </c>
      <c r="T424" s="155">
        <f>0</f>
        <v>0</v>
      </c>
      <c r="U424" s="155">
        <f>0</f>
        <v>0</v>
      </c>
      <c r="V424" s="155">
        <f>0</f>
        <v>0</v>
      </c>
      <c r="W424" s="155">
        <f>0</f>
        <v>0</v>
      </c>
      <c r="X424" s="155">
        <f>0</f>
        <v>0</v>
      </c>
      <c r="Y424" s="155">
        <f>0</f>
        <v>0</v>
      </c>
      <c r="Z424" s="155">
        <f>0</f>
        <v>0</v>
      </c>
      <c r="AA424" s="155">
        <f>0</f>
        <v>0</v>
      </c>
      <c r="AB424" s="155">
        <f>0</f>
        <v>0</v>
      </c>
      <c r="AC424" s="155">
        <f>0</f>
        <v>0</v>
      </c>
      <c r="AD424" s="155">
        <f>0</f>
        <v>0</v>
      </c>
      <c r="AE424" s="155">
        <f>0</f>
        <v>0</v>
      </c>
      <c r="AF424" s="155">
        <f>0</f>
        <v>0</v>
      </c>
      <c r="AG424" s="155">
        <f>0</f>
        <v>0</v>
      </c>
      <c r="AH424" s="155">
        <f>0</f>
        <v>0</v>
      </c>
      <c r="AI424" s="155">
        <f>0</f>
        <v>0</v>
      </c>
      <c r="AJ424" s="155">
        <f>0</f>
        <v>0</v>
      </c>
      <c r="AK424" s="155">
        <f>0</f>
        <v>0</v>
      </c>
      <c r="AL424" s="219">
        <f t="shared" si="21"/>
        <v>1</v>
      </c>
      <c r="AM424" s="103"/>
      <c r="AN424" s="326">
        <f t="shared" si="22"/>
        <v>1</v>
      </c>
      <c r="AO424" s="348">
        <v>45034</v>
      </c>
      <c r="AP424" s="296" t="s">
        <v>192</v>
      </c>
      <c r="AQ424" s="292" t="s">
        <v>1522</v>
      </c>
      <c r="AR424" s="350" t="s">
        <v>194</v>
      </c>
      <c r="AS424" s="301">
        <v>45078</v>
      </c>
      <c r="AT424" s="318"/>
      <c r="AU424" s="318"/>
      <c r="AV424" s="317">
        <f t="shared" si="23"/>
        <v>1</v>
      </c>
      <c r="AW424" s="318" t="s">
        <v>195</v>
      </c>
      <c r="AX424" s="333"/>
      <c r="AY424" s="333"/>
      <c r="AZ424" s="341"/>
      <c r="BA424" s="174"/>
      <c r="BB424" s="174"/>
      <c r="BC424" s="174"/>
    </row>
    <row r="425" spans="1:55" ht="28" customHeight="1">
      <c r="A425" s="195">
        <v>421</v>
      </c>
      <c r="B425" s="315">
        <v>45030</v>
      </c>
      <c r="C425" s="222" t="s">
        <v>198</v>
      </c>
      <c r="D425" s="222" t="s">
        <v>199</v>
      </c>
      <c r="E425" s="222" t="s">
        <v>200</v>
      </c>
      <c r="F425" s="371" t="s">
        <v>123</v>
      </c>
      <c r="G425" s="309" t="s">
        <v>1332</v>
      </c>
      <c r="H425" s="337" t="s">
        <v>129</v>
      </c>
      <c r="I425" s="311" t="s">
        <v>1330</v>
      </c>
      <c r="J425" s="312" t="s">
        <v>1327</v>
      </c>
      <c r="K425" s="273"/>
      <c r="L425" s="273" t="s">
        <v>176</v>
      </c>
      <c r="M425" s="311" t="s">
        <v>279</v>
      </c>
      <c r="N425" s="311"/>
      <c r="O425" s="311" t="s">
        <v>224</v>
      </c>
      <c r="P425" s="329"/>
      <c r="Q425" s="330" t="s">
        <v>1296</v>
      </c>
      <c r="R425" s="154">
        <v>0</v>
      </c>
      <c r="S425" s="263">
        <v>1</v>
      </c>
      <c r="T425" s="155">
        <f>0</f>
        <v>0</v>
      </c>
      <c r="U425" s="155">
        <f>0</f>
        <v>0</v>
      </c>
      <c r="V425" s="155">
        <f>0</f>
        <v>0</v>
      </c>
      <c r="W425" s="155">
        <f>0</f>
        <v>0</v>
      </c>
      <c r="X425" s="155">
        <f>0</f>
        <v>0</v>
      </c>
      <c r="Y425" s="155">
        <f>0</f>
        <v>0</v>
      </c>
      <c r="Z425" s="155">
        <f>0</f>
        <v>0</v>
      </c>
      <c r="AA425" s="155">
        <f>0</f>
        <v>0</v>
      </c>
      <c r="AB425" s="155">
        <f>0</f>
        <v>0</v>
      </c>
      <c r="AC425" s="155">
        <f>0</f>
        <v>0</v>
      </c>
      <c r="AD425" s="155">
        <f>0</f>
        <v>0</v>
      </c>
      <c r="AE425" s="155">
        <f>0</f>
        <v>0</v>
      </c>
      <c r="AF425" s="155">
        <f>0</f>
        <v>0</v>
      </c>
      <c r="AG425" s="155">
        <f>0</f>
        <v>0</v>
      </c>
      <c r="AH425" s="155">
        <f>0</f>
        <v>0</v>
      </c>
      <c r="AI425" s="155">
        <f>0</f>
        <v>0</v>
      </c>
      <c r="AJ425" s="155">
        <f>0</f>
        <v>0</v>
      </c>
      <c r="AK425" s="155">
        <f>0</f>
        <v>0</v>
      </c>
      <c r="AL425" s="219">
        <f t="shared" si="21"/>
        <v>1</v>
      </c>
      <c r="AM425" s="103"/>
      <c r="AN425" s="326">
        <f t="shared" si="22"/>
        <v>1</v>
      </c>
      <c r="AO425" s="348">
        <v>45034</v>
      </c>
      <c r="AP425" s="296" t="s">
        <v>192</v>
      </c>
      <c r="AQ425" s="292" t="s">
        <v>1522</v>
      </c>
      <c r="AR425" s="350" t="s">
        <v>194</v>
      </c>
      <c r="AS425" s="301">
        <v>45078</v>
      </c>
      <c r="AT425" s="318"/>
      <c r="AU425" s="318">
        <v>1</v>
      </c>
      <c r="AV425" s="317">
        <f t="shared" si="23"/>
        <v>0</v>
      </c>
      <c r="AW425" s="318" t="s">
        <v>195</v>
      </c>
      <c r="AX425" s="333"/>
      <c r="AY425" s="333"/>
      <c r="AZ425" s="320"/>
      <c r="BA425" s="174"/>
      <c r="BB425" s="174"/>
      <c r="BC425" s="174"/>
    </row>
    <row r="426" spans="1:55" ht="28" customHeight="1">
      <c r="A426" s="195">
        <v>422</v>
      </c>
      <c r="B426" s="315">
        <v>45033</v>
      </c>
      <c r="C426" s="222" t="s">
        <v>198</v>
      </c>
      <c r="D426" s="222" t="s">
        <v>199</v>
      </c>
      <c r="E426" s="222" t="s">
        <v>200</v>
      </c>
      <c r="F426" s="371" t="s">
        <v>123</v>
      </c>
      <c r="G426" s="309" t="s">
        <v>1338</v>
      </c>
      <c r="H426" s="337" t="s">
        <v>129</v>
      </c>
      <c r="I426" s="311" t="s">
        <v>1336</v>
      </c>
      <c r="J426" s="312" t="s">
        <v>1337</v>
      </c>
      <c r="K426" s="273"/>
      <c r="L426" s="273" t="s">
        <v>159</v>
      </c>
      <c r="M426" s="311" t="s">
        <v>156</v>
      </c>
      <c r="N426" s="311" t="s">
        <v>97</v>
      </c>
      <c r="O426" s="311" t="s">
        <v>204</v>
      </c>
      <c r="P426" s="329"/>
      <c r="Q426" s="330" t="s">
        <v>1369</v>
      </c>
      <c r="R426" s="270">
        <v>1</v>
      </c>
      <c r="S426" s="155">
        <v>0</v>
      </c>
      <c r="T426" s="155">
        <v>0</v>
      </c>
      <c r="U426" s="155">
        <f>0</f>
        <v>0</v>
      </c>
      <c r="V426" s="155">
        <f>0</f>
        <v>0</v>
      </c>
      <c r="W426" s="155">
        <f>0</f>
        <v>0</v>
      </c>
      <c r="X426" s="155">
        <f>0</f>
        <v>0</v>
      </c>
      <c r="Y426" s="155">
        <f>0</f>
        <v>0</v>
      </c>
      <c r="Z426" s="155">
        <f>0</f>
        <v>0</v>
      </c>
      <c r="AA426" s="155">
        <f>0</f>
        <v>0</v>
      </c>
      <c r="AB426" s="155">
        <f>0</f>
        <v>0</v>
      </c>
      <c r="AC426" s="155">
        <f>0</f>
        <v>0</v>
      </c>
      <c r="AD426" s="155">
        <f>0</f>
        <v>0</v>
      </c>
      <c r="AE426" s="155">
        <f>0</f>
        <v>0</v>
      </c>
      <c r="AF426" s="155">
        <f>0</f>
        <v>0</v>
      </c>
      <c r="AG426" s="155">
        <f>0</f>
        <v>0</v>
      </c>
      <c r="AH426" s="155">
        <f>0</f>
        <v>0</v>
      </c>
      <c r="AI426" s="155">
        <f>0</f>
        <v>0</v>
      </c>
      <c r="AJ426" s="155">
        <f>0</f>
        <v>0</v>
      </c>
      <c r="AK426" s="155">
        <f>0</f>
        <v>0</v>
      </c>
      <c r="AL426" s="219">
        <f t="shared" si="21"/>
        <v>1</v>
      </c>
      <c r="AM426" s="103"/>
      <c r="AN426" s="326">
        <f t="shared" si="22"/>
        <v>1</v>
      </c>
      <c r="AO426" s="331">
        <v>45041</v>
      </c>
      <c r="AP426" s="317" t="s">
        <v>192</v>
      </c>
      <c r="AQ426" s="340" t="s">
        <v>1537</v>
      </c>
      <c r="AR426" s="332" t="s">
        <v>197</v>
      </c>
      <c r="AS426" s="321"/>
      <c r="AT426" s="318"/>
      <c r="AU426" s="318">
        <v>1</v>
      </c>
      <c r="AV426" s="317">
        <f t="shared" si="23"/>
        <v>0</v>
      </c>
      <c r="AW426" s="318" t="s">
        <v>195</v>
      </c>
      <c r="AX426" s="333"/>
      <c r="AY426" s="333"/>
      <c r="AZ426" s="341"/>
      <c r="BA426" s="174"/>
      <c r="BB426" s="174"/>
      <c r="BC426" s="174"/>
    </row>
    <row r="427" spans="1:55" ht="28" customHeight="1">
      <c r="A427" s="195">
        <v>423</v>
      </c>
      <c r="B427" s="315">
        <v>45033</v>
      </c>
      <c r="C427" s="222" t="s">
        <v>198</v>
      </c>
      <c r="D427" s="222" t="s">
        <v>199</v>
      </c>
      <c r="E427" s="222" t="s">
        <v>200</v>
      </c>
      <c r="F427" s="371" t="s">
        <v>123</v>
      </c>
      <c r="G427" s="309" t="s">
        <v>1339</v>
      </c>
      <c r="H427" s="337" t="s">
        <v>129</v>
      </c>
      <c r="I427" s="311" t="s">
        <v>166</v>
      </c>
      <c r="J427" s="312" t="s">
        <v>1340</v>
      </c>
      <c r="K427" s="273" t="s">
        <v>97</v>
      </c>
      <c r="L427" s="273" t="s">
        <v>168</v>
      </c>
      <c r="M427" s="311" t="s">
        <v>147</v>
      </c>
      <c r="N427" s="311" t="s">
        <v>97</v>
      </c>
      <c r="O427" s="311" t="s">
        <v>169</v>
      </c>
      <c r="P427" s="329"/>
      <c r="Q427" s="330" t="s">
        <v>1369</v>
      </c>
      <c r="R427" s="154">
        <v>0</v>
      </c>
      <c r="S427" s="155">
        <v>0</v>
      </c>
      <c r="T427" s="155">
        <v>0</v>
      </c>
      <c r="U427" s="263">
        <v>1</v>
      </c>
      <c r="V427" s="155">
        <f>0</f>
        <v>0</v>
      </c>
      <c r="W427" s="155">
        <f>0</f>
        <v>0</v>
      </c>
      <c r="X427" s="155">
        <f>0</f>
        <v>0</v>
      </c>
      <c r="Y427" s="155">
        <f>0</f>
        <v>0</v>
      </c>
      <c r="Z427" s="155">
        <f>0</f>
        <v>0</v>
      </c>
      <c r="AA427" s="155">
        <f>0</f>
        <v>0</v>
      </c>
      <c r="AB427" s="155">
        <f>0</f>
        <v>0</v>
      </c>
      <c r="AC427" s="155">
        <f>0</f>
        <v>0</v>
      </c>
      <c r="AD427" s="155">
        <f>0</f>
        <v>0</v>
      </c>
      <c r="AE427" s="155">
        <f>0</f>
        <v>0</v>
      </c>
      <c r="AF427" s="155">
        <f>0</f>
        <v>0</v>
      </c>
      <c r="AG427" s="155">
        <f>0</f>
        <v>0</v>
      </c>
      <c r="AH427" s="155">
        <f>0</f>
        <v>0</v>
      </c>
      <c r="AI427" s="155">
        <f>0</f>
        <v>0</v>
      </c>
      <c r="AJ427" s="155">
        <f>0</f>
        <v>0</v>
      </c>
      <c r="AK427" s="155">
        <f>0</f>
        <v>0</v>
      </c>
      <c r="AL427" s="219">
        <f t="shared" si="21"/>
        <v>1</v>
      </c>
      <c r="AM427" s="103"/>
      <c r="AN427" s="326">
        <f t="shared" si="22"/>
        <v>1</v>
      </c>
      <c r="AO427" s="331">
        <v>45041</v>
      </c>
      <c r="AP427" s="317" t="s">
        <v>192</v>
      </c>
      <c r="AQ427" s="340" t="s">
        <v>1538</v>
      </c>
      <c r="AR427" s="332" t="s">
        <v>194</v>
      </c>
      <c r="AS427" s="321"/>
      <c r="AT427" s="318"/>
      <c r="AU427" s="318">
        <v>1</v>
      </c>
      <c r="AV427" s="317">
        <f t="shared" si="23"/>
        <v>0</v>
      </c>
      <c r="AW427" s="318" t="s">
        <v>195</v>
      </c>
      <c r="AX427" s="333"/>
      <c r="AY427" s="333"/>
      <c r="AZ427" s="320"/>
      <c r="BA427" s="174"/>
      <c r="BB427" s="174"/>
      <c r="BC427" s="174"/>
    </row>
    <row r="428" spans="1:55" ht="28" customHeight="1">
      <c r="A428" s="195">
        <v>424</v>
      </c>
      <c r="B428" s="315">
        <v>45033</v>
      </c>
      <c r="C428" s="222" t="s">
        <v>198</v>
      </c>
      <c r="D428" s="222" t="s">
        <v>199</v>
      </c>
      <c r="E428" s="222" t="s">
        <v>200</v>
      </c>
      <c r="F428" s="371" t="s">
        <v>123</v>
      </c>
      <c r="G428" s="309" t="s">
        <v>1341</v>
      </c>
      <c r="H428" s="337" t="s">
        <v>129</v>
      </c>
      <c r="I428" s="311" t="s">
        <v>166</v>
      </c>
      <c r="J428" s="312" t="s">
        <v>1342</v>
      </c>
      <c r="K428" s="273" t="s">
        <v>97</v>
      </c>
      <c r="L428" s="273" t="s">
        <v>168</v>
      </c>
      <c r="M428" s="311" t="s">
        <v>147</v>
      </c>
      <c r="N428" s="311" t="s">
        <v>97</v>
      </c>
      <c r="O428" s="311" t="s">
        <v>169</v>
      </c>
      <c r="P428" s="329"/>
      <c r="Q428" s="330" t="s">
        <v>1369</v>
      </c>
      <c r="R428" s="154">
        <v>0</v>
      </c>
      <c r="S428" s="155">
        <v>0</v>
      </c>
      <c r="T428" s="155">
        <v>0</v>
      </c>
      <c r="U428" s="263">
        <v>1</v>
      </c>
      <c r="V428" s="155">
        <f>0</f>
        <v>0</v>
      </c>
      <c r="W428" s="155">
        <f>0</f>
        <v>0</v>
      </c>
      <c r="X428" s="155">
        <f>0</f>
        <v>0</v>
      </c>
      <c r="Y428" s="155">
        <f>0</f>
        <v>0</v>
      </c>
      <c r="Z428" s="155">
        <f>0</f>
        <v>0</v>
      </c>
      <c r="AA428" s="155">
        <f>0</f>
        <v>0</v>
      </c>
      <c r="AB428" s="155">
        <f>0</f>
        <v>0</v>
      </c>
      <c r="AC428" s="155">
        <f>0</f>
        <v>0</v>
      </c>
      <c r="AD428" s="155">
        <f>0</f>
        <v>0</v>
      </c>
      <c r="AE428" s="155">
        <f>0</f>
        <v>0</v>
      </c>
      <c r="AF428" s="155">
        <f>0</f>
        <v>0</v>
      </c>
      <c r="AG428" s="155">
        <f>0</f>
        <v>0</v>
      </c>
      <c r="AH428" s="155">
        <f>0</f>
        <v>0</v>
      </c>
      <c r="AI428" s="155">
        <f>0</f>
        <v>0</v>
      </c>
      <c r="AJ428" s="155">
        <f>0</f>
        <v>0</v>
      </c>
      <c r="AK428" s="155">
        <f>0</f>
        <v>0</v>
      </c>
      <c r="AL428" s="219">
        <f t="shared" si="21"/>
        <v>1</v>
      </c>
      <c r="AM428" s="103"/>
      <c r="AN428" s="326">
        <f t="shared" si="22"/>
        <v>1</v>
      </c>
      <c r="AO428" s="331">
        <v>45041</v>
      </c>
      <c r="AP428" s="317" t="s">
        <v>192</v>
      </c>
      <c r="AQ428" s="340" t="s">
        <v>1538</v>
      </c>
      <c r="AR428" s="332" t="s">
        <v>194</v>
      </c>
      <c r="AS428" s="321"/>
      <c r="AT428" s="318"/>
      <c r="AU428" s="318">
        <v>1</v>
      </c>
      <c r="AV428" s="317">
        <f t="shared" si="23"/>
        <v>0</v>
      </c>
      <c r="AW428" s="318" t="s">
        <v>195</v>
      </c>
      <c r="AX428" s="333"/>
      <c r="AY428" s="333"/>
      <c r="AZ428" s="341"/>
      <c r="BA428" s="174"/>
      <c r="BB428" s="174"/>
      <c r="BC428" s="174"/>
    </row>
    <row r="429" spans="1:55" ht="28" customHeight="1">
      <c r="A429" s="195">
        <v>425</v>
      </c>
      <c r="B429" s="315">
        <v>45033</v>
      </c>
      <c r="C429" s="222" t="s">
        <v>198</v>
      </c>
      <c r="D429" s="222" t="s">
        <v>199</v>
      </c>
      <c r="E429" s="222" t="s">
        <v>200</v>
      </c>
      <c r="F429" s="371" t="s">
        <v>123</v>
      </c>
      <c r="G429" s="309" t="s">
        <v>1343</v>
      </c>
      <c r="H429" s="337" t="s">
        <v>129</v>
      </c>
      <c r="I429" s="311" t="s">
        <v>144</v>
      </c>
      <c r="J429" s="312" t="s">
        <v>1344</v>
      </c>
      <c r="K429" s="273" t="s">
        <v>97</v>
      </c>
      <c r="L429" s="273" t="s">
        <v>146</v>
      </c>
      <c r="M429" s="311" t="s">
        <v>147</v>
      </c>
      <c r="N429" s="311" t="s">
        <v>97</v>
      </c>
      <c r="O429" s="311" t="s">
        <v>148</v>
      </c>
      <c r="P429" s="329"/>
      <c r="Q429" s="330" t="s">
        <v>1369</v>
      </c>
      <c r="R429" s="154">
        <v>0</v>
      </c>
      <c r="S429" s="155">
        <v>0</v>
      </c>
      <c r="T429" s="155">
        <v>0</v>
      </c>
      <c r="U429" s="263">
        <v>1</v>
      </c>
      <c r="V429" s="155">
        <f>0</f>
        <v>0</v>
      </c>
      <c r="W429" s="155">
        <f>0</f>
        <v>0</v>
      </c>
      <c r="X429" s="155">
        <f>0</f>
        <v>0</v>
      </c>
      <c r="Y429" s="155">
        <f>0</f>
        <v>0</v>
      </c>
      <c r="Z429" s="155">
        <f>0</f>
        <v>0</v>
      </c>
      <c r="AA429" s="155">
        <f>0</f>
        <v>0</v>
      </c>
      <c r="AB429" s="155">
        <f>0</f>
        <v>0</v>
      </c>
      <c r="AC429" s="155">
        <f>0</f>
        <v>0</v>
      </c>
      <c r="AD429" s="155">
        <f>0</f>
        <v>0</v>
      </c>
      <c r="AE429" s="155">
        <f>0</f>
        <v>0</v>
      </c>
      <c r="AF429" s="155">
        <f>0</f>
        <v>0</v>
      </c>
      <c r="AG429" s="155">
        <f>0</f>
        <v>0</v>
      </c>
      <c r="AH429" s="155">
        <f>0</f>
        <v>0</v>
      </c>
      <c r="AI429" s="155">
        <f>0</f>
        <v>0</v>
      </c>
      <c r="AJ429" s="155">
        <f>0</f>
        <v>0</v>
      </c>
      <c r="AK429" s="155">
        <f>0</f>
        <v>0</v>
      </c>
      <c r="AL429" s="219">
        <f t="shared" si="21"/>
        <v>1</v>
      </c>
      <c r="AM429" s="103"/>
      <c r="AN429" s="326">
        <f t="shared" si="22"/>
        <v>1</v>
      </c>
      <c r="AO429" s="331">
        <v>45041</v>
      </c>
      <c r="AP429" s="317" t="s">
        <v>192</v>
      </c>
      <c r="AQ429" s="340" t="s">
        <v>1538</v>
      </c>
      <c r="AR429" s="332" t="s">
        <v>194</v>
      </c>
      <c r="AS429" s="321"/>
      <c r="AT429" s="318"/>
      <c r="AU429" s="318">
        <v>1</v>
      </c>
      <c r="AV429" s="317">
        <f t="shared" si="23"/>
        <v>0</v>
      </c>
      <c r="AW429" s="318" t="s">
        <v>195</v>
      </c>
      <c r="AX429" s="333"/>
      <c r="AY429" s="333"/>
      <c r="AZ429" s="320"/>
      <c r="BA429" s="174"/>
      <c r="BB429" s="174"/>
      <c r="BC429" s="174"/>
    </row>
    <row r="430" spans="1:55" ht="28" customHeight="1">
      <c r="A430" s="195">
        <v>426</v>
      </c>
      <c r="B430" s="315">
        <v>45033</v>
      </c>
      <c r="C430" s="222" t="s">
        <v>198</v>
      </c>
      <c r="D430" s="222" t="s">
        <v>199</v>
      </c>
      <c r="E430" s="222" t="s">
        <v>200</v>
      </c>
      <c r="F430" s="371" t="s">
        <v>123</v>
      </c>
      <c r="G430" s="309" t="s">
        <v>1345</v>
      </c>
      <c r="H430" s="337" t="s">
        <v>129</v>
      </c>
      <c r="I430" s="311" t="s">
        <v>144</v>
      </c>
      <c r="J430" s="312" t="s">
        <v>1346</v>
      </c>
      <c r="K430" s="273" t="s">
        <v>97</v>
      </c>
      <c r="L430" s="273" t="s">
        <v>146</v>
      </c>
      <c r="M430" s="311" t="s">
        <v>147</v>
      </c>
      <c r="N430" s="311" t="s">
        <v>97</v>
      </c>
      <c r="O430" s="311" t="s">
        <v>148</v>
      </c>
      <c r="P430" s="329"/>
      <c r="Q430" s="330" t="s">
        <v>1369</v>
      </c>
      <c r="R430" s="154">
        <v>0</v>
      </c>
      <c r="S430" s="155">
        <v>0</v>
      </c>
      <c r="T430" s="155">
        <v>0</v>
      </c>
      <c r="U430" s="263">
        <v>1</v>
      </c>
      <c r="V430" s="155">
        <f>0</f>
        <v>0</v>
      </c>
      <c r="W430" s="155">
        <f>0</f>
        <v>0</v>
      </c>
      <c r="X430" s="155">
        <f>0</f>
        <v>0</v>
      </c>
      <c r="Y430" s="155">
        <f>0</f>
        <v>0</v>
      </c>
      <c r="Z430" s="155">
        <f>0</f>
        <v>0</v>
      </c>
      <c r="AA430" s="155">
        <f>0</f>
        <v>0</v>
      </c>
      <c r="AB430" s="155">
        <f>0</f>
        <v>0</v>
      </c>
      <c r="AC430" s="155">
        <f>0</f>
        <v>0</v>
      </c>
      <c r="AD430" s="155">
        <f>0</f>
        <v>0</v>
      </c>
      <c r="AE430" s="155">
        <f>0</f>
        <v>0</v>
      </c>
      <c r="AF430" s="155">
        <f>0</f>
        <v>0</v>
      </c>
      <c r="AG430" s="155">
        <f>0</f>
        <v>0</v>
      </c>
      <c r="AH430" s="155">
        <f>0</f>
        <v>0</v>
      </c>
      <c r="AI430" s="155">
        <f>0</f>
        <v>0</v>
      </c>
      <c r="AJ430" s="155">
        <f>0</f>
        <v>0</v>
      </c>
      <c r="AK430" s="155">
        <f>0</f>
        <v>0</v>
      </c>
      <c r="AL430" s="219">
        <f t="shared" si="21"/>
        <v>1</v>
      </c>
      <c r="AM430" s="103"/>
      <c r="AN430" s="326">
        <f t="shared" si="22"/>
        <v>1</v>
      </c>
      <c r="AO430" s="331">
        <v>45041</v>
      </c>
      <c r="AP430" s="317" t="s">
        <v>192</v>
      </c>
      <c r="AQ430" s="340" t="s">
        <v>1538</v>
      </c>
      <c r="AR430" s="332" t="s">
        <v>194</v>
      </c>
      <c r="AS430" s="321"/>
      <c r="AT430" s="318"/>
      <c r="AU430" s="318">
        <v>1</v>
      </c>
      <c r="AV430" s="317">
        <f t="shared" si="23"/>
        <v>0</v>
      </c>
      <c r="AW430" s="318" t="s">
        <v>195</v>
      </c>
      <c r="AX430" s="333"/>
      <c r="AY430" s="333"/>
      <c r="AZ430" s="341"/>
      <c r="BA430" s="174"/>
      <c r="BB430" s="174"/>
      <c r="BC430" s="174"/>
    </row>
    <row r="431" spans="1:55" ht="28" customHeight="1">
      <c r="A431" s="195">
        <v>427</v>
      </c>
      <c r="B431" s="315">
        <v>45033</v>
      </c>
      <c r="C431" s="222" t="s">
        <v>198</v>
      </c>
      <c r="D431" s="222" t="s">
        <v>199</v>
      </c>
      <c r="E431" s="222" t="s">
        <v>200</v>
      </c>
      <c r="F431" s="371" t="s">
        <v>123</v>
      </c>
      <c r="G431" s="309" t="s">
        <v>1347</v>
      </c>
      <c r="H431" s="337" t="s">
        <v>129</v>
      </c>
      <c r="I431" s="311" t="s">
        <v>144</v>
      </c>
      <c r="J431" s="312" t="s">
        <v>1348</v>
      </c>
      <c r="K431" s="273" t="s">
        <v>97</v>
      </c>
      <c r="L431" s="273" t="s">
        <v>146</v>
      </c>
      <c r="M431" s="311" t="s">
        <v>147</v>
      </c>
      <c r="N431" s="311" t="s">
        <v>97</v>
      </c>
      <c r="O431" s="311" t="s">
        <v>148</v>
      </c>
      <c r="P431" s="329"/>
      <c r="Q431" s="330" t="s">
        <v>1369</v>
      </c>
      <c r="R431" s="154">
        <v>0</v>
      </c>
      <c r="S431" s="155">
        <v>0</v>
      </c>
      <c r="T431" s="155">
        <v>0</v>
      </c>
      <c r="U431" s="263">
        <v>1</v>
      </c>
      <c r="V431" s="155">
        <f>0</f>
        <v>0</v>
      </c>
      <c r="W431" s="155">
        <f>0</f>
        <v>0</v>
      </c>
      <c r="X431" s="155">
        <f>0</f>
        <v>0</v>
      </c>
      <c r="Y431" s="155">
        <f>0</f>
        <v>0</v>
      </c>
      <c r="Z431" s="155">
        <f>0</f>
        <v>0</v>
      </c>
      <c r="AA431" s="155">
        <f>0</f>
        <v>0</v>
      </c>
      <c r="AB431" s="155">
        <f>0</f>
        <v>0</v>
      </c>
      <c r="AC431" s="155">
        <f>0</f>
        <v>0</v>
      </c>
      <c r="AD431" s="155">
        <f>0</f>
        <v>0</v>
      </c>
      <c r="AE431" s="155">
        <f>0</f>
        <v>0</v>
      </c>
      <c r="AF431" s="155">
        <f>0</f>
        <v>0</v>
      </c>
      <c r="AG431" s="155">
        <f>0</f>
        <v>0</v>
      </c>
      <c r="AH431" s="155">
        <f>0</f>
        <v>0</v>
      </c>
      <c r="AI431" s="155">
        <f>0</f>
        <v>0</v>
      </c>
      <c r="AJ431" s="155">
        <f>0</f>
        <v>0</v>
      </c>
      <c r="AK431" s="155">
        <f>0</f>
        <v>0</v>
      </c>
      <c r="AL431" s="219">
        <f t="shared" si="21"/>
        <v>1</v>
      </c>
      <c r="AM431" s="103"/>
      <c r="AN431" s="326">
        <f t="shared" si="22"/>
        <v>1</v>
      </c>
      <c r="AO431" s="331">
        <v>45041</v>
      </c>
      <c r="AP431" s="317" t="s">
        <v>192</v>
      </c>
      <c r="AQ431" s="340" t="s">
        <v>1538</v>
      </c>
      <c r="AR431" s="332" t="s">
        <v>194</v>
      </c>
      <c r="AS431" s="321"/>
      <c r="AT431" s="318"/>
      <c r="AU431" s="318">
        <v>1</v>
      </c>
      <c r="AV431" s="317">
        <f t="shared" si="23"/>
        <v>0</v>
      </c>
      <c r="AW431" s="318" t="s">
        <v>195</v>
      </c>
      <c r="AX431" s="333"/>
      <c r="AY431" s="333"/>
      <c r="AZ431" s="320"/>
      <c r="BA431" s="174"/>
      <c r="BB431" s="174"/>
      <c r="BC431" s="174"/>
    </row>
    <row r="432" spans="1:55" ht="28" customHeight="1">
      <c r="A432" s="195">
        <v>428</v>
      </c>
      <c r="B432" s="315">
        <v>45033</v>
      </c>
      <c r="C432" s="222" t="s">
        <v>198</v>
      </c>
      <c r="D432" s="222" t="s">
        <v>199</v>
      </c>
      <c r="E432" s="222" t="s">
        <v>200</v>
      </c>
      <c r="F432" s="371" t="s">
        <v>123</v>
      </c>
      <c r="G432" s="309" t="s">
        <v>1349</v>
      </c>
      <c r="H432" s="337" t="s">
        <v>129</v>
      </c>
      <c r="I432" s="311" t="s">
        <v>144</v>
      </c>
      <c r="J432" s="312" t="s">
        <v>1350</v>
      </c>
      <c r="K432" s="273" t="s">
        <v>97</v>
      </c>
      <c r="L432" s="273" t="s">
        <v>146</v>
      </c>
      <c r="M432" s="311" t="s">
        <v>147</v>
      </c>
      <c r="N432" s="311" t="s">
        <v>97</v>
      </c>
      <c r="O432" s="311" t="s">
        <v>148</v>
      </c>
      <c r="P432" s="329"/>
      <c r="Q432" s="330" t="s">
        <v>1369</v>
      </c>
      <c r="R432" s="154">
        <v>0</v>
      </c>
      <c r="S432" s="155">
        <v>0</v>
      </c>
      <c r="T432" s="155">
        <v>0</v>
      </c>
      <c r="U432" s="263">
        <v>1</v>
      </c>
      <c r="V432" s="155">
        <f>0</f>
        <v>0</v>
      </c>
      <c r="W432" s="155">
        <f>0</f>
        <v>0</v>
      </c>
      <c r="X432" s="155">
        <f>0</f>
        <v>0</v>
      </c>
      <c r="Y432" s="155">
        <f>0</f>
        <v>0</v>
      </c>
      <c r="Z432" s="155">
        <f>0</f>
        <v>0</v>
      </c>
      <c r="AA432" s="155">
        <f>0</f>
        <v>0</v>
      </c>
      <c r="AB432" s="155">
        <f>0</f>
        <v>0</v>
      </c>
      <c r="AC432" s="155">
        <f>0</f>
        <v>0</v>
      </c>
      <c r="AD432" s="155">
        <f>0</f>
        <v>0</v>
      </c>
      <c r="AE432" s="155">
        <f>0</f>
        <v>0</v>
      </c>
      <c r="AF432" s="155">
        <f>0</f>
        <v>0</v>
      </c>
      <c r="AG432" s="155">
        <f>0</f>
        <v>0</v>
      </c>
      <c r="AH432" s="155">
        <f>0</f>
        <v>0</v>
      </c>
      <c r="AI432" s="155">
        <f>0</f>
        <v>0</v>
      </c>
      <c r="AJ432" s="155">
        <f>0</f>
        <v>0</v>
      </c>
      <c r="AK432" s="155">
        <f>0</f>
        <v>0</v>
      </c>
      <c r="AL432" s="219">
        <f t="shared" si="21"/>
        <v>1</v>
      </c>
      <c r="AM432" s="103"/>
      <c r="AN432" s="326">
        <f t="shared" si="22"/>
        <v>1</v>
      </c>
      <c r="AO432" s="331">
        <v>45041</v>
      </c>
      <c r="AP432" s="317" t="s">
        <v>192</v>
      </c>
      <c r="AQ432" s="340" t="s">
        <v>1538</v>
      </c>
      <c r="AR432" s="332" t="s">
        <v>194</v>
      </c>
      <c r="AS432" s="321"/>
      <c r="AT432" s="318"/>
      <c r="AU432" s="318">
        <v>1</v>
      </c>
      <c r="AV432" s="317">
        <f t="shared" si="23"/>
        <v>0</v>
      </c>
      <c r="AW432" s="318" t="s">
        <v>195</v>
      </c>
      <c r="AX432" s="333"/>
      <c r="AY432" s="333"/>
      <c r="AZ432" s="341"/>
      <c r="BA432" s="174"/>
      <c r="BB432" s="174"/>
      <c r="BC432" s="174"/>
    </row>
    <row r="433" spans="1:55" ht="28" customHeight="1">
      <c r="A433" s="195">
        <v>429</v>
      </c>
      <c r="B433" s="315">
        <v>45033</v>
      </c>
      <c r="C433" s="222" t="s">
        <v>198</v>
      </c>
      <c r="D433" s="222" t="s">
        <v>199</v>
      </c>
      <c r="E433" s="222" t="s">
        <v>200</v>
      </c>
      <c r="F433" s="371" t="s">
        <v>123</v>
      </c>
      <c r="G433" s="309" t="s">
        <v>1351</v>
      </c>
      <c r="H433" s="337" t="s">
        <v>129</v>
      </c>
      <c r="I433" s="311" t="s">
        <v>172</v>
      </c>
      <c r="J433" s="312" t="s">
        <v>1352</v>
      </c>
      <c r="K433" s="273" t="s">
        <v>97</v>
      </c>
      <c r="L433" s="273" t="s">
        <v>168</v>
      </c>
      <c r="M433" s="311" t="s">
        <v>147</v>
      </c>
      <c r="N433" s="311" t="s">
        <v>97</v>
      </c>
      <c r="O433" s="311" t="s">
        <v>169</v>
      </c>
      <c r="P433" s="329" t="s">
        <v>1531</v>
      </c>
      <c r="Q433" s="330" t="s">
        <v>1369</v>
      </c>
      <c r="R433" s="154">
        <v>0</v>
      </c>
      <c r="S433" s="155">
        <v>0</v>
      </c>
      <c r="T433" s="155">
        <v>0</v>
      </c>
      <c r="U433" s="263">
        <v>1</v>
      </c>
      <c r="V433" s="155">
        <f>0</f>
        <v>0</v>
      </c>
      <c r="W433" s="155">
        <f>0</f>
        <v>0</v>
      </c>
      <c r="X433" s="155">
        <f>0</f>
        <v>0</v>
      </c>
      <c r="Y433" s="155">
        <f>0</f>
        <v>0</v>
      </c>
      <c r="Z433" s="155">
        <f>0</f>
        <v>0</v>
      </c>
      <c r="AA433" s="155">
        <f>0</f>
        <v>0</v>
      </c>
      <c r="AB433" s="155">
        <f>0</f>
        <v>0</v>
      </c>
      <c r="AC433" s="155">
        <f>0</f>
        <v>0</v>
      </c>
      <c r="AD433" s="155">
        <f>0</f>
        <v>0</v>
      </c>
      <c r="AE433" s="155">
        <f>0</f>
        <v>0</v>
      </c>
      <c r="AF433" s="155">
        <f>0</f>
        <v>0</v>
      </c>
      <c r="AG433" s="155">
        <f>0</f>
        <v>0</v>
      </c>
      <c r="AH433" s="155">
        <f>0</f>
        <v>0</v>
      </c>
      <c r="AI433" s="155">
        <f>0</f>
        <v>0</v>
      </c>
      <c r="AJ433" s="155">
        <f>0</f>
        <v>0</v>
      </c>
      <c r="AK433" s="155">
        <f>0</f>
        <v>0</v>
      </c>
      <c r="AL433" s="219">
        <f t="shared" si="21"/>
        <v>1</v>
      </c>
      <c r="AM433" s="103">
        <v>1</v>
      </c>
      <c r="AN433" s="369">
        <f t="shared" si="22"/>
        <v>0</v>
      </c>
      <c r="AO433" s="331">
        <v>45041</v>
      </c>
      <c r="AP433" s="317" t="s">
        <v>192</v>
      </c>
      <c r="AQ433" s="340" t="s">
        <v>1538</v>
      </c>
      <c r="AR433" s="332" t="s">
        <v>194</v>
      </c>
      <c r="AS433" s="321"/>
      <c r="AT433" s="318"/>
      <c r="AU433" s="318"/>
      <c r="AV433" s="317">
        <f t="shared" si="23"/>
        <v>0</v>
      </c>
      <c r="AW433" s="318" t="s">
        <v>195</v>
      </c>
      <c r="AX433" s="333"/>
      <c r="AY433" s="333"/>
      <c r="AZ433" s="320"/>
      <c r="BA433" s="174"/>
      <c r="BB433" s="174"/>
      <c r="BC433" s="174"/>
    </row>
    <row r="434" spans="1:55" ht="28" customHeight="1">
      <c r="A434" s="195">
        <v>430</v>
      </c>
      <c r="B434" s="315">
        <v>45033</v>
      </c>
      <c r="C434" s="222" t="s">
        <v>198</v>
      </c>
      <c r="D434" s="222" t="s">
        <v>199</v>
      </c>
      <c r="E434" s="222" t="s">
        <v>200</v>
      </c>
      <c r="F434" s="371" t="s">
        <v>123</v>
      </c>
      <c r="G434" s="309" t="s">
        <v>1353</v>
      </c>
      <c r="H434" s="337" t="s">
        <v>129</v>
      </c>
      <c r="I434" s="311" t="s">
        <v>144</v>
      </c>
      <c r="J434" s="312" t="s">
        <v>1354</v>
      </c>
      <c r="K434" s="273" t="s">
        <v>97</v>
      </c>
      <c r="L434" s="273" t="s">
        <v>146</v>
      </c>
      <c r="M434" s="311" t="s">
        <v>147</v>
      </c>
      <c r="N434" s="311" t="s">
        <v>97</v>
      </c>
      <c r="O434" s="311" t="s">
        <v>148</v>
      </c>
      <c r="P434" s="329"/>
      <c r="Q434" s="330" t="s">
        <v>1369</v>
      </c>
      <c r="R434" s="154">
        <v>0</v>
      </c>
      <c r="S434" s="155">
        <v>0</v>
      </c>
      <c r="T434" s="155">
        <v>0</v>
      </c>
      <c r="U434" s="263">
        <v>1</v>
      </c>
      <c r="V434" s="155">
        <f>0</f>
        <v>0</v>
      </c>
      <c r="W434" s="155">
        <f>0</f>
        <v>0</v>
      </c>
      <c r="X434" s="155">
        <f>0</f>
        <v>0</v>
      </c>
      <c r="Y434" s="155">
        <f>0</f>
        <v>0</v>
      </c>
      <c r="Z434" s="155">
        <f>0</f>
        <v>0</v>
      </c>
      <c r="AA434" s="155">
        <f>0</f>
        <v>0</v>
      </c>
      <c r="AB434" s="155">
        <f>0</f>
        <v>0</v>
      </c>
      <c r="AC434" s="155">
        <f>0</f>
        <v>0</v>
      </c>
      <c r="AD434" s="155">
        <f>0</f>
        <v>0</v>
      </c>
      <c r="AE434" s="155">
        <f>0</f>
        <v>0</v>
      </c>
      <c r="AF434" s="155">
        <f>0</f>
        <v>0</v>
      </c>
      <c r="AG434" s="155">
        <f>0</f>
        <v>0</v>
      </c>
      <c r="AH434" s="155">
        <f>0</f>
        <v>0</v>
      </c>
      <c r="AI434" s="155">
        <f>0</f>
        <v>0</v>
      </c>
      <c r="AJ434" s="155">
        <f>0</f>
        <v>0</v>
      </c>
      <c r="AK434" s="155">
        <f>0</f>
        <v>0</v>
      </c>
      <c r="AL434" s="219">
        <f t="shared" si="21"/>
        <v>1</v>
      </c>
      <c r="AM434" s="103"/>
      <c r="AN434" s="326">
        <f t="shared" si="22"/>
        <v>1</v>
      </c>
      <c r="AO434" s="331">
        <v>45041</v>
      </c>
      <c r="AP434" s="317" t="s">
        <v>192</v>
      </c>
      <c r="AQ434" s="340" t="s">
        <v>1538</v>
      </c>
      <c r="AR434" s="332" t="s">
        <v>194</v>
      </c>
      <c r="AS434" s="321"/>
      <c r="AT434" s="318"/>
      <c r="AU434" s="318">
        <v>1</v>
      </c>
      <c r="AV434" s="317">
        <f t="shared" si="23"/>
        <v>0</v>
      </c>
      <c r="AW434" s="318" t="s">
        <v>195</v>
      </c>
      <c r="AX434" s="333"/>
      <c r="AY434" s="333"/>
      <c r="AZ434" s="341"/>
      <c r="BA434" s="174"/>
      <c r="BB434" s="174"/>
      <c r="BC434" s="174"/>
    </row>
    <row r="435" spans="1:55" ht="28" customHeight="1">
      <c r="A435" s="195">
        <v>431</v>
      </c>
      <c r="B435" s="315">
        <v>45033</v>
      </c>
      <c r="C435" s="222" t="s">
        <v>198</v>
      </c>
      <c r="D435" s="222" t="s">
        <v>199</v>
      </c>
      <c r="E435" s="222" t="s">
        <v>200</v>
      </c>
      <c r="F435" s="371" t="s">
        <v>123</v>
      </c>
      <c r="G435" s="309" t="s">
        <v>1355</v>
      </c>
      <c r="H435" s="337" t="s">
        <v>129</v>
      </c>
      <c r="I435" s="311" t="s">
        <v>172</v>
      </c>
      <c r="J435" s="312" t="s">
        <v>1356</v>
      </c>
      <c r="K435" s="273" t="s">
        <v>97</v>
      </c>
      <c r="L435" s="273" t="s">
        <v>168</v>
      </c>
      <c r="M435" s="311" t="s">
        <v>147</v>
      </c>
      <c r="N435" s="311" t="s">
        <v>97</v>
      </c>
      <c r="O435" s="311" t="s">
        <v>169</v>
      </c>
      <c r="P435" s="329" t="s">
        <v>1531</v>
      </c>
      <c r="Q435" s="330" t="s">
        <v>1369</v>
      </c>
      <c r="R435" s="154">
        <v>0</v>
      </c>
      <c r="S435" s="155">
        <v>0</v>
      </c>
      <c r="T435" s="155">
        <v>0</v>
      </c>
      <c r="U435" s="263">
        <v>1</v>
      </c>
      <c r="V435" s="155">
        <f>0</f>
        <v>0</v>
      </c>
      <c r="W435" s="155">
        <f>0</f>
        <v>0</v>
      </c>
      <c r="X435" s="155">
        <f>0</f>
        <v>0</v>
      </c>
      <c r="Y435" s="155">
        <f>0</f>
        <v>0</v>
      </c>
      <c r="Z435" s="155">
        <f>0</f>
        <v>0</v>
      </c>
      <c r="AA435" s="155">
        <f>0</f>
        <v>0</v>
      </c>
      <c r="AB435" s="155">
        <f>0</f>
        <v>0</v>
      </c>
      <c r="AC435" s="155">
        <f>0</f>
        <v>0</v>
      </c>
      <c r="AD435" s="155">
        <f>0</f>
        <v>0</v>
      </c>
      <c r="AE435" s="155">
        <f>0</f>
        <v>0</v>
      </c>
      <c r="AF435" s="155">
        <f>0</f>
        <v>0</v>
      </c>
      <c r="AG435" s="155">
        <f>0</f>
        <v>0</v>
      </c>
      <c r="AH435" s="155">
        <f>0</f>
        <v>0</v>
      </c>
      <c r="AI435" s="155">
        <f>0</f>
        <v>0</v>
      </c>
      <c r="AJ435" s="155">
        <f>0</f>
        <v>0</v>
      </c>
      <c r="AK435" s="155">
        <f>0</f>
        <v>0</v>
      </c>
      <c r="AL435" s="219">
        <f t="shared" si="21"/>
        <v>1</v>
      </c>
      <c r="AM435" s="103">
        <v>1</v>
      </c>
      <c r="AN435" s="369">
        <f t="shared" si="22"/>
        <v>0</v>
      </c>
      <c r="AO435" s="331">
        <v>45041</v>
      </c>
      <c r="AP435" s="317" t="s">
        <v>192</v>
      </c>
      <c r="AQ435" s="340" t="s">
        <v>1538</v>
      </c>
      <c r="AR435" s="332" t="s">
        <v>194</v>
      </c>
      <c r="AS435" s="321"/>
      <c r="AT435" s="318"/>
      <c r="AU435" s="318"/>
      <c r="AV435" s="317">
        <f t="shared" si="23"/>
        <v>0</v>
      </c>
      <c r="AW435" s="318" t="s">
        <v>195</v>
      </c>
      <c r="AX435" s="333"/>
      <c r="AY435" s="333"/>
      <c r="AZ435" s="320"/>
      <c r="BA435" s="174"/>
      <c r="BB435" s="174"/>
      <c r="BC435" s="174"/>
    </row>
    <row r="436" spans="1:55" ht="28" customHeight="1">
      <c r="A436" s="195">
        <v>432</v>
      </c>
      <c r="B436" s="315">
        <v>45033</v>
      </c>
      <c r="C436" s="222" t="s">
        <v>198</v>
      </c>
      <c r="D436" s="222" t="s">
        <v>199</v>
      </c>
      <c r="E436" s="222" t="s">
        <v>200</v>
      </c>
      <c r="F436" s="371" t="s">
        <v>123</v>
      </c>
      <c r="G436" s="309" t="s">
        <v>1357</v>
      </c>
      <c r="H436" s="337" t="s">
        <v>129</v>
      </c>
      <c r="I436" s="311" t="s">
        <v>157</v>
      </c>
      <c r="J436" s="312" t="s">
        <v>1358</v>
      </c>
      <c r="K436" s="273" t="s">
        <v>97</v>
      </c>
      <c r="L436" s="273" t="s">
        <v>159</v>
      </c>
      <c r="M436" s="311" t="s">
        <v>156</v>
      </c>
      <c r="N436" s="311" t="s">
        <v>97</v>
      </c>
      <c r="O436" s="311" t="s">
        <v>160</v>
      </c>
      <c r="P436" s="329"/>
      <c r="Q436" s="330" t="s">
        <v>1369</v>
      </c>
      <c r="R436" s="154">
        <v>0</v>
      </c>
      <c r="S436" s="155">
        <v>0</v>
      </c>
      <c r="T436" s="155">
        <v>0</v>
      </c>
      <c r="U436" s="263">
        <v>1</v>
      </c>
      <c r="V436" s="155">
        <f>0</f>
        <v>0</v>
      </c>
      <c r="W436" s="155">
        <f>0</f>
        <v>0</v>
      </c>
      <c r="X436" s="155">
        <f>0</f>
        <v>0</v>
      </c>
      <c r="Y436" s="155">
        <f>0</f>
        <v>0</v>
      </c>
      <c r="Z436" s="155">
        <f>0</f>
        <v>0</v>
      </c>
      <c r="AA436" s="155">
        <f>0</f>
        <v>0</v>
      </c>
      <c r="AB436" s="155">
        <f>0</f>
        <v>0</v>
      </c>
      <c r="AC436" s="155">
        <f>0</f>
        <v>0</v>
      </c>
      <c r="AD436" s="155">
        <f>0</f>
        <v>0</v>
      </c>
      <c r="AE436" s="155">
        <f>0</f>
        <v>0</v>
      </c>
      <c r="AF436" s="155">
        <f>0</f>
        <v>0</v>
      </c>
      <c r="AG436" s="155">
        <f>0</f>
        <v>0</v>
      </c>
      <c r="AH436" s="155">
        <f>0</f>
        <v>0</v>
      </c>
      <c r="AI436" s="155">
        <f>0</f>
        <v>0</v>
      </c>
      <c r="AJ436" s="155">
        <f>0</f>
        <v>0</v>
      </c>
      <c r="AK436" s="155">
        <f>0</f>
        <v>0</v>
      </c>
      <c r="AL436" s="219">
        <f t="shared" si="21"/>
        <v>1</v>
      </c>
      <c r="AM436" s="103"/>
      <c r="AN436" s="326">
        <f t="shared" si="22"/>
        <v>1</v>
      </c>
      <c r="AO436" s="331">
        <v>45041</v>
      </c>
      <c r="AP436" s="317" t="s">
        <v>192</v>
      </c>
      <c r="AQ436" s="340" t="s">
        <v>1537</v>
      </c>
      <c r="AR436" s="332" t="s">
        <v>197</v>
      </c>
      <c r="AS436" s="321"/>
      <c r="AT436" s="318"/>
      <c r="AU436" s="318">
        <v>1</v>
      </c>
      <c r="AV436" s="317">
        <f t="shared" si="23"/>
        <v>0</v>
      </c>
      <c r="AW436" s="318" t="s">
        <v>195</v>
      </c>
      <c r="AX436" s="333"/>
      <c r="AY436" s="333"/>
      <c r="AZ436" s="341"/>
      <c r="BA436" s="174"/>
      <c r="BB436" s="174"/>
      <c r="BC436" s="174"/>
    </row>
    <row r="437" spans="1:55" ht="28" customHeight="1">
      <c r="A437" s="195">
        <v>433</v>
      </c>
      <c r="B437" s="315">
        <v>45033</v>
      </c>
      <c r="C437" s="222" t="s">
        <v>198</v>
      </c>
      <c r="D437" s="222" t="s">
        <v>199</v>
      </c>
      <c r="E437" s="222" t="s">
        <v>200</v>
      </c>
      <c r="F437" s="371" t="s">
        <v>123</v>
      </c>
      <c r="G437" s="309" t="s">
        <v>1359</v>
      </c>
      <c r="H437" s="337" t="s">
        <v>129</v>
      </c>
      <c r="I437" s="311" t="s">
        <v>144</v>
      </c>
      <c r="J437" s="312" t="s">
        <v>1360</v>
      </c>
      <c r="K437" s="273" t="s">
        <v>97</v>
      </c>
      <c r="L437" s="273" t="s">
        <v>146</v>
      </c>
      <c r="M437" s="311" t="s">
        <v>147</v>
      </c>
      <c r="N437" s="311" t="s">
        <v>97</v>
      </c>
      <c r="O437" s="311" t="s">
        <v>148</v>
      </c>
      <c r="P437" s="329"/>
      <c r="Q437" s="330" t="s">
        <v>1369</v>
      </c>
      <c r="R437" s="154">
        <v>0</v>
      </c>
      <c r="S437" s="155">
        <v>0</v>
      </c>
      <c r="T437" s="155">
        <v>0</v>
      </c>
      <c r="U437" s="263">
        <v>1</v>
      </c>
      <c r="V437" s="155">
        <f>0</f>
        <v>0</v>
      </c>
      <c r="W437" s="155">
        <f>0</f>
        <v>0</v>
      </c>
      <c r="X437" s="155">
        <f>0</f>
        <v>0</v>
      </c>
      <c r="Y437" s="155">
        <f>0</f>
        <v>0</v>
      </c>
      <c r="Z437" s="155">
        <f>0</f>
        <v>0</v>
      </c>
      <c r="AA437" s="155">
        <f>0</f>
        <v>0</v>
      </c>
      <c r="AB437" s="155">
        <f>0</f>
        <v>0</v>
      </c>
      <c r="AC437" s="155">
        <f>0</f>
        <v>0</v>
      </c>
      <c r="AD437" s="155">
        <f>0</f>
        <v>0</v>
      </c>
      <c r="AE437" s="155">
        <f>0</f>
        <v>0</v>
      </c>
      <c r="AF437" s="155">
        <f>0</f>
        <v>0</v>
      </c>
      <c r="AG437" s="155">
        <f>0</f>
        <v>0</v>
      </c>
      <c r="AH437" s="155">
        <f>0</f>
        <v>0</v>
      </c>
      <c r="AI437" s="155">
        <f>0</f>
        <v>0</v>
      </c>
      <c r="AJ437" s="155">
        <f>0</f>
        <v>0</v>
      </c>
      <c r="AK437" s="155">
        <f>0</f>
        <v>0</v>
      </c>
      <c r="AL437" s="219">
        <f t="shared" si="21"/>
        <v>1</v>
      </c>
      <c r="AM437" s="103"/>
      <c r="AN437" s="326">
        <f t="shared" si="22"/>
        <v>1</v>
      </c>
      <c r="AO437" s="331">
        <v>45041</v>
      </c>
      <c r="AP437" s="317" t="s">
        <v>192</v>
      </c>
      <c r="AQ437" s="340" t="s">
        <v>1538</v>
      </c>
      <c r="AR437" s="332" t="s">
        <v>194</v>
      </c>
      <c r="AS437" s="321"/>
      <c r="AT437" s="318"/>
      <c r="AU437" s="318">
        <v>1</v>
      </c>
      <c r="AV437" s="317">
        <f t="shared" si="23"/>
        <v>0</v>
      </c>
      <c r="AW437" s="318" t="s">
        <v>195</v>
      </c>
      <c r="AX437" s="333"/>
      <c r="AY437" s="333"/>
      <c r="AZ437" s="320"/>
      <c r="BA437" s="174"/>
      <c r="BB437" s="174"/>
      <c r="BC437" s="174"/>
    </row>
    <row r="438" spans="1:55" ht="28" customHeight="1">
      <c r="A438" s="195">
        <v>434</v>
      </c>
      <c r="B438" s="315">
        <v>45033</v>
      </c>
      <c r="C438" s="222" t="s">
        <v>198</v>
      </c>
      <c r="D438" s="222" t="s">
        <v>199</v>
      </c>
      <c r="E438" s="222" t="s">
        <v>200</v>
      </c>
      <c r="F438" s="371" t="s">
        <v>123</v>
      </c>
      <c r="G438" s="309" t="s">
        <v>1361</v>
      </c>
      <c r="H438" s="337" t="s">
        <v>129</v>
      </c>
      <c r="I438" s="311" t="s">
        <v>174</v>
      </c>
      <c r="J438" s="312" t="s">
        <v>1362</v>
      </c>
      <c r="K438" s="273" t="s">
        <v>97</v>
      </c>
      <c r="L438" s="273" t="s">
        <v>176</v>
      </c>
      <c r="M438" s="311" t="s">
        <v>147</v>
      </c>
      <c r="N438" s="311" t="s">
        <v>97</v>
      </c>
      <c r="O438" s="311" t="s">
        <v>224</v>
      </c>
      <c r="P438" s="329"/>
      <c r="Q438" s="330" t="s">
        <v>1369</v>
      </c>
      <c r="R438" s="154">
        <v>0</v>
      </c>
      <c r="S438" s="155">
        <v>0</v>
      </c>
      <c r="T438" s="155">
        <v>0</v>
      </c>
      <c r="U438" s="263">
        <v>1</v>
      </c>
      <c r="V438" s="155">
        <f>0</f>
        <v>0</v>
      </c>
      <c r="W438" s="155">
        <f>0</f>
        <v>0</v>
      </c>
      <c r="X438" s="155">
        <f>0</f>
        <v>0</v>
      </c>
      <c r="Y438" s="155">
        <f>0</f>
        <v>0</v>
      </c>
      <c r="Z438" s="155">
        <f>0</f>
        <v>0</v>
      </c>
      <c r="AA438" s="155">
        <f>0</f>
        <v>0</v>
      </c>
      <c r="AB438" s="155">
        <f>0</f>
        <v>0</v>
      </c>
      <c r="AC438" s="155">
        <f>0</f>
        <v>0</v>
      </c>
      <c r="AD438" s="155">
        <f>0</f>
        <v>0</v>
      </c>
      <c r="AE438" s="155">
        <f>0</f>
        <v>0</v>
      </c>
      <c r="AF438" s="155">
        <f>0</f>
        <v>0</v>
      </c>
      <c r="AG438" s="155">
        <f>0</f>
        <v>0</v>
      </c>
      <c r="AH438" s="155">
        <f>0</f>
        <v>0</v>
      </c>
      <c r="AI438" s="155">
        <f>0</f>
        <v>0</v>
      </c>
      <c r="AJ438" s="155">
        <f>0</f>
        <v>0</v>
      </c>
      <c r="AK438" s="155">
        <f>0</f>
        <v>0</v>
      </c>
      <c r="AL438" s="219">
        <f t="shared" si="21"/>
        <v>1</v>
      </c>
      <c r="AM438" s="103"/>
      <c r="AN438" s="326">
        <f t="shared" si="22"/>
        <v>1</v>
      </c>
      <c r="AO438" s="331">
        <v>45041</v>
      </c>
      <c r="AP438" s="317" t="s">
        <v>192</v>
      </c>
      <c r="AQ438" s="340" t="s">
        <v>1538</v>
      </c>
      <c r="AR438" s="332" t="s">
        <v>194</v>
      </c>
      <c r="AS438" s="321"/>
      <c r="AT438" s="318"/>
      <c r="AU438" s="318">
        <v>1</v>
      </c>
      <c r="AV438" s="317">
        <f t="shared" si="23"/>
        <v>0</v>
      </c>
      <c r="AW438" s="318" t="s">
        <v>195</v>
      </c>
      <c r="AX438" s="333"/>
      <c r="AY438" s="333"/>
      <c r="AZ438" s="341"/>
      <c r="BA438" s="174"/>
      <c r="BB438" s="174"/>
      <c r="BC438" s="174"/>
    </row>
    <row r="439" spans="1:55" ht="28" customHeight="1">
      <c r="A439" s="195">
        <v>435</v>
      </c>
      <c r="B439" s="315">
        <v>45033</v>
      </c>
      <c r="C439" s="222" t="s">
        <v>198</v>
      </c>
      <c r="D439" s="222" t="s">
        <v>199</v>
      </c>
      <c r="E439" s="222" t="s">
        <v>200</v>
      </c>
      <c r="F439" s="371" t="s">
        <v>123</v>
      </c>
      <c r="G439" s="309" t="s">
        <v>1363</v>
      </c>
      <c r="H439" s="337" t="s">
        <v>129</v>
      </c>
      <c r="I439" s="311" t="s">
        <v>163</v>
      </c>
      <c r="J439" s="312" t="s">
        <v>1364</v>
      </c>
      <c r="K439" s="273" t="s">
        <v>97</v>
      </c>
      <c r="L439" s="273" t="s">
        <v>165</v>
      </c>
      <c r="M439" s="311" t="s">
        <v>147</v>
      </c>
      <c r="N439" s="311" t="s">
        <v>97</v>
      </c>
      <c r="O439" s="311" t="s">
        <v>224</v>
      </c>
      <c r="P439" s="329"/>
      <c r="Q439" s="330" t="s">
        <v>1369</v>
      </c>
      <c r="R439" s="154">
        <v>0</v>
      </c>
      <c r="S439" s="155">
        <v>0</v>
      </c>
      <c r="T439" s="155">
        <v>0</v>
      </c>
      <c r="U439" s="263">
        <v>1</v>
      </c>
      <c r="V439" s="155">
        <f>0</f>
        <v>0</v>
      </c>
      <c r="W439" s="155">
        <f>0</f>
        <v>0</v>
      </c>
      <c r="X439" s="155">
        <f>0</f>
        <v>0</v>
      </c>
      <c r="Y439" s="155">
        <f>0</f>
        <v>0</v>
      </c>
      <c r="Z439" s="155">
        <f>0</f>
        <v>0</v>
      </c>
      <c r="AA439" s="155">
        <f>0</f>
        <v>0</v>
      </c>
      <c r="AB439" s="155">
        <f>0</f>
        <v>0</v>
      </c>
      <c r="AC439" s="155">
        <f>0</f>
        <v>0</v>
      </c>
      <c r="AD439" s="155">
        <f>0</f>
        <v>0</v>
      </c>
      <c r="AE439" s="155">
        <f>0</f>
        <v>0</v>
      </c>
      <c r="AF439" s="155">
        <f>0</f>
        <v>0</v>
      </c>
      <c r="AG439" s="155">
        <f>0</f>
        <v>0</v>
      </c>
      <c r="AH439" s="155">
        <f>0</f>
        <v>0</v>
      </c>
      <c r="AI439" s="155">
        <f>0</f>
        <v>0</v>
      </c>
      <c r="AJ439" s="155">
        <f>0</f>
        <v>0</v>
      </c>
      <c r="AK439" s="155">
        <f>0</f>
        <v>0</v>
      </c>
      <c r="AL439" s="219">
        <f t="shared" si="21"/>
        <v>1</v>
      </c>
      <c r="AM439" s="103"/>
      <c r="AN439" s="326">
        <f t="shared" si="22"/>
        <v>1</v>
      </c>
      <c r="AO439" s="331">
        <v>45041</v>
      </c>
      <c r="AP439" s="317" t="s">
        <v>192</v>
      </c>
      <c r="AQ439" s="340" t="s">
        <v>1538</v>
      </c>
      <c r="AR439" s="332" t="s">
        <v>194</v>
      </c>
      <c r="AS439" s="321"/>
      <c r="AT439" s="318"/>
      <c r="AU439" s="318">
        <v>1</v>
      </c>
      <c r="AV439" s="317">
        <f t="shared" si="23"/>
        <v>0</v>
      </c>
      <c r="AW439" s="318" t="s">
        <v>195</v>
      </c>
      <c r="AX439" s="333"/>
      <c r="AY439" s="333"/>
      <c r="AZ439" s="320"/>
      <c r="BA439" s="174"/>
      <c r="BB439" s="174"/>
      <c r="BC439" s="174"/>
    </row>
    <row r="440" spans="1:55" ht="28" customHeight="1">
      <c r="A440" s="195">
        <v>436</v>
      </c>
      <c r="B440" s="315">
        <v>45033</v>
      </c>
      <c r="C440" s="222" t="s">
        <v>198</v>
      </c>
      <c r="D440" s="222" t="s">
        <v>199</v>
      </c>
      <c r="E440" s="222" t="s">
        <v>200</v>
      </c>
      <c r="F440" s="371" t="s">
        <v>123</v>
      </c>
      <c r="G440" s="309" t="s">
        <v>1365</v>
      </c>
      <c r="H440" s="337" t="s">
        <v>129</v>
      </c>
      <c r="I440" s="311" t="s">
        <v>144</v>
      </c>
      <c r="J440" s="312" t="s">
        <v>1366</v>
      </c>
      <c r="K440" s="273" t="s">
        <v>97</v>
      </c>
      <c r="L440" s="273" t="s">
        <v>168</v>
      </c>
      <c r="M440" s="311" t="s">
        <v>147</v>
      </c>
      <c r="N440" s="311" t="s">
        <v>97</v>
      </c>
      <c r="O440" s="311" t="s">
        <v>169</v>
      </c>
      <c r="P440" s="329" t="s">
        <v>1532</v>
      </c>
      <c r="Q440" s="330" t="s">
        <v>1369</v>
      </c>
      <c r="R440" s="154">
        <v>0</v>
      </c>
      <c r="S440" s="155">
        <v>0</v>
      </c>
      <c r="T440" s="155">
        <v>0</v>
      </c>
      <c r="U440" s="263">
        <v>1</v>
      </c>
      <c r="V440" s="155">
        <f>0</f>
        <v>0</v>
      </c>
      <c r="W440" s="155">
        <f>0</f>
        <v>0</v>
      </c>
      <c r="X440" s="155">
        <f>0</f>
        <v>0</v>
      </c>
      <c r="Y440" s="155">
        <f>0</f>
        <v>0</v>
      </c>
      <c r="Z440" s="155">
        <f>0</f>
        <v>0</v>
      </c>
      <c r="AA440" s="155">
        <f>0</f>
        <v>0</v>
      </c>
      <c r="AB440" s="155">
        <f>0</f>
        <v>0</v>
      </c>
      <c r="AC440" s="155">
        <f>0</f>
        <v>0</v>
      </c>
      <c r="AD440" s="155">
        <f>0</f>
        <v>0</v>
      </c>
      <c r="AE440" s="155">
        <f>0</f>
        <v>0</v>
      </c>
      <c r="AF440" s="155">
        <f>0</f>
        <v>0</v>
      </c>
      <c r="AG440" s="155">
        <f>0</f>
        <v>0</v>
      </c>
      <c r="AH440" s="155">
        <f>0</f>
        <v>0</v>
      </c>
      <c r="AI440" s="155">
        <f>0</f>
        <v>0</v>
      </c>
      <c r="AJ440" s="155">
        <f>0</f>
        <v>0</v>
      </c>
      <c r="AK440" s="155">
        <f>0</f>
        <v>0</v>
      </c>
      <c r="AL440" s="219">
        <f t="shared" si="21"/>
        <v>1</v>
      </c>
      <c r="AM440" s="103"/>
      <c r="AN440" s="326">
        <f t="shared" si="22"/>
        <v>1</v>
      </c>
      <c r="AO440" s="331">
        <v>45041</v>
      </c>
      <c r="AP440" s="317" t="s">
        <v>192</v>
      </c>
      <c r="AQ440" s="340" t="s">
        <v>1538</v>
      </c>
      <c r="AR440" s="332" t="s">
        <v>194</v>
      </c>
      <c r="AS440" s="321"/>
      <c r="AT440" s="318"/>
      <c r="AU440" s="318">
        <v>1</v>
      </c>
      <c r="AV440" s="317">
        <f t="shared" si="23"/>
        <v>0</v>
      </c>
      <c r="AW440" s="318" t="s">
        <v>195</v>
      </c>
      <c r="AX440" s="333"/>
      <c r="AY440" s="333"/>
      <c r="AZ440" s="341"/>
      <c r="BA440" s="174"/>
      <c r="BB440" s="174"/>
      <c r="BC440" s="174"/>
    </row>
    <row r="441" spans="1:55" ht="28" customHeight="1">
      <c r="A441" s="271">
        <v>437</v>
      </c>
      <c r="B441" s="274">
        <v>45033</v>
      </c>
      <c r="C441" s="222" t="s">
        <v>198</v>
      </c>
      <c r="D441" s="222" t="s">
        <v>199</v>
      </c>
      <c r="E441" s="222" t="s">
        <v>200</v>
      </c>
      <c r="F441" s="265" t="s">
        <v>123</v>
      </c>
      <c r="G441" s="267" t="s">
        <v>1367</v>
      </c>
      <c r="H441" s="275" t="s">
        <v>129</v>
      </c>
      <c r="I441" s="111" t="s">
        <v>153</v>
      </c>
      <c r="J441" s="269" t="s">
        <v>1368</v>
      </c>
      <c r="K441" s="112" t="s">
        <v>97</v>
      </c>
      <c r="L441" s="112" t="s">
        <v>234</v>
      </c>
      <c r="M441" s="111" t="s">
        <v>156</v>
      </c>
      <c r="N441" s="111" t="s">
        <v>97</v>
      </c>
      <c r="O441" s="138" t="s">
        <v>97</v>
      </c>
      <c r="P441" s="325" t="s">
        <v>1531</v>
      </c>
      <c r="Q441" s="323" t="s">
        <v>1369</v>
      </c>
      <c r="R441" s="154">
        <v>0</v>
      </c>
      <c r="S441" s="155">
        <v>0</v>
      </c>
      <c r="T441" s="155">
        <v>0</v>
      </c>
      <c r="U441" s="263">
        <v>1</v>
      </c>
      <c r="V441" s="155">
        <f>0</f>
        <v>0</v>
      </c>
      <c r="W441" s="155">
        <f>0</f>
        <v>0</v>
      </c>
      <c r="X441" s="155">
        <f>0</f>
        <v>0</v>
      </c>
      <c r="Y441" s="155">
        <f>0</f>
        <v>0</v>
      </c>
      <c r="Z441" s="155">
        <f>0</f>
        <v>0</v>
      </c>
      <c r="AA441" s="155">
        <f>0</f>
        <v>0</v>
      </c>
      <c r="AB441" s="155">
        <f>0</f>
        <v>0</v>
      </c>
      <c r="AC441" s="155">
        <f>0</f>
        <v>0</v>
      </c>
      <c r="AD441" s="155">
        <f>0</f>
        <v>0</v>
      </c>
      <c r="AE441" s="155">
        <f>0</f>
        <v>0</v>
      </c>
      <c r="AF441" s="155">
        <f>0</f>
        <v>0</v>
      </c>
      <c r="AG441" s="155">
        <f>0</f>
        <v>0</v>
      </c>
      <c r="AH441" s="155">
        <f>0</f>
        <v>0</v>
      </c>
      <c r="AI441" s="155">
        <f>0</f>
        <v>0</v>
      </c>
      <c r="AJ441" s="155">
        <f>0</f>
        <v>0</v>
      </c>
      <c r="AK441" s="155">
        <f>0</f>
        <v>0</v>
      </c>
      <c r="AL441" s="219">
        <f t="shared" si="21"/>
        <v>1</v>
      </c>
      <c r="AM441" s="103">
        <v>1</v>
      </c>
      <c r="AN441" s="369">
        <f t="shared" si="22"/>
        <v>0</v>
      </c>
      <c r="AO441" s="276"/>
      <c r="AP441" s="277" t="s">
        <v>192</v>
      </c>
      <c r="AQ441" s="284"/>
      <c r="AR441" s="277" t="s">
        <v>50</v>
      </c>
      <c r="AS441" s="277"/>
      <c r="AT441" s="279"/>
      <c r="AU441" s="279"/>
      <c r="AV441" s="277">
        <f t="shared" si="23"/>
        <v>0</v>
      </c>
      <c r="AW441" s="279"/>
      <c r="AX441" s="324"/>
      <c r="AY441" s="324"/>
      <c r="AZ441" s="281"/>
    </row>
    <row r="442" spans="1:55" ht="28" customHeight="1">
      <c r="A442" s="195">
        <v>438</v>
      </c>
      <c r="B442" s="315">
        <v>45033</v>
      </c>
      <c r="C442" s="222" t="s">
        <v>198</v>
      </c>
      <c r="D442" s="222" t="s">
        <v>199</v>
      </c>
      <c r="E442" s="222" t="s">
        <v>200</v>
      </c>
      <c r="F442" s="371" t="s">
        <v>123</v>
      </c>
      <c r="G442" s="309" t="s">
        <v>1370</v>
      </c>
      <c r="H442" s="337" t="s">
        <v>129</v>
      </c>
      <c r="I442" s="311" t="s">
        <v>1371</v>
      </c>
      <c r="J442" s="312" t="s">
        <v>1372</v>
      </c>
      <c r="K442" s="273"/>
      <c r="L442" s="273" t="s">
        <v>168</v>
      </c>
      <c r="M442" s="311" t="s">
        <v>147</v>
      </c>
      <c r="N442" s="311" t="s">
        <v>697</v>
      </c>
      <c r="O442" s="311"/>
      <c r="P442" s="329"/>
      <c r="Q442" s="330" t="s">
        <v>726</v>
      </c>
      <c r="R442" s="154">
        <v>0</v>
      </c>
      <c r="S442" s="155">
        <v>0</v>
      </c>
      <c r="T442" s="155">
        <v>0</v>
      </c>
      <c r="U442" s="263">
        <v>4</v>
      </c>
      <c r="V442" s="155">
        <v>0</v>
      </c>
      <c r="W442" s="155">
        <v>0</v>
      </c>
      <c r="X442" s="155">
        <v>0</v>
      </c>
      <c r="Y442" s="155">
        <v>0</v>
      </c>
      <c r="Z442" s="155">
        <v>0</v>
      </c>
      <c r="AA442" s="155">
        <v>0</v>
      </c>
      <c r="AB442" s="155">
        <v>0</v>
      </c>
      <c r="AC442" s="155">
        <v>0</v>
      </c>
      <c r="AD442" s="155">
        <v>0</v>
      </c>
      <c r="AE442" s="155">
        <v>0</v>
      </c>
      <c r="AF442" s="155">
        <v>0</v>
      </c>
      <c r="AG442" s="155">
        <f>0</f>
        <v>0</v>
      </c>
      <c r="AH442" s="155">
        <f>0</f>
        <v>0</v>
      </c>
      <c r="AI442" s="155">
        <f>0</f>
        <v>0</v>
      </c>
      <c r="AJ442" s="155">
        <f>0</f>
        <v>0</v>
      </c>
      <c r="AK442" s="155">
        <f>0</f>
        <v>0</v>
      </c>
      <c r="AL442" s="219">
        <f t="shared" si="21"/>
        <v>4</v>
      </c>
      <c r="AM442" s="103"/>
      <c r="AN442" s="326">
        <f t="shared" si="22"/>
        <v>4</v>
      </c>
      <c r="AO442" s="331">
        <v>45041</v>
      </c>
      <c r="AP442" s="317" t="s">
        <v>192</v>
      </c>
      <c r="AQ442" s="340" t="s">
        <v>1538</v>
      </c>
      <c r="AR442" s="332" t="s">
        <v>194</v>
      </c>
      <c r="AS442" s="321"/>
      <c r="AT442" s="318"/>
      <c r="AU442" s="318">
        <v>4</v>
      </c>
      <c r="AV442" s="317">
        <f t="shared" si="23"/>
        <v>0</v>
      </c>
      <c r="AW442" s="318" t="s">
        <v>195</v>
      </c>
      <c r="AX442" s="333"/>
      <c r="AY442" s="333"/>
      <c r="AZ442" s="341"/>
      <c r="BA442" s="174"/>
      <c r="BB442" s="174"/>
      <c r="BC442" s="174"/>
    </row>
    <row r="443" spans="1:55" ht="28" customHeight="1">
      <c r="A443" s="195">
        <v>439</v>
      </c>
      <c r="B443" s="315">
        <v>45033</v>
      </c>
      <c r="C443" s="222" t="s">
        <v>198</v>
      </c>
      <c r="D443" s="222" t="s">
        <v>199</v>
      </c>
      <c r="E443" s="222" t="s">
        <v>200</v>
      </c>
      <c r="F443" s="371" t="s">
        <v>123</v>
      </c>
      <c r="G443" s="309" t="s">
        <v>1373</v>
      </c>
      <c r="H443" s="337" t="s">
        <v>129</v>
      </c>
      <c r="I443" s="311" t="s">
        <v>1374</v>
      </c>
      <c r="J443" s="312" t="s">
        <v>1375</v>
      </c>
      <c r="K443" s="273" t="s">
        <v>97</v>
      </c>
      <c r="L443" s="273" t="s">
        <v>168</v>
      </c>
      <c r="M443" s="311" t="s">
        <v>97</v>
      </c>
      <c r="N443" s="311" t="s">
        <v>97</v>
      </c>
      <c r="O443" s="311" t="s">
        <v>169</v>
      </c>
      <c r="P443" s="329"/>
      <c r="Q443" s="330" t="s">
        <v>726</v>
      </c>
      <c r="R443" s="154">
        <v>0</v>
      </c>
      <c r="S443" s="155">
        <v>0</v>
      </c>
      <c r="T443" s="155">
        <v>0</v>
      </c>
      <c r="U443" s="263">
        <v>4</v>
      </c>
      <c r="V443" s="155">
        <v>0</v>
      </c>
      <c r="W443" s="155">
        <v>0</v>
      </c>
      <c r="X443" s="155">
        <v>0</v>
      </c>
      <c r="Y443" s="155">
        <v>0</v>
      </c>
      <c r="Z443" s="155">
        <v>0</v>
      </c>
      <c r="AA443" s="155">
        <v>0</v>
      </c>
      <c r="AB443" s="155">
        <v>0</v>
      </c>
      <c r="AC443" s="155">
        <v>0</v>
      </c>
      <c r="AD443" s="155">
        <v>0</v>
      </c>
      <c r="AE443" s="155">
        <v>0</v>
      </c>
      <c r="AF443" s="155">
        <v>0</v>
      </c>
      <c r="AG443" s="155">
        <f>0</f>
        <v>0</v>
      </c>
      <c r="AH443" s="155">
        <f>0</f>
        <v>0</v>
      </c>
      <c r="AI443" s="155">
        <f>0</f>
        <v>0</v>
      </c>
      <c r="AJ443" s="155">
        <f>0</f>
        <v>0</v>
      </c>
      <c r="AK443" s="155">
        <f>0</f>
        <v>0</v>
      </c>
      <c r="AL443" s="219">
        <f t="shared" si="21"/>
        <v>4</v>
      </c>
      <c r="AM443" s="103"/>
      <c r="AN443" s="326">
        <f t="shared" si="22"/>
        <v>4</v>
      </c>
      <c r="AO443" s="331">
        <v>45041</v>
      </c>
      <c r="AP443" s="317" t="s">
        <v>192</v>
      </c>
      <c r="AQ443" s="340" t="s">
        <v>1538</v>
      </c>
      <c r="AR443" s="332" t="s">
        <v>194</v>
      </c>
      <c r="AS443" s="321"/>
      <c r="AT443" s="318"/>
      <c r="AU443" s="318">
        <v>4</v>
      </c>
      <c r="AV443" s="317">
        <f t="shared" si="23"/>
        <v>0</v>
      </c>
      <c r="AW443" s="318" t="s">
        <v>195</v>
      </c>
      <c r="AX443" s="333"/>
      <c r="AY443" s="333"/>
      <c r="AZ443" s="320"/>
      <c r="BA443" s="174"/>
      <c r="BB443" s="174"/>
      <c r="BC443" s="174"/>
    </row>
    <row r="444" spans="1:55" ht="28" customHeight="1">
      <c r="A444" s="195">
        <v>440</v>
      </c>
      <c r="B444" s="315">
        <v>45033</v>
      </c>
      <c r="C444" s="374" t="s">
        <v>198</v>
      </c>
      <c r="D444" s="374" t="s">
        <v>199</v>
      </c>
      <c r="E444" s="374" t="s">
        <v>200</v>
      </c>
      <c r="F444" s="371" t="s">
        <v>123</v>
      </c>
      <c r="G444" s="309" t="s">
        <v>1376</v>
      </c>
      <c r="H444" s="337" t="s">
        <v>129</v>
      </c>
      <c r="I444" s="311" t="s">
        <v>1377</v>
      </c>
      <c r="J444" s="312" t="s">
        <v>1378</v>
      </c>
      <c r="K444" s="112" t="s">
        <v>97</v>
      </c>
      <c r="L444" s="273" t="s">
        <v>168</v>
      </c>
      <c r="M444" s="311" t="s">
        <v>279</v>
      </c>
      <c r="N444" s="311" t="s">
        <v>697</v>
      </c>
      <c r="O444" s="311" t="s">
        <v>169</v>
      </c>
      <c r="P444" s="329"/>
      <c r="Q444" s="323" t="s">
        <v>726</v>
      </c>
      <c r="R444" s="154">
        <v>0</v>
      </c>
      <c r="S444" s="155">
        <v>0</v>
      </c>
      <c r="T444" s="155">
        <v>0</v>
      </c>
      <c r="U444" s="263">
        <v>4</v>
      </c>
      <c r="V444" s="155">
        <v>0</v>
      </c>
      <c r="W444" s="155">
        <v>0</v>
      </c>
      <c r="X444" s="155">
        <v>0</v>
      </c>
      <c r="Y444" s="155">
        <v>0</v>
      </c>
      <c r="Z444" s="155">
        <v>0</v>
      </c>
      <c r="AA444" s="155">
        <v>0</v>
      </c>
      <c r="AB444" s="155">
        <v>0</v>
      </c>
      <c r="AC444" s="155">
        <v>0</v>
      </c>
      <c r="AD444" s="155">
        <v>0</v>
      </c>
      <c r="AE444" s="155">
        <v>0</v>
      </c>
      <c r="AF444" s="155">
        <v>0</v>
      </c>
      <c r="AG444" s="155">
        <f>0</f>
        <v>0</v>
      </c>
      <c r="AH444" s="155">
        <f>0</f>
        <v>0</v>
      </c>
      <c r="AI444" s="155">
        <f>0</f>
        <v>0</v>
      </c>
      <c r="AJ444" s="155">
        <f>0</f>
        <v>0</v>
      </c>
      <c r="AK444" s="155">
        <f>0</f>
        <v>0</v>
      </c>
      <c r="AL444" s="219">
        <f t="shared" si="21"/>
        <v>4</v>
      </c>
      <c r="AM444" s="103"/>
      <c r="AN444" s="375">
        <f t="shared" si="22"/>
        <v>4</v>
      </c>
      <c r="AO444" s="331">
        <v>45057</v>
      </c>
      <c r="AP444" s="372" t="s">
        <v>192</v>
      </c>
      <c r="AQ444" s="340" t="s">
        <v>1542</v>
      </c>
      <c r="AR444" s="332" t="s">
        <v>194</v>
      </c>
      <c r="AS444" s="317"/>
      <c r="AT444" s="318"/>
      <c r="AU444" s="318"/>
      <c r="AV444" s="317">
        <f t="shared" si="23"/>
        <v>4</v>
      </c>
      <c r="AW444" s="318" t="s">
        <v>195</v>
      </c>
      <c r="AX444" s="333"/>
      <c r="AY444" s="333"/>
      <c r="AZ444" s="341"/>
    </row>
    <row r="445" spans="1:55" ht="28" customHeight="1">
      <c r="A445" s="195">
        <v>441</v>
      </c>
      <c r="B445" s="315">
        <v>45033</v>
      </c>
      <c r="C445" s="222" t="s">
        <v>198</v>
      </c>
      <c r="D445" s="222" t="s">
        <v>199</v>
      </c>
      <c r="E445" s="222" t="s">
        <v>200</v>
      </c>
      <c r="F445" s="371" t="s">
        <v>123</v>
      </c>
      <c r="G445" s="309" t="s">
        <v>758</v>
      </c>
      <c r="H445" s="337" t="s">
        <v>129</v>
      </c>
      <c r="I445" s="311" t="s">
        <v>726</v>
      </c>
      <c r="J445" s="312" t="s">
        <v>757</v>
      </c>
      <c r="K445" s="273"/>
      <c r="L445" s="273" t="s">
        <v>728</v>
      </c>
      <c r="M445" s="311" t="s">
        <v>147</v>
      </c>
      <c r="N445" s="311" t="s">
        <v>697</v>
      </c>
      <c r="O445" s="311"/>
      <c r="P445" s="329" t="s">
        <v>1533</v>
      </c>
      <c r="Q445" s="330" t="s">
        <v>726</v>
      </c>
      <c r="R445" s="154">
        <v>0</v>
      </c>
      <c r="S445" s="155">
        <v>0</v>
      </c>
      <c r="T445" s="155">
        <v>0</v>
      </c>
      <c r="U445" s="263">
        <v>4</v>
      </c>
      <c r="V445" s="155">
        <v>0</v>
      </c>
      <c r="W445" s="155">
        <v>0</v>
      </c>
      <c r="X445" s="155">
        <v>0</v>
      </c>
      <c r="Y445" s="155">
        <v>0</v>
      </c>
      <c r="Z445" s="155">
        <v>0</v>
      </c>
      <c r="AA445" s="155">
        <v>0</v>
      </c>
      <c r="AB445" s="155">
        <v>0</v>
      </c>
      <c r="AC445" s="155">
        <v>0</v>
      </c>
      <c r="AD445" s="155">
        <v>0</v>
      </c>
      <c r="AE445" s="155">
        <v>0</v>
      </c>
      <c r="AF445" s="155">
        <v>0</v>
      </c>
      <c r="AG445" s="155">
        <f>0</f>
        <v>0</v>
      </c>
      <c r="AH445" s="155">
        <f>0</f>
        <v>0</v>
      </c>
      <c r="AI445" s="155">
        <f>0</f>
        <v>0</v>
      </c>
      <c r="AJ445" s="155">
        <f>0</f>
        <v>0</v>
      </c>
      <c r="AK445" s="155">
        <f>0</f>
        <v>0</v>
      </c>
      <c r="AL445" s="219">
        <f t="shared" si="21"/>
        <v>4</v>
      </c>
      <c r="AM445" s="103"/>
      <c r="AN445" s="326">
        <f t="shared" si="22"/>
        <v>4</v>
      </c>
      <c r="AO445" s="331">
        <v>45045</v>
      </c>
      <c r="AP445" s="372" t="s">
        <v>192</v>
      </c>
      <c r="AQ445" s="340" t="s">
        <v>1539</v>
      </c>
      <c r="AR445" s="332" t="s">
        <v>194</v>
      </c>
      <c r="AS445" s="321"/>
      <c r="AT445" s="318"/>
      <c r="AU445" s="318"/>
      <c r="AV445" s="317">
        <f t="shared" si="23"/>
        <v>4</v>
      </c>
      <c r="AW445" s="318" t="s">
        <v>195</v>
      </c>
      <c r="AX445" s="333"/>
      <c r="AY445" s="333"/>
      <c r="AZ445" s="320"/>
      <c r="BA445" s="174"/>
      <c r="BB445" s="174"/>
      <c r="BC445" s="174"/>
    </row>
    <row r="446" spans="1:55" ht="28" customHeight="1">
      <c r="A446" s="195">
        <v>442</v>
      </c>
      <c r="B446" s="315">
        <v>45033</v>
      </c>
      <c r="C446" s="374" t="s">
        <v>198</v>
      </c>
      <c r="D446" s="374" t="s">
        <v>199</v>
      </c>
      <c r="E446" s="374" t="s">
        <v>200</v>
      </c>
      <c r="F446" s="371" t="s">
        <v>123</v>
      </c>
      <c r="G446" s="309" t="s">
        <v>1379</v>
      </c>
      <c r="H446" s="337" t="s">
        <v>129</v>
      </c>
      <c r="I446" s="311" t="s">
        <v>1380</v>
      </c>
      <c r="J446" s="312" t="s">
        <v>1381</v>
      </c>
      <c r="K446" s="112"/>
      <c r="L446" s="273" t="s">
        <v>895</v>
      </c>
      <c r="M446" s="311" t="s">
        <v>147</v>
      </c>
      <c r="N446" s="311" t="s">
        <v>697</v>
      </c>
      <c r="O446" s="311" t="s">
        <v>97</v>
      </c>
      <c r="P446" s="329"/>
      <c r="Q446" s="323" t="s">
        <v>726</v>
      </c>
      <c r="R446" s="154">
        <v>0</v>
      </c>
      <c r="S446" s="155">
        <v>0</v>
      </c>
      <c r="T446" s="155">
        <v>0</v>
      </c>
      <c r="U446" s="263">
        <v>4</v>
      </c>
      <c r="V446" s="155">
        <v>0</v>
      </c>
      <c r="W446" s="155">
        <v>0</v>
      </c>
      <c r="X446" s="155">
        <v>0</v>
      </c>
      <c r="Y446" s="155">
        <v>0</v>
      </c>
      <c r="Z446" s="155">
        <v>0</v>
      </c>
      <c r="AA446" s="155">
        <v>0</v>
      </c>
      <c r="AB446" s="155">
        <v>0</v>
      </c>
      <c r="AC446" s="155">
        <v>0</v>
      </c>
      <c r="AD446" s="155">
        <v>0</v>
      </c>
      <c r="AE446" s="155">
        <v>0</v>
      </c>
      <c r="AF446" s="155">
        <v>0</v>
      </c>
      <c r="AG446" s="155">
        <f>0</f>
        <v>0</v>
      </c>
      <c r="AH446" s="155">
        <f>0</f>
        <v>0</v>
      </c>
      <c r="AI446" s="155">
        <f>0</f>
        <v>0</v>
      </c>
      <c r="AJ446" s="155">
        <f>0</f>
        <v>0</v>
      </c>
      <c r="AK446" s="155">
        <f>0</f>
        <v>0</v>
      </c>
      <c r="AL446" s="219">
        <f t="shared" si="21"/>
        <v>4</v>
      </c>
      <c r="AM446" s="103"/>
      <c r="AN446" s="375">
        <f t="shared" si="22"/>
        <v>4</v>
      </c>
      <c r="AO446" s="331">
        <v>45061</v>
      </c>
      <c r="AP446" s="372" t="s">
        <v>192</v>
      </c>
      <c r="AQ446" s="340" t="s">
        <v>1545</v>
      </c>
      <c r="AR446" s="332" t="s">
        <v>766</v>
      </c>
      <c r="AS446" s="317"/>
      <c r="AT446" s="318"/>
      <c r="AU446" s="318">
        <v>4</v>
      </c>
      <c r="AV446" s="317">
        <f t="shared" si="23"/>
        <v>0</v>
      </c>
      <c r="AW446" s="318" t="s">
        <v>195</v>
      </c>
      <c r="AX446" s="333"/>
      <c r="AY446" s="333"/>
      <c r="AZ446" s="341"/>
    </row>
    <row r="447" spans="1:55" ht="28" customHeight="1">
      <c r="A447" s="195">
        <v>443</v>
      </c>
      <c r="B447" s="315">
        <v>45033</v>
      </c>
      <c r="C447" s="222" t="s">
        <v>198</v>
      </c>
      <c r="D447" s="222" t="s">
        <v>199</v>
      </c>
      <c r="E447" s="222" t="s">
        <v>200</v>
      </c>
      <c r="F447" s="371" t="s">
        <v>123</v>
      </c>
      <c r="G447" s="309" t="s">
        <v>1382</v>
      </c>
      <c r="H447" s="337" t="s">
        <v>129</v>
      </c>
      <c r="I447" s="311" t="s">
        <v>1383</v>
      </c>
      <c r="J447" s="312" t="s">
        <v>1384</v>
      </c>
      <c r="K447" s="273"/>
      <c r="L447" s="273" t="s">
        <v>895</v>
      </c>
      <c r="M447" s="311" t="s">
        <v>147</v>
      </c>
      <c r="N447" s="311" t="s">
        <v>1082</v>
      </c>
      <c r="O447" s="311" t="s">
        <v>97</v>
      </c>
      <c r="P447" s="329"/>
      <c r="Q447" s="330" t="s">
        <v>726</v>
      </c>
      <c r="R447" s="154">
        <v>0</v>
      </c>
      <c r="S447" s="155">
        <v>0</v>
      </c>
      <c r="T447" s="155">
        <v>0</v>
      </c>
      <c r="U447" s="263">
        <v>4</v>
      </c>
      <c r="V447" s="155">
        <v>0</v>
      </c>
      <c r="W447" s="155">
        <v>0</v>
      </c>
      <c r="X447" s="155">
        <v>0</v>
      </c>
      <c r="Y447" s="155">
        <v>0</v>
      </c>
      <c r="Z447" s="155">
        <v>0</v>
      </c>
      <c r="AA447" s="155">
        <v>0</v>
      </c>
      <c r="AB447" s="155">
        <v>0</v>
      </c>
      <c r="AC447" s="155">
        <v>0</v>
      </c>
      <c r="AD447" s="155">
        <v>0</v>
      </c>
      <c r="AE447" s="155">
        <v>0</v>
      </c>
      <c r="AF447" s="155">
        <v>0</v>
      </c>
      <c r="AG447" s="155">
        <f>0</f>
        <v>0</v>
      </c>
      <c r="AH447" s="155">
        <f>0</f>
        <v>0</v>
      </c>
      <c r="AI447" s="155">
        <f>0</f>
        <v>0</v>
      </c>
      <c r="AJ447" s="155">
        <f>0</f>
        <v>0</v>
      </c>
      <c r="AK447" s="155">
        <f>0</f>
        <v>0</v>
      </c>
      <c r="AL447" s="219">
        <f t="shared" si="21"/>
        <v>4</v>
      </c>
      <c r="AM447" s="103"/>
      <c r="AN447" s="326">
        <f t="shared" si="22"/>
        <v>4</v>
      </c>
      <c r="AO447" s="331">
        <v>45041</v>
      </c>
      <c r="AP447" s="317" t="s">
        <v>192</v>
      </c>
      <c r="AQ447" s="340" t="s">
        <v>1538</v>
      </c>
      <c r="AR447" s="332" t="s">
        <v>194</v>
      </c>
      <c r="AS447" s="321"/>
      <c r="AT447" s="318"/>
      <c r="AU447" s="318"/>
      <c r="AV447" s="317">
        <f t="shared" si="23"/>
        <v>4</v>
      </c>
      <c r="AW447" s="318" t="s">
        <v>195</v>
      </c>
      <c r="AX447" s="333"/>
      <c r="AY447" s="333"/>
      <c r="AZ447" s="320"/>
      <c r="BA447" s="174"/>
      <c r="BB447" s="174"/>
      <c r="BC447" s="174"/>
    </row>
    <row r="448" spans="1:55" ht="28" customHeight="1">
      <c r="A448" s="195">
        <v>444</v>
      </c>
      <c r="B448" s="315">
        <v>45033</v>
      </c>
      <c r="C448" s="222" t="s">
        <v>198</v>
      </c>
      <c r="D448" s="222" t="s">
        <v>199</v>
      </c>
      <c r="E448" s="222" t="s">
        <v>200</v>
      </c>
      <c r="F448" s="371" t="s">
        <v>123</v>
      </c>
      <c r="G448" s="309" t="s">
        <v>1385</v>
      </c>
      <c r="H448" s="337" t="s">
        <v>129</v>
      </c>
      <c r="I448" s="311" t="s">
        <v>1386</v>
      </c>
      <c r="J448" s="312" t="s">
        <v>1387</v>
      </c>
      <c r="K448" s="273"/>
      <c r="L448" s="273" t="s">
        <v>895</v>
      </c>
      <c r="M448" s="311" t="s">
        <v>147</v>
      </c>
      <c r="N448" s="311" t="s">
        <v>1082</v>
      </c>
      <c r="O448" s="311" t="s">
        <v>97</v>
      </c>
      <c r="P448" s="329"/>
      <c r="Q448" s="330" t="s">
        <v>726</v>
      </c>
      <c r="R448" s="154">
        <v>0</v>
      </c>
      <c r="S448" s="155">
        <v>0</v>
      </c>
      <c r="T448" s="155">
        <v>0</v>
      </c>
      <c r="U448" s="263">
        <v>4</v>
      </c>
      <c r="V448" s="155">
        <v>0</v>
      </c>
      <c r="W448" s="155">
        <v>0</v>
      </c>
      <c r="X448" s="155">
        <v>0</v>
      </c>
      <c r="Y448" s="155">
        <v>0</v>
      </c>
      <c r="Z448" s="155">
        <v>0</v>
      </c>
      <c r="AA448" s="155">
        <v>0</v>
      </c>
      <c r="AB448" s="155">
        <v>0</v>
      </c>
      <c r="AC448" s="155">
        <v>0</v>
      </c>
      <c r="AD448" s="155">
        <v>0</v>
      </c>
      <c r="AE448" s="155">
        <v>0</v>
      </c>
      <c r="AF448" s="155">
        <v>0</v>
      </c>
      <c r="AG448" s="155">
        <f>0</f>
        <v>0</v>
      </c>
      <c r="AH448" s="155">
        <f>0</f>
        <v>0</v>
      </c>
      <c r="AI448" s="155">
        <f>0</f>
        <v>0</v>
      </c>
      <c r="AJ448" s="155">
        <f>0</f>
        <v>0</v>
      </c>
      <c r="AK448" s="155">
        <f>0</f>
        <v>0</v>
      </c>
      <c r="AL448" s="219">
        <f t="shared" si="21"/>
        <v>4</v>
      </c>
      <c r="AM448" s="103"/>
      <c r="AN448" s="326">
        <f t="shared" si="22"/>
        <v>4</v>
      </c>
      <c r="AO448" s="331">
        <v>45041</v>
      </c>
      <c r="AP448" s="317" t="s">
        <v>192</v>
      </c>
      <c r="AQ448" s="340" t="s">
        <v>1538</v>
      </c>
      <c r="AR448" s="332" t="s">
        <v>194</v>
      </c>
      <c r="AS448" s="321"/>
      <c r="AT448" s="318"/>
      <c r="AU448" s="318">
        <v>5</v>
      </c>
      <c r="AV448" s="317">
        <f t="shared" si="23"/>
        <v>-1</v>
      </c>
      <c r="AW448" s="318" t="s">
        <v>195</v>
      </c>
      <c r="AX448" s="333"/>
      <c r="AY448" s="333"/>
      <c r="AZ448" s="341"/>
      <c r="BA448" s="174"/>
      <c r="BB448" s="174"/>
      <c r="BC448" s="174"/>
    </row>
    <row r="449" spans="1:55" ht="28" customHeight="1">
      <c r="A449" s="195">
        <v>445</v>
      </c>
      <c r="B449" s="315">
        <v>45033</v>
      </c>
      <c r="C449" s="222" t="s">
        <v>198</v>
      </c>
      <c r="D449" s="222" t="s">
        <v>199</v>
      </c>
      <c r="E449" s="222" t="s">
        <v>200</v>
      </c>
      <c r="F449" s="371" t="s">
        <v>123</v>
      </c>
      <c r="G449" s="309" t="s">
        <v>1388</v>
      </c>
      <c r="H449" s="337" t="s">
        <v>129</v>
      </c>
      <c r="I449" s="311" t="s">
        <v>1389</v>
      </c>
      <c r="J449" s="312" t="s">
        <v>1390</v>
      </c>
      <c r="K449" s="273"/>
      <c r="L449" s="273" t="s">
        <v>234</v>
      </c>
      <c r="M449" s="311" t="s">
        <v>147</v>
      </c>
      <c r="N449" s="311" t="s">
        <v>677</v>
      </c>
      <c r="O449" s="311"/>
      <c r="P449" s="329"/>
      <c r="Q449" s="330" t="s">
        <v>726</v>
      </c>
      <c r="R449" s="154">
        <v>0</v>
      </c>
      <c r="S449" s="155">
        <v>0</v>
      </c>
      <c r="T449" s="155">
        <v>0</v>
      </c>
      <c r="U449" s="263">
        <v>4</v>
      </c>
      <c r="V449" s="155">
        <v>0</v>
      </c>
      <c r="W449" s="155">
        <v>0</v>
      </c>
      <c r="X449" s="155">
        <v>0</v>
      </c>
      <c r="Y449" s="155">
        <v>0</v>
      </c>
      <c r="Z449" s="155">
        <v>0</v>
      </c>
      <c r="AA449" s="155">
        <v>0</v>
      </c>
      <c r="AB449" s="155">
        <v>0</v>
      </c>
      <c r="AC449" s="155">
        <v>0</v>
      </c>
      <c r="AD449" s="155">
        <v>0</v>
      </c>
      <c r="AE449" s="155">
        <v>0</v>
      </c>
      <c r="AF449" s="155">
        <v>0</v>
      </c>
      <c r="AG449" s="155">
        <f>0</f>
        <v>0</v>
      </c>
      <c r="AH449" s="155">
        <f>0</f>
        <v>0</v>
      </c>
      <c r="AI449" s="155">
        <f>0</f>
        <v>0</v>
      </c>
      <c r="AJ449" s="155">
        <f>0</f>
        <v>0</v>
      </c>
      <c r="AK449" s="155">
        <f>0</f>
        <v>0</v>
      </c>
      <c r="AL449" s="219">
        <f t="shared" si="21"/>
        <v>4</v>
      </c>
      <c r="AM449" s="103"/>
      <c r="AN449" s="326">
        <f t="shared" si="22"/>
        <v>4</v>
      </c>
      <c r="AO449" s="331">
        <v>45041</v>
      </c>
      <c r="AP449" s="317" t="s">
        <v>192</v>
      </c>
      <c r="AQ449" s="340" t="s">
        <v>1538</v>
      </c>
      <c r="AR449" s="332" t="s">
        <v>194</v>
      </c>
      <c r="AS449" s="321"/>
      <c r="AT449" s="318"/>
      <c r="AU449" s="318">
        <v>4</v>
      </c>
      <c r="AV449" s="317">
        <f t="shared" si="23"/>
        <v>0</v>
      </c>
      <c r="AW449" s="318" t="s">
        <v>195</v>
      </c>
      <c r="AX449" s="333"/>
      <c r="AY449" s="333"/>
      <c r="AZ449" s="320"/>
      <c r="BA449" s="174"/>
      <c r="BB449" s="174"/>
      <c r="BC449" s="174"/>
    </row>
    <row r="450" spans="1:55" ht="28" customHeight="1">
      <c r="A450" s="195">
        <v>446</v>
      </c>
      <c r="B450" s="315">
        <v>45033</v>
      </c>
      <c r="C450" s="222" t="s">
        <v>198</v>
      </c>
      <c r="D450" s="222" t="s">
        <v>199</v>
      </c>
      <c r="E450" s="222" t="s">
        <v>200</v>
      </c>
      <c r="F450" s="371" t="s">
        <v>123</v>
      </c>
      <c r="G450" s="309" t="s">
        <v>1391</v>
      </c>
      <c r="H450" s="337" t="s">
        <v>129</v>
      </c>
      <c r="I450" s="311" t="s">
        <v>1393</v>
      </c>
      <c r="J450" s="312" t="s">
        <v>1392</v>
      </c>
      <c r="K450" s="273" t="s">
        <v>97</v>
      </c>
      <c r="L450" s="273" t="s">
        <v>234</v>
      </c>
      <c r="M450" s="311" t="s">
        <v>147</v>
      </c>
      <c r="N450" s="311" t="s">
        <v>97</v>
      </c>
      <c r="O450" s="311" t="s">
        <v>97</v>
      </c>
      <c r="P450" s="329"/>
      <c r="Q450" s="330" t="s">
        <v>726</v>
      </c>
      <c r="R450" s="154">
        <v>0</v>
      </c>
      <c r="S450" s="155">
        <v>0</v>
      </c>
      <c r="T450" s="155">
        <v>0</v>
      </c>
      <c r="U450" s="263">
        <v>4</v>
      </c>
      <c r="V450" s="155">
        <v>0</v>
      </c>
      <c r="W450" s="155">
        <v>0</v>
      </c>
      <c r="X450" s="155">
        <v>0</v>
      </c>
      <c r="Y450" s="155">
        <v>0</v>
      </c>
      <c r="Z450" s="155">
        <v>0</v>
      </c>
      <c r="AA450" s="155">
        <v>0</v>
      </c>
      <c r="AB450" s="155">
        <v>0</v>
      </c>
      <c r="AC450" s="155">
        <v>0</v>
      </c>
      <c r="AD450" s="155">
        <v>0</v>
      </c>
      <c r="AE450" s="155">
        <v>0</v>
      </c>
      <c r="AF450" s="155">
        <v>0</v>
      </c>
      <c r="AG450" s="155">
        <f>0</f>
        <v>0</v>
      </c>
      <c r="AH450" s="155">
        <f>0</f>
        <v>0</v>
      </c>
      <c r="AI450" s="155">
        <f>0</f>
        <v>0</v>
      </c>
      <c r="AJ450" s="155">
        <f>0</f>
        <v>0</v>
      </c>
      <c r="AK450" s="155">
        <f>0</f>
        <v>0</v>
      </c>
      <c r="AL450" s="219">
        <f t="shared" si="21"/>
        <v>4</v>
      </c>
      <c r="AM450" s="103"/>
      <c r="AN450" s="326">
        <f t="shared" si="22"/>
        <v>4</v>
      </c>
      <c r="AO450" s="331">
        <v>45041</v>
      </c>
      <c r="AP450" s="317" t="s">
        <v>192</v>
      </c>
      <c r="AQ450" s="340" t="s">
        <v>1538</v>
      </c>
      <c r="AR450" s="332" t="s">
        <v>194</v>
      </c>
      <c r="AS450" s="321"/>
      <c r="AT450" s="318"/>
      <c r="AU450" s="318">
        <v>4</v>
      </c>
      <c r="AV450" s="317">
        <f t="shared" si="23"/>
        <v>0</v>
      </c>
      <c r="AW450" s="318" t="s">
        <v>195</v>
      </c>
      <c r="AX450" s="333"/>
      <c r="AY450" s="333"/>
      <c r="AZ450" s="341"/>
      <c r="BA450" s="174"/>
      <c r="BB450" s="174"/>
      <c r="BC450" s="174"/>
    </row>
    <row r="451" spans="1:55" ht="28" customHeight="1">
      <c r="A451" s="195">
        <v>447</v>
      </c>
      <c r="B451" s="315">
        <v>45033</v>
      </c>
      <c r="C451" s="128"/>
      <c r="D451" s="128"/>
      <c r="E451" s="128"/>
      <c r="F451" s="371" t="s">
        <v>123</v>
      </c>
      <c r="G451" s="309" t="s">
        <v>1394</v>
      </c>
      <c r="H451" s="337" t="s">
        <v>1052</v>
      </c>
      <c r="I451" s="311" t="s">
        <v>1053</v>
      </c>
      <c r="J451" s="312" t="s">
        <v>1054</v>
      </c>
      <c r="K451" s="273" t="s">
        <v>1394</v>
      </c>
      <c r="L451" s="273" t="s">
        <v>1055</v>
      </c>
      <c r="M451" s="311" t="s">
        <v>194</v>
      </c>
      <c r="N451" s="311" t="s">
        <v>1082</v>
      </c>
      <c r="O451" s="311" t="s">
        <v>169</v>
      </c>
      <c r="P451" s="329"/>
      <c r="Q451" s="330" t="s">
        <v>1511</v>
      </c>
      <c r="R451" s="154">
        <v>0</v>
      </c>
      <c r="S451" s="155">
        <v>0</v>
      </c>
      <c r="T451" s="155">
        <v>0</v>
      </c>
      <c r="U451" s="263">
        <v>2</v>
      </c>
      <c r="V451" s="155">
        <v>0</v>
      </c>
      <c r="W451" s="155">
        <v>0</v>
      </c>
      <c r="X451" s="155">
        <v>0</v>
      </c>
      <c r="Y451" s="155">
        <v>0</v>
      </c>
      <c r="Z451" s="155">
        <v>0</v>
      </c>
      <c r="AA451" s="155">
        <v>0</v>
      </c>
      <c r="AB451" s="155">
        <v>0</v>
      </c>
      <c r="AC451" s="155">
        <v>0</v>
      </c>
      <c r="AD451" s="155">
        <v>0</v>
      </c>
      <c r="AE451" s="155">
        <v>0</v>
      </c>
      <c r="AF451" s="155">
        <v>0</v>
      </c>
      <c r="AG451" s="155">
        <f>0</f>
        <v>0</v>
      </c>
      <c r="AH451" s="155">
        <f>0</f>
        <v>0</v>
      </c>
      <c r="AI451" s="155">
        <f>0</f>
        <v>0</v>
      </c>
      <c r="AJ451" s="155">
        <f>0</f>
        <v>0</v>
      </c>
      <c r="AK451" s="155">
        <f>0</f>
        <v>0</v>
      </c>
      <c r="AL451" s="219">
        <f t="shared" si="21"/>
        <v>2</v>
      </c>
      <c r="AM451" s="103"/>
      <c r="AN451" s="326">
        <f t="shared" si="22"/>
        <v>2</v>
      </c>
      <c r="AO451" s="331">
        <v>45041</v>
      </c>
      <c r="AP451" s="317" t="s">
        <v>192</v>
      </c>
      <c r="AQ451" s="340" t="s">
        <v>1538</v>
      </c>
      <c r="AR451" s="332" t="s">
        <v>194</v>
      </c>
      <c r="AS451" s="321"/>
      <c r="AT451" s="318"/>
      <c r="AU451" s="318">
        <v>2</v>
      </c>
      <c r="AV451" s="317">
        <f t="shared" si="23"/>
        <v>0</v>
      </c>
      <c r="AW451" s="318" t="s">
        <v>195</v>
      </c>
      <c r="AX451" s="333"/>
      <c r="AY451" s="333"/>
      <c r="AZ451" s="320"/>
      <c r="BA451" s="174"/>
      <c r="BB451" s="174"/>
      <c r="BC451" s="174"/>
    </row>
    <row r="452" spans="1:55" ht="28" customHeight="1">
      <c r="A452" s="195">
        <v>448</v>
      </c>
      <c r="B452" s="315">
        <v>45033</v>
      </c>
      <c r="C452" s="128"/>
      <c r="D452" s="128"/>
      <c r="E452" s="128"/>
      <c r="F452" s="371" t="s">
        <v>123</v>
      </c>
      <c r="G452" s="309" t="s">
        <v>1051</v>
      </c>
      <c r="H452" s="337" t="s">
        <v>1052</v>
      </c>
      <c r="I452" s="311" t="s">
        <v>1053</v>
      </c>
      <c r="J452" s="312" t="s">
        <v>1054</v>
      </c>
      <c r="K452" s="273" t="s">
        <v>1051</v>
      </c>
      <c r="L452" s="273" t="s">
        <v>1055</v>
      </c>
      <c r="M452" s="311" t="s">
        <v>194</v>
      </c>
      <c r="N452" s="311" t="s">
        <v>1082</v>
      </c>
      <c r="O452" s="311" t="s">
        <v>169</v>
      </c>
      <c r="P452" s="329"/>
      <c r="Q452" s="330" t="s">
        <v>1511</v>
      </c>
      <c r="R452" s="154">
        <v>0</v>
      </c>
      <c r="S452" s="155">
        <v>0</v>
      </c>
      <c r="T452" s="155">
        <v>0</v>
      </c>
      <c r="U452" s="263">
        <v>2</v>
      </c>
      <c r="V452" s="155">
        <v>0</v>
      </c>
      <c r="W452" s="155">
        <v>0</v>
      </c>
      <c r="X452" s="155">
        <v>0</v>
      </c>
      <c r="Y452" s="155">
        <v>0</v>
      </c>
      <c r="Z452" s="155">
        <v>0</v>
      </c>
      <c r="AA452" s="155">
        <v>0</v>
      </c>
      <c r="AB452" s="155">
        <v>0</v>
      </c>
      <c r="AC452" s="155">
        <v>0</v>
      </c>
      <c r="AD452" s="155">
        <v>0</v>
      </c>
      <c r="AE452" s="155">
        <v>0</v>
      </c>
      <c r="AF452" s="155">
        <v>0</v>
      </c>
      <c r="AG452" s="155">
        <f>0</f>
        <v>0</v>
      </c>
      <c r="AH452" s="155">
        <f>0</f>
        <v>0</v>
      </c>
      <c r="AI452" s="155">
        <f>0</f>
        <v>0</v>
      </c>
      <c r="AJ452" s="155">
        <f>0</f>
        <v>0</v>
      </c>
      <c r="AK452" s="155">
        <f>0</f>
        <v>0</v>
      </c>
      <c r="AL452" s="219">
        <f t="shared" si="21"/>
        <v>2</v>
      </c>
      <c r="AM452" s="103"/>
      <c r="AN452" s="326">
        <f t="shared" si="22"/>
        <v>2</v>
      </c>
      <c r="AO452" s="331">
        <v>45041</v>
      </c>
      <c r="AP452" s="317" t="s">
        <v>192</v>
      </c>
      <c r="AQ452" s="340" t="s">
        <v>1538</v>
      </c>
      <c r="AR452" s="332" t="s">
        <v>194</v>
      </c>
      <c r="AS452" s="321"/>
      <c r="AT452" s="318"/>
      <c r="AU452" s="318">
        <v>2</v>
      </c>
      <c r="AV452" s="317">
        <f t="shared" si="23"/>
        <v>0</v>
      </c>
      <c r="AW452" s="318" t="s">
        <v>195</v>
      </c>
      <c r="AX452" s="333"/>
      <c r="AY452" s="333"/>
      <c r="AZ452" s="341"/>
      <c r="BA452" s="174"/>
      <c r="BB452" s="174"/>
      <c r="BC452" s="174"/>
    </row>
    <row r="453" spans="1:55" ht="28" customHeight="1">
      <c r="A453" s="195">
        <v>449</v>
      </c>
      <c r="B453" s="315">
        <v>45033</v>
      </c>
      <c r="C453" s="222" t="s">
        <v>198</v>
      </c>
      <c r="D453" s="222" t="s">
        <v>199</v>
      </c>
      <c r="E453" s="222" t="s">
        <v>200</v>
      </c>
      <c r="F453" s="371" t="s">
        <v>123</v>
      </c>
      <c r="G453" s="309" t="s">
        <v>1396</v>
      </c>
      <c r="H453" s="337" t="s">
        <v>129</v>
      </c>
      <c r="I453" s="311" t="s">
        <v>1395</v>
      </c>
      <c r="J453" s="312" t="s">
        <v>1397</v>
      </c>
      <c r="K453" s="273" t="s">
        <v>97</v>
      </c>
      <c r="L453" s="273" t="s">
        <v>1500</v>
      </c>
      <c r="M453" s="311" t="s">
        <v>279</v>
      </c>
      <c r="N453" s="311" t="s">
        <v>97</v>
      </c>
      <c r="O453" s="311" t="s">
        <v>1307</v>
      </c>
      <c r="P453" s="329"/>
      <c r="Q453" s="330" t="s">
        <v>1511</v>
      </c>
      <c r="R453" s="154">
        <v>0</v>
      </c>
      <c r="S453" s="155">
        <v>0</v>
      </c>
      <c r="T453" s="155">
        <v>0</v>
      </c>
      <c r="U453" s="263">
        <v>1</v>
      </c>
      <c r="V453" s="155">
        <v>0</v>
      </c>
      <c r="W453" s="155">
        <v>0</v>
      </c>
      <c r="X453" s="155">
        <v>0</v>
      </c>
      <c r="Y453" s="155">
        <v>0</v>
      </c>
      <c r="Z453" s="155">
        <v>0</v>
      </c>
      <c r="AA453" s="155">
        <v>0</v>
      </c>
      <c r="AB453" s="155">
        <v>0</v>
      </c>
      <c r="AC453" s="155">
        <v>0</v>
      </c>
      <c r="AD453" s="155">
        <v>0</v>
      </c>
      <c r="AE453" s="155">
        <v>0</v>
      </c>
      <c r="AF453" s="155">
        <v>0</v>
      </c>
      <c r="AG453" s="155">
        <f>0</f>
        <v>0</v>
      </c>
      <c r="AH453" s="155">
        <f>0</f>
        <v>0</v>
      </c>
      <c r="AI453" s="155">
        <f>0</f>
        <v>0</v>
      </c>
      <c r="AJ453" s="155">
        <f>0</f>
        <v>0</v>
      </c>
      <c r="AK453" s="155">
        <f>0</f>
        <v>0</v>
      </c>
      <c r="AL453" s="219">
        <f t="shared" si="21"/>
        <v>1</v>
      </c>
      <c r="AM453" s="103"/>
      <c r="AN453" s="326">
        <f t="shared" si="22"/>
        <v>1</v>
      </c>
      <c r="AO453" s="331">
        <v>45041</v>
      </c>
      <c r="AP453" s="317" t="s">
        <v>192</v>
      </c>
      <c r="AQ453" s="340" t="s">
        <v>1538</v>
      </c>
      <c r="AR453" s="332" t="s">
        <v>194</v>
      </c>
      <c r="AS453" s="321"/>
      <c r="AT453" s="318"/>
      <c r="AU453" s="318">
        <v>1</v>
      </c>
      <c r="AV453" s="317">
        <f t="shared" si="23"/>
        <v>0</v>
      </c>
      <c r="AW453" s="318" t="s">
        <v>195</v>
      </c>
      <c r="AX453" s="333"/>
      <c r="AY453" s="333"/>
      <c r="AZ453" s="320"/>
      <c r="BA453" s="174"/>
      <c r="BB453" s="174"/>
      <c r="BC453" s="174"/>
    </row>
    <row r="454" spans="1:55" ht="28" customHeight="1">
      <c r="A454" s="195">
        <v>450</v>
      </c>
      <c r="B454" s="315">
        <v>45033</v>
      </c>
      <c r="C454" s="322"/>
      <c r="D454" s="322"/>
      <c r="E454" s="322"/>
      <c r="F454" s="371" t="s">
        <v>123</v>
      </c>
      <c r="G454" s="309" t="s">
        <v>1396</v>
      </c>
      <c r="H454" s="337" t="s">
        <v>129</v>
      </c>
      <c r="I454" s="311" t="s">
        <v>1395</v>
      </c>
      <c r="J454" s="312" t="s">
        <v>1510</v>
      </c>
      <c r="K454" s="273" t="s">
        <v>97</v>
      </c>
      <c r="L454" s="273" t="s">
        <v>1500</v>
      </c>
      <c r="M454" s="311" t="s">
        <v>279</v>
      </c>
      <c r="N454" s="311"/>
      <c r="O454" s="311" t="s">
        <v>1307</v>
      </c>
      <c r="P454" s="329"/>
      <c r="Q454" s="330" t="s">
        <v>1511</v>
      </c>
      <c r="R454" s="154">
        <v>0</v>
      </c>
      <c r="S454" s="155">
        <v>0</v>
      </c>
      <c r="T454" s="155">
        <v>0</v>
      </c>
      <c r="U454" s="263">
        <v>1</v>
      </c>
      <c r="V454" s="155">
        <v>0</v>
      </c>
      <c r="W454" s="155">
        <v>0</v>
      </c>
      <c r="X454" s="155">
        <v>0</v>
      </c>
      <c r="Y454" s="155">
        <v>0</v>
      </c>
      <c r="Z454" s="155">
        <v>0</v>
      </c>
      <c r="AA454" s="155">
        <v>0</v>
      </c>
      <c r="AB454" s="155">
        <v>0</v>
      </c>
      <c r="AC454" s="155">
        <v>0</v>
      </c>
      <c r="AD454" s="155">
        <v>0</v>
      </c>
      <c r="AE454" s="155">
        <v>0</v>
      </c>
      <c r="AF454" s="155">
        <v>0</v>
      </c>
      <c r="AG454" s="155">
        <f>0</f>
        <v>0</v>
      </c>
      <c r="AH454" s="155">
        <f>0</f>
        <v>0</v>
      </c>
      <c r="AI454" s="155">
        <f>0</f>
        <v>0</v>
      </c>
      <c r="AJ454" s="155">
        <f>0</f>
        <v>0</v>
      </c>
      <c r="AK454" s="155">
        <f>0</f>
        <v>0</v>
      </c>
      <c r="AL454" s="219">
        <f t="shared" ref="AL454:AL498" si="24">SUM(R454:AK454)</f>
        <v>1</v>
      </c>
      <c r="AM454" s="103"/>
      <c r="AN454" s="326">
        <f t="shared" ref="AN454:AN498" si="25">AL454-AM454</f>
        <v>1</v>
      </c>
      <c r="AO454" s="331">
        <v>45041</v>
      </c>
      <c r="AP454" s="317" t="s">
        <v>192</v>
      </c>
      <c r="AQ454" s="340" t="s">
        <v>1538</v>
      </c>
      <c r="AR454" s="332" t="s">
        <v>194</v>
      </c>
      <c r="AS454" s="321"/>
      <c r="AT454" s="318"/>
      <c r="AU454" s="318">
        <v>1</v>
      </c>
      <c r="AV454" s="317">
        <f t="shared" si="23"/>
        <v>0</v>
      </c>
      <c r="AW454" s="318" t="s">
        <v>195</v>
      </c>
      <c r="AX454" s="333"/>
      <c r="AY454" s="333"/>
      <c r="AZ454" s="341"/>
      <c r="BA454" s="174"/>
      <c r="BB454" s="174"/>
      <c r="BC454" s="174"/>
    </row>
    <row r="455" spans="1:55" ht="28" customHeight="1">
      <c r="A455" s="195">
        <v>451</v>
      </c>
      <c r="B455" s="315">
        <v>45033</v>
      </c>
      <c r="C455" s="222" t="s">
        <v>198</v>
      </c>
      <c r="D455" s="222" t="s">
        <v>199</v>
      </c>
      <c r="E455" s="222" t="s">
        <v>200</v>
      </c>
      <c r="F455" s="371" t="s">
        <v>123</v>
      </c>
      <c r="G455" s="309" t="s">
        <v>1398</v>
      </c>
      <c r="H455" s="337" t="s">
        <v>129</v>
      </c>
      <c r="I455" s="311" t="s">
        <v>1501</v>
      </c>
      <c r="J455" s="312" t="s">
        <v>1399</v>
      </c>
      <c r="K455" s="273"/>
      <c r="L455" s="273" t="s">
        <v>1502</v>
      </c>
      <c r="M455" s="311" t="s">
        <v>147</v>
      </c>
      <c r="N455" s="311"/>
      <c r="O455" s="311" t="s">
        <v>169</v>
      </c>
      <c r="P455" s="329"/>
      <c r="Q455" s="330" t="s">
        <v>1511</v>
      </c>
      <c r="R455" s="154">
        <v>0</v>
      </c>
      <c r="S455" s="155">
        <v>0</v>
      </c>
      <c r="T455" s="155">
        <v>0</v>
      </c>
      <c r="U455" s="263">
        <v>1</v>
      </c>
      <c r="V455" s="155">
        <v>0</v>
      </c>
      <c r="W455" s="155">
        <v>0</v>
      </c>
      <c r="X455" s="155">
        <v>0</v>
      </c>
      <c r="Y455" s="155">
        <v>0</v>
      </c>
      <c r="Z455" s="155">
        <v>0</v>
      </c>
      <c r="AA455" s="155">
        <v>0</v>
      </c>
      <c r="AB455" s="155">
        <v>0</v>
      </c>
      <c r="AC455" s="155">
        <v>0</v>
      </c>
      <c r="AD455" s="155">
        <v>0</v>
      </c>
      <c r="AE455" s="155">
        <v>0</v>
      </c>
      <c r="AF455" s="155">
        <v>0</v>
      </c>
      <c r="AG455" s="155">
        <f>0</f>
        <v>0</v>
      </c>
      <c r="AH455" s="155">
        <f>0</f>
        <v>0</v>
      </c>
      <c r="AI455" s="155">
        <f>0</f>
        <v>0</v>
      </c>
      <c r="AJ455" s="155">
        <f>0</f>
        <v>0</v>
      </c>
      <c r="AK455" s="155">
        <f>0</f>
        <v>0</v>
      </c>
      <c r="AL455" s="219">
        <f t="shared" si="24"/>
        <v>1</v>
      </c>
      <c r="AM455" s="103"/>
      <c r="AN455" s="326">
        <f t="shared" si="25"/>
        <v>1</v>
      </c>
      <c r="AO455" s="331">
        <v>45041</v>
      </c>
      <c r="AP455" s="317" t="s">
        <v>192</v>
      </c>
      <c r="AQ455" s="340" t="s">
        <v>1538</v>
      </c>
      <c r="AR455" s="332" t="s">
        <v>194</v>
      </c>
      <c r="AS455" s="321"/>
      <c r="AT455" s="318"/>
      <c r="AU455" s="318">
        <v>1</v>
      </c>
      <c r="AV455" s="317">
        <f t="shared" si="23"/>
        <v>0</v>
      </c>
      <c r="AW455" s="318" t="s">
        <v>195</v>
      </c>
      <c r="AX455" s="333"/>
      <c r="AY455" s="333"/>
      <c r="AZ455" s="320"/>
      <c r="BA455" s="174"/>
      <c r="BB455" s="174"/>
      <c r="BC455" s="174"/>
    </row>
    <row r="456" spans="1:55" ht="28" customHeight="1">
      <c r="A456" s="195">
        <v>452</v>
      </c>
      <c r="B456" s="315">
        <v>45033</v>
      </c>
      <c r="C456" s="222" t="s">
        <v>198</v>
      </c>
      <c r="D456" s="222" t="s">
        <v>199</v>
      </c>
      <c r="E456" s="222" t="s">
        <v>200</v>
      </c>
      <c r="F456" s="371" t="s">
        <v>123</v>
      </c>
      <c r="G456" s="309" t="s">
        <v>1400</v>
      </c>
      <c r="H456" s="337" t="s">
        <v>129</v>
      </c>
      <c r="I456" s="311" t="s">
        <v>974</v>
      </c>
      <c r="J456" s="312" t="s">
        <v>1401</v>
      </c>
      <c r="K456" s="273" t="s">
        <v>97</v>
      </c>
      <c r="L456" s="273" t="s">
        <v>159</v>
      </c>
      <c r="M456" s="311" t="s">
        <v>156</v>
      </c>
      <c r="N456" s="311" t="s">
        <v>97</v>
      </c>
      <c r="O456" s="311" t="s">
        <v>204</v>
      </c>
      <c r="P456" s="329"/>
      <c r="Q456" s="330" t="s">
        <v>1511</v>
      </c>
      <c r="R456" s="154">
        <v>0</v>
      </c>
      <c r="S456" s="155">
        <v>0</v>
      </c>
      <c r="T456" s="155">
        <v>0</v>
      </c>
      <c r="U456" s="263">
        <v>1</v>
      </c>
      <c r="V456" s="155">
        <v>0</v>
      </c>
      <c r="W456" s="155">
        <v>0</v>
      </c>
      <c r="X456" s="155">
        <v>0</v>
      </c>
      <c r="Y456" s="155">
        <v>0</v>
      </c>
      <c r="Z456" s="155">
        <v>0</v>
      </c>
      <c r="AA456" s="155">
        <v>0</v>
      </c>
      <c r="AB456" s="155">
        <v>0</v>
      </c>
      <c r="AC456" s="155">
        <v>0</v>
      </c>
      <c r="AD456" s="155">
        <v>0</v>
      </c>
      <c r="AE456" s="155">
        <v>0</v>
      </c>
      <c r="AF456" s="155">
        <v>0</v>
      </c>
      <c r="AG456" s="155">
        <f>0</f>
        <v>0</v>
      </c>
      <c r="AH456" s="155">
        <f>0</f>
        <v>0</v>
      </c>
      <c r="AI456" s="155">
        <f>0</f>
        <v>0</v>
      </c>
      <c r="AJ456" s="155">
        <f>0</f>
        <v>0</v>
      </c>
      <c r="AK456" s="155">
        <f>0</f>
        <v>0</v>
      </c>
      <c r="AL456" s="219">
        <f t="shared" si="24"/>
        <v>1</v>
      </c>
      <c r="AM456" s="103"/>
      <c r="AN456" s="326">
        <f t="shared" si="25"/>
        <v>1</v>
      </c>
      <c r="AO456" s="331">
        <v>45041</v>
      </c>
      <c r="AP456" s="317" t="s">
        <v>192</v>
      </c>
      <c r="AQ456" s="340" t="s">
        <v>1537</v>
      </c>
      <c r="AR456" s="332" t="s">
        <v>197</v>
      </c>
      <c r="AS456" s="321"/>
      <c r="AT456" s="318"/>
      <c r="AU456" s="318">
        <v>1</v>
      </c>
      <c r="AV456" s="317">
        <f t="shared" si="23"/>
        <v>0</v>
      </c>
      <c r="AW456" s="318" t="s">
        <v>195</v>
      </c>
      <c r="AX456" s="333"/>
      <c r="AY456" s="333"/>
      <c r="AZ456" s="341"/>
      <c r="BA456" s="174"/>
      <c r="BB456" s="174"/>
      <c r="BC456" s="174"/>
    </row>
    <row r="457" spans="1:55" ht="28" customHeight="1">
      <c r="A457" s="195">
        <v>453</v>
      </c>
      <c r="B457" s="315">
        <v>45033</v>
      </c>
      <c r="C457" s="374" t="s">
        <v>198</v>
      </c>
      <c r="D457" s="374" t="s">
        <v>199</v>
      </c>
      <c r="E457" s="374" t="s">
        <v>200</v>
      </c>
      <c r="F457" s="371" t="s">
        <v>123</v>
      </c>
      <c r="G457" s="309" t="s">
        <v>1402</v>
      </c>
      <c r="H457" s="337" t="s">
        <v>129</v>
      </c>
      <c r="I457" s="311" t="s">
        <v>1403</v>
      </c>
      <c r="J457" s="312" t="s">
        <v>1404</v>
      </c>
      <c r="K457" s="112"/>
      <c r="L457" s="273" t="s">
        <v>1405</v>
      </c>
      <c r="M457" s="311" t="s">
        <v>147</v>
      </c>
      <c r="N457" s="311"/>
      <c r="O457" s="311" t="s">
        <v>169</v>
      </c>
      <c r="P457" s="329"/>
      <c r="Q457" s="323" t="s">
        <v>1511</v>
      </c>
      <c r="R457" s="154">
        <v>0</v>
      </c>
      <c r="S457" s="155">
        <v>0</v>
      </c>
      <c r="T457" s="155">
        <v>0</v>
      </c>
      <c r="U457" s="263">
        <v>1</v>
      </c>
      <c r="V457" s="155">
        <v>0</v>
      </c>
      <c r="W457" s="155">
        <v>0</v>
      </c>
      <c r="X457" s="155">
        <v>0</v>
      </c>
      <c r="Y457" s="155">
        <v>0</v>
      </c>
      <c r="Z457" s="155">
        <v>0</v>
      </c>
      <c r="AA457" s="155">
        <v>0</v>
      </c>
      <c r="AB457" s="155">
        <v>0</v>
      </c>
      <c r="AC457" s="155">
        <v>0</v>
      </c>
      <c r="AD457" s="155">
        <v>0</v>
      </c>
      <c r="AE457" s="155">
        <v>0</v>
      </c>
      <c r="AF457" s="155">
        <v>0</v>
      </c>
      <c r="AG457" s="155">
        <f>0</f>
        <v>0</v>
      </c>
      <c r="AH457" s="155">
        <f>0</f>
        <v>0</v>
      </c>
      <c r="AI457" s="155">
        <f>0</f>
        <v>0</v>
      </c>
      <c r="AJ457" s="155">
        <f>0</f>
        <v>0</v>
      </c>
      <c r="AK457" s="155">
        <f>0</f>
        <v>0</v>
      </c>
      <c r="AL457" s="219">
        <f t="shared" si="24"/>
        <v>1</v>
      </c>
      <c r="AM457" s="103"/>
      <c r="AN457" s="375">
        <f t="shared" si="25"/>
        <v>1</v>
      </c>
      <c r="AO457" s="331">
        <v>45057</v>
      </c>
      <c r="AP457" s="372" t="s">
        <v>192</v>
      </c>
      <c r="AQ457" s="340" t="s">
        <v>193</v>
      </c>
      <c r="AR457" s="332" t="s">
        <v>194</v>
      </c>
      <c r="AS457" s="317"/>
      <c r="AT457" s="318"/>
      <c r="AU457" s="318">
        <v>1</v>
      </c>
      <c r="AV457" s="317">
        <f t="shared" si="23"/>
        <v>0</v>
      </c>
      <c r="AW457" s="318" t="s">
        <v>195</v>
      </c>
      <c r="AX457" s="333"/>
      <c r="AY457" s="333"/>
      <c r="AZ457" s="320"/>
    </row>
    <row r="458" spans="1:55" ht="27.75" customHeight="1">
      <c r="A458" s="195">
        <v>454</v>
      </c>
      <c r="B458" s="315">
        <v>45033</v>
      </c>
      <c r="C458" s="222" t="s">
        <v>198</v>
      </c>
      <c r="D458" s="222" t="s">
        <v>199</v>
      </c>
      <c r="E458" s="222" t="s">
        <v>200</v>
      </c>
      <c r="F458" s="371" t="s">
        <v>123</v>
      </c>
      <c r="G458" s="309" t="s">
        <v>1406</v>
      </c>
      <c r="H458" s="337" t="s">
        <v>129</v>
      </c>
      <c r="I458" s="311" t="s">
        <v>1407</v>
      </c>
      <c r="J458" s="312" t="s">
        <v>1408</v>
      </c>
      <c r="K458" s="273"/>
      <c r="L458" s="273" t="s">
        <v>1405</v>
      </c>
      <c r="M458" s="311" t="s">
        <v>194</v>
      </c>
      <c r="N458" s="311"/>
      <c r="O458" s="311" t="s">
        <v>169</v>
      </c>
      <c r="P458" s="329"/>
      <c r="Q458" s="330" t="s">
        <v>1511</v>
      </c>
      <c r="R458" s="154">
        <v>0</v>
      </c>
      <c r="S458" s="155">
        <v>0</v>
      </c>
      <c r="T458" s="155">
        <v>0</v>
      </c>
      <c r="U458" s="263">
        <v>2</v>
      </c>
      <c r="V458" s="155">
        <v>0</v>
      </c>
      <c r="W458" s="155">
        <v>0</v>
      </c>
      <c r="X458" s="155">
        <v>0</v>
      </c>
      <c r="Y458" s="155">
        <v>0</v>
      </c>
      <c r="Z458" s="155">
        <v>0</v>
      </c>
      <c r="AA458" s="155">
        <v>0</v>
      </c>
      <c r="AB458" s="155">
        <v>0</v>
      </c>
      <c r="AC458" s="155">
        <v>0</v>
      </c>
      <c r="AD458" s="155">
        <v>0</v>
      </c>
      <c r="AE458" s="155">
        <v>0</v>
      </c>
      <c r="AF458" s="155">
        <v>0</v>
      </c>
      <c r="AG458" s="155">
        <f>0</f>
        <v>0</v>
      </c>
      <c r="AH458" s="155">
        <f>0</f>
        <v>0</v>
      </c>
      <c r="AI458" s="155">
        <f>0</f>
        <v>0</v>
      </c>
      <c r="AJ458" s="155">
        <f>0</f>
        <v>0</v>
      </c>
      <c r="AK458" s="155">
        <f>0</f>
        <v>0</v>
      </c>
      <c r="AL458" s="219">
        <f t="shared" si="24"/>
        <v>2</v>
      </c>
      <c r="AM458" s="103"/>
      <c r="AN458" s="326">
        <f t="shared" si="25"/>
        <v>2</v>
      </c>
      <c r="AO458" s="331">
        <v>45041</v>
      </c>
      <c r="AP458" s="317" t="s">
        <v>192</v>
      </c>
      <c r="AQ458" s="340" t="s">
        <v>1538</v>
      </c>
      <c r="AR458" s="332" t="s">
        <v>194</v>
      </c>
      <c r="AS458" s="321"/>
      <c r="AT458" s="318"/>
      <c r="AU458" s="318">
        <v>2</v>
      </c>
      <c r="AV458" s="317">
        <f t="shared" si="23"/>
        <v>0</v>
      </c>
      <c r="AW458" s="318" t="s">
        <v>195</v>
      </c>
      <c r="AX458" s="333"/>
      <c r="AY458" s="333"/>
      <c r="AZ458" s="341"/>
      <c r="BA458" s="174"/>
      <c r="BB458" s="174"/>
      <c r="BC458" s="174"/>
    </row>
    <row r="459" spans="1:55" ht="28" customHeight="1">
      <c r="A459" s="195">
        <v>455</v>
      </c>
      <c r="B459" s="315">
        <v>45033</v>
      </c>
      <c r="C459" s="222" t="s">
        <v>198</v>
      </c>
      <c r="D459" s="222" t="s">
        <v>199</v>
      </c>
      <c r="E459" s="222" t="s">
        <v>200</v>
      </c>
      <c r="F459" s="371" t="s">
        <v>123</v>
      </c>
      <c r="G459" s="309" t="s">
        <v>1409</v>
      </c>
      <c r="H459" s="337" t="s">
        <v>129</v>
      </c>
      <c r="I459" s="311" t="s">
        <v>1410</v>
      </c>
      <c r="J459" s="312" t="s">
        <v>1411</v>
      </c>
      <c r="K459" s="273"/>
      <c r="L459" s="273" t="s">
        <v>639</v>
      </c>
      <c r="M459" s="311" t="s">
        <v>147</v>
      </c>
      <c r="N459" s="311"/>
      <c r="O459" s="311" t="s">
        <v>148</v>
      </c>
      <c r="P459" s="329"/>
      <c r="Q459" s="330" t="s">
        <v>1511</v>
      </c>
      <c r="R459" s="154">
        <v>0</v>
      </c>
      <c r="S459" s="155">
        <v>0</v>
      </c>
      <c r="T459" s="155">
        <v>0</v>
      </c>
      <c r="U459" s="263">
        <v>2</v>
      </c>
      <c r="V459" s="155">
        <v>0</v>
      </c>
      <c r="W459" s="155">
        <v>0</v>
      </c>
      <c r="X459" s="155">
        <v>0</v>
      </c>
      <c r="Y459" s="155">
        <v>0</v>
      </c>
      <c r="Z459" s="155">
        <v>0</v>
      </c>
      <c r="AA459" s="155">
        <v>0</v>
      </c>
      <c r="AB459" s="155">
        <v>0</v>
      </c>
      <c r="AC459" s="155">
        <v>0</v>
      </c>
      <c r="AD459" s="155">
        <v>0</v>
      </c>
      <c r="AE459" s="155">
        <v>0</v>
      </c>
      <c r="AF459" s="155">
        <v>0</v>
      </c>
      <c r="AG459" s="155">
        <f>0</f>
        <v>0</v>
      </c>
      <c r="AH459" s="155">
        <f>0</f>
        <v>0</v>
      </c>
      <c r="AI459" s="155">
        <f>0</f>
        <v>0</v>
      </c>
      <c r="AJ459" s="155">
        <f>0</f>
        <v>0</v>
      </c>
      <c r="AK459" s="155">
        <f>0</f>
        <v>0</v>
      </c>
      <c r="AL459" s="219">
        <f t="shared" si="24"/>
        <v>2</v>
      </c>
      <c r="AM459" s="103"/>
      <c r="AN459" s="326">
        <f t="shared" si="25"/>
        <v>2</v>
      </c>
      <c r="AO459" s="331">
        <v>45041</v>
      </c>
      <c r="AP459" s="317" t="s">
        <v>192</v>
      </c>
      <c r="AQ459" s="340" t="s">
        <v>1538</v>
      </c>
      <c r="AR459" s="332" t="s">
        <v>194</v>
      </c>
      <c r="AS459" s="321"/>
      <c r="AT459" s="318"/>
      <c r="AU459" s="318">
        <v>2</v>
      </c>
      <c r="AV459" s="317">
        <f t="shared" si="23"/>
        <v>0</v>
      </c>
      <c r="AW459" s="318" t="s">
        <v>195</v>
      </c>
      <c r="AX459" s="333"/>
      <c r="AY459" s="333"/>
      <c r="AZ459" s="320"/>
      <c r="BA459" s="174"/>
      <c r="BB459" s="174"/>
      <c r="BC459" s="174"/>
    </row>
    <row r="460" spans="1:55" ht="28" customHeight="1">
      <c r="A460" s="271">
        <v>456</v>
      </c>
      <c r="B460" s="274">
        <v>45033</v>
      </c>
      <c r="C460" s="222" t="s">
        <v>198</v>
      </c>
      <c r="D460" s="222" t="s">
        <v>199</v>
      </c>
      <c r="E460" s="222" t="s">
        <v>200</v>
      </c>
      <c r="F460" s="265" t="s">
        <v>123</v>
      </c>
      <c r="G460" s="267" t="s">
        <v>1412</v>
      </c>
      <c r="H460" s="275" t="s">
        <v>129</v>
      </c>
      <c r="I460" s="111" t="s">
        <v>507</v>
      </c>
      <c r="J460" s="269" t="s">
        <v>1413</v>
      </c>
      <c r="K460" s="112" t="s">
        <v>97</v>
      </c>
      <c r="L460" s="112" t="s">
        <v>367</v>
      </c>
      <c r="M460" s="111" t="s">
        <v>237</v>
      </c>
      <c r="N460" s="111" t="s">
        <v>97</v>
      </c>
      <c r="O460" s="111" t="s">
        <v>368</v>
      </c>
      <c r="P460" s="325"/>
      <c r="Q460" s="323" t="s">
        <v>1511</v>
      </c>
      <c r="R460" s="154">
        <v>0</v>
      </c>
      <c r="S460" s="155">
        <v>0</v>
      </c>
      <c r="T460" s="155">
        <v>0</v>
      </c>
      <c r="U460" s="263">
        <v>1</v>
      </c>
      <c r="V460" s="155">
        <v>0</v>
      </c>
      <c r="W460" s="155">
        <v>0</v>
      </c>
      <c r="X460" s="155">
        <v>0</v>
      </c>
      <c r="Y460" s="155">
        <v>0</v>
      </c>
      <c r="Z460" s="155">
        <v>0</v>
      </c>
      <c r="AA460" s="155">
        <v>0</v>
      </c>
      <c r="AB460" s="155">
        <v>0</v>
      </c>
      <c r="AC460" s="155">
        <v>0</v>
      </c>
      <c r="AD460" s="155">
        <v>0</v>
      </c>
      <c r="AE460" s="155">
        <v>0</v>
      </c>
      <c r="AF460" s="155">
        <v>0</v>
      </c>
      <c r="AG460" s="155">
        <f>0</f>
        <v>0</v>
      </c>
      <c r="AH460" s="155">
        <f>0</f>
        <v>0</v>
      </c>
      <c r="AI460" s="155">
        <f>0</f>
        <v>0</v>
      </c>
      <c r="AJ460" s="155">
        <f>0</f>
        <v>0</v>
      </c>
      <c r="AK460" s="155">
        <f>0</f>
        <v>0</v>
      </c>
      <c r="AL460" s="219">
        <f t="shared" si="24"/>
        <v>1</v>
      </c>
      <c r="AM460" s="103"/>
      <c r="AN460" s="326">
        <f t="shared" si="25"/>
        <v>1</v>
      </c>
      <c r="AO460" s="276"/>
      <c r="AP460" s="277" t="s">
        <v>617</v>
      </c>
      <c r="AQ460" s="284"/>
      <c r="AR460" s="278" t="s">
        <v>1335</v>
      </c>
      <c r="AS460" s="277"/>
      <c r="AT460" s="279"/>
      <c r="AU460" s="279"/>
      <c r="AV460" s="277">
        <f t="shared" si="23"/>
        <v>1</v>
      </c>
      <c r="AW460" s="279"/>
      <c r="AX460" s="324"/>
      <c r="AY460" s="324"/>
      <c r="AZ460" s="285"/>
    </row>
    <row r="461" spans="1:55" ht="28" customHeight="1">
      <c r="A461" s="271">
        <v>457</v>
      </c>
      <c r="B461" s="274">
        <v>45033</v>
      </c>
      <c r="C461" s="222" t="s">
        <v>198</v>
      </c>
      <c r="D461" s="222" t="s">
        <v>199</v>
      </c>
      <c r="E461" s="222" t="s">
        <v>200</v>
      </c>
      <c r="F461" s="265" t="s">
        <v>123</v>
      </c>
      <c r="G461" s="267" t="s">
        <v>1414</v>
      </c>
      <c r="H461" s="275" t="s">
        <v>129</v>
      </c>
      <c r="I461" s="111" t="s">
        <v>507</v>
      </c>
      <c r="J461" s="269" t="s">
        <v>1415</v>
      </c>
      <c r="K461" s="112" t="s">
        <v>97</v>
      </c>
      <c r="L461" s="112" t="s">
        <v>367</v>
      </c>
      <c r="M461" s="258" t="s">
        <v>237</v>
      </c>
      <c r="N461" s="111" t="s">
        <v>97</v>
      </c>
      <c r="O461" s="111" t="s">
        <v>368</v>
      </c>
      <c r="P461" s="325"/>
      <c r="Q461" s="323" t="s">
        <v>1511</v>
      </c>
      <c r="R461" s="154">
        <v>0</v>
      </c>
      <c r="S461" s="155">
        <v>0</v>
      </c>
      <c r="T461" s="155">
        <v>0</v>
      </c>
      <c r="U461" s="263">
        <v>1</v>
      </c>
      <c r="V461" s="155">
        <v>0</v>
      </c>
      <c r="W461" s="155">
        <v>0</v>
      </c>
      <c r="X461" s="155">
        <v>0</v>
      </c>
      <c r="Y461" s="155">
        <v>0</v>
      </c>
      <c r="Z461" s="155">
        <v>0</v>
      </c>
      <c r="AA461" s="155">
        <v>0</v>
      </c>
      <c r="AB461" s="155">
        <v>0</v>
      </c>
      <c r="AC461" s="155">
        <v>0</v>
      </c>
      <c r="AD461" s="155">
        <v>0</v>
      </c>
      <c r="AE461" s="155">
        <v>0</v>
      </c>
      <c r="AF461" s="155">
        <v>0</v>
      </c>
      <c r="AG461" s="155">
        <f>0</f>
        <v>0</v>
      </c>
      <c r="AH461" s="155">
        <f>0</f>
        <v>0</v>
      </c>
      <c r="AI461" s="155">
        <f>0</f>
        <v>0</v>
      </c>
      <c r="AJ461" s="155">
        <f>0</f>
        <v>0</v>
      </c>
      <c r="AK461" s="155">
        <f>0</f>
        <v>0</v>
      </c>
      <c r="AL461" s="219">
        <f t="shared" si="24"/>
        <v>1</v>
      </c>
      <c r="AM461" s="103"/>
      <c r="AN461" s="326">
        <f t="shared" si="25"/>
        <v>1</v>
      </c>
      <c r="AO461" s="276"/>
      <c r="AP461" s="188" t="s">
        <v>617</v>
      </c>
      <c r="AQ461" s="284"/>
      <c r="AR461" s="278" t="s">
        <v>1335</v>
      </c>
      <c r="AS461" s="277"/>
      <c r="AT461" s="279"/>
      <c r="AU461" s="279"/>
      <c r="AV461" s="277">
        <f t="shared" si="23"/>
        <v>1</v>
      </c>
      <c r="AW461" s="279"/>
      <c r="AX461" s="324"/>
      <c r="AY461" s="324"/>
      <c r="AZ461" s="281"/>
    </row>
    <row r="462" spans="1:55" ht="28" customHeight="1">
      <c r="A462" s="195">
        <v>458</v>
      </c>
      <c r="B462" s="315">
        <v>45033</v>
      </c>
      <c r="C462" s="222" t="s">
        <v>198</v>
      </c>
      <c r="D462" s="222" t="s">
        <v>199</v>
      </c>
      <c r="E462" s="222" t="s">
        <v>200</v>
      </c>
      <c r="F462" s="371" t="s">
        <v>123</v>
      </c>
      <c r="G462" s="309" t="s">
        <v>1416</v>
      </c>
      <c r="H462" s="337" t="s">
        <v>129</v>
      </c>
      <c r="I462" s="311" t="s">
        <v>1417</v>
      </c>
      <c r="J462" s="312" t="s">
        <v>1418</v>
      </c>
      <c r="K462" s="273" t="s">
        <v>97</v>
      </c>
      <c r="L462" s="273" t="s">
        <v>1419</v>
      </c>
      <c r="M462" s="311" t="s">
        <v>279</v>
      </c>
      <c r="N462" s="311" t="s">
        <v>97</v>
      </c>
      <c r="O462" s="311" t="s">
        <v>224</v>
      </c>
      <c r="P462" s="329"/>
      <c r="Q462" s="330" t="s">
        <v>1511</v>
      </c>
      <c r="R462" s="154">
        <v>0</v>
      </c>
      <c r="S462" s="155">
        <v>0</v>
      </c>
      <c r="T462" s="155">
        <v>0</v>
      </c>
      <c r="U462" s="263">
        <v>1</v>
      </c>
      <c r="V462" s="155">
        <v>0</v>
      </c>
      <c r="W462" s="155">
        <v>0</v>
      </c>
      <c r="X462" s="155">
        <v>0</v>
      </c>
      <c r="Y462" s="155">
        <v>0</v>
      </c>
      <c r="Z462" s="155">
        <v>0</v>
      </c>
      <c r="AA462" s="155">
        <v>0</v>
      </c>
      <c r="AB462" s="155">
        <v>0</v>
      </c>
      <c r="AC462" s="155">
        <v>0</v>
      </c>
      <c r="AD462" s="155">
        <v>0</v>
      </c>
      <c r="AE462" s="155">
        <v>0</v>
      </c>
      <c r="AF462" s="155">
        <v>0</v>
      </c>
      <c r="AG462" s="155">
        <f>0</f>
        <v>0</v>
      </c>
      <c r="AH462" s="155">
        <f>0</f>
        <v>0</v>
      </c>
      <c r="AI462" s="155">
        <f>0</f>
        <v>0</v>
      </c>
      <c r="AJ462" s="155">
        <f>0</f>
        <v>0</v>
      </c>
      <c r="AK462" s="155">
        <f>0</f>
        <v>0</v>
      </c>
      <c r="AL462" s="219">
        <f t="shared" si="24"/>
        <v>1</v>
      </c>
      <c r="AM462" s="103"/>
      <c r="AN462" s="326">
        <f t="shared" si="25"/>
        <v>1</v>
      </c>
      <c r="AO462" s="331">
        <v>45041</v>
      </c>
      <c r="AP462" s="317" t="s">
        <v>192</v>
      </c>
      <c r="AQ462" s="340" t="s">
        <v>1538</v>
      </c>
      <c r="AR462" s="332" t="s">
        <v>194</v>
      </c>
      <c r="AS462" s="321"/>
      <c r="AT462" s="318"/>
      <c r="AU462" s="318">
        <v>1</v>
      </c>
      <c r="AV462" s="317">
        <f t="shared" ref="AV462:AV485" si="26">AN462-AU462</f>
        <v>0</v>
      </c>
      <c r="AW462" s="318" t="s">
        <v>195</v>
      </c>
      <c r="AX462" s="333"/>
      <c r="AY462" s="333"/>
      <c r="AZ462" s="341"/>
      <c r="BA462" s="174"/>
      <c r="BB462" s="174"/>
      <c r="BC462" s="174"/>
    </row>
    <row r="463" spans="1:55" ht="28" customHeight="1">
      <c r="A463" s="195">
        <v>459</v>
      </c>
      <c r="B463" s="315">
        <v>45033</v>
      </c>
      <c r="C463" s="222" t="s">
        <v>198</v>
      </c>
      <c r="D463" s="222" t="s">
        <v>199</v>
      </c>
      <c r="E463" s="222" t="s">
        <v>200</v>
      </c>
      <c r="F463" s="371" t="s">
        <v>123</v>
      </c>
      <c r="G463" s="309" t="s">
        <v>1420</v>
      </c>
      <c r="H463" s="337" t="s">
        <v>129</v>
      </c>
      <c r="I463" s="311" t="s">
        <v>1421</v>
      </c>
      <c r="J463" s="312" t="s">
        <v>1422</v>
      </c>
      <c r="K463" s="273"/>
      <c r="L463" s="273" t="s">
        <v>1419</v>
      </c>
      <c r="M463" s="311" t="s">
        <v>147</v>
      </c>
      <c r="N463" s="311"/>
      <c r="O463" s="311" t="s">
        <v>224</v>
      </c>
      <c r="P463" s="329"/>
      <c r="Q463" s="330" t="s">
        <v>1511</v>
      </c>
      <c r="R463" s="154">
        <v>0</v>
      </c>
      <c r="S463" s="155">
        <v>0</v>
      </c>
      <c r="T463" s="155">
        <v>0</v>
      </c>
      <c r="U463" s="263">
        <v>1</v>
      </c>
      <c r="V463" s="155">
        <v>0</v>
      </c>
      <c r="W463" s="155">
        <v>0</v>
      </c>
      <c r="X463" s="155">
        <v>0</v>
      </c>
      <c r="Y463" s="155">
        <v>0</v>
      </c>
      <c r="Z463" s="155">
        <v>0</v>
      </c>
      <c r="AA463" s="155">
        <v>0</v>
      </c>
      <c r="AB463" s="155">
        <v>0</v>
      </c>
      <c r="AC463" s="155">
        <v>0</v>
      </c>
      <c r="AD463" s="155">
        <v>0</v>
      </c>
      <c r="AE463" s="155">
        <v>0</v>
      </c>
      <c r="AF463" s="155">
        <v>0</v>
      </c>
      <c r="AG463" s="155">
        <f>0</f>
        <v>0</v>
      </c>
      <c r="AH463" s="155">
        <f>0</f>
        <v>0</v>
      </c>
      <c r="AI463" s="155">
        <f>0</f>
        <v>0</v>
      </c>
      <c r="AJ463" s="155">
        <f>0</f>
        <v>0</v>
      </c>
      <c r="AK463" s="155">
        <f>0</f>
        <v>0</v>
      </c>
      <c r="AL463" s="219">
        <f t="shared" si="24"/>
        <v>1</v>
      </c>
      <c r="AM463" s="103"/>
      <c r="AN463" s="326">
        <f t="shared" si="25"/>
        <v>1</v>
      </c>
      <c r="AO463" s="331">
        <v>45041</v>
      </c>
      <c r="AP463" s="317" t="s">
        <v>192</v>
      </c>
      <c r="AQ463" s="340" t="s">
        <v>1538</v>
      </c>
      <c r="AR463" s="332" t="s">
        <v>194</v>
      </c>
      <c r="AS463" s="321"/>
      <c r="AT463" s="318"/>
      <c r="AU463" s="318">
        <v>1</v>
      </c>
      <c r="AV463" s="317">
        <f t="shared" si="26"/>
        <v>0</v>
      </c>
      <c r="AW463" s="318" t="s">
        <v>195</v>
      </c>
      <c r="AX463" s="333"/>
      <c r="AY463" s="333"/>
      <c r="AZ463" s="320"/>
      <c r="BA463" s="174"/>
      <c r="BB463" s="174"/>
      <c r="BC463" s="174"/>
    </row>
    <row r="464" spans="1:55" ht="28" customHeight="1">
      <c r="A464" s="195">
        <v>460</v>
      </c>
      <c r="B464" s="315">
        <v>45033</v>
      </c>
      <c r="C464" s="222" t="s">
        <v>198</v>
      </c>
      <c r="D464" s="222" t="s">
        <v>199</v>
      </c>
      <c r="E464" s="222" t="s">
        <v>200</v>
      </c>
      <c r="F464" s="371" t="s">
        <v>123</v>
      </c>
      <c r="G464" s="309" t="s">
        <v>1423</v>
      </c>
      <c r="H464" s="337" t="s">
        <v>129</v>
      </c>
      <c r="I464" s="311" t="s">
        <v>1424</v>
      </c>
      <c r="J464" s="312" t="s">
        <v>1526</v>
      </c>
      <c r="K464" s="273" t="s">
        <v>97</v>
      </c>
      <c r="L464" s="273" t="s">
        <v>176</v>
      </c>
      <c r="M464" s="311" t="s">
        <v>279</v>
      </c>
      <c r="N464" s="311" t="s">
        <v>97</v>
      </c>
      <c r="O464" s="311" t="s">
        <v>224</v>
      </c>
      <c r="P464" s="329"/>
      <c r="Q464" s="330" t="s">
        <v>1511</v>
      </c>
      <c r="R464" s="154">
        <v>0</v>
      </c>
      <c r="S464" s="155">
        <v>0</v>
      </c>
      <c r="T464" s="155">
        <v>0</v>
      </c>
      <c r="U464" s="263">
        <v>1</v>
      </c>
      <c r="V464" s="155">
        <v>0</v>
      </c>
      <c r="W464" s="155">
        <v>0</v>
      </c>
      <c r="X464" s="155">
        <v>0</v>
      </c>
      <c r="Y464" s="155">
        <v>0</v>
      </c>
      <c r="Z464" s="155">
        <v>0</v>
      </c>
      <c r="AA464" s="155">
        <v>0</v>
      </c>
      <c r="AB464" s="155">
        <v>0</v>
      </c>
      <c r="AC464" s="155">
        <v>0</v>
      </c>
      <c r="AD464" s="155">
        <v>0</v>
      </c>
      <c r="AE464" s="155">
        <v>0</v>
      </c>
      <c r="AF464" s="155">
        <v>0</v>
      </c>
      <c r="AG464" s="155">
        <f>0</f>
        <v>0</v>
      </c>
      <c r="AH464" s="155">
        <f>0</f>
        <v>0</v>
      </c>
      <c r="AI464" s="155">
        <f>0</f>
        <v>0</v>
      </c>
      <c r="AJ464" s="155">
        <f>0</f>
        <v>0</v>
      </c>
      <c r="AK464" s="155">
        <f>0</f>
        <v>0</v>
      </c>
      <c r="AL464" s="219">
        <f t="shared" si="24"/>
        <v>1</v>
      </c>
      <c r="AM464" s="103"/>
      <c r="AN464" s="326">
        <f t="shared" si="25"/>
        <v>1</v>
      </c>
      <c r="AO464" s="331">
        <v>45041</v>
      </c>
      <c r="AP464" s="317" t="s">
        <v>192</v>
      </c>
      <c r="AQ464" s="340" t="s">
        <v>1538</v>
      </c>
      <c r="AR464" s="332" t="s">
        <v>194</v>
      </c>
      <c r="AS464" s="321"/>
      <c r="AT464" s="318"/>
      <c r="AU464" s="318">
        <v>1</v>
      </c>
      <c r="AV464" s="317">
        <f t="shared" si="26"/>
        <v>0</v>
      </c>
      <c r="AW464" s="318" t="s">
        <v>195</v>
      </c>
      <c r="AX464" s="333"/>
      <c r="AY464" s="333"/>
      <c r="AZ464" s="341"/>
      <c r="BA464" s="174"/>
      <c r="BB464" s="174"/>
      <c r="BC464" s="174"/>
    </row>
    <row r="465" spans="1:55" ht="28" customHeight="1">
      <c r="A465" s="195">
        <v>461</v>
      </c>
      <c r="B465" s="315">
        <v>45033</v>
      </c>
      <c r="C465" s="222" t="s">
        <v>198</v>
      </c>
      <c r="D465" s="222" t="s">
        <v>199</v>
      </c>
      <c r="E465" s="222" t="s">
        <v>200</v>
      </c>
      <c r="F465" s="371" t="s">
        <v>123</v>
      </c>
      <c r="G465" s="309" t="s">
        <v>1425</v>
      </c>
      <c r="H465" s="337" t="s">
        <v>129</v>
      </c>
      <c r="I465" s="311" t="s">
        <v>1426</v>
      </c>
      <c r="J465" s="312" t="s">
        <v>1427</v>
      </c>
      <c r="K465" s="273" t="s">
        <v>97</v>
      </c>
      <c r="L465" s="273" t="s">
        <v>176</v>
      </c>
      <c r="M465" s="311" t="s">
        <v>147</v>
      </c>
      <c r="N465" s="311" t="s">
        <v>97</v>
      </c>
      <c r="O465" s="311" t="s">
        <v>224</v>
      </c>
      <c r="P465" s="329"/>
      <c r="Q465" s="330" t="s">
        <v>1511</v>
      </c>
      <c r="R465" s="154">
        <v>0</v>
      </c>
      <c r="S465" s="155">
        <v>0</v>
      </c>
      <c r="T465" s="155">
        <v>0</v>
      </c>
      <c r="U465" s="263">
        <v>1</v>
      </c>
      <c r="V465" s="155">
        <v>0</v>
      </c>
      <c r="W465" s="155">
        <v>0</v>
      </c>
      <c r="X465" s="155">
        <v>0</v>
      </c>
      <c r="Y465" s="155">
        <v>0</v>
      </c>
      <c r="Z465" s="155">
        <v>0</v>
      </c>
      <c r="AA465" s="155">
        <v>0</v>
      </c>
      <c r="AB465" s="155">
        <v>0</v>
      </c>
      <c r="AC465" s="155">
        <v>0</v>
      </c>
      <c r="AD465" s="155">
        <v>0</v>
      </c>
      <c r="AE465" s="155">
        <v>0</v>
      </c>
      <c r="AF465" s="155">
        <v>0</v>
      </c>
      <c r="AG465" s="155">
        <f>0</f>
        <v>0</v>
      </c>
      <c r="AH465" s="155">
        <f>0</f>
        <v>0</v>
      </c>
      <c r="AI465" s="155">
        <f>0</f>
        <v>0</v>
      </c>
      <c r="AJ465" s="155">
        <f>0</f>
        <v>0</v>
      </c>
      <c r="AK465" s="155">
        <f>0</f>
        <v>0</v>
      </c>
      <c r="AL465" s="219">
        <f t="shared" si="24"/>
        <v>1</v>
      </c>
      <c r="AM465" s="103"/>
      <c r="AN465" s="326">
        <f t="shared" si="25"/>
        <v>1</v>
      </c>
      <c r="AO465" s="331">
        <v>45041</v>
      </c>
      <c r="AP465" s="317" t="s">
        <v>192</v>
      </c>
      <c r="AQ465" s="340" t="s">
        <v>1538</v>
      </c>
      <c r="AR465" s="332" t="s">
        <v>194</v>
      </c>
      <c r="AS465" s="321"/>
      <c r="AT465" s="318"/>
      <c r="AU465" s="318">
        <v>1</v>
      </c>
      <c r="AV465" s="317">
        <f t="shared" si="26"/>
        <v>0</v>
      </c>
      <c r="AW465" s="318" t="s">
        <v>195</v>
      </c>
      <c r="AX465" s="333"/>
      <c r="AY465" s="333"/>
      <c r="AZ465" s="320"/>
      <c r="BA465" s="174"/>
      <c r="BB465" s="174"/>
      <c r="BC465" s="174"/>
    </row>
    <row r="466" spans="1:55" ht="28" customHeight="1">
      <c r="A466" s="195">
        <v>462</v>
      </c>
      <c r="B466" s="315">
        <v>45033</v>
      </c>
      <c r="C466" s="222" t="s">
        <v>198</v>
      </c>
      <c r="D466" s="222" t="s">
        <v>199</v>
      </c>
      <c r="E466" s="222" t="s">
        <v>200</v>
      </c>
      <c r="F466" s="371" t="s">
        <v>123</v>
      </c>
      <c r="G466" s="309" t="s">
        <v>759</v>
      </c>
      <c r="H466" s="337" t="s">
        <v>129</v>
      </c>
      <c r="I466" s="311" t="s">
        <v>760</v>
      </c>
      <c r="J466" s="312" t="s">
        <v>761</v>
      </c>
      <c r="K466" s="273" t="s">
        <v>97</v>
      </c>
      <c r="L466" s="273" t="s">
        <v>176</v>
      </c>
      <c r="M466" s="311" t="s">
        <v>279</v>
      </c>
      <c r="N466" s="311" t="s">
        <v>97</v>
      </c>
      <c r="O466" s="311" t="s">
        <v>224</v>
      </c>
      <c r="P466" s="329" t="s">
        <v>104</v>
      </c>
      <c r="Q466" s="330" t="s">
        <v>1511</v>
      </c>
      <c r="R466" s="154">
        <v>0</v>
      </c>
      <c r="S466" s="155">
        <v>0</v>
      </c>
      <c r="T466" s="155">
        <v>0</v>
      </c>
      <c r="U466" s="263">
        <v>2</v>
      </c>
      <c r="V466" s="155">
        <v>0</v>
      </c>
      <c r="W466" s="155">
        <v>0</v>
      </c>
      <c r="X466" s="155">
        <v>0</v>
      </c>
      <c r="Y466" s="155">
        <v>0</v>
      </c>
      <c r="Z466" s="155">
        <v>0</v>
      </c>
      <c r="AA466" s="155">
        <v>0</v>
      </c>
      <c r="AB466" s="155">
        <v>0</v>
      </c>
      <c r="AC466" s="155">
        <v>0</v>
      </c>
      <c r="AD466" s="155">
        <v>0</v>
      </c>
      <c r="AE466" s="155">
        <v>0</v>
      </c>
      <c r="AF466" s="155">
        <v>0</v>
      </c>
      <c r="AG466" s="155">
        <f>0</f>
        <v>0</v>
      </c>
      <c r="AH466" s="155">
        <f>0</f>
        <v>0</v>
      </c>
      <c r="AI466" s="155">
        <f>0</f>
        <v>0</v>
      </c>
      <c r="AJ466" s="155">
        <f>0</f>
        <v>0</v>
      </c>
      <c r="AK466" s="155">
        <f>0</f>
        <v>0</v>
      </c>
      <c r="AL466" s="219">
        <f t="shared" si="24"/>
        <v>2</v>
      </c>
      <c r="AM466" s="103"/>
      <c r="AN466" s="326">
        <f t="shared" si="25"/>
        <v>2</v>
      </c>
      <c r="AO466" s="331">
        <v>45041</v>
      </c>
      <c r="AP466" s="317" t="s">
        <v>192</v>
      </c>
      <c r="AQ466" s="340" t="s">
        <v>1538</v>
      </c>
      <c r="AR466" s="332" t="s">
        <v>194</v>
      </c>
      <c r="AS466" s="321"/>
      <c r="AT466" s="318"/>
      <c r="AU466" s="318"/>
      <c r="AV466" s="317">
        <f t="shared" si="26"/>
        <v>2</v>
      </c>
      <c r="AW466" s="318" t="s">
        <v>104</v>
      </c>
      <c r="AX466" s="333"/>
      <c r="AY466" s="333"/>
      <c r="AZ466" s="341"/>
      <c r="BA466" s="174"/>
      <c r="BB466" s="174"/>
      <c r="BC466" s="174"/>
    </row>
    <row r="467" spans="1:55" ht="28" customHeight="1">
      <c r="A467" s="195">
        <v>463</v>
      </c>
      <c r="B467" s="315">
        <v>45033</v>
      </c>
      <c r="C467" s="222" t="s">
        <v>198</v>
      </c>
      <c r="D467" s="222" t="s">
        <v>199</v>
      </c>
      <c r="E467" s="222" t="s">
        <v>200</v>
      </c>
      <c r="F467" s="371" t="s">
        <v>123</v>
      </c>
      <c r="G467" s="309" t="s">
        <v>1428</v>
      </c>
      <c r="H467" s="337" t="s">
        <v>129</v>
      </c>
      <c r="I467" s="311" t="s">
        <v>1503</v>
      </c>
      <c r="J467" s="312" t="s">
        <v>1429</v>
      </c>
      <c r="K467" s="273"/>
      <c r="L467" s="273" t="s">
        <v>176</v>
      </c>
      <c r="M467" s="311" t="s">
        <v>279</v>
      </c>
      <c r="N467" s="311"/>
      <c r="O467" s="311" t="s">
        <v>224</v>
      </c>
      <c r="P467" s="329"/>
      <c r="Q467" s="330" t="s">
        <v>1511</v>
      </c>
      <c r="R467" s="154">
        <v>0</v>
      </c>
      <c r="S467" s="155">
        <v>0</v>
      </c>
      <c r="T467" s="155">
        <v>0</v>
      </c>
      <c r="U467" s="263">
        <v>4</v>
      </c>
      <c r="V467" s="155">
        <v>0</v>
      </c>
      <c r="W467" s="155">
        <v>0</v>
      </c>
      <c r="X467" s="155">
        <v>0</v>
      </c>
      <c r="Y467" s="155">
        <v>0</v>
      </c>
      <c r="Z467" s="155">
        <v>0</v>
      </c>
      <c r="AA467" s="155">
        <v>0</v>
      </c>
      <c r="AB467" s="155">
        <v>0</v>
      </c>
      <c r="AC467" s="155">
        <v>0</v>
      </c>
      <c r="AD467" s="155">
        <v>0</v>
      </c>
      <c r="AE467" s="155">
        <v>0</v>
      </c>
      <c r="AF467" s="155">
        <v>0</v>
      </c>
      <c r="AG467" s="155">
        <f>0</f>
        <v>0</v>
      </c>
      <c r="AH467" s="155">
        <f>0</f>
        <v>0</v>
      </c>
      <c r="AI467" s="155">
        <f>0</f>
        <v>0</v>
      </c>
      <c r="AJ467" s="155">
        <f>0</f>
        <v>0</v>
      </c>
      <c r="AK467" s="155">
        <f>0</f>
        <v>0</v>
      </c>
      <c r="AL467" s="219">
        <f t="shared" si="24"/>
        <v>4</v>
      </c>
      <c r="AM467" s="103"/>
      <c r="AN467" s="326">
        <f t="shared" si="25"/>
        <v>4</v>
      </c>
      <c r="AO467" s="331">
        <v>45041</v>
      </c>
      <c r="AP467" s="317" t="s">
        <v>192</v>
      </c>
      <c r="AQ467" s="340" t="s">
        <v>1538</v>
      </c>
      <c r="AR467" s="332" t="s">
        <v>194</v>
      </c>
      <c r="AS467" s="321"/>
      <c r="AT467" s="318"/>
      <c r="AU467" s="318">
        <v>4</v>
      </c>
      <c r="AV467" s="317">
        <f t="shared" si="26"/>
        <v>0</v>
      </c>
      <c r="AW467" s="318" t="s">
        <v>195</v>
      </c>
      <c r="AX467" s="333"/>
      <c r="AY467" s="333"/>
      <c r="AZ467" s="320"/>
      <c r="BA467" s="174"/>
      <c r="BB467" s="174"/>
      <c r="BC467" s="174"/>
    </row>
    <row r="468" spans="1:55" ht="28" customHeight="1">
      <c r="A468" s="195">
        <v>464</v>
      </c>
      <c r="B468" s="315">
        <v>45033</v>
      </c>
      <c r="C468" s="222" t="s">
        <v>198</v>
      </c>
      <c r="D468" s="222" t="s">
        <v>199</v>
      </c>
      <c r="E468" s="222" t="s">
        <v>200</v>
      </c>
      <c r="F468" s="371" t="s">
        <v>123</v>
      </c>
      <c r="G468" s="309" t="s">
        <v>1430</v>
      </c>
      <c r="H468" s="337" t="s">
        <v>129</v>
      </c>
      <c r="I468" s="311" t="s">
        <v>1431</v>
      </c>
      <c r="J468" s="312" t="s">
        <v>1432</v>
      </c>
      <c r="K468" s="273"/>
      <c r="L468" s="273" t="s">
        <v>176</v>
      </c>
      <c r="M468" s="311" t="s">
        <v>147</v>
      </c>
      <c r="N468" s="311"/>
      <c r="O468" s="311" t="s">
        <v>224</v>
      </c>
      <c r="P468" s="329"/>
      <c r="Q468" s="330" t="s">
        <v>1511</v>
      </c>
      <c r="R468" s="154">
        <v>0</v>
      </c>
      <c r="S468" s="155">
        <v>0</v>
      </c>
      <c r="T468" s="155">
        <v>0</v>
      </c>
      <c r="U468" s="263">
        <v>2</v>
      </c>
      <c r="V468" s="155">
        <v>0</v>
      </c>
      <c r="W468" s="155">
        <v>0</v>
      </c>
      <c r="X468" s="155">
        <v>0</v>
      </c>
      <c r="Y468" s="155">
        <v>0</v>
      </c>
      <c r="Z468" s="155">
        <v>0</v>
      </c>
      <c r="AA468" s="155">
        <v>0</v>
      </c>
      <c r="AB468" s="155">
        <v>0</v>
      </c>
      <c r="AC468" s="155">
        <v>0</v>
      </c>
      <c r="AD468" s="155">
        <v>0</v>
      </c>
      <c r="AE468" s="155">
        <v>0</v>
      </c>
      <c r="AF468" s="155">
        <v>0</v>
      </c>
      <c r="AG468" s="155">
        <f>0</f>
        <v>0</v>
      </c>
      <c r="AH468" s="155">
        <f>0</f>
        <v>0</v>
      </c>
      <c r="AI468" s="155">
        <f>0</f>
        <v>0</v>
      </c>
      <c r="AJ468" s="155">
        <f>0</f>
        <v>0</v>
      </c>
      <c r="AK468" s="155">
        <f>0</f>
        <v>0</v>
      </c>
      <c r="AL468" s="219">
        <f t="shared" si="24"/>
        <v>2</v>
      </c>
      <c r="AM468" s="103"/>
      <c r="AN468" s="326">
        <f t="shared" si="25"/>
        <v>2</v>
      </c>
      <c r="AO468" s="331">
        <v>45041</v>
      </c>
      <c r="AP468" s="317" t="s">
        <v>192</v>
      </c>
      <c r="AQ468" s="340" t="s">
        <v>1538</v>
      </c>
      <c r="AR468" s="332" t="s">
        <v>194</v>
      </c>
      <c r="AS468" s="321"/>
      <c r="AT468" s="318"/>
      <c r="AU468" s="318">
        <v>2</v>
      </c>
      <c r="AV468" s="317">
        <f t="shared" si="26"/>
        <v>0</v>
      </c>
      <c r="AW468" s="318" t="s">
        <v>195</v>
      </c>
      <c r="AX468" s="333"/>
      <c r="AY468" s="333"/>
      <c r="AZ468" s="341"/>
      <c r="BA468" s="174"/>
      <c r="BB468" s="174"/>
      <c r="BC468" s="174"/>
    </row>
    <row r="469" spans="1:55" ht="28" customHeight="1">
      <c r="A469" s="195">
        <v>465</v>
      </c>
      <c r="B469" s="315">
        <v>45033</v>
      </c>
      <c r="C469" s="222" t="s">
        <v>198</v>
      </c>
      <c r="D469" s="222" t="s">
        <v>199</v>
      </c>
      <c r="E469" s="222" t="s">
        <v>200</v>
      </c>
      <c r="F469" s="371" t="s">
        <v>123</v>
      </c>
      <c r="G469" s="309" t="s">
        <v>1433</v>
      </c>
      <c r="H469" s="337" t="s">
        <v>129</v>
      </c>
      <c r="I469" s="311" t="s">
        <v>1504</v>
      </c>
      <c r="J469" s="312" t="s">
        <v>1434</v>
      </c>
      <c r="K469" s="273"/>
      <c r="L469" s="273" t="s">
        <v>176</v>
      </c>
      <c r="M469" s="311" t="s">
        <v>147</v>
      </c>
      <c r="N469" s="311"/>
      <c r="O469" s="311" t="s">
        <v>224</v>
      </c>
      <c r="P469" s="329"/>
      <c r="Q469" s="330" t="s">
        <v>1511</v>
      </c>
      <c r="R469" s="154">
        <v>0</v>
      </c>
      <c r="S469" s="155">
        <v>0</v>
      </c>
      <c r="T469" s="155">
        <v>0</v>
      </c>
      <c r="U469" s="263">
        <v>1</v>
      </c>
      <c r="V469" s="155">
        <v>0</v>
      </c>
      <c r="W469" s="155">
        <v>0</v>
      </c>
      <c r="X469" s="155">
        <v>0</v>
      </c>
      <c r="Y469" s="155">
        <v>0</v>
      </c>
      <c r="Z469" s="155">
        <v>0</v>
      </c>
      <c r="AA469" s="155">
        <v>0</v>
      </c>
      <c r="AB469" s="155">
        <v>0</v>
      </c>
      <c r="AC469" s="155">
        <v>0</v>
      </c>
      <c r="AD469" s="155">
        <v>0</v>
      </c>
      <c r="AE469" s="155">
        <v>0</v>
      </c>
      <c r="AF469" s="155">
        <v>0</v>
      </c>
      <c r="AG469" s="155">
        <f>0</f>
        <v>0</v>
      </c>
      <c r="AH469" s="155">
        <f>0</f>
        <v>0</v>
      </c>
      <c r="AI469" s="155">
        <f>0</f>
        <v>0</v>
      </c>
      <c r="AJ469" s="155">
        <f>0</f>
        <v>0</v>
      </c>
      <c r="AK469" s="155">
        <f>0</f>
        <v>0</v>
      </c>
      <c r="AL469" s="219">
        <f t="shared" si="24"/>
        <v>1</v>
      </c>
      <c r="AM469" s="103"/>
      <c r="AN469" s="326">
        <f t="shared" si="25"/>
        <v>1</v>
      </c>
      <c r="AO469" s="331">
        <v>45041</v>
      </c>
      <c r="AP469" s="317" t="s">
        <v>192</v>
      </c>
      <c r="AQ469" s="340" t="s">
        <v>1538</v>
      </c>
      <c r="AR469" s="332" t="s">
        <v>194</v>
      </c>
      <c r="AS469" s="321"/>
      <c r="AT469" s="318"/>
      <c r="AU469" s="318"/>
      <c r="AV469" s="317">
        <f t="shared" si="26"/>
        <v>1</v>
      </c>
      <c r="AW469" s="318" t="s">
        <v>195</v>
      </c>
      <c r="AX469" s="333"/>
      <c r="AY469" s="333"/>
      <c r="AZ469" s="320"/>
      <c r="BA469" s="174"/>
      <c r="BB469" s="174"/>
      <c r="BC469" s="174"/>
    </row>
    <row r="470" spans="1:55" ht="28" customHeight="1">
      <c r="A470" s="195">
        <v>466</v>
      </c>
      <c r="B470" s="315">
        <v>45033</v>
      </c>
      <c r="C470" s="222" t="s">
        <v>198</v>
      </c>
      <c r="D470" s="222" t="s">
        <v>199</v>
      </c>
      <c r="E470" s="222" t="s">
        <v>200</v>
      </c>
      <c r="F470" s="371" t="s">
        <v>123</v>
      </c>
      <c r="G470" s="309" t="s">
        <v>1435</v>
      </c>
      <c r="H470" s="337" t="s">
        <v>129</v>
      </c>
      <c r="I470" s="311" t="s">
        <v>1436</v>
      </c>
      <c r="J470" s="312" t="s">
        <v>1437</v>
      </c>
      <c r="K470" s="273" t="s">
        <v>97</v>
      </c>
      <c r="L470" s="273" t="s">
        <v>176</v>
      </c>
      <c r="M470" s="311" t="s">
        <v>279</v>
      </c>
      <c r="N470" s="311" t="s">
        <v>97</v>
      </c>
      <c r="O470" s="311" t="s">
        <v>399</v>
      </c>
      <c r="P470" s="329"/>
      <c r="Q470" s="330" t="s">
        <v>1511</v>
      </c>
      <c r="R470" s="154">
        <v>0</v>
      </c>
      <c r="S470" s="155">
        <v>0</v>
      </c>
      <c r="T470" s="155">
        <v>0</v>
      </c>
      <c r="U470" s="263">
        <v>1</v>
      </c>
      <c r="V470" s="155">
        <v>0</v>
      </c>
      <c r="W470" s="155">
        <v>0</v>
      </c>
      <c r="X470" s="155">
        <v>0</v>
      </c>
      <c r="Y470" s="155">
        <v>0</v>
      </c>
      <c r="Z470" s="155">
        <v>0</v>
      </c>
      <c r="AA470" s="155">
        <v>0</v>
      </c>
      <c r="AB470" s="155">
        <v>0</v>
      </c>
      <c r="AC470" s="155">
        <v>0</v>
      </c>
      <c r="AD470" s="155">
        <v>0</v>
      </c>
      <c r="AE470" s="155">
        <v>0</v>
      </c>
      <c r="AF470" s="155">
        <v>0</v>
      </c>
      <c r="AG470" s="155">
        <f>0</f>
        <v>0</v>
      </c>
      <c r="AH470" s="155">
        <f>0</f>
        <v>0</v>
      </c>
      <c r="AI470" s="155">
        <f>0</f>
        <v>0</v>
      </c>
      <c r="AJ470" s="155">
        <f>0</f>
        <v>0</v>
      </c>
      <c r="AK470" s="155">
        <f>0</f>
        <v>0</v>
      </c>
      <c r="AL470" s="219">
        <f t="shared" si="24"/>
        <v>1</v>
      </c>
      <c r="AM470" s="103"/>
      <c r="AN470" s="326">
        <f t="shared" si="25"/>
        <v>1</v>
      </c>
      <c r="AO470" s="331">
        <v>45041</v>
      </c>
      <c r="AP470" s="317" t="s">
        <v>192</v>
      </c>
      <c r="AQ470" s="340" t="s">
        <v>1538</v>
      </c>
      <c r="AR470" s="332" t="s">
        <v>194</v>
      </c>
      <c r="AS470" s="321"/>
      <c r="AT470" s="318"/>
      <c r="AU470" s="318">
        <v>1</v>
      </c>
      <c r="AV470" s="317">
        <f t="shared" si="26"/>
        <v>0</v>
      </c>
      <c r="AW470" s="318" t="s">
        <v>195</v>
      </c>
      <c r="AX470" s="333"/>
      <c r="AY470" s="333"/>
      <c r="AZ470" s="341"/>
      <c r="BA470" s="174"/>
      <c r="BB470" s="174"/>
      <c r="BC470" s="174"/>
    </row>
    <row r="471" spans="1:55" ht="28" customHeight="1">
      <c r="A471" s="195">
        <v>467</v>
      </c>
      <c r="B471" s="315">
        <v>45033</v>
      </c>
      <c r="C471" s="374" t="s">
        <v>198</v>
      </c>
      <c r="D471" s="374" t="s">
        <v>199</v>
      </c>
      <c r="E471" s="374" t="s">
        <v>200</v>
      </c>
      <c r="F471" s="371" t="s">
        <v>123</v>
      </c>
      <c r="G471" s="309" t="s">
        <v>1438</v>
      </c>
      <c r="H471" s="337" t="s">
        <v>129</v>
      </c>
      <c r="I471" s="311" t="s">
        <v>1505</v>
      </c>
      <c r="J471" s="312" t="s">
        <v>1439</v>
      </c>
      <c r="K471" s="112"/>
      <c r="L471" s="273" t="s">
        <v>159</v>
      </c>
      <c r="M471" s="311" t="s">
        <v>279</v>
      </c>
      <c r="N471" s="311"/>
      <c r="O471" s="311" t="s">
        <v>169</v>
      </c>
      <c r="P471" s="329"/>
      <c r="Q471" s="323" t="s">
        <v>1511</v>
      </c>
      <c r="R471" s="154">
        <v>0</v>
      </c>
      <c r="S471" s="155">
        <v>0</v>
      </c>
      <c r="T471" s="155">
        <v>0</v>
      </c>
      <c r="U471" s="263">
        <v>1</v>
      </c>
      <c r="V471" s="155">
        <v>0</v>
      </c>
      <c r="W471" s="155">
        <v>0</v>
      </c>
      <c r="X471" s="155">
        <v>0</v>
      </c>
      <c r="Y471" s="155">
        <v>0</v>
      </c>
      <c r="Z471" s="155">
        <v>0</v>
      </c>
      <c r="AA471" s="155">
        <v>0</v>
      </c>
      <c r="AB471" s="155">
        <v>0</v>
      </c>
      <c r="AC471" s="155">
        <v>0</v>
      </c>
      <c r="AD471" s="155">
        <v>0</v>
      </c>
      <c r="AE471" s="155">
        <v>0</v>
      </c>
      <c r="AF471" s="155">
        <v>0</v>
      </c>
      <c r="AG471" s="155">
        <f>0</f>
        <v>0</v>
      </c>
      <c r="AH471" s="155">
        <f>0</f>
        <v>0</v>
      </c>
      <c r="AI471" s="155">
        <f>0</f>
        <v>0</v>
      </c>
      <c r="AJ471" s="155">
        <f>0</f>
        <v>0</v>
      </c>
      <c r="AK471" s="155">
        <f>0</f>
        <v>0</v>
      </c>
      <c r="AL471" s="219">
        <f t="shared" si="24"/>
        <v>1</v>
      </c>
      <c r="AM471" s="103"/>
      <c r="AN471" s="375">
        <f t="shared" si="25"/>
        <v>1</v>
      </c>
      <c r="AO471" s="331">
        <v>45057</v>
      </c>
      <c r="AP471" s="372" t="s">
        <v>192</v>
      </c>
      <c r="AQ471" s="340" t="s">
        <v>1542</v>
      </c>
      <c r="AR471" s="332" t="s">
        <v>194</v>
      </c>
      <c r="AS471" s="317"/>
      <c r="AT471" s="318"/>
      <c r="AU471" s="318">
        <v>1</v>
      </c>
      <c r="AV471" s="317">
        <f t="shared" si="26"/>
        <v>0</v>
      </c>
      <c r="AW471" s="318" t="s">
        <v>195</v>
      </c>
      <c r="AX471" s="333"/>
      <c r="AY471" s="333"/>
      <c r="AZ471" s="320"/>
    </row>
    <row r="472" spans="1:55" s="373" customFormat="1" ht="28" customHeight="1">
      <c r="A472" s="376">
        <v>468</v>
      </c>
      <c r="B472" s="377">
        <v>45033</v>
      </c>
      <c r="C472" s="128"/>
      <c r="D472" s="128"/>
      <c r="E472" s="128"/>
      <c r="F472" s="378" t="s">
        <v>123</v>
      </c>
      <c r="G472" s="379" t="s">
        <v>1440</v>
      </c>
      <c r="H472" s="380" t="s">
        <v>129</v>
      </c>
      <c r="I472" s="381" t="s">
        <v>1441</v>
      </c>
      <c r="J472" s="382" t="s">
        <v>1442</v>
      </c>
      <c r="K472" s="112"/>
      <c r="L472" s="383" t="s">
        <v>176</v>
      </c>
      <c r="M472" s="381" t="s">
        <v>279</v>
      </c>
      <c r="N472" s="381"/>
      <c r="O472" s="381" t="s">
        <v>224</v>
      </c>
      <c r="P472" s="384" t="s">
        <v>1540</v>
      </c>
      <c r="Q472" s="323" t="s">
        <v>1511</v>
      </c>
      <c r="R472" s="154">
        <v>0</v>
      </c>
      <c r="S472" s="155">
        <v>0</v>
      </c>
      <c r="T472" s="155">
        <v>0</v>
      </c>
      <c r="U472" s="155">
        <v>0</v>
      </c>
      <c r="V472" s="155">
        <v>0</v>
      </c>
      <c r="W472" s="155">
        <v>0</v>
      </c>
      <c r="X472" s="155">
        <v>0</v>
      </c>
      <c r="Y472" s="155">
        <v>0</v>
      </c>
      <c r="Z472" s="155">
        <v>0</v>
      </c>
      <c r="AA472" s="155">
        <v>0</v>
      </c>
      <c r="AB472" s="155">
        <v>0</v>
      </c>
      <c r="AC472" s="155">
        <v>0</v>
      </c>
      <c r="AD472" s="155">
        <v>0</v>
      </c>
      <c r="AE472" s="155">
        <v>0</v>
      </c>
      <c r="AF472" s="155">
        <v>0</v>
      </c>
      <c r="AG472" s="155">
        <f>0</f>
        <v>0</v>
      </c>
      <c r="AH472" s="155">
        <f>0</f>
        <v>0</v>
      </c>
      <c r="AI472" s="155">
        <f>0</f>
        <v>0</v>
      </c>
      <c r="AJ472" s="155">
        <f>0</f>
        <v>0</v>
      </c>
      <c r="AK472" s="155">
        <f>0</f>
        <v>0</v>
      </c>
      <c r="AL472" s="370">
        <f t="shared" si="24"/>
        <v>0</v>
      </c>
      <c r="AM472" s="103"/>
      <c r="AN472" s="385">
        <f t="shared" si="25"/>
        <v>0</v>
      </c>
      <c r="AO472" s="386"/>
      <c r="AP472" s="387"/>
      <c r="AQ472" s="388"/>
      <c r="AR472" s="389"/>
      <c r="AS472" s="387"/>
      <c r="AT472" s="390"/>
      <c r="AU472" s="390"/>
      <c r="AV472" s="387">
        <f t="shared" si="26"/>
        <v>0</v>
      </c>
      <c r="AW472" s="390" t="s">
        <v>104</v>
      </c>
      <c r="AX472" s="391"/>
      <c r="AY472" s="391"/>
      <c r="AZ472" s="392"/>
      <c r="BA472" s="10"/>
      <c r="BB472" s="10"/>
      <c r="BC472" s="10"/>
    </row>
    <row r="473" spans="1:55" ht="28" customHeight="1">
      <c r="A473" s="195">
        <v>469</v>
      </c>
      <c r="B473" s="315">
        <v>45033</v>
      </c>
      <c r="C473" s="222" t="s">
        <v>198</v>
      </c>
      <c r="D473" s="222" t="s">
        <v>199</v>
      </c>
      <c r="E473" s="222" t="s">
        <v>200</v>
      </c>
      <c r="F473" s="371" t="s">
        <v>123</v>
      </c>
      <c r="G473" s="309" t="s">
        <v>1443</v>
      </c>
      <c r="H473" s="337" t="s">
        <v>129</v>
      </c>
      <c r="I473" s="311" t="s">
        <v>1506</v>
      </c>
      <c r="J473" s="312" t="s">
        <v>1444</v>
      </c>
      <c r="K473" s="273"/>
      <c r="L473" s="273" t="s">
        <v>176</v>
      </c>
      <c r="M473" s="311" t="s">
        <v>147</v>
      </c>
      <c r="N473" s="311"/>
      <c r="O473" s="311" t="s">
        <v>224</v>
      </c>
      <c r="P473" s="329"/>
      <c r="Q473" s="330" t="s">
        <v>1511</v>
      </c>
      <c r="R473" s="154">
        <v>0</v>
      </c>
      <c r="S473" s="155">
        <v>0</v>
      </c>
      <c r="T473" s="155">
        <v>0</v>
      </c>
      <c r="U473" s="263">
        <v>2</v>
      </c>
      <c r="V473" s="155">
        <v>0</v>
      </c>
      <c r="W473" s="155">
        <v>0</v>
      </c>
      <c r="X473" s="155">
        <v>0</v>
      </c>
      <c r="Y473" s="155">
        <v>0</v>
      </c>
      <c r="Z473" s="155">
        <v>0</v>
      </c>
      <c r="AA473" s="155">
        <v>0</v>
      </c>
      <c r="AB473" s="155">
        <v>0</v>
      </c>
      <c r="AC473" s="155">
        <v>0</v>
      </c>
      <c r="AD473" s="155">
        <v>0</v>
      </c>
      <c r="AE473" s="155">
        <v>0</v>
      </c>
      <c r="AF473" s="155">
        <v>0</v>
      </c>
      <c r="AG473" s="155">
        <f>0</f>
        <v>0</v>
      </c>
      <c r="AH473" s="155">
        <f>0</f>
        <v>0</v>
      </c>
      <c r="AI473" s="155">
        <f>0</f>
        <v>0</v>
      </c>
      <c r="AJ473" s="155">
        <f>0</f>
        <v>0</v>
      </c>
      <c r="AK473" s="155">
        <f>0</f>
        <v>0</v>
      </c>
      <c r="AL473" s="219">
        <f t="shared" si="24"/>
        <v>2</v>
      </c>
      <c r="AM473" s="103"/>
      <c r="AN473" s="326">
        <f t="shared" si="25"/>
        <v>2</v>
      </c>
      <c r="AO473" s="331">
        <v>45041</v>
      </c>
      <c r="AP473" s="317" t="s">
        <v>192</v>
      </c>
      <c r="AQ473" s="340" t="s">
        <v>1538</v>
      </c>
      <c r="AR473" s="332" t="s">
        <v>194</v>
      </c>
      <c r="AS473" s="321"/>
      <c r="AT473" s="318"/>
      <c r="AU473" s="318">
        <v>2</v>
      </c>
      <c r="AV473" s="317">
        <f t="shared" si="26"/>
        <v>0</v>
      </c>
      <c r="AW473" s="318" t="s">
        <v>195</v>
      </c>
      <c r="AX473" s="333"/>
      <c r="AY473" s="333"/>
      <c r="AZ473" s="320"/>
      <c r="BA473" s="174"/>
      <c r="BB473" s="174"/>
      <c r="BC473" s="174"/>
    </row>
    <row r="474" spans="1:55" ht="28" customHeight="1">
      <c r="A474" s="195">
        <v>470</v>
      </c>
      <c r="B474" s="315">
        <v>45033</v>
      </c>
      <c r="C474" s="222" t="s">
        <v>198</v>
      </c>
      <c r="D474" s="222" t="s">
        <v>199</v>
      </c>
      <c r="E474" s="222" t="s">
        <v>200</v>
      </c>
      <c r="F474" s="371" t="s">
        <v>123</v>
      </c>
      <c r="G474" s="309" t="s">
        <v>1445</v>
      </c>
      <c r="H474" s="337" t="s">
        <v>129</v>
      </c>
      <c r="I474" s="311" t="s">
        <v>1446</v>
      </c>
      <c r="J474" s="312" t="s">
        <v>1447</v>
      </c>
      <c r="K474" s="273"/>
      <c r="L474" s="273" t="s">
        <v>176</v>
      </c>
      <c r="M474" s="311" t="s">
        <v>279</v>
      </c>
      <c r="N474" s="311"/>
      <c r="O474" s="311" t="s">
        <v>224</v>
      </c>
      <c r="P474" s="329"/>
      <c r="Q474" s="330" t="s">
        <v>1511</v>
      </c>
      <c r="R474" s="154">
        <v>0</v>
      </c>
      <c r="S474" s="155">
        <v>0</v>
      </c>
      <c r="T474" s="155">
        <v>0</v>
      </c>
      <c r="U474" s="263">
        <v>1</v>
      </c>
      <c r="V474" s="155">
        <v>0</v>
      </c>
      <c r="W474" s="155">
        <v>0</v>
      </c>
      <c r="X474" s="155">
        <v>0</v>
      </c>
      <c r="Y474" s="155">
        <v>0</v>
      </c>
      <c r="Z474" s="155">
        <v>0</v>
      </c>
      <c r="AA474" s="155">
        <v>0</v>
      </c>
      <c r="AB474" s="155">
        <v>0</v>
      </c>
      <c r="AC474" s="155">
        <v>0</v>
      </c>
      <c r="AD474" s="155">
        <v>0</v>
      </c>
      <c r="AE474" s="155">
        <v>0</v>
      </c>
      <c r="AF474" s="155">
        <v>0</v>
      </c>
      <c r="AG474" s="155">
        <f>0</f>
        <v>0</v>
      </c>
      <c r="AH474" s="155">
        <f>0</f>
        <v>0</v>
      </c>
      <c r="AI474" s="155">
        <f>0</f>
        <v>0</v>
      </c>
      <c r="AJ474" s="155">
        <f>0</f>
        <v>0</v>
      </c>
      <c r="AK474" s="155">
        <f>0</f>
        <v>0</v>
      </c>
      <c r="AL474" s="219">
        <f t="shared" si="24"/>
        <v>1</v>
      </c>
      <c r="AM474" s="103"/>
      <c r="AN474" s="326">
        <f t="shared" si="25"/>
        <v>1</v>
      </c>
      <c r="AO474" s="331">
        <v>45041</v>
      </c>
      <c r="AP474" s="317" t="s">
        <v>192</v>
      </c>
      <c r="AQ474" s="340" t="s">
        <v>1538</v>
      </c>
      <c r="AR474" s="332" t="s">
        <v>194</v>
      </c>
      <c r="AS474" s="321"/>
      <c r="AT474" s="318"/>
      <c r="AU474" s="318">
        <v>1</v>
      </c>
      <c r="AV474" s="317">
        <f t="shared" si="26"/>
        <v>0</v>
      </c>
      <c r="AW474" s="318" t="s">
        <v>195</v>
      </c>
      <c r="AX474" s="333"/>
      <c r="AY474" s="333"/>
      <c r="AZ474" s="341"/>
      <c r="BA474" s="174"/>
      <c r="BB474" s="174"/>
      <c r="BC474" s="174"/>
    </row>
    <row r="475" spans="1:55" ht="28" customHeight="1">
      <c r="A475" s="195">
        <v>471</v>
      </c>
      <c r="B475" s="315">
        <v>45033</v>
      </c>
      <c r="C475" s="222" t="s">
        <v>198</v>
      </c>
      <c r="D475" s="222" t="s">
        <v>199</v>
      </c>
      <c r="E475" s="222" t="s">
        <v>200</v>
      </c>
      <c r="F475" s="371" t="s">
        <v>123</v>
      </c>
      <c r="G475" s="309" t="s">
        <v>1448</v>
      </c>
      <c r="H475" s="337" t="s">
        <v>129</v>
      </c>
      <c r="I475" s="311" t="s">
        <v>1506</v>
      </c>
      <c r="J475" s="312" t="s">
        <v>1449</v>
      </c>
      <c r="K475" s="273"/>
      <c r="L475" s="273" t="s">
        <v>176</v>
      </c>
      <c r="M475" s="311" t="s">
        <v>147</v>
      </c>
      <c r="N475" s="311"/>
      <c r="O475" s="311" t="s">
        <v>224</v>
      </c>
      <c r="P475" s="329"/>
      <c r="Q475" s="330" t="s">
        <v>1511</v>
      </c>
      <c r="R475" s="154">
        <v>0</v>
      </c>
      <c r="S475" s="155">
        <v>0</v>
      </c>
      <c r="T475" s="155">
        <v>0</v>
      </c>
      <c r="U475" s="263">
        <v>1</v>
      </c>
      <c r="V475" s="155">
        <v>0</v>
      </c>
      <c r="W475" s="155">
        <v>0</v>
      </c>
      <c r="X475" s="155">
        <v>0</v>
      </c>
      <c r="Y475" s="155">
        <v>0</v>
      </c>
      <c r="Z475" s="155">
        <v>0</v>
      </c>
      <c r="AA475" s="155">
        <v>0</v>
      </c>
      <c r="AB475" s="155">
        <v>0</v>
      </c>
      <c r="AC475" s="155">
        <v>0</v>
      </c>
      <c r="AD475" s="155">
        <v>0</v>
      </c>
      <c r="AE475" s="155">
        <v>0</v>
      </c>
      <c r="AF475" s="155">
        <v>0</v>
      </c>
      <c r="AG475" s="155">
        <f>0</f>
        <v>0</v>
      </c>
      <c r="AH475" s="155">
        <f>0</f>
        <v>0</v>
      </c>
      <c r="AI475" s="155">
        <f>0</f>
        <v>0</v>
      </c>
      <c r="AJ475" s="155">
        <f>0</f>
        <v>0</v>
      </c>
      <c r="AK475" s="155">
        <f>0</f>
        <v>0</v>
      </c>
      <c r="AL475" s="219">
        <f t="shared" si="24"/>
        <v>1</v>
      </c>
      <c r="AM475" s="103"/>
      <c r="AN475" s="326">
        <f t="shared" si="25"/>
        <v>1</v>
      </c>
      <c r="AO475" s="331">
        <v>45041</v>
      </c>
      <c r="AP475" s="317" t="s">
        <v>192</v>
      </c>
      <c r="AQ475" s="340" t="s">
        <v>1538</v>
      </c>
      <c r="AR475" s="332" t="s">
        <v>194</v>
      </c>
      <c r="AS475" s="321"/>
      <c r="AT475" s="318"/>
      <c r="AU475" s="318"/>
      <c r="AV475" s="317">
        <f t="shared" si="26"/>
        <v>1</v>
      </c>
      <c r="AW475" s="318" t="s">
        <v>195</v>
      </c>
      <c r="AX475" s="333"/>
      <c r="AY475" s="333"/>
      <c r="AZ475" s="320"/>
      <c r="BA475" s="174"/>
      <c r="BB475" s="174"/>
      <c r="BC475" s="174"/>
    </row>
    <row r="476" spans="1:55" ht="28" customHeight="1">
      <c r="A476" s="195">
        <v>472</v>
      </c>
      <c r="B476" s="315">
        <v>45033</v>
      </c>
      <c r="C476" s="222" t="s">
        <v>198</v>
      </c>
      <c r="D476" s="222" t="s">
        <v>199</v>
      </c>
      <c r="E476" s="222" t="s">
        <v>200</v>
      </c>
      <c r="F476" s="371" t="s">
        <v>123</v>
      </c>
      <c r="G476" s="309" t="s">
        <v>1450</v>
      </c>
      <c r="H476" s="337" t="s">
        <v>129</v>
      </c>
      <c r="I476" s="311" t="s">
        <v>1436</v>
      </c>
      <c r="J476" s="312" t="s">
        <v>1451</v>
      </c>
      <c r="K476" s="273" t="s">
        <v>97</v>
      </c>
      <c r="L476" s="273" t="s">
        <v>176</v>
      </c>
      <c r="M476" s="311" t="s">
        <v>279</v>
      </c>
      <c r="N476" s="311" t="s">
        <v>97</v>
      </c>
      <c r="O476" s="311" t="s">
        <v>399</v>
      </c>
      <c r="P476" s="329"/>
      <c r="Q476" s="330" t="s">
        <v>1511</v>
      </c>
      <c r="R476" s="154">
        <v>0</v>
      </c>
      <c r="S476" s="155">
        <v>0</v>
      </c>
      <c r="T476" s="155">
        <v>0</v>
      </c>
      <c r="U476" s="263">
        <v>1</v>
      </c>
      <c r="V476" s="155">
        <v>0</v>
      </c>
      <c r="W476" s="155">
        <v>0</v>
      </c>
      <c r="X476" s="155">
        <v>0</v>
      </c>
      <c r="Y476" s="155">
        <v>0</v>
      </c>
      <c r="Z476" s="155">
        <v>0</v>
      </c>
      <c r="AA476" s="155">
        <v>0</v>
      </c>
      <c r="AB476" s="155">
        <v>0</v>
      </c>
      <c r="AC476" s="155">
        <v>0</v>
      </c>
      <c r="AD476" s="155">
        <v>0</v>
      </c>
      <c r="AE476" s="155">
        <v>0</v>
      </c>
      <c r="AF476" s="155">
        <v>0</v>
      </c>
      <c r="AG476" s="155">
        <f>0</f>
        <v>0</v>
      </c>
      <c r="AH476" s="155">
        <f>0</f>
        <v>0</v>
      </c>
      <c r="AI476" s="155">
        <f>0</f>
        <v>0</v>
      </c>
      <c r="AJ476" s="155">
        <f>0</f>
        <v>0</v>
      </c>
      <c r="AK476" s="155">
        <f>0</f>
        <v>0</v>
      </c>
      <c r="AL476" s="219">
        <f t="shared" si="24"/>
        <v>1</v>
      </c>
      <c r="AM476" s="103"/>
      <c r="AN476" s="326">
        <f t="shared" si="25"/>
        <v>1</v>
      </c>
      <c r="AO476" s="331">
        <v>45041</v>
      </c>
      <c r="AP476" s="317" t="s">
        <v>192</v>
      </c>
      <c r="AQ476" s="340" t="s">
        <v>1538</v>
      </c>
      <c r="AR476" s="332" t="s">
        <v>194</v>
      </c>
      <c r="AS476" s="321"/>
      <c r="AT476" s="318"/>
      <c r="AU476" s="318">
        <v>1</v>
      </c>
      <c r="AV476" s="317">
        <f t="shared" si="26"/>
        <v>0</v>
      </c>
      <c r="AW476" s="318" t="s">
        <v>195</v>
      </c>
      <c r="AX476" s="333"/>
      <c r="AY476" s="333"/>
      <c r="AZ476" s="341"/>
      <c r="BA476" s="174"/>
      <c r="BB476" s="174"/>
      <c r="BC476" s="174"/>
    </row>
    <row r="477" spans="1:55" ht="28" customHeight="1">
      <c r="A477" s="195">
        <v>473</v>
      </c>
      <c r="B477" s="315">
        <v>45033</v>
      </c>
      <c r="C477" s="222" t="s">
        <v>198</v>
      </c>
      <c r="D477" s="222" t="s">
        <v>199</v>
      </c>
      <c r="E477" s="222" t="s">
        <v>200</v>
      </c>
      <c r="F477" s="371" t="s">
        <v>123</v>
      </c>
      <c r="G477" s="309" t="s">
        <v>1452</v>
      </c>
      <c r="H477" s="337" t="s">
        <v>129</v>
      </c>
      <c r="I477" s="311" t="s">
        <v>1453</v>
      </c>
      <c r="J477" s="312" t="s">
        <v>1454</v>
      </c>
      <c r="K477" s="273"/>
      <c r="L477" s="273" t="s">
        <v>176</v>
      </c>
      <c r="M477" s="311" t="s">
        <v>279</v>
      </c>
      <c r="N477" s="311"/>
      <c r="O477" s="311" t="s">
        <v>224</v>
      </c>
      <c r="P477" s="329"/>
      <c r="Q477" s="330" t="s">
        <v>1511</v>
      </c>
      <c r="R477" s="154">
        <v>0</v>
      </c>
      <c r="S477" s="155">
        <v>0</v>
      </c>
      <c r="T477" s="155">
        <v>0</v>
      </c>
      <c r="U477" s="263">
        <v>1</v>
      </c>
      <c r="V477" s="155">
        <v>0</v>
      </c>
      <c r="W477" s="155">
        <v>0</v>
      </c>
      <c r="X477" s="155">
        <v>0</v>
      </c>
      <c r="Y477" s="155">
        <v>0</v>
      </c>
      <c r="Z477" s="155">
        <v>0</v>
      </c>
      <c r="AA477" s="155">
        <v>0</v>
      </c>
      <c r="AB477" s="155">
        <v>0</v>
      </c>
      <c r="AC477" s="155">
        <v>0</v>
      </c>
      <c r="AD477" s="155">
        <v>0</v>
      </c>
      <c r="AE477" s="155">
        <v>0</v>
      </c>
      <c r="AF477" s="155">
        <v>0</v>
      </c>
      <c r="AG477" s="155">
        <f>0</f>
        <v>0</v>
      </c>
      <c r="AH477" s="155">
        <f>0</f>
        <v>0</v>
      </c>
      <c r="AI477" s="155">
        <f>0</f>
        <v>0</v>
      </c>
      <c r="AJ477" s="155">
        <f>0</f>
        <v>0</v>
      </c>
      <c r="AK477" s="155">
        <f>0</f>
        <v>0</v>
      </c>
      <c r="AL477" s="219">
        <f t="shared" si="24"/>
        <v>1</v>
      </c>
      <c r="AM477" s="103"/>
      <c r="AN477" s="326">
        <f t="shared" si="25"/>
        <v>1</v>
      </c>
      <c r="AO477" s="331">
        <v>45041</v>
      </c>
      <c r="AP477" s="317" t="s">
        <v>192</v>
      </c>
      <c r="AQ477" s="340" t="s">
        <v>1538</v>
      </c>
      <c r="AR477" s="332" t="s">
        <v>194</v>
      </c>
      <c r="AS477" s="321"/>
      <c r="AT477" s="318"/>
      <c r="AU477" s="318">
        <v>1</v>
      </c>
      <c r="AV477" s="317">
        <f t="shared" si="26"/>
        <v>0</v>
      </c>
      <c r="AW477" s="318" t="s">
        <v>195</v>
      </c>
      <c r="AX477" s="333"/>
      <c r="AY477" s="333"/>
      <c r="AZ477" s="320"/>
      <c r="BA477" s="174"/>
      <c r="BB477" s="174"/>
      <c r="BC477" s="174"/>
    </row>
    <row r="478" spans="1:55" ht="28" customHeight="1">
      <c r="A478" s="195">
        <v>474</v>
      </c>
      <c r="B478" s="315">
        <v>45033</v>
      </c>
      <c r="C478" s="222" t="s">
        <v>198</v>
      </c>
      <c r="D478" s="222" t="s">
        <v>199</v>
      </c>
      <c r="E478" s="222" t="s">
        <v>200</v>
      </c>
      <c r="F478" s="371" t="s">
        <v>123</v>
      </c>
      <c r="G478" s="309" t="s">
        <v>1455</v>
      </c>
      <c r="H478" s="337" t="s">
        <v>129</v>
      </c>
      <c r="I478" s="311" t="s">
        <v>1456</v>
      </c>
      <c r="J478" s="312" t="s">
        <v>1457</v>
      </c>
      <c r="K478" s="273"/>
      <c r="L478" s="273" t="s">
        <v>176</v>
      </c>
      <c r="M478" s="311" t="s">
        <v>147</v>
      </c>
      <c r="N478" s="311"/>
      <c r="O478" s="311" t="s">
        <v>224</v>
      </c>
      <c r="P478" s="329"/>
      <c r="Q478" s="330" t="s">
        <v>1511</v>
      </c>
      <c r="R478" s="154">
        <v>0</v>
      </c>
      <c r="S478" s="155">
        <v>0</v>
      </c>
      <c r="T478" s="155">
        <v>0</v>
      </c>
      <c r="U478" s="263">
        <v>4</v>
      </c>
      <c r="V478" s="155">
        <v>0</v>
      </c>
      <c r="W478" s="155">
        <v>0</v>
      </c>
      <c r="X478" s="155">
        <v>0</v>
      </c>
      <c r="Y478" s="155">
        <v>0</v>
      </c>
      <c r="Z478" s="155">
        <v>0</v>
      </c>
      <c r="AA478" s="155">
        <v>0</v>
      </c>
      <c r="AB478" s="155">
        <v>0</v>
      </c>
      <c r="AC478" s="155">
        <v>0</v>
      </c>
      <c r="AD478" s="155">
        <v>0</v>
      </c>
      <c r="AE478" s="155">
        <v>0</v>
      </c>
      <c r="AF478" s="155">
        <v>0</v>
      </c>
      <c r="AG478" s="155">
        <f>0</f>
        <v>0</v>
      </c>
      <c r="AH478" s="155">
        <f>0</f>
        <v>0</v>
      </c>
      <c r="AI478" s="155">
        <f>0</f>
        <v>0</v>
      </c>
      <c r="AJ478" s="155">
        <f>0</f>
        <v>0</v>
      </c>
      <c r="AK478" s="155">
        <f>0</f>
        <v>0</v>
      </c>
      <c r="AL478" s="219">
        <f t="shared" si="24"/>
        <v>4</v>
      </c>
      <c r="AM478" s="103"/>
      <c r="AN478" s="326">
        <f t="shared" si="25"/>
        <v>4</v>
      </c>
      <c r="AO478" s="331">
        <v>45041</v>
      </c>
      <c r="AP478" s="317" t="s">
        <v>192</v>
      </c>
      <c r="AQ478" s="340" t="s">
        <v>1538</v>
      </c>
      <c r="AR478" s="332" t="s">
        <v>194</v>
      </c>
      <c r="AS478" s="321"/>
      <c r="AT478" s="318"/>
      <c r="AU478" s="318"/>
      <c r="AV478" s="317">
        <f t="shared" si="26"/>
        <v>4</v>
      </c>
      <c r="AW478" s="318" t="s">
        <v>1551</v>
      </c>
      <c r="AX478" s="333"/>
      <c r="AY478" s="333"/>
      <c r="AZ478" s="341"/>
      <c r="BA478" s="174"/>
      <c r="BB478" s="174"/>
      <c r="BC478" s="174"/>
    </row>
    <row r="479" spans="1:55" ht="28" customHeight="1">
      <c r="A479" s="195">
        <v>475</v>
      </c>
      <c r="B479" s="315">
        <v>45033</v>
      </c>
      <c r="C479" s="222" t="s">
        <v>198</v>
      </c>
      <c r="D479" s="222" t="s">
        <v>199</v>
      </c>
      <c r="E479" s="222" t="s">
        <v>200</v>
      </c>
      <c r="F479" s="371" t="s">
        <v>123</v>
      </c>
      <c r="G479" s="309" t="s">
        <v>1458</v>
      </c>
      <c r="H479" s="337" t="s">
        <v>129</v>
      </c>
      <c r="I479" s="311" t="s">
        <v>1441</v>
      </c>
      <c r="J479" s="312" t="s">
        <v>1459</v>
      </c>
      <c r="K479" s="273"/>
      <c r="L479" s="273" t="s">
        <v>176</v>
      </c>
      <c r="M479" s="311" t="s">
        <v>279</v>
      </c>
      <c r="N479" s="311"/>
      <c r="O479" s="311" t="s">
        <v>224</v>
      </c>
      <c r="P479" s="329"/>
      <c r="Q479" s="330" t="s">
        <v>1511</v>
      </c>
      <c r="R479" s="154">
        <v>0</v>
      </c>
      <c r="S479" s="155">
        <v>0</v>
      </c>
      <c r="T479" s="155">
        <v>0</v>
      </c>
      <c r="U479" s="263">
        <v>2</v>
      </c>
      <c r="V479" s="155">
        <v>0</v>
      </c>
      <c r="W479" s="155">
        <v>0</v>
      </c>
      <c r="X479" s="155">
        <v>0</v>
      </c>
      <c r="Y479" s="155">
        <v>0</v>
      </c>
      <c r="Z479" s="155">
        <v>0</v>
      </c>
      <c r="AA479" s="155">
        <v>0</v>
      </c>
      <c r="AB479" s="155">
        <v>0</v>
      </c>
      <c r="AC479" s="155">
        <v>0</v>
      </c>
      <c r="AD479" s="155">
        <v>0</v>
      </c>
      <c r="AE479" s="155">
        <v>0</v>
      </c>
      <c r="AF479" s="155">
        <v>0</v>
      </c>
      <c r="AG479" s="155">
        <f>0</f>
        <v>0</v>
      </c>
      <c r="AH479" s="155">
        <f>0</f>
        <v>0</v>
      </c>
      <c r="AI479" s="155">
        <f>0</f>
        <v>0</v>
      </c>
      <c r="AJ479" s="155">
        <f>0</f>
        <v>0</v>
      </c>
      <c r="AK479" s="155">
        <f>0</f>
        <v>0</v>
      </c>
      <c r="AL479" s="219">
        <f t="shared" si="24"/>
        <v>2</v>
      </c>
      <c r="AM479" s="103"/>
      <c r="AN479" s="326">
        <f t="shared" si="25"/>
        <v>2</v>
      </c>
      <c r="AO479" s="331">
        <v>45041</v>
      </c>
      <c r="AP479" s="317" t="s">
        <v>192</v>
      </c>
      <c r="AQ479" s="340" t="s">
        <v>1538</v>
      </c>
      <c r="AR479" s="332" t="s">
        <v>194</v>
      </c>
      <c r="AS479" s="321"/>
      <c r="AT479" s="318"/>
      <c r="AU479" s="318">
        <v>2</v>
      </c>
      <c r="AV479" s="317">
        <f t="shared" si="26"/>
        <v>0</v>
      </c>
      <c r="AW479" s="318" t="s">
        <v>195</v>
      </c>
      <c r="AX479" s="333"/>
      <c r="AY479" s="333"/>
      <c r="AZ479" s="320"/>
      <c r="BA479" s="174"/>
      <c r="BB479" s="174"/>
      <c r="BC479" s="174"/>
    </row>
    <row r="480" spans="1:55" ht="28" customHeight="1">
      <c r="A480" s="195">
        <v>476</v>
      </c>
      <c r="B480" s="315">
        <v>45033</v>
      </c>
      <c r="C480" s="222" t="s">
        <v>198</v>
      </c>
      <c r="D480" s="222" t="s">
        <v>199</v>
      </c>
      <c r="E480" s="222" t="s">
        <v>200</v>
      </c>
      <c r="F480" s="371" t="s">
        <v>123</v>
      </c>
      <c r="G480" s="309" t="s">
        <v>1460</v>
      </c>
      <c r="H480" s="337" t="s">
        <v>129</v>
      </c>
      <c r="I480" s="311" t="s">
        <v>1507</v>
      </c>
      <c r="J480" s="312" t="s">
        <v>1461</v>
      </c>
      <c r="K480" s="273"/>
      <c r="L480" s="273" t="s">
        <v>176</v>
      </c>
      <c r="M480" s="311" t="s">
        <v>279</v>
      </c>
      <c r="N480" s="311"/>
      <c r="O480" s="311" t="s">
        <v>224</v>
      </c>
      <c r="P480" s="329"/>
      <c r="Q480" s="330" t="s">
        <v>1511</v>
      </c>
      <c r="R480" s="154">
        <v>0</v>
      </c>
      <c r="S480" s="155">
        <v>0</v>
      </c>
      <c r="T480" s="155">
        <v>0</v>
      </c>
      <c r="U480" s="263">
        <v>1</v>
      </c>
      <c r="V480" s="155">
        <v>0</v>
      </c>
      <c r="W480" s="155">
        <v>0</v>
      </c>
      <c r="X480" s="155">
        <v>0</v>
      </c>
      <c r="Y480" s="155">
        <v>0</v>
      </c>
      <c r="Z480" s="155">
        <v>0</v>
      </c>
      <c r="AA480" s="155">
        <v>0</v>
      </c>
      <c r="AB480" s="155">
        <v>0</v>
      </c>
      <c r="AC480" s="155">
        <v>0</v>
      </c>
      <c r="AD480" s="155">
        <v>0</v>
      </c>
      <c r="AE480" s="155">
        <v>0</v>
      </c>
      <c r="AF480" s="155">
        <v>0</v>
      </c>
      <c r="AG480" s="155">
        <f>0</f>
        <v>0</v>
      </c>
      <c r="AH480" s="155">
        <f>0</f>
        <v>0</v>
      </c>
      <c r="AI480" s="155">
        <f>0</f>
        <v>0</v>
      </c>
      <c r="AJ480" s="155">
        <f>0</f>
        <v>0</v>
      </c>
      <c r="AK480" s="155">
        <f>0</f>
        <v>0</v>
      </c>
      <c r="AL480" s="219">
        <f t="shared" si="24"/>
        <v>1</v>
      </c>
      <c r="AM480" s="103"/>
      <c r="AN480" s="326">
        <f t="shared" si="25"/>
        <v>1</v>
      </c>
      <c r="AO480" s="331">
        <v>45041</v>
      </c>
      <c r="AP480" s="317" t="s">
        <v>192</v>
      </c>
      <c r="AQ480" s="340" t="s">
        <v>1538</v>
      </c>
      <c r="AR480" s="332" t="s">
        <v>194</v>
      </c>
      <c r="AS480" s="321"/>
      <c r="AT480" s="318"/>
      <c r="AU480" s="318">
        <v>1</v>
      </c>
      <c r="AV480" s="317">
        <f t="shared" si="26"/>
        <v>0</v>
      </c>
      <c r="AW480" s="318" t="s">
        <v>195</v>
      </c>
      <c r="AX480" s="333"/>
      <c r="AY480" s="333"/>
      <c r="AZ480" s="341"/>
      <c r="BA480" s="174"/>
      <c r="BB480" s="174"/>
      <c r="BC480" s="174"/>
    </row>
    <row r="481" spans="1:55" ht="28" customHeight="1">
      <c r="A481" s="195">
        <v>477</v>
      </c>
      <c r="B481" s="315">
        <v>45033</v>
      </c>
      <c r="C481" s="222" t="s">
        <v>198</v>
      </c>
      <c r="D481" s="222" t="s">
        <v>199</v>
      </c>
      <c r="E481" s="222" t="s">
        <v>200</v>
      </c>
      <c r="F481" s="371" t="s">
        <v>123</v>
      </c>
      <c r="G481" s="309" t="s">
        <v>1462</v>
      </c>
      <c r="H481" s="337" t="s">
        <v>129</v>
      </c>
      <c r="I481" s="311" t="s">
        <v>1503</v>
      </c>
      <c r="J481" s="312" t="s">
        <v>1463</v>
      </c>
      <c r="K481" s="273"/>
      <c r="L481" s="273" t="s">
        <v>176</v>
      </c>
      <c r="M481" s="311" t="s">
        <v>147</v>
      </c>
      <c r="N481" s="311"/>
      <c r="O481" s="311" t="s">
        <v>224</v>
      </c>
      <c r="P481" s="329"/>
      <c r="Q481" s="330" t="s">
        <v>1511</v>
      </c>
      <c r="R481" s="154">
        <v>0</v>
      </c>
      <c r="S481" s="155">
        <v>0</v>
      </c>
      <c r="T481" s="155">
        <v>0</v>
      </c>
      <c r="U481" s="263">
        <v>2</v>
      </c>
      <c r="V481" s="155">
        <v>0</v>
      </c>
      <c r="W481" s="155">
        <v>0</v>
      </c>
      <c r="X481" s="155">
        <v>0</v>
      </c>
      <c r="Y481" s="155">
        <v>0</v>
      </c>
      <c r="Z481" s="155">
        <v>0</v>
      </c>
      <c r="AA481" s="155">
        <v>0</v>
      </c>
      <c r="AB481" s="155">
        <v>0</v>
      </c>
      <c r="AC481" s="155">
        <v>0</v>
      </c>
      <c r="AD481" s="155">
        <v>0</v>
      </c>
      <c r="AE481" s="155">
        <v>0</v>
      </c>
      <c r="AF481" s="155">
        <v>0</v>
      </c>
      <c r="AG481" s="155">
        <f>0</f>
        <v>0</v>
      </c>
      <c r="AH481" s="155">
        <f>0</f>
        <v>0</v>
      </c>
      <c r="AI481" s="155">
        <f>0</f>
        <v>0</v>
      </c>
      <c r="AJ481" s="155">
        <f>0</f>
        <v>0</v>
      </c>
      <c r="AK481" s="155">
        <f>0</f>
        <v>0</v>
      </c>
      <c r="AL481" s="219">
        <f t="shared" si="24"/>
        <v>2</v>
      </c>
      <c r="AM481" s="103"/>
      <c r="AN481" s="326">
        <f t="shared" si="25"/>
        <v>2</v>
      </c>
      <c r="AO481" s="331">
        <v>45041</v>
      </c>
      <c r="AP481" s="317" t="s">
        <v>192</v>
      </c>
      <c r="AQ481" s="340" t="s">
        <v>1538</v>
      </c>
      <c r="AR481" s="332" t="s">
        <v>194</v>
      </c>
      <c r="AS481" s="321"/>
      <c r="AT481" s="318"/>
      <c r="AU481" s="318">
        <v>2</v>
      </c>
      <c r="AV481" s="317">
        <f t="shared" si="26"/>
        <v>0</v>
      </c>
      <c r="AW481" s="318" t="s">
        <v>195</v>
      </c>
      <c r="AX481" s="333"/>
      <c r="AY481" s="333"/>
      <c r="AZ481" s="320"/>
      <c r="BA481" s="174"/>
      <c r="BB481" s="174"/>
      <c r="BC481" s="174"/>
    </row>
    <row r="482" spans="1:55" ht="28" customHeight="1">
      <c r="A482" s="195">
        <v>478</v>
      </c>
      <c r="B482" s="315">
        <v>45033</v>
      </c>
      <c r="C482" s="222" t="s">
        <v>198</v>
      </c>
      <c r="D482" s="222" t="s">
        <v>199</v>
      </c>
      <c r="E482" s="222" t="s">
        <v>200</v>
      </c>
      <c r="F482" s="371" t="s">
        <v>123</v>
      </c>
      <c r="G482" s="309" t="s">
        <v>1464</v>
      </c>
      <c r="H482" s="337" t="s">
        <v>129</v>
      </c>
      <c r="I482" s="311" t="s">
        <v>1465</v>
      </c>
      <c r="J482" s="312" t="s">
        <v>1466</v>
      </c>
      <c r="K482" s="273"/>
      <c r="L482" s="273" t="s">
        <v>176</v>
      </c>
      <c r="M482" s="311" t="s">
        <v>147</v>
      </c>
      <c r="N482" s="311"/>
      <c r="O482" s="311" t="s">
        <v>224</v>
      </c>
      <c r="P482" s="329"/>
      <c r="Q482" s="330" t="s">
        <v>1511</v>
      </c>
      <c r="R482" s="154">
        <v>0</v>
      </c>
      <c r="S482" s="155">
        <v>0</v>
      </c>
      <c r="T482" s="155">
        <v>0</v>
      </c>
      <c r="U482" s="263">
        <v>1</v>
      </c>
      <c r="V482" s="155">
        <v>0</v>
      </c>
      <c r="W482" s="155">
        <v>0</v>
      </c>
      <c r="X482" s="155">
        <v>0</v>
      </c>
      <c r="Y482" s="155">
        <v>0</v>
      </c>
      <c r="Z482" s="155">
        <v>0</v>
      </c>
      <c r="AA482" s="155">
        <v>0</v>
      </c>
      <c r="AB482" s="155">
        <v>0</v>
      </c>
      <c r="AC482" s="155">
        <v>0</v>
      </c>
      <c r="AD482" s="155">
        <v>0</v>
      </c>
      <c r="AE482" s="155">
        <v>0</v>
      </c>
      <c r="AF482" s="155">
        <v>0</v>
      </c>
      <c r="AG482" s="155">
        <f>0</f>
        <v>0</v>
      </c>
      <c r="AH482" s="155">
        <f>0</f>
        <v>0</v>
      </c>
      <c r="AI482" s="155">
        <f>0</f>
        <v>0</v>
      </c>
      <c r="AJ482" s="155">
        <f>0</f>
        <v>0</v>
      </c>
      <c r="AK482" s="155">
        <f>0</f>
        <v>0</v>
      </c>
      <c r="AL482" s="219">
        <f t="shared" si="24"/>
        <v>1</v>
      </c>
      <c r="AM482" s="103"/>
      <c r="AN482" s="326">
        <f t="shared" si="25"/>
        <v>1</v>
      </c>
      <c r="AO482" s="331">
        <v>45041</v>
      </c>
      <c r="AP482" s="317" t="s">
        <v>192</v>
      </c>
      <c r="AQ482" s="340" t="s">
        <v>1538</v>
      </c>
      <c r="AR482" s="332" t="s">
        <v>194</v>
      </c>
      <c r="AS482" s="321"/>
      <c r="AT482" s="318"/>
      <c r="AU482" s="318"/>
      <c r="AV482" s="317">
        <f t="shared" si="26"/>
        <v>1</v>
      </c>
      <c r="AW482" s="318" t="s">
        <v>195</v>
      </c>
      <c r="AX482" s="333"/>
      <c r="AY482" s="333"/>
      <c r="AZ482" s="341"/>
      <c r="BA482" s="174"/>
      <c r="BB482" s="174"/>
      <c r="BC482" s="174"/>
    </row>
    <row r="483" spans="1:55" ht="28" customHeight="1">
      <c r="A483" s="195">
        <v>479</v>
      </c>
      <c r="B483" s="315">
        <v>45033</v>
      </c>
      <c r="C483" s="222" t="s">
        <v>198</v>
      </c>
      <c r="D483" s="222" t="s">
        <v>199</v>
      </c>
      <c r="E483" s="222" t="s">
        <v>200</v>
      </c>
      <c r="F483" s="371" t="s">
        <v>123</v>
      </c>
      <c r="G483" s="309" t="s">
        <v>1467</v>
      </c>
      <c r="H483" s="337" t="s">
        <v>129</v>
      </c>
      <c r="I483" s="311" t="s">
        <v>1468</v>
      </c>
      <c r="J483" s="312" t="s">
        <v>1469</v>
      </c>
      <c r="K483" s="273" t="s">
        <v>97</v>
      </c>
      <c r="L483" s="273" t="s">
        <v>165</v>
      </c>
      <c r="M483" s="311" t="s">
        <v>279</v>
      </c>
      <c r="N483" s="311" t="s">
        <v>97</v>
      </c>
      <c r="O483" s="311" t="s">
        <v>1311</v>
      </c>
      <c r="P483" s="329"/>
      <c r="Q483" s="330" t="s">
        <v>1511</v>
      </c>
      <c r="R483" s="154">
        <v>0</v>
      </c>
      <c r="S483" s="155">
        <v>0</v>
      </c>
      <c r="T483" s="155">
        <v>0</v>
      </c>
      <c r="U483" s="263">
        <v>1</v>
      </c>
      <c r="V483" s="155">
        <v>0</v>
      </c>
      <c r="W483" s="155">
        <v>0</v>
      </c>
      <c r="X483" s="155">
        <v>0</v>
      </c>
      <c r="Y483" s="155">
        <v>0</v>
      </c>
      <c r="Z483" s="155">
        <v>0</v>
      </c>
      <c r="AA483" s="155">
        <v>0</v>
      </c>
      <c r="AB483" s="155">
        <v>0</v>
      </c>
      <c r="AC483" s="155">
        <v>0</v>
      </c>
      <c r="AD483" s="155">
        <v>0</v>
      </c>
      <c r="AE483" s="155">
        <v>0</v>
      </c>
      <c r="AF483" s="155">
        <v>0</v>
      </c>
      <c r="AG483" s="155">
        <f>0</f>
        <v>0</v>
      </c>
      <c r="AH483" s="155">
        <f>0</f>
        <v>0</v>
      </c>
      <c r="AI483" s="155">
        <f>0</f>
        <v>0</v>
      </c>
      <c r="AJ483" s="155">
        <f>0</f>
        <v>0</v>
      </c>
      <c r="AK483" s="155">
        <f>0</f>
        <v>0</v>
      </c>
      <c r="AL483" s="219">
        <f t="shared" si="24"/>
        <v>1</v>
      </c>
      <c r="AM483" s="103"/>
      <c r="AN483" s="326">
        <f t="shared" si="25"/>
        <v>1</v>
      </c>
      <c r="AO483" s="331">
        <v>45035</v>
      </c>
      <c r="AP483" s="317" t="s">
        <v>192</v>
      </c>
      <c r="AQ483" s="340" t="s">
        <v>1536</v>
      </c>
      <c r="AR483" s="332" t="s">
        <v>194</v>
      </c>
      <c r="AS483" s="321"/>
      <c r="AT483" s="318"/>
      <c r="AU483" s="318">
        <v>1</v>
      </c>
      <c r="AV483" s="317">
        <f t="shared" si="26"/>
        <v>0</v>
      </c>
      <c r="AW483" s="318" t="s">
        <v>195</v>
      </c>
      <c r="AX483" s="333"/>
      <c r="AY483" s="333"/>
      <c r="AZ483" s="320"/>
      <c r="BA483" s="174"/>
      <c r="BB483" s="174"/>
      <c r="BC483" s="174"/>
    </row>
    <row r="484" spans="1:55" ht="28" customHeight="1">
      <c r="A484" s="195">
        <v>480</v>
      </c>
      <c r="B484" s="315">
        <v>45033</v>
      </c>
      <c r="C484" s="222" t="s">
        <v>198</v>
      </c>
      <c r="D484" s="222" t="s">
        <v>199</v>
      </c>
      <c r="E484" s="222" t="s">
        <v>200</v>
      </c>
      <c r="F484" s="371" t="s">
        <v>123</v>
      </c>
      <c r="G484" s="309" t="s">
        <v>1470</v>
      </c>
      <c r="H484" s="337" t="s">
        <v>129</v>
      </c>
      <c r="I484" s="311" t="s">
        <v>174</v>
      </c>
      <c r="J484" s="312" t="s">
        <v>1471</v>
      </c>
      <c r="K484" s="273" t="s">
        <v>97</v>
      </c>
      <c r="L484" s="273" t="s">
        <v>165</v>
      </c>
      <c r="M484" s="311" t="s">
        <v>147</v>
      </c>
      <c r="N484" s="311" t="s">
        <v>97</v>
      </c>
      <c r="O484" s="311" t="s">
        <v>224</v>
      </c>
      <c r="P484" s="329"/>
      <c r="Q484" s="330" t="s">
        <v>1511</v>
      </c>
      <c r="R484" s="154">
        <v>0</v>
      </c>
      <c r="S484" s="155">
        <v>0</v>
      </c>
      <c r="T484" s="155">
        <v>0</v>
      </c>
      <c r="U484" s="263">
        <v>1</v>
      </c>
      <c r="V484" s="155">
        <v>0</v>
      </c>
      <c r="W484" s="155">
        <v>0</v>
      </c>
      <c r="X484" s="155">
        <v>0</v>
      </c>
      <c r="Y484" s="155">
        <v>0</v>
      </c>
      <c r="Z484" s="155">
        <v>0</v>
      </c>
      <c r="AA484" s="155">
        <v>0</v>
      </c>
      <c r="AB484" s="155">
        <v>0</v>
      </c>
      <c r="AC484" s="155">
        <v>0</v>
      </c>
      <c r="AD484" s="155">
        <v>0</v>
      </c>
      <c r="AE484" s="155">
        <v>0</v>
      </c>
      <c r="AF484" s="155">
        <v>0</v>
      </c>
      <c r="AG484" s="155">
        <f>0</f>
        <v>0</v>
      </c>
      <c r="AH484" s="155">
        <f>0</f>
        <v>0</v>
      </c>
      <c r="AI484" s="155">
        <f>0</f>
        <v>0</v>
      </c>
      <c r="AJ484" s="155">
        <f>0</f>
        <v>0</v>
      </c>
      <c r="AK484" s="155">
        <f>0</f>
        <v>0</v>
      </c>
      <c r="AL484" s="219">
        <f t="shared" si="24"/>
        <v>1</v>
      </c>
      <c r="AM484" s="103"/>
      <c r="AN484" s="326">
        <f t="shared" si="25"/>
        <v>1</v>
      </c>
      <c r="AO484" s="331">
        <v>45041</v>
      </c>
      <c r="AP484" s="317" t="s">
        <v>192</v>
      </c>
      <c r="AQ484" s="340" t="s">
        <v>1538</v>
      </c>
      <c r="AR484" s="332" t="s">
        <v>194</v>
      </c>
      <c r="AS484" s="321"/>
      <c r="AT484" s="318"/>
      <c r="AU484" s="318">
        <v>1</v>
      </c>
      <c r="AV484" s="317">
        <f t="shared" si="26"/>
        <v>0</v>
      </c>
      <c r="AW484" s="318" t="s">
        <v>195</v>
      </c>
      <c r="AX484" s="333"/>
      <c r="AY484" s="333"/>
      <c r="AZ484" s="341"/>
      <c r="BA484" s="174"/>
      <c r="BB484" s="174"/>
      <c r="BC484" s="174"/>
    </row>
    <row r="485" spans="1:55" ht="28" customHeight="1">
      <c r="A485" s="195">
        <v>481</v>
      </c>
      <c r="B485" s="315">
        <v>45033</v>
      </c>
      <c r="C485" s="222" t="s">
        <v>198</v>
      </c>
      <c r="D485" s="222" t="s">
        <v>199</v>
      </c>
      <c r="E485" s="222" t="s">
        <v>200</v>
      </c>
      <c r="F485" s="371" t="s">
        <v>123</v>
      </c>
      <c r="G485" s="309" t="s">
        <v>1472</v>
      </c>
      <c r="H485" s="337" t="s">
        <v>129</v>
      </c>
      <c r="I485" s="311" t="s">
        <v>1473</v>
      </c>
      <c r="J485" s="312" t="s">
        <v>1474</v>
      </c>
      <c r="K485" s="273"/>
      <c r="L485" s="273" t="s">
        <v>165</v>
      </c>
      <c r="M485" s="311" t="s">
        <v>279</v>
      </c>
      <c r="N485" s="311"/>
      <c r="O485" s="311" t="s">
        <v>224</v>
      </c>
      <c r="P485" s="329"/>
      <c r="Q485" s="330" t="s">
        <v>1511</v>
      </c>
      <c r="R485" s="154">
        <v>0</v>
      </c>
      <c r="S485" s="155">
        <v>0</v>
      </c>
      <c r="T485" s="155">
        <v>0</v>
      </c>
      <c r="U485" s="263">
        <v>1</v>
      </c>
      <c r="V485" s="155">
        <v>0</v>
      </c>
      <c r="W485" s="155">
        <v>0</v>
      </c>
      <c r="X485" s="155">
        <v>0</v>
      </c>
      <c r="Y485" s="155">
        <v>0</v>
      </c>
      <c r="Z485" s="155">
        <v>0</v>
      </c>
      <c r="AA485" s="155">
        <v>0</v>
      </c>
      <c r="AB485" s="155">
        <v>0</v>
      </c>
      <c r="AC485" s="155">
        <v>0</v>
      </c>
      <c r="AD485" s="155">
        <v>0</v>
      </c>
      <c r="AE485" s="155">
        <v>0</v>
      </c>
      <c r="AF485" s="155">
        <v>0</v>
      </c>
      <c r="AG485" s="155">
        <f>0</f>
        <v>0</v>
      </c>
      <c r="AH485" s="155">
        <f>0</f>
        <v>0</v>
      </c>
      <c r="AI485" s="155">
        <f>0</f>
        <v>0</v>
      </c>
      <c r="AJ485" s="155">
        <f>0</f>
        <v>0</v>
      </c>
      <c r="AK485" s="155">
        <f>0</f>
        <v>0</v>
      </c>
      <c r="AL485" s="219">
        <f t="shared" si="24"/>
        <v>1</v>
      </c>
      <c r="AM485" s="103"/>
      <c r="AN485" s="326">
        <f t="shared" si="25"/>
        <v>1</v>
      </c>
      <c r="AO485" s="331">
        <v>45041</v>
      </c>
      <c r="AP485" s="317" t="s">
        <v>192</v>
      </c>
      <c r="AQ485" s="340" t="s">
        <v>1538</v>
      </c>
      <c r="AR485" s="332" t="s">
        <v>194</v>
      </c>
      <c r="AS485" s="321"/>
      <c r="AT485" s="318"/>
      <c r="AU485" s="318">
        <v>1</v>
      </c>
      <c r="AV485" s="317">
        <f t="shared" si="26"/>
        <v>0</v>
      </c>
      <c r="AW485" s="318" t="s">
        <v>195</v>
      </c>
      <c r="AX485" s="333"/>
      <c r="AY485" s="333"/>
      <c r="AZ485" s="320"/>
      <c r="BA485" s="174"/>
      <c r="BB485" s="174"/>
      <c r="BC485" s="174"/>
    </row>
    <row r="486" spans="1:55" ht="28" customHeight="1">
      <c r="A486" s="195">
        <v>482</v>
      </c>
      <c r="B486" s="315">
        <v>45033</v>
      </c>
      <c r="C486" s="222" t="s">
        <v>198</v>
      </c>
      <c r="D486" s="222" t="s">
        <v>199</v>
      </c>
      <c r="E486" s="222" t="s">
        <v>200</v>
      </c>
      <c r="F486" s="371" t="s">
        <v>123</v>
      </c>
      <c r="G486" s="309" t="s">
        <v>1475</v>
      </c>
      <c r="H486" s="337" t="s">
        <v>129</v>
      </c>
      <c r="I486" s="311" t="s">
        <v>1476</v>
      </c>
      <c r="J486" s="312" t="s">
        <v>1477</v>
      </c>
      <c r="K486" s="273" t="s">
        <v>97</v>
      </c>
      <c r="L486" s="273" t="s">
        <v>168</v>
      </c>
      <c r="M486" s="311" t="s">
        <v>147</v>
      </c>
      <c r="N486" s="311" t="s">
        <v>97</v>
      </c>
      <c r="O486" s="311" t="s">
        <v>169</v>
      </c>
      <c r="P486" s="329"/>
      <c r="Q486" s="330" t="s">
        <v>1511</v>
      </c>
      <c r="R486" s="154">
        <v>0</v>
      </c>
      <c r="S486" s="155">
        <v>0</v>
      </c>
      <c r="T486" s="155">
        <v>0</v>
      </c>
      <c r="U486" s="263">
        <v>6</v>
      </c>
      <c r="V486" s="155">
        <v>0</v>
      </c>
      <c r="W486" s="155">
        <v>0</v>
      </c>
      <c r="X486" s="155">
        <v>0</v>
      </c>
      <c r="Y486" s="155">
        <v>0</v>
      </c>
      <c r="Z486" s="155">
        <v>0</v>
      </c>
      <c r="AA486" s="155">
        <v>0</v>
      </c>
      <c r="AB486" s="155">
        <v>0</v>
      </c>
      <c r="AC486" s="155">
        <v>0</v>
      </c>
      <c r="AD486" s="155">
        <v>0</v>
      </c>
      <c r="AE486" s="155">
        <v>0</v>
      </c>
      <c r="AF486" s="155">
        <v>0</v>
      </c>
      <c r="AG486" s="155">
        <f>0</f>
        <v>0</v>
      </c>
      <c r="AH486" s="155">
        <f>0</f>
        <v>0</v>
      </c>
      <c r="AI486" s="155">
        <f>0</f>
        <v>0</v>
      </c>
      <c r="AJ486" s="155">
        <f>0</f>
        <v>0</v>
      </c>
      <c r="AK486" s="155">
        <f>0</f>
        <v>0</v>
      </c>
      <c r="AL486" s="219">
        <f t="shared" si="24"/>
        <v>6</v>
      </c>
      <c r="AM486" s="103"/>
      <c r="AN486" s="326">
        <f t="shared" si="25"/>
        <v>6</v>
      </c>
      <c r="AO486" s="331">
        <v>45041</v>
      </c>
      <c r="AP486" s="317" t="s">
        <v>192</v>
      </c>
      <c r="AQ486" s="340" t="s">
        <v>1538</v>
      </c>
      <c r="AR486" s="332" t="s">
        <v>194</v>
      </c>
      <c r="AS486" s="321"/>
      <c r="AT486" s="318"/>
      <c r="AU486" s="318">
        <v>6</v>
      </c>
      <c r="AV486" s="317"/>
      <c r="AW486" s="318" t="s">
        <v>195</v>
      </c>
      <c r="AX486" s="333"/>
      <c r="AY486" s="333"/>
      <c r="AZ486" s="341"/>
      <c r="BA486" s="174"/>
      <c r="BB486" s="174"/>
      <c r="BC486" s="174"/>
    </row>
    <row r="487" spans="1:55" ht="28" customHeight="1">
      <c r="A487" s="195">
        <v>483</v>
      </c>
      <c r="B487" s="315">
        <v>45033</v>
      </c>
      <c r="C487" s="222" t="s">
        <v>198</v>
      </c>
      <c r="D487" s="222" t="s">
        <v>199</v>
      </c>
      <c r="E487" s="222" t="s">
        <v>200</v>
      </c>
      <c r="F487" s="371" t="s">
        <v>123</v>
      </c>
      <c r="G487" s="309" t="s">
        <v>1478</v>
      </c>
      <c r="H487" s="337" t="s">
        <v>129</v>
      </c>
      <c r="I487" s="311" t="s">
        <v>1479</v>
      </c>
      <c r="J487" s="312" t="s">
        <v>1480</v>
      </c>
      <c r="K487" s="273"/>
      <c r="L487" s="273" t="s">
        <v>168</v>
      </c>
      <c r="M487" s="311" t="s">
        <v>147</v>
      </c>
      <c r="N487" s="311"/>
      <c r="O487" s="311" t="s">
        <v>169</v>
      </c>
      <c r="P487" s="329"/>
      <c r="Q487" s="330" t="s">
        <v>1511</v>
      </c>
      <c r="R487" s="154">
        <v>0</v>
      </c>
      <c r="S487" s="155">
        <v>0</v>
      </c>
      <c r="T487" s="155">
        <v>0</v>
      </c>
      <c r="U487" s="263">
        <v>1</v>
      </c>
      <c r="V487" s="155">
        <v>0</v>
      </c>
      <c r="W487" s="155">
        <v>0</v>
      </c>
      <c r="X487" s="155">
        <v>0</v>
      </c>
      <c r="Y487" s="155">
        <v>0</v>
      </c>
      <c r="Z487" s="155">
        <v>0</v>
      </c>
      <c r="AA487" s="155">
        <v>0</v>
      </c>
      <c r="AB487" s="155">
        <v>0</v>
      </c>
      <c r="AC487" s="155">
        <v>0</v>
      </c>
      <c r="AD487" s="155">
        <v>0</v>
      </c>
      <c r="AE487" s="155">
        <v>0</v>
      </c>
      <c r="AF487" s="155">
        <v>0</v>
      </c>
      <c r="AG487" s="155">
        <f>0</f>
        <v>0</v>
      </c>
      <c r="AH487" s="155">
        <f>0</f>
        <v>0</v>
      </c>
      <c r="AI487" s="155">
        <f>0</f>
        <v>0</v>
      </c>
      <c r="AJ487" s="155">
        <f>0</f>
        <v>0</v>
      </c>
      <c r="AK487" s="155">
        <f>0</f>
        <v>0</v>
      </c>
      <c r="AL487" s="219">
        <f t="shared" si="24"/>
        <v>1</v>
      </c>
      <c r="AM487" s="103"/>
      <c r="AN487" s="326">
        <f t="shared" si="25"/>
        <v>1</v>
      </c>
      <c r="AO487" s="331">
        <v>45041</v>
      </c>
      <c r="AP487" s="317" t="s">
        <v>192</v>
      </c>
      <c r="AQ487" s="340" t="s">
        <v>1538</v>
      </c>
      <c r="AR487" s="332" t="s">
        <v>194</v>
      </c>
      <c r="AS487" s="321"/>
      <c r="AT487" s="318"/>
      <c r="AU487" s="318">
        <v>1</v>
      </c>
      <c r="AV487" s="317"/>
      <c r="AW487" s="318" t="s">
        <v>195</v>
      </c>
      <c r="AX487" s="333"/>
      <c r="AY487" s="333"/>
      <c r="AZ487" s="320"/>
      <c r="BA487" s="174"/>
      <c r="BB487" s="174"/>
      <c r="BC487" s="174"/>
    </row>
    <row r="488" spans="1:55" ht="28" customHeight="1">
      <c r="A488" s="195">
        <v>484</v>
      </c>
      <c r="B488" s="315">
        <v>45033</v>
      </c>
      <c r="C488" s="222" t="s">
        <v>198</v>
      </c>
      <c r="D488" s="222" t="s">
        <v>199</v>
      </c>
      <c r="E488" s="222" t="s">
        <v>200</v>
      </c>
      <c r="F488" s="371" t="s">
        <v>123</v>
      </c>
      <c r="G488" s="309" t="s">
        <v>1481</v>
      </c>
      <c r="H488" s="337" t="s">
        <v>129</v>
      </c>
      <c r="I488" s="311" t="s">
        <v>1508</v>
      </c>
      <c r="J488" s="312" t="s">
        <v>1482</v>
      </c>
      <c r="K488" s="273"/>
      <c r="L488" s="273" t="s">
        <v>168</v>
      </c>
      <c r="M488" s="311" t="s">
        <v>147</v>
      </c>
      <c r="N488" s="311"/>
      <c r="O488" s="311" t="s">
        <v>169</v>
      </c>
      <c r="P488" s="329"/>
      <c r="Q488" s="330" t="s">
        <v>1511</v>
      </c>
      <c r="R488" s="154">
        <v>0</v>
      </c>
      <c r="S488" s="155">
        <v>0</v>
      </c>
      <c r="T488" s="155">
        <v>0</v>
      </c>
      <c r="U488" s="263">
        <v>2</v>
      </c>
      <c r="V488" s="155">
        <v>0</v>
      </c>
      <c r="W488" s="155">
        <v>0</v>
      </c>
      <c r="X488" s="155">
        <v>0</v>
      </c>
      <c r="Y488" s="155">
        <v>0</v>
      </c>
      <c r="Z488" s="155">
        <v>0</v>
      </c>
      <c r="AA488" s="155">
        <v>0</v>
      </c>
      <c r="AB488" s="155">
        <v>0</v>
      </c>
      <c r="AC488" s="155">
        <v>0</v>
      </c>
      <c r="AD488" s="155">
        <v>0</v>
      </c>
      <c r="AE488" s="155">
        <v>0</v>
      </c>
      <c r="AF488" s="155">
        <v>0</v>
      </c>
      <c r="AG488" s="155">
        <f>0</f>
        <v>0</v>
      </c>
      <c r="AH488" s="155">
        <f>0</f>
        <v>0</v>
      </c>
      <c r="AI488" s="155">
        <f>0</f>
        <v>0</v>
      </c>
      <c r="AJ488" s="155">
        <f>0</f>
        <v>0</v>
      </c>
      <c r="AK488" s="155">
        <f>0</f>
        <v>0</v>
      </c>
      <c r="AL488" s="219">
        <f t="shared" si="24"/>
        <v>2</v>
      </c>
      <c r="AM488" s="103"/>
      <c r="AN488" s="326">
        <f t="shared" si="25"/>
        <v>2</v>
      </c>
      <c r="AO488" s="331">
        <v>45041</v>
      </c>
      <c r="AP488" s="317" t="s">
        <v>192</v>
      </c>
      <c r="AQ488" s="340" t="s">
        <v>1538</v>
      </c>
      <c r="AR488" s="332" t="s">
        <v>194</v>
      </c>
      <c r="AS488" s="321"/>
      <c r="AT488" s="318"/>
      <c r="AU488" s="318">
        <v>2</v>
      </c>
      <c r="AV488" s="317">
        <f t="shared" ref="AV488:AV498" si="27">AN488-AU488</f>
        <v>0</v>
      </c>
      <c r="AW488" s="318" t="s">
        <v>195</v>
      </c>
      <c r="AX488" s="333"/>
      <c r="AY488" s="333"/>
      <c r="AZ488" s="341"/>
      <c r="BA488" s="174"/>
      <c r="BB488" s="174"/>
      <c r="BC488" s="174"/>
    </row>
    <row r="489" spans="1:55" ht="28" customHeight="1">
      <c r="A489" s="195">
        <v>485</v>
      </c>
      <c r="B489" s="315">
        <v>45033</v>
      </c>
      <c r="C489" s="222" t="s">
        <v>198</v>
      </c>
      <c r="D489" s="222" t="s">
        <v>199</v>
      </c>
      <c r="E489" s="222" t="s">
        <v>200</v>
      </c>
      <c r="F489" s="371" t="s">
        <v>123</v>
      </c>
      <c r="G489" s="309" t="s">
        <v>1483</v>
      </c>
      <c r="H489" s="337" t="s">
        <v>129</v>
      </c>
      <c r="I489" s="311" t="s">
        <v>1484</v>
      </c>
      <c r="J489" s="312" t="s">
        <v>1485</v>
      </c>
      <c r="K489" s="273" t="s">
        <v>97</v>
      </c>
      <c r="L489" s="273" t="s">
        <v>168</v>
      </c>
      <c r="M489" s="311" t="s">
        <v>147</v>
      </c>
      <c r="N489" s="311" t="s">
        <v>97</v>
      </c>
      <c r="O489" s="311" t="s">
        <v>169</v>
      </c>
      <c r="P489" s="329"/>
      <c r="Q489" s="330" t="s">
        <v>1511</v>
      </c>
      <c r="R489" s="154">
        <v>0</v>
      </c>
      <c r="S489" s="155">
        <v>0</v>
      </c>
      <c r="T489" s="155">
        <v>0</v>
      </c>
      <c r="U489" s="263">
        <v>2</v>
      </c>
      <c r="V489" s="155">
        <v>0</v>
      </c>
      <c r="W489" s="155">
        <v>0</v>
      </c>
      <c r="X489" s="155">
        <v>0</v>
      </c>
      <c r="Y489" s="155">
        <v>0</v>
      </c>
      <c r="Z489" s="155">
        <v>0</v>
      </c>
      <c r="AA489" s="155">
        <v>0</v>
      </c>
      <c r="AB489" s="155">
        <v>0</v>
      </c>
      <c r="AC489" s="155">
        <v>0</v>
      </c>
      <c r="AD489" s="155">
        <v>0</v>
      </c>
      <c r="AE489" s="155">
        <v>0</v>
      </c>
      <c r="AF489" s="155">
        <v>0</v>
      </c>
      <c r="AG489" s="155">
        <f>0</f>
        <v>0</v>
      </c>
      <c r="AH489" s="155">
        <f>0</f>
        <v>0</v>
      </c>
      <c r="AI489" s="155">
        <f>0</f>
        <v>0</v>
      </c>
      <c r="AJ489" s="155">
        <f>0</f>
        <v>0</v>
      </c>
      <c r="AK489" s="155">
        <f>0</f>
        <v>0</v>
      </c>
      <c r="AL489" s="219">
        <f t="shared" si="24"/>
        <v>2</v>
      </c>
      <c r="AM489" s="103"/>
      <c r="AN489" s="326">
        <f t="shared" si="25"/>
        <v>2</v>
      </c>
      <c r="AO489" s="331">
        <v>45041</v>
      </c>
      <c r="AP489" s="317" t="s">
        <v>192</v>
      </c>
      <c r="AQ489" s="340" t="s">
        <v>1538</v>
      </c>
      <c r="AR489" s="332" t="s">
        <v>194</v>
      </c>
      <c r="AS489" s="321"/>
      <c r="AT489" s="318"/>
      <c r="AU489" s="318"/>
      <c r="AV489" s="317">
        <f t="shared" si="27"/>
        <v>2</v>
      </c>
      <c r="AW489" s="318" t="s">
        <v>195</v>
      </c>
      <c r="AX489" s="333"/>
      <c r="AY489" s="333"/>
      <c r="AZ489" s="320"/>
      <c r="BA489" s="174"/>
      <c r="BB489" s="174"/>
      <c r="BC489" s="174"/>
    </row>
    <row r="490" spans="1:55" ht="28" customHeight="1">
      <c r="A490" s="195">
        <v>486</v>
      </c>
      <c r="B490" s="315">
        <v>45033</v>
      </c>
      <c r="C490" s="222" t="s">
        <v>198</v>
      </c>
      <c r="D490" s="222" t="s">
        <v>199</v>
      </c>
      <c r="E490" s="222" t="s">
        <v>200</v>
      </c>
      <c r="F490" s="371" t="s">
        <v>123</v>
      </c>
      <c r="G490" s="309" t="s">
        <v>1486</v>
      </c>
      <c r="H490" s="337" t="s">
        <v>129</v>
      </c>
      <c r="I490" s="311" t="s">
        <v>1509</v>
      </c>
      <c r="J490" s="312" t="s">
        <v>1487</v>
      </c>
      <c r="K490" s="273" t="s">
        <v>97</v>
      </c>
      <c r="L490" s="273" t="s">
        <v>168</v>
      </c>
      <c r="M490" s="311" t="s">
        <v>147</v>
      </c>
      <c r="N490" s="311" t="s">
        <v>97</v>
      </c>
      <c r="O490" s="311" t="s">
        <v>169</v>
      </c>
      <c r="P490" s="329"/>
      <c r="Q490" s="330" t="s">
        <v>1511</v>
      </c>
      <c r="R490" s="154">
        <v>0</v>
      </c>
      <c r="S490" s="155">
        <v>0</v>
      </c>
      <c r="T490" s="155">
        <v>0</v>
      </c>
      <c r="U490" s="263">
        <v>1</v>
      </c>
      <c r="V490" s="155">
        <v>0</v>
      </c>
      <c r="W490" s="155">
        <v>0</v>
      </c>
      <c r="X490" s="155">
        <v>0</v>
      </c>
      <c r="Y490" s="155">
        <v>0</v>
      </c>
      <c r="Z490" s="155">
        <v>0</v>
      </c>
      <c r="AA490" s="155">
        <v>0</v>
      </c>
      <c r="AB490" s="155">
        <v>0</v>
      </c>
      <c r="AC490" s="155">
        <v>0</v>
      </c>
      <c r="AD490" s="155">
        <v>0</v>
      </c>
      <c r="AE490" s="155">
        <v>0</v>
      </c>
      <c r="AF490" s="155">
        <v>0</v>
      </c>
      <c r="AG490" s="155">
        <f>0</f>
        <v>0</v>
      </c>
      <c r="AH490" s="155">
        <f>0</f>
        <v>0</v>
      </c>
      <c r="AI490" s="155">
        <f>0</f>
        <v>0</v>
      </c>
      <c r="AJ490" s="155">
        <f>0</f>
        <v>0</v>
      </c>
      <c r="AK490" s="155">
        <f>0</f>
        <v>0</v>
      </c>
      <c r="AL490" s="219">
        <f t="shared" si="24"/>
        <v>1</v>
      </c>
      <c r="AM490" s="103"/>
      <c r="AN490" s="326">
        <f t="shared" si="25"/>
        <v>1</v>
      </c>
      <c r="AO490" s="331">
        <v>45041</v>
      </c>
      <c r="AP490" s="317" t="s">
        <v>192</v>
      </c>
      <c r="AQ490" s="340" t="s">
        <v>1538</v>
      </c>
      <c r="AR490" s="332" t="s">
        <v>194</v>
      </c>
      <c r="AS490" s="321"/>
      <c r="AT490" s="318"/>
      <c r="AU490" s="318">
        <v>1</v>
      </c>
      <c r="AV490" s="317">
        <f t="shared" si="27"/>
        <v>0</v>
      </c>
      <c r="AW490" s="318" t="s">
        <v>195</v>
      </c>
      <c r="AX490" s="333"/>
      <c r="AY490" s="333"/>
      <c r="AZ490" s="341"/>
      <c r="BA490" s="174"/>
      <c r="BB490" s="174"/>
      <c r="BC490" s="174"/>
    </row>
    <row r="491" spans="1:55" ht="28" customHeight="1">
      <c r="A491" s="271">
        <v>487</v>
      </c>
      <c r="B491" s="274">
        <v>45033</v>
      </c>
      <c r="C491" s="128"/>
      <c r="D491" s="128"/>
      <c r="E491" s="128"/>
      <c r="F491" s="265" t="s">
        <v>123</v>
      </c>
      <c r="G491" s="267" t="s">
        <v>1488</v>
      </c>
      <c r="H491" s="275" t="s">
        <v>129</v>
      </c>
      <c r="I491" s="111" t="s">
        <v>1512</v>
      </c>
      <c r="J491" s="269" t="s">
        <v>1513</v>
      </c>
      <c r="K491" s="112"/>
      <c r="L491" s="112" t="s">
        <v>168</v>
      </c>
      <c r="M491" s="111" t="s">
        <v>279</v>
      </c>
      <c r="N491" s="111"/>
      <c r="O491" s="111" t="s">
        <v>169</v>
      </c>
      <c r="P491" s="325" t="s">
        <v>1541</v>
      </c>
      <c r="Q491" s="323" t="s">
        <v>1511</v>
      </c>
      <c r="R491" s="154">
        <v>0</v>
      </c>
      <c r="S491" s="155">
        <v>0</v>
      </c>
      <c r="T491" s="155">
        <v>0</v>
      </c>
      <c r="U491" s="263">
        <v>1</v>
      </c>
      <c r="V491" s="155">
        <v>0</v>
      </c>
      <c r="W491" s="155">
        <v>0</v>
      </c>
      <c r="X491" s="155">
        <v>0</v>
      </c>
      <c r="Y491" s="155">
        <v>0</v>
      </c>
      <c r="Z491" s="155">
        <v>0</v>
      </c>
      <c r="AA491" s="155">
        <v>0</v>
      </c>
      <c r="AB491" s="155">
        <v>0</v>
      </c>
      <c r="AC491" s="155">
        <v>0</v>
      </c>
      <c r="AD491" s="155">
        <v>0</v>
      </c>
      <c r="AE491" s="155">
        <v>0</v>
      </c>
      <c r="AF491" s="155">
        <v>0</v>
      </c>
      <c r="AG491" s="155">
        <f>0</f>
        <v>0</v>
      </c>
      <c r="AH491" s="155">
        <f>0</f>
        <v>0</v>
      </c>
      <c r="AI491" s="155">
        <f>0</f>
        <v>0</v>
      </c>
      <c r="AJ491" s="155">
        <f>0</f>
        <v>0</v>
      </c>
      <c r="AK491" s="155">
        <f>0</f>
        <v>0</v>
      </c>
      <c r="AL491" s="219">
        <f t="shared" si="24"/>
        <v>1</v>
      </c>
      <c r="AM491" s="103"/>
      <c r="AN491" s="326">
        <f t="shared" si="25"/>
        <v>1</v>
      </c>
      <c r="AO491" s="276"/>
      <c r="AP491" s="277"/>
      <c r="AQ491" s="284"/>
      <c r="AR491" s="278"/>
      <c r="AS491" s="277"/>
      <c r="AT491" s="279"/>
      <c r="AU491" s="279"/>
      <c r="AV491" s="277">
        <f t="shared" si="27"/>
        <v>1</v>
      </c>
      <c r="AW491" s="177" t="s">
        <v>105</v>
      </c>
      <c r="AX491" s="324"/>
      <c r="AY491" s="324"/>
      <c r="AZ491" s="281"/>
    </row>
    <row r="492" spans="1:55" ht="27.75" customHeight="1">
      <c r="A492" s="195">
        <v>488</v>
      </c>
      <c r="B492" s="315">
        <v>45033</v>
      </c>
      <c r="C492" s="222" t="s">
        <v>198</v>
      </c>
      <c r="D492" s="222" t="s">
        <v>199</v>
      </c>
      <c r="E492" s="222" t="s">
        <v>200</v>
      </c>
      <c r="F492" s="371" t="s">
        <v>123</v>
      </c>
      <c r="G492" s="309" t="s">
        <v>1489</v>
      </c>
      <c r="H492" s="337" t="s">
        <v>129</v>
      </c>
      <c r="I492" s="311" t="s">
        <v>991</v>
      </c>
      <c r="J492" s="312" t="s">
        <v>1490</v>
      </c>
      <c r="K492" s="273" t="s">
        <v>97</v>
      </c>
      <c r="L492" s="273" t="s">
        <v>168</v>
      </c>
      <c r="M492" s="311" t="s">
        <v>147</v>
      </c>
      <c r="N492" s="311" t="s">
        <v>97</v>
      </c>
      <c r="O492" s="311" t="s">
        <v>169</v>
      </c>
      <c r="P492" s="329"/>
      <c r="Q492" s="330" t="s">
        <v>1511</v>
      </c>
      <c r="R492" s="154">
        <v>0</v>
      </c>
      <c r="S492" s="155">
        <v>0</v>
      </c>
      <c r="T492" s="155">
        <v>0</v>
      </c>
      <c r="U492" s="263">
        <v>2</v>
      </c>
      <c r="V492" s="155">
        <v>0</v>
      </c>
      <c r="W492" s="155">
        <v>0</v>
      </c>
      <c r="X492" s="155">
        <v>0</v>
      </c>
      <c r="Y492" s="155">
        <v>0</v>
      </c>
      <c r="Z492" s="155">
        <v>0</v>
      </c>
      <c r="AA492" s="155">
        <v>0</v>
      </c>
      <c r="AB492" s="155">
        <v>0</v>
      </c>
      <c r="AC492" s="155">
        <v>0</v>
      </c>
      <c r="AD492" s="155">
        <v>0</v>
      </c>
      <c r="AE492" s="155">
        <v>0</v>
      </c>
      <c r="AF492" s="155">
        <v>0</v>
      </c>
      <c r="AG492" s="155">
        <f>0</f>
        <v>0</v>
      </c>
      <c r="AH492" s="155">
        <f>0</f>
        <v>0</v>
      </c>
      <c r="AI492" s="155">
        <f>0</f>
        <v>0</v>
      </c>
      <c r="AJ492" s="155">
        <f>0</f>
        <v>0</v>
      </c>
      <c r="AK492" s="155">
        <f>0</f>
        <v>0</v>
      </c>
      <c r="AL492" s="219">
        <f t="shared" si="24"/>
        <v>2</v>
      </c>
      <c r="AM492" s="103"/>
      <c r="AN492" s="326">
        <f t="shared" si="25"/>
        <v>2</v>
      </c>
      <c r="AO492" s="331">
        <v>45041</v>
      </c>
      <c r="AP492" s="317" t="s">
        <v>192</v>
      </c>
      <c r="AQ492" s="340" t="s">
        <v>1538</v>
      </c>
      <c r="AR492" s="332" t="s">
        <v>194</v>
      </c>
      <c r="AS492" s="321"/>
      <c r="AT492" s="318"/>
      <c r="AU492" s="318">
        <v>2</v>
      </c>
      <c r="AV492" s="317">
        <f t="shared" si="27"/>
        <v>0</v>
      </c>
      <c r="AW492" s="318" t="s">
        <v>195</v>
      </c>
      <c r="AX492" s="333"/>
      <c r="AY492" s="333"/>
      <c r="AZ492" s="341"/>
      <c r="BA492" s="174"/>
      <c r="BB492" s="174"/>
      <c r="BC492" s="174"/>
    </row>
    <row r="493" spans="1:55" ht="28" customHeight="1">
      <c r="A493" s="195">
        <v>489</v>
      </c>
      <c r="B493" s="315">
        <v>45033</v>
      </c>
      <c r="C493" s="222" t="s">
        <v>198</v>
      </c>
      <c r="D493" s="222" t="s">
        <v>199</v>
      </c>
      <c r="E493" s="222" t="s">
        <v>200</v>
      </c>
      <c r="F493" s="371" t="s">
        <v>123</v>
      </c>
      <c r="G493" s="309" t="s">
        <v>1491</v>
      </c>
      <c r="H493" s="337" t="s">
        <v>129</v>
      </c>
      <c r="I493" s="311" t="s">
        <v>1509</v>
      </c>
      <c r="J493" s="312" t="s">
        <v>1492</v>
      </c>
      <c r="K493" s="273" t="s">
        <v>97</v>
      </c>
      <c r="L493" s="273" t="s">
        <v>168</v>
      </c>
      <c r="M493" s="311" t="s">
        <v>147</v>
      </c>
      <c r="N493" s="311" t="s">
        <v>97</v>
      </c>
      <c r="O493" s="311" t="s">
        <v>169</v>
      </c>
      <c r="P493" s="329"/>
      <c r="Q493" s="330" t="s">
        <v>1511</v>
      </c>
      <c r="R493" s="154">
        <v>0</v>
      </c>
      <c r="S493" s="155">
        <v>0</v>
      </c>
      <c r="T493" s="155">
        <v>0</v>
      </c>
      <c r="U493" s="263">
        <v>3</v>
      </c>
      <c r="V493" s="155">
        <v>0</v>
      </c>
      <c r="W493" s="155">
        <v>0</v>
      </c>
      <c r="X493" s="155">
        <v>0</v>
      </c>
      <c r="Y493" s="155">
        <v>0</v>
      </c>
      <c r="Z493" s="155">
        <v>0</v>
      </c>
      <c r="AA493" s="155">
        <v>0</v>
      </c>
      <c r="AB493" s="155">
        <v>0</v>
      </c>
      <c r="AC493" s="155">
        <v>0</v>
      </c>
      <c r="AD493" s="155">
        <v>0</v>
      </c>
      <c r="AE493" s="155">
        <v>0</v>
      </c>
      <c r="AF493" s="155">
        <v>0</v>
      </c>
      <c r="AG493" s="155">
        <f>0</f>
        <v>0</v>
      </c>
      <c r="AH493" s="155">
        <f>0</f>
        <v>0</v>
      </c>
      <c r="AI493" s="155">
        <f>0</f>
        <v>0</v>
      </c>
      <c r="AJ493" s="155">
        <f>0</f>
        <v>0</v>
      </c>
      <c r="AK493" s="155">
        <f>0</f>
        <v>0</v>
      </c>
      <c r="AL493" s="219">
        <f t="shared" si="24"/>
        <v>3</v>
      </c>
      <c r="AM493" s="103"/>
      <c r="AN493" s="326">
        <f t="shared" si="25"/>
        <v>3</v>
      </c>
      <c r="AO493" s="331">
        <v>45041</v>
      </c>
      <c r="AP493" s="317" t="s">
        <v>192</v>
      </c>
      <c r="AQ493" s="340" t="s">
        <v>1538</v>
      </c>
      <c r="AR493" s="332" t="s">
        <v>194</v>
      </c>
      <c r="AS493" s="321"/>
      <c r="AT493" s="318"/>
      <c r="AU493" s="318">
        <v>3</v>
      </c>
      <c r="AV493" s="317">
        <f t="shared" si="27"/>
        <v>0</v>
      </c>
      <c r="AW493" s="318" t="s">
        <v>195</v>
      </c>
      <c r="AX493" s="333"/>
      <c r="AY493" s="333"/>
      <c r="AZ493" s="320"/>
      <c r="BA493" s="174"/>
      <c r="BB493" s="174"/>
      <c r="BC493" s="174"/>
    </row>
    <row r="494" spans="1:55" ht="28" customHeight="1">
      <c r="A494" s="195">
        <v>490</v>
      </c>
      <c r="B494" s="315">
        <v>45033</v>
      </c>
      <c r="C494" s="222" t="s">
        <v>198</v>
      </c>
      <c r="D494" s="222" t="s">
        <v>199</v>
      </c>
      <c r="E494" s="222" t="s">
        <v>200</v>
      </c>
      <c r="F494" s="371" t="s">
        <v>123</v>
      </c>
      <c r="G494" s="309" t="s">
        <v>1493</v>
      </c>
      <c r="H494" s="337" t="s">
        <v>129</v>
      </c>
      <c r="I494" s="311" t="s">
        <v>1017</v>
      </c>
      <c r="J494" s="312" t="s">
        <v>1494</v>
      </c>
      <c r="K494" s="273" t="s">
        <v>97</v>
      </c>
      <c r="L494" s="273" t="s">
        <v>308</v>
      </c>
      <c r="M494" s="311" t="s">
        <v>147</v>
      </c>
      <c r="N494" s="311" t="s">
        <v>97</v>
      </c>
      <c r="O494" s="311" t="s">
        <v>97</v>
      </c>
      <c r="P494" s="329"/>
      <c r="Q494" s="330" t="s">
        <v>1511</v>
      </c>
      <c r="R494" s="154">
        <v>0</v>
      </c>
      <c r="S494" s="155">
        <v>0</v>
      </c>
      <c r="T494" s="155">
        <v>0</v>
      </c>
      <c r="U494" s="263">
        <v>4</v>
      </c>
      <c r="V494" s="155">
        <v>0</v>
      </c>
      <c r="W494" s="155">
        <v>0</v>
      </c>
      <c r="X494" s="155">
        <v>0</v>
      </c>
      <c r="Y494" s="155">
        <v>0</v>
      </c>
      <c r="Z494" s="155">
        <v>0</v>
      </c>
      <c r="AA494" s="155">
        <v>0</v>
      </c>
      <c r="AB494" s="155">
        <v>0</v>
      </c>
      <c r="AC494" s="155">
        <v>0</v>
      </c>
      <c r="AD494" s="155">
        <v>0</v>
      </c>
      <c r="AE494" s="155">
        <v>0</v>
      </c>
      <c r="AF494" s="155">
        <v>0</v>
      </c>
      <c r="AG494" s="155">
        <f>0</f>
        <v>0</v>
      </c>
      <c r="AH494" s="155">
        <f>0</f>
        <v>0</v>
      </c>
      <c r="AI494" s="155">
        <f>0</f>
        <v>0</v>
      </c>
      <c r="AJ494" s="155">
        <f>0</f>
        <v>0</v>
      </c>
      <c r="AK494" s="155">
        <f>0</f>
        <v>0</v>
      </c>
      <c r="AL494" s="219">
        <f t="shared" si="24"/>
        <v>4</v>
      </c>
      <c r="AM494" s="103"/>
      <c r="AN494" s="326">
        <f t="shared" si="25"/>
        <v>4</v>
      </c>
      <c r="AO494" s="331">
        <v>45041</v>
      </c>
      <c r="AP494" s="317" t="s">
        <v>192</v>
      </c>
      <c r="AQ494" s="340" t="s">
        <v>1538</v>
      </c>
      <c r="AR494" s="332" t="s">
        <v>194</v>
      </c>
      <c r="AS494" s="321"/>
      <c r="AT494" s="318"/>
      <c r="AU494" s="318">
        <v>4</v>
      </c>
      <c r="AV494" s="317">
        <f t="shared" si="27"/>
        <v>0</v>
      </c>
      <c r="AW494" s="318" t="s">
        <v>195</v>
      </c>
      <c r="AX494" s="333"/>
      <c r="AY494" s="333"/>
      <c r="AZ494" s="341"/>
      <c r="BA494" s="174"/>
      <c r="BB494" s="174"/>
      <c r="BC494" s="174"/>
    </row>
    <row r="495" spans="1:55" ht="28" customHeight="1">
      <c r="A495" s="195">
        <v>491</v>
      </c>
      <c r="B495" s="315">
        <v>45033</v>
      </c>
      <c r="C495" s="222" t="s">
        <v>198</v>
      </c>
      <c r="D495" s="222" t="s">
        <v>199</v>
      </c>
      <c r="E495" s="222" t="s">
        <v>200</v>
      </c>
      <c r="F495" s="371" t="s">
        <v>123</v>
      </c>
      <c r="G495" s="309" t="s">
        <v>1495</v>
      </c>
      <c r="H495" s="337" t="s">
        <v>129</v>
      </c>
      <c r="I495" s="311" t="s">
        <v>991</v>
      </c>
      <c r="J495" s="312" t="s">
        <v>1496</v>
      </c>
      <c r="K495" s="273" t="s">
        <v>97</v>
      </c>
      <c r="L495" s="273" t="s">
        <v>234</v>
      </c>
      <c r="M495" s="311" t="s">
        <v>156</v>
      </c>
      <c r="N495" s="311" t="s">
        <v>97</v>
      </c>
      <c r="O495" s="311" t="s">
        <v>97</v>
      </c>
      <c r="P495" s="329"/>
      <c r="Q495" s="330" t="s">
        <v>1511</v>
      </c>
      <c r="R495" s="154">
        <v>0</v>
      </c>
      <c r="S495" s="155">
        <v>0</v>
      </c>
      <c r="T495" s="155">
        <v>0</v>
      </c>
      <c r="U495" s="263">
        <v>1</v>
      </c>
      <c r="V495" s="155">
        <v>0</v>
      </c>
      <c r="W495" s="155">
        <v>0</v>
      </c>
      <c r="X495" s="155">
        <v>0</v>
      </c>
      <c r="Y495" s="155">
        <v>0</v>
      </c>
      <c r="Z495" s="155">
        <v>0</v>
      </c>
      <c r="AA495" s="155">
        <v>0</v>
      </c>
      <c r="AB495" s="155">
        <v>0</v>
      </c>
      <c r="AC495" s="155">
        <v>0</v>
      </c>
      <c r="AD495" s="155">
        <v>0</v>
      </c>
      <c r="AE495" s="155">
        <v>0</v>
      </c>
      <c r="AF495" s="155">
        <v>0</v>
      </c>
      <c r="AG495" s="155">
        <f>0</f>
        <v>0</v>
      </c>
      <c r="AH495" s="155">
        <f>0</f>
        <v>0</v>
      </c>
      <c r="AI495" s="155">
        <f>0</f>
        <v>0</v>
      </c>
      <c r="AJ495" s="155">
        <f>0</f>
        <v>0</v>
      </c>
      <c r="AK495" s="155">
        <f>0</f>
        <v>0</v>
      </c>
      <c r="AL495" s="219">
        <f t="shared" si="24"/>
        <v>1</v>
      </c>
      <c r="AM495" s="103"/>
      <c r="AN495" s="326">
        <f t="shared" si="25"/>
        <v>1</v>
      </c>
      <c r="AO495" s="331">
        <v>45041</v>
      </c>
      <c r="AP495" s="317" t="s">
        <v>192</v>
      </c>
      <c r="AQ495" s="340" t="s">
        <v>1537</v>
      </c>
      <c r="AR495" s="332" t="s">
        <v>197</v>
      </c>
      <c r="AS495" s="321"/>
      <c r="AT495" s="318"/>
      <c r="AU495" s="318">
        <v>1</v>
      </c>
      <c r="AV495" s="317">
        <f t="shared" si="27"/>
        <v>0</v>
      </c>
      <c r="AW495" s="318" t="s">
        <v>195</v>
      </c>
      <c r="AX495" s="333"/>
      <c r="AY495" s="333"/>
      <c r="AZ495" s="320"/>
      <c r="BA495" s="174"/>
      <c r="BB495" s="174"/>
      <c r="BC495" s="174"/>
    </row>
    <row r="496" spans="1:55" ht="28" customHeight="1">
      <c r="A496" s="195">
        <v>492</v>
      </c>
      <c r="B496" s="315">
        <v>45033</v>
      </c>
      <c r="C496" s="222" t="s">
        <v>198</v>
      </c>
      <c r="D496" s="222" t="s">
        <v>199</v>
      </c>
      <c r="E496" s="222" t="s">
        <v>200</v>
      </c>
      <c r="F496" s="371" t="s">
        <v>123</v>
      </c>
      <c r="G496" s="309" t="s">
        <v>1497</v>
      </c>
      <c r="H496" s="337" t="s">
        <v>129</v>
      </c>
      <c r="I496" s="311" t="s">
        <v>1498</v>
      </c>
      <c r="J496" s="312" t="s">
        <v>1499</v>
      </c>
      <c r="K496" s="273"/>
      <c r="L496" s="273" t="s">
        <v>234</v>
      </c>
      <c r="M496" s="311" t="s">
        <v>156</v>
      </c>
      <c r="N496" s="311"/>
      <c r="O496" s="311" t="s">
        <v>97</v>
      </c>
      <c r="P496" s="329"/>
      <c r="Q496" s="330" t="s">
        <v>1511</v>
      </c>
      <c r="R496" s="154">
        <v>0</v>
      </c>
      <c r="S496" s="155">
        <v>0</v>
      </c>
      <c r="T496" s="155">
        <v>0</v>
      </c>
      <c r="U496" s="263">
        <v>1</v>
      </c>
      <c r="V496" s="155">
        <v>0</v>
      </c>
      <c r="W496" s="155">
        <v>0</v>
      </c>
      <c r="X496" s="155">
        <v>0</v>
      </c>
      <c r="Y496" s="155">
        <v>0</v>
      </c>
      <c r="Z496" s="155">
        <v>0</v>
      </c>
      <c r="AA496" s="155">
        <v>0</v>
      </c>
      <c r="AB496" s="155">
        <v>0</v>
      </c>
      <c r="AC496" s="155">
        <v>0</v>
      </c>
      <c r="AD496" s="155">
        <v>0</v>
      </c>
      <c r="AE496" s="155">
        <v>0</v>
      </c>
      <c r="AF496" s="155">
        <v>0</v>
      </c>
      <c r="AG496" s="155">
        <f>0</f>
        <v>0</v>
      </c>
      <c r="AH496" s="155">
        <f>0</f>
        <v>0</v>
      </c>
      <c r="AI496" s="155">
        <f>0</f>
        <v>0</v>
      </c>
      <c r="AJ496" s="155">
        <f>0</f>
        <v>0</v>
      </c>
      <c r="AK496" s="155">
        <f>0</f>
        <v>0</v>
      </c>
      <c r="AL496" s="219">
        <f t="shared" si="24"/>
        <v>1</v>
      </c>
      <c r="AM496" s="103"/>
      <c r="AN496" s="326">
        <f t="shared" si="25"/>
        <v>1</v>
      </c>
      <c r="AO496" s="331">
        <v>45041</v>
      </c>
      <c r="AP496" s="317" t="s">
        <v>192</v>
      </c>
      <c r="AQ496" s="340" t="s">
        <v>1537</v>
      </c>
      <c r="AR496" s="332" t="s">
        <v>197</v>
      </c>
      <c r="AS496" s="321"/>
      <c r="AT496" s="318"/>
      <c r="AU496" s="318">
        <v>1</v>
      </c>
      <c r="AV496" s="317">
        <f t="shared" si="27"/>
        <v>0</v>
      </c>
      <c r="AW496" s="318" t="s">
        <v>195</v>
      </c>
      <c r="AX496" s="333"/>
      <c r="AY496" s="333"/>
      <c r="AZ496" s="341"/>
      <c r="BA496" s="174"/>
      <c r="BB496" s="174"/>
      <c r="BC496" s="174"/>
    </row>
    <row r="497" spans="1:55" ht="28" customHeight="1">
      <c r="A497" s="195">
        <v>493</v>
      </c>
      <c r="B497" s="315">
        <v>45033</v>
      </c>
      <c r="C497" s="222" t="s">
        <v>198</v>
      </c>
      <c r="D497" s="222" t="s">
        <v>199</v>
      </c>
      <c r="E497" s="222" t="s">
        <v>200</v>
      </c>
      <c r="F497" s="371" t="s">
        <v>123</v>
      </c>
      <c r="G497" s="309" t="s">
        <v>1515</v>
      </c>
      <c r="H497" s="337" t="s">
        <v>129</v>
      </c>
      <c r="I497" s="311" t="s">
        <v>1514</v>
      </c>
      <c r="J497" s="312" t="s">
        <v>1516</v>
      </c>
      <c r="K497" s="273"/>
      <c r="L497" s="273" t="s">
        <v>165</v>
      </c>
      <c r="M497" s="311" t="s">
        <v>279</v>
      </c>
      <c r="N497" s="311" t="s">
        <v>97</v>
      </c>
      <c r="O497" s="311" t="s">
        <v>1311</v>
      </c>
      <c r="P497" s="329" t="s">
        <v>1517</v>
      </c>
      <c r="Q497" s="330" t="s">
        <v>1296</v>
      </c>
      <c r="R497" s="154">
        <v>0</v>
      </c>
      <c r="S497" s="263">
        <v>1</v>
      </c>
      <c r="T497" s="155">
        <v>0</v>
      </c>
      <c r="U497" s="155">
        <v>0</v>
      </c>
      <c r="V497" s="155">
        <v>0</v>
      </c>
      <c r="W497" s="155">
        <v>0</v>
      </c>
      <c r="X497" s="155">
        <v>0</v>
      </c>
      <c r="Y497" s="155">
        <v>0</v>
      </c>
      <c r="Z497" s="155">
        <v>0</v>
      </c>
      <c r="AA497" s="155">
        <v>0</v>
      </c>
      <c r="AB497" s="155">
        <v>0</v>
      </c>
      <c r="AC497" s="155">
        <v>0</v>
      </c>
      <c r="AD497" s="155">
        <v>0</v>
      </c>
      <c r="AE497" s="155">
        <v>0</v>
      </c>
      <c r="AF497" s="155">
        <v>0</v>
      </c>
      <c r="AG497" s="155">
        <v>0</v>
      </c>
      <c r="AH497" s="155">
        <v>0</v>
      </c>
      <c r="AI497" s="155">
        <v>0</v>
      </c>
      <c r="AJ497" s="155">
        <v>0</v>
      </c>
      <c r="AK497" s="155">
        <v>0</v>
      </c>
      <c r="AL497" s="219">
        <f t="shared" si="24"/>
        <v>1</v>
      </c>
      <c r="AM497" s="103"/>
      <c r="AN497" s="326">
        <f t="shared" si="25"/>
        <v>1</v>
      </c>
      <c r="AO497" s="331">
        <v>45041</v>
      </c>
      <c r="AP497" s="317" t="s">
        <v>192</v>
      </c>
      <c r="AQ497" s="340" t="s">
        <v>1538</v>
      </c>
      <c r="AR497" s="332" t="s">
        <v>194</v>
      </c>
      <c r="AS497" s="321"/>
      <c r="AT497" s="318"/>
      <c r="AU497" s="318">
        <v>1</v>
      </c>
      <c r="AV497" s="317">
        <f t="shared" si="27"/>
        <v>0</v>
      </c>
      <c r="AW497" s="318" t="s">
        <v>195</v>
      </c>
      <c r="AX497" s="333"/>
      <c r="AY497" s="333"/>
      <c r="AZ497" s="320"/>
      <c r="BA497" s="174"/>
      <c r="BB497" s="174"/>
      <c r="BC497" s="174"/>
    </row>
    <row r="498" spans="1:55" ht="28" customHeight="1">
      <c r="A498" s="195">
        <v>494</v>
      </c>
      <c r="B498" s="315">
        <v>45033</v>
      </c>
      <c r="C498" s="222" t="s">
        <v>198</v>
      </c>
      <c r="D498" s="222" t="s">
        <v>199</v>
      </c>
      <c r="E498" s="222" t="s">
        <v>200</v>
      </c>
      <c r="F498" s="371" t="s">
        <v>123</v>
      </c>
      <c r="G498" s="309" t="s">
        <v>1525</v>
      </c>
      <c r="H498" s="337" t="s">
        <v>129</v>
      </c>
      <c r="I498" s="311" t="s">
        <v>671</v>
      </c>
      <c r="J498" s="312" t="s">
        <v>1524</v>
      </c>
      <c r="K498" s="273"/>
      <c r="L498" s="273" t="s">
        <v>159</v>
      </c>
      <c r="M498" s="311" t="s">
        <v>279</v>
      </c>
      <c r="N498" s="311" t="s">
        <v>97</v>
      </c>
      <c r="O498" s="311" t="s">
        <v>204</v>
      </c>
      <c r="P498" s="329"/>
      <c r="Q498" s="330"/>
      <c r="R498" s="154">
        <v>0</v>
      </c>
      <c r="S498" s="155">
        <v>0</v>
      </c>
      <c r="T498" s="155">
        <v>0</v>
      </c>
      <c r="U498" s="263">
        <v>4</v>
      </c>
      <c r="V498" s="155">
        <v>0</v>
      </c>
      <c r="W498" s="155">
        <v>0</v>
      </c>
      <c r="X498" s="155">
        <v>0</v>
      </c>
      <c r="Y498" s="155">
        <v>0</v>
      </c>
      <c r="Z498" s="155">
        <v>0</v>
      </c>
      <c r="AA498" s="155">
        <v>0</v>
      </c>
      <c r="AB498" s="155">
        <v>0</v>
      </c>
      <c r="AC498" s="155">
        <v>0</v>
      </c>
      <c r="AD498" s="155">
        <v>0</v>
      </c>
      <c r="AE498" s="155">
        <v>0</v>
      </c>
      <c r="AF498" s="155">
        <v>0</v>
      </c>
      <c r="AG498" s="155">
        <v>0</v>
      </c>
      <c r="AH498" s="155">
        <v>0</v>
      </c>
      <c r="AI498" s="155">
        <v>0</v>
      </c>
      <c r="AJ498" s="155">
        <v>0</v>
      </c>
      <c r="AK498" s="155">
        <v>0</v>
      </c>
      <c r="AL498" s="219">
        <f t="shared" si="24"/>
        <v>4</v>
      </c>
      <c r="AM498" s="103"/>
      <c r="AN498" s="326">
        <f t="shared" si="25"/>
        <v>4</v>
      </c>
      <c r="AO498" s="331">
        <v>45041</v>
      </c>
      <c r="AP498" s="317" t="s">
        <v>192</v>
      </c>
      <c r="AQ498" s="340" t="s">
        <v>1538</v>
      </c>
      <c r="AR498" s="332" t="s">
        <v>194</v>
      </c>
      <c r="AS498" s="321"/>
      <c r="AT498" s="318"/>
      <c r="AU498" s="318">
        <v>4</v>
      </c>
      <c r="AV498" s="317">
        <f t="shared" si="27"/>
        <v>0</v>
      </c>
      <c r="AW498" s="318" t="s">
        <v>195</v>
      </c>
      <c r="AX498" s="333"/>
      <c r="AY498" s="333"/>
      <c r="AZ498" s="341"/>
      <c r="BA498" s="174"/>
      <c r="BB498" s="174"/>
      <c r="BC498" s="174"/>
    </row>
    <row r="499" spans="1:55" ht="28" customHeight="1">
      <c r="A499" s="195">
        <v>495</v>
      </c>
      <c r="B499" s="315">
        <v>45040</v>
      </c>
      <c r="C499" s="222" t="s">
        <v>198</v>
      </c>
      <c r="D499" s="222" t="s">
        <v>199</v>
      </c>
      <c r="E499" s="222" t="s">
        <v>200</v>
      </c>
      <c r="F499" s="371" t="s">
        <v>123</v>
      </c>
      <c r="G499" s="309" t="s">
        <v>1535</v>
      </c>
      <c r="H499" s="337" t="s">
        <v>129</v>
      </c>
      <c r="I499" s="311" t="s">
        <v>209</v>
      </c>
      <c r="J499" s="312" t="s">
        <v>1534</v>
      </c>
      <c r="K499" s="273"/>
      <c r="L499" s="273" t="s">
        <v>159</v>
      </c>
      <c r="M499" s="311" t="s">
        <v>156</v>
      </c>
      <c r="N499" s="311" t="s">
        <v>97</v>
      </c>
      <c r="O499" s="311" t="s">
        <v>204</v>
      </c>
      <c r="P499" s="329"/>
      <c r="Q499" s="330"/>
      <c r="R499" s="154">
        <v>0</v>
      </c>
      <c r="S499" s="155">
        <v>0</v>
      </c>
      <c r="T499" s="155">
        <v>0</v>
      </c>
      <c r="U499" s="155">
        <v>0</v>
      </c>
      <c r="V499" s="155">
        <v>0</v>
      </c>
      <c r="W499" s="263">
        <v>4</v>
      </c>
      <c r="X499" s="155">
        <v>0</v>
      </c>
      <c r="Y499" s="155">
        <v>0</v>
      </c>
      <c r="Z499" s="155">
        <v>0</v>
      </c>
      <c r="AA499" s="155">
        <v>0</v>
      </c>
      <c r="AB499" s="155">
        <v>0</v>
      </c>
      <c r="AC499" s="155">
        <v>0</v>
      </c>
      <c r="AD499" s="155">
        <v>0</v>
      </c>
      <c r="AE499" s="155">
        <v>0</v>
      </c>
      <c r="AF499" s="155">
        <v>0</v>
      </c>
      <c r="AG499" s="155">
        <v>0</v>
      </c>
      <c r="AH499" s="155">
        <v>0</v>
      </c>
      <c r="AI499" s="155">
        <v>0</v>
      </c>
      <c r="AJ499" s="155">
        <v>0</v>
      </c>
      <c r="AK499" s="155">
        <v>0</v>
      </c>
      <c r="AL499" s="219">
        <f>SUM(R499:AK499)</f>
        <v>4</v>
      </c>
      <c r="AM499" s="103"/>
      <c r="AN499" s="326">
        <f>AL499-AM499</f>
        <v>4</v>
      </c>
      <c r="AO499" s="331">
        <v>45041</v>
      </c>
      <c r="AP499" s="317" t="s">
        <v>192</v>
      </c>
      <c r="AQ499" s="340" t="s">
        <v>1537</v>
      </c>
      <c r="AR499" s="332" t="s">
        <v>197</v>
      </c>
      <c r="AS499" s="321"/>
      <c r="AT499" s="318"/>
      <c r="AU499" s="318">
        <v>24</v>
      </c>
      <c r="AV499" s="317">
        <f>AN499-AU499</f>
        <v>-20</v>
      </c>
      <c r="AW499" s="318" t="s">
        <v>195</v>
      </c>
      <c r="AX499" s="333"/>
      <c r="AY499" s="333"/>
      <c r="AZ499" s="320"/>
      <c r="BA499" s="174"/>
      <c r="BB499" s="174"/>
      <c r="BC499" s="174"/>
    </row>
  </sheetData>
  <sheetProtection formatCells="0" formatColumns="0" formatRows="0" insertColumns="0" insertRows="0" insertHyperlinks="0" deleteColumns="0" deleteRows="0" sort="0" autoFilter="0" pivotTables="0"/>
  <mergeCells count="5">
    <mergeCell ref="AZ1:AZ2"/>
    <mergeCell ref="AO1:AT2"/>
    <mergeCell ref="AU1:AW2"/>
    <mergeCell ref="AX1:AY2"/>
    <mergeCell ref="R1:AK2"/>
  </mergeCells>
  <phoneticPr fontId="3" type="noConversion"/>
  <conditionalFormatting sqref="BA1:CD140 BA142:CD207 AZ208:CC209 AY210:CB211 BA212:CD267 BA269:CD65536">
    <cfRule type="containsBlanks" dxfId="239" priority="125" stopIfTrue="1">
      <formula>LEN(TRIM(AY1))=0</formula>
    </cfRule>
  </conditionalFormatting>
  <conditionalFormatting sqref="AV21:AV205">
    <cfRule type="cellIs" dxfId="238" priority="68" stopIfTrue="1" operator="greaterThan">
      <formula>0</formula>
    </cfRule>
    <cfRule type="cellIs" dxfId="237" priority="69" stopIfTrue="1" operator="equal">
      <formula>0</formula>
    </cfRule>
  </conditionalFormatting>
  <conditionalFormatting sqref="R6:AK182 AD183:AK190 W191:AK219 AK220:AK221 AI222:AK223 AI226:AK227 AK224:AK225 CK268 EK268 GK268 IK268 AK228:AK499">
    <cfRule type="cellIs" dxfId="236" priority="66" stopIfTrue="1" operator="equal">
      <formula>0</formula>
    </cfRule>
    <cfRule type="cellIs" dxfId="235" priority="67" stopIfTrue="1" operator="greaterThan">
      <formula>0</formula>
    </cfRule>
  </conditionalFormatting>
  <conditionalFormatting sqref="CM268 EM268 GM268 IM268 AM6:AM499">
    <cfRule type="cellIs" dxfId="234" priority="65" stopIfTrue="1" operator="equal">
      <formula>0</formula>
    </cfRule>
  </conditionalFormatting>
  <conditionalFormatting sqref="AW6">
    <cfRule type="cellIs" dxfId="233" priority="64" stopIfTrue="1" operator="greaterThan">
      <formula>0</formula>
    </cfRule>
  </conditionalFormatting>
  <conditionalFormatting sqref="AV6:AV20">
    <cfRule type="cellIs" dxfId="232" priority="62" stopIfTrue="1" operator="greaterThan">
      <formula>0</formula>
    </cfRule>
    <cfRule type="cellIs" dxfId="231" priority="63" stopIfTrue="1" operator="equal">
      <formula>0</formula>
    </cfRule>
  </conditionalFormatting>
  <conditionalFormatting sqref="BA141:CD141">
    <cfRule type="containsBlanks" dxfId="230" priority="59" stopIfTrue="1">
      <formula>LEN(TRIM(BA141))=0</formula>
    </cfRule>
  </conditionalFormatting>
  <conditionalFormatting sqref="R183:AC190">
    <cfRule type="cellIs" dxfId="229" priority="57" stopIfTrue="1" operator="equal">
      <formula>0</formula>
    </cfRule>
    <cfRule type="cellIs" dxfId="228" priority="58" stopIfTrue="1" operator="greaterThan">
      <formula>0</formula>
    </cfRule>
  </conditionalFormatting>
  <conditionalFormatting sqref="R191:V207 R208:U219 R220:AJ221 AI224:AJ225 CI268:CJ268 EI268:EJ268 GI268:GJ268 II268:IJ268 AI228:AJ496">
    <cfRule type="cellIs" dxfId="227" priority="55" stopIfTrue="1" operator="equal">
      <formula>0</formula>
    </cfRule>
    <cfRule type="cellIs" dxfId="226" priority="56" stopIfTrue="1" operator="greaterThan">
      <formula>0</formula>
    </cfRule>
  </conditionalFormatting>
  <conditionalFormatting sqref="V208:V219">
    <cfRule type="cellIs" dxfId="225" priority="37" stopIfTrue="1" operator="equal">
      <formula>0</formula>
    </cfRule>
    <cfRule type="cellIs" dxfId="224" priority="38" stopIfTrue="1" operator="greaterThan">
      <formula>0</formula>
    </cfRule>
  </conditionalFormatting>
  <conditionalFormatting sqref="R222:AH237 U238:AH270 BU268:CH268 DU268:EH268 FU268:GH268 HU268:IH268 U271:U310 Z271:AH411 AB412:AH496">
    <cfRule type="cellIs" dxfId="223" priority="33" stopIfTrue="1" operator="equal">
      <formula>0</formula>
    </cfRule>
    <cfRule type="cellIs" dxfId="222" priority="34" stopIfTrue="1" operator="greaterThan">
      <formula>0</formula>
    </cfRule>
  </conditionalFormatting>
  <conditionalFormatting sqref="T269:T406">
    <cfRule type="cellIs" dxfId="221" priority="31" stopIfTrue="1" operator="equal">
      <formula>0</formula>
    </cfRule>
    <cfRule type="cellIs" dxfId="220" priority="32" stopIfTrue="1" operator="greaterThan">
      <formula>0</formula>
    </cfRule>
  </conditionalFormatting>
  <conditionalFormatting sqref="Z412:AA441">
    <cfRule type="cellIs" dxfId="219" priority="25" stopIfTrue="1" operator="equal">
      <formula>0</formula>
    </cfRule>
    <cfRule type="cellIs" dxfId="218" priority="26" stopIfTrue="1" operator="greaterThan">
      <formula>0</formula>
    </cfRule>
  </conditionalFormatting>
  <conditionalFormatting sqref="Z442:AA450">
    <cfRule type="cellIs" dxfId="217" priority="23" stopIfTrue="1" operator="equal">
      <formula>0</formula>
    </cfRule>
    <cfRule type="cellIs" dxfId="216" priority="24" stopIfTrue="1" operator="greaterThan">
      <formula>0</formula>
    </cfRule>
  </conditionalFormatting>
  <conditionalFormatting sqref="Z451:AA495">
    <cfRule type="cellIs" dxfId="215" priority="21" stopIfTrue="1" operator="equal">
      <formula>0</formula>
    </cfRule>
    <cfRule type="cellIs" dxfId="214" priority="22" stopIfTrue="1" operator="greaterThan">
      <formula>0</formula>
    </cfRule>
  </conditionalFormatting>
  <conditionalFormatting sqref="Z496:AA496">
    <cfRule type="cellIs" dxfId="213" priority="19" stopIfTrue="1" operator="equal">
      <formula>0</formula>
    </cfRule>
    <cfRule type="cellIs" dxfId="212" priority="20" stopIfTrue="1" operator="greaterThan">
      <formula>0</formula>
    </cfRule>
  </conditionalFormatting>
  <conditionalFormatting sqref="AI497:AJ497 AI499:AJ499">
    <cfRule type="cellIs" dxfId="211" priority="17" stopIfTrue="1" operator="equal">
      <formula>0</formula>
    </cfRule>
    <cfRule type="cellIs" dxfId="210" priority="18" stopIfTrue="1" operator="greaterThan">
      <formula>0</formula>
    </cfRule>
  </conditionalFormatting>
  <conditionalFormatting sqref="AB497:AH497 AB499:AH499">
    <cfRule type="cellIs" dxfId="209" priority="15" stopIfTrue="1" operator="equal">
      <formula>0</formula>
    </cfRule>
    <cfRule type="cellIs" dxfId="208" priority="16" stopIfTrue="1" operator="greaterThan">
      <formula>0</formula>
    </cfRule>
  </conditionalFormatting>
  <conditionalFormatting sqref="Z497:AA497 Z499:AA499">
    <cfRule type="cellIs" dxfId="207" priority="13" stopIfTrue="1" operator="equal">
      <formula>0</formula>
    </cfRule>
    <cfRule type="cellIs" dxfId="206" priority="14" stopIfTrue="1" operator="greaterThan">
      <formula>0</formula>
    </cfRule>
  </conditionalFormatting>
  <conditionalFormatting sqref="AJ498">
    <cfRule type="cellIs" dxfId="205" priority="11" stopIfTrue="1" operator="equal">
      <formula>0</formula>
    </cfRule>
    <cfRule type="cellIs" dxfId="204" priority="12" stopIfTrue="1" operator="greaterThan">
      <formula>0</formula>
    </cfRule>
  </conditionalFormatting>
  <conditionalFormatting sqref="Z498 AB498 AD498 AF498 AH498">
    <cfRule type="cellIs" dxfId="203" priority="7" stopIfTrue="1" operator="equal">
      <formula>0</formula>
    </cfRule>
    <cfRule type="cellIs" dxfId="202" priority="8" stopIfTrue="1" operator="greaterThan">
      <formula>0</formula>
    </cfRule>
  </conditionalFormatting>
  <hyperlinks>
    <hyperlink ref="C6" r:id="rId1"/>
    <hyperlink ref="D6" r:id="rId2"/>
    <hyperlink ref="E6" r:id="rId3"/>
    <hyperlink ref="C7" r:id="rId4"/>
    <hyperlink ref="D7" r:id="rId5"/>
    <hyperlink ref="E7" r:id="rId6"/>
    <hyperlink ref="C8" r:id="rId7"/>
    <hyperlink ref="D8" r:id="rId8"/>
    <hyperlink ref="E8" r:id="rId9"/>
    <hyperlink ref="C9" r:id="rId10"/>
    <hyperlink ref="D9" r:id="rId11"/>
    <hyperlink ref="E9" r:id="rId12"/>
    <hyperlink ref="C10" r:id="rId13"/>
    <hyperlink ref="D10" r:id="rId14"/>
    <hyperlink ref="E10" r:id="rId15"/>
    <hyperlink ref="C11" r:id="rId16"/>
    <hyperlink ref="D11" r:id="rId17"/>
    <hyperlink ref="E11" r:id="rId18"/>
    <hyperlink ref="C12" r:id="rId19"/>
    <hyperlink ref="D12" r:id="rId20"/>
    <hyperlink ref="E12" r:id="rId21"/>
    <hyperlink ref="C13" r:id="rId22"/>
    <hyperlink ref="D13" r:id="rId23"/>
    <hyperlink ref="E13" r:id="rId24"/>
    <hyperlink ref="C14" r:id="rId25"/>
    <hyperlink ref="D14" r:id="rId26"/>
    <hyperlink ref="E14" r:id="rId27"/>
    <hyperlink ref="C15" r:id="rId28"/>
    <hyperlink ref="D15" r:id="rId29"/>
    <hyperlink ref="E15" r:id="rId30"/>
    <hyperlink ref="C16" r:id="rId31"/>
    <hyperlink ref="D16" r:id="rId32"/>
    <hyperlink ref="E16" r:id="rId33"/>
    <hyperlink ref="C17" r:id="rId34"/>
    <hyperlink ref="D17" r:id="rId35"/>
    <hyperlink ref="E17" r:id="rId36"/>
    <hyperlink ref="C18" r:id="rId37"/>
    <hyperlink ref="D18" r:id="rId38"/>
    <hyperlink ref="E18" r:id="rId39"/>
    <hyperlink ref="C19" r:id="rId40"/>
    <hyperlink ref="D19" r:id="rId41"/>
    <hyperlink ref="E19" r:id="rId42"/>
    <hyperlink ref="C20" r:id="rId43"/>
    <hyperlink ref="D20" r:id="rId44"/>
    <hyperlink ref="E20" r:id="rId45"/>
    <hyperlink ref="C21" r:id="rId46"/>
    <hyperlink ref="D21" r:id="rId47"/>
    <hyperlink ref="E21" r:id="rId48"/>
    <hyperlink ref="C22" r:id="rId49"/>
    <hyperlink ref="D22" r:id="rId50"/>
    <hyperlink ref="E22" r:id="rId51"/>
    <hyperlink ref="C23" r:id="rId52"/>
    <hyperlink ref="D23" r:id="rId53"/>
    <hyperlink ref="E23" r:id="rId54"/>
    <hyperlink ref="C25" r:id="rId55"/>
    <hyperlink ref="D25" r:id="rId56"/>
    <hyperlink ref="E25" r:id="rId57"/>
    <hyperlink ref="C26" r:id="rId58"/>
    <hyperlink ref="D26" r:id="rId59"/>
    <hyperlink ref="E26" r:id="rId60"/>
    <hyperlink ref="C27" r:id="rId61"/>
    <hyperlink ref="D27" r:id="rId62"/>
    <hyperlink ref="E27" r:id="rId63"/>
    <hyperlink ref="C28" r:id="rId64"/>
    <hyperlink ref="D28" r:id="rId65"/>
    <hyperlink ref="E28" r:id="rId66"/>
    <hyperlink ref="C29" r:id="rId67"/>
    <hyperlink ref="D29" r:id="rId68"/>
    <hyperlink ref="E29" r:id="rId69"/>
    <hyperlink ref="C30" r:id="rId70"/>
    <hyperlink ref="D30" r:id="rId71"/>
    <hyperlink ref="E30" r:id="rId72"/>
    <hyperlink ref="C31" r:id="rId73"/>
    <hyperlink ref="D31" r:id="rId74"/>
    <hyperlink ref="E31" r:id="rId75"/>
    <hyperlink ref="C32" r:id="rId76"/>
    <hyperlink ref="D32" r:id="rId77"/>
    <hyperlink ref="E32" r:id="rId78"/>
    <hyperlink ref="C34" r:id="rId79"/>
    <hyperlink ref="D34" r:id="rId80"/>
    <hyperlink ref="E34" r:id="rId81"/>
    <hyperlink ref="C35" r:id="rId82"/>
    <hyperlink ref="D35" r:id="rId83"/>
    <hyperlink ref="E35" r:id="rId84"/>
    <hyperlink ref="C36" r:id="rId85"/>
    <hyperlink ref="D36" r:id="rId86"/>
    <hyperlink ref="E36" r:id="rId87"/>
    <hyperlink ref="C37" r:id="rId88"/>
    <hyperlink ref="D37" r:id="rId89"/>
    <hyperlink ref="E37" r:id="rId90"/>
    <hyperlink ref="C39" r:id="rId91"/>
    <hyperlink ref="D39" r:id="rId92"/>
    <hyperlink ref="E39" r:id="rId93"/>
    <hyperlink ref="C41" r:id="rId94"/>
    <hyperlink ref="D41" r:id="rId95"/>
    <hyperlink ref="E41" r:id="rId96"/>
    <hyperlink ref="C42" r:id="rId97"/>
    <hyperlink ref="D42" r:id="rId98"/>
    <hyperlink ref="E42" r:id="rId99"/>
    <hyperlink ref="C43" r:id="rId100"/>
    <hyperlink ref="D43" r:id="rId101"/>
    <hyperlink ref="E43" r:id="rId102"/>
    <hyperlink ref="C44" r:id="rId103"/>
    <hyperlink ref="D44" r:id="rId104"/>
    <hyperlink ref="E44" r:id="rId105"/>
    <hyperlink ref="C45" r:id="rId106"/>
    <hyperlink ref="D45" r:id="rId107"/>
    <hyperlink ref="E45" r:id="rId108"/>
    <hyperlink ref="C46" r:id="rId109"/>
    <hyperlink ref="D46" r:id="rId110"/>
    <hyperlink ref="E46" r:id="rId111"/>
    <hyperlink ref="C47" r:id="rId112"/>
    <hyperlink ref="D47" r:id="rId113"/>
    <hyperlink ref="E47" r:id="rId114"/>
    <hyperlink ref="C48" r:id="rId115"/>
    <hyperlink ref="D48" r:id="rId116"/>
    <hyperlink ref="E48" r:id="rId117"/>
    <hyperlink ref="C49" r:id="rId118"/>
    <hyperlink ref="D49" r:id="rId119"/>
    <hyperlink ref="E49" r:id="rId120"/>
    <hyperlink ref="C51" r:id="rId121"/>
    <hyperlink ref="D51" r:id="rId122"/>
    <hyperlink ref="E51" r:id="rId123"/>
    <hyperlink ref="C53" r:id="rId124"/>
    <hyperlink ref="D53" r:id="rId125"/>
    <hyperlink ref="E53" r:id="rId126"/>
    <hyperlink ref="C54" r:id="rId127"/>
    <hyperlink ref="D54" r:id="rId128"/>
    <hyperlink ref="E54" r:id="rId129"/>
    <hyperlink ref="C55" r:id="rId130"/>
    <hyperlink ref="D55" r:id="rId131"/>
    <hyperlink ref="E55" r:id="rId132"/>
    <hyperlink ref="C56" r:id="rId133"/>
    <hyperlink ref="D56" r:id="rId134"/>
    <hyperlink ref="E56" r:id="rId135"/>
    <hyperlink ref="C57" r:id="rId136"/>
    <hyperlink ref="D57" r:id="rId137"/>
    <hyperlink ref="E57" r:id="rId138"/>
    <hyperlink ref="C58" r:id="rId139"/>
    <hyperlink ref="D58" r:id="rId140"/>
    <hyperlink ref="E58" r:id="rId141"/>
    <hyperlink ref="C59" r:id="rId142"/>
    <hyperlink ref="D59" r:id="rId143"/>
    <hyperlink ref="E59" r:id="rId144"/>
    <hyperlink ref="C60" r:id="rId145"/>
    <hyperlink ref="D60" r:id="rId146"/>
    <hyperlink ref="E60" r:id="rId147"/>
    <hyperlink ref="C61" r:id="rId148"/>
    <hyperlink ref="D61" r:id="rId149"/>
    <hyperlink ref="E61" r:id="rId150"/>
    <hyperlink ref="C62" r:id="rId151"/>
    <hyperlink ref="D62" r:id="rId152"/>
    <hyperlink ref="E62" r:id="rId153"/>
    <hyperlink ref="C63" r:id="rId154"/>
    <hyperlink ref="D63" r:id="rId155"/>
    <hyperlink ref="E63" r:id="rId156"/>
    <hyperlink ref="C64" r:id="rId157"/>
    <hyperlink ref="D64" r:id="rId158"/>
    <hyperlink ref="E64" r:id="rId159"/>
    <hyperlink ref="C65" r:id="rId160"/>
    <hyperlink ref="D65" r:id="rId161"/>
    <hyperlink ref="E65" r:id="rId162"/>
    <hyperlink ref="C66" r:id="rId163"/>
    <hyperlink ref="D66" r:id="rId164"/>
    <hyperlink ref="E66" r:id="rId165"/>
    <hyperlink ref="C67" r:id="rId166"/>
    <hyperlink ref="D67" r:id="rId167"/>
    <hyperlink ref="E67" r:id="rId168"/>
    <hyperlink ref="C69" r:id="rId169"/>
    <hyperlink ref="D69" r:id="rId170"/>
    <hyperlink ref="E69" r:id="rId171"/>
    <hyperlink ref="C71" r:id="rId172"/>
    <hyperlink ref="D71" r:id="rId173"/>
    <hyperlink ref="E71" r:id="rId174"/>
    <hyperlink ref="C72" r:id="rId175"/>
    <hyperlink ref="D72" r:id="rId176"/>
    <hyperlink ref="E72" r:id="rId177"/>
    <hyperlink ref="C73" r:id="rId178"/>
    <hyperlink ref="D73" r:id="rId179"/>
    <hyperlink ref="E73" r:id="rId180"/>
    <hyperlink ref="C74" r:id="rId181"/>
    <hyperlink ref="D74" r:id="rId182"/>
    <hyperlink ref="E74" r:id="rId183"/>
    <hyperlink ref="C75" r:id="rId184"/>
    <hyperlink ref="D75" r:id="rId185"/>
    <hyperlink ref="E75" r:id="rId186"/>
    <hyperlink ref="C76" r:id="rId187"/>
    <hyperlink ref="D76" r:id="rId188"/>
    <hyperlink ref="E76" r:id="rId189"/>
    <hyperlink ref="C77" r:id="rId190"/>
    <hyperlink ref="D77" r:id="rId191"/>
    <hyperlink ref="E77" r:id="rId192"/>
    <hyperlink ref="C78" r:id="rId193"/>
    <hyperlink ref="D78" r:id="rId194"/>
    <hyperlink ref="E78" r:id="rId195"/>
    <hyperlink ref="C79" r:id="rId196"/>
    <hyperlink ref="D79" r:id="rId197"/>
    <hyperlink ref="E79" r:id="rId198"/>
    <hyperlink ref="C80" r:id="rId199"/>
    <hyperlink ref="D80" r:id="rId200"/>
    <hyperlink ref="E80" r:id="rId201"/>
    <hyperlink ref="C81" r:id="rId202"/>
    <hyperlink ref="D81" r:id="rId203"/>
    <hyperlink ref="E81" r:id="rId204"/>
    <hyperlink ref="C82" r:id="rId205"/>
    <hyperlink ref="D82" r:id="rId206"/>
    <hyperlink ref="E82" r:id="rId207"/>
    <hyperlink ref="C83" r:id="rId208"/>
    <hyperlink ref="D83" r:id="rId209"/>
    <hyperlink ref="E83" r:id="rId210"/>
    <hyperlink ref="C84" r:id="rId211"/>
    <hyperlink ref="D84" r:id="rId212"/>
    <hyperlink ref="E84" r:id="rId213"/>
    <hyperlink ref="C85" r:id="rId214"/>
    <hyperlink ref="D85" r:id="rId215"/>
    <hyperlink ref="E85" r:id="rId216"/>
    <hyperlink ref="C86" r:id="rId217"/>
    <hyperlink ref="D86" r:id="rId218"/>
    <hyperlink ref="E86" r:id="rId219"/>
    <hyperlink ref="C87" r:id="rId220"/>
    <hyperlink ref="D87" r:id="rId221"/>
    <hyperlink ref="E87" r:id="rId222"/>
    <hyperlink ref="C88" r:id="rId223"/>
    <hyperlink ref="D88" r:id="rId224"/>
    <hyperlink ref="E88" r:id="rId225"/>
    <hyperlink ref="C89" r:id="rId226"/>
    <hyperlink ref="D89" r:id="rId227"/>
    <hyperlink ref="E89" r:id="rId228"/>
    <hyperlink ref="C90" r:id="rId229"/>
    <hyperlink ref="D90" r:id="rId230"/>
    <hyperlink ref="E90" r:id="rId231"/>
    <hyperlink ref="C91" r:id="rId232"/>
    <hyperlink ref="D91" r:id="rId233"/>
    <hyperlink ref="E91" r:id="rId234"/>
    <hyperlink ref="C92" r:id="rId235"/>
    <hyperlink ref="D92" r:id="rId236"/>
    <hyperlink ref="E92" r:id="rId237"/>
    <hyperlink ref="C93" r:id="rId238"/>
    <hyperlink ref="D93" r:id="rId239"/>
    <hyperlink ref="E93" r:id="rId240"/>
    <hyperlink ref="C94" r:id="rId241"/>
    <hyperlink ref="D94" r:id="rId242"/>
    <hyperlink ref="E94" r:id="rId243"/>
    <hyperlink ref="C95" r:id="rId244"/>
    <hyperlink ref="D95" r:id="rId245"/>
    <hyperlink ref="E95" r:id="rId246"/>
    <hyperlink ref="C96" r:id="rId247"/>
    <hyperlink ref="D96" r:id="rId248"/>
    <hyperlink ref="E96" r:id="rId249"/>
    <hyperlink ref="C97" r:id="rId250"/>
    <hyperlink ref="D97" r:id="rId251"/>
    <hyperlink ref="E97" r:id="rId252"/>
    <hyperlink ref="C98" r:id="rId253"/>
    <hyperlink ref="D98" r:id="rId254"/>
    <hyperlink ref="E98" r:id="rId255"/>
    <hyperlink ref="C99" r:id="rId256"/>
    <hyperlink ref="D99" r:id="rId257"/>
    <hyperlink ref="E99" r:id="rId258"/>
    <hyperlink ref="C100" r:id="rId259"/>
    <hyperlink ref="D100" r:id="rId260"/>
    <hyperlink ref="E100" r:id="rId261"/>
    <hyperlink ref="C101" r:id="rId262"/>
    <hyperlink ref="D101" r:id="rId263"/>
    <hyperlink ref="E101" r:id="rId264"/>
    <hyperlink ref="C102" r:id="rId265"/>
    <hyperlink ref="D102" r:id="rId266"/>
    <hyperlink ref="E102" r:id="rId267"/>
    <hyperlink ref="C103" r:id="rId268"/>
    <hyperlink ref="D103" r:id="rId269"/>
    <hyperlink ref="E103" r:id="rId270"/>
    <hyperlink ref="C104" r:id="rId271"/>
    <hyperlink ref="D104" r:id="rId272"/>
    <hyperlink ref="E104" r:id="rId273"/>
    <hyperlink ref="C105" r:id="rId274"/>
    <hyperlink ref="D105" r:id="rId275"/>
    <hyperlink ref="E105" r:id="rId276"/>
    <hyperlink ref="C106" r:id="rId277"/>
    <hyperlink ref="D106" r:id="rId278"/>
    <hyperlink ref="E106" r:id="rId279"/>
    <hyperlink ref="C107" r:id="rId280"/>
    <hyperlink ref="D107" r:id="rId281"/>
    <hyperlink ref="E107" r:id="rId282"/>
    <hyperlink ref="C108" r:id="rId283"/>
    <hyperlink ref="D108" r:id="rId284"/>
    <hyperlink ref="E108" r:id="rId285"/>
    <hyperlink ref="C109" r:id="rId286"/>
    <hyperlink ref="D109" r:id="rId287"/>
    <hyperlink ref="E109" r:id="rId288"/>
    <hyperlink ref="C110" r:id="rId289"/>
    <hyperlink ref="D110" r:id="rId290"/>
    <hyperlink ref="E110" r:id="rId291"/>
    <hyperlink ref="C111" r:id="rId292"/>
    <hyperlink ref="D111" r:id="rId293"/>
    <hyperlink ref="E111" r:id="rId294"/>
    <hyperlink ref="C112" r:id="rId295"/>
    <hyperlink ref="D112" r:id="rId296"/>
    <hyperlink ref="E112" r:id="rId297"/>
    <hyperlink ref="C113" r:id="rId298"/>
    <hyperlink ref="D113" r:id="rId299"/>
    <hyperlink ref="E113" r:id="rId300"/>
    <hyperlink ref="C115" r:id="rId301"/>
    <hyperlink ref="D115" r:id="rId302"/>
    <hyperlink ref="E115" r:id="rId303"/>
    <hyperlink ref="C116" r:id="rId304"/>
    <hyperlink ref="D116" r:id="rId305"/>
    <hyperlink ref="E116" r:id="rId306"/>
    <hyperlink ref="C117" r:id="rId307"/>
    <hyperlink ref="D117" r:id="rId308"/>
    <hyperlink ref="E117" r:id="rId309"/>
    <hyperlink ref="C118" r:id="rId310"/>
    <hyperlink ref="D118" r:id="rId311"/>
    <hyperlink ref="E118" r:id="rId312"/>
    <hyperlink ref="C119" r:id="rId313"/>
    <hyperlink ref="D119" r:id="rId314"/>
    <hyperlink ref="E119" r:id="rId315"/>
    <hyperlink ref="C120" r:id="rId316"/>
    <hyperlink ref="D120" r:id="rId317"/>
    <hyperlink ref="E120" r:id="rId318"/>
    <hyperlink ref="C121" r:id="rId319"/>
    <hyperlink ref="D121" r:id="rId320"/>
    <hyperlink ref="E121" r:id="rId321"/>
    <hyperlink ref="C122" r:id="rId322"/>
    <hyperlink ref="D122" r:id="rId323"/>
    <hyperlink ref="E122" r:id="rId324"/>
    <hyperlink ref="C124" r:id="rId325"/>
    <hyperlink ref="D124" r:id="rId326"/>
    <hyperlink ref="E124" r:id="rId327"/>
    <hyperlink ref="C125" r:id="rId328"/>
    <hyperlink ref="D125" r:id="rId329"/>
    <hyperlink ref="E125" r:id="rId330"/>
    <hyperlink ref="C127" r:id="rId331"/>
    <hyperlink ref="D127" r:id="rId332"/>
    <hyperlink ref="E127" r:id="rId333"/>
    <hyperlink ref="C129" r:id="rId334"/>
    <hyperlink ref="D129" r:id="rId335"/>
    <hyperlink ref="E129" r:id="rId336"/>
    <hyperlink ref="C130" r:id="rId337"/>
    <hyperlink ref="D130" r:id="rId338"/>
    <hyperlink ref="E130" r:id="rId339"/>
    <hyperlink ref="C131" r:id="rId340"/>
    <hyperlink ref="D131" r:id="rId341"/>
    <hyperlink ref="E131" r:id="rId342"/>
    <hyperlink ref="C132" r:id="rId343"/>
    <hyperlink ref="D132" r:id="rId344"/>
    <hyperlink ref="E132" r:id="rId345"/>
    <hyperlink ref="C133" r:id="rId346"/>
    <hyperlink ref="D133" r:id="rId347"/>
    <hyperlink ref="E133" r:id="rId348"/>
    <hyperlink ref="C134" r:id="rId349"/>
    <hyperlink ref="D134" r:id="rId350"/>
    <hyperlink ref="E134" r:id="rId351"/>
    <hyperlink ref="C135" r:id="rId352"/>
    <hyperlink ref="D135" r:id="rId353"/>
    <hyperlink ref="E135" r:id="rId354"/>
    <hyperlink ref="C136" r:id="rId355"/>
    <hyperlink ref="D136" r:id="rId356"/>
    <hyperlink ref="E136" r:id="rId357"/>
    <hyperlink ref="C137" r:id="rId358"/>
    <hyperlink ref="D137" r:id="rId359"/>
    <hyperlink ref="E137" r:id="rId360"/>
    <hyperlink ref="C138" r:id="rId361"/>
    <hyperlink ref="D138" r:id="rId362"/>
    <hyperlink ref="E138" r:id="rId363"/>
    <hyperlink ref="C139" r:id="rId364"/>
    <hyperlink ref="D139" r:id="rId365"/>
    <hyperlink ref="E139" r:id="rId366"/>
    <hyperlink ref="C140" r:id="rId367"/>
    <hyperlink ref="D140" r:id="rId368"/>
    <hyperlink ref="E140" r:id="rId369"/>
    <hyperlink ref="C142" r:id="rId370"/>
    <hyperlink ref="D142" r:id="rId371"/>
    <hyperlink ref="E142" r:id="rId372"/>
    <hyperlink ref="C143" r:id="rId373"/>
    <hyperlink ref="D143" r:id="rId374"/>
    <hyperlink ref="E143" r:id="rId375"/>
    <hyperlink ref="C144" r:id="rId376"/>
    <hyperlink ref="D144" r:id="rId377"/>
    <hyperlink ref="E144" r:id="rId378"/>
    <hyperlink ref="C145" r:id="rId379"/>
    <hyperlink ref="D145" r:id="rId380"/>
    <hyperlink ref="E145" r:id="rId381"/>
    <hyperlink ref="C146" r:id="rId382"/>
    <hyperlink ref="D146" r:id="rId383"/>
    <hyperlink ref="E146" r:id="rId384"/>
    <hyperlink ref="C147" r:id="rId385"/>
    <hyperlink ref="D147" r:id="rId386"/>
    <hyperlink ref="E147" r:id="rId387"/>
    <hyperlink ref="C148" r:id="rId388"/>
    <hyperlink ref="D148" r:id="rId389"/>
    <hyperlink ref="E148" r:id="rId390"/>
    <hyperlink ref="C149" r:id="rId391"/>
    <hyperlink ref="D149" r:id="rId392"/>
    <hyperlink ref="E149" r:id="rId393"/>
    <hyperlink ref="C150" r:id="rId394"/>
    <hyperlink ref="D150" r:id="rId395"/>
    <hyperlink ref="E150" r:id="rId396"/>
    <hyperlink ref="C151" r:id="rId397"/>
    <hyperlink ref="D151" r:id="rId398"/>
    <hyperlink ref="E151" r:id="rId399"/>
    <hyperlink ref="C152" r:id="rId400"/>
    <hyperlink ref="D152" r:id="rId401"/>
    <hyperlink ref="E152" r:id="rId402"/>
    <hyperlink ref="C153" r:id="rId403"/>
    <hyperlink ref="D153" r:id="rId404"/>
    <hyperlink ref="E153" r:id="rId405"/>
    <hyperlink ref="C154" r:id="rId406"/>
    <hyperlink ref="D154" r:id="rId407"/>
    <hyperlink ref="E154" r:id="rId408"/>
    <hyperlink ref="C155" r:id="rId409"/>
    <hyperlink ref="D155" r:id="rId410"/>
    <hyperlink ref="E155" r:id="rId411"/>
    <hyperlink ref="C156" r:id="rId412"/>
    <hyperlink ref="D156" r:id="rId413"/>
    <hyperlink ref="E156" r:id="rId414"/>
    <hyperlink ref="C157" r:id="rId415"/>
    <hyperlink ref="D157" r:id="rId416"/>
    <hyperlink ref="E157" r:id="rId417"/>
    <hyperlink ref="C158" r:id="rId418"/>
    <hyperlink ref="D158" r:id="rId419"/>
    <hyperlink ref="E158" r:id="rId420"/>
    <hyperlink ref="C159" r:id="rId421"/>
    <hyperlink ref="D159" r:id="rId422"/>
    <hyperlink ref="E159" r:id="rId423"/>
    <hyperlink ref="C160" r:id="rId424"/>
    <hyperlink ref="D160" r:id="rId425"/>
    <hyperlink ref="E160" r:id="rId426"/>
    <hyperlink ref="C161" r:id="rId427"/>
    <hyperlink ref="D161" r:id="rId428"/>
    <hyperlink ref="E161" r:id="rId429"/>
    <hyperlink ref="C162" r:id="rId430"/>
    <hyperlink ref="D162" r:id="rId431"/>
    <hyperlink ref="E162" r:id="rId432"/>
    <hyperlink ref="C163" r:id="rId433"/>
    <hyperlink ref="D163" r:id="rId434"/>
    <hyperlink ref="E163" r:id="rId435"/>
    <hyperlink ref="C164" r:id="rId436"/>
    <hyperlink ref="D164" r:id="rId437"/>
    <hyperlink ref="E164" r:id="rId438"/>
    <hyperlink ref="C165" r:id="rId439"/>
    <hyperlink ref="D165" r:id="rId440"/>
    <hyperlink ref="E165" r:id="rId441"/>
    <hyperlink ref="C166" r:id="rId442"/>
    <hyperlink ref="D166" r:id="rId443"/>
    <hyperlink ref="E166" r:id="rId444"/>
    <hyperlink ref="C167" r:id="rId445"/>
    <hyperlink ref="D167" r:id="rId446"/>
    <hyperlink ref="E167" r:id="rId447"/>
    <hyperlink ref="C168" r:id="rId448"/>
    <hyperlink ref="D168" r:id="rId449"/>
    <hyperlink ref="E168" r:id="rId450"/>
    <hyperlink ref="C169" r:id="rId451"/>
    <hyperlink ref="D169" r:id="rId452"/>
    <hyperlink ref="E169" r:id="rId453"/>
    <hyperlink ref="C170" r:id="rId454"/>
    <hyperlink ref="D170" r:id="rId455"/>
    <hyperlink ref="E170" r:id="rId456"/>
    <hyperlink ref="C171" r:id="rId457"/>
    <hyperlink ref="D171" r:id="rId458"/>
    <hyperlink ref="E171" r:id="rId459"/>
    <hyperlink ref="C172" r:id="rId460"/>
    <hyperlink ref="D172" r:id="rId461"/>
    <hyperlink ref="E172" r:id="rId462"/>
    <hyperlink ref="C173" r:id="rId463"/>
    <hyperlink ref="D173" r:id="rId464"/>
    <hyperlink ref="E173" r:id="rId465"/>
    <hyperlink ref="C174" r:id="rId466"/>
    <hyperlink ref="D174" r:id="rId467"/>
    <hyperlink ref="E174" r:id="rId468"/>
    <hyperlink ref="C175" r:id="rId469"/>
    <hyperlink ref="D175" r:id="rId470"/>
    <hyperlink ref="E175" r:id="rId471"/>
    <hyperlink ref="C176" r:id="rId472"/>
    <hyperlink ref="D176" r:id="rId473"/>
    <hyperlink ref="E176" r:id="rId474"/>
    <hyperlink ref="C177" r:id="rId475"/>
    <hyperlink ref="D177" r:id="rId476"/>
    <hyperlink ref="E177" r:id="rId477"/>
    <hyperlink ref="C178" r:id="rId478"/>
    <hyperlink ref="D178" r:id="rId479"/>
    <hyperlink ref="E178" r:id="rId480"/>
    <hyperlink ref="C179" r:id="rId481"/>
    <hyperlink ref="D179" r:id="rId482"/>
    <hyperlink ref="E179" r:id="rId483"/>
    <hyperlink ref="C180" r:id="rId484"/>
    <hyperlink ref="D180" r:id="rId485"/>
    <hyperlink ref="E180" r:id="rId486"/>
    <hyperlink ref="C181" r:id="rId487"/>
    <hyperlink ref="D181" r:id="rId488"/>
    <hyperlink ref="E181" r:id="rId489"/>
    <hyperlink ref="C182" r:id="rId490"/>
    <hyperlink ref="D182" r:id="rId491"/>
    <hyperlink ref="E182" r:id="rId492"/>
    <hyperlink ref="C183" r:id="rId493"/>
    <hyperlink ref="D183" r:id="rId494"/>
    <hyperlink ref="E183" r:id="rId495"/>
    <hyperlink ref="C184" r:id="rId496"/>
    <hyperlink ref="D184" r:id="rId497"/>
    <hyperlink ref="E184" r:id="rId498"/>
    <hyperlink ref="C186" r:id="rId499"/>
    <hyperlink ref="D186" r:id="rId500"/>
    <hyperlink ref="E186" r:id="rId501"/>
    <hyperlink ref="C187" r:id="rId502"/>
    <hyperlink ref="D187" r:id="rId503"/>
    <hyperlink ref="E187" r:id="rId504"/>
    <hyperlink ref="C188" r:id="rId505"/>
    <hyperlink ref="D188" r:id="rId506"/>
    <hyperlink ref="E188" r:id="rId507"/>
    <hyperlink ref="C189" r:id="rId508"/>
    <hyperlink ref="D189" r:id="rId509"/>
    <hyperlink ref="E189" r:id="rId510"/>
    <hyperlink ref="C190" r:id="rId511"/>
    <hyperlink ref="D190" r:id="rId512"/>
    <hyperlink ref="E190" r:id="rId513"/>
    <hyperlink ref="C191" r:id="rId514"/>
    <hyperlink ref="D191" r:id="rId515"/>
    <hyperlink ref="E191" r:id="rId516"/>
    <hyperlink ref="C192" r:id="rId517"/>
    <hyperlink ref="D192" r:id="rId518"/>
    <hyperlink ref="E192" r:id="rId519"/>
    <hyperlink ref="C193" r:id="rId520"/>
    <hyperlink ref="D193" r:id="rId521"/>
    <hyperlink ref="E193" r:id="rId522"/>
    <hyperlink ref="C194" r:id="rId523"/>
    <hyperlink ref="D194" r:id="rId524"/>
    <hyperlink ref="E194" r:id="rId525"/>
    <hyperlink ref="C195" r:id="rId526"/>
    <hyperlink ref="D195" r:id="rId527"/>
    <hyperlink ref="E195" r:id="rId528"/>
    <hyperlink ref="C196" r:id="rId529"/>
    <hyperlink ref="D196" r:id="rId530"/>
    <hyperlink ref="E196" r:id="rId531"/>
    <hyperlink ref="C197" r:id="rId532"/>
    <hyperlink ref="D197" r:id="rId533"/>
    <hyperlink ref="E197" r:id="rId534"/>
    <hyperlink ref="C198" r:id="rId535"/>
    <hyperlink ref="D198" r:id="rId536"/>
    <hyperlink ref="E198" r:id="rId537"/>
    <hyperlink ref="C199" r:id="rId538"/>
    <hyperlink ref="D199" r:id="rId539"/>
    <hyperlink ref="E199" r:id="rId540"/>
    <hyperlink ref="C200" r:id="rId541"/>
    <hyperlink ref="D200" r:id="rId542"/>
    <hyperlink ref="E200" r:id="rId543"/>
    <hyperlink ref="C201" r:id="rId544"/>
    <hyperlink ref="D201" r:id="rId545"/>
    <hyperlink ref="E201" r:id="rId546"/>
    <hyperlink ref="C202" r:id="rId547"/>
    <hyperlink ref="D202" r:id="rId548"/>
    <hyperlink ref="E202" r:id="rId549"/>
    <hyperlink ref="C203" r:id="rId550"/>
    <hyperlink ref="D203" r:id="rId551"/>
    <hyperlink ref="E203" r:id="rId552"/>
    <hyperlink ref="C204" r:id="rId553"/>
    <hyperlink ref="D204" r:id="rId554"/>
    <hyperlink ref="E204" r:id="rId555"/>
    <hyperlink ref="C205" r:id="rId556"/>
    <hyperlink ref="D205" r:id="rId557"/>
    <hyperlink ref="E205" r:id="rId558"/>
    <hyperlink ref="C206" r:id="rId559"/>
    <hyperlink ref="D206" r:id="rId560"/>
    <hyperlink ref="E206" r:id="rId561"/>
    <hyperlink ref="C207" r:id="rId562"/>
    <hyperlink ref="D207" r:id="rId563"/>
    <hyperlink ref="E207" r:id="rId564"/>
    <hyperlink ref="C208" r:id="rId565"/>
    <hyperlink ref="D208" r:id="rId566"/>
    <hyperlink ref="E208" r:id="rId567"/>
    <hyperlink ref="C209" r:id="rId568"/>
    <hyperlink ref="D209" r:id="rId569"/>
    <hyperlink ref="E209" r:id="rId570"/>
    <hyperlink ref="C210" r:id="rId571"/>
    <hyperlink ref="D210" r:id="rId572"/>
    <hyperlink ref="E210" r:id="rId573"/>
    <hyperlink ref="C211" r:id="rId574"/>
    <hyperlink ref="D211" r:id="rId575"/>
    <hyperlink ref="E211" r:id="rId576"/>
    <hyperlink ref="C212" r:id="rId577"/>
    <hyperlink ref="D212" r:id="rId578"/>
    <hyperlink ref="E212" r:id="rId579"/>
    <hyperlink ref="C213" r:id="rId580"/>
    <hyperlink ref="D213" r:id="rId581"/>
    <hyperlink ref="E213" r:id="rId582"/>
    <hyperlink ref="C214" r:id="rId583"/>
    <hyperlink ref="D214" r:id="rId584"/>
    <hyperlink ref="E214" r:id="rId585"/>
    <hyperlink ref="C215" r:id="rId586"/>
    <hyperlink ref="D215" r:id="rId587"/>
    <hyperlink ref="E215" r:id="rId588"/>
    <hyperlink ref="C216" r:id="rId589"/>
    <hyperlink ref="D216" r:id="rId590"/>
    <hyperlink ref="E216" r:id="rId591"/>
    <hyperlink ref="C217" r:id="rId592"/>
    <hyperlink ref="D217" r:id="rId593"/>
    <hyperlink ref="E217" r:id="rId594"/>
    <hyperlink ref="C218" r:id="rId595"/>
    <hyperlink ref="D218" r:id="rId596"/>
    <hyperlink ref="E218" r:id="rId597"/>
    <hyperlink ref="C220" r:id="rId598"/>
    <hyperlink ref="D220" r:id="rId599"/>
    <hyperlink ref="E220" r:id="rId600"/>
    <hyperlink ref="C221" r:id="rId601"/>
    <hyperlink ref="D221" r:id="rId602"/>
    <hyperlink ref="E221" r:id="rId603"/>
    <hyperlink ref="C222" r:id="rId604"/>
    <hyperlink ref="D222" r:id="rId605"/>
    <hyperlink ref="E222" r:id="rId606"/>
    <hyperlink ref="C223" r:id="rId607"/>
    <hyperlink ref="D223" r:id="rId608"/>
    <hyperlink ref="E223" r:id="rId609"/>
    <hyperlink ref="C224" r:id="rId610"/>
    <hyperlink ref="D224" r:id="rId611"/>
    <hyperlink ref="E224" r:id="rId612"/>
    <hyperlink ref="C225" r:id="rId613"/>
    <hyperlink ref="D225" r:id="rId614"/>
    <hyperlink ref="E225" r:id="rId615"/>
    <hyperlink ref="C226" r:id="rId616"/>
    <hyperlink ref="D226" r:id="rId617"/>
    <hyperlink ref="E226" r:id="rId618"/>
    <hyperlink ref="C227" r:id="rId619"/>
    <hyperlink ref="D227" r:id="rId620"/>
    <hyperlink ref="E227" r:id="rId621"/>
    <hyperlink ref="C228" r:id="rId622"/>
    <hyperlink ref="D228" r:id="rId623"/>
    <hyperlink ref="E228" r:id="rId624"/>
    <hyperlink ref="C229" r:id="rId625"/>
    <hyperlink ref="D229" r:id="rId626"/>
    <hyperlink ref="E229" r:id="rId627"/>
    <hyperlink ref="C230" r:id="rId628"/>
    <hyperlink ref="D230" r:id="rId629"/>
    <hyperlink ref="E230" r:id="rId630"/>
    <hyperlink ref="C231" r:id="rId631"/>
    <hyperlink ref="D231" r:id="rId632"/>
    <hyperlink ref="E231" r:id="rId633"/>
    <hyperlink ref="C232" r:id="rId634"/>
    <hyperlink ref="D232" r:id="rId635"/>
    <hyperlink ref="E232" r:id="rId636"/>
    <hyperlink ref="C233" r:id="rId637"/>
    <hyperlink ref="D233" r:id="rId638"/>
    <hyperlink ref="E233" r:id="rId639"/>
    <hyperlink ref="C234" r:id="rId640"/>
    <hyperlink ref="D234" r:id="rId641"/>
    <hyperlink ref="E234" r:id="rId642"/>
    <hyperlink ref="C235" r:id="rId643"/>
    <hyperlink ref="D235" r:id="rId644"/>
    <hyperlink ref="E235" r:id="rId645"/>
    <hyperlink ref="C236" r:id="rId646"/>
    <hyperlink ref="D236" r:id="rId647"/>
    <hyperlink ref="E236" r:id="rId648"/>
    <hyperlink ref="C237" r:id="rId649"/>
    <hyperlink ref="D237" r:id="rId650"/>
    <hyperlink ref="E237" r:id="rId651"/>
    <hyperlink ref="C238" r:id="rId652"/>
    <hyperlink ref="D238" r:id="rId653"/>
    <hyperlink ref="E238" r:id="rId654"/>
    <hyperlink ref="C239" r:id="rId655"/>
    <hyperlink ref="D239" r:id="rId656"/>
    <hyperlink ref="E239" r:id="rId657"/>
    <hyperlink ref="C240" r:id="rId658"/>
    <hyperlink ref="D240" r:id="rId659"/>
    <hyperlink ref="E240" r:id="rId660"/>
    <hyperlink ref="C241" r:id="rId661"/>
    <hyperlink ref="D241" r:id="rId662"/>
    <hyperlink ref="E241" r:id="rId663"/>
    <hyperlink ref="C242" r:id="rId664"/>
    <hyperlink ref="D242" r:id="rId665"/>
    <hyperlink ref="E242" r:id="rId666"/>
    <hyperlink ref="C243" r:id="rId667"/>
    <hyperlink ref="D243" r:id="rId668"/>
    <hyperlink ref="E243" r:id="rId669"/>
    <hyperlink ref="C244" r:id="rId670"/>
    <hyperlink ref="D244" r:id="rId671"/>
    <hyperlink ref="E244" r:id="rId672"/>
    <hyperlink ref="C245" r:id="rId673"/>
    <hyperlink ref="D245" r:id="rId674"/>
    <hyperlink ref="E245" r:id="rId675"/>
    <hyperlink ref="C246" r:id="rId676"/>
    <hyperlink ref="D246" r:id="rId677"/>
    <hyperlink ref="E246" r:id="rId678"/>
    <hyperlink ref="C247" r:id="rId679"/>
    <hyperlink ref="D247" r:id="rId680"/>
    <hyperlink ref="E247" r:id="rId681"/>
    <hyperlink ref="C248" r:id="rId682"/>
    <hyperlink ref="D248" r:id="rId683"/>
    <hyperlink ref="C249" r:id="rId684"/>
    <hyperlink ref="D249" r:id="rId685"/>
    <hyperlink ref="E249" r:id="rId686"/>
    <hyperlink ref="C250" r:id="rId687"/>
    <hyperlink ref="D250" r:id="rId688"/>
    <hyperlink ref="E250" r:id="rId689"/>
    <hyperlink ref="C251" r:id="rId690"/>
    <hyperlink ref="D251" r:id="rId691"/>
    <hyperlink ref="E251" r:id="rId692"/>
    <hyperlink ref="C252" r:id="rId693"/>
    <hyperlink ref="D252" r:id="rId694"/>
    <hyperlink ref="C253" r:id="rId695"/>
    <hyperlink ref="D253" r:id="rId696"/>
    <hyperlink ref="E253" r:id="rId697"/>
    <hyperlink ref="C254" r:id="rId698"/>
    <hyperlink ref="D254" r:id="rId699"/>
    <hyperlink ref="E254" r:id="rId700"/>
    <hyperlink ref="C255" r:id="rId701"/>
    <hyperlink ref="D255" r:id="rId702"/>
    <hyperlink ref="C256" r:id="rId703"/>
    <hyperlink ref="D256" r:id="rId704"/>
    <hyperlink ref="E256" r:id="rId705"/>
    <hyperlink ref="C257" r:id="rId706"/>
    <hyperlink ref="D257" r:id="rId707"/>
    <hyperlink ref="E257" r:id="rId708"/>
    <hyperlink ref="C258" r:id="rId709"/>
    <hyperlink ref="D258" r:id="rId710"/>
    <hyperlink ref="E258" r:id="rId711"/>
    <hyperlink ref="C259" r:id="rId712"/>
    <hyperlink ref="D259" r:id="rId713"/>
    <hyperlink ref="E259" r:id="rId714"/>
    <hyperlink ref="C260" r:id="rId715"/>
    <hyperlink ref="D260" r:id="rId716"/>
    <hyperlink ref="E260" r:id="rId717"/>
    <hyperlink ref="C261" r:id="rId718"/>
    <hyperlink ref="D261" r:id="rId719"/>
    <hyperlink ref="E261" r:id="rId720"/>
    <hyperlink ref="C262" r:id="rId721"/>
    <hyperlink ref="D262" r:id="rId722"/>
    <hyperlink ref="E262" r:id="rId723"/>
    <hyperlink ref="C263" r:id="rId724"/>
    <hyperlink ref="D263" r:id="rId725"/>
    <hyperlink ref="E263" r:id="rId726"/>
    <hyperlink ref="C264" r:id="rId727"/>
    <hyperlink ref="D264" r:id="rId728"/>
    <hyperlink ref="E264" r:id="rId729"/>
    <hyperlink ref="C265" r:id="rId730"/>
    <hyperlink ref="D265" r:id="rId731"/>
    <hyperlink ref="E265" r:id="rId732"/>
    <hyperlink ref="C266" r:id="rId733"/>
    <hyperlink ref="D266" r:id="rId734"/>
    <hyperlink ref="E266" r:id="rId735"/>
    <hyperlink ref="C267" r:id="rId736"/>
    <hyperlink ref="D267" r:id="rId737"/>
    <hyperlink ref="E267" r:id="rId738"/>
    <hyperlink ref="C268" r:id="rId739"/>
    <hyperlink ref="D268" r:id="rId740"/>
    <hyperlink ref="E268" r:id="rId741"/>
    <hyperlink ref="C269" r:id="rId742"/>
    <hyperlink ref="D269" r:id="rId743"/>
    <hyperlink ref="E269" r:id="rId744"/>
    <hyperlink ref="C270" r:id="rId745"/>
    <hyperlink ref="D270" r:id="rId746"/>
    <hyperlink ref="E270" r:id="rId747"/>
    <hyperlink ref="C271" r:id="rId748"/>
    <hyperlink ref="D271" r:id="rId749"/>
    <hyperlink ref="E271" r:id="rId750"/>
    <hyperlink ref="C272" r:id="rId751"/>
    <hyperlink ref="D272" r:id="rId752"/>
    <hyperlink ref="E272" r:id="rId753"/>
    <hyperlink ref="C273" r:id="rId754"/>
    <hyperlink ref="D273" r:id="rId755"/>
    <hyperlink ref="E273" r:id="rId756"/>
    <hyperlink ref="C274" r:id="rId757"/>
    <hyperlink ref="D274" r:id="rId758"/>
    <hyperlink ref="E274" r:id="rId759"/>
    <hyperlink ref="C275" r:id="rId760"/>
    <hyperlink ref="D275" r:id="rId761"/>
    <hyperlink ref="E275" r:id="rId762"/>
    <hyperlink ref="C276" r:id="rId763"/>
    <hyperlink ref="D276" r:id="rId764"/>
    <hyperlink ref="E276" r:id="rId765"/>
    <hyperlink ref="C277" r:id="rId766"/>
    <hyperlink ref="D277" r:id="rId767"/>
    <hyperlink ref="E277" r:id="rId768"/>
    <hyperlink ref="C278" r:id="rId769"/>
    <hyperlink ref="D278" r:id="rId770"/>
    <hyperlink ref="E278" r:id="rId771"/>
    <hyperlink ref="C279" r:id="rId772"/>
    <hyperlink ref="D279" r:id="rId773"/>
    <hyperlink ref="E279" r:id="rId774"/>
    <hyperlink ref="C280" r:id="rId775"/>
    <hyperlink ref="D280" r:id="rId776"/>
    <hyperlink ref="E280" r:id="rId777"/>
    <hyperlink ref="C281" r:id="rId778"/>
    <hyperlink ref="D281" r:id="rId779"/>
    <hyperlink ref="E281" r:id="rId780"/>
    <hyperlink ref="C282" r:id="rId781"/>
    <hyperlink ref="D282" r:id="rId782"/>
    <hyperlink ref="E282" r:id="rId783"/>
    <hyperlink ref="C283" r:id="rId784"/>
    <hyperlink ref="D283" r:id="rId785"/>
    <hyperlink ref="E283" r:id="rId786"/>
    <hyperlink ref="C284" r:id="rId787"/>
    <hyperlink ref="D284" r:id="rId788"/>
    <hyperlink ref="E284" r:id="rId789"/>
    <hyperlink ref="C285" r:id="rId790"/>
    <hyperlink ref="D285" r:id="rId791"/>
    <hyperlink ref="E285" r:id="rId792"/>
    <hyperlink ref="C286" r:id="rId793"/>
    <hyperlink ref="D286" r:id="rId794"/>
    <hyperlink ref="E286" r:id="rId795"/>
    <hyperlink ref="C287" r:id="rId796"/>
    <hyperlink ref="D287" r:id="rId797"/>
    <hyperlink ref="E287" r:id="rId798"/>
    <hyperlink ref="C288" r:id="rId799"/>
    <hyperlink ref="E288" r:id="rId800"/>
    <hyperlink ref="C289" r:id="rId801"/>
    <hyperlink ref="D289" r:id="rId802"/>
    <hyperlink ref="E289" r:id="rId803"/>
    <hyperlink ref="C290" r:id="rId804"/>
    <hyperlink ref="D290" r:id="rId805"/>
    <hyperlink ref="E290" r:id="rId806"/>
    <hyperlink ref="C291" r:id="rId807"/>
    <hyperlink ref="D291" r:id="rId808"/>
    <hyperlink ref="E291" r:id="rId809"/>
    <hyperlink ref="C292" r:id="rId810"/>
    <hyperlink ref="D292" r:id="rId811"/>
    <hyperlink ref="E292" r:id="rId812"/>
    <hyperlink ref="C293" r:id="rId813"/>
    <hyperlink ref="D293" r:id="rId814"/>
    <hyperlink ref="E293" r:id="rId815"/>
    <hyperlink ref="C294" r:id="rId816"/>
    <hyperlink ref="D294" r:id="rId817"/>
    <hyperlink ref="E294" r:id="rId818"/>
    <hyperlink ref="C295" r:id="rId819"/>
    <hyperlink ref="D295" r:id="rId820"/>
    <hyperlink ref="E295" r:id="rId821"/>
    <hyperlink ref="C296" r:id="rId822"/>
    <hyperlink ref="D296" r:id="rId823"/>
    <hyperlink ref="E296" r:id="rId824"/>
    <hyperlink ref="C297" r:id="rId825"/>
    <hyperlink ref="D297" r:id="rId826"/>
    <hyperlink ref="E297" r:id="rId827"/>
    <hyperlink ref="C298" r:id="rId828"/>
    <hyperlink ref="D298" r:id="rId829"/>
    <hyperlink ref="E298" r:id="rId830"/>
    <hyperlink ref="C299" r:id="rId831"/>
    <hyperlink ref="D299" r:id="rId832"/>
    <hyperlink ref="E299" r:id="rId833"/>
    <hyperlink ref="C300" r:id="rId834"/>
    <hyperlink ref="D300" r:id="rId835"/>
    <hyperlink ref="E300" r:id="rId836"/>
    <hyperlink ref="C301" r:id="rId837"/>
    <hyperlink ref="D301" r:id="rId838"/>
    <hyperlink ref="E301" r:id="rId839"/>
    <hyperlink ref="C302" r:id="rId840"/>
    <hyperlink ref="D302" r:id="rId841"/>
    <hyperlink ref="E302" r:id="rId842"/>
    <hyperlink ref="C303" r:id="rId843"/>
    <hyperlink ref="D303" r:id="rId844"/>
    <hyperlink ref="E303" r:id="rId845"/>
    <hyperlink ref="C304" r:id="rId846"/>
    <hyperlink ref="D304" r:id="rId847"/>
    <hyperlink ref="E304" r:id="rId848"/>
    <hyperlink ref="C305" r:id="rId849"/>
    <hyperlink ref="D305" r:id="rId850"/>
    <hyperlink ref="E305" r:id="rId851"/>
    <hyperlink ref="C306" r:id="rId852"/>
    <hyperlink ref="D306" r:id="rId853"/>
    <hyperlink ref="E306" r:id="rId854"/>
    <hyperlink ref="C307" r:id="rId855"/>
    <hyperlink ref="D307" r:id="rId856"/>
    <hyperlink ref="E307" r:id="rId857"/>
    <hyperlink ref="C308" r:id="rId858"/>
    <hyperlink ref="D308" r:id="rId859"/>
    <hyperlink ref="E308" r:id="rId860"/>
    <hyperlink ref="C309" r:id="rId861"/>
    <hyperlink ref="D309" r:id="rId862"/>
    <hyperlink ref="E309" r:id="rId863"/>
    <hyperlink ref="C310" r:id="rId864"/>
    <hyperlink ref="D310" r:id="rId865"/>
    <hyperlink ref="E310" r:id="rId866"/>
    <hyperlink ref="C311" r:id="rId867"/>
    <hyperlink ref="D311" r:id="rId868"/>
    <hyperlink ref="E311" r:id="rId869"/>
    <hyperlink ref="C312" r:id="rId870"/>
    <hyperlink ref="D312" r:id="rId871"/>
    <hyperlink ref="E312" r:id="rId872"/>
    <hyperlink ref="C313" r:id="rId873"/>
    <hyperlink ref="D313" r:id="rId874"/>
    <hyperlink ref="E313" r:id="rId875"/>
    <hyperlink ref="C314" r:id="rId876"/>
    <hyperlink ref="D314" r:id="rId877"/>
    <hyperlink ref="E314" r:id="rId878"/>
    <hyperlink ref="C315" r:id="rId879"/>
    <hyperlink ref="D315" r:id="rId880"/>
    <hyperlink ref="E315" r:id="rId881"/>
    <hyperlink ref="C317" r:id="rId882"/>
    <hyperlink ref="D317" r:id="rId883"/>
    <hyperlink ref="E317" r:id="rId884"/>
    <hyperlink ref="C318" r:id="rId885"/>
    <hyperlink ref="D318" r:id="rId886"/>
    <hyperlink ref="E318" r:id="rId887"/>
    <hyperlink ref="C319" r:id="rId888"/>
    <hyperlink ref="D319" r:id="rId889"/>
    <hyperlink ref="E319" r:id="rId890"/>
    <hyperlink ref="C320" r:id="rId891"/>
    <hyperlink ref="D320" r:id="rId892"/>
    <hyperlink ref="E320" r:id="rId893"/>
    <hyperlink ref="C322" r:id="rId894"/>
    <hyperlink ref="D322" r:id="rId895"/>
    <hyperlink ref="E322" r:id="rId896"/>
    <hyperlink ref="C323" r:id="rId897"/>
    <hyperlink ref="D323" r:id="rId898"/>
    <hyperlink ref="E323" r:id="rId899"/>
    <hyperlink ref="C324" r:id="rId900"/>
    <hyperlink ref="D324" r:id="rId901"/>
    <hyperlink ref="E324" r:id="rId902"/>
    <hyperlink ref="C325" r:id="rId903"/>
    <hyperlink ref="D325" r:id="rId904"/>
    <hyperlink ref="E325" r:id="rId905"/>
    <hyperlink ref="C327" r:id="rId906"/>
    <hyperlink ref="D327" r:id="rId907"/>
    <hyperlink ref="E327" r:id="rId908"/>
    <hyperlink ref="C329" r:id="rId909"/>
    <hyperlink ref="D329" r:id="rId910"/>
    <hyperlink ref="E329" r:id="rId911"/>
    <hyperlink ref="C330" r:id="rId912"/>
    <hyperlink ref="D330" r:id="rId913"/>
    <hyperlink ref="E330" r:id="rId914"/>
    <hyperlink ref="C331" r:id="rId915"/>
    <hyperlink ref="D331" r:id="rId916"/>
    <hyperlink ref="E331" r:id="rId917"/>
    <hyperlink ref="C332" r:id="rId918"/>
    <hyperlink ref="D332" r:id="rId919"/>
    <hyperlink ref="E332" r:id="rId920"/>
    <hyperlink ref="C333" r:id="rId921"/>
    <hyperlink ref="D333" r:id="rId922"/>
    <hyperlink ref="E333" r:id="rId923"/>
    <hyperlink ref="C335" r:id="rId924"/>
    <hyperlink ref="D335" r:id="rId925"/>
    <hyperlink ref="E335" r:id="rId926"/>
    <hyperlink ref="C336" r:id="rId927"/>
    <hyperlink ref="D336" r:id="rId928"/>
    <hyperlink ref="E336" r:id="rId929"/>
    <hyperlink ref="C337" r:id="rId930"/>
    <hyperlink ref="D337" r:id="rId931"/>
    <hyperlink ref="E337" r:id="rId932"/>
    <hyperlink ref="C338" r:id="rId933"/>
    <hyperlink ref="D338" r:id="rId934"/>
    <hyperlink ref="E338" r:id="rId935"/>
    <hyperlink ref="C339" r:id="rId936"/>
    <hyperlink ref="D339" r:id="rId937"/>
    <hyperlink ref="E339" r:id="rId938"/>
    <hyperlink ref="C340" r:id="rId939"/>
    <hyperlink ref="D340" r:id="rId940"/>
    <hyperlink ref="E340" r:id="rId941"/>
    <hyperlink ref="C341" r:id="rId942"/>
    <hyperlink ref="D341" r:id="rId943"/>
    <hyperlink ref="E341" r:id="rId944"/>
    <hyperlink ref="C342" r:id="rId945"/>
    <hyperlink ref="D342" r:id="rId946"/>
    <hyperlink ref="E342" r:id="rId947"/>
    <hyperlink ref="C343" r:id="rId948"/>
    <hyperlink ref="D343" r:id="rId949"/>
    <hyperlink ref="E343" r:id="rId950"/>
    <hyperlink ref="C344" r:id="rId951"/>
    <hyperlink ref="D344" r:id="rId952"/>
    <hyperlink ref="E344" r:id="rId953"/>
    <hyperlink ref="C345" r:id="rId954"/>
    <hyperlink ref="D345" r:id="rId955"/>
    <hyperlink ref="E345" r:id="rId956"/>
    <hyperlink ref="C347" r:id="rId957"/>
    <hyperlink ref="D347" r:id="rId958"/>
    <hyperlink ref="E347" r:id="rId959"/>
    <hyperlink ref="C348" r:id="rId960"/>
    <hyperlink ref="D348" r:id="rId961"/>
    <hyperlink ref="E348" r:id="rId962"/>
    <hyperlink ref="C349" r:id="rId963"/>
    <hyperlink ref="D349" r:id="rId964"/>
    <hyperlink ref="E349" r:id="rId965"/>
    <hyperlink ref="C350" r:id="rId966"/>
    <hyperlink ref="D350" r:id="rId967"/>
    <hyperlink ref="E350" r:id="rId968"/>
    <hyperlink ref="C351" r:id="rId969"/>
    <hyperlink ref="D351" r:id="rId970"/>
    <hyperlink ref="E351" r:id="rId971"/>
    <hyperlink ref="C353" r:id="rId972"/>
    <hyperlink ref="D353" r:id="rId973"/>
    <hyperlink ref="E353" r:id="rId974"/>
    <hyperlink ref="C355" r:id="rId975"/>
    <hyperlink ref="D355" r:id="rId976"/>
    <hyperlink ref="E355" r:id="rId977"/>
    <hyperlink ref="C356" r:id="rId978"/>
    <hyperlink ref="D356" r:id="rId979"/>
    <hyperlink ref="E356" r:id="rId980"/>
    <hyperlink ref="C357" r:id="rId981"/>
    <hyperlink ref="D357" r:id="rId982"/>
    <hyperlink ref="E357" r:id="rId983"/>
    <hyperlink ref="C358" r:id="rId984"/>
    <hyperlink ref="D358" r:id="rId985"/>
    <hyperlink ref="E358" r:id="rId986"/>
    <hyperlink ref="C360" r:id="rId987"/>
    <hyperlink ref="D360" r:id="rId988"/>
    <hyperlink ref="E360" r:id="rId989"/>
    <hyperlink ref="C361" r:id="rId990"/>
    <hyperlink ref="D361" r:id="rId991"/>
    <hyperlink ref="E361" r:id="rId992"/>
    <hyperlink ref="C362" r:id="rId993"/>
    <hyperlink ref="D362" r:id="rId994"/>
    <hyperlink ref="E362" r:id="rId995"/>
    <hyperlink ref="C363" r:id="rId996"/>
    <hyperlink ref="D363" r:id="rId997"/>
    <hyperlink ref="E363" r:id="rId998"/>
    <hyperlink ref="C364" r:id="rId999"/>
    <hyperlink ref="D364" r:id="rId1000"/>
    <hyperlink ref="E364" r:id="rId1001"/>
    <hyperlink ref="C365" r:id="rId1002"/>
    <hyperlink ref="D365" r:id="rId1003"/>
    <hyperlink ref="E365" r:id="rId1004"/>
    <hyperlink ref="C366" r:id="rId1005"/>
    <hyperlink ref="D366" r:id="rId1006"/>
    <hyperlink ref="E366" r:id="rId1007"/>
    <hyperlink ref="C367" r:id="rId1008"/>
    <hyperlink ref="D367" r:id="rId1009"/>
    <hyperlink ref="E367" r:id="rId1010"/>
    <hyperlink ref="C368" r:id="rId1011"/>
    <hyperlink ref="D368" r:id="rId1012"/>
    <hyperlink ref="E368" r:id="rId1013"/>
    <hyperlink ref="C369" r:id="rId1014"/>
    <hyperlink ref="D369" r:id="rId1015"/>
    <hyperlink ref="E369" r:id="rId1016"/>
    <hyperlink ref="C370" r:id="rId1017"/>
    <hyperlink ref="D370" r:id="rId1018"/>
    <hyperlink ref="E370" r:id="rId1019"/>
    <hyperlink ref="C371" r:id="rId1020"/>
    <hyperlink ref="D371" r:id="rId1021"/>
    <hyperlink ref="E371" r:id="rId1022"/>
    <hyperlink ref="C372" r:id="rId1023"/>
    <hyperlink ref="D372" r:id="rId1024"/>
    <hyperlink ref="E372" r:id="rId1025"/>
    <hyperlink ref="C373" r:id="rId1026"/>
    <hyperlink ref="D373" r:id="rId1027"/>
    <hyperlink ref="E373" r:id="rId1028"/>
    <hyperlink ref="C374" r:id="rId1029"/>
    <hyperlink ref="D374" r:id="rId1030"/>
    <hyperlink ref="E374" r:id="rId1031"/>
    <hyperlink ref="C375" r:id="rId1032"/>
    <hyperlink ref="D375" r:id="rId1033"/>
    <hyperlink ref="E375" r:id="rId1034"/>
    <hyperlink ref="C376" r:id="rId1035"/>
    <hyperlink ref="D376" r:id="rId1036"/>
    <hyperlink ref="E376" r:id="rId1037"/>
    <hyperlink ref="C377" r:id="rId1038"/>
    <hyperlink ref="D377" r:id="rId1039"/>
    <hyperlink ref="E377" r:id="rId1040"/>
    <hyperlink ref="C378" r:id="rId1041"/>
    <hyperlink ref="D378" r:id="rId1042"/>
    <hyperlink ref="E378" r:id="rId1043"/>
    <hyperlink ref="C379" r:id="rId1044"/>
    <hyperlink ref="D379" r:id="rId1045"/>
    <hyperlink ref="E379" r:id="rId1046"/>
    <hyperlink ref="C380" r:id="rId1047"/>
    <hyperlink ref="D380" r:id="rId1048"/>
    <hyperlink ref="E380" r:id="rId1049"/>
    <hyperlink ref="C381" r:id="rId1050"/>
    <hyperlink ref="D381" r:id="rId1051"/>
    <hyperlink ref="E381" r:id="rId1052"/>
    <hyperlink ref="C382" r:id="rId1053"/>
    <hyperlink ref="D382" r:id="rId1054"/>
    <hyperlink ref="E382" r:id="rId1055"/>
    <hyperlink ref="C383" r:id="rId1056"/>
    <hyperlink ref="D383" r:id="rId1057"/>
    <hyperlink ref="E383" r:id="rId1058"/>
    <hyperlink ref="C384" r:id="rId1059"/>
    <hyperlink ref="D384" r:id="rId1060"/>
    <hyperlink ref="E384" r:id="rId1061"/>
    <hyperlink ref="C385" r:id="rId1062"/>
    <hyperlink ref="D385" r:id="rId1063"/>
    <hyperlink ref="E385" r:id="rId1064"/>
    <hyperlink ref="C386" r:id="rId1065"/>
    <hyperlink ref="D386" r:id="rId1066"/>
    <hyperlink ref="E386" r:id="rId1067"/>
    <hyperlink ref="C387" r:id="rId1068"/>
    <hyperlink ref="D387" r:id="rId1069"/>
    <hyperlink ref="E387" r:id="rId1070"/>
    <hyperlink ref="C388" r:id="rId1071"/>
    <hyperlink ref="D388" r:id="rId1072"/>
    <hyperlink ref="E388" r:id="rId1073"/>
    <hyperlink ref="C389" r:id="rId1074"/>
    <hyperlink ref="D389" r:id="rId1075"/>
    <hyperlink ref="E389" r:id="rId1076"/>
    <hyperlink ref="C390" r:id="rId1077"/>
    <hyperlink ref="D390" r:id="rId1078"/>
    <hyperlink ref="E390" r:id="rId1079"/>
    <hyperlink ref="C391" r:id="rId1080"/>
    <hyperlink ref="D391" r:id="rId1081"/>
    <hyperlink ref="E391" r:id="rId1082"/>
    <hyperlink ref="C392" r:id="rId1083"/>
    <hyperlink ref="D392" r:id="rId1084"/>
    <hyperlink ref="E392" r:id="rId1085"/>
    <hyperlink ref="C393" r:id="rId1086"/>
    <hyperlink ref="D393" r:id="rId1087"/>
    <hyperlink ref="E393" r:id="rId1088"/>
    <hyperlink ref="C394" r:id="rId1089"/>
    <hyperlink ref="D394" r:id="rId1090"/>
    <hyperlink ref="E394" r:id="rId1091"/>
    <hyperlink ref="C395" r:id="rId1092"/>
    <hyperlink ref="D395" r:id="rId1093"/>
    <hyperlink ref="E395" r:id="rId1094"/>
    <hyperlink ref="C396" r:id="rId1095"/>
    <hyperlink ref="D396" r:id="rId1096"/>
    <hyperlink ref="E396" r:id="rId1097"/>
    <hyperlink ref="C397" r:id="rId1098"/>
    <hyperlink ref="D397" r:id="rId1099"/>
    <hyperlink ref="E397" r:id="rId1100"/>
    <hyperlink ref="C398" r:id="rId1101"/>
    <hyperlink ref="D398" r:id="rId1102"/>
    <hyperlink ref="E398" r:id="rId1103"/>
    <hyperlink ref="C399" r:id="rId1104"/>
    <hyperlink ref="D399" r:id="rId1105"/>
    <hyperlink ref="E399" r:id="rId1106"/>
    <hyperlink ref="C400" r:id="rId1107"/>
    <hyperlink ref="D400" r:id="rId1108"/>
    <hyperlink ref="E400" r:id="rId1109"/>
    <hyperlink ref="C401" r:id="rId1110"/>
    <hyperlink ref="D401" r:id="rId1111"/>
    <hyperlink ref="E401" r:id="rId1112"/>
    <hyperlink ref="C402" r:id="rId1113"/>
    <hyperlink ref="D402" r:id="rId1114"/>
    <hyperlink ref="E402" r:id="rId1115"/>
    <hyperlink ref="C403" r:id="rId1116"/>
    <hyperlink ref="D403" r:id="rId1117"/>
    <hyperlink ref="E403" r:id="rId1118"/>
    <hyperlink ref="C404" r:id="rId1119"/>
    <hyperlink ref="D404" r:id="rId1120"/>
    <hyperlink ref="E404" r:id="rId1121"/>
    <hyperlink ref="C405" r:id="rId1122"/>
    <hyperlink ref="D405" r:id="rId1123"/>
    <hyperlink ref="E405" r:id="rId1124"/>
    <hyperlink ref="C406" r:id="rId1125"/>
    <hyperlink ref="D406" r:id="rId1126"/>
    <hyperlink ref="E406" r:id="rId1127"/>
    <hyperlink ref="C408" r:id="rId1128"/>
    <hyperlink ref="D408" r:id="rId1129"/>
    <hyperlink ref="E408" r:id="rId1130"/>
    <hyperlink ref="C410" r:id="rId1131"/>
    <hyperlink ref="D410" r:id="rId1132"/>
    <hyperlink ref="E410" r:id="rId1133"/>
    <hyperlink ref="C412" r:id="rId1134"/>
    <hyperlink ref="D412" r:id="rId1135"/>
    <hyperlink ref="E412" r:id="rId1136"/>
    <hyperlink ref="C413" r:id="rId1137"/>
    <hyperlink ref="D413" r:id="rId1138"/>
    <hyperlink ref="E413" r:id="rId1139"/>
    <hyperlink ref="C414" r:id="rId1140"/>
    <hyperlink ref="D414" r:id="rId1141"/>
    <hyperlink ref="E414" r:id="rId1142"/>
    <hyperlink ref="C416" r:id="rId1143"/>
    <hyperlink ref="D416" r:id="rId1144"/>
    <hyperlink ref="E416" r:id="rId1145"/>
    <hyperlink ref="C417" r:id="rId1146"/>
    <hyperlink ref="D417" r:id="rId1147"/>
    <hyperlink ref="E417" r:id="rId1148"/>
    <hyperlink ref="C418" r:id="rId1149"/>
    <hyperlink ref="D418" r:id="rId1150"/>
    <hyperlink ref="E418" r:id="rId1151"/>
    <hyperlink ref="C419" r:id="rId1152"/>
    <hyperlink ref="D419" r:id="rId1153"/>
    <hyperlink ref="E419" r:id="rId1154"/>
    <hyperlink ref="C420" r:id="rId1155"/>
    <hyperlink ref="D420" r:id="rId1156"/>
    <hyperlink ref="E420" r:id="rId1157"/>
    <hyperlink ref="C421" r:id="rId1158"/>
    <hyperlink ref="D421" r:id="rId1159"/>
    <hyperlink ref="E421" r:id="rId1160"/>
    <hyperlink ref="C422" r:id="rId1161"/>
    <hyperlink ref="D422" r:id="rId1162"/>
    <hyperlink ref="E422" r:id="rId1163"/>
    <hyperlink ref="C423" r:id="rId1164"/>
    <hyperlink ref="D423" r:id="rId1165"/>
    <hyperlink ref="E423" r:id="rId1166"/>
    <hyperlink ref="C424" r:id="rId1167"/>
    <hyperlink ref="D424" r:id="rId1168"/>
    <hyperlink ref="E424" r:id="rId1169"/>
    <hyperlink ref="C425" r:id="rId1170"/>
    <hyperlink ref="D425" r:id="rId1171"/>
    <hyperlink ref="E425" r:id="rId1172"/>
    <hyperlink ref="C426" r:id="rId1173"/>
    <hyperlink ref="D426" r:id="rId1174"/>
    <hyperlink ref="E426" r:id="rId1175"/>
    <hyperlink ref="C427" r:id="rId1176"/>
    <hyperlink ref="D427" r:id="rId1177"/>
    <hyperlink ref="E427" r:id="rId1178"/>
    <hyperlink ref="C428" r:id="rId1179"/>
    <hyperlink ref="D428" r:id="rId1180"/>
    <hyperlink ref="E428" r:id="rId1181"/>
    <hyperlink ref="C429" r:id="rId1182"/>
    <hyperlink ref="D429" r:id="rId1183"/>
    <hyperlink ref="E429" r:id="rId1184"/>
    <hyperlink ref="C430" r:id="rId1185"/>
    <hyperlink ref="D430" r:id="rId1186"/>
    <hyperlink ref="E430" r:id="rId1187"/>
    <hyperlink ref="C431" r:id="rId1188"/>
    <hyperlink ref="D431" r:id="rId1189"/>
    <hyperlink ref="E431" r:id="rId1190"/>
    <hyperlink ref="C432" r:id="rId1191"/>
    <hyperlink ref="D432" r:id="rId1192"/>
    <hyperlink ref="E432" r:id="rId1193"/>
    <hyperlink ref="C433" r:id="rId1194"/>
    <hyperlink ref="D433" r:id="rId1195"/>
    <hyperlink ref="E433" r:id="rId1196"/>
    <hyperlink ref="C434" r:id="rId1197"/>
    <hyperlink ref="D434" r:id="rId1198"/>
    <hyperlink ref="E434" r:id="rId1199"/>
    <hyperlink ref="C435" r:id="rId1200"/>
    <hyperlink ref="D435" r:id="rId1201"/>
    <hyperlink ref="E435" r:id="rId1202"/>
    <hyperlink ref="C436" r:id="rId1203"/>
    <hyperlink ref="D436" r:id="rId1204"/>
    <hyperlink ref="E436" r:id="rId1205"/>
    <hyperlink ref="C437" r:id="rId1206"/>
    <hyperlink ref="D437" r:id="rId1207"/>
    <hyperlink ref="E437" r:id="rId1208"/>
    <hyperlink ref="C438" r:id="rId1209"/>
    <hyperlink ref="D438" r:id="rId1210"/>
    <hyperlink ref="E438" r:id="rId1211"/>
    <hyperlink ref="C439" r:id="rId1212"/>
    <hyperlink ref="D439" r:id="rId1213"/>
    <hyperlink ref="E439" r:id="rId1214"/>
    <hyperlink ref="C440" r:id="rId1215"/>
    <hyperlink ref="D440" r:id="rId1216"/>
    <hyperlink ref="E440" r:id="rId1217"/>
    <hyperlink ref="C441" r:id="rId1218"/>
    <hyperlink ref="D441" r:id="rId1219"/>
    <hyperlink ref="E441" r:id="rId1220"/>
    <hyperlink ref="C442" r:id="rId1221"/>
    <hyperlink ref="D442" r:id="rId1222"/>
    <hyperlink ref="E442" r:id="rId1223"/>
    <hyperlink ref="C443" r:id="rId1224"/>
    <hyperlink ref="D443" r:id="rId1225"/>
    <hyperlink ref="E443" r:id="rId1226"/>
    <hyperlink ref="C444" r:id="rId1227"/>
    <hyperlink ref="D444" r:id="rId1228"/>
    <hyperlink ref="E444" r:id="rId1229"/>
    <hyperlink ref="C445" r:id="rId1230"/>
    <hyperlink ref="D445" r:id="rId1231"/>
    <hyperlink ref="E445" r:id="rId1232"/>
    <hyperlink ref="C446" r:id="rId1233"/>
    <hyperlink ref="D446" r:id="rId1234"/>
    <hyperlink ref="E446" r:id="rId1235"/>
    <hyperlink ref="C447" r:id="rId1236"/>
    <hyperlink ref="D447" r:id="rId1237"/>
    <hyperlink ref="E447" r:id="rId1238"/>
    <hyperlink ref="C448" r:id="rId1239"/>
    <hyperlink ref="D448" r:id="rId1240"/>
    <hyperlink ref="E448" r:id="rId1241"/>
    <hyperlink ref="C449" r:id="rId1242"/>
    <hyperlink ref="D449" r:id="rId1243"/>
    <hyperlink ref="E449" r:id="rId1244"/>
    <hyperlink ref="C450" r:id="rId1245"/>
    <hyperlink ref="D450" r:id="rId1246"/>
    <hyperlink ref="E450" r:id="rId1247"/>
    <hyperlink ref="C453" r:id="rId1248"/>
    <hyperlink ref="D453" r:id="rId1249"/>
    <hyperlink ref="E453" r:id="rId1250"/>
    <hyperlink ref="C455" r:id="rId1251"/>
    <hyperlink ref="D455" r:id="rId1252"/>
    <hyperlink ref="E455" r:id="rId1253"/>
    <hyperlink ref="C456" r:id="rId1254"/>
    <hyperlink ref="D456" r:id="rId1255"/>
    <hyperlink ref="E456" r:id="rId1256"/>
    <hyperlink ref="C457" r:id="rId1257"/>
    <hyperlink ref="D457" r:id="rId1258"/>
    <hyperlink ref="E457" r:id="rId1259"/>
    <hyperlink ref="C458" r:id="rId1260"/>
    <hyperlink ref="D458" r:id="rId1261"/>
    <hyperlink ref="E458" r:id="rId1262"/>
    <hyperlink ref="C459" r:id="rId1263"/>
    <hyperlink ref="D459" r:id="rId1264"/>
    <hyperlink ref="E459" r:id="rId1265"/>
    <hyperlink ref="C460" r:id="rId1266"/>
    <hyperlink ref="D460" r:id="rId1267"/>
    <hyperlink ref="E460" r:id="rId1268"/>
    <hyperlink ref="C461" r:id="rId1269"/>
    <hyperlink ref="D461" r:id="rId1270"/>
    <hyperlink ref="E461" r:id="rId1271"/>
    <hyperlink ref="C462" r:id="rId1272"/>
    <hyperlink ref="D462" r:id="rId1273"/>
    <hyperlink ref="E462" r:id="rId1274"/>
    <hyperlink ref="C463" r:id="rId1275"/>
    <hyperlink ref="D463" r:id="rId1276"/>
    <hyperlink ref="E463" r:id="rId1277"/>
    <hyperlink ref="C464" r:id="rId1278"/>
    <hyperlink ref="D464" r:id="rId1279"/>
    <hyperlink ref="E464" r:id="rId1280"/>
    <hyperlink ref="C465" r:id="rId1281"/>
    <hyperlink ref="D465" r:id="rId1282"/>
    <hyperlink ref="E465" r:id="rId1283"/>
    <hyperlink ref="C466" r:id="rId1284"/>
    <hyperlink ref="D466" r:id="rId1285"/>
    <hyperlink ref="E466" r:id="rId1286"/>
    <hyperlink ref="C467" r:id="rId1287"/>
    <hyperlink ref="D467" r:id="rId1288"/>
    <hyperlink ref="E467" r:id="rId1289"/>
    <hyperlink ref="C468" r:id="rId1290"/>
    <hyperlink ref="D468" r:id="rId1291"/>
    <hyperlink ref="E468" r:id="rId1292"/>
    <hyperlink ref="C469" r:id="rId1293"/>
    <hyperlink ref="D469" r:id="rId1294"/>
    <hyperlink ref="E469" r:id="rId1295"/>
    <hyperlink ref="C470" r:id="rId1296"/>
    <hyperlink ref="D470" r:id="rId1297"/>
    <hyperlink ref="E470" r:id="rId1298"/>
    <hyperlink ref="C471" r:id="rId1299"/>
    <hyperlink ref="D471" r:id="rId1300"/>
    <hyperlink ref="E471" r:id="rId1301"/>
    <hyperlink ref="C473" r:id="rId1302"/>
    <hyperlink ref="D473" r:id="rId1303"/>
    <hyperlink ref="E473" r:id="rId1304"/>
    <hyperlink ref="C474" r:id="rId1305"/>
    <hyperlink ref="D474" r:id="rId1306"/>
    <hyperlink ref="E474" r:id="rId1307"/>
    <hyperlink ref="C475" r:id="rId1308"/>
    <hyperlink ref="D475" r:id="rId1309"/>
    <hyperlink ref="E475" r:id="rId1310"/>
    <hyperlink ref="C476" r:id="rId1311"/>
    <hyperlink ref="D476" r:id="rId1312"/>
    <hyperlink ref="E476" r:id="rId1313"/>
    <hyperlink ref="C477" r:id="rId1314"/>
    <hyperlink ref="D477" r:id="rId1315"/>
    <hyperlink ref="E477" r:id="rId1316"/>
    <hyperlink ref="C478" r:id="rId1317"/>
    <hyperlink ref="D478" r:id="rId1318"/>
    <hyperlink ref="E478" r:id="rId1319"/>
    <hyperlink ref="C479" r:id="rId1320"/>
    <hyperlink ref="D479" r:id="rId1321"/>
    <hyperlink ref="E479" r:id="rId1322"/>
    <hyperlink ref="C480" r:id="rId1323"/>
    <hyperlink ref="D480" r:id="rId1324"/>
    <hyperlink ref="E480" r:id="rId1325"/>
    <hyperlink ref="C481" r:id="rId1326"/>
    <hyperlink ref="D481" r:id="rId1327"/>
    <hyperlink ref="E481" r:id="rId1328"/>
    <hyperlink ref="C482" r:id="rId1329"/>
    <hyperlink ref="D482" r:id="rId1330"/>
    <hyperlink ref="E482" r:id="rId1331"/>
    <hyperlink ref="C483" r:id="rId1332"/>
    <hyperlink ref="D483" r:id="rId1333"/>
    <hyperlink ref="E483" r:id="rId1334"/>
    <hyperlink ref="C484" r:id="rId1335"/>
    <hyperlink ref="D484" r:id="rId1336"/>
    <hyperlink ref="E484" r:id="rId1337"/>
    <hyperlink ref="C485" r:id="rId1338"/>
    <hyperlink ref="D485" r:id="rId1339"/>
    <hyperlink ref="E485" r:id="rId1340"/>
    <hyperlink ref="C486" r:id="rId1341"/>
    <hyperlink ref="D486" r:id="rId1342"/>
    <hyperlink ref="E486" r:id="rId1343"/>
    <hyperlink ref="C487" r:id="rId1344"/>
    <hyperlink ref="D487" r:id="rId1345"/>
    <hyperlink ref="E487" r:id="rId1346"/>
    <hyperlink ref="C488" r:id="rId1347"/>
    <hyperlink ref="D488" r:id="rId1348"/>
    <hyperlink ref="E488" r:id="rId1349"/>
    <hyperlink ref="C489" r:id="rId1350"/>
    <hyperlink ref="D489" r:id="rId1351"/>
    <hyperlink ref="E489" r:id="rId1352"/>
    <hyperlink ref="C490" r:id="rId1353"/>
    <hyperlink ref="D490" r:id="rId1354"/>
    <hyperlink ref="E490" r:id="rId1355"/>
    <hyperlink ref="C492" r:id="rId1356"/>
    <hyperlink ref="D492" r:id="rId1357"/>
    <hyperlink ref="E492" r:id="rId1358"/>
    <hyperlink ref="C493" r:id="rId1359"/>
    <hyperlink ref="D493" r:id="rId1360"/>
    <hyperlink ref="E493" r:id="rId1361"/>
    <hyperlink ref="C494" r:id="rId1362"/>
    <hyperlink ref="D494" r:id="rId1363"/>
    <hyperlink ref="E494" r:id="rId1364"/>
    <hyperlink ref="C495" r:id="rId1365"/>
    <hyperlink ref="D495" r:id="rId1366"/>
    <hyperlink ref="E495" r:id="rId1367"/>
    <hyperlink ref="C496" r:id="rId1368"/>
    <hyperlink ref="D496" r:id="rId1369"/>
    <hyperlink ref="E496" r:id="rId1370"/>
    <hyperlink ref="C497" r:id="rId1371"/>
    <hyperlink ref="D497" r:id="rId1372"/>
    <hyperlink ref="E497" r:id="rId1373"/>
    <hyperlink ref="C498" r:id="rId1374"/>
    <hyperlink ref="D498" r:id="rId1375"/>
    <hyperlink ref="E498" r:id="rId1376"/>
    <hyperlink ref="C499" r:id="rId1377"/>
    <hyperlink ref="D499" r:id="rId1378"/>
    <hyperlink ref="E499" r:id="rId1379"/>
  </hyperlinks>
  <printOptions horizontalCentered="1" verticalCentered="1"/>
  <pageMargins left="0.25" right="0.25" top="0.75" bottom="0.75" header="0.3" footer="0.3"/>
  <pageSetup paperSize="8" scale="36" orientation="portrait" useFirstPageNumber="1" horizontalDpi="300" verticalDpi="300" r:id="rId1380"/>
  <headerFooter alignWithMargins="0">
    <oddFooter>&amp;CStrona &amp;P z &amp;N</oddFooter>
  </headerFooter>
  <drawing r:id="rId1381"/>
  <tableParts count="1">
    <tablePart r:id="rId138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rgb="FFFFFF00"/>
  </sheetPr>
  <dimension ref="A1"/>
  <sheetViews>
    <sheetView workbookViewId="0"/>
  </sheetViews>
  <sheetFormatPr defaultRowHeight="12.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3">
    <tabColor rgb="FFFFFF00"/>
    <pageSetUpPr fitToPage="1"/>
  </sheetPr>
  <dimension ref="A1:AZ25"/>
  <sheetViews>
    <sheetView zoomScale="55" zoomScaleNormal="55" workbookViewId="0">
      <pane xSplit="11" ySplit="5" topLeftCell="L6" activePane="bottomRight" state="frozen"/>
      <selection pane="topRight" activeCell="J1" sqref="J1"/>
      <selection pane="bottomLeft" activeCell="A6" sqref="A6"/>
      <selection pane="bottomRight" activeCell="I40" sqref="I40"/>
    </sheetView>
  </sheetViews>
  <sheetFormatPr defaultColWidth="9.1796875" defaultRowHeight="28" customHeight="1"/>
  <cols>
    <col min="1" max="1" width="6.7265625" style="30" customWidth="1"/>
    <col min="2" max="2" width="13" style="29" customWidth="1"/>
    <col min="3" max="3" width="5.7265625" style="17" customWidth="1"/>
    <col min="4" max="5" width="5.7265625" style="16" customWidth="1"/>
    <col min="6" max="6" width="14.26953125" style="16" customWidth="1"/>
    <col min="7" max="7" width="27.26953125" style="16" customWidth="1"/>
    <col min="8" max="8" width="14.26953125" style="16" customWidth="1"/>
    <col min="9" max="9" width="26.81640625" style="16" customWidth="1"/>
    <col min="10" max="10" width="66.1796875" style="16" customWidth="1"/>
    <col min="11" max="11" width="22.1796875" style="16" hidden="1" customWidth="1"/>
    <col min="12" max="12" width="25.81640625" style="16" customWidth="1"/>
    <col min="13" max="13" width="15.7265625" style="17" customWidth="1"/>
    <col min="14" max="14" width="15.26953125" style="18" customWidth="1"/>
    <col min="15" max="15" width="25" style="18" customWidth="1"/>
    <col min="16" max="16" width="35.81640625" style="16" customWidth="1"/>
    <col min="17" max="17" width="32.7265625" style="16" customWidth="1"/>
    <col min="18" max="37" width="6" style="16" customWidth="1"/>
    <col min="38" max="38" width="9.7265625" style="19" customWidth="1"/>
    <col min="39" max="39" width="11.54296875" style="19" customWidth="1"/>
    <col min="40" max="40" width="16.26953125" style="19" customWidth="1"/>
    <col min="41" max="41" width="15" style="19" customWidth="1"/>
    <col min="42" max="42" width="10.7265625" style="20" customWidth="1"/>
    <col min="43" max="43" width="39.453125" style="16" customWidth="1"/>
    <col min="44" max="44" width="22.54296875" style="17" customWidth="1"/>
    <col min="45" max="45" width="24.81640625" style="16" customWidth="1"/>
    <col min="46" max="46" width="13.453125" style="16" customWidth="1"/>
    <col min="47" max="48" width="13.453125" style="17" customWidth="1"/>
    <col min="49" max="49" width="36.81640625" style="17" customWidth="1"/>
    <col min="50" max="50" width="10" style="21" customWidth="1"/>
    <col min="51" max="51" width="45" style="22" bestFit="1" customWidth="1"/>
    <col min="52" max="52" width="27" style="10" customWidth="1"/>
    <col min="53" max="16384" width="9.1796875" style="10"/>
  </cols>
  <sheetData>
    <row r="1" spans="1:52" ht="69" customHeight="1" thickTop="1" thickBot="1">
      <c r="A1" s="96"/>
      <c r="B1" s="97"/>
      <c r="C1" s="98"/>
      <c r="D1" s="98"/>
      <c r="E1" s="98"/>
      <c r="F1" s="99"/>
      <c r="G1" s="99"/>
      <c r="H1" s="101" t="s">
        <v>45</v>
      </c>
      <c r="I1" s="100" t="s">
        <v>70</v>
      </c>
      <c r="J1" s="44"/>
      <c r="K1" s="84"/>
      <c r="L1" s="62"/>
      <c r="P1" s="62"/>
      <c r="Q1" s="61"/>
      <c r="R1" s="412" t="s">
        <v>80</v>
      </c>
      <c r="S1" s="413"/>
      <c r="T1" s="413"/>
      <c r="U1" s="413"/>
      <c r="V1" s="413"/>
      <c r="W1" s="413"/>
      <c r="X1" s="413"/>
      <c r="Y1" s="413"/>
      <c r="Z1" s="413"/>
      <c r="AA1" s="413"/>
      <c r="AB1" s="413"/>
      <c r="AC1" s="413"/>
      <c r="AD1" s="413"/>
      <c r="AE1" s="413"/>
      <c r="AF1" s="413"/>
      <c r="AG1" s="413"/>
      <c r="AH1" s="413"/>
      <c r="AI1" s="413"/>
      <c r="AJ1" s="413"/>
      <c r="AK1" s="414"/>
      <c r="AL1" s="63"/>
      <c r="AM1" s="63"/>
      <c r="AN1" s="63"/>
      <c r="AO1" s="396" t="s">
        <v>13</v>
      </c>
      <c r="AP1" s="397"/>
      <c r="AQ1" s="397"/>
      <c r="AR1" s="397"/>
      <c r="AS1" s="397"/>
      <c r="AT1" s="398"/>
      <c r="AU1" s="402" t="s">
        <v>23</v>
      </c>
      <c r="AV1" s="403"/>
      <c r="AW1" s="404"/>
      <c r="AX1" s="408" t="s">
        <v>35</v>
      </c>
      <c r="AY1" s="409"/>
      <c r="AZ1" s="394" t="s">
        <v>69</v>
      </c>
    </row>
    <row r="2" spans="1:52" ht="23.25" customHeight="1" thickBot="1">
      <c r="A2" s="86" t="str">
        <f>"Lista materiałów handlowych do "&amp;POMOC!B3&amp;", sporządził: "&amp;POMOC!B6</f>
        <v>Lista materiałów handlowych do xxx, sporządził: xxx</v>
      </c>
      <c r="B2" s="26"/>
      <c r="C2" s="26"/>
      <c r="D2" s="26"/>
      <c r="E2" s="26"/>
      <c r="F2" s="17"/>
      <c r="G2" s="17"/>
      <c r="H2" s="17"/>
      <c r="K2" s="26"/>
      <c r="L2" s="47"/>
      <c r="M2" s="26"/>
      <c r="N2" s="26"/>
      <c r="O2" s="26"/>
      <c r="P2" s="26"/>
      <c r="Q2" s="26"/>
      <c r="R2" s="415"/>
      <c r="S2" s="416"/>
      <c r="T2" s="416"/>
      <c r="U2" s="416"/>
      <c r="V2" s="416"/>
      <c r="W2" s="416"/>
      <c r="X2" s="416"/>
      <c r="Y2" s="416"/>
      <c r="Z2" s="416"/>
      <c r="AA2" s="416"/>
      <c r="AB2" s="416"/>
      <c r="AC2" s="416"/>
      <c r="AD2" s="416"/>
      <c r="AE2" s="416"/>
      <c r="AF2" s="416"/>
      <c r="AG2" s="416"/>
      <c r="AH2" s="416"/>
      <c r="AI2" s="416"/>
      <c r="AJ2" s="416"/>
      <c r="AK2" s="417"/>
      <c r="AL2" s="27"/>
      <c r="AM2" s="27"/>
      <c r="AN2" s="27"/>
      <c r="AO2" s="399"/>
      <c r="AP2" s="400"/>
      <c r="AQ2" s="400"/>
      <c r="AR2" s="400"/>
      <c r="AS2" s="400"/>
      <c r="AT2" s="401"/>
      <c r="AU2" s="405"/>
      <c r="AV2" s="406"/>
      <c r="AW2" s="407"/>
      <c r="AX2" s="410"/>
      <c r="AY2" s="411"/>
      <c r="AZ2" s="395"/>
    </row>
    <row r="3" spans="1:52" ht="28" customHeight="1" thickTop="1">
      <c r="A3" s="87"/>
      <c r="B3" s="88"/>
      <c r="C3" s="89"/>
      <c r="D3" s="89"/>
      <c r="E3" s="89"/>
      <c r="F3" s="89"/>
      <c r="G3" s="89"/>
      <c r="H3" s="89"/>
      <c r="I3" s="89"/>
      <c r="J3" s="90"/>
      <c r="K3" s="89"/>
      <c r="L3" s="89"/>
      <c r="M3" s="89"/>
      <c r="N3" s="89"/>
      <c r="O3" s="89"/>
      <c r="P3" s="89"/>
      <c r="Q3" s="91"/>
      <c r="R3" s="124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6"/>
      <c r="AL3" s="92"/>
      <c r="AM3" s="93"/>
      <c r="AN3" s="93"/>
      <c r="AO3" s="33"/>
      <c r="AP3" s="23"/>
      <c r="AQ3" s="23"/>
      <c r="AR3" s="23"/>
      <c r="AS3" s="23"/>
      <c r="AT3" s="31"/>
      <c r="AU3" s="85"/>
      <c r="AV3" s="41"/>
      <c r="AW3" s="24"/>
      <c r="AX3" s="25"/>
      <c r="AY3" s="24"/>
      <c r="AZ3" s="65"/>
    </row>
    <row r="4" spans="1:52" ht="28" customHeight="1" thickBot="1">
      <c r="A4" s="64"/>
      <c r="B4" s="38"/>
      <c r="C4" s="39"/>
      <c r="D4" s="39"/>
      <c r="E4" s="39"/>
      <c r="F4" s="39"/>
      <c r="G4" s="39"/>
      <c r="H4" s="39"/>
      <c r="I4" s="39"/>
      <c r="J4" s="40"/>
      <c r="K4" s="39"/>
      <c r="L4" s="39"/>
      <c r="M4" s="39"/>
      <c r="N4" s="39"/>
      <c r="O4" s="39"/>
      <c r="P4" s="39"/>
      <c r="Q4" s="48"/>
      <c r="R4" s="49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7"/>
      <c r="AL4" s="36"/>
      <c r="AM4" s="35"/>
      <c r="AN4" s="35"/>
      <c r="AO4" s="14"/>
      <c r="AP4" s="12"/>
      <c r="AQ4" s="12"/>
      <c r="AR4" s="12"/>
      <c r="AS4" s="12"/>
      <c r="AT4" s="32"/>
      <c r="AU4" s="15"/>
      <c r="AV4" s="42"/>
      <c r="AW4" s="13"/>
      <c r="AX4" s="11"/>
      <c r="AY4" s="13"/>
      <c r="AZ4" s="66"/>
    </row>
    <row r="5" spans="1:52" s="28" customFormat="1" ht="104.25" customHeight="1" thickBot="1">
      <c r="A5" s="67" t="s">
        <v>14</v>
      </c>
      <c r="B5" s="68" t="s">
        <v>71</v>
      </c>
      <c r="C5" s="69" t="s">
        <v>37</v>
      </c>
      <c r="D5" s="69" t="s">
        <v>38</v>
      </c>
      <c r="E5" s="69" t="s">
        <v>39</v>
      </c>
      <c r="F5" s="69" t="s">
        <v>22</v>
      </c>
      <c r="G5" s="69" t="s">
        <v>65</v>
      </c>
      <c r="H5" s="69" t="s">
        <v>66</v>
      </c>
      <c r="I5" s="69" t="s">
        <v>44</v>
      </c>
      <c r="J5" s="70" t="s">
        <v>64</v>
      </c>
      <c r="K5" s="69" t="s">
        <v>49</v>
      </c>
      <c r="L5" s="69" t="s">
        <v>33</v>
      </c>
      <c r="M5" s="69" t="s">
        <v>40</v>
      </c>
      <c r="N5" s="69" t="s">
        <v>41</v>
      </c>
      <c r="O5" s="69" t="s">
        <v>42</v>
      </c>
      <c r="P5" s="69" t="s">
        <v>67</v>
      </c>
      <c r="Q5" s="71" t="s">
        <v>34</v>
      </c>
      <c r="R5" s="83" t="s">
        <v>52</v>
      </c>
      <c r="S5" s="72" t="s">
        <v>53</v>
      </c>
      <c r="T5" s="72" t="s">
        <v>54</v>
      </c>
      <c r="U5" s="72" t="s">
        <v>55</v>
      </c>
      <c r="V5" s="72" t="s">
        <v>56</v>
      </c>
      <c r="W5" s="72" t="s">
        <v>57</v>
      </c>
      <c r="X5" s="72" t="s">
        <v>58</v>
      </c>
      <c r="Y5" s="72" t="s">
        <v>59</v>
      </c>
      <c r="Z5" s="72" t="s">
        <v>60</v>
      </c>
      <c r="AA5" s="72" t="s">
        <v>61</v>
      </c>
      <c r="AB5" s="72" t="s">
        <v>62</v>
      </c>
      <c r="AC5" s="72" t="s">
        <v>63</v>
      </c>
      <c r="AD5" s="72" t="s">
        <v>72</v>
      </c>
      <c r="AE5" s="72" t="s">
        <v>73</v>
      </c>
      <c r="AF5" s="72" t="s">
        <v>74</v>
      </c>
      <c r="AG5" s="72" t="s">
        <v>75</v>
      </c>
      <c r="AH5" s="72" t="s">
        <v>76</v>
      </c>
      <c r="AI5" s="72" t="s">
        <v>77</v>
      </c>
      <c r="AJ5" s="72" t="s">
        <v>78</v>
      </c>
      <c r="AK5" s="73" t="s">
        <v>79</v>
      </c>
      <c r="AL5" s="74" t="s">
        <v>15</v>
      </c>
      <c r="AM5" s="75" t="s">
        <v>50</v>
      </c>
      <c r="AN5" s="75" t="s">
        <v>51</v>
      </c>
      <c r="AO5" s="76" t="s">
        <v>18</v>
      </c>
      <c r="AP5" s="77" t="s">
        <v>16</v>
      </c>
      <c r="AQ5" s="77" t="s">
        <v>17</v>
      </c>
      <c r="AR5" s="77" t="s">
        <v>36</v>
      </c>
      <c r="AS5" s="77" t="s">
        <v>43</v>
      </c>
      <c r="AT5" s="78" t="s">
        <v>20</v>
      </c>
      <c r="AU5" s="79" t="s">
        <v>21</v>
      </c>
      <c r="AV5" s="80" t="s">
        <v>68</v>
      </c>
      <c r="AW5" s="81" t="s">
        <v>19</v>
      </c>
      <c r="AX5" s="82" t="s">
        <v>48</v>
      </c>
      <c r="AY5" s="81" t="s">
        <v>47</v>
      </c>
      <c r="AZ5" s="94" t="s">
        <v>69</v>
      </c>
    </row>
    <row r="6" spans="1:52" ht="28" customHeight="1" thickTop="1">
      <c r="A6" s="43">
        <v>1</v>
      </c>
      <c r="B6" s="166"/>
      <c r="C6" s="128"/>
      <c r="D6" s="128"/>
      <c r="E6" s="109"/>
      <c r="F6" s="143"/>
      <c r="G6" s="132"/>
      <c r="H6" s="133"/>
      <c r="I6" s="132"/>
      <c r="J6" s="144"/>
      <c r="K6" s="46"/>
      <c r="L6" s="135"/>
      <c r="M6" s="132"/>
      <c r="N6" s="45"/>
      <c r="O6" s="132"/>
      <c r="P6" s="45"/>
      <c r="Q6" s="50"/>
      <c r="R6" s="151">
        <f>0</f>
        <v>0</v>
      </c>
      <c r="S6" s="152">
        <f>0</f>
        <v>0</v>
      </c>
      <c r="T6" s="152">
        <f>0</f>
        <v>0</v>
      </c>
      <c r="U6" s="152">
        <f>0</f>
        <v>0</v>
      </c>
      <c r="V6" s="152">
        <f>0</f>
        <v>0</v>
      </c>
      <c r="W6" s="152">
        <f>0</f>
        <v>0</v>
      </c>
      <c r="X6" s="152">
        <f>0</f>
        <v>0</v>
      </c>
      <c r="Y6" s="152">
        <f>0</f>
        <v>0</v>
      </c>
      <c r="Z6" s="152">
        <f>0</f>
        <v>0</v>
      </c>
      <c r="AA6" s="152">
        <f>0</f>
        <v>0</v>
      </c>
      <c r="AB6" s="152">
        <f>0</f>
        <v>0</v>
      </c>
      <c r="AC6" s="152">
        <f>0</f>
        <v>0</v>
      </c>
      <c r="AD6" s="152">
        <f>0</f>
        <v>0</v>
      </c>
      <c r="AE6" s="152">
        <f>0</f>
        <v>0</v>
      </c>
      <c r="AF6" s="152">
        <f>0</f>
        <v>0</v>
      </c>
      <c r="AG6" s="152">
        <f>0</f>
        <v>0</v>
      </c>
      <c r="AH6" s="152">
        <f>0</f>
        <v>0</v>
      </c>
      <c r="AI6" s="152">
        <f>0</f>
        <v>0</v>
      </c>
      <c r="AJ6" s="152">
        <f>0</f>
        <v>0</v>
      </c>
      <c r="AK6" s="153">
        <f>0</f>
        <v>0</v>
      </c>
      <c r="AL6" s="149">
        <f t="shared" ref="AL6:AL11" si="0">SUM(R6:AK6)</f>
        <v>0</v>
      </c>
      <c r="AM6" s="51">
        <f>0</f>
        <v>0</v>
      </c>
      <c r="AN6" s="159">
        <f t="shared" ref="AN6:AN11" si="1">AL6-AM6</f>
        <v>0</v>
      </c>
      <c r="AO6" s="52"/>
      <c r="AP6" s="53"/>
      <c r="AQ6" s="54"/>
      <c r="AR6" s="55"/>
      <c r="AS6" s="53"/>
      <c r="AT6" s="56"/>
      <c r="AU6" s="57"/>
      <c r="AV6" s="58">
        <f t="shared" ref="AV6:AV25" si="2">AN6-AU6</f>
        <v>0</v>
      </c>
      <c r="AW6" s="123"/>
      <c r="AX6" s="59"/>
      <c r="AY6" s="60"/>
      <c r="AZ6" s="95"/>
    </row>
    <row r="7" spans="1:52" ht="28" customHeight="1">
      <c r="A7" s="43">
        <v>2</v>
      </c>
      <c r="B7" s="167"/>
      <c r="C7" s="128"/>
      <c r="D7" s="128"/>
      <c r="E7" s="109"/>
      <c r="F7" s="130"/>
      <c r="G7" s="132"/>
      <c r="H7" s="133"/>
      <c r="I7" s="132"/>
      <c r="J7" s="134"/>
      <c r="K7" s="46"/>
      <c r="L7" s="135"/>
      <c r="M7" s="132"/>
      <c r="N7" s="45"/>
      <c r="O7" s="132"/>
      <c r="P7" s="45"/>
      <c r="Q7" s="50"/>
      <c r="R7" s="151">
        <f>0</f>
        <v>0</v>
      </c>
      <c r="S7" s="152">
        <f>0</f>
        <v>0</v>
      </c>
      <c r="T7" s="152">
        <f>0</f>
        <v>0</v>
      </c>
      <c r="U7" s="152">
        <f>0</f>
        <v>0</v>
      </c>
      <c r="V7" s="152">
        <f>0</f>
        <v>0</v>
      </c>
      <c r="W7" s="152">
        <f>0</f>
        <v>0</v>
      </c>
      <c r="X7" s="152">
        <f>0</f>
        <v>0</v>
      </c>
      <c r="Y7" s="152">
        <f>0</f>
        <v>0</v>
      </c>
      <c r="Z7" s="152">
        <f>0</f>
        <v>0</v>
      </c>
      <c r="AA7" s="152">
        <f>0</f>
        <v>0</v>
      </c>
      <c r="AB7" s="152">
        <f>0</f>
        <v>0</v>
      </c>
      <c r="AC7" s="152">
        <f>0</f>
        <v>0</v>
      </c>
      <c r="AD7" s="152">
        <f>0</f>
        <v>0</v>
      </c>
      <c r="AE7" s="152">
        <f>0</f>
        <v>0</v>
      </c>
      <c r="AF7" s="152">
        <f>0</f>
        <v>0</v>
      </c>
      <c r="AG7" s="152">
        <f>0</f>
        <v>0</v>
      </c>
      <c r="AH7" s="152">
        <f>0</f>
        <v>0</v>
      </c>
      <c r="AI7" s="152">
        <f>0</f>
        <v>0</v>
      </c>
      <c r="AJ7" s="152">
        <f>0</f>
        <v>0</v>
      </c>
      <c r="AK7" s="153">
        <f>0</f>
        <v>0</v>
      </c>
      <c r="AL7" s="149">
        <f t="shared" si="0"/>
        <v>0</v>
      </c>
      <c r="AM7" s="51">
        <f>0</f>
        <v>0</v>
      </c>
      <c r="AN7" s="159">
        <f t="shared" si="1"/>
        <v>0</v>
      </c>
      <c r="AO7" s="52"/>
      <c r="AP7" s="53"/>
      <c r="AQ7" s="54"/>
      <c r="AR7" s="55"/>
      <c r="AS7" s="53"/>
      <c r="AT7" s="56"/>
      <c r="AU7" s="57"/>
      <c r="AV7" s="58">
        <f t="shared" si="2"/>
        <v>0</v>
      </c>
      <c r="AW7" s="56"/>
      <c r="AX7" s="59"/>
      <c r="AY7" s="60"/>
      <c r="AZ7" s="110"/>
    </row>
    <row r="8" spans="1:52" ht="28" customHeight="1">
      <c r="A8" s="43">
        <v>3</v>
      </c>
      <c r="B8" s="167"/>
      <c r="C8" s="128"/>
      <c r="D8" s="128"/>
      <c r="E8" s="109"/>
      <c r="F8" s="130"/>
      <c r="G8" s="132"/>
      <c r="H8" s="133"/>
      <c r="I8" s="132"/>
      <c r="J8" s="134"/>
      <c r="K8" s="46"/>
      <c r="L8" s="135"/>
      <c r="M8" s="132"/>
      <c r="N8" s="45"/>
      <c r="O8" s="132"/>
      <c r="P8" s="45"/>
      <c r="Q8" s="50"/>
      <c r="R8" s="151">
        <f>0</f>
        <v>0</v>
      </c>
      <c r="S8" s="152">
        <f>0</f>
        <v>0</v>
      </c>
      <c r="T8" s="152">
        <f>0</f>
        <v>0</v>
      </c>
      <c r="U8" s="152">
        <f>0</f>
        <v>0</v>
      </c>
      <c r="V8" s="152">
        <f>0</f>
        <v>0</v>
      </c>
      <c r="W8" s="152">
        <f>0</f>
        <v>0</v>
      </c>
      <c r="X8" s="152">
        <f>0</f>
        <v>0</v>
      </c>
      <c r="Y8" s="152">
        <f>0</f>
        <v>0</v>
      </c>
      <c r="Z8" s="152">
        <f>0</f>
        <v>0</v>
      </c>
      <c r="AA8" s="152">
        <f>0</f>
        <v>0</v>
      </c>
      <c r="AB8" s="152">
        <f>0</f>
        <v>0</v>
      </c>
      <c r="AC8" s="152">
        <f>0</f>
        <v>0</v>
      </c>
      <c r="AD8" s="152">
        <f>0</f>
        <v>0</v>
      </c>
      <c r="AE8" s="152">
        <f>0</f>
        <v>0</v>
      </c>
      <c r="AF8" s="152">
        <f>0</f>
        <v>0</v>
      </c>
      <c r="AG8" s="152">
        <f>0</f>
        <v>0</v>
      </c>
      <c r="AH8" s="152">
        <f>0</f>
        <v>0</v>
      </c>
      <c r="AI8" s="152">
        <f>0</f>
        <v>0</v>
      </c>
      <c r="AJ8" s="152">
        <f>0</f>
        <v>0</v>
      </c>
      <c r="AK8" s="153">
        <f>0</f>
        <v>0</v>
      </c>
      <c r="AL8" s="149">
        <f t="shared" si="0"/>
        <v>0</v>
      </c>
      <c r="AM8" s="51">
        <f>0</f>
        <v>0</v>
      </c>
      <c r="AN8" s="159">
        <f t="shared" si="1"/>
        <v>0</v>
      </c>
      <c r="AO8" s="52"/>
      <c r="AP8" s="53"/>
      <c r="AQ8" s="54"/>
      <c r="AR8" s="55"/>
      <c r="AS8" s="53"/>
      <c r="AT8" s="56"/>
      <c r="AU8" s="57"/>
      <c r="AV8" s="58">
        <f t="shared" si="2"/>
        <v>0</v>
      </c>
      <c r="AW8" s="56"/>
      <c r="AX8" s="59"/>
      <c r="AY8" s="60"/>
      <c r="AZ8" s="110"/>
    </row>
    <row r="9" spans="1:52" ht="28" customHeight="1">
      <c r="A9" s="43">
        <v>4</v>
      </c>
      <c r="B9" s="167"/>
      <c r="C9" s="128"/>
      <c r="D9" s="128"/>
      <c r="E9" s="109"/>
      <c r="F9" s="130"/>
      <c r="G9" s="132"/>
      <c r="H9" s="133"/>
      <c r="I9" s="132"/>
      <c r="J9" s="134"/>
      <c r="K9" s="46"/>
      <c r="L9" s="135"/>
      <c r="M9" s="132"/>
      <c r="N9" s="45"/>
      <c r="O9" s="132"/>
      <c r="P9" s="45"/>
      <c r="Q9" s="50"/>
      <c r="R9" s="151">
        <f>0</f>
        <v>0</v>
      </c>
      <c r="S9" s="152">
        <f>0</f>
        <v>0</v>
      </c>
      <c r="T9" s="152">
        <f>0</f>
        <v>0</v>
      </c>
      <c r="U9" s="152">
        <f>0</f>
        <v>0</v>
      </c>
      <c r="V9" s="152">
        <f>0</f>
        <v>0</v>
      </c>
      <c r="W9" s="152">
        <f>0</f>
        <v>0</v>
      </c>
      <c r="X9" s="152">
        <f>0</f>
        <v>0</v>
      </c>
      <c r="Y9" s="152">
        <f>0</f>
        <v>0</v>
      </c>
      <c r="Z9" s="152">
        <f>0</f>
        <v>0</v>
      </c>
      <c r="AA9" s="152">
        <f>0</f>
        <v>0</v>
      </c>
      <c r="AB9" s="152">
        <f>0</f>
        <v>0</v>
      </c>
      <c r="AC9" s="152">
        <f>0</f>
        <v>0</v>
      </c>
      <c r="AD9" s="152">
        <f>0</f>
        <v>0</v>
      </c>
      <c r="AE9" s="152">
        <f>0</f>
        <v>0</v>
      </c>
      <c r="AF9" s="152">
        <f>0</f>
        <v>0</v>
      </c>
      <c r="AG9" s="152">
        <f>0</f>
        <v>0</v>
      </c>
      <c r="AH9" s="152">
        <f>0</f>
        <v>0</v>
      </c>
      <c r="AI9" s="152">
        <f>0</f>
        <v>0</v>
      </c>
      <c r="AJ9" s="152">
        <f>0</f>
        <v>0</v>
      </c>
      <c r="AK9" s="153">
        <f>0</f>
        <v>0</v>
      </c>
      <c r="AL9" s="149">
        <f t="shared" si="0"/>
        <v>0</v>
      </c>
      <c r="AM9" s="51">
        <f>0</f>
        <v>0</v>
      </c>
      <c r="AN9" s="159">
        <f t="shared" si="1"/>
        <v>0</v>
      </c>
      <c r="AO9" s="52"/>
      <c r="AP9" s="53"/>
      <c r="AQ9" s="54"/>
      <c r="AR9" s="55"/>
      <c r="AS9" s="53"/>
      <c r="AT9" s="56"/>
      <c r="AU9" s="57"/>
      <c r="AV9" s="58">
        <f t="shared" si="2"/>
        <v>0</v>
      </c>
      <c r="AW9" s="56"/>
      <c r="AX9" s="59"/>
      <c r="AY9" s="60"/>
      <c r="AZ9" s="110"/>
    </row>
    <row r="10" spans="1:52" ht="28" customHeight="1">
      <c r="A10" s="43">
        <v>5</v>
      </c>
      <c r="B10" s="167"/>
      <c r="C10" s="128"/>
      <c r="D10" s="128"/>
      <c r="E10" s="109"/>
      <c r="F10" s="130"/>
      <c r="G10" s="132"/>
      <c r="H10" s="133"/>
      <c r="I10" s="132"/>
      <c r="J10" s="134"/>
      <c r="K10" s="46"/>
      <c r="L10" s="135"/>
      <c r="M10" s="132"/>
      <c r="N10" s="45"/>
      <c r="O10" s="132"/>
      <c r="P10" s="45"/>
      <c r="Q10" s="50"/>
      <c r="R10" s="151">
        <f>0</f>
        <v>0</v>
      </c>
      <c r="S10" s="152">
        <f>0</f>
        <v>0</v>
      </c>
      <c r="T10" s="152">
        <f>0</f>
        <v>0</v>
      </c>
      <c r="U10" s="152">
        <f>0</f>
        <v>0</v>
      </c>
      <c r="V10" s="152">
        <f>0</f>
        <v>0</v>
      </c>
      <c r="W10" s="152">
        <f>0</f>
        <v>0</v>
      </c>
      <c r="X10" s="152">
        <f>0</f>
        <v>0</v>
      </c>
      <c r="Y10" s="152">
        <f>0</f>
        <v>0</v>
      </c>
      <c r="Z10" s="152">
        <f>0</f>
        <v>0</v>
      </c>
      <c r="AA10" s="152">
        <f>0</f>
        <v>0</v>
      </c>
      <c r="AB10" s="152">
        <f>0</f>
        <v>0</v>
      </c>
      <c r="AC10" s="152">
        <f>0</f>
        <v>0</v>
      </c>
      <c r="AD10" s="152">
        <f>0</f>
        <v>0</v>
      </c>
      <c r="AE10" s="152">
        <f>0</f>
        <v>0</v>
      </c>
      <c r="AF10" s="152">
        <f>0</f>
        <v>0</v>
      </c>
      <c r="AG10" s="152">
        <f>0</f>
        <v>0</v>
      </c>
      <c r="AH10" s="152">
        <f>0</f>
        <v>0</v>
      </c>
      <c r="AI10" s="152">
        <f>0</f>
        <v>0</v>
      </c>
      <c r="AJ10" s="152">
        <f>0</f>
        <v>0</v>
      </c>
      <c r="AK10" s="153">
        <f>0</f>
        <v>0</v>
      </c>
      <c r="AL10" s="149">
        <f t="shared" si="0"/>
        <v>0</v>
      </c>
      <c r="AM10" s="51">
        <f>0</f>
        <v>0</v>
      </c>
      <c r="AN10" s="159">
        <f t="shared" si="1"/>
        <v>0</v>
      </c>
      <c r="AO10" s="52"/>
      <c r="AP10" s="53"/>
      <c r="AQ10" s="54"/>
      <c r="AR10" s="55"/>
      <c r="AS10" s="53"/>
      <c r="AT10" s="56"/>
      <c r="AU10" s="57"/>
      <c r="AV10" s="58">
        <f t="shared" si="2"/>
        <v>0</v>
      </c>
      <c r="AW10" s="56"/>
      <c r="AX10" s="59"/>
      <c r="AY10" s="60"/>
      <c r="AZ10" s="110"/>
    </row>
    <row r="11" spans="1:52" ht="28" customHeight="1">
      <c r="A11" s="102">
        <v>6</v>
      </c>
      <c r="B11" s="167"/>
      <c r="C11" s="129"/>
      <c r="D11" s="129"/>
      <c r="E11" s="109"/>
      <c r="F11" s="130"/>
      <c r="G11" s="136"/>
      <c r="H11" s="137"/>
      <c r="I11" s="138"/>
      <c r="J11" s="139"/>
      <c r="K11" s="112"/>
      <c r="L11" s="140"/>
      <c r="M11" s="138"/>
      <c r="N11" s="111"/>
      <c r="O11" s="138"/>
      <c r="P11" s="111"/>
      <c r="Q11" s="113"/>
      <c r="R11" s="154">
        <f>0</f>
        <v>0</v>
      </c>
      <c r="S11" s="155">
        <f>0</f>
        <v>0</v>
      </c>
      <c r="T11" s="155">
        <f>0</f>
        <v>0</v>
      </c>
      <c r="U11" s="156">
        <f>0</f>
        <v>0</v>
      </c>
      <c r="V11" s="156">
        <f>0</f>
        <v>0</v>
      </c>
      <c r="W11" s="155">
        <f>0</f>
        <v>0</v>
      </c>
      <c r="X11" s="155">
        <f>0</f>
        <v>0</v>
      </c>
      <c r="Y11" s="155">
        <f>0</f>
        <v>0</v>
      </c>
      <c r="Z11" s="155">
        <f>0</f>
        <v>0</v>
      </c>
      <c r="AA11" s="155">
        <f>0</f>
        <v>0</v>
      </c>
      <c r="AB11" s="155">
        <f>0</f>
        <v>0</v>
      </c>
      <c r="AC11" s="155">
        <f>0</f>
        <v>0</v>
      </c>
      <c r="AD11" s="155">
        <f>0</f>
        <v>0</v>
      </c>
      <c r="AE11" s="155">
        <f>0</f>
        <v>0</v>
      </c>
      <c r="AF11" s="155">
        <f>0</f>
        <v>0</v>
      </c>
      <c r="AG11" s="155">
        <f>0</f>
        <v>0</v>
      </c>
      <c r="AH11" s="155">
        <f>0</f>
        <v>0</v>
      </c>
      <c r="AI11" s="155">
        <f>0</f>
        <v>0</v>
      </c>
      <c r="AJ11" s="155">
        <f>0</f>
        <v>0</v>
      </c>
      <c r="AK11" s="157">
        <f>0</f>
        <v>0</v>
      </c>
      <c r="AL11" s="150">
        <f t="shared" si="0"/>
        <v>0</v>
      </c>
      <c r="AM11" s="51">
        <f>0</f>
        <v>0</v>
      </c>
      <c r="AN11" s="160">
        <f t="shared" si="1"/>
        <v>0</v>
      </c>
      <c r="AO11" s="115"/>
      <c r="AP11" s="116"/>
      <c r="AQ11" s="117"/>
      <c r="AR11" s="118"/>
      <c r="AS11" s="116"/>
      <c r="AT11" s="104"/>
      <c r="AU11" s="105"/>
      <c r="AV11" s="58">
        <f t="shared" si="2"/>
        <v>0</v>
      </c>
      <c r="AW11" s="104"/>
      <c r="AX11" s="106"/>
      <c r="AY11" s="107"/>
      <c r="AZ11" s="108"/>
    </row>
    <row r="12" spans="1:52" ht="28" customHeight="1">
      <c r="A12" s="43">
        <v>7</v>
      </c>
      <c r="B12" s="167"/>
      <c r="C12" s="129"/>
      <c r="D12" s="129"/>
      <c r="E12" s="109"/>
      <c r="F12" s="130"/>
      <c r="G12" s="136"/>
      <c r="H12" s="137"/>
      <c r="I12" s="138"/>
      <c r="J12" s="139"/>
      <c r="K12" s="112"/>
      <c r="L12" s="140"/>
      <c r="M12" s="138"/>
      <c r="N12" s="111"/>
      <c r="O12" s="138"/>
      <c r="P12" s="111"/>
      <c r="Q12" s="113"/>
      <c r="R12" s="154">
        <f>0</f>
        <v>0</v>
      </c>
      <c r="S12" s="155">
        <f>0</f>
        <v>0</v>
      </c>
      <c r="T12" s="155">
        <f>0</f>
        <v>0</v>
      </c>
      <c r="U12" s="158">
        <f>0</f>
        <v>0</v>
      </c>
      <c r="V12" s="158">
        <f>0</f>
        <v>0</v>
      </c>
      <c r="W12" s="155">
        <f>0</f>
        <v>0</v>
      </c>
      <c r="X12" s="155">
        <f>0</f>
        <v>0</v>
      </c>
      <c r="Y12" s="155">
        <f>0</f>
        <v>0</v>
      </c>
      <c r="Z12" s="155">
        <f>0</f>
        <v>0</v>
      </c>
      <c r="AA12" s="155">
        <f>0</f>
        <v>0</v>
      </c>
      <c r="AB12" s="155">
        <f>0</f>
        <v>0</v>
      </c>
      <c r="AC12" s="155">
        <f>0</f>
        <v>0</v>
      </c>
      <c r="AD12" s="155">
        <f>0</f>
        <v>0</v>
      </c>
      <c r="AE12" s="155">
        <f>0</f>
        <v>0</v>
      </c>
      <c r="AF12" s="155">
        <f>0</f>
        <v>0</v>
      </c>
      <c r="AG12" s="155">
        <f>0</f>
        <v>0</v>
      </c>
      <c r="AH12" s="155">
        <f>0</f>
        <v>0</v>
      </c>
      <c r="AI12" s="155">
        <f>0</f>
        <v>0</v>
      </c>
      <c r="AJ12" s="155">
        <f>0</f>
        <v>0</v>
      </c>
      <c r="AK12" s="157">
        <f>0</f>
        <v>0</v>
      </c>
      <c r="AL12" s="150">
        <f>SUM(R12:AK12)</f>
        <v>0</v>
      </c>
      <c r="AM12" s="103">
        <f>0</f>
        <v>0</v>
      </c>
      <c r="AN12" s="160">
        <f>AL12-AM12</f>
        <v>0</v>
      </c>
      <c r="AO12" s="115"/>
      <c r="AP12" s="116"/>
      <c r="AQ12" s="117"/>
      <c r="AR12" s="118"/>
      <c r="AS12" s="116"/>
      <c r="AT12" s="104"/>
      <c r="AU12" s="105"/>
      <c r="AV12" s="58">
        <f t="shared" si="2"/>
        <v>0</v>
      </c>
      <c r="AW12" s="104"/>
      <c r="AX12" s="106"/>
      <c r="AY12" s="107"/>
      <c r="AZ12" s="110"/>
    </row>
    <row r="13" spans="1:52" ht="28" customHeight="1">
      <c r="A13" s="43">
        <v>8</v>
      </c>
      <c r="B13" s="167"/>
      <c r="C13" s="129"/>
      <c r="D13" s="129"/>
      <c r="E13" s="109"/>
      <c r="F13" s="130"/>
      <c r="G13" s="136"/>
      <c r="H13" s="137"/>
      <c r="I13" s="138"/>
      <c r="J13" s="139"/>
      <c r="K13" s="112"/>
      <c r="L13" s="140"/>
      <c r="M13" s="138"/>
      <c r="N13" s="111"/>
      <c r="O13" s="138"/>
      <c r="P13" s="111"/>
      <c r="Q13" s="113"/>
      <c r="R13" s="154">
        <f>0</f>
        <v>0</v>
      </c>
      <c r="S13" s="155">
        <f>0</f>
        <v>0</v>
      </c>
      <c r="T13" s="155">
        <f>0</f>
        <v>0</v>
      </c>
      <c r="U13" s="158">
        <f>0</f>
        <v>0</v>
      </c>
      <c r="V13" s="158">
        <f>0</f>
        <v>0</v>
      </c>
      <c r="W13" s="155">
        <f>0</f>
        <v>0</v>
      </c>
      <c r="X13" s="155">
        <f>0</f>
        <v>0</v>
      </c>
      <c r="Y13" s="155">
        <f>0</f>
        <v>0</v>
      </c>
      <c r="Z13" s="155">
        <f>0</f>
        <v>0</v>
      </c>
      <c r="AA13" s="155">
        <f>0</f>
        <v>0</v>
      </c>
      <c r="AB13" s="155">
        <f>0</f>
        <v>0</v>
      </c>
      <c r="AC13" s="155">
        <f>0</f>
        <v>0</v>
      </c>
      <c r="AD13" s="155">
        <f>0</f>
        <v>0</v>
      </c>
      <c r="AE13" s="155">
        <f>0</f>
        <v>0</v>
      </c>
      <c r="AF13" s="155">
        <f>0</f>
        <v>0</v>
      </c>
      <c r="AG13" s="155">
        <f>0</f>
        <v>0</v>
      </c>
      <c r="AH13" s="155">
        <f>0</f>
        <v>0</v>
      </c>
      <c r="AI13" s="155">
        <f>0</f>
        <v>0</v>
      </c>
      <c r="AJ13" s="155">
        <f>0</f>
        <v>0</v>
      </c>
      <c r="AK13" s="157">
        <f>0</f>
        <v>0</v>
      </c>
      <c r="AL13" s="150">
        <f>SUM(R13:AK13)</f>
        <v>0</v>
      </c>
      <c r="AM13" s="103">
        <f>0</f>
        <v>0</v>
      </c>
      <c r="AN13" s="160">
        <f>AL13-AM13</f>
        <v>0</v>
      </c>
      <c r="AO13" s="115"/>
      <c r="AP13" s="116"/>
      <c r="AQ13" s="117"/>
      <c r="AR13" s="118"/>
      <c r="AS13" s="116"/>
      <c r="AT13" s="104"/>
      <c r="AU13" s="105"/>
      <c r="AV13" s="58">
        <f t="shared" si="2"/>
        <v>0</v>
      </c>
      <c r="AW13" s="104"/>
      <c r="AX13" s="106"/>
      <c r="AY13" s="107"/>
      <c r="AZ13" s="110"/>
    </row>
    <row r="14" spans="1:52" ht="28" customHeight="1">
      <c r="A14" s="43">
        <v>9</v>
      </c>
      <c r="B14" s="167"/>
      <c r="C14" s="129"/>
      <c r="D14" s="129"/>
      <c r="E14" s="109"/>
      <c r="F14" s="130"/>
      <c r="G14" s="136"/>
      <c r="H14" s="137"/>
      <c r="I14" s="138"/>
      <c r="J14" s="139"/>
      <c r="K14" s="112"/>
      <c r="L14" s="140"/>
      <c r="M14" s="138"/>
      <c r="N14" s="111"/>
      <c r="O14" s="138"/>
      <c r="P14" s="111"/>
      <c r="Q14" s="113"/>
      <c r="R14" s="154">
        <f>0</f>
        <v>0</v>
      </c>
      <c r="S14" s="155">
        <f>0</f>
        <v>0</v>
      </c>
      <c r="T14" s="155">
        <f>0</f>
        <v>0</v>
      </c>
      <c r="U14" s="158">
        <f>0</f>
        <v>0</v>
      </c>
      <c r="V14" s="158">
        <f>0</f>
        <v>0</v>
      </c>
      <c r="W14" s="155">
        <f>0</f>
        <v>0</v>
      </c>
      <c r="X14" s="155">
        <f>0</f>
        <v>0</v>
      </c>
      <c r="Y14" s="155">
        <f>0</f>
        <v>0</v>
      </c>
      <c r="Z14" s="155">
        <f>0</f>
        <v>0</v>
      </c>
      <c r="AA14" s="155">
        <f>0</f>
        <v>0</v>
      </c>
      <c r="AB14" s="155">
        <f>0</f>
        <v>0</v>
      </c>
      <c r="AC14" s="155">
        <f>0</f>
        <v>0</v>
      </c>
      <c r="AD14" s="155">
        <f>0</f>
        <v>0</v>
      </c>
      <c r="AE14" s="155">
        <f>0</f>
        <v>0</v>
      </c>
      <c r="AF14" s="155">
        <f>0</f>
        <v>0</v>
      </c>
      <c r="AG14" s="155">
        <f>0</f>
        <v>0</v>
      </c>
      <c r="AH14" s="155">
        <f>0</f>
        <v>0</v>
      </c>
      <c r="AI14" s="155">
        <f>0</f>
        <v>0</v>
      </c>
      <c r="AJ14" s="155">
        <f>0</f>
        <v>0</v>
      </c>
      <c r="AK14" s="157">
        <f>0</f>
        <v>0</v>
      </c>
      <c r="AL14" s="150">
        <f>SUM(R14:AK14)</f>
        <v>0</v>
      </c>
      <c r="AM14" s="103">
        <f>0</f>
        <v>0</v>
      </c>
      <c r="AN14" s="160">
        <f>AL14-AM14</f>
        <v>0</v>
      </c>
      <c r="AO14" s="115"/>
      <c r="AP14" s="116"/>
      <c r="AQ14" s="117"/>
      <c r="AR14" s="118"/>
      <c r="AS14" s="116"/>
      <c r="AT14" s="104"/>
      <c r="AU14" s="105"/>
      <c r="AV14" s="58">
        <f t="shared" si="2"/>
        <v>0</v>
      </c>
      <c r="AW14" s="104"/>
      <c r="AX14" s="106"/>
      <c r="AY14" s="107"/>
      <c r="AZ14" s="110"/>
    </row>
    <row r="15" spans="1:52" ht="28" customHeight="1">
      <c r="A15" s="43">
        <v>10</v>
      </c>
      <c r="B15" s="168"/>
      <c r="C15" s="129"/>
      <c r="D15" s="129"/>
      <c r="E15" s="109"/>
      <c r="F15" s="131"/>
      <c r="G15" s="136"/>
      <c r="H15" s="137"/>
      <c r="I15" s="138"/>
      <c r="J15" s="139"/>
      <c r="K15" s="112"/>
      <c r="L15" s="140"/>
      <c r="M15" s="138"/>
      <c r="N15" s="111"/>
      <c r="O15" s="138"/>
      <c r="P15" s="111"/>
      <c r="Q15" s="113"/>
      <c r="R15" s="154">
        <f>0</f>
        <v>0</v>
      </c>
      <c r="S15" s="155">
        <f>0</f>
        <v>0</v>
      </c>
      <c r="T15" s="155">
        <f>0</f>
        <v>0</v>
      </c>
      <c r="U15" s="158">
        <f>0</f>
        <v>0</v>
      </c>
      <c r="V15" s="158">
        <f>0</f>
        <v>0</v>
      </c>
      <c r="W15" s="155">
        <f>0</f>
        <v>0</v>
      </c>
      <c r="X15" s="155">
        <f>0</f>
        <v>0</v>
      </c>
      <c r="Y15" s="155">
        <f>0</f>
        <v>0</v>
      </c>
      <c r="Z15" s="155">
        <f>0</f>
        <v>0</v>
      </c>
      <c r="AA15" s="155">
        <f>0</f>
        <v>0</v>
      </c>
      <c r="AB15" s="155">
        <f>0</f>
        <v>0</v>
      </c>
      <c r="AC15" s="155">
        <f>0</f>
        <v>0</v>
      </c>
      <c r="AD15" s="155">
        <f>0</f>
        <v>0</v>
      </c>
      <c r="AE15" s="155">
        <f>0</f>
        <v>0</v>
      </c>
      <c r="AF15" s="155">
        <f>0</f>
        <v>0</v>
      </c>
      <c r="AG15" s="155">
        <f>0</f>
        <v>0</v>
      </c>
      <c r="AH15" s="155">
        <f>0</f>
        <v>0</v>
      </c>
      <c r="AI15" s="155">
        <f>0</f>
        <v>0</v>
      </c>
      <c r="AJ15" s="155">
        <f>0</f>
        <v>0</v>
      </c>
      <c r="AK15" s="157">
        <f>0</f>
        <v>0</v>
      </c>
      <c r="AL15" s="150">
        <f t="shared" ref="AL15:AL25" si="3">SUM(R15:AK15)</f>
        <v>0</v>
      </c>
      <c r="AM15" s="114">
        <f>0</f>
        <v>0</v>
      </c>
      <c r="AN15" s="160">
        <f t="shared" ref="AN15:AN25" si="4">AL15-AM15</f>
        <v>0</v>
      </c>
      <c r="AO15" s="115"/>
      <c r="AP15" s="116"/>
      <c r="AQ15" s="117"/>
      <c r="AR15" s="118"/>
      <c r="AS15" s="116"/>
      <c r="AT15" s="119"/>
      <c r="AU15" s="120"/>
      <c r="AV15" s="58">
        <f t="shared" si="2"/>
        <v>0</v>
      </c>
      <c r="AW15" s="119"/>
      <c r="AX15" s="121"/>
      <c r="AY15" s="122"/>
      <c r="AZ15" s="110"/>
    </row>
    <row r="16" spans="1:52" ht="28" customHeight="1">
      <c r="A16" s="43">
        <v>11</v>
      </c>
      <c r="B16" s="168"/>
      <c r="C16" s="129"/>
      <c r="D16" s="129"/>
      <c r="E16" s="109"/>
      <c r="F16" s="131"/>
      <c r="G16" s="136"/>
      <c r="H16" s="137"/>
      <c r="I16" s="138"/>
      <c r="J16" s="139"/>
      <c r="K16" s="112"/>
      <c r="L16" s="140"/>
      <c r="M16" s="138"/>
      <c r="N16" s="111"/>
      <c r="O16" s="138"/>
      <c r="P16" s="111"/>
      <c r="Q16" s="113"/>
      <c r="R16" s="154">
        <f>0</f>
        <v>0</v>
      </c>
      <c r="S16" s="155">
        <f>0</f>
        <v>0</v>
      </c>
      <c r="T16" s="155">
        <f>0</f>
        <v>0</v>
      </c>
      <c r="U16" s="158">
        <f>0</f>
        <v>0</v>
      </c>
      <c r="V16" s="158">
        <f>0</f>
        <v>0</v>
      </c>
      <c r="W16" s="155">
        <f>0</f>
        <v>0</v>
      </c>
      <c r="X16" s="155">
        <f>0</f>
        <v>0</v>
      </c>
      <c r="Y16" s="155">
        <f>0</f>
        <v>0</v>
      </c>
      <c r="Z16" s="155">
        <f>0</f>
        <v>0</v>
      </c>
      <c r="AA16" s="155">
        <f>0</f>
        <v>0</v>
      </c>
      <c r="AB16" s="155">
        <f>0</f>
        <v>0</v>
      </c>
      <c r="AC16" s="155">
        <f>0</f>
        <v>0</v>
      </c>
      <c r="AD16" s="155">
        <f>0</f>
        <v>0</v>
      </c>
      <c r="AE16" s="155">
        <f>0</f>
        <v>0</v>
      </c>
      <c r="AF16" s="155">
        <f>0</f>
        <v>0</v>
      </c>
      <c r="AG16" s="155">
        <f>0</f>
        <v>0</v>
      </c>
      <c r="AH16" s="155">
        <f>0</f>
        <v>0</v>
      </c>
      <c r="AI16" s="155">
        <f>0</f>
        <v>0</v>
      </c>
      <c r="AJ16" s="155">
        <f>0</f>
        <v>0</v>
      </c>
      <c r="AK16" s="157">
        <f>0</f>
        <v>0</v>
      </c>
      <c r="AL16" s="150">
        <f t="shared" si="3"/>
        <v>0</v>
      </c>
      <c r="AM16" s="114">
        <f>0</f>
        <v>0</v>
      </c>
      <c r="AN16" s="160">
        <f t="shared" si="4"/>
        <v>0</v>
      </c>
      <c r="AO16" s="115"/>
      <c r="AP16" s="116"/>
      <c r="AQ16" s="117"/>
      <c r="AR16" s="118"/>
      <c r="AS16" s="116"/>
      <c r="AT16" s="119"/>
      <c r="AU16" s="120"/>
      <c r="AV16" s="58">
        <f t="shared" si="2"/>
        <v>0</v>
      </c>
      <c r="AW16" s="119"/>
      <c r="AX16" s="121"/>
      <c r="AY16" s="122"/>
      <c r="AZ16" s="110"/>
    </row>
    <row r="17" spans="1:52" ht="28" customHeight="1">
      <c r="A17" s="43">
        <v>12</v>
      </c>
      <c r="B17" s="168"/>
      <c r="C17" s="129"/>
      <c r="D17" s="129"/>
      <c r="E17" s="109"/>
      <c r="F17" s="131"/>
      <c r="G17" s="136"/>
      <c r="H17" s="137"/>
      <c r="I17" s="138"/>
      <c r="J17" s="139"/>
      <c r="K17" s="112"/>
      <c r="L17" s="140"/>
      <c r="M17" s="138"/>
      <c r="N17" s="111"/>
      <c r="O17" s="138"/>
      <c r="P17" s="111"/>
      <c r="Q17" s="113"/>
      <c r="R17" s="154">
        <f>0</f>
        <v>0</v>
      </c>
      <c r="S17" s="155">
        <f>0</f>
        <v>0</v>
      </c>
      <c r="T17" s="155">
        <f>0</f>
        <v>0</v>
      </c>
      <c r="U17" s="158">
        <f>0</f>
        <v>0</v>
      </c>
      <c r="V17" s="158">
        <f>0</f>
        <v>0</v>
      </c>
      <c r="W17" s="155">
        <f>0</f>
        <v>0</v>
      </c>
      <c r="X17" s="155">
        <f>0</f>
        <v>0</v>
      </c>
      <c r="Y17" s="155">
        <f>0</f>
        <v>0</v>
      </c>
      <c r="Z17" s="155">
        <f>0</f>
        <v>0</v>
      </c>
      <c r="AA17" s="155">
        <f>0</f>
        <v>0</v>
      </c>
      <c r="AB17" s="155">
        <f>0</f>
        <v>0</v>
      </c>
      <c r="AC17" s="155">
        <f>0</f>
        <v>0</v>
      </c>
      <c r="AD17" s="155">
        <f>0</f>
        <v>0</v>
      </c>
      <c r="AE17" s="155">
        <f>0</f>
        <v>0</v>
      </c>
      <c r="AF17" s="155">
        <f>0</f>
        <v>0</v>
      </c>
      <c r="AG17" s="155">
        <f>0</f>
        <v>0</v>
      </c>
      <c r="AH17" s="155">
        <f>0</f>
        <v>0</v>
      </c>
      <c r="AI17" s="155">
        <f>0</f>
        <v>0</v>
      </c>
      <c r="AJ17" s="155">
        <f>0</f>
        <v>0</v>
      </c>
      <c r="AK17" s="157">
        <f>0</f>
        <v>0</v>
      </c>
      <c r="AL17" s="150">
        <f t="shared" si="3"/>
        <v>0</v>
      </c>
      <c r="AM17" s="114">
        <f>0</f>
        <v>0</v>
      </c>
      <c r="AN17" s="160">
        <f t="shared" si="4"/>
        <v>0</v>
      </c>
      <c r="AO17" s="115"/>
      <c r="AP17" s="116"/>
      <c r="AQ17" s="117"/>
      <c r="AR17" s="118"/>
      <c r="AS17" s="116"/>
      <c r="AT17" s="119"/>
      <c r="AU17" s="120"/>
      <c r="AV17" s="58">
        <f t="shared" si="2"/>
        <v>0</v>
      </c>
      <c r="AW17" s="119"/>
      <c r="AX17" s="121"/>
      <c r="AY17" s="122"/>
      <c r="AZ17" s="110"/>
    </row>
    <row r="18" spans="1:52" ht="28" customHeight="1">
      <c r="A18" s="43">
        <v>13</v>
      </c>
      <c r="B18" s="168"/>
      <c r="C18" s="129"/>
      <c r="D18" s="129"/>
      <c r="E18" s="109"/>
      <c r="F18" s="131"/>
      <c r="G18" s="136"/>
      <c r="H18" s="137"/>
      <c r="I18" s="138"/>
      <c r="J18" s="139"/>
      <c r="K18" s="112"/>
      <c r="L18" s="140"/>
      <c r="M18" s="138"/>
      <c r="N18" s="111"/>
      <c r="O18" s="138"/>
      <c r="P18" s="111"/>
      <c r="Q18" s="113"/>
      <c r="R18" s="154">
        <f>0</f>
        <v>0</v>
      </c>
      <c r="S18" s="155">
        <f>0</f>
        <v>0</v>
      </c>
      <c r="T18" s="155">
        <f>0</f>
        <v>0</v>
      </c>
      <c r="U18" s="158">
        <f>0</f>
        <v>0</v>
      </c>
      <c r="V18" s="158">
        <f>0</f>
        <v>0</v>
      </c>
      <c r="W18" s="155">
        <f>0</f>
        <v>0</v>
      </c>
      <c r="X18" s="155">
        <f>0</f>
        <v>0</v>
      </c>
      <c r="Y18" s="155">
        <f>0</f>
        <v>0</v>
      </c>
      <c r="Z18" s="155">
        <f>0</f>
        <v>0</v>
      </c>
      <c r="AA18" s="155">
        <f>0</f>
        <v>0</v>
      </c>
      <c r="AB18" s="155">
        <f>0</f>
        <v>0</v>
      </c>
      <c r="AC18" s="155">
        <f>0</f>
        <v>0</v>
      </c>
      <c r="AD18" s="155">
        <f>0</f>
        <v>0</v>
      </c>
      <c r="AE18" s="155">
        <f>0</f>
        <v>0</v>
      </c>
      <c r="AF18" s="155">
        <f>0</f>
        <v>0</v>
      </c>
      <c r="AG18" s="155">
        <f>0</f>
        <v>0</v>
      </c>
      <c r="AH18" s="155">
        <f>0</f>
        <v>0</v>
      </c>
      <c r="AI18" s="155">
        <f>0</f>
        <v>0</v>
      </c>
      <c r="AJ18" s="155">
        <f>0</f>
        <v>0</v>
      </c>
      <c r="AK18" s="157">
        <f>0</f>
        <v>0</v>
      </c>
      <c r="AL18" s="150">
        <f t="shared" si="3"/>
        <v>0</v>
      </c>
      <c r="AM18" s="114">
        <f>0</f>
        <v>0</v>
      </c>
      <c r="AN18" s="160">
        <f t="shared" si="4"/>
        <v>0</v>
      </c>
      <c r="AO18" s="115"/>
      <c r="AP18" s="116"/>
      <c r="AQ18" s="117"/>
      <c r="AR18" s="118"/>
      <c r="AS18" s="116"/>
      <c r="AT18" s="119"/>
      <c r="AU18" s="120"/>
      <c r="AV18" s="58">
        <f t="shared" si="2"/>
        <v>0</v>
      </c>
      <c r="AW18" s="119"/>
      <c r="AX18" s="121"/>
      <c r="AY18" s="122"/>
      <c r="AZ18" s="110"/>
    </row>
    <row r="19" spans="1:52" ht="28" customHeight="1">
      <c r="A19" s="102">
        <v>14</v>
      </c>
      <c r="B19" s="168"/>
      <c r="C19" s="129"/>
      <c r="D19" s="129"/>
      <c r="E19" s="109"/>
      <c r="F19" s="131"/>
      <c r="G19" s="136"/>
      <c r="H19" s="137"/>
      <c r="I19" s="138"/>
      <c r="J19" s="139"/>
      <c r="K19" s="112"/>
      <c r="L19" s="140"/>
      <c r="M19" s="138"/>
      <c r="N19" s="111"/>
      <c r="O19" s="138"/>
      <c r="P19" s="111"/>
      <c r="Q19" s="113"/>
      <c r="R19" s="154">
        <f>0</f>
        <v>0</v>
      </c>
      <c r="S19" s="155">
        <f>0</f>
        <v>0</v>
      </c>
      <c r="T19" s="155">
        <f>0</f>
        <v>0</v>
      </c>
      <c r="U19" s="158">
        <f>0</f>
        <v>0</v>
      </c>
      <c r="V19" s="158">
        <f>0</f>
        <v>0</v>
      </c>
      <c r="W19" s="155">
        <f>0</f>
        <v>0</v>
      </c>
      <c r="X19" s="155">
        <f>0</f>
        <v>0</v>
      </c>
      <c r="Y19" s="155">
        <f>0</f>
        <v>0</v>
      </c>
      <c r="Z19" s="155">
        <f>0</f>
        <v>0</v>
      </c>
      <c r="AA19" s="155">
        <f>0</f>
        <v>0</v>
      </c>
      <c r="AB19" s="155">
        <f>0</f>
        <v>0</v>
      </c>
      <c r="AC19" s="155">
        <f>0</f>
        <v>0</v>
      </c>
      <c r="AD19" s="155">
        <f>0</f>
        <v>0</v>
      </c>
      <c r="AE19" s="155">
        <f>0</f>
        <v>0</v>
      </c>
      <c r="AF19" s="155">
        <f>0</f>
        <v>0</v>
      </c>
      <c r="AG19" s="155">
        <f>0</f>
        <v>0</v>
      </c>
      <c r="AH19" s="155">
        <f>0</f>
        <v>0</v>
      </c>
      <c r="AI19" s="155">
        <f>0</f>
        <v>0</v>
      </c>
      <c r="AJ19" s="155">
        <f>0</f>
        <v>0</v>
      </c>
      <c r="AK19" s="157">
        <f>0</f>
        <v>0</v>
      </c>
      <c r="AL19" s="150">
        <f t="shared" si="3"/>
        <v>0</v>
      </c>
      <c r="AM19" s="114">
        <f>0</f>
        <v>0</v>
      </c>
      <c r="AN19" s="160">
        <f t="shared" si="4"/>
        <v>0</v>
      </c>
      <c r="AO19" s="115"/>
      <c r="AP19" s="116"/>
      <c r="AQ19" s="117"/>
      <c r="AR19" s="118"/>
      <c r="AS19" s="116"/>
      <c r="AT19" s="119"/>
      <c r="AU19" s="120"/>
      <c r="AV19" s="58">
        <f t="shared" si="2"/>
        <v>0</v>
      </c>
      <c r="AW19" s="119"/>
      <c r="AX19" s="121"/>
      <c r="AY19" s="122"/>
      <c r="AZ19" s="110"/>
    </row>
    <row r="20" spans="1:52" ht="28" customHeight="1">
      <c r="A20" s="43">
        <v>15</v>
      </c>
      <c r="B20" s="168"/>
      <c r="C20" s="129"/>
      <c r="D20" s="129"/>
      <c r="E20" s="109"/>
      <c r="F20" s="131"/>
      <c r="G20" s="136"/>
      <c r="H20" s="137"/>
      <c r="I20" s="138"/>
      <c r="J20" s="139"/>
      <c r="K20" s="112"/>
      <c r="L20" s="140"/>
      <c r="M20" s="138"/>
      <c r="N20" s="111"/>
      <c r="O20" s="138"/>
      <c r="P20" s="111"/>
      <c r="Q20" s="113"/>
      <c r="R20" s="154">
        <f>0</f>
        <v>0</v>
      </c>
      <c r="S20" s="155">
        <f>0</f>
        <v>0</v>
      </c>
      <c r="T20" s="155">
        <f>0</f>
        <v>0</v>
      </c>
      <c r="U20" s="158">
        <f>0</f>
        <v>0</v>
      </c>
      <c r="V20" s="158">
        <f>0</f>
        <v>0</v>
      </c>
      <c r="W20" s="155">
        <f>0</f>
        <v>0</v>
      </c>
      <c r="X20" s="155">
        <f>0</f>
        <v>0</v>
      </c>
      <c r="Y20" s="155">
        <f>0</f>
        <v>0</v>
      </c>
      <c r="Z20" s="155">
        <f>0</f>
        <v>0</v>
      </c>
      <c r="AA20" s="155">
        <f>0</f>
        <v>0</v>
      </c>
      <c r="AB20" s="155">
        <f>0</f>
        <v>0</v>
      </c>
      <c r="AC20" s="155">
        <f>0</f>
        <v>0</v>
      </c>
      <c r="AD20" s="155">
        <f>0</f>
        <v>0</v>
      </c>
      <c r="AE20" s="155">
        <f>0</f>
        <v>0</v>
      </c>
      <c r="AF20" s="155">
        <f>0</f>
        <v>0</v>
      </c>
      <c r="AG20" s="155">
        <f>0</f>
        <v>0</v>
      </c>
      <c r="AH20" s="155">
        <f>0</f>
        <v>0</v>
      </c>
      <c r="AI20" s="155">
        <f>0</f>
        <v>0</v>
      </c>
      <c r="AJ20" s="155">
        <f>0</f>
        <v>0</v>
      </c>
      <c r="AK20" s="157">
        <f>0</f>
        <v>0</v>
      </c>
      <c r="AL20" s="150">
        <f t="shared" si="3"/>
        <v>0</v>
      </c>
      <c r="AM20" s="114">
        <f>0</f>
        <v>0</v>
      </c>
      <c r="AN20" s="160">
        <f t="shared" si="4"/>
        <v>0</v>
      </c>
      <c r="AO20" s="115"/>
      <c r="AP20" s="116"/>
      <c r="AQ20" s="117"/>
      <c r="AR20" s="118"/>
      <c r="AS20" s="116"/>
      <c r="AT20" s="119"/>
      <c r="AU20" s="120"/>
      <c r="AV20" s="58">
        <f t="shared" si="2"/>
        <v>0</v>
      </c>
      <c r="AW20" s="119"/>
      <c r="AX20" s="121"/>
      <c r="AY20" s="122"/>
      <c r="AZ20" s="110"/>
    </row>
    <row r="21" spans="1:52" ht="28" customHeight="1">
      <c r="A21" s="43">
        <v>16</v>
      </c>
      <c r="B21" s="168"/>
      <c r="C21" s="129"/>
      <c r="D21" s="129"/>
      <c r="E21" s="109"/>
      <c r="F21" s="131"/>
      <c r="G21" s="136"/>
      <c r="H21" s="137"/>
      <c r="I21" s="138"/>
      <c r="J21" s="139"/>
      <c r="K21" s="112"/>
      <c r="L21" s="140"/>
      <c r="M21" s="138"/>
      <c r="N21" s="111"/>
      <c r="O21" s="138"/>
      <c r="P21" s="111"/>
      <c r="Q21" s="113"/>
      <c r="R21" s="154">
        <f>0</f>
        <v>0</v>
      </c>
      <c r="S21" s="155">
        <f>0</f>
        <v>0</v>
      </c>
      <c r="T21" s="155">
        <f>0</f>
        <v>0</v>
      </c>
      <c r="U21" s="158">
        <f>0</f>
        <v>0</v>
      </c>
      <c r="V21" s="158">
        <f>0</f>
        <v>0</v>
      </c>
      <c r="W21" s="155">
        <f>0</f>
        <v>0</v>
      </c>
      <c r="X21" s="155">
        <f>0</f>
        <v>0</v>
      </c>
      <c r="Y21" s="155">
        <f>0</f>
        <v>0</v>
      </c>
      <c r="Z21" s="155">
        <f>0</f>
        <v>0</v>
      </c>
      <c r="AA21" s="155">
        <f>0</f>
        <v>0</v>
      </c>
      <c r="AB21" s="155">
        <f>0</f>
        <v>0</v>
      </c>
      <c r="AC21" s="155">
        <f>0</f>
        <v>0</v>
      </c>
      <c r="AD21" s="155">
        <f>0</f>
        <v>0</v>
      </c>
      <c r="AE21" s="155">
        <f>0</f>
        <v>0</v>
      </c>
      <c r="AF21" s="155">
        <f>0</f>
        <v>0</v>
      </c>
      <c r="AG21" s="155">
        <f>0</f>
        <v>0</v>
      </c>
      <c r="AH21" s="155">
        <f>0</f>
        <v>0</v>
      </c>
      <c r="AI21" s="155">
        <f>0</f>
        <v>0</v>
      </c>
      <c r="AJ21" s="155">
        <f>0</f>
        <v>0</v>
      </c>
      <c r="AK21" s="157">
        <f>0</f>
        <v>0</v>
      </c>
      <c r="AL21" s="150">
        <f t="shared" si="3"/>
        <v>0</v>
      </c>
      <c r="AM21" s="114">
        <f>0</f>
        <v>0</v>
      </c>
      <c r="AN21" s="160">
        <f t="shared" si="4"/>
        <v>0</v>
      </c>
      <c r="AO21" s="115"/>
      <c r="AP21" s="116"/>
      <c r="AQ21" s="117"/>
      <c r="AR21" s="118"/>
      <c r="AS21" s="116"/>
      <c r="AT21" s="119"/>
      <c r="AU21" s="120"/>
      <c r="AV21" s="58">
        <f t="shared" si="2"/>
        <v>0</v>
      </c>
      <c r="AW21" s="119"/>
      <c r="AX21" s="121"/>
      <c r="AY21" s="122"/>
      <c r="AZ21" s="110"/>
    </row>
    <row r="22" spans="1:52" ht="28" customHeight="1">
      <c r="A22" s="43">
        <v>17</v>
      </c>
      <c r="B22" s="168"/>
      <c r="C22" s="129"/>
      <c r="D22" s="129"/>
      <c r="E22" s="109"/>
      <c r="F22" s="131"/>
      <c r="G22" s="136"/>
      <c r="H22" s="137"/>
      <c r="I22" s="138"/>
      <c r="J22" s="139"/>
      <c r="K22" s="112"/>
      <c r="L22" s="140"/>
      <c r="M22" s="138"/>
      <c r="N22" s="111"/>
      <c r="O22" s="138"/>
      <c r="P22" s="111"/>
      <c r="Q22" s="113"/>
      <c r="R22" s="154">
        <f>0</f>
        <v>0</v>
      </c>
      <c r="S22" s="155">
        <f>0</f>
        <v>0</v>
      </c>
      <c r="T22" s="155">
        <f>0</f>
        <v>0</v>
      </c>
      <c r="U22" s="158">
        <f>0</f>
        <v>0</v>
      </c>
      <c r="V22" s="158">
        <f>0</f>
        <v>0</v>
      </c>
      <c r="W22" s="155">
        <f>0</f>
        <v>0</v>
      </c>
      <c r="X22" s="155">
        <f>0</f>
        <v>0</v>
      </c>
      <c r="Y22" s="155">
        <f>0</f>
        <v>0</v>
      </c>
      <c r="Z22" s="155">
        <f>0</f>
        <v>0</v>
      </c>
      <c r="AA22" s="155">
        <f>0</f>
        <v>0</v>
      </c>
      <c r="AB22" s="155">
        <f>0</f>
        <v>0</v>
      </c>
      <c r="AC22" s="155">
        <f>0</f>
        <v>0</v>
      </c>
      <c r="AD22" s="155">
        <f>0</f>
        <v>0</v>
      </c>
      <c r="AE22" s="155">
        <f>0</f>
        <v>0</v>
      </c>
      <c r="AF22" s="155">
        <f>0</f>
        <v>0</v>
      </c>
      <c r="AG22" s="155">
        <f>0</f>
        <v>0</v>
      </c>
      <c r="AH22" s="155">
        <f>0</f>
        <v>0</v>
      </c>
      <c r="AI22" s="155">
        <f>0</f>
        <v>0</v>
      </c>
      <c r="AJ22" s="155">
        <f>0</f>
        <v>0</v>
      </c>
      <c r="AK22" s="157">
        <f>0</f>
        <v>0</v>
      </c>
      <c r="AL22" s="150">
        <f t="shared" si="3"/>
        <v>0</v>
      </c>
      <c r="AM22" s="114">
        <f>0</f>
        <v>0</v>
      </c>
      <c r="AN22" s="160">
        <f t="shared" si="4"/>
        <v>0</v>
      </c>
      <c r="AO22" s="115"/>
      <c r="AP22" s="116"/>
      <c r="AQ22" s="117"/>
      <c r="AR22" s="118"/>
      <c r="AS22" s="116"/>
      <c r="AT22" s="119"/>
      <c r="AU22" s="120"/>
      <c r="AV22" s="58">
        <f t="shared" si="2"/>
        <v>0</v>
      </c>
      <c r="AW22" s="119"/>
      <c r="AX22" s="121"/>
      <c r="AY22" s="122"/>
      <c r="AZ22" s="110"/>
    </row>
    <row r="23" spans="1:52" ht="28" customHeight="1">
      <c r="A23" s="43">
        <v>18</v>
      </c>
      <c r="B23" s="168"/>
      <c r="C23" s="129"/>
      <c r="D23" s="129"/>
      <c r="E23" s="109"/>
      <c r="F23" s="131"/>
      <c r="G23" s="136"/>
      <c r="H23" s="137"/>
      <c r="I23" s="138"/>
      <c r="J23" s="139"/>
      <c r="K23" s="112"/>
      <c r="L23" s="140"/>
      <c r="M23" s="138"/>
      <c r="N23" s="111"/>
      <c r="O23" s="138"/>
      <c r="P23" s="111"/>
      <c r="Q23" s="113"/>
      <c r="R23" s="154">
        <f>0</f>
        <v>0</v>
      </c>
      <c r="S23" s="155">
        <f>0</f>
        <v>0</v>
      </c>
      <c r="T23" s="155">
        <f>0</f>
        <v>0</v>
      </c>
      <c r="U23" s="158">
        <f>0</f>
        <v>0</v>
      </c>
      <c r="V23" s="158">
        <f>0</f>
        <v>0</v>
      </c>
      <c r="W23" s="155">
        <f>0</f>
        <v>0</v>
      </c>
      <c r="X23" s="155">
        <f>0</f>
        <v>0</v>
      </c>
      <c r="Y23" s="155">
        <f>0</f>
        <v>0</v>
      </c>
      <c r="Z23" s="155">
        <f>0</f>
        <v>0</v>
      </c>
      <c r="AA23" s="155">
        <f>0</f>
        <v>0</v>
      </c>
      <c r="AB23" s="155">
        <f>0</f>
        <v>0</v>
      </c>
      <c r="AC23" s="155">
        <f>0</f>
        <v>0</v>
      </c>
      <c r="AD23" s="155">
        <f>0</f>
        <v>0</v>
      </c>
      <c r="AE23" s="155">
        <f>0</f>
        <v>0</v>
      </c>
      <c r="AF23" s="155">
        <f>0</f>
        <v>0</v>
      </c>
      <c r="AG23" s="155">
        <f>0</f>
        <v>0</v>
      </c>
      <c r="AH23" s="155">
        <f>0</f>
        <v>0</v>
      </c>
      <c r="AI23" s="155">
        <f>0</f>
        <v>0</v>
      </c>
      <c r="AJ23" s="155">
        <f>0</f>
        <v>0</v>
      </c>
      <c r="AK23" s="157">
        <f>0</f>
        <v>0</v>
      </c>
      <c r="AL23" s="150">
        <f t="shared" si="3"/>
        <v>0</v>
      </c>
      <c r="AM23" s="114">
        <f>0</f>
        <v>0</v>
      </c>
      <c r="AN23" s="160">
        <f t="shared" si="4"/>
        <v>0</v>
      </c>
      <c r="AO23" s="115"/>
      <c r="AP23" s="116"/>
      <c r="AQ23" s="117"/>
      <c r="AR23" s="118"/>
      <c r="AS23" s="116"/>
      <c r="AT23" s="119"/>
      <c r="AU23" s="120"/>
      <c r="AV23" s="58">
        <f t="shared" si="2"/>
        <v>0</v>
      </c>
      <c r="AW23" s="119"/>
      <c r="AX23" s="121"/>
      <c r="AY23" s="122"/>
      <c r="AZ23" s="110"/>
    </row>
    <row r="24" spans="1:52" ht="28" customHeight="1">
      <c r="A24" s="43">
        <v>19</v>
      </c>
      <c r="B24" s="168"/>
      <c r="C24" s="129"/>
      <c r="D24" s="129"/>
      <c r="E24" s="109"/>
      <c r="F24" s="131"/>
      <c r="G24" s="136"/>
      <c r="H24" s="137"/>
      <c r="I24" s="138"/>
      <c r="J24" s="139"/>
      <c r="K24" s="112"/>
      <c r="L24" s="140"/>
      <c r="M24" s="138"/>
      <c r="N24" s="111"/>
      <c r="O24" s="138"/>
      <c r="P24" s="111"/>
      <c r="Q24" s="113"/>
      <c r="R24" s="154">
        <f>0</f>
        <v>0</v>
      </c>
      <c r="S24" s="155">
        <f>0</f>
        <v>0</v>
      </c>
      <c r="T24" s="155">
        <f>0</f>
        <v>0</v>
      </c>
      <c r="U24" s="158">
        <f>0</f>
        <v>0</v>
      </c>
      <c r="V24" s="158">
        <f>0</f>
        <v>0</v>
      </c>
      <c r="W24" s="155">
        <f>0</f>
        <v>0</v>
      </c>
      <c r="X24" s="155">
        <f>0</f>
        <v>0</v>
      </c>
      <c r="Y24" s="155">
        <f>0</f>
        <v>0</v>
      </c>
      <c r="Z24" s="155">
        <f>0</f>
        <v>0</v>
      </c>
      <c r="AA24" s="155">
        <f>0</f>
        <v>0</v>
      </c>
      <c r="AB24" s="155">
        <f>0</f>
        <v>0</v>
      </c>
      <c r="AC24" s="155">
        <f>0</f>
        <v>0</v>
      </c>
      <c r="AD24" s="155">
        <f>0</f>
        <v>0</v>
      </c>
      <c r="AE24" s="155">
        <f>0</f>
        <v>0</v>
      </c>
      <c r="AF24" s="155">
        <f>0</f>
        <v>0</v>
      </c>
      <c r="AG24" s="155">
        <f>0</f>
        <v>0</v>
      </c>
      <c r="AH24" s="155">
        <f>0</f>
        <v>0</v>
      </c>
      <c r="AI24" s="155">
        <f>0</f>
        <v>0</v>
      </c>
      <c r="AJ24" s="155">
        <f>0</f>
        <v>0</v>
      </c>
      <c r="AK24" s="157">
        <f>0</f>
        <v>0</v>
      </c>
      <c r="AL24" s="150">
        <f t="shared" si="3"/>
        <v>0</v>
      </c>
      <c r="AM24" s="114">
        <f>0</f>
        <v>0</v>
      </c>
      <c r="AN24" s="160">
        <f t="shared" si="4"/>
        <v>0</v>
      </c>
      <c r="AO24" s="115"/>
      <c r="AP24" s="116"/>
      <c r="AQ24" s="117"/>
      <c r="AR24" s="118"/>
      <c r="AS24" s="116"/>
      <c r="AT24" s="119"/>
      <c r="AU24" s="120"/>
      <c r="AV24" s="58">
        <f t="shared" si="2"/>
        <v>0</v>
      </c>
      <c r="AW24" s="119"/>
      <c r="AX24" s="121"/>
      <c r="AY24" s="122"/>
      <c r="AZ24" s="110"/>
    </row>
    <row r="25" spans="1:52" ht="27.75" customHeight="1">
      <c r="A25" s="43">
        <v>20</v>
      </c>
      <c r="B25" s="168"/>
      <c r="C25" s="129"/>
      <c r="D25" s="129"/>
      <c r="E25" s="109"/>
      <c r="F25" s="131"/>
      <c r="G25" s="136"/>
      <c r="H25" s="137"/>
      <c r="I25" s="138"/>
      <c r="J25" s="139"/>
      <c r="K25" s="112"/>
      <c r="L25" s="140"/>
      <c r="M25" s="138"/>
      <c r="N25" s="111"/>
      <c r="O25" s="138"/>
      <c r="P25" s="111"/>
      <c r="Q25" s="113"/>
      <c r="R25" s="154">
        <f>0</f>
        <v>0</v>
      </c>
      <c r="S25" s="155">
        <f>0</f>
        <v>0</v>
      </c>
      <c r="T25" s="155">
        <f>0</f>
        <v>0</v>
      </c>
      <c r="U25" s="158">
        <f>0</f>
        <v>0</v>
      </c>
      <c r="V25" s="158">
        <f>0</f>
        <v>0</v>
      </c>
      <c r="W25" s="155">
        <f>0</f>
        <v>0</v>
      </c>
      <c r="X25" s="155">
        <f>0</f>
        <v>0</v>
      </c>
      <c r="Y25" s="155">
        <f>0</f>
        <v>0</v>
      </c>
      <c r="Z25" s="155">
        <f>0</f>
        <v>0</v>
      </c>
      <c r="AA25" s="155">
        <f>0</f>
        <v>0</v>
      </c>
      <c r="AB25" s="155">
        <f>0</f>
        <v>0</v>
      </c>
      <c r="AC25" s="155">
        <f>0</f>
        <v>0</v>
      </c>
      <c r="AD25" s="155">
        <f>0</f>
        <v>0</v>
      </c>
      <c r="AE25" s="155">
        <f>0</f>
        <v>0</v>
      </c>
      <c r="AF25" s="155">
        <f>0</f>
        <v>0</v>
      </c>
      <c r="AG25" s="155">
        <f>0</f>
        <v>0</v>
      </c>
      <c r="AH25" s="155">
        <f>0</f>
        <v>0</v>
      </c>
      <c r="AI25" s="155">
        <f>0</f>
        <v>0</v>
      </c>
      <c r="AJ25" s="155">
        <f>0</f>
        <v>0</v>
      </c>
      <c r="AK25" s="157">
        <f>0</f>
        <v>0</v>
      </c>
      <c r="AL25" s="150">
        <f t="shared" si="3"/>
        <v>0</v>
      </c>
      <c r="AM25" s="114">
        <f>0</f>
        <v>0</v>
      </c>
      <c r="AN25" s="160">
        <f t="shared" si="4"/>
        <v>0</v>
      </c>
      <c r="AO25" s="115"/>
      <c r="AP25" s="116"/>
      <c r="AQ25" s="117"/>
      <c r="AR25" s="118"/>
      <c r="AS25" s="116"/>
      <c r="AT25" s="119"/>
      <c r="AU25" s="120"/>
      <c r="AV25" s="58">
        <f t="shared" si="2"/>
        <v>0</v>
      </c>
      <c r="AW25" s="119"/>
      <c r="AX25" s="121"/>
      <c r="AY25" s="122"/>
      <c r="AZ25" s="110"/>
    </row>
  </sheetData>
  <sheetProtection formatCells="0" formatColumns="0" formatRows="0" insertColumns="0" insertRows="0" insertHyperlinks="0" deleteColumns="0" deleteRows="0" sort="0" autoFilter="0" pivotTables="0"/>
  <mergeCells count="5">
    <mergeCell ref="R1:AK2"/>
    <mergeCell ref="AO1:AT2"/>
    <mergeCell ref="AU1:AW2"/>
    <mergeCell ref="AX1:AY2"/>
    <mergeCell ref="AZ1:AZ2"/>
  </mergeCells>
  <conditionalFormatting sqref="R6:AK25">
    <cfRule type="cellIs" dxfId="111" priority="6" stopIfTrue="1" operator="equal">
      <formula>0</formula>
    </cfRule>
    <cfRule type="cellIs" dxfId="110" priority="7" stopIfTrue="1" operator="greaterThan">
      <formula>0</formula>
    </cfRule>
  </conditionalFormatting>
  <conditionalFormatting sqref="AM6:AM25">
    <cfRule type="cellIs" dxfId="109" priority="5" stopIfTrue="1" operator="equal">
      <formula>0</formula>
    </cfRule>
  </conditionalFormatting>
  <conditionalFormatting sqref="BA1:CD1048576">
    <cfRule type="containsBlanks" dxfId="108" priority="8" stopIfTrue="1">
      <formula>LEN(TRIM(BA1))=0</formula>
    </cfRule>
  </conditionalFormatting>
  <conditionalFormatting sqref="BA1:BP1048576">
    <cfRule type="containsBlanks" dxfId="107" priority="4" stopIfTrue="1">
      <formula>LEN(TRIM(BA1))=0</formula>
    </cfRule>
  </conditionalFormatting>
  <conditionalFormatting sqref="AW6">
    <cfRule type="cellIs" dxfId="106" priority="3" stopIfTrue="1" operator="greaterThan">
      <formula>0</formula>
    </cfRule>
  </conditionalFormatting>
  <conditionalFormatting sqref="AV6:AV25">
    <cfRule type="cellIs" dxfId="105" priority="1" stopIfTrue="1" operator="greaterThan">
      <formula>0</formula>
    </cfRule>
    <cfRule type="cellIs" dxfId="104" priority="2" stopIfTrue="1" operator="equal">
      <formula>0</formula>
    </cfRule>
  </conditionalFormatting>
  <printOptions horizontalCentered="1" verticalCentered="1"/>
  <pageMargins left="0.25" right="0.25" top="0.75" bottom="0.75" header="0.3" footer="0.3"/>
  <pageSetup paperSize="8" scale="36" orientation="portrait" useFirstPageNumber="1" horizontalDpi="300" verticalDpi="300" r:id="rId1"/>
  <headerFooter alignWithMargins="0">
    <oddFooter>&amp;CStrona &amp;P z &amp;N</oddFooter>
  </headerFooter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4"/>
  <dimension ref="A1:AL49"/>
  <sheetViews>
    <sheetView workbookViewId="0">
      <selection activeCell="A29" sqref="A29"/>
    </sheetView>
  </sheetViews>
  <sheetFormatPr defaultRowHeight="12.5"/>
  <cols>
    <col min="1" max="1" width="49.26953125" customWidth="1"/>
    <col min="2" max="2" width="8.7265625" customWidth="1"/>
    <col min="3" max="5" width="20.7265625" customWidth="1"/>
    <col min="6" max="6" width="16" customWidth="1"/>
  </cols>
  <sheetData>
    <row r="1" spans="1:38">
      <c r="B1" t="s">
        <v>96</v>
      </c>
      <c r="C1" t="s">
        <v>90</v>
      </c>
    </row>
    <row r="2" spans="1:38">
      <c r="A2" s="191" t="s">
        <v>91</v>
      </c>
      <c r="B2">
        <v>6</v>
      </c>
      <c r="C2" s="127" t="s">
        <v>106</v>
      </c>
    </row>
    <row r="3" spans="1:38">
      <c r="A3" s="191" t="s">
        <v>92</v>
      </c>
      <c r="B3">
        <v>7</v>
      </c>
      <c r="C3" s="127" t="s">
        <v>106</v>
      </c>
    </row>
    <row r="4" spans="1:38">
      <c r="A4" s="191" t="s">
        <v>93</v>
      </c>
      <c r="B4">
        <v>8</v>
      </c>
      <c r="C4" s="127" t="s">
        <v>106</v>
      </c>
      <c r="D4" s="165" t="s">
        <v>118</v>
      </c>
    </row>
    <row r="5" spans="1:38">
      <c r="A5" s="191" t="s">
        <v>94</v>
      </c>
      <c r="B5">
        <v>9</v>
      </c>
      <c r="C5" s="127" t="s">
        <v>106</v>
      </c>
    </row>
    <row r="6" spans="1:38">
      <c r="A6" s="191" t="s">
        <v>125</v>
      </c>
      <c r="B6">
        <v>10</v>
      </c>
      <c r="C6" s="127" t="s">
        <v>106</v>
      </c>
      <c r="AL6" s="142"/>
    </row>
    <row r="7" spans="1:38">
      <c r="A7" s="191" t="s">
        <v>126</v>
      </c>
      <c r="B7">
        <v>11</v>
      </c>
      <c r="C7" t="s">
        <v>97</v>
      </c>
      <c r="AL7" s="142"/>
    </row>
    <row r="8" spans="1:38">
      <c r="A8" s="191" t="s">
        <v>127</v>
      </c>
      <c r="B8">
        <v>12</v>
      </c>
      <c r="C8" s="127" t="s">
        <v>106</v>
      </c>
      <c r="AL8" s="142"/>
    </row>
    <row r="9" spans="1:38">
      <c r="A9" s="191" t="s">
        <v>95</v>
      </c>
      <c r="B9">
        <v>13</v>
      </c>
      <c r="C9" s="127" t="s">
        <v>106</v>
      </c>
      <c r="AL9" s="142"/>
    </row>
    <row r="10" spans="1:38">
      <c r="A10" s="191" t="s">
        <v>98</v>
      </c>
      <c r="B10">
        <v>14</v>
      </c>
      <c r="C10" t="s">
        <v>97</v>
      </c>
      <c r="AL10" s="142"/>
    </row>
    <row r="11" spans="1:38">
      <c r="A11" s="191" t="s">
        <v>99</v>
      </c>
      <c r="B11">
        <v>15</v>
      </c>
      <c r="C11" s="127" t="s">
        <v>107</v>
      </c>
      <c r="AL11" s="142"/>
    </row>
    <row r="12" spans="1:38" ht="13">
      <c r="A12" s="191" t="s">
        <v>101</v>
      </c>
      <c r="B12">
        <v>18</v>
      </c>
      <c r="C12" s="148" t="s">
        <v>112</v>
      </c>
      <c r="D12" s="163" t="s">
        <v>113</v>
      </c>
      <c r="E12" s="161" t="s">
        <v>118</v>
      </c>
      <c r="AL12" s="142"/>
    </row>
    <row r="13" spans="1:38" ht="13">
      <c r="A13" s="191" t="s">
        <v>100</v>
      </c>
      <c r="B13">
        <v>38</v>
      </c>
      <c r="C13" s="147" t="s">
        <v>114</v>
      </c>
      <c r="D13" s="163" t="s">
        <v>119</v>
      </c>
      <c r="E13" s="161" t="s">
        <v>120</v>
      </c>
      <c r="AL13" s="142"/>
    </row>
    <row r="14" spans="1:38">
      <c r="A14" s="191" t="s">
        <v>102</v>
      </c>
      <c r="B14">
        <v>43</v>
      </c>
      <c r="C14" s="173" t="s">
        <v>108</v>
      </c>
    </row>
    <row r="15" spans="1:38">
      <c r="A15" s="191" t="s">
        <v>103</v>
      </c>
      <c r="B15">
        <v>46</v>
      </c>
      <c r="C15" s="141" t="s">
        <v>104</v>
      </c>
      <c r="D15" s="145" t="s">
        <v>105</v>
      </c>
      <c r="E15" s="146" t="s">
        <v>111</v>
      </c>
    </row>
    <row r="16" spans="1:38">
      <c r="A16" s="191" t="s">
        <v>109</v>
      </c>
      <c r="B16">
        <v>55</v>
      </c>
      <c r="C16" t="s">
        <v>97</v>
      </c>
    </row>
    <row r="17" spans="1:5">
      <c r="A17" s="191" t="s">
        <v>115</v>
      </c>
      <c r="B17">
        <v>2</v>
      </c>
      <c r="C17" s="127" t="s">
        <v>106</v>
      </c>
    </row>
    <row r="18" spans="1:5">
      <c r="A18" s="191" t="s">
        <v>116</v>
      </c>
      <c r="B18">
        <v>39</v>
      </c>
      <c r="C18" t="s">
        <v>97</v>
      </c>
    </row>
    <row r="19" spans="1:5" ht="13">
      <c r="A19" s="191" t="s">
        <v>117</v>
      </c>
      <c r="B19">
        <v>40</v>
      </c>
      <c r="C19" s="170" t="s">
        <v>112</v>
      </c>
      <c r="D19" s="162" t="s">
        <v>113</v>
      </c>
      <c r="E19" s="161" t="s">
        <v>118</v>
      </c>
    </row>
    <row r="20" spans="1:5">
      <c r="A20" s="191" t="s">
        <v>121</v>
      </c>
      <c r="B20">
        <v>45</v>
      </c>
      <c r="C20" s="127" t="s">
        <v>106</v>
      </c>
    </row>
    <row r="21" spans="1:5">
      <c r="A21" s="191" t="s">
        <v>122</v>
      </c>
      <c r="B21">
        <v>44</v>
      </c>
      <c r="C21" s="127" t="s">
        <v>106</v>
      </c>
    </row>
    <row r="49" spans="4:4">
      <c r="D49" s="173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Zakresy nazwane</vt:lpstr>
      </vt:variant>
      <vt:variant>
        <vt:i4>2</vt:i4>
      </vt:variant>
    </vt:vector>
  </HeadingPairs>
  <TitlesOfParts>
    <vt:vector size="7" baseType="lpstr">
      <vt:lpstr>POMOC</vt:lpstr>
      <vt:lpstr>DETALE</vt:lpstr>
      <vt:lpstr>Arkusz1</vt:lpstr>
      <vt:lpstr>MAGAZYN</vt:lpstr>
      <vt:lpstr>PARAMETRY</vt:lpstr>
      <vt:lpstr>DETALE!Obszar_wydruku</vt:lpstr>
      <vt:lpstr>MAGAZYN!Obszar_wydruku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AAA</dc:creator>
  <cp:lastModifiedBy>Krzysiek</cp:lastModifiedBy>
  <cp:lastPrinted>2018-12-03T12:08:08Z</cp:lastPrinted>
  <dcterms:created xsi:type="dcterms:W3CDTF">2015-02-11T06:44:04Z</dcterms:created>
  <dcterms:modified xsi:type="dcterms:W3CDTF">2023-07-10T17:54:46Z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 edytowania">
    <vt:filetime>2021-01-31T23:00:00Z</vt:filetime>
  </property>
  <property fmtid="{D5CDD505-2E9C-101B-9397-08002B2CF9AE}" pid="3" name="edytowal">
    <vt:lpwstr>Krzysztof Wróblewski</vt:lpwstr>
  </property>
  <property fmtid="{D5CDD505-2E9C-101B-9397-08002B2CF9AE}" pid="4" name="data zatwierdzenia">
    <vt:lpwstr>05.02.2022</vt:lpwstr>
  </property>
  <property fmtid="{D5CDD505-2E9C-101B-9397-08002B2CF9AE}" pid="5" name="archiwum">
    <vt:i4>0</vt:i4>
  </property>
</Properties>
</file>